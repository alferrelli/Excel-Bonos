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Bonos\Excel-Bonos\"/>
    </mc:Choice>
  </mc:AlternateContent>
  <bookViews>
    <workbookView xWindow="0" yWindow="0" windowWidth="25200" windowHeight="11880" tabRatio="604" firstSheet="3" activeTab="7"/>
  </bookViews>
  <sheets>
    <sheet name="Flujo de Fondos 0123" sheetId="1" r:id="rId1"/>
    <sheet name="Flujo de Fondos 0722" sheetId="2" r:id="rId2"/>
    <sheet name="Flujo de Fondos 0122" sheetId="3" r:id="rId3"/>
    <sheet name="Flujo de Fondos 0721" sheetId="4" r:id="rId4"/>
    <sheet name="Flujo de Fondos" sheetId="5" r:id="rId5"/>
    <sheet name="Hoja3" sheetId="6" state="hidden" r:id="rId6"/>
    <sheet name="Grafico Paridades bkp" sheetId="7" r:id="rId7"/>
    <sheet name="Paridad usd" sheetId="8" r:id="rId8"/>
    <sheet name="30-38" sheetId="9" r:id="rId9"/>
    <sheet name="Aribtrar" sheetId="10" r:id="rId10"/>
  </sheets>
  <functionGroups builtInGroupCount="18"/>
  <calcPr calcId="162913"/>
  <pivotCaches>
    <pivotCache cacheId="0" r:id="rId11"/>
    <pivotCache cacheId="1" r:id="rId12"/>
  </pivotCaches>
</workbook>
</file>

<file path=xl/calcChain.xml><?xml version="1.0" encoding="utf-8"?>
<calcChain xmlns="http://schemas.openxmlformats.org/spreadsheetml/2006/main"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460" i="8"/>
  <c r="J461" i="8"/>
  <c r="J462" i="8"/>
  <c r="J463" i="8"/>
  <c r="J464" i="8"/>
  <c r="J465" i="8"/>
  <c r="J466" i="8"/>
  <c r="J467" i="8"/>
  <c r="J468" i="8"/>
  <c r="J469" i="8"/>
  <c r="J470" i="8"/>
  <c r="J471" i="8"/>
  <c r="J472" i="8"/>
  <c r="J473" i="8"/>
  <c r="J474" i="8"/>
  <c r="J475" i="8"/>
  <c r="J476" i="8"/>
  <c r="J477" i="8"/>
  <c r="J478" i="8"/>
  <c r="J479" i="8"/>
  <c r="J480" i="8"/>
  <c r="J481" i="8"/>
  <c r="J482" i="8"/>
  <c r="J483" i="8"/>
  <c r="J484" i="8"/>
  <c r="J485" i="8"/>
  <c r="J486" i="8"/>
  <c r="J487" i="8"/>
  <c r="J488" i="8"/>
  <c r="J489" i="8"/>
  <c r="J490" i="8"/>
  <c r="J491" i="8"/>
  <c r="J492" i="8"/>
  <c r="J493" i="8"/>
  <c r="J494" i="8"/>
  <c r="J495" i="8"/>
  <c r="J496" i="8"/>
  <c r="J497" i="8"/>
  <c r="J498" i="8"/>
  <c r="J499" i="8"/>
  <c r="J500" i="8"/>
  <c r="J501" i="8"/>
  <c r="J502" i="8"/>
  <c r="J503" i="8"/>
  <c r="J504" i="8"/>
  <c r="J505" i="8"/>
  <c r="J506" i="8"/>
  <c r="J507" i="8"/>
  <c r="J508" i="8"/>
  <c r="J509" i="8"/>
  <c r="J510" i="8"/>
  <c r="J511" i="8"/>
  <c r="J512" i="8"/>
  <c r="J513" i="8"/>
  <c r="J514" i="8"/>
  <c r="J515" i="8"/>
  <c r="J516" i="8"/>
  <c r="J517" i="8"/>
  <c r="J518" i="8"/>
  <c r="J519" i="8"/>
  <c r="J520" i="8"/>
  <c r="J521" i="8"/>
  <c r="J522" i="8"/>
  <c r="J523" i="8"/>
  <c r="J524" i="8"/>
  <c r="J525" i="8"/>
  <c r="J526" i="8"/>
  <c r="J527" i="8"/>
  <c r="J528" i="8"/>
  <c r="J529" i="8"/>
  <c r="J530" i="8"/>
  <c r="J531" i="8"/>
  <c r="J532" i="8"/>
  <c r="J533" i="8"/>
  <c r="J534" i="8"/>
  <c r="J535" i="8"/>
  <c r="J536" i="8"/>
  <c r="J537" i="8"/>
  <c r="J538" i="8"/>
  <c r="J539" i="8"/>
  <c r="J540" i="8"/>
  <c r="J541" i="8"/>
  <c r="J542" i="8"/>
  <c r="J543" i="8"/>
  <c r="J544" i="8"/>
  <c r="J545" i="8"/>
  <c r="J546" i="8"/>
  <c r="J547" i="8"/>
  <c r="J548" i="8"/>
  <c r="J549" i="8"/>
  <c r="J550" i="8"/>
  <c r="J551" i="8"/>
  <c r="J552" i="8"/>
  <c r="J553" i="8"/>
  <c r="J554" i="8"/>
  <c r="J2" i="8"/>
  <c r="I2" i="8"/>
  <c r="K2" i="8" s="1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72" i="8"/>
  <c r="K173" i="8"/>
  <c r="K174" i="8"/>
  <c r="K175" i="8"/>
  <c r="K176" i="8"/>
  <c r="K177" i="8"/>
  <c r="K178" i="8"/>
  <c r="K179" i="8"/>
  <c r="K180" i="8"/>
  <c r="K181" i="8"/>
  <c r="K182" i="8"/>
  <c r="K183" i="8"/>
  <c r="K184" i="8"/>
  <c r="K185" i="8"/>
  <c r="K186" i="8"/>
  <c r="K187" i="8"/>
  <c r="K188" i="8"/>
  <c r="K189" i="8"/>
  <c r="K190" i="8"/>
  <c r="K191" i="8"/>
  <c r="K192" i="8"/>
  <c r="K193" i="8"/>
  <c r="K194" i="8"/>
  <c r="K195" i="8"/>
  <c r="K196" i="8"/>
  <c r="K197" i="8"/>
  <c r="K198" i="8"/>
  <c r="K199" i="8"/>
  <c r="K200" i="8"/>
  <c r="K201" i="8"/>
  <c r="K202" i="8"/>
  <c r="K203" i="8"/>
  <c r="K204" i="8"/>
  <c r="K205" i="8"/>
  <c r="K206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219" i="8"/>
  <c r="K220" i="8"/>
  <c r="K221" i="8"/>
  <c r="K222" i="8"/>
  <c r="K223" i="8"/>
  <c r="K224" i="8"/>
  <c r="K225" i="8"/>
  <c r="K226" i="8"/>
  <c r="K227" i="8"/>
  <c r="K228" i="8"/>
  <c r="K229" i="8"/>
  <c r="K230" i="8"/>
  <c r="K231" i="8"/>
  <c r="K232" i="8"/>
  <c r="K233" i="8"/>
  <c r="K234" i="8"/>
  <c r="K235" i="8"/>
  <c r="K236" i="8"/>
  <c r="K237" i="8"/>
  <c r="K238" i="8"/>
  <c r="K239" i="8"/>
  <c r="K240" i="8"/>
  <c r="K241" i="8"/>
  <c r="K242" i="8"/>
  <c r="K243" i="8"/>
  <c r="K244" i="8"/>
  <c r="K245" i="8"/>
  <c r="K246" i="8"/>
  <c r="K247" i="8"/>
  <c r="K248" i="8"/>
  <c r="K249" i="8"/>
  <c r="K250" i="8"/>
  <c r="K251" i="8"/>
  <c r="K252" i="8"/>
  <c r="K253" i="8"/>
  <c r="K254" i="8"/>
  <c r="K255" i="8"/>
  <c r="K256" i="8"/>
  <c r="K257" i="8"/>
  <c r="K258" i="8"/>
  <c r="K259" i="8"/>
  <c r="K260" i="8"/>
  <c r="K261" i="8"/>
  <c r="K262" i="8"/>
  <c r="K263" i="8"/>
  <c r="K264" i="8"/>
  <c r="K265" i="8"/>
  <c r="K266" i="8"/>
  <c r="K267" i="8"/>
  <c r="K268" i="8"/>
  <c r="K269" i="8"/>
  <c r="K270" i="8"/>
  <c r="K271" i="8"/>
  <c r="K272" i="8"/>
  <c r="K273" i="8"/>
  <c r="K274" i="8"/>
  <c r="K275" i="8"/>
  <c r="K276" i="8"/>
  <c r="K277" i="8"/>
  <c r="K278" i="8"/>
  <c r="K279" i="8"/>
  <c r="K280" i="8"/>
  <c r="K281" i="8"/>
  <c r="K282" i="8"/>
  <c r="K283" i="8"/>
  <c r="K284" i="8"/>
  <c r="K285" i="8"/>
  <c r="K286" i="8"/>
  <c r="K287" i="8"/>
  <c r="K288" i="8"/>
  <c r="K289" i="8"/>
  <c r="K290" i="8"/>
  <c r="K291" i="8"/>
  <c r="K292" i="8"/>
  <c r="K293" i="8"/>
  <c r="K294" i="8"/>
  <c r="K295" i="8"/>
  <c r="K296" i="8"/>
  <c r="K297" i="8"/>
  <c r="K298" i="8"/>
  <c r="K299" i="8"/>
  <c r="K300" i="8"/>
  <c r="K301" i="8"/>
  <c r="K302" i="8"/>
  <c r="K303" i="8"/>
  <c r="K304" i="8"/>
  <c r="K305" i="8"/>
  <c r="K306" i="8"/>
  <c r="K307" i="8"/>
  <c r="K308" i="8"/>
  <c r="K309" i="8"/>
  <c r="K310" i="8"/>
  <c r="K311" i="8"/>
  <c r="K312" i="8"/>
  <c r="K313" i="8"/>
  <c r="K314" i="8"/>
  <c r="K315" i="8"/>
  <c r="K316" i="8"/>
  <c r="K317" i="8"/>
  <c r="K318" i="8"/>
  <c r="K319" i="8"/>
  <c r="K320" i="8"/>
  <c r="K321" i="8"/>
  <c r="K322" i="8"/>
  <c r="K323" i="8"/>
  <c r="K324" i="8"/>
  <c r="K325" i="8"/>
  <c r="K326" i="8"/>
  <c r="K327" i="8"/>
  <c r="K328" i="8"/>
  <c r="K329" i="8"/>
  <c r="K330" i="8"/>
  <c r="K331" i="8"/>
  <c r="K332" i="8"/>
  <c r="K333" i="8"/>
  <c r="K334" i="8"/>
  <c r="K335" i="8"/>
  <c r="K336" i="8"/>
  <c r="K337" i="8"/>
  <c r="K338" i="8"/>
  <c r="K339" i="8"/>
  <c r="K340" i="8"/>
  <c r="K341" i="8"/>
  <c r="K342" i="8"/>
  <c r="K343" i="8"/>
  <c r="K344" i="8"/>
  <c r="K345" i="8"/>
  <c r="K346" i="8"/>
  <c r="K347" i="8"/>
  <c r="K348" i="8"/>
  <c r="K349" i="8"/>
  <c r="K350" i="8"/>
  <c r="K351" i="8"/>
  <c r="K352" i="8"/>
  <c r="K353" i="8"/>
  <c r="K354" i="8"/>
  <c r="K355" i="8"/>
  <c r="K356" i="8"/>
  <c r="K357" i="8"/>
  <c r="K358" i="8"/>
  <c r="K359" i="8"/>
  <c r="K360" i="8"/>
  <c r="K361" i="8"/>
  <c r="K362" i="8"/>
  <c r="K363" i="8"/>
  <c r="K364" i="8"/>
  <c r="K365" i="8"/>
  <c r="K366" i="8"/>
  <c r="K367" i="8"/>
  <c r="K368" i="8"/>
  <c r="K369" i="8"/>
  <c r="K370" i="8"/>
  <c r="K371" i="8"/>
  <c r="K372" i="8"/>
  <c r="K373" i="8"/>
  <c r="K374" i="8"/>
  <c r="K375" i="8"/>
  <c r="K376" i="8"/>
  <c r="K377" i="8"/>
  <c r="K378" i="8"/>
  <c r="K379" i="8"/>
  <c r="K380" i="8"/>
  <c r="K381" i="8"/>
  <c r="K382" i="8"/>
  <c r="K383" i="8"/>
  <c r="K384" i="8"/>
  <c r="K385" i="8"/>
  <c r="K386" i="8"/>
  <c r="K387" i="8"/>
  <c r="K388" i="8"/>
  <c r="K389" i="8"/>
  <c r="K390" i="8"/>
  <c r="K391" i="8"/>
  <c r="K392" i="8"/>
  <c r="K393" i="8"/>
  <c r="K394" i="8"/>
  <c r="K395" i="8"/>
  <c r="K396" i="8"/>
  <c r="K397" i="8"/>
  <c r="K398" i="8"/>
  <c r="K399" i="8"/>
  <c r="K400" i="8"/>
  <c r="K401" i="8"/>
  <c r="K402" i="8"/>
  <c r="K403" i="8"/>
  <c r="K404" i="8"/>
  <c r="K405" i="8"/>
  <c r="K406" i="8"/>
  <c r="K407" i="8"/>
  <c r="K408" i="8"/>
  <c r="K409" i="8"/>
  <c r="K410" i="8"/>
  <c r="K411" i="8"/>
  <c r="K412" i="8"/>
  <c r="K413" i="8"/>
  <c r="K414" i="8"/>
  <c r="K415" i="8"/>
  <c r="K416" i="8"/>
  <c r="K417" i="8"/>
  <c r="K418" i="8"/>
  <c r="K419" i="8"/>
  <c r="K420" i="8"/>
  <c r="K421" i="8"/>
  <c r="K422" i="8"/>
  <c r="K423" i="8"/>
  <c r="K424" i="8"/>
  <c r="K425" i="8"/>
  <c r="K426" i="8"/>
  <c r="K427" i="8"/>
  <c r="K428" i="8"/>
  <c r="K429" i="8"/>
  <c r="K430" i="8"/>
  <c r="K431" i="8"/>
  <c r="K432" i="8"/>
  <c r="K433" i="8"/>
  <c r="K434" i="8"/>
  <c r="K435" i="8"/>
  <c r="K436" i="8"/>
  <c r="K437" i="8"/>
  <c r="K438" i="8"/>
  <c r="K439" i="8"/>
  <c r="K440" i="8"/>
  <c r="K441" i="8"/>
  <c r="K442" i="8"/>
  <c r="K443" i="8"/>
  <c r="K444" i="8"/>
  <c r="K445" i="8"/>
  <c r="K446" i="8"/>
  <c r="K447" i="8"/>
  <c r="K448" i="8"/>
  <c r="K449" i="8"/>
  <c r="K450" i="8"/>
  <c r="K451" i="8"/>
  <c r="K452" i="8"/>
  <c r="K453" i="8"/>
  <c r="K454" i="8"/>
  <c r="K455" i="8"/>
  <c r="K456" i="8"/>
  <c r="K457" i="8"/>
  <c r="K458" i="8"/>
  <c r="K459" i="8"/>
  <c r="K460" i="8"/>
  <c r="K461" i="8"/>
  <c r="K462" i="8"/>
  <c r="K463" i="8"/>
  <c r="K464" i="8"/>
  <c r="K465" i="8"/>
  <c r="K466" i="8"/>
  <c r="K467" i="8"/>
  <c r="K468" i="8"/>
  <c r="K469" i="8"/>
  <c r="K470" i="8"/>
  <c r="K471" i="8"/>
  <c r="K472" i="8"/>
  <c r="K473" i="8"/>
  <c r="K474" i="8"/>
  <c r="K475" i="8"/>
  <c r="K476" i="8"/>
  <c r="K477" i="8"/>
  <c r="K478" i="8"/>
  <c r="K479" i="8"/>
  <c r="K480" i="8"/>
  <c r="K481" i="8"/>
  <c r="K482" i="8"/>
  <c r="K483" i="8"/>
  <c r="K484" i="8"/>
  <c r="K485" i="8"/>
  <c r="K486" i="8"/>
  <c r="K487" i="8"/>
  <c r="K488" i="8"/>
  <c r="K489" i="8"/>
  <c r="K490" i="8"/>
  <c r="K491" i="8"/>
  <c r="K492" i="8"/>
  <c r="K493" i="8"/>
  <c r="K494" i="8"/>
  <c r="K495" i="8"/>
  <c r="K496" i="8"/>
  <c r="K497" i="8"/>
  <c r="K498" i="8"/>
  <c r="K499" i="8"/>
  <c r="K500" i="8"/>
  <c r="K501" i="8"/>
  <c r="K502" i="8"/>
  <c r="K503" i="8"/>
  <c r="K504" i="8"/>
  <c r="K505" i="8"/>
  <c r="K506" i="8"/>
  <c r="K507" i="8"/>
  <c r="K508" i="8"/>
  <c r="K509" i="8"/>
  <c r="K510" i="8"/>
  <c r="K511" i="8"/>
  <c r="K512" i="8"/>
  <c r="K513" i="8"/>
  <c r="K514" i="8"/>
  <c r="K515" i="8"/>
  <c r="K516" i="8"/>
  <c r="K517" i="8"/>
  <c r="K518" i="8"/>
  <c r="K519" i="8"/>
  <c r="K520" i="8"/>
  <c r="K521" i="8"/>
  <c r="K522" i="8"/>
  <c r="K523" i="8"/>
  <c r="K524" i="8"/>
  <c r="K525" i="8"/>
  <c r="K526" i="8"/>
  <c r="K527" i="8"/>
  <c r="K528" i="8"/>
  <c r="K529" i="8"/>
  <c r="K530" i="8"/>
  <c r="K531" i="8"/>
  <c r="K532" i="8"/>
  <c r="K533" i="8"/>
  <c r="K534" i="8"/>
  <c r="K535" i="8"/>
  <c r="K536" i="8"/>
  <c r="K537" i="8"/>
  <c r="K538" i="8"/>
  <c r="K539" i="8"/>
  <c r="K540" i="8"/>
  <c r="K541" i="8"/>
  <c r="K542" i="8"/>
  <c r="K543" i="8"/>
  <c r="K544" i="8"/>
  <c r="K545" i="8"/>
  <c r="K546" i="8"/>
  <c r="K547" i="8"/>
  <c r="K548" i="8"/>
  <c r="K549" i="8"/>
  <c r="K550" i="8"/>
  <c r="K551" i="8"/>
  <c r="K552" i="8"/>
  <c r="K553" i="8"/>
  <c r="K554" i="8"/>
  <c r="K3" i="8"/>
  <c r="K4" i="8"/>
  <c r="K5" i="8"/>
  <c r="K6" i="8"/>
  <c r="K7" i="8"/>
  <c r="I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P2" i="8"/>
  <c r="O3" i="8"/>
  <c r="O4" i="8"/>
  <c r="O5" i="8"/>
  <c r="O6" i="8"/>
  <c r="O7" i="8"/>
  <c r="O8" i="8"/>
  <c r="O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L115" i="8"/>
  <c r="O115" i="8"/>
  <c r="L116" i="8"/>
  <c r="O116" i="8"/>
  <c r="L117" i="8"/>
  <c r="O117" i="8"/>
  <c r="L118" i="8"/>
  <c r="O118" i="8"/>
  <c r="L119" i="8"/>
  <c r="O119" i="8"/>
  <c r="L120" i="8"/>
  <c r="O120" i="8"/>
  <c r="L121" i="8"/>
  <c r="O121" i="8"/>
  <c r="L122" i="8"/>
  <c r="O122" i="8"/>
  <c r="L123" i="8"/>
  <c r="O123" i="8"/>
  <c r="L124" i="8"/>
  <c r="O124" i="8"/>
  <c r="L125" i="8"/>
  <c r="O125" i="8"/>
  <c r="L126" i="8"/>
  <c r="O126" i="8"/>
  <c r="L127" i="8"/>
  <c r="O127" i="8"/>
  <c r="L128" i="8"/>
  <c r="O128" i="8"/>
  <c r="L129" i="8"/>
  <c r="O129" i="8"/>
  <c r="L130" i="8"/>
  <c r="O130" i="8"/>
  <c r="L131" i="8"/>
  <c r="O131" i="8"/>
  <c r="L132" i="8"/>
  <c r="O132" i="8"/>
  <c r="L133" i="8"/>
  <c r="O133" i="8"/>
  <c r="L134" i="8"/>
  <c r="O134" i="8"/>
  <c r="L135" i="8"/>
  <c r="O135" i="8"/>
  <c r="L136" i="8"/>
  <c r="O136" i="8"/>
  <c r="L137" i="8"/>
  <c r="O137" i="8"/>
  <c r="L138" i="8"/>
  <c r="O138" i="8"/>
  <c r="L139" i="8"/>
  <c r="O139" i="8"/>
  <c r="L140" i="8"/>
  <c r="O140" i="8"/>
  <c r="L141" i="8"/>
  <c r="O141" i="8"/>
  <c r="L142" i="8"/>
  <c r="O142" i="8"/>
  <c r="L143" i="8"/>
  <c r="O143" i="8"/>
  <c r="L144" i="8"/>
  <c r="O144" i="8"/>
  <c r="L145" i="8"/>
  <c r="O145" i="8"/>
  <c r="L146" i="8"/>
  <c r="O146" i="8"/>
  <c r="L147" i="8"/>
  <c r="O147" i="8"/>
  <c r="L148" i="8"/>
  <c r="O148" i="8"/>
  <c r="L149" i="8"/>
  <c r="O149" i="8"/>
  <c r="L150" i="8"/>
  <c r="O150" i="8"/>
  <c r="L151" i="8"/>
  <c r="O151" i="8"/>
  <c r="L152" i="8"/>
  <c r="O152" i="8"/>
  <c r="L153" i="8"/>
  <c r="O153" i="8"/>
  <c r="L154" i="8"/>
  <c r="O154" i="8"/>
  <c r="L155" i="8"/>
  <c r="O155" i="8"/>
  <c r="L156" i="8"/>
  <c r="O156" i="8"/>
  <c r="L157" i="8"/>
  <c r="O157" i="8"/>
  <c r="L158" i="8"/>
  <c r="O158" i="8"/>
  <c r="L159" i="8"/>
  <c r="O159" i="8"/>
  <c r="L160" i="8"/>
  <c r="O160" i="8"/>
  <c r="L161" i="8"/>
  <c r="O161" i="8"/>
  <c r="L162" i="8"/>
  <c r="O162" i="8"/>
  <c r="L163" i="8"/>
  <c r="O163" i="8"/>
  <c r="L164" i="8"/>
  <c r="O164" i="8"/>
  <c r="L165" i="8"/>
  <c r="O165" i="8"/>
  <c r="L166" i="8"/>
  <c r="O166" i="8"/>
  <c r="L167" i="8"/>
  <c r="O167" i="8"/>
  <c r="L168" i="8"/>
  <c r="O168" i="8"/>
  <c r="L169" i="8"/>
  <c r="O169" i="8"/>
  <c r="L170" i="8"/>
  <c r="O170" i="8"/>
  <c r="L171" i="8"/>
  <c r="O171" i="8"/>
  <c r="L172" i="8"/>
  <c r="O172" i="8"/>
  <c r="L173" i="8"/>
  <c r="O173" i="8"/>
  <c r="L174" i="8"/>
  <c r="O174" i="8"/>
  <c r="L175" i="8"/>
  <c r="O175" i="8"/>
  <c r="L176" i="8"/>
  <c r="O176" i="8"/>
  <c r="L177" i="8"/>
  <c r="O177" i="8"/>
  <c r="L178" i="8"/>
  <c r="O178" i="8"/>
  <c r="L179" i="8"/>
  <c r="O179" i="8"/>
  <c r="L180" i="8"/>
  <c r="O180" i="8"/>
  <c r="L181" i="8"/>
  <c r="O181" i="8"/>
  <c r="L182" i="8"/>
  <c r="O182" i="8"/>
  <c r="L183" i="8"/>
  <c r="O183" i="8"/>
  <c r="L184" i="8"/>
  <c r="O184" i="8"/>
  <c r="L185" i="8"/>
  <c r="O185" i="8"/>
  <c r="L186" i="8"/>
  <c r="O186" i="8"/>
  <c r="L187" i="8"/>
  <c r="O187" i="8"/>
  <c r="L188" i="8"/>
  <c r="O188" i="8"/>
  <c r="L189" i="8"/>
  <c r="O189" i="8"/>
  <c r="L190" i="8"/>
  <c r="O190" i="8"/>
  <c r="L191" i="8"/>
  <c r="O191" i="8"/>
  <c r="L192" i="8"/>
  <c r="O192" i="8"/>
  <c r="L193" i="8"/>
  <c r="O193" i="8"/>
  <c r="L194" i="8"/>
  <c r="O194" i="8"/>
  <c r="L195" i="8"/>
  <c r="O195" i="8"/>
  <c r="L196" i="8"/>
  <c r="O196" i="8"/>
  <c r="L197" i="8"/>
  <c r="O197" i="8"/>
  <c r="L198" i="8"/>
  <c r="O198" i="8"/>
  <c r="L199" i="8"/>
  <c r="O199" i="8"/>
  <c r="L200" i="8"/>
  <c r="O200" i="8"/>
  <c r="L201" i="8"/>
  <c r="O201" i="8"/>
  <c r="L202" i="8"/>
  <c r="O202" i="8"/>
  <c r="L203" i="8"/>
  <c r="O203" i="8"/>
  <c r="L204" i="8"/>
  <c r="O204" i="8"/>
  <c r="L205" i="8"/>
  <c r="O205" i="8"/>
  <c r="L206" i="8"/>
  <c r="O206" i="8"/>
  <c r="L207" i="8"/>
  <c r="O207" i="8"/>
  <c r="L208" i="8"/>
  <c r="O208" i="8"/>
  <c r="L209" i="8"/>
  <c r="O209" i="8"/>
  <c r="L210" i="8"/>
  <c r="O210" i="8"/>
  <c r="L211" i="8"/>
  <c r="O211" i="8"/>
  <c r="L212" i="8"/>
  <c r="O212" i="8"/>
  <c r="L213" i="8"/>
  <c r="O213" i="8"/>
  <c r="L214" i="8"/>
  <c r="O214" i="8"/>
  <c r="L215" i="8"/>
  <c r="O215" i="8"/>
  <c r="L216" i="8"/>
  <c r="O216" i="8"/>
  <c r="L217" i="8"/>
  <c r="O217" i="8"/>
  <c r="L218" i="8"/>
  <c r="O218" i="8"/>
  <c r="L219" i="8"/>
  <c r="O219" i="8"/>
  <c r="L220" i="8"/>
  <c r="O220" i="8"/>
  <c r="L221" i="8"/>
  <c r="O221" i="8"/>
  <c r="L222" i="8"/>
  <c r="O222" i="8"/>
  <c r="L223" i="8"/>
  <c r="O223" i="8"/>
  <c r="L224" i="8"/>
  <c r="O224" i="8"/>
  <c r="L225" i="8"/>
  <c r="O225" i="8"/>
  <c r="L226" i="8"/>
  <c r="O226" i="8"/>
  <c r="L227" i="8"/>
  <c r="O227" i="8"/>
  <c r="L228" i="8"/>
  <c r="O228" i="8"/>
  <c r="L229" i="8"/>
  <c r="O229" i="8"/>
  <c r="L230" i="8"/>
  <c r="O230" i="8"/>
  <c r="L231" i="8"/>
  <c r="O231" i="8"/>
  <c r="L232" i="8"/>
  <c r="O232" i="8"/>
  <c r="L233" i="8"/>
  <c r="O233" i="8"/>
  <c r="L234" i="8"/>
  <c r="O234" i="8"/>
  <c r="L235" i="8"/>
  <c r="O235" i="8"/>
  <c r="L236" i="8"/>
  <c r="O236" i="8"/>
  <c r="L237" i="8"/>
  <c r="O237" i="8"/>
  <c r="L238" i="8"/>
  <c r="O238" i="8"/>
  <c r="L239" i="8"/>
  <c r="O239" i="8"/>
  <c r="L240" i="8"/>
  <c r="O240" i="8"/>
  <c r="L241" i="8"/>
  <c r="O241" i="8"/>
  <c r="L242" i="8"/>
  <c r="O242" i="8"/>
  <c r="L243" i="8"/>
  <c r="O243" i="8"/>
  <c r="L244" i="8"/>
  <c r="O244" i="8"/>
  <c r="L245" i="8"/>
  <c r="O245" i="8"/>
  <c r="L246" i="8"/>
  <c r="O246" i="8"/>
  <c r="L247" i="8"/>
  <c r="O247" i="8"/>
  <c r="L248" i="8"/>
  <c r="O248" i="8"/>
  <c r="L249" i="8"/>
  <c r="O249" i="8"/>
  <c r="L250" i="8"/>
  <c r="O250" i="8"/>
  <c r="L251" i="8"/>
  <c r="O251" i="8"/>
  <c r="L252" i="8"/>
  <c r="O252" i="8"/>
  <c r="L253" i="8"/>
  <c r="O253" i="8"/>
  <c r="L254" i="8"/>
  <c r="O254" i="8"/>
  <c r="L255" i="8"/>
  <c r="O255" i="8"/>
  <c r="L256" i="8"/>
  <c r="O256" i="8"/>
  <c r="L257" i="8"/>
  <c r="O257" i="8"/>
  <c r="L258" i="8"/>
  <c r="O258" i="8"/>
  <c r="L259" i="8"/>
  <c r="O259" i="8"/>
  <c r="L260" i="8"/>
  <c r="O260" i="8"/>
  <c r="L261" i="8"/>
  <c r="O261" i="8"/>
  <c r="L262" i="8"/>
  <c r="O262" i="8"/>
  <c r="L263" i="8"/>
  <c r="O263" i="8"/>
  <c r="L264" i="8"/>
  <c r="O264" i="8"/>
  <c r="L265" i="8"/>
  <c r="O265" i="8"/>
  <c r="L266" i="8"/>
  <c r="O266" i="8"/>
  <c r="L267" i="8"/>
  <c r="O267" i="8"/>
  <c r="L268" i="8"/>
  <c r="O268" i="8"/>
  <c r="L269" i="8"/>
  <c r="O269" i="8"/>
  <c r="L270" i="8"/>
  <c r="O270" i="8"/>
  <c r="L271" i="8"/>
  <c r="O271" i="8"/>
  <c r="L272" i="8"/>
  <c r="O272" i="8"/>
  <c r="L273" i="8"/>
  <c r="O273" i="8"/>
  <c r="L274" i="8"/>
  <c r="O274" i="8"/>
  <c r="L275" i="8"/>
  <c r="O275" i="8"/>
  <c r="L276" i="8"/>
  <c r="O276" i="8"/>
  <c r="L277" i="8"/>
  <c r="O277" i="8"/>
  <c r="L278" i="8"/>
  <c r="O278" i="8"/>
  <c r="L279" i="8"/>
  <c r="O279" i="8"/>
  <c r="L280" i="8"/>
  <c r="O280" i="8"/>
  <c r="L281" i="8"/>
  <c r="O281" i="8"/>
  <c r="L282" i="8"/>
  <c r="O282" i="8"/>
  <c r="L283" i="8"/>
  <c r="O283" i="8"/>
  <c r="L284" i="8"/>
  <c r="O284" i="8"/>
  <c r="L285" i="8"/>
  <c r="O285" i="8"/>
  <c r="L286" i="8"/>
  <c r="O286" i="8"/>
  <c r="L287" i="8"/>
  <c r="O287" i="8"/>
  <c r="L288" i="8"/>
  <c r="O288" i="8"/>
  <c r="L289" i="8"/>
  <c r="O289" i="8"/>
  <c r="L290" i="8"/>
  <c r="O290" i="8"/>
  <c r="L291" i="8"/>
  <c r="O291" i="8"/>
  <c r="L292" i="8"/>
  <c r="O292" i="8"/>
  <c r="L293" i="8"/>
  <c r="O293" i="8"/>
  <c r="L294" i="8"/>
  <c r="O294" i="8"/>
  <c r="L295" i="8"/>
  <c r="O295" i="8"/>
  <c r="L296" i="8"/>
  <c r="O296" i="8"/>
  <c r="L297" i="8"/>
  <c r="O297" i="8"/>
  <c r="L298" i="8"/>
  <c r="O298" i="8"/>
  <c r="L299" i="8"/>
  <c r="O299" i="8"/>
  <c r="L300" i="8"/>
  <c r="O300" i="8"/>
  <c r="L301" i="8"/>
  <c r="O301" i="8"/>
  <c r="L302" i="8"/>
  <c r="O302" i="8"/>
  <c r="L303" i="8"/>
  <c r="O303" i="8"/>
  <c r="L304" i="8"/>
  <c r="O304" i="8"/>
  <c r="L305" i="8"/>
  <c r="O305" i="8"/>
  <c r="L306" i="8"/>
  <c r="O306" i="8"/>
  <c r="L307" i="8"/>
  <c r="O307" i="8"/>
  <c r="L308" i="8"/>
  <c r="O308" i="8"/>
  <c r="L309" i="8"/>
  <c r="O309" i="8"/>
  <c r="L310" i="8"/>
  <c r="O310" i="8"/>
  <c r="L311" i="8"/>
  <c r="O311" i="8"/>
  <c r="L312" i="8"/>
  <c r="O312" i="8"/>
  <c r="L313" i="8"/>
  <c r="O313" i="8"/>
  <c r="L314" i="8"/>
  <c r="O314" i="8"/>
  <c r="L315" i="8"/>
  <c r="O315" i="8"/>
  <c r="L316" i="8"/>
  <c r="O316" i="8"/>
  <c r="L317" i="8"/>
  <c r="O317" i="8"/>
  <c r="L318" i="8"/>
  <c r="O318" i="8"/>
  <c r="L319" i="8"/>
  <c r="O319" i="8"/>
  <c r="L320" i="8"/>
  <c r="O320" i="8"/>
  <c r="L321" i="8"/>
  <c r="O321" i="8"/>
  <c r="L322" i="8"/>
  <c r="O322" i="8"/>
  <c r="L323" i="8"/>
  <c r="O323" i="8"/>
  <c r="L324" i="8"/>
  <c r="O324" i="8"/>
  <c r="L325" i="8"/>
  <c r="O325" i="8"/>
  <c r="L326" i="8"/>
  <c r="O326" i="8"/>
  <c r="L327" i="8"/>
  <c r="O327" i="8"/>
  <c r="L328" i="8"/>
  <c r="O328" i="8"/>
  <c r="L329" i="8"/>
  <c r="O329" i="8"/>
  <c r="L330" i="8"/>
  <c r="O330" i="8"/>
  <c r="L331" i="8"/>
  <c r="O331" i="8"/>
  <c r="L332" i="8"/>
  <c r="O332" i="8"/>
  <c r="L333" i="8"/>
  <c r="O333" i="8"/>
  <c r="L334" i="8"/>
  <c r="O334" i="8"/>
  <c r="L335" i="8"/>
  <c r="O335" i="8"/>
  <c r="L336" i="8"/>
  <c r="O336" i="8"/>
  <c r="L337" i="8"/>
  <c r="O337" i="8"/>
  <c r="L338" i="8"/>
  <c r="O338" i="8"/>
  <c r="L339" i="8"/>
  <c r="O339" i="8"/>
  <c r="L340" i="8"/>
  <c r="O340" i="8"/>
  <c r="L341" i="8"/>
  <c r="O341" i="8"/>
  <c r="L342" i="8"/>
  <c r="O342" i="8"/>
  <c r="L343" i="8"/>
  <c r="O343" i="8"/>
  <c r="L344" i="8"/>
  <c r="O344" i="8"/>
  <c r="L345" i="8"/>
  <c r="O345" i="8"/>
  <c r="L346" i="8"/>
  <c r="O346" i="8"/>
  <c r="L347" i="8"/>
  <c r="O347" i="8"/>
  <c r="L348" i="8"/>
  <c r="O348" i="8"/>
  <c r="L349" i="8"/>
  <c r="O349" i="8"/>
  <c r="L350" i="8"/>
  <c r="O350" i="8"/>
  <c r="L351" i="8"/>
  <c r="O351" i="8"/>
  <c r="L352" i="8"/>
  <c r="O352" i="8"/>
  <c r="L353" i="8"/>
  <c r="O353" i="8"/>
  <c r="L354" i="8"/>
  <c r="O354" i="8"/>
  <c r="L355" i="8"/>
  <c r="O355" i="8"/>
  <c r="L356" i="8"/>
  <c r="O356" i="8"/>
  <c r="L357" i="8"/>
  <c r="O357" i="8"/>
  <c r="L358" i="8"/>
  <c r="O358" i="8"/>
  <c r="L359" i="8"/>
  <c r="O359" i="8"/>
  <c r="L360" i="8"/>
  <c r="O360" i="8"/>
  <c r="L361" i="8"/>
  <c r="O361" i="8"/>
  <c r="L362" i="8"/>
  <c r="O362" i="8"/>
  <c r="L363" i="8"/>
  <c r="O363" i="8"/>
  <c r="L364" i="8"/>
  <c r="O364" i="8"/>
  <c r="L365" i="8"/>
  <c r="O365" i="8"/>
  <c r="L366" i="8"/>
  <c r="O366" i="8"/>
  <c r="L367" i="8"/>
  <c r="O367" i="8"/>
  <c r="L368" i="8"/>
  <c r="O368" i="8"/>
  <c r="L369" i="8"/>
  <c r="O369" i="8"/>
  <c r="L370" i="8"/>
  <c r="O370" i="8"/>
  <c r="L371" i="8"/>
  <c r="O371" i="8"/>
  <c r="L372" i="8"/>
  <c r="O372" i="8"/>
  <c r="L373" i="8"/>
  <c r="O373" i="8"/>
  <c r="L374" i="8"/>
  <c r="O374" i="8"/>
  <c r="L375" i="8"/>
  <c r="O375" i="8"/>
  <c r="L376" i="8"/>
  <c r="O376" i="8"/>
  <c r="L377" i="8"/>
  <c r="O377" i="8"/>
  <c r="L378" i="8"/>
  <c r="O378" i="8"/>
  <c r="L379" i="8"/>
  <c r="O379" i="8"/>
  <c r="L380" i="8"/>
  <c r="O380" i="8"/>
  <c r="L381" i="8"/>
  <c r="O381" i="8"/>
  <c r="L382" i="8"/>
  <c r="O382" i="8"/>
  <c r="L383" i="8"/>
  <c r="O383" i="8"/>
  <c r="L384" i="8"/>
  <c r="O384" i="8"/>
  <c r="L385" i="8"/>
  <c r="O385" i="8"/>
  <c r="L386" i="8"/>
  <c r="O386" i="8"/>
  <c r="L387" i="8"/>
  <c r="O387" i="8"/>
  <c r="L388" i="8"/>
  <c r="O388" i="8"/>
  <c r="L389" i="8"/>
  <c r="O389" i="8"/>
  <c r="L390" i="8"/>
  <c r="O390" i="8"/>
  <c r="L391" i="8"/>
  <c r="O391" i="8"/>
  <c r="L392" i="8"/>
  <c r="O392" i="8"/>
  <c r="L393" i="8"/>
  <c r="O393" i="8"/>
  <c r="L394" i="8"/>
  <c r="O394" i="8"/>
  <c r="L395" i="8"/>
  <c r="O395" i="8"/>
  <c r="L396" i="8"/>
  <c r="O396" i="8"/>
  <c r="L397" i="8"/>
  <c r="O397" i="8"/>
  <c r="L398" i="8"/>
  <c r="O398" i="8"/>
  <c r="L399" i="8"/>
  <c r="O399" i="8"/>
  <c r="L400" i="8"/>
  <c r="O400" i="8"/>
  <c r="L401" i="8"/>
  <c r="O401" i="8"/>
  <c r="L402" i="8"/>
  <c r="O402" i="8"/>
  <c r="L403" i="8"/>
  <c r="O403" i="8"/>
  <c r="L404" i="8"/>
  <c r="O404" i="8"/>
  <c r="L405" i="8"/>
  <c r="O405" i="8"/>
  <c r="L406" i="8"/>
  <c r="O406" i="8"/>
  <c r="L407" i="8"/>
  <c r="O407" i="8"/>
  <c r="L408" i="8"/>
  <c r="O408" i="8"/>
  <c r="L409" i="8"/>
  <c r="O409" i="8"/>
  <c r="L410" i="8"/>
  <c r="O410" i="8"/>
  <c r="L411" i="8"/>
  <c r="O411" i="8"/>
  <c r="L412" i="8"/>
  <c r="O412" i="8"/>
  <c r="L413" i="8"/>
  <c r="O413" i="8"/>
  <c r="L414" i="8"/>
  <c r="O414" i="8"/>
  <c r="L415" i="8"/>
  <c r="O415" i="8"/>
  <c r="L416" i="8"/>
  <c r="O416" i="8"/>
  <c r="L417" i="8"/>
  <c r="O417" i="8"/>
  <c r="L418" i="8"/>
  <c r="O418" i="8"/>
  <c r="L419" i="8"/>
  <c r="O419" i="8"/>
  <c r="L420" i="8"/>
  <c r="O420" i="8"/>
  <c r="L421" i="8"/>
  <c r="O421" i="8"/>
  <c r="L422" i="8"/>
  <c r="O422" i="8"/>
  <c r="L423" i="8"/>
  <c r="O423" i="8"/>
  <c r="L424" i="8"/>
  <c r="O424" i="8"/>
  <c r="L425" i="8"/>
  <c r="O425" i="8"/>
  <c r="L426" i="8"/>
  <c r="O426" i="8"/>
  <c r="L427" i="8"/>
  <c r="O427" i="8"/>
  <c r="L428" i="8"/>
  <c r="O428" i="8"/>
  <c r="L429" i="8"/>
  <c r="O429" i="8"/>
  <c r="L430" i="8"/>
  <c r="O430" i="8"/>
  <c r="L431" i="8"/>
  <c r="O431" i="8"/>
  <c r="L432" i="8"/>
  <c r="O432" i="8"/>
  <c r="L433" i="8"/>
  <c r="O433" i="8"/>
  <c r="L434" i="8"/>
  <c r="O434" i="8"/>
  <c r="L435" i="8"/>
  <c r="O435" i="8"/>
  <c r="L436" i="8"/>
  <c r="O436" i="8"/>
  <c r="L437" i="8"/>
  <c r="O437" i="8"/>
  <c r="L438" i="8"/>
  <c r="O438" i="8"/>
  <c r="L439" i="8"/>
  <c r="O439" i="8"/>
  <c r="L440" i="8"/>
  <c r="O440" i="8"/>
  <c r="L441" i="8"/>
  <c r="O441" i="8"/>
  <c r="L442" i="8"/>
  <c r="O442" i="8"/>
  <c r="L443" i="8"/>
  <c r="O443" i="8"/>
  <c r="L444" i="8"/>
  <c r="O444" i="8"/>
  <c r="L445" i="8"/>
  <c r="O445" i="8"/>
  <c r="L446" i="8"/>
  <c r="O446" i="8"/>
  <c r="L447" i="8"/>
  <c r="O447" i="8"/>
  <c r="L448" i="8"/>
  <c r="O448" i="8"/>
  <c r="L449" i="8"/>
  <c r="O449" i="8"/>
  <c r="L450" i="8"/>
  <c r="O450" i="8"/>
  <c r="L451" i="8"/>
  <c r="O451" i="8"/>
  <c r="L452" i="8"/>
  <c r="O452" i="8"/>
  <c r="L453" i="8"/>
  <c r="O453" i="8"/>
  <c r="L454" i="8"/>
  <c r="O454" i="8"/>
  <c r="L455" i="8"/>
  <c r="O455" i="8"/>
  <c r="L456" i="8"/>
  <c r="O456" i="8"/>
  <c r="L457" i="8"/>
  <c r="O457" i="8"/>
  <c r="L458" i="8"/>
  <c r="O458" i="8"/>
  <c r="L459" i="8"/>
  <c r="O459" i="8"/>
  <c r="L460" i="8"/>
  <c r="O460" i="8"/>
  <c r="L461" i="8"/>
  <c r="O461" i="8"/>
  <c r="L462" i="8"/>
  <c r="O462" i="8"/>
  <c r="L463" i="8"/>
  <c r="O463" i="8"/>
  <c r="L464" i="8"/>
  <c r="O464" i="8"/>
  <c r="L465" i="8"/>
  <c r="O465" i="8"/>
  <c r="L466" i="8"/>
  <c r="O466" i="8"/>
  <c r="L467" i="8"/>
  <c r="O467" i="8"/>
  <c r="L468" i="8"/>
  <c r="O468" i="8"/>
  <c r="L469" i="8"/>
  <c r="O469" i="8"/>
  <c r="L470" i="8"/>
  <c r="O470" i="8"/>
  <c r="L471" i="8"/>
  <c r="O471" i="8"/>
  <c r="L472" i="8"/>
  <c r="O472" i="8"/>
  <c r="L473" i="8"/>
  <c r="O473" i="8"/>
  <c r="L474" i="8"/>
  <c r="O474" i="8"/>
  <c r="L475" i="8"/>
  <c r="O475" i="8"/>
  <c r="L476" i="8"/>
  <c r="O476" i="8"/>
  <c r="L477" i="8"/>
  <c r="O477" i="8"/>
  <c r="L478" i="8"/>
  <c r="O478" i="8"/>
  <c r="L479" i="8"/>
  <c r="O479" i="8"/>
  <c r="L480" i="8"/>
  <c r="O480" i="8"/>
  <c r="L481" i="8"/>
  <c r="O481" i="8"/>
  <c r="L482" i="8"/>
  <c r="O482" i="8"/>
  <c r="L483" i="8"/>
  <c r="O483" i="8"/>
  <c r="L484" i="8"/>
  <c r="O484" i="8"/>
  <c r="L485" i="8"/>
  <c r="O485" i="8"/>
  <c r="L486" i="8"/>
  <c r="O486" i="8"/>
  <c r="L487" i="8"/>
  <c r="O487" i="8"/>
  <c r="L488" i="8"/>
  <c r="O488" i="8"/>
  <c r="L489" i="8"/>
  <c r="O489" i="8"/>
  <c r="L490" i="8"/>
  <c r="O490" i="8"/>
  <c r="L491" i="8"/>
  <c r="O491" i="8"/>
  <c r="L492" i="8"/>
  <c r="O492" i="8"/>
  <c r="L493" i="8"/>
  <c r="O493" i="8"/>
  <c r="L494" i="8"/>
  <c r="O494" i="8"/>
  <c r="L495" i="8"/>
  <c r="O495" i="8"/>
  <c r="L496" i="8"/>
  <c r="O496" i="8"/>
  <c r="L497" i="8"/>
  <c r="O497" i="8"/>
  <c r="L498" i="8"/>
  <c r="O498" i="8"/>
  <c r="L499" i="8"/>
  <c r="O499" i="8"/>
  <c r="L500" i="8"/>
  <c r="O500" i="8"/>
  <c r="L501" i="8"/>
  <c r="O501" i="8"/>
  <c r="L502" i="8"/>
  <c r="O502" i="8"/>
  <c r="L503" i="8"/>
  <c r="O503" i="8"/>
  <c r="L504" i="8"/>
  <c r="O504" i="8"/>
  <c r="L505" i="8"/>
  <c r="O505" i="8"/>
  <c r="L506" i="8"/>
  <c r="O506" i="8"/>
  <c r="L507" i="8"/>
  <c r="O507" i="8"/>
  <c r="L508" i="8"/>
  <c r="O508" i="8"/>
  <c r="L509" i="8"/>
  <c r="O509" i="8"/>
  <c r="L510" i="8"/>
  <c r="O510" i="8"/>
  <c r="L511" i="8"/>
  <c r="O511" i="8"/>
  <c r="L512" i="8"/>
  <c r="O512" i="8"/>
  <c r="L513" i="8"/>
  <c r="O513" i="8"/>
  <c r="L514" i="8"/>
  <c r="O514" i="8"/>
  <c r="L515" i="8"/>
  <c r="O515" i="8"/>
  <c r="L516" i="8"/>
  <c r="O516" i="8"/>
  <c r="L517" i="8"/>
  <c r="O517" i="8"/>
  <c r="L518" i="8"/>
  <c r="O518" i="8"/>
  <c r="L519" i="8"/>
  <c r="O519" i="8"/>
  <c r="L520" i="8"/>
  <c r="O520" i="8"/>
  <c r="L521" i="8"/>
  <c r="O521" i="8"/>
  <c r="L522" i="8"/>
  <c r="O522" i="8"/>
  <c r="L523" i="8"/>
  <c r="O523" i="8"/>
  <c r="L524" i="8"/>
  <c r="O524" i="8"/>
  <c r="L525" i="8"/>
  <c r="O525" i="8"/>
  <c r="L526" i="8"/>
  <c r="O526" i="8"/>
  <c r="L527" i="8"/>
  <c r="O527" i="8"/>
  <c r="L528" i="8"/>
  <c r="O528" i="8"/>
  <c r="L529" i="8"/>
  <c r="O529" i="8"/>
  <c r="L530" i="8"/>
  <c r="O530" i="8"/>
  <c r="L531" i="8"/>
  <c r="O531" i="8"/>
  <c r="L532" i="8"/>
  <c r="O532" i="8"/>
  <c r="L533" i="8"/>
  <c r="O533" i="8"/>
  <c r="L534" i="8"/>
  <c r="O534" i="8"/>
  <c r="L535" i="8"/>
  <c r="O535" i="8"/>
  <c r="L536" i="8"/>
  <c r="O536" i="8"/>
  <c r="L537" i="8"/>
  <c r="O537" i="8"/>
  <c r="L538" i="8"/>
  <c r="O538" i="8"/>
  <c r="L539" i="8"/>
  <c r="O539" i="8"/>
  <c r="L540" i="8"/>
  <c r="O540" i="8"/>
  <c r="L541" i="8"/>
  <c r="O541" i="8"/>
  <c r="L542" i="8"/>
  <c r="O542" i="8"/>
  <c r="L543" i="8"/>
  <c r="O543" i="8"/>
  <c r="L544" i="8"/>
  <c r="O544" i="8"/>
  <c r="L545" i="8"/>
  <c r="O545" i="8"/>
  <c r="L546" i="8"/>
  <c r="O546" i="8"/>
  <c r="L547" i="8"/>
  <c r="O547" i="8"/>
  <c r="L548" i="8"/>
  <c r="O548" i="8"/>
  <c r="L549" i="8"/>
  <c r="O549" i="8"/>
  <c r="L550" i="8"/>
  <c r="O550" i="8"/>
  <c r="L551" i="8"/>
  <c r="O551" i="8"/>
  <c r="L552" i="8"/>
  <c r="O552" i="8"/>
  <c r="L553" i="8"/>
  <c r="O553" i="8"/>
  <c r="L554" i="8"/>
  <c r="O554" i="8"/>
  <c r="O2" i="8"/>
  <c r="H2" i="8"/>
  <c r="B10" i="10"/>
  <c r="B5" i="10"/>
  <c r="B6" i="10" s="1"/>
  <c r="Q80" i="5"/>
  <c r="P80" i="5"/>
  <c r="O80" i="5"/>
  <c r="K73" i="5"/>
  <c r="J73" i="5"/>
  <c r="I73" i="5"/>
  <c r="E68" i="5"/>
  <c r="D68" i="5"/>
  <c r="C68" i="5"/>
  <c r="Q38" i="5"/>
  <c r="K38" i="5"/>
  <c r="E38" i="5"/>
  <c r="N37" i="5"/>
  <c r="N38" i="5" s="1"/>
  <c r="H37" i="5"/>
  <c r="H38" i="5" s="1"/>
  <c r="B37" i="5"/>
  <c r="B38" i="5" s="1"/>
  <c r="W29" i="5"/>
  <c r="V29" i="5"/>
  <c r="U29" i="5"/>
  <c r="Q29" i="5"/>
  <c r="P29" i="5"/>
  <c r="O29" i="5"/>
  <c r="K27" i="5"/>
  <c r="J27" i="5"/>
  <c r="I27" i="5"/>
  <c r="D27" i="5"/>
  <c r="C27" i="5"/>
  <c r="Q9" i="5"/>
  <c r="K9" i="5"/>
  <c r="E9" i="5"/>
  <c r="E27" i="5" s="1"/>
  <c r="T8" i="5"/>
  <c r="T9" i="5" s="1"/>
  <c r="N8" i="5"/>
  <c r="N9" i="5" s="1"/>
  <c r="H8" i="5"/>
  <c r="H9" i="5" s="1"/>
  <c r="B8" i="5"/>
  <c r="B9" i="5" s="1"/>
  <c r="F6" i="5"/>
  <c r="D5" i="5"/>
  <c r="F4" i="5"/>
  <c r="Q80" i="4"/>
  <c r="P80" i="4"/>
  <c r="O80" i="4"/>
  <c r="K73" i="4"/>
  <c r="J73" i="4"/>
  <c r="I73" i="4"/>
  <c r="E68" i="4"/>
  <c r="D68" i="4"/>
  <c r="C68" i="4"/>
  <c r="N37" i="4"/>
  <c r="N38" i="4" s="1"/>
  <c r="H37" i="4"/>
  <c r="H38" i="4" s="1"/>
  <c r="B37" i="4"/>
  <c r="B38" i="4" s="1"/>
  <c r="W29" i="4"/>
  <c r="V29" i="4"/>
  <c r="U29" i="4"/>
  <c r="Q29" i="4"/>
  <c r="P29" i="4"/>
  <c r="O29" i="4"/>
  <c r="K27" i="4"/>
  <c r="J27" i="4"/>
  <c r="I27" i="4"/>
  <c r="E27" i="4"/>
  <c r="D27" i="4"/>
  <c r="C27" i="4"/>
  <c r="T8" i="4"/>
  <c r="T9" i="4" s="1"/>
  <c r="N8" i="4"/>
  <c r="N9" i="4" s="1"/>
  <c r="H8" i="4"/>
  <c r="H9" i="4" s="1"/>
  <c r="B8" i="4"/>
  <c r="B9" i="4" s="1"/>
  <c r="F6" i="4"/>
  <c r="D5" i="4"/>
  <c r="F4" i="4"/>
  <c r="Q78" i="3"/>
  <c r="P78" i="3"/>
  <c r="O78" i="3"/>
  <c r="K71" i="3"/>
  <c r="J71" i="3"/>
  <c r="I71" i="3"/>
  <c r="E66" i="3"/>
  <c r="D66" i="3"/>
  <c r="C66" i="3"/>
  <c r="N36" i="3"/>
  <c r="N37" i="3" s="1"/>
  <c r="H36" i="3"/>
  <c r="H37" i="3" s="1"/>
  <c r="B36" i="3"/>
  <c r="B37" i="3" s="1"/>
  <c r="W28" i="3"/>
  <c r="V28" i="3"/>
  <c r="U28" i="3"/>
  <c r="Q28" i="3"/>
  <c r="P28" i="3"/>
  <c r="O28" i="3"/>
  <c r="K26" i="3"/>
  <c r="J26" i="3"/>
  <c r="I26" i="3"/>
  <c r="E26" i="3"/>
  <c r="D26" i="3"/>
  <c r="C26" i="3"/>
  <c r="T8" i="3"/>
  <c r="T9" i="3" s="1"/>
  <c r="N8" i="3"/>
  <c r="N9" i="3" s="1"/>
  <c r="H8" i="3"/>
  <c r="H9" i="3" s="1"/>
  <c r="B8" i="3"/>
  <c r="B9" i="3" s="1"/>
  <c r="F6" i="3"/>
  <c r="D5" i="3"/>
  <c r="F4" i="3"/>
  <c r="Q76" i="2"/>
  <c r="P76" i="2"/>
  <c r="O76" i="2"/>
  <c r="K69" i="2"/>
  <c r="J69" i="2"/>
  <c r="I69" i="2"/>
  <c r="E64" i="2"/>
  <c r="D64" i="2"/>
  <c r="C64" i="2"/>
  <c r="N35" i="2"/>
  <c r="N36" i="2" s="1"/>
  <c r="H35" i="2"/>
  <c r="H36" i="2" s="1"/>
  <c r="B35" i="2"/>
  <c r="B36" i="2" s="1"/>
  <c r="W27" i="2"/>
  <c r="V27" i="2"/>
  <c r="U27" i="2"/>
  <c r="Q27" i="2"/>
  <c r="P27" i="2"/>
  <c r="O27" i="2"/>
  <c r="K25" i="2"/>
  <c r="J25" i="2"/>
  <c r="I25" i="2"/>
  <c r="E25" i="2"/>
  <c r="D25" i="2"/>
  <c r="C25" i="2"/>
  <c r="T8" i="2"/>
  <c r="T9" i="2" s="1"/>
  <c r="N8" i="2"/>
  <c r="N9" i="2" s="1"/>
  <c r="H8" i="2"/>
  <c r="H9" i="2" s="1"/>
  <c r="B8" i="2"/>
  <c r="B9" i="2" s="1"/>
  <c r="F6" i="2"/>
  <c r="D5" i="2"/>
  <c r="F4" i="2"/>
  <c r="Q74" i="1"/>
  <c r="P74" i="1"/>
  <c r="O74" i="1"/>
  <c r="K67" i="1"/>
  <c r="J67" i="1"/>
  <c r="I67" i="1"/>
  <c r="E62" i="1"/>
  <c r="D62" i="1"/>
  <c r="C62" i="1"/>
  <c r="N34" i="1"/>
  <c r="N35" i="1" s="1"/>
  <c r="H34" i="1"/>
  <c r="H35" i="1" s="1"/>
  <c r="B34" i="1"/>
  <c r="B35" i="1" s="1"/>
  <c r="W26" i="1"/>
  <c r="V26" i="1"/>
  <c r="U26" i="1"/>
  <c r="Q26" i="1"/>
  <c r="P26" i="1"/>
  <c r="O26" i="1"/>
  <c r="K24" i="1"/>
  <c r="J24" i="1"/>
  <c r="I24" i="1"/>
  <c r="E24" i="1"/>
  <c r="D24" i="1"/>
  <c r="C24" i="1"/>
  <c r="T8" i="1"/>
  <c r="T9" i="1" s="1"/>
  <c r="N8" i="1"/>
  <c r="N9" i="1" s="1"/>
  <c r="H8" i="1"/>
  <c r="H9" i="1" s="1"/>
  <c r="B8" i="1"/>
  <c r="B9" i="1" s="1"/>
  <c r="F6" i="1"/>
  <c r="D5" i="1"/>
  <c r="F4" i="1"/>
  <c r="C110" i="8"/>
  <c r="E109" i="8"/>
  <c r="G107" i="8"/>
  <c r="C102" i="8"/>
  <c r="E101" i="8"/>
  <c r="G99" i="8"/>
  <c r="C94" i="8"/>
  <c r="E93" i="8"/>
  <c r="G91" i="8"/>
  <c r="C86" i="8"/>
  <c r="E85" i="8"/>
  <c r="G83" i="8"/>
  <c r="C78" i="8"/>
  <c r="E77" i="8"/>
  <c r="G75" i="8"/>
  <c r="C70" i="8"/>
  <c r="G114" i="8"/>
  <c r="C109" i="8"/>
  <c r="E108" i="8"/>
  <c r="G106" i="8"/>
  <c r="C101" i="8"/>
  <c r="E100" i="8"/>
  <c r="G98" i="8"/>
  <c r="C93" i="8"/>
  <c r="E92" i="8"/>
  <c r="G90" i="8"/>
  <c r="C85" i="8"/>
  <c r="E84" i="8"/>
  <c r="G82" i="8"/>
  <c r="C77" i="8"/>
  <c r="E76" i="8"/>
  <c r="G74" i="8"/>
  <c r="G113" i="8"/>
  <c r="C108" i="8"/>
  <c r="E107" i="8"/>
  <c r="G105" i="8"/>
  <c r="C100" i="8"/>
  <c r="E99" i="8"/>
  <c r="G97" i="8"/>
  <c r="C92" i="8"/>
  <c r="E91" i="8"/>
  <c r="G89" i="8"/>
  <c r="C84" i="8"/>
  <c r="E83" i="8"/>
  <c r="G81" i="8"/>
  <c r="C76" i="8"/>
  <c r="E75" i="8"/>
  <c r="G73" i="8"/>
  <c r="E114" i="8"/>
  <c r="G112" i="8"/>
  <c r="C107" i="8"/>
  <c r="E106" i="8"/>
  <c r="G104" i="8"/>
  <c r="C99" i="8"/>
  <c r="E98" i="8"/>
  <c r="G96" i="8"/>
  <c r="C91" i="8"/>
  <c r="E90" i="8"/>
  <c r="G88" i="8"/>
  <c r="C83" i="8"/>
  <c r="E82" i="8"/>
  <c r="G80" i="8"/>
  <c r="C75" i="8"/>
  <c r="E74" i="8"/>
  <c r="G72" i="8"/>
  <c r="C112" i="8"/>
  <c r="E111" i="8"/>
  <c r="G109" i="8"/>
  <c r="C104" i="8"/>
  <c r="E103" i="8"/>
  <c r="G101" i="8"/>
  <c r="C96" i="8"/>
  <c r="E95" i="8"/>
  <c r="G93" i="8"/>
  <c r="C88" i="8"/>
  <c r="E87" i="8"/>
  <c r="G85" i="8"/>
  <c r="C80" i="8"/>
  <c r="E79" i="8"/>
  <c r="G77" i="8"/>
  <c r="C72" i="8"/>
  <c r="E71" i="8"/>
  <c r="C113" i="8"/>
  <c r="C103" i="8"/>
  <c r="G94" i="8"/>
  <c r="E89" i="8"/>
  <c r="G84" i="8"/>
  <c r="C74" i="8"/>
  <c r="C68" i="8"/>
  <c r="E67" i="8"/>
  <c r="G65" i="8"/>
  <c r="C60" i="8"/>
  <c r="E59" i="8"/>
  <c r="G57" i="8"/>
  <c r="C52" i="8"/>
  <c r="E51" i="8"/>
  <c r="G49" i="8"/>
  <c r="C44" i="8"/>
  <c r="E43" i="8"/>
  <c r="G41" i="8"/>
  <c r="C106" i="8"/>
  <c r="G103" i="8"/>
  <c r="E96" i="8"/>
  <c r="E86" i="8"/>
  <c r="E73" i="8"/>
  <c r="G70" i="8"/>
  <c r="G67" i="8"/>
  <c r="E66" i="8"/>
  <c r="C65" i="8"/>
  <c r="G60" i="8"/>
  <c r="C58" i="8"/>
  <c r="E110" i="8"/>
  <c r="C114" i="8"/>
  <c r="G111" i="8"/>
  <c r="E104" i="8"/>
  <c r="C97" i="8"/>
  <c r="E94" i="8"/>
  <c r="C87" i="8"/>
  <c r="E81" i="8"/>
  <c r="E68" i="8"/>
  <c r="G63" i="8"/>
  <c r="E61" i="8"/>
  <c r="G56" i="8"/>
  <c r="E54" i="8"/>
  <c r="C53" i="8"/>
  <c r="E47" i="8"/>
  <c r="C46" i="8"/>
  <c r="E40" i="8"/>
  <c r="G38" i="8"/>
  <c r="G95" i="8"/>
  <c r="C81" i="8"/>
  <c r="G78" i="8"/>
  <c r="C71" i="8"/>
  <c r="E69" i="8"/>
  <c r="G64" i="8"/>
  <c r="E62" i="8"/>
  <c r="C61" i="8"/>
  <c r="G108" i="8"/>
  <c r="G92" i="8"/>
  <c r="G76" i="8"/>
  <c r="C66" i="8"/>
  <c r="E60" i="8"/>
  <c r="E57" i="8"/>
  <c r="E55" i="8"/>
  <c r="E52" i="8"/>
  <c r="G50" i="8"/>
  <c r="E44" i="8"/>
  <c r="G42" i="8"/>
  <c r="E37" i="8"/>
  <c r="C36" i="8"/>
  <c r="C33" i="8"/>
  <c r="E32" i="8"/>
  <c r="G30" i="8"/>
  <c r="C25" i="8"/>
  <c r="E24" i="8"/>
  <c r="G87" i="8"/>
  <c r="E78" i="8"/>
  <c r="G71" i="8"/>
  <c r="E65" i="8"/>
  <c r="G59" i="8"/>
  <c r="C57" i="8"/>
  <c r="C55" i="8"/>
  <c r="G53" i="8"/>
  <c r="E50" i="8"/>
  <c r="C47" i="8"/>
  <c r="G45" i="8"/>
  <c r="E42" i="8"/>
  <c r="G39" i="8"/>
  <c r="E38" i="8"/>
  <c r="C37" i="8"/>
  <c r="C32" i="8"/>
  <c r="E31" i="8"/>
  <c r="G29" i="8"/>
  <c r="E113" i="8"/>
  <c r="G110" i="8"/>
  <c r="E105" i="8"/>
  <c r="E80" i="8"/>
  <c r="E64" i="8"/>
  <c r="C59" i="8"/>
  <c r="C50" i="8"/>
  <c r="G48" i="8"/>
  <c r="C42" i="8"/>
  <c r="G40" i="8"/>
  <c r="E39" i="8"/>
  <c r="C105" i="8"/>
  <c r="C98" i="8"/>
  <c r="C89" i="8"/>
  <c r="C82" i="8"/>
  <c r="C73" i="8"/>
  <c r="G69" i="8"/>
  <c r="C64" i="8"/>
  <c r="E63" i="8"/>
  <c r="E56" i="8"/>
  <c r="E53" i="8"/>
  <c r="G51" i="8"/>
  <c r="E48" i="8"/>
  <c r="E45" i="8"/>
  <c r="G43" i="8"/>
  <c r="C39" i="8"/>
  <c r="G68" i="8"/>
  <c r="C63" i="8"/>
  <c r="G58" i="8"/>
  <c r="G54" i="8"/>
  <c r="C48" i="8"/>
  <c r="G34" i="8"/>
  <c r="C31" i="8"/>
  <c r="E26" i="8"/>
  <c r="G22" i="8"/>
  <c r="C17" i="8"/>
  <c r="E16" i="8"/>
  <c r="G14" i="8"/>
  <c r="C9" i="8"/>
  <c r="E8" i="8"/>
  <c r="G6" i="8"/>
  <c r="E102" i="8"/>
  <c r="E88" i="8"/>
  <c r="C79" i="8"/>
  <c r="C54" i="8"/>
  <c r="E49" i="8"/>
  <c r="G44" i="8"/>
  <c r="E34" i="8"/>
  <c r="G32" i="8"/>
  <c r="C29" i="8"/>
  <c r="G24" i="8"/>
  <c r="E23" i="8"/>
  <c r="E22" i="8"/>
  <c r="G20" i="8"/>
  <c r="C15" i="8"/>
  <c r="E14" i="8"/>
  <c r="G12" i="8"/>
  <c r="C7" i="8"/>
  <c r="E6" i="8"/>
  <c r="G4" i="8"/>
  <c r="C111" i="8"/>
  <c r="G86" i="8"/>
  <c r="C62" i="8"/>
  <c r="C51" i="8"/>
  <c r="G33" i="8"/>
  <c r="C30" i="8"/>
  <c r="E25" i="8"/>
  <c r="C20" i="8"/>
  <c r="E19" i="8"/>
  <c r="G17" i="8"/>
  <c r="C12" i="8"/>
  <c r="E11" i="8"/>
  <c r="G9" i="8"/>
  <c r="C4" i="8"/>
  <c r="C95" i="8"/>
  <c r="E72" i="8"/>
  <c r="G52" i="8"/>
  <c r="E46" i="8"/>
  <c r="E41" i="8"/>
  <c r="G37" i="8"/>
  <c r="E35" i="8"/>
  <c r="E28" i="8"/>
  <c r="G26" i="8"/>
  <c r="C19" i="8"/>
  <c r="E18" i="8"/>
  <c r="G16" i="8"/>
  <c r="C11" i="8"/>
  <c r="E10" i="8"/>
  <c r="C41" i="8"/>
  <c r="E33" i="8"/>
  <c r="C28" i="8"/>
  <c r="C10" i="8"/>
  <c r="E9" i="8"/>
  <c r="C6" i="8"/>
  <c r="C21" i="8"/>
  <c r="G102" i="8"/>
  <c r="G61" i="8"/>
  <c r="E58" i="8"/>
  <c r="C43" i="8"/>
  <c r="E29" i="8"/>
  <c r="G23" i="8"/>
  <c r="G21" i="8"/>
  <c r="G8" i="8"/>
  <c r="G5" i="8"/>
  <c r="C40" i="8"/>
  <c r="C24" i="8"/>
  <c r="G55" i="8"/>
  <c r="C34" i="8"/>
  <c r="G25" i="8"/>
  <c r="C23" i="8"/>
  <c r="C22" i="8"/>
  <c r="E21" i="8"/>
  <c r="G19" i="8"/>
  <c r="E5" i="8"/>
  <c r="C90" i="8"/>
  <c r="C67" i="8"/>
  <c r="G47" i="8"/>
  <c r="C35" i="8"/>
  <c r="G31" i="8"/>
  <c r="C18" i="8"/>
  <c r="E17" i="8"/>
  <c r="G15" i="8"/>
  <c r="G7" i="8"/>
  <c r="G2" i="8"/>
  <c r="E112" i="8"/>
  <c r="G35" i="8"/>
  <c r="G18" i="8"/>
  <c r="C8" i="8"/>
  <c r="G79" i="8"/>
  <c r="E70" i="8"/>
  <c r="G36" i="8"/>
  <c r="G27" i="8"/>
  <c r="C26" i="8"/>
  <c r="C16" i="8"/>
  <c r="E15" i="8"/>
  <c r="G13" i="8"/>
  <c r="E7" i="8"/>
  <c r="E3" i="8"/>
  <c r="C38" i="8"/>
  <c r="E97" i="8"/>
  <c r="G66" i="8"/>
  <c r="C49" i="8"/>
  <c r="E36" i="8"/>
  <c r="E27" i="8"/>
  <c r="C14" i="8"/>
  <c r="E13" i="8"/>
  <c r="G11" i="8"/>
  <c r="C3" i="8"/>
  <c r="E2" i="8"/>
  <c r="G100" i="8"/>
  <c r="C45" i="8"/>
  <c r="E20" i="8"/>
  <c r="C5" i="8"/>
  <c r="C69" i="8"/>
  <c r="G62" i="8"/>
  <c r="C56" i="8"/>
  <c r="G46" i="8"/>
  <c r="G28" i="8"/>
  <c r="C27" i="8"/>
  <c r="C13" i="8"/>
  <c r="E12" i="8"/>
  <c r="G10" i="8"/>
  <c r="E4" i="8"/>
  <c r="C2" i="8"/>
  <c r="E30" i="8"/>
  <c r="G3" i="8"/>
  <c r="L2" i="8" l="1"/>
  <c r="L13" i="8"/>
  <c r="L27" i="8"/>
  <c r="L56" i="8"/>
  <c r="L69" i="8"/>
  <c r="L5" i="8"/>
  <c r="L45" i="8"/>
  <c r="L3" i="8"/>
  <c r="L14" i="8"/>
  <c r="L49" i="8"/>
  <c r="L38" i="8"/>
  <c r="L16" i="8"/>
  <c r="L26" i="8"/>
  <c r="L8" i="8"/>
  <c r="L18" i="8"/>
  <c r="L35" i="8"/>
  <c r="L67" i="8"/>
  <c r="L90" i="8"/>
  <c r="L22" i="8"/>
  <c r="L23" i="8"/>
  <c r="L34" i="8"/>
  <c r="L24" i="8"/>
  <c r="L40" i="8"/>
  <c r="L43" i="8"/>
  <c r="L21" i="8"/>
  <c r="L6" i="8"/>
  <c r="L10" i="8"/>
  <c r="L28" i="8"/>
  <c r="L41" i="8"/>
  <c r="L11" i="8"/>
  <c r="L19" i="8"/>
  <c r="L95" i="8"/>
  <c r="L4" i="8"/>
  <c r="L12" i="8"/>
  <c r="L20" i="8"/>
  <c r="L30" i="8"/>
  <c r="L51" i="8"/>
  <c r="L62" i="8"/>
  <c r="L111" i="8"/>
  <c r="L7" i="8"/>
  <c r="L15" i="8"/>
  <c r="L29" i="8"/>
  <c r="L54" i="8"/>
  <c r="L79" i="8"/>
  <c r="L9" i="8"/>
  <c r="L17" i="8"/>
  <c r="L31" i="8"/>
  <c r="L48" i="8"/>
  <c r="L63" i="8"/>
  <c r="L39" i="8"/>
  <c r="L64" i="8"/>
  <c r="L73" i="8"/>
  <c r="L82" i="8"/>
  <c r="L89" i="8"/>
  <c r="L98" i="8"/>
  <c r="L105" i="8"/>
  <c r="L42" i="8"/>
  <c r="L50" i="8"/>
  <c r="L59" i="8"/>
  <c r="L32" i="8"/>
  <c r="L37" i="8"/>
  <c r="L47" i="8"/>
  <c r="L55" i="8"/>
  <c r="L57" i="8"/>
  <c r="L25" i="8"/>
  <c r="L33" i="8"/>
  <c r="L36" i="8"/>
  <c r="L66" i="8"/>
  <c r="L61" i="8"/>
  <c r="L71" i="8"/>
  <c r="L81" i="8"/>
  <c r="L46" i="8"/>
  <c r="L53" i="8"/>
  <c r="L87" i="8"/>
  <c r="L97" i="8"/>
  <c r="L114" i="8"/>
  <c r="L58" i="8"/>
  <c r="L65" i="8"/>
  <c r="L106" i="8"/>
  <c r="L44" i="8"/>
  <c r="L52" i="8"/>
  <c r="L60" i="8"/>
  <c r="L68" i="8"/>
  <c r="L74" i="8"/>
  <c r="L103" i="8"/>
  <c r="L113" i="8"/>
  <c r="L72" i="8"/>
  <c r="L80" i="8"/>
  <c r="L88" i="8"/>
  <c r="L96" i="8"/>
  <c r="L104" i="8"/>
  <c r="L112" i="8"/>
  <c r="L75" i="8"/>
  <c r="L83" i="8"/>
  <c r="L91" i="8"/>
  <c r="L99" i="8"/>
  <c r="L107" i="8"/>
  <c r="L76" i="8"/>
  <c r="L84" i="8"/>
  <c r="L92" i="8"/>
  <c r="L100" i="8"/>
  <c r="L108" i="8"/>
  <c r="L77" i="8"/>
  <c r="L85" i="8"/>
  <c r="L93" i="8"/>
  <c r="L101" i="8"/>
  <c r="L109" i="8"/>
  <c r="L70" i="8"/>
  <c r="L78" i="8"/>
  <c r="L86" i="8"/>
  <c r="L94" i="8"/>
  <c r="L102" i="8"/>
  <c r="L110" i="8"/>
  <c r="C4" i="10"/>
  <c r="M2" i="8" l="1"/>
  <c r="C5" i="10"/>
  <c r="C6" i="10" s="1"/>
  <c r="D4" i="10"/>
  <c r="D5" i="10" s="1"/>
  <c r="D6" i="10" l="1"/>
  <c r="E4" i="10"/>
  <c r="E5" i="10" s="1"/>
  <c r="E6" i="10" l="1"/>
  <c r="F6" i="10" s="1"/>
  <c r="H5" i="10"/>
</calcChain>
</file>

<file path=xl/sharedStrings.xml><?xml version="1.0" encoding="utf-8"?>
<sst xmlns="http://schemas.openxmlformats.org/spreadsheetml/2006/main" count="1256" uniqueCount="60">
  <si>
    <t>DÓLAR</t>
  </si>
  <si>
    <t>AL29</t>
  </si>
  <si>
    <t>Renta</t>
  </si>
  <si>
    <t>Amort</t>
  </si>
  <si>
    <t>R+A</t>
  </si>
  <si>
    <t>GD29</t>
  </si>
  <si>
    <t>AL30</t>
  </si>
  <si>
    <t>GD30</t>
  </si>
  <si>
    <t>TASA</t>
  </si>
  <si>
    <t>Fecha inicio</t>
  </si>
  <si>
    <t>Fecha ultimo pago</t>
  </si>
  <si>
    <t>Interes</t>
  </si>
  <si>
    <t>VR</t>
  </si>
  <si>
    <t>Int Corrido</t>
  </si>
  <si>
    <t>Valor Tecnico</t>
  </si>
  <si>
    <t>USD</t>
  </si>
  <si>
    <t>AL35</t>
  </si>
  <si>
    <t>AE38</t>
  </si>
  <si>
    <t>AL41</t>
  </si>
  <si>
    <t>Etiquetas de fila</t>
  </si>
  <si>
    <t>24/09/2021</t>
  </si>
  <si>
    <t>23/09/2021</t>
  </si>
  <si>
    <t>22/09/2021</t>
  </si>
  <si>
    <t>21/09/2021</t>
  </si>
  <si>
    <t>20/09/2021</t>
  </si>
  <si>
    <t>17/09/2021</t>
  </si>
  <si>
    <t>16/09/2021</t>
  </si>
  <si>
    <t>Total general</t>
  </si>
  <si>
    <t>Valores</t>
  </si>
  <si>
    <t>Suma de P29</t>
  </si>
  <si>
    <t>Suma de PG29</t>
  </si>
  <si>
    <t>Suma de P38</t>
  </si>
  <si>
    <t>Suma de P30</t>
  </si>
  <si>
    <t>Suma de P41</t>
  </si>
  <si>
    <t>Suma de PG30</t>
  </si>
  <si>
    <t>Suma de P35</t>
  </si>
  <si>
    <t>(en blanco)</t>
  </si>
  <si>
    <t>Fecha</t>
  </si>
  <si>
    <t>AL30D</t>
  </si>
  <si>
    <t>P30</t>
  </si>
  <si>
    <t>GD30D</t>
  </si>
  <si>
    <t>PG30</t>
  </si>
  <si>
    <t>AE38D</t>
  </si>
  <si>
    <t>P38</t>
  </si>
  <si>
    <t xml:space="preserve">vendo </t>
  </si>
  <si>
    <t>compro</t>
  </si>
  <si>
    <t>vendo</t>
  </si>
  <si>
    <t>gane</t>
  </si>
  <si>
    <t>precio</t>
  </si>
  <si>
    <t>cantidad</t>
  </si>
  <si>
    <t>$</t>
  </si>
  <si>
    <t>comisiones</t>
  </si>
  <si>
    <t>ratio</t>
  </si>
  <si>
    <t>VENDO AL41 COMPRO AL29</t>
  </si>
  <si>
    <t>RN AL30</t>
  </si>
  <si>
    <t>RN GD30</t>
  </si>
  <si>
    <t>RN AE38</t>
  </si>
  <si>
    <t>RANK</t>
  </si>
  <si>
    <t>VH20</t>
  </si>
  <si>
    <t>VH5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</si>
</sst>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83">
    <xf numFmtId="0" fontId="0" fillId="0" borderId="0" xfId="0"/>
    <xf numFmtId="0" fontId="2" fillId="2" borderId="1" xfId="0" applyFont="1" applyFill="1" applyBorder="1" applyAlignment="1">
      <alignment vertical="center" wrapText="1"/>
    </xf>
    <xf numFmtId="2" fontId="2" fillId="2" borderId="1" xfId="0" applyNumberFormat="1" applyFont="1" applyFill="1" applyBorder="1" applyAlignment="1">
      <alignment horizontal="right" vertical="center" wrapText="1"/>
    </xf>
    <xf numFmtId="14" fontId="2" fillId="2" borderId="2" xfId="0" applyNumberFormat="1" applyFont="1" applyFill="1" applyBorder="1" applyAlignment="1">
      <alignment vertical="center" wrapText="1"/>
    </xf>
    <xf numFmtId="2" fontId="2" fillId="2" borderId="3" xfId="0" applyNumberFormat="1" applyFont="1" applyFill="1" applyBorder="1" applyAlignment="1">
      <alignment horizontal="right" vertical="center" wrapText="1"/>
    </xf>
    <xf numFmtId="0" fontId="0" fillId="0" borderId="4" xfId="0" applyBorder="1"/>
    <xf numFmtId="2" fontId="0" fillId="0" borderId="5" xfId="0" applyNumberFormat="1" applyBorder="1"/>
    <xf numFmtId="2" fontId="1" fillId="0" borderId="5" xfId="0" applyNumberFormat="1" applyFont="1" applyBorder="1"/>
    <xf numFmtId="2" fontId="1" fillId="0" borderId="6" xfId="0" applyNumberFormat="1" applyFont="1" applyBorder="1"/>
    <xf numFmtId="2" fontId="0" fillId="0" borderId="4" xfId="0" applyNumberFormat="1" applyBorder="1"/>
    <xf numFmtId="0" fontId="0" fillId="0" borderId="5" xfId="0" applyBorder="1"/>
    <xf numFmtId="14" fontId="2" fillId="2" borderId="7" xfId="0" applyNumberFormat="1" applyFont="1" applyFill="1" applyBorder="1" applyAlignment="1">
      <alignment vertical="center" wrapText="1"/>
    </xf>
    <xf numFmtId="0" fontId="2" fillId="2" borderId="8" xfId="0" applyFont="1" applyFill="1" applyBorder="1" applyAlignment="1">
      <alignment vertical="center" wrapText="1"/>
    </xf>
    <xf numFmtId="2" fontId="2" fillId="2" borderId="8" xfId="0" applyNumberFormat="1" applyFont="1" applyFill="1" applyBorder="1" applyAlignment="1">
      <alignment horizontal="right" vertical="center" wrapText="1"/>
    </xf>
    <xf numFmtId="2" fontId="2" fillId="2" borderId="9" xfId="0" applyNumberFormat="1" applyFont="1" applyFill="1" applyBorder="1" applyAlignment="1">
      <alignment horizontal="right" vertical="center" wrapText="1"/>
    </xf>
    <xf numFmtId="0" fontId="3" fillId="0" borderId="10" xfId="0" applyFont="1" applyBorder="1"/>
    <xf numFmtId="2" fontId="0" fillId="0" borderId="11" xfId="0" applyNumberFormat="1" applyBorder="1"/>
    <xf numFmtId="0" fontId="1" fillId="0" borderId="11" xfId="0" applyFont="1" applyBorder="1"/>
    <xf numFmtId="0" fontId="1" fillId="0" borderId="12" xfId="0" applyFont="1" applyBorder="1"/>
    <xf numFmtId="0" fontId="0" fillId="0" borderId="11" xfId="0" applyBorder="1"/>
    <xf numFmtId="14" fontId="3" fillId="0" borderId="10" xfId="0" applyNumberFormat="1" applyFont="1" applyBorder="1"/>
    <xf numFmtId="2" fontId="0" fillId="0" borderId="0" xfId="0" applyNumberFormat="1"/>
    <xf numFmtId="14" fontId="2" fillId="2" borderId="0" xfId="0" applyNumberFormat="1" applyFont="1" applyFill="1" applyAlignment="1">
      <alignment vertical="center" wrapText="1"/>
    </xf>
    <xf numFmtId="2" fontId="2" fillId="2" borderId="0" xfId="0" applyNumberFormat="1" applyFont="1" applyFill="1" applyAlignment="1">
      <alignment horizontal="right" vertical="center" wrapText="1"/>
    </xf>
    <xf numFmtId="14" fontId="0" fillId="0" borderId="0" xfId="0" applyNumberFormat="1"/>
    <xf numFmtId="10" fontId="0" fillId="0" borderId="0" xfId="0" applyNumberFormat="1"/>
    <xf numFmtId="2" fontId="1" fillId="0" borderId="0" xfId="0" applyNumberFormat="1" applyFont="1"/>
    <xf numFmtId="0" fontId="1" fillId="0" borderId="0" xfId="0" applyFont="1"/>
    <xf numFmtId="0" fontId="1" fillId="0" borderId="14" xfId="0" applyFont="1" applyBorder="1"/>
    <xf numFmtId="0" fontId="3" fillId="0" borderId="13" xfId="0" applyFont="1" applyBorder="1"/>
    <xf numFmtId="14" fontId="3" fillId="0" borderId="0" xfId="0" applyNumberFormat="1" applyFont="1"/>
    <xf numFmtId="14" fontId="3" fillId="0" borderId="13" xfId="0" applyNumberFormat="1" applyFont="1" applyBorder="1"/>
    <xf numFmtId="164" fontId="0" fillId="0" borderId="0" xfId="0" applyNumberFormat="1"/>
    <xf numFmtId="0" fontId="4" fillId="0" borderId="10" xfId="0" applyFont="1" applyBorder="1"/>
    <xf numFmtId="0" fontId="4" fillId="0" borderId="12" xfId="0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165" fontId="2" fillId="2" borderId="8" xfId="0" applyNumberFormat="1" applyFont="1" applyFill="1" applyBorder="1" applyAlignment="1">
      <alignment horizontal="right" vertical="center" wrapText="1"/>
    </xf>
    <xf numFmtId="165" fontId="2" fillId="2" borderId="1" xfId="0" applyNumberFormat="1" applyFont="1" applyFill="1" applyBorder="1" applyAlignment="1">
      <alignment horizontal="right" vertical="center" wrapText="1"/>
    </xf>
    <xf numFmtId="165" fontId="1" fillId="0" borderId="5" xfId="0" applyNumberFormat="1" applyFont="1" applyBorder="1"/>
    <xf numFmtId="165" fontId="2" fillId="2" borderId="9" xfId="0" applyNumberFormat="1" applyFont="1" applyFill="1" applyBorder="1" applyAlignment="1">
      <alignment horizontal="right" vertical="center" wrapText="1"/>
    </xf>
    <xf numFmtId="165" fontId="2" fillId="2" borderId="3" xfId="0" applyNumberFormat="1" applyFont="1" applyFill="1" applyBorder="1" applyAlignment="1">
      <alignment horizontal="right" vertical="center" wrapText="1"/>
    </xf>
    <xf numFmtId="165" fontId="1" fillId="0" borderId="6" xfId="0" applyNumberFormat="1" applyFont="1" applyBorder="1"/>
    <xf numFmtId="0" fontId="0" fillId="0" borderId="0" xfId="0" applyAlignment="1">
      <alignment horizontal="left"/>
    </xf>
    <xf numFmtId="166" fontId="0" fillId="0" borderId="0" xfId="0" applyNumberFormat="1"/>
    <xf numFmtId="165" fontId="0" fillId="0" borderId="0" xfId="0" applyNumberFormat="1"/>
    <xf numFmtId="167" fontId="0" fillId="0" borderId="0" xfId="0" applyNumberFormat="1"/>
    <xf numFmtId="165" fontId="1" fillId="0" borderId="0" xfId="0" applyNumberFormat="1" applyFont="1"/>
    <xf numFmtId="165" fontId="2" fillId="4" borderId="3" xfId="0" applyNumberFormat="1" applyFont="1" applyFill="1" applyBorder="1" applyAlignment="1">
      <alignment horizontal="right" vertical="center" wrapText="1"/>
    </xf>
    <xf numFmtId="2" fontId="1" fillId="0" borderId="14" xfId="0" applyNumberFormat="1" applyFont="1" applyBorder="1"/>
    <xf numFmtId="2" fontId="2" fillId="4" borderId="3" xfId="0" applyNumberFormat="1" applyFont="1" applyFill="1" applyBorder="1" applyAlignment="1">
      <alignment horizontal="right" vertical="center" wrapText="1"/>
    </xf>
    <xf numFmtId="14" fontId="0" fillId="4" borderId="13" xfId="0" applyNumberFormat="1" applyFill="1" applyBorder="1"/>
    <xf numFmtId="2" fontId="0" fillId="4" borderId="13" xfId="0" applyNumberFormat="1" applyFill="1" applyBorder="1"/>
    <xf numFmtId="2" fontId="0" fillId="4" borderId="0" xfId="0" applyNumberFormat="1" applyFill="1"/>
    <xf numFmtId="0" fontId="0" fillId="4" borderId="13" xfId="0" applyFill="1" applyBorder="1"/>
    <xf numFmtId="14" fontId="0" fillId="4" borderId="4" xfId="0" applyNumberFormat="1" applyFill="1" applyBorder="1"/>
    <xf numFmtId="2" fontId="0" fillId="4" borderId="4" xfId="0" applyNumberFormat="1" applyFill="1" applyBorder="1"/>
    <xf numFmtId="14" fontId="0" fillId="3" borderId="13" xfId="0" applyNumberFormat="1" applyFill="1" applyBorder="1"/>
    <xf numFmtId="2" fontId="0" fillId="3" borderId="13" xfId="0" applyNumberFormat="1" applyFill="1" applyBorder="1"/>
    <xf numFmtId="2" fontId="0" fillId="3" borderId="0" xfId="0" applyNumberFormat="1" applyFill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10" fontId="0" fillId="3" borderId="0" xfId="0" applyNumberFormat="1" applyFill="1"/>
    <xf numFmtId="0" fontId="0" fillId="0" borderId="0" xfId="0"/>
    <xf numFmtId="14" fontId="0" fillId="9" borderId="13" xfId="0" applyNumberFormat="1" applyFill="1" applyBorder="1"/>
    <xf numFmtId="2" fontId="0" fillId="9" borderId="13" xfId="0" applyNumberFormat="1" applyFill="1" applyBorder="1"/>
    <xf numFmtId="2" fontId="0" fillId="9" borderId="0" xfId="0" applyNumberFormat="1" applyFill="1"/>
    <xf numFmtId="168" fontId="0" fillId="3" borderId="14" xfId="0" applyNumberFormat="1" applyFill="1" applyBorder="1"/>
    <xf numFmtId="168" fontId="0" fillId="9" borderId="14" xfId="0" applyNumberFormat="1" applyFill="1" applyBorder="1"/>
    <xf numFmtId="168" fontId="0" fillId="4" borderId="14" xfId="0" applyNumberFormat="1" applyFill="1" applyBorder="1"/>
    <xf numFmtId="168" fontId="0" fillId="4" borderId="6" xfId="0" applyNumberFormat="1" applyFill="1" applyBorder="1"/>
    <xf numFmtId="14" fontId="0" fillId="10" borderId="13" xfId="0" applyNumberFormat="1" applyFill="1" applyBorder="1"/>
    <xf numFmtId="2" fontId="0" fillId="10" borderId="13" xfId="0" applyNumberFormat="1" applyFill="1" applyBorder="1"/>
    <xf numFmtId="168" fontId="0" fillId="10" borderId="14" xfId="0" applyNumberFormat="1" applyFill="1" applyBorder="1"/>
    <xf numFmtId="2" fontId="0" fillId="10" borderId="0" xfId="0" applyNumberFormat="1" applyFill="1"/>
    <xf numFmtId="0" fontId="1" fillId="8" borderId="14" xfId="0" applyFont="1" applyFill="1" applyBorder="1"/>
    <xf numFmtId="165" fontId="2" fillId="8" borderId="3" xfId="0" applyNumberFormat="1" applyFont="1" applyFill="1" applyBorder="1" applyAlignment="1">
      <alignment horizontal="right" vertical="center" wrapText="1"/>
    </xf>
    <xf numFmtId="2" fontId="2" fillId="8" borderId="3" xfId="0" applyNumberFormat="1" applyFont="1" applyFill="1" applyBorder="1" applyAlignment="1">
      <alignment horizontal="right" vertical="center" wrapText="1"/>
    </xf>
    <xf numFmtId="0" fontId="4" fillId="0" borderId="0" xfId="0" applyFont="1" applyFill="1" applyBorder="1"/>
    <xf numFmtId="164" fontId="0" fillId="3" borderId="0" xfId="0" applyNumberFormat="1" applyFill="1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 (3).xlsm]Hoja3!TablaDinámica6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 (3).xlsm]Grafico Paridades bkp!TablaDinámica3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8"/>
        <c:spPr>
          <a:ln w="28575" cap="rnd">
            <a:solidFill>
              <a:schemeClr val="accent2"/>
            </a:solidFill>
            <a:prstDash val="solid"/>
            <a:round/>
          </a:ln>
        </c:spPr>
        <c:marker>
          <c:symbol val="none"/>
        </c:marker>
      </c:pivotFmt>
      <c:pivotFmt>
        <c:idx val="9"/>
        <c:spPr>
          <a:ln w="28575" cap="rnd">
            <a:solidFill>
              <a:schemeClr val="accent3"/>
            </a:solidFill>
            <a:prstDash val="solid"/>
            <a:round/>
          </a:ln>
        </c:spPr>
        <c:marker>
          <c:symbol val="none"/>
        </c:marker>
      </c:pivotFmt>
      <c:pivotFmt>
        <c:idx val="10"/>
        <c:spPr>
          <a:ln w="28575" cap="rnd">
            <a:solidFill>
              <a:schemeClr val="accent4"/>
            </a:solidFill>
            <a:prstDash val="solid"/>
            <a:round/>
          </a:ln>
        </c:spPr>
        <c:marker>
          <c:symbol val="none"/>
        </c:marker>
      </c:pivotFmt>
      <c:pivotFmt>
        <c:idx val="11"/>
        <c:spPr>
          <a:ln w="28575" cap="rnd">
            <a:solidFill>
              <a:schemeClr val="accent5"/>
            </a:solidFill>
            <a:prstDash val="solid"/>
            <a:round/>
          </a:ln>
        </c:spPr>
        <c:marker>
          <c:symbol val="none"/>
        </c:marker>
      </c:pivotFmt>
      <c:pivotFmt>
        <c:idx val="12"/>
        <c:spPr>
          <a:ln w="28575" cap="rnd">
            <a:solidFill>
              <a:schemeClr val="accent6"/>
            </a:solidFill>
            <a:prstDash val="solid"/>
            <a:round/>
          </a:ln>
        </c:spPr>
        <c:marker>
          <c:symbol val="none"/>
        </c:marker>
      </c:pivotFmt>
      <c:pivotFmt>
        <c:idx val="13"/>
        <c: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 bkp'!$B$1:$B$2</c:f>
              <c:strCache>
                <c:ptCount val="1"/>
                <c:pt idx="0">
                  <c:v>Suma de P29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bkp'!$A$3:$A$292</c:f>
              <c:strCache>
                <c:ptCount val="289"/>
                <c:pt idx="0">
                  <c:v>14/09/2020</c:v>
                </c:pt>
                <c:pt idx="1">
                  <c:v>15/09/2020</c:v>
                </c:pt>
                <c:pt idx="2">
                  <c:v>16/09/2020</c:v>
                </c:pt>
                <c:pt idx="3">
                  <c:v>17/09/2020</c:v>
                </c:pt>
                <c:pt idx="4">
                  <c:v>18/09/2020</c:v>
                </c:pt>
                <c:pt idx="5">
                  <c:v>21/09/2020</c:v>
                </c:pt>
                <c:pt idx="6">
                  <c:v>22/09/2020</c:v>
                </c:pt>
                <c:pt idx="7">
                  <c:v>23/09/2020</c:v>
                </c:pt>
                <c:pt idx="8">
                  <c:v>24/09/2020</c:v>
                </c:pt>
                <c:pt idx="9">
                  <c:v>25/09/2020</c:v>
                </c:pt>
                <c:pt idx="10">
                  <c:v>28/09/2020</c:v>
                </c:pt>
                <c:pt idx="11">
                  <c:v>29/09/2020</c:v>
                </c:pt>
                <c:pt idx="12">
                  <c:v>30/09/2020</c:v>
                </c:pt>
                <c:pt idx="13">
                  <c:v>01/10/2020</c:v>
                </c:pt>
                <c:pt idx="14">
                  <c:v>02/10/2020</c:v>
                </c:pt>
                <c:pt idx="15">
                  <c:v>05/10/2020</c:v>
                </c:pt>
                <c:pt idx="16">
                  <c:v>06/10/2020</c:v>
                </c:pt>
                <c:pt idx="17">
                  <c:v>07/10/2020</c:v>
                </c:pt>
                <c:pt idx="18">
                  <c:v>08/10/2020</c:v>
                </c:pt>
                <c:pt idx="19">
                  <c:v>09/10/2020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02/11/2020</c:v>
                </c:pt>
                <c:pt idx="35">
                  <c:v>03/11/2020</c:v>
                </c:pt>
                <c:pt idx="36">
                  <c:v>04/11/2020</c:v>
                </c:pt>
                <c:pt idx="37">
                  <c:v>05/11/2020</c:v>
                </c:pt>
                <c:pt idx="38">
                  <c:v>06/11/2020</c:v>
                </c:pt>
                <c:pt idx="39">
                  <c:v>09/11/2020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01/12/2020</c:v>
                </c:pt>
                <c:pt idx="55">
                  <c:v>02/12/2020</c:v>
                </c:pt>
                <c:pt idx="56">
                  <c:v>03/12/2020</c:v>
                </c:pt>
                <c:pt idx="57">
                  <c:v>04/12/2020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11/01/2021</c:v>
                </c:pt>
                <c:pt idx="78">
                  <c:v>12/01/2021</c:v>
                </c:pt>
                <c:pt idx="79">
                  <c:v>13/01/2021</c:v>
                </c:pt>
                <c:pt idx="80">
                  <c:v>14/01/2021</c:v>
                </c:pt>
                <c:pt idx="81">
                  <c:v>15/01/2021</c:v>
                </c:pt>
                <c:pt idx="82">
                  <c:v>18/01/2021</c:v>
                </c:pt>
                <c:pt idx="83">
                  <c:v>19/01/2021</c:v>
                </c:pt>
                <c:pt idx="84">
                  <c:v>20/01/2021</c:v>
                </c:pt>
                <c:pt idx="85">
                  <c:v>21/01/2021</c:v>
                </c:pt>
                <c:pt idx="86">
                  <c:v>22/01/2021</c:v>
                </c:pt>
                <c:pt idx="87">
                  <c:v>25/01/2021</c:v>
                </c:pt>
                <c:pt idx="88">
                  <c:v>26/01/2021</c:v>
                </c:pt>
                <c:pt idx="89">
                  <c:v>27/01/2021</c:v>
                </c:pt>
                <c:pt idx="90">
                  <c:v>28/01/2021</c:v>
                </c:pt>
                <c:pt idx="91">
                  <c:v>29/01/2021</c:v>
                </c:pt>
                <c:pt idx="92">
                  <c:v>01/02/2021</c:v>
                </c:pt>
                <c:pt idx="93">
                  <c:v>02/02/2021</c:v>
                </c:pt>
                <c:pt idx="94">
                  <c:v>03/02/2021</c:v>
                </c:pt>
                <c:pt idx="95">
                  <c:v>04/02/2021</c:v>
                </c:pt>
                <c:pt idx="96">
                  <c:v>05/02/2021</c:v>
                </c:pt>
                <c:pt idx="97">
                  <c:v>08/02/2021</c:v>
                </c:pt>
                <c:pt idx="98">
                  <c:v>09/02/2021</c:v>
                </c:pt>
                <c:pt idx="99">
                  <c:v>10/02/2021</c:v>
                </c:pt>
                <c:pt idx="100">
                  <c:v>11/02/2021</c:v>
                </c:pt>
                <c:pt idx="101">
                  <c:v>12/02/2021</c:v>
                </c:pt>
                <c:pt idx="102">
                  <c:v>17/02/2021</c:v>
                </c:pt>
                <c:pt idx="103">
                  <c:v>18/02/2021</c:v>
                </c:pt>
                <c:pt idx="104">
                  <c:v>19/02/2021</c:v>
                </c:pt>
                <c:pt idx="105">
                  <c:v>22/02/2021</c:v>
                </c:pt>
                <c:pt idx="106">
                  <c:v>23/02/2021</c:v>
                </c:pt>
                <c:pt idx="107">
                  <c:v>24/02/2021</c:v>
                </c:pt>
                <c:pt idx="108">
                  <c:v>25/02/2021</c:v>
                </c:pt>
                <c:pt idx="109">
                  <c:v>26/02/2021</c:v>
                </c:pt>
                <c:pt idx="110">
                  <c:v>01/03/2021</c:v>
                </c:pt>
                <c:pt idx="111">
                  <c:v>02/03/2021</c:v>
                </c:pt>
                <c:pt idx="112">
                  <c:v>03/03/2021</c:v>
                </c:pt>
                <c:pt idx="113">
                  <c:v>04/03/2021</c:v>
                </c:pt>
                <c:pt idx="114">
                  <c:v>05/03/2021</c:v>
                </c:pt>
                <c:pt idx="115">
                  <c:v>08/03/2021</c:v>
                </c:pt>
                <c:pt idx="116">
                  <c:v>09/03/2021</c:v>
                </c:pt>
                <c:pt idx="117">
                  <c:v>10/03/2021</c:v>
                </c:pt>
                <c:pt idx="118">
                  <c:v>11/03/2021</c:v>
                </c:pt>
                <c:pt idx="119">
                  <c:v>12/03/2021</c:v>
                </c:pt>
                <c:pt idx="120">
                  <c:v>15/03/2021</c:v>
                </c:pt>
                <c:pt idx="121">
                  <c:v>16/03/2021</c:v>
                </c:pt>
                <c:pt idx="122">
                  <c:v>17/03/2021</c:v>
                </c:pt>
                <c:pt idx="123">
                  <c:v>18/03/2021</c:v>
                </c:pt>
                <c:pt idx="124">
                  <c:v>19/03/2021</c:v>
                </c:pt>
                <c:pt idx="125">
                  <c:v>22/03/2021</c:v>
                </c:pt>
                <c:pt idx="126">
                  <c:v>23/03/2021</c:v>
                </c:pt>
                <c:pt idx="127">
                  <c:v>25/03/2021</c:v>
                </c:pt>
                <c:pt idx="128">
                  <c:v>26/03/2021</c:v>
                </c:pt>
                <c:pt idx="129">
                  <c:v>29/03/2021</c:v>
                </c:pt>
                <c:pt idx="130">
                  <c:v>30/03/2021</c:v>
                </c:pt>
                <c:pt idx="131">
                  <c:v>31/03/2021</c:v>
                </c:pt>
                <c:pt idx="132">
                  <c:v>05/04/2021</c:v>
                </c:pt>
                <c:pt idx="133">
                  <c:v>06/04/2021</c:v>
                </c:pt>
                <c:pt idx="134">
                  <c:v>07/04/2021</c:v>
                </c:pt>
                <c:pt idx="135">
                  <c:v>08/04/2021</c:v>
                </c:pt>
                <c:pt idx="136">
                  <c:v>09/04/2021</c:v>
                </c:pt>
                <c:pt idx="137">
                  <c:v>12/04/2021</c:v>
                </c:pt>
                <c:pt idx="138">
                  <c:v>13/04/2021</c:v>
                </c:pt>
                <c:pt idx="139">
                  <c:v>14/04/2021</c:v>
                </c:pt>
                <c:pt idx="140">
                  <c:v>15/04/2021</c:v>
                </c:pt>
                <c:pt idx="141">
                  <c:v>16/04/2021</c:v>
                </c:pt>
                <c:pt idx="142">
                  <c:v>19/04/2021</c:v>
                </c:pt>
                <c:pt idx="143">
                  <c:v>20/04/2021</c:v>
                </c:pt>
                <c:pt idx="144">
                  <c:v>21/04/2021</c:v>
                </c:pt>
                <c:pt idx="145">
                  <c:v>22/04/2021</c:v>
                </c:pt>
                <c:pt idx="146">
                  <c:v>23/04/2021</c:v>
                </c:pt>
                <c:pt idx="147">
                  <c:v>26/04/2021</c:v>
                </c:pt>
                <c:pt idx="148">
                  <c:v>27/04/2021</c:v>
                </c:pt>
                <c:pt idx="149">
                  <c:v>28/04/2021</c:v>
                </c:pt>
                <c:pt idx="150">
                  <c:v>29/04/2021</c:v>
                </c:pt>
                <c:pt idx="151">
                  <c:v>30/04/2021</c:v>
                </c:pt>
                <c:pt idx="152">
                  <c:v>03/05/2021</c:v>
                </c:pt>
                <c:pt idx="153">
                  <c:v>04/05/2021</c:v>
                </c:pt>
                <c:pt idx="154">
                  <c:v>05/05/2021</c:v>
                </c:pt>
                <c:pt idx="155">
                  <c:v>06/05/2021</c:v>
                </c:pt>
                <c:pt idx="156">
                  <c:v>07/05/2021</c:v>
                </c:pt>
                <c:pt idx="157">
                  <c:v>10/05/2021</c:v>
                </c:pt>
                <c:pt idx="158">
                  <c:v>11/05/2021</c:v>
                </c:pt>
                <c:pt idx="159">
                  <c:v>12/05/2021</c:v>
                </c:pt>
                <c:pt idx="160">
                  <c:v>13/05/2021</c:v>
                </c:pt>
                <c:pt idx="161">
                  <c:v>14/05/2021</c:v>
                </c:pt>
                <c:pt idx="162">
                  <c:v>17/05/2021</c:v>
                </c:pt>
                <c:pt idx="163">
                  <c:v>18/05/2021</c:v>
                </c:pt>
                <c:pt idx="164">
                  <c:v>19/05/2021</c:v>
                </c:pt>
                <c:pt idx="165">
                  <c:v>20/05/2021</c:v>
                </c:pt>
                <c:pt idx="166">
                  <c:v>21/05/2021</c:v>
                </c:pt>
                <c:pt idx="167">
                  <c:v>26/05/2021</c:v>
                </c:pt>
                <c:pt idx="168">
                  <c:v>27/05/2021</c:v>
                </c:pt>
                <c:pt idx="169">
                  <c:v>28/05/2021</c:v>
                </c:pt>
                <c:pt idx="170">
                  <c:v>31/05/2021</c:v>
                </c:pt>
                <c:pt idx="171">
                  <c:v>01/06/2021</c:v>
                </c:pt>
                <c:pt idx="172">
                  <c:v>02/06/2021</c:v>
                </c:pt>
                <c:pt idx="173">
                  <c:v>03/06/2021</c:v>
                </c:pt>
                <c:pt idx="174">
                  <c:v>04/06/2021</c:v>
                </c:pt>
                <c:pt idx="175">
                  <c:v>07/06/2021</c:v>
                </c:pt>
                <c:pt idx="176">
                  <c:v>08/06/2021</c:v>
                </c:pt>
                <c:pt idx="177">
                  <c:v>09/06/2021</c:v>
                </c:pt>
                <c:pt idx="178">
                  <c:v>10/06/2021</c:v>
                </c:pt>
                <c:pt idx="179">
                  <c:v>11/06/2021</c:v>
                </c:pt>
                <c:pt idx="180">
                  <c:v>14/06/2021</c:v>
                </c:pt>
                <c:pt idx="181">
                  <c:v>15/06/2021</c:v>
                </c:pt>
                <c:pt idx="182">
                  <c:v>16/06/2021</c:v>
                </c:pt>
                <c:pt idx="183">
                  <c:v>17/06/2021</c:v>
                </c:pt>
                <c:pt idx="184">
                  <c:v>18/06/2021</c:v>
                </c:pt>
                <c:pt idx="185">
                  <c:v>22/06/2021</c:v>
                </c:pt>
                <c:pt idx="186">
                  <c:v>23/06/2021</c:v>
                </c:pt>
                <c:pt idx="187">
                  <c:v>24/06/2021</c:v>
                </c:pt>
                <c:pt idx="188">
                  <c:v>25/06/2021</c:v>
                </c:pt>
                <c:pt idx="189">
                  <c:v>28/06/2021</c:v>
                </c:pt>
                <c:pt idx="190">
                  <c:v>29/06/2021</c:v>
                </c:pt>
                <c:pt idx="191">
                  <c:v>30/06/2021</c:v>
                </c:pt>
                <c:pt idx="192">
                  <c:v>01/07/2021</c:v>
                </c:pt>
                <c:pt idx="193">
                  <c:v>02/07/2021</c:v>
                </c:pt>
                <c:pt idx="194">
                  <c:v>05/07/2021</c:v>
                </c:pt>
                <c:pt idx="195">
                  <c:v>06/07/2021</c:v>
                </c:pt>
                <c:pt idx="196">
                  <c:v>07/07/2021</c:v>
                </c:pt>
                <c:pt idx="197">
                  <c:v>08/07/2021</c:v>
                </c:pt>
                <c:pt idx="198">
                  <c:v>12/07/2021</c:v>
                </c:pt>
                <c:pt idx="199">
                  <c:v>13/07/2021</c:v>
                </c:pt>
                <c:pt idx="200">
                  <c:v>14/07/2021</c:v>
                </c:pt>
                <c:pt idx="201">
                  <c:v>15/07/2021</c:v>
                </c:pt>
                <c:pt idx="202">
                  <c:v>16/07/2021</c:v>
                </c:pt>
                <c:pt idx="203">
                  <c:v>19/07/2021</c:v>
                </c:pt>
                <c:pt idx="204">
                  <c:v>20/07/2021</c:v>
                </c:pt>
                <c:pt idx="205">
                  <c:v>21/07/2021</c:v>
                </c:pt>
                <c:pt idx="206">
                  <c:v>22/07/2021</c:v>
                </c:pt>
                <c:pt idx="207">
                  <c:v>23/07/2021</c:v>
                </c:pt>
                <c:pt idx="208">
                  <c:v>26/07/2021</c:v>
                </c:pt>
                <c:pt idx="209">
                  <c:v>27/07/2021</c:v>
                </c:pt>
                <c:pt idx="210">
                  <c:v>28/07/2021</c:v>
                </c:pt>
                <c:pt idx="211">
                  <c:v>29/07/2021</c:v>
                </c:pt>
                <c:pt idx="212">
                  <c:v>30/07/2021</c:v>
                </c:pt>
                <c:pt idx="213">
                  <c:v>01/08/2021</c:v>
                </c:pt>
                <c:pt idx="214">
                  <c:v>02/08/2021</c:v>
                </c:pt>
                <c:pt idx="215">
                  <c:v>03/08/2021</c:v>
                </c:pt>
                <c:pt idx="216">
                  <c:v>04/08/2021</c:v>
                </c:pt>
                <c:pt idx="217">
                  <c:v>05/08/2021</c:v>
                </c:pt>
                <c:pt idx="218">
                  <c:v>09/08/2021</c:v>
                </c:pt>
                <c:pt idx="219">
                  <c:v>10/08/2021</c:v>
                </c:pt>
                <c:pt idx="220">
                  <c:v>11/08/2021</c:v>
                </c:pt>
                <c:pt idx="221">
                  <c:v>12/08/2021</c:v>
                </c:pt>
                <c:pt idx="222">
                  <c:v>13/08/2021</c:v>
                </c:pt>
                <c:pt idx="223">
                  <c:v>17/08/2021</c:v>
                </c:pt>
                <c:pt idx="224">
                  <c:v>18/08/2021</c:v>
                </c:pt>
                <c:pt idx="225">
                  <c:v>19/08/2021</c:v>
                </c:pt>
                <c:pt idx="226">
                  <c:v>20/08/2021</c:v>
                </c:pt>
                <c:pt idx="227">
                  <c:v>23/08/2021</c:v>
                </c:pt>
                <c:pt idx="228">
                  <c:v>24/08/2021</c:v>
                </c:pt>
                <c:pt idx="229">
                  <c:v>25/08/2021</c:v>
                </c:pt>
                <c:pt idx="230">
                  <c:v>26/08/2021</c:v>
                </c:pt>
                <c:pt idx="231">
                  <c:v>27/08/2021</c:v>
                </c:pt>
                <c:pt idx="232">
                  <c:v>30/08/2021</c:v>
                </c:pt>
                <c:pt idx="233">
                  <c:v>31/08/2021</c:v>
                </c:pt>
                <c:pt idx="234">
                  <c:v>01/09/2021</c:v>
                </c:pt>
                <c:pt idx="235">
                  <c:v>02/09/2021</c:v>
                </c:pt>
                <c:pt idx="236">
                  <c:v>03/09/2021</c:v>
                </c:pt>
                <c:pt idx="237">
                  <c:v>06/09/2021</c:v>
                </c:pt>
                <c:pt idx="238">
                  <c:v>07/09/2021</c:v>
                </c:pt>
                <c:pt idx="239">
                  <c:v>08/09/2021</c:v>
                </c:pt>
                <c:pt idx="240">
                  <c:v>09/09/2021</c:v>
                </c:pt>
                <c:pt idx="241">
                  <c:v>10/09/2021</c:v>
                </c:pt>
                <c:pt idx="242">
                  <c:v>13/09/2021</c:v>
                </c:pt>
                <c:pt idx="243">
                  <c:v>14/09/2021</c:v>
                </c:pt>
                <c:pt idx="244">
                  <c:v>15/09/2021</c:v>
                </c:pt>
                <c:pt idx="245">
                  <c:v>16/09/2021</c:v>
                </c:pt>
                <c:pt idx="246">
                  <c:v>17/09/2021</c:v>
                </c:pt>
                <c:pt idx="247">
                  <c:v>20/09/2021</c:v>
                </c:pt>
                <c:pt idx="248">
                  <c:v>21/09/2021</c:v>
                </c:pt>
                <c:pt idx="249">
                  <c:v>22/09/2021</c:v>
                </c:pt>
                <c:pt idx="250">
                  <c:v>23/09/2021</c:v>
                </c:pt>
                <c:pt idx="251">
                  <c:v>24/09/2021</c:v>
                </c:pt>
                <c:pt idx="252">
                  <c:v>27/09/2021</c:v>
                </c:pt>
                <c:pt idx="253">
                  <c:v>28/09/2021</c:v>
                </c:pt>
                <c:pt idx="254">
                  <c:v>29/09/2021</c:v>
                </c:pt>
                <c:pt idx="255">
                  <c:v>30/09/2021</c:v>
                </c:pt>
                <c:pt idx="256">
                  <c:v>01/10/2021</c:v>
                </c:pt>
                <c:pt idx="257">
                  <c:v>04/10/2021</c:v>
                </c:pt>
                <c:pt idx="258">
                  <c:v>05/10/2021</c:v>
                </c:pt>
                <c:pt idx="259">
                  <c:v>06/10/2021</c:v>
                </c:pt>
                <c:pt idx="260">
                  <c:v>07/10/2021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  <c:pt idx="267">
                  <c:v>17/11/2021</c:v>
                </c:pt>
                <c:pt idx="268">
                  <c:v>16/11/2021</c:v>
                </c:pt>
                <c:pt idx="269">
                  <c:v>15/11/2021</c:v>
                </c:pt>
                <c:pt idx="270">
                  <c:v>12/11/2021</c:v>
                </c:pt>
                <c:pt idx="271">
                  <c:v>11/11/2021</c:v>
                </c:pt>
                <c:pt idx="272">
                  <c:v>10/11/2021</c:v>
                </c:pt>
                <c:pt idx="273">
                  <c:v>09/11/2021</c:v>
                </c:pt>
                <c:pt idx="274">
                  <c:v>08/11/2021</c:v>
                </c:pt>
                <c:pt idx="275">
                  <c:v>05/11/2021</c:v>
                </c:pt>
                <c:pt idx="276">
                  <c:v>04/11/2021</c:v>
                </c:pt>
                <c:pt idx="277">
                  <c:v>03/11/2021</c:v>
                </c:pt>
                <c:pt idx="278">
                  <c:v>02/11/2021</c:v>
                </c:pt>
                <c:pt idx="279">
                  <c:v>01/11/2021</c:v>
                </c:pt>
                <c:pt idx="280">
                  <c:v>29/10/2021</c:v>
                </c:pt>
                <c:pt idx="281">
                  <c:v>28/10/2021</c:v>
                </c:pt>
                <c:pt idx="282">
                  <c:v>27/10/2021</c:v>
                </c:pt>
                <c:pt idx="283">
                  <c:v>26/10/2021</c:v>
                </c:pt>
                <c:pt idx="284">
                  <c:v>25/10/2021</c:v>
                </c:pt>
                <c:pt idx="285">
                  <c:v>22/10/2021</c:v>
                </c:pt>
                <c:pt idx="286">
                  <c:v>21/10/2021</c:v>
                </c:pt>
                <c:pt idx="287">
                  <c:v>20/10/2021</c:v>
                </c:pt>
                <c:pt idx="288">
                  <c:v>19/10/2021</c:v>
                </c:pt>
              </c:strCache>
            </c:strRef>
          </c:cat>
          <c:val>
            <c:numRef>
              <c:f>'Grafico Paridades bkp'!$B$3:$B$292</c:f>
              <c:numCache>
                <c:formatCode>0.00%</c:formatCode>
                <c:ptCount val="289"/>
                <c:pt idx="0">
                  <c:v>0.5222639633169438</c:v>
                </c:pt>
                <c:pt idx="1">
                  <c:v>0.51821672237107419</c:v>
                </c:pt>
                <c:pt idx="2">
                  <c:v>0.4924939233233897</c:v>
                </c:pt>
                <c:pt idx="3">
                  <c:v>0.48905261704184511</c:v>
                </c:pt>
                <c:pt idx="4">
                  <c:v>0.48742611721814072</c:v>
                </c:pt>
                <c:pt idx="5">
                  <c:v>0.47780938440719162</c:v>
                </c:pt>
                <c:pt idx="6">
                  <c:v>0.46872410936205472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0.46359444459784083</c:v>
                </c:pt>
                <c:pt idx="12">
                  <c:v>0.46217074382903528</c:v>
                </c:pt>
                <c:pt idx="13">
                  <c:v>0.46608824097849189</c:v>
                </c:pt>
                <c:pt idx="14">
                  <c:v>0.45801352843732751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0.45232115257231181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0.43825785799045169</c:v>
                </c:pt>
                <c:pt idx="25">
                  <c:v>0.42001490148462939</c:v>
                </c:pt>
                <c:pt idx="26">
                  <c:v>0.41476585998509891</c:v>
                </c:pt>
                <c:pt idx="27">
                  <c:v>0.42402041942604862</c:v>
                </c:pt>
                <c:pt idx="28">
                  <c:v>0.43972020639607068</c:v>
                </c:pt>
                <c:pt idx="29">
                  <c:v>0.40846484935437588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0.45767235909178688</c:v>
                </c:pt>
                <c:pt idx="33">
                  <c:v>0.45212149635841969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0.45205913993324692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0.44290008549129922</c:v>
                </c:pt>
                <c:pt idx="43">
                  <c:v>0.45295350504660531</c:v>
                </c:pt>
                <c:pt idx="44">
                  <c:v>0.45291603474424369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0.43660335226332908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0.42457068827696459</c:v>
                </c:pt>
                <c:pt idx="54">
                  <c:v>0.42113836824696799</c:v>
                </c:pt>
                <c:pt idx="55">
                  <c:v>0.42012072434607639</c:v>
                </c:pt>
                <c:pt idx="56">
                  <c:v>0.42051154842621691</c:v>
                </c:pt>
                <c:pt idx="57">
                  <c:v>0.42009756635338857</c:v>
                </c:pt>
                <c:pt idx="58">
                  <c:v>0.41943617724867732</c:v>
                </c:pt>
                <c:pt idx="59">
                  <c:v>0.42364903965388961</c:v>
                </c:pt>
                <c:pt idx="60">
                  <c:v>0.42162579222926427</c:v>
                </c:pt>
                <c:pt idx="61">
                  <c:v>0.42340120684429511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0.41803642274630809</c:v>
                </c:pt>
                <c:pt idx="65">
                  <c:v>0.41983497258726621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0.42464538518742939</c:v>
                </c:pt>
                <c:pt idx="70">
                  <c:v>0.42573950644486058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0.41710265447736528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0.41150680028632791</c:v>
                </c:pt>
                <c:pt idx="79">
                  <c:v>0.40737549211243562</c:v>
                </c:pt>
                <c:pt idx="80">
                  <c:v>0.40424925668979178</c:v>
                </c:pt>
                <c:pt idx="81">
                  <c:v>0.40273090158293179</c:v>
                </c:pt>
                <c:pt idx="82">
                  <c:v>0.40289859061880651</c:v>
                </c:pt>
                <c:pt idx="83">
                  <c:v>0.40389220732747938</c:v>
                </c:pt>
                <c:pt idx="84">
                  <c:v>0.40157032755298649</c:v>
                </c:pt>
                <c:pt idx="85">
                  <c:v>0.40085601827640299</c:v>
                </c:pt>
                <c:pt idx="86">
                  <c:v>0.40184960915996909</c:v>
                </c:pt>
                <c:pt idx="87">
                  <c:v>0.40071143525526348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0.39952947003467071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0.39648369789517118</c:v>
                </c:pt>
                <c:pt idx="96">
                  <c:v>0.39647278930281182</c:v>
                </c:pt>
                <c:pt idx="97">
                  <c:v>0.39714297504745649</c:v>
                </c:pt>
                <c:pt idx="98">
                  <c:v>0.39632874828060521</c:v>
                </c:pt>
                <c:pt idx="99">
                  <c:v>0.39571538609666862</c:v>
                </c:pt>
                <c:pt idx="100">
                  <c:v>0.39259187940140838</c:v>
                </c:pt>
                <c:pt idx="101">
                  <c:v>0.3915770362831128</c:v>
                </c:pt>
                <c:pt idx="102">
                  <c:v>0.38841107871720121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0.38394109396914439</c:v>
                </c:pt>
                <c:pt idx="106">
                  <c:v>0.37830959190408092</c:v>
                </c:pt>
                <c:pt idx="107">
                  <c:v>0.38040698473807227</c:v>
                </c:pt>
                <c:pt idx="108">
                  <c:v>0.38059726117802339</c:v>
                </c:pt>
                <c:pt idx="109">
                  <c:v>0.38189155003162212</c:v>
                </c:pt>
                <c:pt idx="110">
                  <c:v>0.38326505361561719</c:v>
                </c:pt>
                <c:pt idx="111">
                  <c:v>0.37823678205163452</c:v>
                </c:pt>
                <c:pt idx="112">
                  <c:v>0.37631969646981189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0.36371570729561831</c:v>
                </c:pt>
                <c:pt idx="117">
                  <c:v>0.35116413315374262</c:v>
                </c:pt>
                <c:pt idx="118">
                  <c:v>0.35065283122594842</c:v>
                </c:pt>
                <c:pt idx="119">
                  <c:v>0.35626151012891338</c:v>
                </c:pt>
                <c:pt idx="120">
                  <c:v>0.36596306068601581</c:v>
                </c:pt>
                <c:pt idx="121">
                  <c:v>0.36765837570427368</c:v>
                </c:pt>
                <c:pt idx="122">
                  <c:v>0.36955422415214639</c:v>
                </c:pt>
                <c:pt idx="123">
                  <c:v>0.36834034133069499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0.37360546273906348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0.35709027987585479</c:v>
                </c:pt>
                <c:pt idx="137">
                  <c:v>0.3633760848072064</c:v>
                </c:pt>
                <c:pt idx="138">
                  <c:v>0.36486968939664399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0.36280512919080699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0.36627268484199538</c:v>
                </c:pt>
                <c:pt idx="147">
                  <c:v>0.36914841047603358</c:v>
                </c:pt>
                <c:pt idx="148">
                  <c:v>0.37054108216432857</c:v>
                </c:pt>
                <c:pt idx="149">
                  <c:v>0.37323624684308782</c:v>
                </c:pt>
                <c:pt idx="150">
                  <c:v>0.3687172307776771</c:v>
                </c:pt>
                <c:pt idx="151">
                  <c:v>0.36920807027175412</c:v>
                </c:pt>
                <c:pt idx="152">
                  <c:v>0.36837619740345301</c:v>
                </c:pt>
                <c:pt idx="153">
                  <c:v>0.36816572432343408</c:v>
                </c:pt>
                <c:pt idx="154">
                  <c:v>0.36665294359818862</c:v>
                </c:pt>
                <c:pt idx="155">
                  <c:v>0.36604182676473818</c:v>
                </c:pt>
                <c:pt idx="156">
                  <c:v>0.36362763125394509</c:v>
                </c:pt>
                <c:pt idx="157">
                  <c:v>0.36459934138309552</c:v>
                </c:pt>
                <c:pt idx="158">
                  <c:v>0.36048269805987759</c:v>
                </c:pt>
                <c:pt idx="159">
                  <c:v>0.36367789912738052</c:v>
                </c:pt>
                <c:pt idx="160">
                  <c:v>0.36507010948604668</c:v>
                </c:pt>
                <c:pt idx="161">
                  <c:v>0.37477499725606411</c:v>
                </c:pt>
                <c:pt idx="162">
                  <c:v>0.38105331028616901</c:v>
                </c:pt>
                <c:pt idx="163">
                  <c:v>0.38054214223002641</c:v>
                </c:pt>
                <c:pt idx="164">
                  <c:v>0.3750240061455733</c:v>
                </c:pt>
                <c:pt idx="165">
                  <c:v>0.37341152263374477</c:v>
                </c:pt>
                <c:pt idx="166">
                  <c:v>0.36979643905517001</c:v>
                </c:pt>
                <c:pt idx="167">
                  <c:v>0.37815585911784072</c:v>
                </c:pt>
                <c:pt idx="168">
                  <c:v>0.38144937872013612</c:v>
                </c:pt>
                <c:pt idx="169">
                  <c:v>0.37683361676449612</c:v>
                </c:pt>
                <c:pt idx="170">
                  <c:v>0.37640218315460361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0.38237713909609478</c:v>
                </c:pt>
                <c:pt idx="174">
                  <c:v>0.38086521321815442</c:v>
                </c:pt>
                <c:pt idx="175">
                  <c:v>0.38203493473730388</c:v>
                </c:pt>
                <c:pt idx="176">
                  <c:v>0.38782938934437472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0.39726121285228638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0.38566906041004267</c:v>
                </c:pt>
                <c:pt idx="187">
                  <c:v>0.38175688639166783</c:v>
                </c:pt>
                <c:pt idx="188">
                  <c:v>0.37464369895302307</c:v>
                </c:pt>
                <c:pt idx="189">
                  <c:v>0.37251226396996362</c:v>
                </c:pt>
                <c:pt idx="190">
                  <c:v>0.36730063030967391</c:v>
                </c:pt>
                <c:pt idx="191">
                  <c:v>0.36368967690663451</c:v>
                </c:pt>
                <c:pt idx="192">
                  <c:v>0.36257946947276121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0.36302983806888228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0.36046049747972819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0.36589975349219389</c:v>
                </c:pt>
                <c:pt idx="204">
                  <c:v>0.36988852674536438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0.36839813800657167</c:v>
                </c:pt>
                <c:pt idx="212">
                  <c:v>0.36778839571753241</c:v>
                </c:pt>
                <c:pt idx="213">
                  <c:v>0.36726857048982831</c:v>
                </c:pt>
                <c:pt idx="214">
                  <c:v>0.36625917205125402</c:v>
                </c:pt>
                <c:pt idx="215">
                  <c:v>0.36405065023956201</c:v>
                </c:pt>
                <c:pt idx="216">
                  <c:v>0.36274160871707822</c:v>
                </c:pt>
                <c:pt idx="217">
                  <c:v>0.36223204752648719</c:v>
                </c:pt>
                <c:pt idx="218">
                  <c:v>0.36089348772275598</c:v>
                </c:pt>
                <c:pt idx="219">
                  <c:v>0.36468028030220079</c:v>
                </c:pt>
                <c:pt idx="220">
                  <c:v>0.36616894314729148</c:v>
                </c:pt>
                <c:pt idx="221">
                  <c:v>0.36985547708983418</c:v>
                </c:pt>
                <c:pt idx="222">
                  <c:v>0.36115368824414951</c:v>
                </c:pt>
                <c:pt idx="223">
                  <c:v>0.36051479241358553</c:v>
                </c:pt>
                <c:pt idx="224">
                  <c:v>0.35960591133004932</c:v>
                </c:pt>
                <c:pt idx="225">
                  <c:v>0.3610943871267891</c:v>
                </c:pt>
                <c:pt idx="226">
                  <c:v>0.36168381588309351</c:v>
                </c:pt>
                <c:pt idx="227">
                  <c:v>0.36405116979066909</c:v>
                </c:pt>
                <c:pt idx="228">
                  <c:v>0.36653806162097091</c:v>
                </c:pt>
                <c:pt idx="229">
                  <c:v>0.36652803239663989</c:v>
                </c:pt>
                <c:pt idx="230">
                  <c:v>0.36531957973076501</c:v>
                </c:pt>
                <c:pt idx="231">
                  <c:v>0.36650797559440751</c:v>
                </c:pt>
                <c:pt idx="232">
                  <c:v>0.37206992777413</c:v>
                </c:pt>
                <c:pt idx="233">
                  <c:v>0.37515525401471828</c:v>
                </c:pt>
                <c:pt idx="234">
                  <c:v>0.37883952508617391</c:v>
                </c:pt>
                <c:pt idx="235">
                  <c:v>0.38342224045958151</c:v>
                </c:pt>
                <c:pt idx="236">
                  <c:v>0.38441021993653568</c:v>
                </c:pt>
                <c:pt idx="237">
                  <c:v>0.38537706173582431</c:v>
                </c:pt>
                <c:pt idx="238">
                  <c:v>0.38935995623632391</c:v>
                </c:pt>
                <c:pt idx="239">
                  <c:v>0.38735264352725579</c:v>
                </c:pt>
                <c:pt idx="240">
                  <c:v>0.38634374487172479</c:v>
                </c:pt>
                <c:pt idx="241">
                  <c:v>0.38832973224297779</c:v>
                </c:pt>
                <c:pt idx="242">
                  <c:v>0.39528523765246398</c:v>
                </c:pt>
                <c:pt idx="243">
                  <c:v>0.39277900839554791</c:v>
                </c:pt>
                <c:pt idx="244">
                  <c:v>0.39725989936556549</c:v>
                </c:pt>
                <c:pt idx="245">
                  <c:v>0.40124148869260851</c:v>
                </c:pt>
                <c:pt idx="246">
                  <c:v>0.4002324309543342</c:v>
                </c:pt>
                <c:pt idx="247">
                  <c:v>0.39920159680638723</c:v>
                </c:pt>
                <c:pt idx="248">
                  <c:v>0.39719472849565263</c:v>
                </c:pt>
                <c:pt idx="249">
                  <c:v>0.39518796992481198</c:v>
                </c:pt>
                <c:pt idx="250">
                  <c:v>0.39218339895013121</c:v>
                </c:pt>
                <c:pt idx="251">
                  <c:v>0.38478825491429042</c:v>
                </c:pt>
                <c:pt idx="252">
                  <c:v>0.38365910333515579</c:v>
                </c:pt>
                <c:pt idx="253">
                  <c:v>0.38364861540143791</c:v>
                </c:pt>
                <c:pt idx="254">
                  <c:v>0.38812804111311572</c:v>
                </c:pt>
                <c:pt idx="255">
                  <c:v>0.38911516278052649</c:v>
                </c:pt>
                <c:pt idx="256">
                  <c:v>0.38112289525475618</c:v>
                </c:pt>
                <c:pt idx="257">
                  <c:v>0.38059283352010281</c:v>
                </c:pt>
                <c:pt idx="258">
                  <c:v>0.38407401333770641</c:v>
                </c:pt>
                <c:pt idx="259">
                  <c:v>0.37907567848260398</c:v>
                </c:pt>
                <c:pt idx="260">
                  <c:v>0.37357884667942071</c:v>
                </c:pt>
                <c:pt idx="261">
                  <c:v>0.37552261237874018</c:v>
                </c:pt>
                <c:pt idx="262">
                  <c:v>0.36902940212045032</c:v>
                </c:pt>
                <c:pt idx="263">
                  <c:v>0.37300871656146678</c:v>
                </c:pt>
                <c:pt idx="264">
                  <c:v>0.37399584676758291</c:v>
                </c:pt>
                <c:pt idx="265">
                  <c:v>0.36917843774760262</c:v>
                </c:pt>
                <c:pt idx="267">
                  <c:v>0.34625726843384019</c:v>
                </c:pt>
                <c:pt idx="268">
                  <c:v>0.36868686868686867</c:v>
                </c:pt>
                <c:pt idx="269">
                  <c:v>0.38065467252723262</c:v>
                </c:pt>
                <c:pt idx="270">
                  <c:v>0.38546933872112699</c:v>
                </c:pt>
                <c:pt idx="271">
                  <c:v>0.37969965870307171</c:v>
                </c:pt>
                <c:pt idx="272">
                  <c:v>0.38100562472695498</c:v>
                </c:pt>
                <c:pt idx="273">
                  <c:v>0.38011905086967213</c:v>
                </c:pt>
                <c:pt idx="274">
                  <c:v>0.37873409426028071</c:v>
                </c:pt>
                <c:pt idx="275">
                  <c:v>0.3808582976050684</c:v>
                </c:pt>
                <c:pt idx="276">
                  <c:v>0.37428996668305198</c:v>
                </c:pt>
                <c:pt idx="277">
                  <c:v>0.36981456700439691</c:v>
                </c:pt>
                <c:pt idx="278">
                  <c:v>0.37012371640812758</c:v>
                </c:pt>
                <c:pt idx="279">
                  <c:v>0.36046429059128771</c:v>
                </c:pt>
                <c:pt idx="280">
                  <c:v>0.36488036709275651</c:v>
                </c:pt>
                <c:pt idx="281">
                  <c:v>0.36887820600366011</c:v>
                </c:pt>
                <c:pt idx="282">
                  <c:v>0.36819038514067193</c:v>
                </c:pt>
                <c:pt idx="283">
                  <c:v>0.37009478543527552</c:v>
                </c:pt>
                <c:pt idx="284">
                  <c:v>0.36791138548951052</c:v>
                </c:pt>
                <c:pt idx="285">
                  <c:v>0.36704411965578482</c:v>
                </c:pt>
                <c:pt idx="286">
                  <c:v>0.36775215823407281</c:v>
                </c:pt>
                <c:pt idx="287">
                  <c:v>0.37195038658033491</c:v>
                </c:pt>
                <c:pt idx="288">
                  <c:v>0.36956723676301839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9D-4312-B392-89DABA539039}"/>
            </c:ext>
          </c:extLst>
        </c:ser>
        <c:ser>
          <c:idx val="1"/>
          <c:order val="1"/>
          <c:tx>
            <c:strRef>
              <c:f>'Grafico Paridades bkp'!$C$1:$C$2</c:f>
              <c:strCache>
                <c:ptCount val="1"/>
                <c:pt idx="0">
                  <c:v>Suma de PG29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bkp'!$A$3:$A$292</c:f>
              <c:strCache>
                <c:ptCount val="289"/>
                <c:pt idx="0">
                  <c:v>14/09/2020</c:v>
                </c:pt>
                <c:pt idx="1">
                  <c:v>15/09/2020</c:v>
                </c:pt>
                <c:pt idx="2">
                  <c:v>16/09/2020</c:v>
                </c:pt>
                <c:pt idx="3">
                  <c:v>17/09/2020</c:v>
                </c:pt>
                <c:pt idx="4">
                  <c:v>18/09/2020</c:v>
                </c:pt>
                <c:pt idx="5">
                  <c:v>21/09/2020</c:v>
                </c:pt>
                <c:pt idx="6">
                  <c:v>22/09/2020</c:v>
                </c:pt>
                <c:pt idx="7">
                  <c:v>23/09/2020</c:v>
                </c:pt>
                <c:pt idx="8">
                  <c:v>24/09/2020</c:v>
                </c:pt>
                <c:pt idx="9">
                  <c:v>25/09/2020</c:v>
                </c:pt>
                <c:pt idx="10">
                  <c:v>28/09/2020</c:v>
                </c:pt>
                <c:pt idx="11">
                  <c:v>29/09/2020</c:v>
                </c:pt>
                <c:pt idx="12">
                  <c:v>30/09/2020</c:v>
                </c:pt>
                <c:pt idx="13">
                  <c:v>01/10/2020</c:v>
                </c:pt>
                <c:pt idx="14">
                  <c:v>02/10/2020</c:v>
                </c:pt>
                <c:pt idx="15">
                  <c:v>05/10/2020</c:v>
                </c:pt>
                <c:pt idx="16">
                  <c:v>06/10/2020</c:v>
                </c:pt>
                <c:pt idx="17">
                  <c:v>07/10/2020</c:v>
                </c:pt>
                <c:pt idx="18">
                  <c:v>08/10/2020</c:v>
                </c:pt>
                <c:pt idx="19">
                  <c:v>09/10/2020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02/11/2020</c:v>
                </c:pt>
                <c:pt idx="35">
                  <c:v>03/11/2020</c:v>
                </c:pt>
                <c:pt idx="36">
                  <c:v>04/11/2020</c:v>
                </c:pt>
                <c:pt idx="37">
                  <c:v>05/11/2020</c:v>
                </c:pt>
                <c:pt idx="38">
                  <c:v>06/11/2020</c:v>
                </c:pt>
                <c:pt idx="39">
                  <c:v>09/11/2020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01/12/2020</c:v>
                </c:pt>
                <c:pt idx="55">
                  <c:v>02/12/2020</c:v>
                </c:pt>
                <c:pt idx="56">
                  <c:v>03/12/2020</c:v>
                </c:pt>
                <c:pt idx="57">
                  <c:v>04/12/2020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11/01/2021</c:v>
                </c:pt>
                <c:pt idx="78">
                  <c:v>12/01/2021</c:v>
                </c:pt>
                <c:pt idx="79">
                  <c:v>13/01/2021</c:v>
                </c:pt>
                <c:pt idx="80">
                  <c:v>14/01/2021</c:v>
                </c:pt>
                <c:pt idx="81">
                  <c:v>15/01/2021</c:v>
                </c:pt>
                <c:pt idx="82">
                  <c:v>18/01/2021</c:v>
                </c:pt>
                <c:pt idx="83">
                  <c:v>19/01/2021</c:v>
                </c:pt>
                <c:pt idx="84">
                  <c:v>20/01/2021</c:v>
                </c:pt>
                <c:pt idx="85">
                  <c:v>21/01/2021</c:v>
                </c:pt>
                <c:pt idx="86">
                  <c:v>22/01/2021</c:v>
                </c:pt>
                <c:pt idx="87">
                  <c:v>25/01/2021</c:v>
                </c:pt>
                <c:pt idx="88">
                  <c:v>26/01/2021</c:v>
                </c:pt>
                <c:pt idx="89">
                  <c:v>27/01/2021</c:v>
                </c:pt>
                <c:pt idx="90">
                  <c:v>28/01/2021</c:v>
                </c:pt>
                <c:pt idx="91">
                  <c:v>29/01/2021</c:v>
                </c:pt>
                <c:pt idx="92">
                  <c:v>01/02/2021</c:v>
                </c:pt>
                <c:pt idx="93">
                  <c:v>02/02/2021</c:v>
                </c:pt>
                <c:pt idx="94">
                  <c:v>03/02/2021</c:v>
                </c:pt>
                <c:pt idx="95">
                  <c:v>04/02/2021</c:v>
                </c:pt>
                <c:pt idx="96">
                  <c:v>05/02/2021</c:v>
                </c:pt>
                <c:pt idx="97">
                  <c:v>08/02/2021</c:v>
                </c:pt>
                <c:pt idx="98">
                  <c:v>09/02/2021</c:v>
                </c:pt>
                <c:pt idx="99">
                  <c:v>10/02/2021</c:v>
                </c:pt>
                <c:pt idx="100">
                  <c:v>11/02/2021</c:v>
                </c:pt>
                <c:pt idx="101">
                  <c:v>12/02/2021</c:v>
                </c:pt>
                <c:pt idx="102">
                  <c:v>17/02/2021</c:v>
                </c:pt>
                <c:pt idx="103">
                  <c:v>18/02/2021</c:v>
                </c:pt>
                <c:pt idx="104">
                  <c:v>19/02/2021</c:v>
                </c:pt>
                <c:pt idx="105">
                  <c:v>22/02/2021</c:v>
                </c:pt>
                <c:pt idx="106">
                  <c:v>23/02/2021</c:v>
                </c:pt>
                <c:pt idx="107">
                  <c:v>24/02/2021</c:v>
                </c:pt>
                <c:pt idx="108">
                  <c:v>25/02/2021</c:v>
                </c:pt>
                <c:pt idx="109">
                  <c:v>26/02/2021</c:v>
                </c:pt>
                <c:pt idx="110">
                  <c:v>01/03/2021</c:v>
                </c:pt>
                <c:pt idx="111">
                  <c:v>02/03/2021</c:v>
                </c:pt>
                <c:pt idx="112">
                  <c:v>03/03/2021</c:v>
                </c:pt>
                <c:pt idx="113">
                  <c:v>04/03/2021</c:v>
                </c:pt>
                <c:pt idx="114">
                  <c:v>05/03/2021</c:v>
                </c:pt>
                <c:pt idx="115">
                  <c:v>08/03/2021</c:v>
                </c:pt>
                <c:pt idx="116">
                  <c:v>09/03/2021</c:v>
                </c:pt>
                <c:pt idx="117">
                  <c:v>10/03/2021</c:v>
                </c:pt>
                <c:pt idx="118">
                  <c:v>11/03/2021</c:v>
                </c:pt>
                <c:pt idx="119">
                  <c:v>12/03/2021</c:v>
                </c:pt>
                <c:pt idx="120">
                  <c:v>15/03/2021</c:v>
                </c:pt>
                <c:pt idx="121">
                  <c:v>16/03/2021</c:v>
                </c:pt>
                <c:pt idx="122">
                  <c:v>17/03/2021</c:v>
                </c:pt>
                <c:pt idx="123">
                  <c:v>18/03/2021</c:v>
                </c:pt>
                <c:pt idx="124">
                  <c:v>19/03/2021</c:v>
                </c:pt>
                <c:pt idx="125">
                  <c:v>22/03/2021</c:v>
                </c:pt>
                <c:pt idx="126">
                  <c:v>23/03/2021</c:v>
                </c:pt>
                <c:pt idx="127">
                  <c:v>25/03/2021</c:v>
                </c:pt>
                <c:pt idx="128">
                  <c:v>26/03/2021</c:v>
                </c:pt>
                <c:pt idx="129">
                  <c:v>29/03/2021</c:v>
                </c:pt>
                <c:pt idx="130">
                  <c:v>30/03/2021</c:v>
                </c:pt>
                <c:pt idx="131">
                  <c:v>31/03/2021</c:v>
                </c:pt>
                <c:pt idx="132">
                  <c:v>05/04/2021</c:v>
                </c:pt>
                <c:pt idx="133">
                  <c:v>06/04/2021</c:v>
                </c:pt>
                <c:pt idx="134">
                  <c:v>07/04/2021</c:v>
                </c:pt>
                <c:pt idx="135">
                  <c:v>08/04/2021</c:v>
                </c:pt>
                <c:pt idx="136">
                  <c:v>09/04/2021</c:v>
                </c:pt>
                <c:pt idx="137">
                  <c:v>12/04/2021</c:v>
                </c:pt>
                <c:pt idx="138">
                  <c:v>13/04/2021</c:v>
                </c:pt>
                <c:pt idx="139">
                  <c:v>14/04/2021</c:v>
                </c:pt>
                <c:pt idx="140">
                  <c:v>15/04/2021</c:v>
                </c:pt>
                <c:pt idx="141">
                  <c:v>16/04/2021</c:v>
                </c:pt>
                <c:pt idx="142">
                  <c:v>19/04/2021</c:v>
                </c:pt>
                <c:pt idx="143">
                  <c:v>20/04/2021</c:v>
                </c:pt>
                <c:pt idx="144">
                  <c:v>21/04/2021</c:v>
                </c:pt>
                <c:pt idx="145">
                  <c:v>22/04/2021</c:v>
                </c:pt>
                <c:pt idx="146">
                  <c:v>23/04/2021</c:v>
                </c:pt>
                <c:pt idx="147">
                  <c:v>26/04/2021</c:v>
                </c:pt>
                <c:pt idx="148">
                  <c:v>27/04/2021</c:v>
                </c:pt>
                <c:pt idx="149">
                  <c:v>28/04/2021</c:v>
                </c:pt>
                <c:pt idx="150">
                  <c:v>29/04/2021</c:v>
                </c:pt>
                <c:pt idx="151">
                  <c:v>30/04/2021</c:v>
                </c:pt>
                <c:pt idx="152">
                  <c:v>03/05/2021</c:v>
                </c:pt>
                <c:pt idx="153">
                  <c:v>04/05/2021</c:v>
                </c:pt>
                <c:pt idx="154">
                  <c:v>05/05/2021</c:v>
                </c:pt>
                <c:pt idx="155">
                  <c:v>06/05/2021</c:v>
                </c:pt>
                <c:pt idx="156">
                  <c:v>07/05/2021</c:v>
                </c:pt>
                <c:pt idx="157">
                  <c:v>10/05/2021</c:v>
                </c:pt>
                <c:pt idx="158">
                  <c:v>11/05/2021</c:v>
                </c:pt>
                <c:pt idx="159">
                  <c:v>12/05/2021</c:v>
                </c:pt>
                <c:pt idx="160">
                  <c:v>13/05/2021</c:v>
                </c:pt>
                <c:pt idx="161">
                  <c:v>14/05/2021</c:v>
                </c:pt>
                <c:pt idx="162">
                  <c:v>17/05/2021</c:v>
                </c:pt>
                <c:pt idx="163">
                  <c:v>18/05/2021</c:v>
                </c:pt>
                <c:pt idx="164">
                  <c:v>19/05/2021</c:v>
                </c:pt>
                <c:pt idx="165">
                  <c:v>20/05/2021</c:v>
                </c:pt>
                <c:pt idx="166">
                  <c:v>21/05/2021</c:v>
                </c:pt>
                <c:pt idx="167">
                  <c:v>26/05/2021</c:v>
                </c:pt>
                <c:pt idx="168">
                  <c:v>27/05/2021</c:v>
                </c:pt>
                <c:pt idx="169">
                  <c:v>28/05/2021</c:v>
                </c:pt>
                <c:pt idx="170">
                  <c:v>31/05/2021</c:v>
                </c:pt>
                <c:pt idx="171">
                  <c:v>01/06/2021</c:v>
                </c:pt>
                <c:pt idx="172">
                  <c:v>02/06/2021</c:v>
                </c:pt>
                <c:pt idx="173">
                  <c:v>03/06/2021</c:v>
                </c:pt>
                <c:pt idx="174">
                  <c:v>04/06/2021</c:v>
                </c:pt>
                <c:pt idx="175">
                  <c:v>07/06/2021</c:v>
                </c:pt>
                <c:pt idx="176">
                  <c:v>08/06/2021</c:v>
                </c:pt>
                <c:pt idx="177">
                  <c:v>09/06/2021</c:v>
                </c:pt>
                <c:pt idx="178">
                  <c:v>10/06/2021</c:v>
                </c:pt>
                <c:pt idx="179">
                  <c:v>11/06/2021</c:v>
                </c:pt>
                <c:pt idx="180">
                  <c:v>14/06/2021</c:v>
                </c:pt>
                <c:pt idx="181">
                  <c:v>15/06/2021</c:v>
                </c:pt>
                <c:pt idx="182">
                  <c:v>16/06/2021</c:v>
                </c:pt>
                <c:pt idx="183">
                  <c:v>17/06/2021</c:v>
                </c:pt>
                <c:pt idx="184">
                  <c:v>18/06/2021</c:v>
                </c:pt>
                <c:pt idx="185">
                  <c:v>22/06/2021</c:v>
                </c:pt>
                <c:pt idx="186">
                  <c:v>23/06/2021</c:v>
                </c:pt>
                <c:pt idx="187">
                  <c:v>24/06/2021</c:v>
                </c:pt>
                <c:pt idx="188">
                  <c:v>25/06/2021</c:v>
                </c:pt>
                <c:pt idx="189">
                  <c:v>28/06/2021</c:v>
                </c:pt>
                <c:pt idx="190">
                  <c:v>29/06/2021</c:v>
                </c:pt>
                <c:pt idx="191">
                  <c:v>30/06/2021</c:v>
                </c:pt>
                <c:pt idx="192">
                  <c:v>01/07/2021</c:v>
                </c:pt>
                <c:pt idx="193">
                  <c:v>02/07/2021</c:v>
                </c:pt>
                <c:pt idx="194">
                  <c:v>05/07/2021</c:v>
                </c:pt>
                <c:pt idx="195">
                  <c:v>06/07/2021</c:v>
                </c:pt>
                <c:pt idx="196">
                  <c:v>07/07/2021</c:v>
                </c:pt>
                <c:pt idx="197">
                  <c:v>08/07/2021</c:v>
                </c:pt>
                <c:pt idx="198">
                  <c:v>12/07/2021</c:v>
                </c:pt>
                <c:pt idx="199">
                  <c:v>13/07/2021</c:v>
                </c:pt>
                <c:pt idx="200">
                  <c:v>14/07/2021</c:v>
                </c:pt>
                <c:pt idx="201">
                  <c:v>15/07/2021</c:v>
                </c:pt>
                <c:pt idx="202">
                  <c:v>16/07/2021</c:v>
                </c:pt>
                <c:pt idx="203">
                  <c:v>19/07/2021</c:v>
                </c:pt>
                <c:pt idx="204">
                  <c:v>20/07/2021</c:v>
                </c:pt>
                <c:pt idx="205">
                  <c:v>21/07/2021</c:v>
                </c:pt>
                <c:pt idx="206">
                  <c:v>22/07/2021</c:v>
                </c:pt>
                <c:pt idx="207">
                  <c:v>23/07/2021</c:v>
                </c:pt>
                <c:pt idx="208">
                  <c:v>26/07/2021</c:v>
                </c:pt>
                <c:pt idx="209">
                  <c:v>27/07/2021</c:v>
                </c:pt>
                <c:pt idx="210">
                  <c:v>28/07/2021</c:v>
                </c:pt>
                <c:pt idx="211">
                  <c:v>29/07/2021</c:v>
                </c:pt>
                <c:pt idx="212">
                  <c:v>30/07/2021</c:v>
                </c:pt>
                <c:pt idx="213">
                  <c:v>01/08/2021</c:v>
                </c:pt>
                <c:pt idx="214">
                  <c:v>02/08/2021</c:v>
                </c:pt>
                <c:pt idx="215">
                  <c:v>03/08/2021</c:v>
                </c:pt>
                <c:pt idx="216">
                  <c:v>04/08/2021</c:v>
                </c:pt>
                <c:pt idx="217">
                  <c:v>05/08/2021</c:v>
                </c:pt>
                <c:pt idx="218">
                  <c:v>09/08/2021</c:v>
                </c:pt>
                <c:pt idx="219">
                  <c:v>10/08/2021</c:v>
                </c:pt>
                <c:pt idx="220">
                  <c:v>11/08/2021</c:v>
                </c:pt>
                <c:pt idx="221">
                  <c:v>12/08/2021</c:v>
                </c:pt>
                <c:pt idx="222">
                  <c:v>13/08/2021</c:v>
                </c:pt>
                <c:pt idx="223">
                  <c:v>17/08/2021</c:v>
                </c:pt>
                <c:pt idx="224">
                  <c:v>18/08/2021</c:v>
                </c:pt>
                <c:pt idx="225">
                  <c:v>19/08/2021</c:v>
                </c:pt>
                <c:pt idx="226">
                  <c:v>20/08/2021</c:v>
                </c:pt>
                <c:pt idx="227">
                  <c:v>23/08/2021</c:v>
                </c:pt>
                <c:pt idx="228">
                  <c:v>24/08/2021</c:v>
                </c:pt>
                <c:pt idx="229">
                  <c:v>25/08/2021</c:v>
                </c:pt>
                <c:pt idx="230">
                  <c:v>26/08/2021</c:v>
                </c:pt>
                <c:pt idx="231">
                  <c:v>27/08/2021</c:v>
                </c:pt>
                <c:pt idx="232">
                  <c:v>30/08/2021</c:v>
                </c:pt>
                <c:pt idx="233">
                  <c:v>31/08/2021</c:v>
                </c:pt>
                <c:pt idx="234">
                  <c:v>01/09/2021</c:v>
                </c:pt>
                <c:pt idx="235">
                  <c:v>02/09/2021</c:v>
                </c:pt>
                <c:pt idx="236">
                  <c:v>03/09/2021</c:v>
                </c:pt>
                <c:pt idx="237">
                  <c:v>06/09/2021</c:v>
                </c:pt>
                <c:pt idx="238">
                  <c:v>07/09/2021</c:v>
                </c:pt>
                <c:pt idx="239">
                  <c:v>08/09/2021</c:v>
                </c:pt>
                <c:pt idx="240">
                  <c:v>09/09/2021</c:v>
                </c:pt>
                <c:pt idx="241">
                  <c:v>10/09/2021</c:v>
                </c:pt>
                <c:pt idx="242">
                  <c:v>13/09/2021</c:v>
                </c:pt>
                <c:pt idx="243">
                  <c:v>14/09/2021</c:v>
                </c:pt>
                <c:pt idx="244">
                  <c:v>15/09/2021</c:v>
                </c:pt>
                <c:pt idx="245">
                  <c:v>16/09/2021</c:v>
                </c:pt>
                <c:pt idx="246">
                  <c:v>17/09/2021</c:v>
                </c:pt>
                <c:pt idx="247">
                  <c:v>20/09/2021</c:v>
                </c:pt>
                <c:pt idx="248">
                  <c:v>21/09/2021</c:v>
                </c:pt>
                <c:pt idx="249">
                  <c:v>22/09/2021</c:v>
                </c:pt>
                <c:pt idx="250">
                  <c:v>23/09/2021</c:v>
                </c:pt>
                <c:pt idx="251">
                  <c:v>24/09/2021</c:v>
                </c:pt>
                <c:pt idx="252">
                  <c:v>27/09/2021</c:v>
                </c:pt>
                <c:pt idx="253">
                  <c:v>28/09/2021</c:v>
                </c:pt>
                <c:pt idx="254">
                  <c:v>29/09/2021</c:v>
                </c:pt>
                <c:pt idx="255">
                  <c:v>30/09/2021</c:v>
                </c:pt>
                <c:pt idx="256">
                  <c:v>01/10/2021</c:v>
                </c:pt>
                <c:pt idx="257">
                  <c:v>04/10/2021</c:v>
                </c:pt>
                <c:pt idx="258">
                  <c:v>05/10/2021</c:v>
                </c:pt>
                <c:pt idx="259">
                  <c:v>06/10/2021</c:v>
                </c:pt>
                <c:pt idx="260">
                  <c:v>07/10/2021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  <c:pt idx="267">
                  <c:v>17/11/2021</c:v>
                </c:pt>
                <c:pt idx="268">
                  <c:v>16/11/2021</c:v>
                </c:pt>
                <c:pt idx="269">
                  <c:v>15/11/2021</c:v>
                </c:pt>
                <c:pt idx="270">
                  <c:v>12/11/2021</c:v>
                </c:pt>
                <c:pt idx="271">
                  <c:v>11/11/2021</c:v>
                </c:pt>
                <c:pt idx="272">
                  <c:v>10/11/2021</c:v>
                </c:pt>
                <c:pt idx="273">
                  <c:v>09/11/2021</c:v>
                </c:pt>
                <c:pt idx="274">
                  <c:v>08/11/2021</c:v>
                </c:pt>
                <c:pt idx="275">
                  <c:v>05/11/2021</c:v>
                </c:pt>
                <c:pt idx="276">
                  <c:v>04/11/2021</c:v>
                </c:pt>
                <c:pt idx="277">
                  <c:v>03/11/2021</c:v>
                </c:pt>
                <c:pt idx="278">
                  <c:v>02/11/2021</c:v>
                </c:pt>
                <c:pt idx="279">
                  <c:v>01/11/2021</c:v>
                </c:pt>
                <c:pt idx="280">
                  <c:v>29/10/2021</c:v>
                </c:pt>
                <c:pt idx="281">
                  <c:v>28/10/2021</c:v>
                </c:pt>
                <c:pt idx="282">
                  <c:v>27/10/2021</c:v>
                </c:pt>
                <c:pt idx="283">
                  <c:v>26/10/2021</c:v>
                </c:pt>
                <c:pt idx="284">
                  <c:v>25/10/2021</c:v>
                </c:pt>
                <c:pt idx="285">
                  <c:v>22/10/2021</c:v>
                </c:pt>
                <c:pt idx="286">
                  <c:v>21/10/2021</c:v>
                </c:pt>
                <c:pt idx="287">
                  <c:v>20/10/2021</c:v>
                </c:pt>
                <c:pt idx="288">
                  <c:v>19/10/2021</c:v>
                </c:pt>
              </c:strCache>
            </c:strRef>
          </c:cat>
          <c:val>
            <c:numRef>
              <c:f>'Grafico Paridades bkp'!$C$3:$C$292</c:f>
              <c:numCache>
                <c:formatCode>0.00%</c:formatCode>
                <c:ptCount val="289"/>
                <c:pt idx="0">
                  <c:v>0.54192447931053533</c:v>
                </c:pt>
                <c:pt idx="1">
                  <c:v>0.54190951026158052</c:v>
                </c:pt>
                <c:pt idx="2">
                  <c:v>0.51416970500497183</c:v>
                </c:pt>
                <c:pt idx="3">
                  <c:v>0.48401187681259489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0.47376415354874352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0.48694883900715102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0.49118726881245522</c:v>
                </c:pt>
                <c:pt idx="19">
                  <c:v>0.48966240649239517</c:v>
                </c:pt>
                <c:pt idx="20">
                  <c:v>0.48759349728133372</c:v>
                </c:pt>
                <c:pt idx="21">
                  <c:v>0.48758003974387282</c:v>
                </c:pt>
                <c:pt idx="22">
                  <c:v>0.46802362487235388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0.44619056817241087</c:v>
                </c:pt>
                <c:pt idx="27">
                  <c:v>0.48344370860927149</c:v>
                </c:pt>
                <c:pt idx="28">
                  <c:v>0.4935018349383295</c:v>
                </c:pt>
                <c:pt idx="29">
                  <c:v>0.47331972188500171</c:v>
                </c:pt>
                <c:pt idx="30">
                  <c:v>0.45316595392467929</c:v>
                </c:pt>
                <c:pt idx="31">
                  <c:v>0.48336368150968378</c:v>
                </c:pt>
                <c:pt idx="32">
                  <c:v>0.47025960769167108</c:v>
                </c:pt>
                <c:pt idx="33">
                  <c:v>0.46823273008165972</c:v>
                </c:pt>
                <c:pt idx="34">
                  <c:v>0.45137927229593672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0.46815523804269882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0.44290303013592869</c:v>
                </c:pt>
                <c:pt idx="49">
                  <c:v>0.44587296336117782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0.44264373518549138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0.43942821713970792</c:v>
                </c:pt>
                <c:pt idx="61">
                  <c:v>0.44552668558675218</c:v>
                </c:pt>
                <c:pt idx="62">
                  <c:v>0.44149170661817377</c:v>
                </c:pt>
                <c:pt idx="63">
                  <c:v>0.43725582036093119</c:v>
                </c:pt>
                <c:pt idx="64">
                  <c:v>0.43714321137315398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0.44239986777588008</c:v>
                </c:pt>
                <c:pt idx="69">
                  <c:v>0.44233894290357229</c:v>
                </c:pt>
                <c:pt idx="70">
                  <c:v>0.45016800705078769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0.43215485434219952</c:v>
                </c:pt>
                <c:pt idx="77">
                  <c:v>0.43312408799317198</c:v>
                </c:pt>
                <c:pt idx="78">
                  <c:v>0.43220775287704422</c:v>
                </c:pt>
                <c:pt idx="79">
                  <c:v>0.42405638300801152</c:v>
                </c:pt>
                <c:pt idx="80">
                  <c:v>0.41861854421319228</c:v>
                </c:pt>
                <c:pt idx="81">
                  <c:v>0.42202339986235382</c:v>
                </c:pt>
                <c:pt idx="82">
                  <c:v>0.42198854877780217</c:v>
                </c:pt>
                <c:pt idx="83">
                  <c:v>0.43302870984612851</c:v>
                </c:pt>
                <c:pt idx="84">
                  <c:v>0.43070602807597019</c:v>
                </c:pt>
                <c:pt idx="85">
                  <c:v>0.43250254603506638</c:v>
                </c:pt>
                <c:pt idx="86">
                  <c:v>0.43701144996146651</c:v>
                </c:pt>
                <c:pt idx="87">
                  <c:v>0.43566946470345402</c:v>
                </c:pt>
                <c:pt idx="88">
                  <c:v>0.43344754513430211</c:v>
                </c:pt>
                <c:pt idx="89">
                  <c:v>0.43192888791039441</c:v>
                </c:pt>
                <c:pt idx="90">
                  <c:v>0.43191700148604772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0.42431350429231779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0.42976616231086662</c:v>
                </c:pt>
                <c:pt idx="99">
                  <c:v>0.42975433963302251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0.42565597667638477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0.41651772211070481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0.38428445763923252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0.37923641461202268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0.39974852965426272</c:v>
                </c:pt>
                <c:pt idx="123">
                  <c:v>0.39913568032539087</c:v>
                </c:pt>
                <c:pt idx="124">
                  <c:v>0.39721886336154782</c:v>
                </c:pt>
                <c:pt idx="125">
                  <c:v>0.40119809843093068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0.39212803956587439</c:v>
                </c:pt>
                <c:pt idx="129">
                  <c:v>0.38216797626243199</c:v>
                </c:pt>
                <c:pt idx="130">
                  <c:v>0.38205719937360921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0.37996813799544038</c:v>
                </c:pt>
                <c:pt idx="135">
                  <c:v>0.37604784662711488</c:v>
                </c:pt>
                <c:pt idx="136">
                  <c:v>0.37864401658930491</c:v>
                </c:pt>
                <c:pt idx="137">
                  <c:v>0.38693287927057007</c:v>
                </c:pt>
                <c:pt idx="138">
                  <c:v>0.39995331337709061</c:v>
                </c:pt>
                <c:pt idx="139">
                  <c:v>0.39292579777008851</c:v>
                </c:pt>
                <c:pt idx="140">
                  <c:v>0.39091033914595641</c:v>
                </c:pt>
                <c:pt idx="141">
                  <c:v>0.38999752855887521</c:v>
                </c:pt>
                <c:pt idx="142">
                  <c:v>0.39397429912957532</c:v>
                </c:pt>
                <c:pt idx="143">
                  <c:v>0.39436436024162552</c:v>
                </c:pt>
                <c:pt idx="144">
                  <c:v>0.39084594052881583</c:v>
                </c:pt>
                <c:pt idx="145">
                  <c:v>0.39885234199110431</c:v>
                </c:pt>
                <c:pt idx="146">
                  <c:v>0.39834033440408528</c:v>
                </c:pt>
                <c:pt idx="147">
                  <c:v>0.39580244880030752</c:v>
                </c:pt>
                <c:pt idx="148">
                  <c:v>0.39478957915831658</c:v>
                </c:pt>
                <c:pt idx="149">
                  <c:v>0.39327577687493143</c:v>
                </c:pt>
                <c:pt idx="150">
                  <c:v>0.39777375168135282</c:v>
                </c:pt>
                <c:pt idx="151">
                  <c:v>0.39074938237716172</c:v>
                </c:pt>
                <c:pt idx="152">
                  <c:v>0.39632750528367139</c:v>
                </c:pt>
                <c:pt idx="153">
                  <c:v>0.36676318823077347</c:v>
                </c:pt>
                <c:pt idx="154">
                  <c:v>0.38819129957458492</c:v>
                </c:pt>
                <c:pt idx="155">
                  <c:v>0.39268854978592599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0.38882851732938167</c:v>
                </c:pt>
                <c:pt idx="159">
                  <c:v>0.39252373634816973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0.40156108535213592</c:v>
                </c:pt>
                <c:pt idx="165">
                  <c:v>0.40355281207133048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0.40056091941412042</c:v>
                </c:pt>
                <c:pt idx="170">
                  <c:v>0.4054332026000384</c:v>
                </c:pt>
                <c:pt idx="171">
                  <c:v>0.40842520980747082</c:v>
                </c:pt>
                <c:pt idx="172">
                  <c:v>0.41942517072100483</c:v>
                </c:pt>
                <c:pt idx="173">
                  <c:v>0.41841268100043882</c:v>
                </c:pt>
                <c:pt idx="174">
                  <c:v>0.41770053475935831</c:v>
                </c:pt>
                <c:pt idx="175">
                  <c:v>0.42387161346934299</c:v>
                </c:pt>
                <c:pt idx="176">
                  <c:v>0.42536126573254002</c:v>
                </c:pt>
                <c:pt idx="177">
                  <c:v>0.4403619413216342</c:v>
                </c:pt>
                <c:pt idx="178">
                  <c:v>0.44034986701763051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0.44028950542822681</c:v>
                </c:pt>
                <c:pt idx="182">
                  <c:v>0.43527428242454153</c:v>
                </c:pt>
                <c:pt idx="183">
                  <c:v>0.43125993749657332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0.41618243613638861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0.40512209158924611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0.39554334721613332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0.39146782456236467</c:v>
                </c:pt>
                <c:pt idx="199">
                  <c:v>0.39305692526846381</c:v>
                </c:pt>
                <c:pt idx="200">
                  <c:v>0.39494589782221612</c:v>
                </c:pt>
                <c:pt idx="201">
                  <c:v>0.39493507916506881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0.40887677686176771</c:v>
                </c:pt>
                <c:pt idx="205">
                  <c:v>0.40036837204206832</c:v>
                </c:pt>
                <c:pt idx="206">
                  <c:v>0.40585544874428292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  <c:pt idx="213">
                  <c:v>0.40474495523368842</c:v>
                </c:pt>
                <c:pt idx="214">
                  <c:v>0.39983709341802648</c:v>
                </c:pt>
                <c:pt idx="215">
                  <c:v>0.40472279260780292</c:v>
                </c:pt>
                <c:pt idx="216">
                  <c:v>0.40970815309642439</c:v>
                </c:pt>
                <c:pt idx="217">
                  <c:v>0.40370137158814029</c:v>
                </c:pt>
                <c:pt idx="218">
                  <c:v>0.40016013796501598</c:v>
                </c:pt>
                <c:pt idx="219">
                  <c:v>0.40464524252709949</c:v>
                </c:pt>
                <c:pt idx="220">
                  <c:v>0.40463416637013111</c:v>
                </c:pt>
                <c:pt idx="221">
                  <c:v>0.40662122953960689</c:v>
                </c:pt>
                <c:pt idx="222">
                  <c:v>0.40561105788969481</c:v>
                </c:pt>
                <c:pt idx="223">
                  <c:v>0.39767508689345632</c:v>
                </c:pt>
                <c:pt idx="224">
                  <c:v>0.39956212370005473</c:v>
                </c:pt>
                <c:pt idx="225">
                  <c:v>0.39955118907528531</c:v>
                </c:pt>
                <c:pt idx="226">
                  <c:v>0.3895517486727601</c:v>
                </c:pt>
                <c:pt idx="227">
                  <c:v>0.39950745656040498</c:v>
                </c:pt>
                <c:pt idx="228">
                  <c:v>0.40948393805067579</c:v>
                </c:pt>
                <c:pt idx="229">
                  <c:v>0.4134675896790434</c:v>
                </c:pt>
                <c:pt idx="230">
                  <c:v>0.41645233665316839</c:v>
                </c:pt>
                <c:pt idx="231">
                  <c:v>0.42043557963282169</c:v>
                </c:pt>
                <c:pt idx="232">
                  <c:v>0.42439538192164589</c:v>
                </c:pt>
                <c:pt idx="233">
                  <c:v>0.42038957130741672</c:v>
                </c:pt>
                <c:pt idx="234">
                  <c:v>0.42437216173332598</c:v>
                </c:pt>
                <c:pt idx="235">
                  <c:v>0.43334701135275611</c:v>
                </c:pt>
                <c:pt idx="236">
                  <c:v>0.42185277382645803</c:v>
                </c:pt>
                <c:pt idx="237">
                  <c:v>0.42681008780327689</c:v>
                </c:pt>
                <c:pt idx="238">
                  <c:v>0.42929431072210072</c:v>
                </c:pt>
                <c:pt idx="239">
                  <c:v>0.42429091108011269</c:v>
                </c:pt>
                <c:pt idx="240">
                  <c:v>0.41679202450631803</c:v>
                </c:pt>
                <c:pt idx="241">
                  <c:v>0.4167806252222192</c:v>
                </c:pt>
                <c:pt idx="242">
                  <c:v>0.43321664934638732</c:v>
                </c:pt>
                <c:pt idx="243">
                  <c:v>0.42921213115650719</c:v>
                </c:pt>
                <c:pt idx="244">
                  <c:v>0.4341910960402538</c:v>
                </c:pt>
                <c:pt idx="245">
                  <c:v>0.42918865705925779</c:v>
                </c:pt>
                <c:pt idx="246">
                  <c:v>0.43416735028712061</c:v>
                </c:pt>
                <c:pt idx="247">
                  <c:v>0.43413173652694609</c:v>
                </c:pt>
                <c:pt idx="248">
                  <c:v>0.41116640236233393</c:v>
                </c:pt>
                <c:pt idx="249">
                  <c:v>0.41414900888585099</c:v>
                </c:pt>
                <c:pt idx="250">
                  <c:v>0.41323955599300077</c:v>
                </c:pt>
                <c:pt idx="251">
                  <c:v>0.40813899445006419</c:v>
                </c:pt>
                <c:pt idx="252">
                  <c:v>0.40610989611809728</c:v>
                </c:pt>
                <c:pt idx="253">
                  <c:v>0.41108772313496078</c:v>
                </c:pt>
                <c:pt idx="254">
                  <c:v>0.41656415723579898</c:v>
                </c:pt>
                <c:pt idx="255">
                  <c:v>0.41306071125932808</c:v>
                </c:pt>
                <c:pt idx="256">
                  <c:v>0.41983380712879947</c:v>
                </c:pt>
                <c:pt idx="257">
                  <c:v>0.41401317407822452</c:v>
                </c:pt>
                <c:pt idx="258">
                  <c:v>0.41599704821252881</c:v>
                </c:pt>
                <c:pt idx="259">
                  <c:v>0.41598567875591019</c:v>
                </c:pt>
                <c:pt idx="260">
                  <c:v>0.40899152773981962</c:v>
                </c:pt>
                <c:pt idx="261">
                  <c:v>0.40394862686159311</c:v>
                </c:pt>
                <c:pt idx="262">
                  <c:v>0.40453601486501262</c:v>
                </c:pt>
                <c:pt idx="263">
                  <c:v>0.40392655135666861</c:v>
                </c:pt>
                <c:pt idx="264">
                  <c:v>0.40501256899284122</c:v>
                </c:pt>
                <c:pt idx="265">
                  <c:v>0.39391000245894919</c:v>
                </c:pt>
                <c:pt idx="267">
                  <c:v>0.39109633916627989</c:v>
                </c:pt>
                <c:pt idx="268">
                  <c:v>0.39110701610701609</c:v>
                </c:pt>
                <c:pt idx="269">
                  <c:v>0.38663354172923092</c:v>
                </c:pt>
                <c:pt idx="270">
                  <c:v>0.38367553104352098</c:v>
                </c:pt>
                <c:pt idx="271">
                  <c:v>0.38866894197952218</c:v>
                </c:pt>
                <c:pt idx="272">
                  <c:v>0.38867955439056362</c:v>
                </c:pt>
                <c:pt idx="273">
                  <c:v>0.37274390410397829</c:v>
                </c:pt>
                <c:pt idx="274">
                  <c:v>0.37823575992572772</c:v>
                </c:pt>
                <c:pt idx="275">
                  <c:v>0.37278462000600782</c:v>
                </c:pt>
                <c:pt idx="276">
                  <c:v>0.37678191053580201</c:v>
                </c:pt>
                <c:pt idx="277">
                  <c:v>0.37729060272551002</c:v>
                </c:pt>
                <c:pt idx="278">
                  <c:v>0.37381199475639071</c:v>
                </c:pt>
                <c:pt idx="279">
                  <c:v>0.37980335927898401</c:v>
                </c:pt>
                <c:pt idx="280">
                  <c:v>0.38083142139189341</c:v>
                </c:pt>
                <c:pt idx="281">
                  <c:v>0.38482969599300759</c:v>
                </c:pt>
                <c:pt idx="282">
                  <c:v>0.38882818901939359</c:v>
                </c:pt>
                <c:pt idx="283">
                  <c:v>0.3888388101286569</c:v>
                </c:pt>
                <c:pt idx="284">
                  <c:v>0.38685533216783208</c:v>
                </c:pt>
                <c:pt idx="285">
                  <c:v>0.38888130036880209</c:v>
                </c:pt>
                <c:pt idx="286">
                  <c:v>0.38889192437984921</c:v>
                </c:pt>
                <c:pt idx="287">
                  <c:v>0.39388847908641372</c:v>
                </c:pt>
                <c:pt idx="288">
                  <c:v>0.39389924047866243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9D-4312-B392-89DABA539039}"/>
            </c:ext>
          </c:extLst>
        </c:ser>
        <c:ser>
          <c:idx val="2"/>
          <c:order val="2"/>
          <c:tx>
            <c:strRef>
              <c:f>'Grafico Paridades bkp'!$D$1:$D$2</c:f>
              <c:strCache>
                <c:ptCount val="1"/>
                <c:pt idx="0">
                  <c:v>Suma de P38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bkp'!$A$3:$A$292</c:f>
              <c:strCache>
                <c:ptCount val="289"/>
                <c:pt idx="0">
                  <c:v>14/09/2020</c:v>
                </c:pt>
                <c:pt idx="1">
                  <c:v>15/09/2020</c:v>
                </c:pt>
                <c:pt idx="2">
                  <c:v>16/09/2020</c:v>
                </c:pt>
                <c:pt idx="3">
                  <c:v>17/09/2020</c:v>
                </c:pt>
                <c:pt idx="4">
                  <c:v>18/09/2020</c:v>
                </c:pt>
                <c:pt idx="5">
                  <c:v>21/09/2020</c:v>
                </c:pt>
                <c:pt idx="6">
                  <c:v>22/09/2020</c:v>
                </c:pt>
                <c:pt idx="7">
                  <c:v>23/09/2020</c:v>
                </c:pt>
                <c:pt idx="8">
                  <c:v>24/09/2020</c:v>
                </c:pt>
                <c:pt idx="9">
                  <c:v>25/09/2020</c:v>
                </c:pt>
                <c:pt idx="10">
                  <c:v>28/09/2020</c:v>
                </c:pt>
                <c:pt idx="11">
                  <c:v>29/09/2020</c:v>
                </c:pt>
                <c:pt idx="12">
                  <c:v>30/09/2020</c:v>
                </c:pt>
                <c:pt idx="13">
                  <c:v>01/10/2020</c:v>
                </c:pt>
                <c:pt idx="14">
                  <c:v>02/10/2020</c:v>
                </c:pt>
                <c:pt idx="15">
                  <c:v>05/10/2020</c:v>
                </c:pt>
                <c:pt idx="16">
                  <c:v>06/10/2020</c:v>
                </c:pt>
                <c:pt idx="17">
                  <c:v>07/10/2020</c:v>
                </c:pt>
                <c:pt idx="18">
                  <c:v>08/10/2020</c:v>
                </c:pt>
                <c:pt idx="19">
                  <c:v>09/10/2020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02/11/2020</c:v>
                </c:pt>
                <c:pt idx="35">
                  <c:v>03/11/2020</c:v>
                </c:pt>
                <c:pt idx="36">
                  <c:v>04/11/2020</c:v>
                </c:pt>
                <c:pt idx="37">
                  <c:v>05/11/2020</c:v>
                </c:pt>
                <c:pt idx="38">
                  <c:v>06/11/2020</c:v>
                </c:pt>
                <c:pt idx="39">
                  <c:v>09/11/2020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01/12/2020</c:v>
                </c:pt>
                <c:pt idx="55">
                  <c:v>02/12/2020</c:v>
                </c:pt>
                <c:pt idx="56">
                  <c:v>03/12/2020</c:v>
                </c:pt>
                <c:pt idx="57">
                  <c:v>04/12/2020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11/01/2021</c:v>
                </c:pt>
                <c:pt idx="78">
                  <c:v>12/01/2021</c:v>
                </c:pt>
                <c:pt idx="79">
                  <c:v>13/01/2021</c:v>
                </c:pt>
                <c:pt idx="80">
                  <c:v>14/01/2021</c:v>
                </c:pt>
                <c:pt idx="81">
                  <c:v>15/01/2021</c:v>
                </c:pt>
                <c:pt idx="82">
                  <c:v>18/01/2021</c:v>
                </c:pt>
                <c:pt idx="83">
                  <c:v>19/01/2021</c:v>
                </c:pt>
                <c:pt idx="84">
                  <c:v>20/01/2021</c:v>
                </c:pt>
                <c:pt idx="85">
                  <c:v>21/01/2021</c:v>
                </c:pt>
                <c:pt idx="86">
                  <c:v>22/01/2021</c:v>
                </c:pt>
                <c:pt idx="87">
                  <c:v>25/01/2021</c:v>
                </c:pt>
                <c:pt idx="88">
                  <c:v>26/01/2021</c:v>
                </c:pt>
                <c:pt idx="89">
                  <c:v>27/01/2021</c:v>
                </c:pt>
                <c:pt idx="90">
                  <c:v>28/01/2021</c:v>
                </c:pt>
                <c:pt idx="91">
                  <c:v>29/01/2021</c:v>
                </c:pt>
                <c:pt idx="92">
                  <c:v>01/02/2021</c:v>
                </c:pt>
                <c:pt idx="93">
                  <c:v>02/02/2021</c:v>
                </c:pt>
                <c:pt idx="94">
                  <c:v>03/02/2021</c:v>
                </c:pt>
                <c:pt idx="95">
                  <c:v>04/02/2021</c:v>
                </c:pt>
                <c:pt idx="96">
                  <c:v>05/02/2021</c:v>
                </c:pt>
                <c:pt idx="97">
                  <c:v>08/02/2021</c:v>
                </c:pt>
                <c:pt idx="98">
                  <c:v>09/02/2021</c:v>
                </c:pt>
                <c:pt idx="99">
                  <c:v>10/02/2021</c:v>
                </c:pt>
                <c:pt idx="100">
                  <c:v>11/02/2021</c:v>
                </c:pt>
                <c:pt idx="101">
                  <c:v>12/02/2021</c:v>
                </c:pt>
                <c:pt idx="102">
                  <c:v>17/02/2021</c:v>
                </c:pt>
                <c:pt idx="103">
                  <c:v>18/02/2021</c:v>
                </c:pt>
                <c:pt idx="104">
                  <c:v>19/02/2021</c:v>
                </c:pt>
                <c:pt idx="105">
                  <c:v>22/02/2021</c:v>
                </c:pt>
                <c:pt idx="106">
                  <c:v>23/02/2021</c:v>
                </c:pt>
                <c:pt idx="107">
                  <c:v>24/02/2021</c:v>
                </c:pt>
                <c:pt idx="108">
                  <c:v>25/02/2021</c:v>
                </c:pt>
                <c:pt idx="109">
                  <c:v>26/02/2021</c:v>
                </c:pt>
                <c:pt idx="110">
                  <c:v>01/03/2021</c:v>
                </c:pt>
                <c:pt idx="111">
                  <c:v>02/03/2021</c:v>
                </c:pt>
                <c:pt idx="112">
                  <c:v>03/03/2021</c:v>
                </c:pt>
                <c:pt idx="113">
                  <c:v>04/03/2021</c:v>
                </c:pt>
                <c:pt idx="114">
                  <c:v>05/03/2021</c:v>
                </c:pt>
                <c:pt idx="115">
                  <c:v>08/03/2021</c:v>
                </c:pt>
                <c:pt idx="116">
                  <c:v>09/03/2021</c:v>
                </c:pt>
                <c:pt idx="117">
                  <c:v>10/03/2021</c:v>
                </c:pt>
                <c:pt idx="118">
                  <c:v>11/03/2021</c:v>
                </c:pt>
                <c:pt idx="119">
                  <c:v>12/03/2021</c:v>
                </c:pt>
                <c:pt idx="120">
                  <c:v>15/03/2021</c:v>
                </c:pt>
                <c:pt idx="121">
                  <c:v>16/03/2021</c:v>
                </c:pt>
                <c:pt idx="122">
                  <c:v>17/03/2021</c:v>
                </c:pt>
                <c:pt idx="123">
                  <c:v>18/03/2021</c:v>
                </c:pt>
                <c:pt idx="124">
                  <c:v>19/03/2021</c:v>
                </c:pt>
                <c:pt idx="125">
                  <c:v>22/03/2021</c:v>
                </c:pt>
                <c:pt idx="126">
                  <c:v>23/03/2021</c:v>
                </c:pt>
                <c:pt idx="127">
                  <c:v>25/03/2021</c:v>
                </c:pt>
                <c:pt idx="128">
                  <c:v>26/03/2021</c:v>
                </c:pt>
                <c:pt idx="129">
                  <c:v>29/03/2021</c:v>
                </c:pt>
                <c:pt idx="130">
                  <c:v>30/03/2021</c:v>
                </c:pt>
                <c:pt idx="131">
                  <c:v>31/03/2021</c:v>
                </c:pt>
                <c:pt idx="132">
                  <c:v>05/04/2021</c:v>
                </c:pt>
                <c:pt idx="133">
                  <c:v>06/04/2021</c:v>
                </c:pt>
                <c:pt idx="134">
                  <c:v>07/04/2021</c:v>
                </c:pt>
                <c:pt idx="135">
                  <c:v>08/04/2021</c:v>
                </c:pt>
                <c:pt idx="136">
                  <c:v>09/04/2021</c:v>
                </c:pt>
                <c:pt idx="137">
                  <c:v>12/04/2021</c:v>
                </c:pt>
                <c:pt idx="138">
                  <c:v>13/04/2021</c:v>
                </c:pt>
                <c:pt idx="139">
                  <c:v>14/04/2021</c:v>
                </c:pt>
                <c:pt idx="140">
                  <c:v>15/04/2021</c:v>
                </c:pt>
                <c:pt idx="141">
                  <c:v>16/04/2021</c:v>
                </c:pt>
                <c:pt idx="142">
                  <c:v>19/04/2021</c:v>
                </c:pt>
                <c:pt idx="143">
                  <c:v>20/04/2021</c:v>
                </c:pt>
                <c:pt idx="144">
                  <c:v>21/04/2021</c:v>
                </c:pt>
                <c:pt idx="145">
                  <c:v>22/04/2021</c:v>
                </c:pt>
                <c:pt idx="146">
                  <c:v>23/04/2021</c:v>
                </c:pt>
                <c:pt idx="147">
                  <c:v>26/04/2021</c:v>
                </c:pt>
                <c:pt idx="148">
                  <c:v>27/04/2021</c:v>
                </c:pt>
                <c:pt idx="149">
                  <c:v>28/04/2021</c:v>
                </c:pt>
                <c:pt idx="150">
                  <c:v>29/04/2021</c:v>
                </c:pt>
                <c:pt idx="151">
                  <c:v>30/04/2021</c:v>
                </c:pt>
                <c:pt idx="152">
                  <c:v>03/05/2021</c:v>
                </c:pt>
                <c:pt idx="153">
                  <c:v>04/05/2021</c:v>
                </c:pt>
                <c:pt idx="154">
                  <c:v>05/05/2021</c:v>
                </c:pt>
                <c:pt idx="155">
                  <c:v>06/05/2021</c:v>
                </c:pt>
                <c:pt idx="156">
                  <c:v>07/05/2021</c:v>
                </c:pt>
                <c:pt idx="157">
                  <c:v>10/05/2021</c:v>
                </c:pt>
                <c:pt idx="158">
                  <c:v>11/05/2021</c:v>
                </c:pt>
                <c:pt idx="159">
                  <c:v>12/05/2021</c:v>
                </c:pt>
                <c:pt idx="160">
                  <c:v>13/05/2021</c:v>
                </c:pt>
                <c:pt idx="161">
                  <c:v>14/05/2021</c:v>
                </c:pt>
                <c:pt idx="162">
                  <c:v>17/05/2021</c:v>
                </c:pt>
                <c:pt idx="163">
                  <c:v>18/05/2021</c:v>
                </c:pt>
                <c:pt idx="164">
                  <c:v>19/05/2021</c:v>
                </c:pt>
                <c:pt idx="165">
                  <c:v>20/05/2021</c:v>
                </c:pt>
                <c:pt idx="166">
                  <c:v>21/05/2021</c:v>
                </c:pt>
                <c:pt idx="167">
                  <c:v>26/05/2021</c:v>
                </c:pt>
                <c:pt idx="168">
                  <c:v>27/05/2021</c:v>
                </c:pt>
                <c:pt idx="169">
                  <c:v>28/05/2021</c:v>
                </c:pt>
                <c:pt idx="170">
                  <c:v>31/05/2021</c:v>
                </c:pt>
                <c:pt idx="171">
                  <c:v>01/06/2021</c:v>
                </c:pt>
                <c:pt idx="172">
                  <c:v>02/06/2021</c:v>
                </c:pt>
                <c:pt idx="173">
                  <c:v>03/06/2021</c:v>
                </c:pt>
                <c:pt idx="174">
                  <c:v>04/06/2021</c:v>
                </c:pt>
                <c:pt idx="175">
                  <c:v>07/06/2021</c:v>
                </c:pt>
                <c:pt idx="176">
                  <c:v>08/06/2021</c:v>
                </c:pt>
                <c:pt idx="177">
                  <c:v>09/06/2021</c:v>
                </c:pt>
                <c:pt idx="178">
                  <c:v>10/06/2021</c:v>
                </c:pt>
                <c:pt idx="179">
                  <c:v>11/06/2021</c:v>
                </c:pt>
                <c:pt idx="180">
                  <c:v>14/06/2021</c:v>
                </c:pt>
                <c:pt idx="181">
                  <c:v>15/06/2021</c:v>
                </c:pt>
                <c:pt idx="182">
                  <c:v>16/06/2021</c:v>
                </c:pt>
                <c:pt idx="183">
                  <c:v>17/06/2021</c:v>
                </c:pt>
                <c:pt idx="184">
                  <c:v>18/06/2021</c:v>
                </c:pt>
                <c:pt idx="185">
                  <c:v>22/06/2021</c:v>
                </c:pt>
                <c:pt idx="186">
                  <c:v>23/06/2021</c:v>
                </c:pt>
                <c:pt idx="187">
                  <c:v>24/06/2021</c:v>
                </c:pt>
                <c:pt idx="188">
                  <c:v>25/06/2021</c:v>
                </c:pt>
                <c:pt idx="189">
                  <c:v>28/06/2021</c:v>
                </c:pt>
                <c:pt idx="190">
                  <c:v>29/06/2021</c:v>
                </c:pt>
                <c:pt idx="191">
                  <c:v>30/06/2021</c:v>
                </c:pt>
                <c:pt idx="192">
                  <c:v>01/07/2021</c:v>
                </c:pt>
                <c:pt idx="193">
                  <c:v>02/07/2021</c:v>
                </c:pt>
                <c:pt idx="194">
                  <c:v>05/07/2021</c:v>
                </c:pt>
                <c:pt idx="195">
                  <c:v>06/07/2021</c:v>
                </c:pt>
                <c:pt idx="196">
                  <c:v>07/07/2021</c:v>
                </c:pt>
                <c:pt idx="197">
                  <c:v>08/07/2021</c:v>
                </c:pt>
                <c:pt idx="198">
                  <c:v>12/07/2021</c:v>
                </c:pt>
                <c:pt idx="199">
                  <c:v>13/07/2021</c:v>
                </c:pt>
                <c:pt idx="200">
                  <c:v>14/07/2021</c:v>
                </c:pt>
                <c:pt idx="201">
                  <c:v>15/07/2021</c:v>
                </c:pt>
                <c:pt idx="202">
                  <c:v>16/07/2021</c:v>
                </c:pt>
                <c:pt idx="203">
                  <c:v>19/07/2021</c:v>
                </c:pt>
                <c:pt idx="204">
                  <c:v>20/07/2021</c:v>
                </c:pt>
                <c:pt idx="205">
                  <c:v>21/07/2021</c:v>
                </c:pt>
                <c:pt idx="206">
                  <c:v>22/07/2021</c:v>
                </c:pt>
                <c:pt idx="207">
                  <c:v>23/07/2021</c:v>
                </c:pt>
                <c:pt idx="208">
                  <c:v>26/07/2021</c:v>
                </c:pt>
                <c:pt idx="209">
                  <c:v>27/07/2021</c:v>
                </c:pt>
                <c:pt idx="210">
                  <c:v>28/07/2021</c:v>
                </c:pt>
                <c:pt idx="211">
                  <c:v>29/07/2021</c:v>
                </c:pt>
                <c:pt idx="212">
                  <c:v>30/07/2021</c:v>
                </c:pt>
                <c:pt idx="213">
                  <c:v>01/08/2021</c:v>
                </c:pt>
                <c:pt idx="214">
                  <c:v>02/08/2021</c:v>
                </c:pt>
                <c:pt idx="215">
                  <c:v>03/08/2021</c:v>
                </c:pt>
                <c:pt idx="216">
                  <c:v>04/08/2021</c:v>
                </c:pt>
                <c:pt idx="217">
                  <c:v>05/08/2021</c:v>
                </c:pt>
                <c:pt idx="218">
                  <c:v>09/08/2021</c:v>
                </c:pt>
                <c:pt idx="219">
                  <c:v>10/08/2021</c:v>
                </c:pt>
                <c:pt idx="220">
                  <c:v>11/08/2021</c:v>
                </c:pt>
                <c:pt idx="221">
                  <c:v>12/08/2021</c:v>
                </c:pt>
                <c:pt idx="222">
                  <c:v>13/08/2021</c:v>
                </c:pt>
                <c:pt idx="223">
                  <c:v>17/08/2021</c:v>
                </c:pt>
                <c:pt idx="224">
                  <c:v>18/08/2021</c:v>
                </c:pt>
                <c:pt idx="225">
                  <c:v>19/08/2021</c:v>
                </c:pt>
                <c:pt idx="226">
                  <c:v>20/08/2021</c:v>
                </c:pt>
                <c:pt idx="227">
                  <c:v>23/08/2021</c:v>
                </c:pt>
                <c:pt idx="228">
                  <c:v>24/08/2021</c:v>
                </c:pt>
                <c:pt idx="229">
                  <c:v>25/08/2021</c:v>
                </c:pt>
                <c:pt idx="230">
                  <c:v>26/08/2021</c:v>
                </c:pt>
                <c:pt idx="231">
                  <c:v>27/08/2021</c:v>
                </c:pt>
                <c:pt idx="232">
                  <c:v>30/08/2021</c:v>
                </c:pt>
                <c:pt idx="233">
                  <c:v>31/08/2021</c:v>
                </c:pt>
                <c:pt idx="234">
                  <c:v>01/09/2021</c:v>
                </c:pt>
                <c:pt idx="235">
                  <c:v>02/09/2021</c:v>
                </c:pt>
                <c:pt idx="236">
                  <c:v>03/09/2021</c:v>
                </c:pt>
                <c:pt idx="237">
                  <c:v>06/09/2021</c:v>
                </c:pt>
                <c:pt idx="238">
                  <c:v>07/09/2021</c:v>
                </c:pt>
                <c:pt idx="239">
                  <c:v>08/09/2021</c:v>
                </c:pt>
                <c:pt idx="240">
                  <c:v>09/09/2021</c:v>
                </c:pt>
                <c:pt idx="241">
                  <c:v>10/09/2021</c:v>
                </c:pt>
                <c:pt idx="242">
                  <c:v>13/09/2021</c:v>
                </c:pt>
                <c:pt idx="243">
                  <c:v>14/09/2021</c:v>
                </c:pt>
                <c:pt idx="244">
                  <c:v>15/09/2021</c:v>
                </c:pt>
                <c:pt idx="245">
                  <c:v>16/09/2021</c:v>
                </c:pt>
                <c:pt idx="246">
                  <c:v>17/09/2021</c:v>
                </c:pt>
                <c:pt idx="247">
                  <c:v>20/09/2021</c:v>
                </c:pt>
                <c:pt idx="248">
                  <c:v>21/09/2021</c:v>
                </c:pt>
                <c:pt idx="249">
                  <c:v>22/09/2021</c:v>
                </c:pt>
                <c:pt idx="250">
                  <c:v>23/09/2021</c:v>
                </c:pt>
                <c:pt idx="251">
                  <c:v>24/09/2021</c:v>
                </c:pt>
                <c:pt idx="252">
                  <c:v>27/09/2021</c:v>
                </c:pt>
                <c:pt idx="253">
                  <c:v>28/09/2021</c:v>
                </c:pt>
                <c:pt idx="254">
                  <c:v>29/09/2021</c:v>
                </c:pt>
                <c:pt idx="255">
                  <c:v>30/09/2021</c:v>
                </c:pt>
                <c:pt idx="256">
                  <c:v>01/10/2021</c:v>
                </c:pt>
                <c:pt idx="257">
                  <c:v>04/10/2021</c:v>
                </c:pt>
                <c:pt idx="258">
                  <c:v>05/10/2021</c:v>
                </c:pt>
                <c:pt idx="259">
                  <c:v>06/10/2021</c:v>
                </c:pt>
                <c:pt idx="260">
                  <c:v>07/10/2021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  <c:pt idx="267">
                  <c:v>17/11/2021</c:v>
                </c:pt>
                <c:pt idx="268">
                  <c:v>16/11/2021</c:v>
                </c:pt>
                <c:pt idx="269">
                  <c:v>15/11/2021</c:v>
                </c:pt>
                <c:pt idx="270">
                  <c:v>12/11/2021</c:v>
                </c:pt>
                <c:pt idx="271">
                  <c:v>11/11/2021</c:v>
                </c:pt>
                <c:pt idx="272">
                  <c:v>10/11/2021</c:v>
                </c:pt>
                <c:pt idx="273">
                  <c:v>09/11/2021</c:v>
                </c:pt>
                <c:pt idx="274">
                  <c:v>08/11/2021</c:v>
                </c:pt>
                <c:pt idx="275">
                  <c:v>05/11/2021</c:v>
                </c:pt>
                <c:pt idx="276">
                  <c:v>04/11/2021</c:v>
                </c:pt>
                <c:pt idx="277">
                  <c:v>03/11/2021</c:v>
                </c:pt>
                <c:pt idx="278">
                  <c:v>02/11/2021</c:v>
                </c:pt>
                <c:pt idx="279">
                  <c:v>01/11/2021</c:v>
                </c:pt>
                <c:pt idx="280">
                  <c:v>29/10/2021</c:v>
                </c:pt>
                <c:pt idx="281">
                  <c:v>28/10/2021</c:v>
                </c:pt>
                <c:pt idx="282">
                  <c:v>27/10/2021</c:v>
                </c:pt>
                <c:pt idx="283">
                  <c:v>26/10/2021</c:v>
                </c:pt>
                <c:pt idx="284">
                  <c:v>25/10/2021</c:v>
                </c:pt>
                <c:pt idx="285">
                  <c:v>22/10/2021</c:v>
                </c:pt>
                <c:pt idx="286">
                  <c:v>21/10/2021</c:v>
                </c:pt>
                <c:pt idx="287">
                  <c:v>20/10/2021</c:v>
                </c:pt>
                <c:pt idx="288">
                  <c:v>19/10/2021</c:v>
                </c:pt>
              </c:strCache>
            </c:strRef>
          </c:cat>
          <c:val>
            <c:numRef>
              <c:f>'Grafico Paridades bkp'!$D$3:$D$292</c:f>
              <c:numCache>
                <c:formatCode>0.00%</c:formatCode>
                <c:ptCount val="289"/>
                <c:pt idx="0">
                  <c:v>0.49250262253944088</c:v>
                </c:pt>
                <c:pt idx="1">
                  <c:v>0.48399227981885679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0.43393244637635447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0.43442847740236951</c:v>
                </c:pt>
                <c:pt idx="9">
                  <c:v>0.42932197056696142</c:v>
                </c:pt>
                <c:pt idx="10">
                  <c:v>0.42471307710238732</c:v>
                </c:pt>
                <c:pt idx="11">
                  <c:v>0.41840550944922639</c:v>
                </c:pt>
                <c:pt idx="12">
                  <c:v>0.42440987529052032</c:v>
                </c:pt>
                <c:pt idx="13">
                  <c:v>0.42941323671067022</c:v>
                </c:pt>
                <c:pt idx="14">
                  <c:v>0.42190456602221299</c:v>
                </c:pt>
                <c:pt idx="15">
                  <c:v>0.41689547961593698</c:v>
                </c:pt>
                <c:pt idx="16">
                  <c:v>0.41439168529157688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0.41598892114888242</c:v>
                </c:pt>
                <c:pt idx="20">
                  <c:v>0.41598321741604433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0.39836289222373811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0.37313096205195712</c:v>
                </c:pt>
                <c:pt idx="29">
                  <c:v>0.36031589338598219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0.36121296877088721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0.37431534786155463</c:v>
                </c:pt>
                <c:pt idx="38">
                  <c:v>0.37411389693407138</c:v>
                </c:pt>
                <c:pt idx="39">
                  <c:v>0.37931436327367202</c:v>
                </c:pt>
                <c:pt idx="40">
                  <c:v>0.38531801932416831</c:v>
                </c:pt>
                <c:pt idx="41">
                  <c:v>0.38481628735947349</c:v>
                </c:pt>
                <c:pt idx="42">
                  <c:v>0.39031947381589732</c:v>
                </c:pt>
                <c:pt idx="43">
                  <c:v>0.39702360142856158</c:v>
                </c:pt>
                <c:pt idx="44">
                  <c:v>0.39832056620910661</c:v>
                </c:pt>
                <c:pt idx="45">
                  <c:v>0.39681799798468642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0.38079602979028221</c:v>
                </c:pt>
                <c:pt idx="50">
                  <c:v>0.38029433739812318</c:v>
                </c:pt>
                <c:pt idx="51">
                  <c:v>0.37538925541941559</c:v>
                </c:pt>
                <c:pt idx="52">
                  <c:v>0.37528789208159691</c:v>
                </c:pt>
                <c:pt idx="53">
                  <c:v>0.37178138248468873</c:v>
                </c:pt>
                <c:pt idx="54">
                  <c:v>0.36977860031530613</c:v>
                </c:pt>
                <c:pt idx="55">
                  <c:v>0.38008506379784829</c:v>
                </c:pt>
                <c:pt idx="56">
                  <c:v>0.37417935307866829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0.37377008728910283</c:v>
                </c:pt>
                <c:pt idx="60">
                  <c:v>0.37346859042462038</c:v>
                </c:pt>
                <c:pt idx="61">
                  <c:v>0.37446546010356663</c:v>
                </c:pt>
                <c:pt idx="62">
                  <c:v>0.37026121167673082</c:v>
                </c:pt>
                <c:pt idx="63">
                  <c:v>0.37306190990249999</c:v>
                </c:pt>
                <c:pt idx="64">
                  <c:v>0.37926496593510528</c:v>
                </c:pt>
                <c:pt idx="65">
                  <c:v>0.38286617065973938</c:v>
                </c:pt>
                <c:pt idx="66">
                  <c:v>0.38636463331048659</c:v>
                </c:pt>
                <c:pt idx="67">
                  <c:v>0.38676358203021921</c:v>
                </c:pt>
                <c:pt idx="68">
                  <c:v>0.38606178161904298</c:v>
                </c:pt>
                <c:pt idx="69">
                  <c:v>0.39025794446329248</c:v>
                </c:pt>
                <c:pt idx="70">
                  <c:v>0.38825529115034541</c:v>
                </c:pt>
                <c:pt idx="71">
                  <c:v>0.38225003341226632</c:v>
                </c:pt>
                <c:pt idx="72">
                  <c:v>0.37253730115758671</c:v>
                </c:pt>
                <c:pt idx="73">
                  <c:v>0.36923393245720748</c:v>
                </c:pt>
                <c:pt idx="74">
                  <c:v>0.37403569372481288</c:v>
                </c:pt>
                <c:pt idx="75">
                  <c:v>0.37133271879294222</c:v>
                </c:pt>
                <c:pt idx="76">
                  <c:v>0.37023076026838653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0.35711524754646629</c:v>
                </c:pt>
                <c:pt idx="81">
                  <c:v>0.35721408378308922</c:v>
                </c:pt>
                <c:pt idx="82">
                  <c:v>0.35821100100058928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0.36030853473414398</c:v>
                </c:pt>
                <c:pt idx="86">
                  <c:v>0.36220839387044612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0.36769896039637878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0.36299268447292232</c:v>
                </c:pt>
                <c:pt idx="96">
                  <c:v>0.36018996319976981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0.35518123974219717</c:v>
                </c:pt>
                <c:pt idx="100">
                  <c:v>0.35518002275125748</c:v>
                </c:pt>
                <c:pt idx="101">
                  <c:v>0.35317779841221442</c:v>
                </c:pt>
                <c:pt idx="102">
                  <c:v>0.34706878002316188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0.34416147301987582</c:v>
                </c:pt>
                <c:pt idx="106">
                  <c:v>0.34115889592412912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0.35065611402336649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0.33814707081504619</c:v>
                </c:pt>
                <c:pt idx="114">
                  <c:v>0.33514461719783201</c:v>
                </c:pt>
                <c:pt idx="115">
                  <c:v>0.33063927613343969</c:v>
                </c:pt>
                <c:pt idx="116">
                  <c:v>0.32613626241100729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0.34263494184353432</c:v>
                </c:pt>
                <c:pt idx="122">
                  <c:v>0.34063298685103077</c:v>
                </c:pt>
                <c:pt idx="123">
                  <c:v>0.33933131657113891</c:v>
                </c:pt>
                <c:pt idx="124">
                  <c:v>0.34463218768842852</c:v>
                </c:pt>
                <c:pt idx="125">
                  <c:v>0.35313181975463442</c:v>
                </c:pt>
                <c:pt idx="126">
                  <c:v>0.35333068395159861</c:v>
                </c:pt>
                <c:pt idx="127">
                  <c:v>0.34812637464284979</c:v>
                </c:pt>
                <c:pt idx="128">
                  <c:v>0.34752496616934181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0.33911032698994542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0.33110318626695312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0.33758555250303163</c:v>
                </c:pt>
                <c:pt idx="148">
                  <c:v>0.33908477119279817</c:v>
                </c:pt>
                <c:pt idx="149">
                  <c:v>0.34308459620180309</c:v>
                </c:pt>
                <c:pt idx="150">
                  <c:v>0.33908244812951088</c:v>
                </c:pt>
                <c:pt idx="151">
                  <c:v>0.34068167026341928</c:v>
                </c:pt>
                <c:pt idx="152">
                  <c:v>0.33657722833663889</c:v>
                </c:pt>
                <c:pt idx="153">
                  <c:v>0.33657607541430601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0.33457218509472941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0.33406635564598453</c:v>
                </c:pt>
                <c:pt idx="160">
                  <c:v>0.33536546517642152</c:v>
                </c:pt>
                <c:pt idx="161">
                  <c:v>0.34506617707505549</c:v>
                </c:pt>
                <c:pt idx="162">
                  <c:v>0.35206390200961141</c:v>
                </c:pt>
                <c:pt idx="163">
                  <c:v>0.35506323043829718</c:v>
                </c:pt>
                <c:pt idx="164">
                  <c:v>0.35156140284775772</c:v>
                </c:pt>
                <c:pt idx="165">
                  <c:v>0.35256036992635731</c:v>
                </c:pt>
                <c:pt idx="166">
                  <c:v>0.35075886021969438</c:v>
                </c:pt>
                <c:pt idx="167">
                  <c:v>0.36655523435038162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0.36254842256328762</c:v>
                </c:pt>
                <c:pt idx="171">
                  <c:v>0.36804789664408383</c:v>
                </c:pt>
                <c:pt idx="172">
                  <c:v>0.37604764987344291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0.37304088119245937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0.38663707478799342</c:v>
                </c:pt>
                <c:pt idx="180">
                  <c:v>0.38703313639866432</c:v>
                </c:pt>
                <c:pt idx="181">
                  <c:v>0.38253144094035119</c:v>
                </c:pt>
                <c:pt idx="182">
                  <c:v>0.38543035924062508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0.37322172866228509</c:v>
                </c:pt>
                <c:pt idx="186">
                  <c:v>0.37352046687489732</c:v>
                </c:pt>
                <c:pt idx="187">
                  <c:v>0.37111906433549668</c:v>
                </c:pt>
                <c:pt idx="188">
                  <c:v>0.36201735699656828</c:v>
                </c:pt>
                <c:pt idx="189">
                  <c:v>0.36001356215473868</c:v>
                </c:pt>
                <c:pt idx="190">
                  <c:v>0.35351210657899251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0.35400363702366799</c:v>
                </c:pt>
                <c:pt idx="196">
                  <c:v>0.35700244522222763</c:v>
                </c:pt>
                <c:pt idx="197">
                  <c:v>0.35660122123705901</c:v>
                </c:pt>
                <c:pt idx="198">
                  <c:v>0.35959630551740912</c:v>
                </c:pt>
                <c:pt idx="199">
                  <c:v>0.36499500006849223</c:v>
                </c:pt>
                <c:pt idx="200">
                  <c:v>0.36819369531343638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0.37648710660593809</c:v>
                </c:pt>
                <c:pt idx="204">
                  <c:v>0.38198561013112531</c:v>
                </c:pt>
                <c:pt idx="205">
                  <c:v>0.38148432256208648</c:v>
                </c:pt>
                <c:pt idx="206">
                  <c:v>0.38548283809282458</c:v>
                </c:pt>
                <c:pt idx="207">
                  <c:v>0.38588149883224782</c:v>
                </c:pt>
                <c:pt idx="208">
                  <c:v>0.38447761602920377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0.38477232801750549</c:v>
                </c:pt>
                <c:pt idx="213">
                  <c:v>0.38296983456782507</c:v>
                </c:pt>
                <c:pt idx="214">
                  <c:v>0.3822685806646029</c:v>
                </c:pt>
                <c:pt idx="215">
                  <c:v>0.38146734012498928</c:v>
                </c:pt>
                <c:pt idx="216">
                  <c:v>0.37696643449555872</c:v>
                </c:pt>
                <c:pt idx="217">
                  <c:v>0.37396542100559188</c:v>
                </c:pt>
                <c:pt idx="218">
                  <c:v>0.3739602987354082</c:v>
                </c:pt>
                <c:pt idx="219">
                  <c:v>0.37735864562787641</c:v>
                </c:pt>
                <c:pt idx="220">
                  <c:v>0.37805727434913178</c:v>
                </c:pt>
                <c:pt idx="221">
                  <c:v>0.38395529287685681</c:v>
                </c:pt>
                <c:pt idx="222">
                  <c:v>0.37745475713527488</c:v>
                </c:pt>
                <c:pt idx="223">
                  <c:v>0.3774495872126668</c:v>
                </c:pt>
                <c:pt idx="224">
                  <c:v>0.37644843172168202</c:v>
                </c:pt>
                <c:pt idx="225">
                  <c:v>0.37244770426070312</c:v>
                </c:pt>
                <c:pt idx="226">
                  <c:v>0.3719465008457688</c:v>
                </c:pt>
                <c:pt idx="227">
                  <c:v>0.37394237189474222</c:v>
                </c:pt>
                <c:pt idx="228">
                  <c:v>0.37744054018887441</c:v>
                </c:pt>
                <c:pt idx="229">
                  <c:v>0.37663937653870783</c:v>
                </c:pt>
                <c:pt idx="230">
                  <c:v>0.37493836629595129</c:v>
                </c:pt>
                <c:pt idx="231">
                  <c:v>0.37793657913569301</c:v>
                </c:pt>
                <c:pt idx="232">
                  <c:v>0.38393162861408242</c:v>
                </c:pt>
                <c:pt idx="233">
                  <c:v>0.38443022328139081</c:v>
                </c:pt>
                <c:pt idx="234">
                  <c:v>0.38692844473967147</c:v>
                </c:pt>
                <c:pt idx="235">
                  <c:v>0.39392580164695012</c:v>
                </c:pt>
                <c:pt idx="236">
                  <c:v>0.39242474046073361</c:v>
                </c:pt>
                <c:pt idx="237">
                  <c:v>0.39592000246525533</c:v>
                </c:pt>
                <c:pt idx="238">
                  <c:v>0.39691844141614741</c:v>
                </c:pt>
                <c:pt idx="239">
                  <c:v>0.39141823112295032</c:v>
                </c:pt>
                <c:pt idx="240">
                  <c:v>0.38891742164334969</c:v>
                </c:pt>
                <c:pt idx="241">
                  <c:v>0.38591673714232888</c:v>
                </c:pt>
                <c:pt idx="242">
                  <c:v>0.39641040038895309</c:v>
                </c:pt>
                <c:pt idx="243">
                  <c:v>0.3939096166290611</c:v>
                </c:pt>
                <c:pt idx="244">
                  <c:v>0.39440815152635689</c:v>
                </c:pt>
                <c:pt idx="245">
                  <c:v>0.39490668300983672</c:v>
                </c:pt>
                <c:pt idx="246">
                  <c:v>0.39190604991953992</c:v>
                </c:pt>
                <c:pt idx="247">
                  <c:v>0.38610347413146712</c:v>
                </c:pt>
                <c:pt idx="248">
                  <c:v>0.38730184816176733</c:v>
                </c:pt>
                <c:pt idx="249">
                  <c:v>0.38350149790293592</c:v>
                </c:pt>
                <c:pt idx="250">
                  <c:v>0.37990112162587819</c:v>
                </c:pt>
                <c:pt idx="251">
                  <c:v>0.37340153452685432</c:v>
                </c:pt>
                <c:pt idx="252">
                  <c:v>0.37789646672144622</c:v>
                </c:pt>
                <c:pt idx="253">
                  <c:v>0.37889489559403039</c:v>
                </c:pt>
                <c:pt idx="254">
                  <c:v>0.38189275614382268</c:v>
                </c:pt>
                <c:pt idx="255">
                  <c:v>0.37989201699516922</c:v>
                </c:pt>
                <c:pt idx="256">
                  <c:v>0.37989071636926358</c:v>
                </c:pt>
                <c:pt idx="257">
                  <c:v>0.37788741025790262</c:v>
                </c:pt>
                <c:pt idx="258">
                  <c:v>0.37988551395469861</c:v>
                </c:pt>
                <c:pt idx="259">
                  <c:v>0.37338619393404071</c:v>
                </c:pt>
                <c:pt idx="260">
                  <c:v>0.37238522373241117</c:v>
                </c:pt>
                <c:pt idx="261">
                  <c:v>0.38387510912545569</c:v>
                </c:pt>
                <c:pt idx="262">
                  <c:v>0.37487675284837862</c:v>
                </c:pt>
                <c:pt idx="263">
                  <c:v>0.36987712985754728</c:v>
                </c:pt>
                <c:pt idx="264">
                  <c:v>0.36987586358003138</c:v>
                </c:pt>
                <c:pt idx="265">
                  <c:v>0.3728710274870678</c:v>
                </c:pt>
                <c:pt idx="267">
                  <c:v>0.35883901400399132</c:v>
                </c:pt>
                <c:pt idx="268">
                  <c:v>0.36083935234313491</c:v>
                </c:pt>
                <c:pt idx="269">
                  <c:v>0.37633374296971539</c:v>
                </c:pt>
                <c:pt idx="270">
                  <c:v>0.38093562366923861</c:v>
                </c:pt>
                <c:pt idx="271">
                  <c:v>0.38533504492939658</c:v>
                </c:pt>
                <c:pt idx="272">
                  <c:v>0.3858361517711657</c:v>
                </c:pt>
                <c:pt idx="273">
                  <c:v>0.38683705151597098</c:v>
                </c:pt>
                <c:pt idx="274">
                  <c:v>0.38533900219771189</c:v>
                </c:pt>
                <c:pt idx="275">
                  <c:v>0.38514304102095381</c:v>
                </c:pt>
                <c:pt idx="276">
                  <c:v>0.38384488460142818</c:v>
                </c:pt>
                <c:pt idx="277">
                  <c:v>0.37884820123443691</c:v>
                </c:pt>
                <c:pt idx="278">
                  <c:v>0.38034890249079129</c:v>
                </c:pt>
                <c:pt idx="279">
                  <c:v>0.37885079506358788</c:v>
                </c:pt>
                <c:pt idx="280">
                  <c:v>0.3768554527030728</c:v>
                </c:pt>
                <c:pt idx="281">
                  <c:v>0.37385788279113069</c:v>
                </c:pt>
                <c:pt idx="282">
                  <c:v>0.37285953921467929</c:v>
                </c:pt>
                <c:pt idx="283">
                  <c:v>0.37236100222862012</c:v>
                </c:pt>
                <c:pt idx="284">
                  <c:v>0.36986320128171768</c:v>
                </c:pt>
                <c:pt idx="285">
                  <c:v>0.3673678985296383</c:v>
                </c:pt>
                <c:pt idx="286">
                  <c:v>0.36736915619094568</c:v>
                </c:pt>
                <c:pt idx="287">
                  <c:v>0.36737041386086422</c:v>
                </c:pt>
                <c:pt idx="288">
                  <c:v>0.36987079855666849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9D-4312-B392-89DABA539039}"/>
            </c:ext>
          </c:extLst>
        </c:ser>
        <c:ser>
          <c:idx val="3"/>
          <c:order val="3"/>
          <c:tx>
            <c:strRef>
              <c:f>'Grafico Paridades bkp'!$E$1:$E$2</c:f>
              <c:strCache>
                <c:ptCount val="1"/>
                <c:pt idx="0">
                  <c:v>Suma de P30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bkp'!$A$3:$A$292</c:f>
              <c:strCache>
                <c:ptCount val="289"/>
                <c:pt idx="0">
                  <c:v>14/09/2020</c:v>
                </c:pt>
                <c:pt idx="1">
                  <c:v>15/09/2020</c:v>
                </c:pt>
                <c:pt idx="2">
                  <c:v>16/09/2020</c:v>
                </c:pt>
                <c:pt idx="3">
                  <c:v>17/09/2020</c:v>
                </c:pt>
                <c:pt idx="4">
                  <c:v>18/09/2020</c:v>
                </c:pt>
                <c:pt idx="5">
                  <c:v>21/09/2020</c:v>
                </c:pt>
                <c:pt idx="6">
                  <c:v>22/09/2020</c:v>
                </c:pt>
                <c:pt idx="7">
                  <c:v>23/09/2020</c:v>
                </c:pt>
                <c:pt idx="8">
                  <c:v>24/09/2020</c:v>
                </c:pt>
                <c:pt idx="9">
                  <c:v>25/09/2020</c:v>
                </c:pt>
                <c:pt idx="10">
                  <c:v>28/09/2020</c:v>
                </c:pt>
                <c:pt idx="11">
                  <c:v>29/09/2020</c:v>
                </c:pt>
                <c:pt idx="12">
                  <c:v>30/09/2020</c:v>
                </c:pt>
                <c:pt idx="13">
                  <c:v>01/10/2020</c:v>
                </c:pt>
                <c:pt idx="14">
                  <c:v>02/10/2020</c:v>
                </c:pt>
                <c:pt idx="15">
                  <c:v>05/10/2020</c:v>
                </c:pt>
                <c:pt idx="16">
                  <c:v>06/10/2020</c:v>
                </c:pt>
                <c:pt idx="17">
                  <c:v>07/10/2020</c:v>
                </c:pt>
                <c:pt idx="18">
                  <c:v>08/10/2020</c:v>
                </c:pt>
                <c:pt idx="19">
                  <c:v>09/10/2020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02/11/2020</c:v>
                </c:pt>
                <c:pt idx="35">
                  <c:v>03/11/2020</c:v>
                </c:pt>
                <c:pt idx="36">
                  <c:v>04/11/2020</c:v>
                </c:pt>
                <c:pt idx="37">
                  <c:v>05/11/2020</c:v>
                </c:pt>
                <c:pt idx="38">
                  <c:v>06/11/2020</c:v>
                </c:pt>
                <c:pt idx="39">
                  <c:v>09/11/2020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01/12/2020</c:v>
                </c:pt>
                <c:pt idx="55">
                  <c:v>02/12/2020</c:v>
                </c:pt>
                <c:pt idx="56">
                  <c:v>03/12/2020</c:v>
                </c:pt>
                <c:pt idx="57">
                  <c:v>04/12/2020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11/01/2021</c:v>
                </c:pt>
                <c:pt idx="78">
                  <c:v>12/01/2021</c:v>
                </c:pt>
                <c:pt idx="79">
                  <c:v>13/01/2021</c:v>
                </c:pt>
                <c:pt idx="80">
                  <c:v>14/01/2021</c:v>
                </c:pt>
                <c:pt idx="81">
                  <c:v>15/01/2021</c:v>
                </c:pt>
                <c:pt idx="82">
                  <c:v>18/01/2021</c:v>
                </c:pt>
                <c:pt idx="83">
                  <c:v>19/01/2021</c:v>
                </c:pt>
                <c:pt idx="84">
                  <c:v>20/01/2021</c:v>
                </c:pt>
                <c:pt idx="85">
                  <c:v>21/01/2021</c:v>
                </c:pt>
                <c:pt idx="86">
                  <c:v>22/01/2021</c:v>
                </c:pt>
                <c:pt idx="87">
                  <c:v>25/01/2021</c:v>
                </c:pt>
                <c:pt idx="88">
                  <c:v>26/01/2021</c:v>
                </c:pt>
                <c:pt idx="89">
                  <c:v>27/01/2021</c:v>
                </c:pt>
                <c:pt idx="90">
                  <c:v>28/01/2021</c:v>
                </c:pt>
                <c:pt idx="91">
                  <c:v>29/01/2021</c:v>
                </c:pt>
                <c:pt idx="92">
                  <c:v>01/02/2021</c:v>
                </c:pt>
                <c:pt idx="93">
                  <c:v>02/02/2021</c:v>
                </c:pt>
                <c:pt idx="94">
                  <c:v>03/02/2021</c:v>
                </c:pt>
                <c:pt idx="95">
                  <c:v>04/02/2021</c:v>
                </c:pt>
                <c:pt idx="96">
                  <c:v>05/02/2021</c:v>
                </c:pt>
                <c:pt idx="97">
                  <c:v>08/02/2021</c:v>
                </c:pt>
                <c:pt idx="98">
                  <c:v>09/02/2021</c:v>
                </c:pt>
                <c:pt idx="99">
                  <c:v>10/02/2021</c:v>
                </c:pt>
                <c:pt idx="100">
                  <c:v>11/02/2021</c:v>
                </c:pt>
                <c:pt idx="101">
                  <c:v>12/02/2021</c:v>
                </c:pt>
                <c:pt idx="102">
                  <c:v>17/02/2021</c:v>
                </c:pt>
                <c:pt idx="103">
                  <c:v>18/02/2021</c:v>
                </c:pt>
                <c:pt idx="104">
                  <c:v>19/02/2021</c:v>
                </c:pt>
                <c:pt idx="105">
                  <c:v>22/02/2021</c:v>
                </c:pt>
                <c:pt idx="106">
                  <c:v>23/02/2021</c:v>
                </c:pt>
                <c:pt idx="107">
                  <c:v>24/02/2021</c:v>
                </c:pt>
                <c:pt idx="108">
                  <c:v>25/02/2021</c:v>
                </c:pt>
                <c:pt idx="109">
                  <c:v>26/02/2021</c:v>
                </c:pt>
                <c:pt idx="110">
                  <c:v>01/03/2021</c:v>
                </c:pt>
                <c:pt idx="111">
                  <c:v>02/03/2021</c:v>
                </c:pt>
                <c:pt idx="112">
                  <c:v>03/03/2021</c:v>
                </c:pt>
                <c:pt idx="113">
                  <c:v>04/03/2021</c:v>
                </c:pt>
                <c:pt idx="114">
                  <c:v>05/03/2021</c:v>
                </c:pt>
                <c:pt idx="115">
                  <c:v>08/03/2021</c:v>
                </c:pt>
                <c:pt idx="116">
                  <c:v>09/03/2021</c:v>
                </c:pt>
                <c:pt idx="117">
                  <c:v>10/03/2021</c:v>
                </c:pt>
                <c:pt idx="118">
                  <c:v>11/03/2021</c:v>
                </c:pt>
                <c:pt idx="119">
                  <c:v>12/03/2021</c:v>
                </c:pt>
                <c:pt idx="120">
                  <c:v>15/03/2021</c:v>
                </c:pt>
                <c:pt idx="121">
                  <c:v>16/03/2021</c:v>
                </c:pt>
                <c:pt idx="122">
                  <c:v>17/03/2021</c:v>
                </c:pt>
                <c:pt idx="123">
                  <c:v>18/03/2021</c:v>
                </c:pt>
                <c:pt idx="124">
                  <c:v>19/03/2021</c:v>
                </c:pt>
                <c:pt idx="125">
                  <c:v>22/03/2021</c:v>
                </c:pt>
                <c:pt idx="126">
                  <c:v>23/03/2021</c:v>
                </c:pt>
                <c:pt idx="127">
                  <c:v>25/03/2021</c:v>
                </c:pt>
                <c:pt idx="128">
                  <c:v>26/03/2021</c:v>
                </c:pt>
                <c:pt idx="129">
                  <c:v>29/03/2021</c:v>
                </c:pt>
                <c:pt idx="130">
                  <c:v>30/03/2021</c:v>
                </c:pt>
                <c:pt idx="131">
                  <c:v>31/03/2021</c:v>
                </c:pt>
                <c:pt idx="132">
                  <c:v>05/04/2021</c:v>
                </c:pt>
                <c:pt idx="133">
                  <c:v>06/04/2021</c:v>
                </c:pt>
                <c:pt idx="134">
                  <c:v>07/04/2021</c:v>
                </c:pt>
                <c:pt idx="135">
                  <c:v>08/04/2021</c:v>
                </c:pt>
                <c:pt idx="136">
                  <c:v>09/04/2021</c:v>
                </c:pt>
                <c:pt idx="137">
                  <c:v>12/04/2021</c:v>
                </c:pt>
                <c:pt idx="138">
                  <c:v>13/04/2021</c:v>
                </c:pt>
                <c:pt idx="139">
                  <c:v>14/04/2021</c:v>
                </c:pt>
                <c:pt idx="140">
                  <c:v>15/04/2021</c:v>
                </c:pt>
                <c:pt idx="141">
                  <c:v>16/04/2021</c:v>
                </c:pt>
                <c:pt idx="142">
                  <c:v>19/04/2021</c:v>
                </c:pt>
                <c:pt idx="143">
                  <c:v>20/04/2021</c:v>
                </c:pt>
                <c:pt idx="144">
                  <c:v>21/04/2021</c:v>
                </c:pt>
                <c:pt idx="145">
                  <c:v>22/04/2021</c:v>
                </c:pt>
                <c:pt idx="146">
                  <c:v>23/04/2021</c:v>
                </c:pt>
                <c:pt idx="147">
                  <c:v>26/04/2021</c:v>
                </c:pt>
                <c:pt idx="148">
                  <c:v>27/04/2021</c:v>
                </c:pt>
                <c:pt idx="149">
                  <c:v>28/04/2021</c:v>
                </c:pt>
                <c:pt idx="150">
                  <c:v>29/04/2021</c:v>
                </c:pt>
                <c:pt idx="151">
                  <c:v>30/04/2021</c:v>
                </c:pt>
                <c:pt idx="152">
                  <c:v>03/05/2021</c:v>
                </c:pt>
                <c:pt idx="153">
                  <c:v>04/05/2021</c:v>
                </c:pt>
                <c:pt idx="154">
                  <c:v>05/05/2021</c:v>
                </c:pt>
                <c:pt idx="155">
                  <c:v>06/05/2021</c:v>
                </c:pt>
                <c:pt idx="156">
                  <c:v>07/05/2021</c:v>
                </c:pt>
                <c:pt idx="157">
                  <c:v>10/05/2021</c:v>
                </c:pt>
                <c:pt idx="158">
                  <c:v>11/05/2021</c:v>
                </c:pt>
                <c:pt idx="159">
                  <c:v>12/05/2021</c:v>
                </c:pt>
                <c:pt idx="160">
                  <c:v>13/05/2021</c:v>
                </c:pt>
                <c:pt idx="161">
                  <c:v>14/05/2021</c:v>
                </c:pt>
                <c:pt idx="162">
                  <c:v>17/05/2021</c:v>
                </c:pt>
                <c:pt idx="163">
                  <c:v>18/05/2021</c:v>
                </c:pt>
                <c:pt idx="164">
                  <c:v>19/05/2021</c:v>
                </c:pt>
                <c:pt idx="165">
                  <c:v>20/05/2021</c:v>
                </c:pt>
                <c:pt idx="166">
                  <c:v>21/05/2021</c:v>
                </c:pt>
                <c:pt idx="167">
                  <c:v>26/05/2021</c:v>
                </c:pt>
                <c:pt idx="168">
                  <c:v>27/05/2021</c:v>
                </c:pt>
                <c:pt idx="169">
                  <c:v>28/05/2021</c:v>
                </c:pt>
                <c:pt idx="170">
                  <c:v>31/05/2021</c:v>
                </c:pt>
                <c:pt idx="171">
                  <c:v>01/06/2021</c:v>
                </c:pt>
                <c:pt idx="172">
                  <c:v>02/06/2021</c:v>
                </c:pt>
                <c:pt idx="173">
                  <c:v>03/06/2021</c:v>
                </c:pt>
                <c:pt idx="174">
                  <c:v>04/06/2021</c:v>
                </c:pt>
                <c:pt idx="175">
                  <c:v>07/06/2021</c:v>
                </c:pt>
                <c:pt idx="176">
                  <c:v>08/06/2021</c:v>
                </c:pt>
                <c:pt idx="177">
                  <c:v>09/06/2021</c:v>
                </c:pt>
                <c:pt idx="178">
                  <c:v>10/06/2021</c:v>
                </c:pt>
                <c:pt idx="179">
                  <c:v>11/06/2021</c:v>
                </c:pt>
                <c:pt idx="180">
                  <c:v>14/06/2021</c:v>
                </c:pt>
                <c:pt idx="181">
                  <c:v>15/06/2021</c:v>
                </c:pt>
                <c:pt idx="182">
                  <c:v>16/06/2021</c:v>
                </c:pt>
                <c:pt idx="183">
                  <c:v>17/06/2021</c:v>
                </c:pt>
                <c:pt idx="184">
                  <c:v>18/06/2021</c:v>
                </c:pt>
                <c:pt idx="185">
                  <c:v>22/06/2021</c:v>
                </c:pt>
                <c:pt idx="186">
                  <c:v>23/06/2021</c:v>
                </c:pt>
                <c:pt idx="187">
                  <c:v>24/06/2021</c:v>
                </c:pt>
                <c:pt idx="188">
                  <c:v>25/06/2021</c:v>
                </c:pt>
                <c:pt idx="189">
                  <c:v>28/06/2021</c:v>
                </c:pt>
                <c:pt idx="190">
                  <c:v>29/06/2021</c:v>
                </c:pt>
                <c:pt idx="191">
                  <c:v>30/06/2021</c:v>
                </c:pt>
                <c:pt idx="192">
                  <c:v>01/07/2021</c:v>
                </c:pt>
                <c:pt idx="193">
                  <c:v>02/07/2021</c:v>
                </c:pt>
                <c:pt idx="194">
                  <c:v>05/07/2021</c:v>
                </c:pt>
                <c:pt idx="195">
                  <c:v>06/07/2021</c:v>
                </c:pt>
                <c:pt idx="196">
                  <c:v>07/07/2021</c:v>
                </c:pt>
                <c:pt idx="197">
                  <c:v>08/07/2021</c:v>
                </c:pt>
                <c:pt idx="198">
                  <c:v>12/07/2021</c:v>
                </c:pt>
                <c:pt idx="199">
                  <c:v>13/07/2021</c:v>
                </c:pt>
                <c:pt idx="200">
                  <c:v>14/07/2021</c:v>
                </c:pt>
                <c:pt idx="201">
                  <c:v>15/07/2021</c:v>
                </c:pt>
                <c:pt idx="202">
                  <c:v>16/07/2021</c:v>
                </c:pt>
                <c:pt idx="203">
                  <c:v>19/07/2021</c:v>
                </c:pt>
                <c:pt idx="204">
                  <c:v>20/07/2021</c:v>
                </c:pt>
                <c:pt idx="205">
                  <c:v>21/07/2021</c:v>
                </c:pt>
                <c:pt idx="206">
                  <c:v>22/07/2021</c:v>
                </c:pt>
                <c:pt idx="207">
                  <c:v>23/07/2021</c:v>
                </c:pt>
                <c:pt idx="208">
                  <c:v>26/07/2021</c:v>
                </c:pt>
                <c:pt idx="209">
                  <c:v>27/07/2021</c:v>
                </c:pt>
                <c:pt idx="210">
                  <c:v>28/07/2021</c:v>
                </c:pt>
                <c:pt idx="211">
                  <c:v>29/07/2021</c:v>
                </c:pt>
                <c:pt idx="212">
                  <c:v>30/07/2021</c:v>
                </c:pt>
                <c:pt idx="213">
                  <c:v>01/08/2021</c:v>
                </c:pt>
                <c:pt idx="214">
                  <c:v>02/08/2021</c:v>
                </c:pt>
                <c:pt idx="215">
                  <c:v>03/08/2021</c:v>
                </c:pt>
                <c:pt idx="216">
                  <c:v>04/08/2021</c:v>
                </c:pt>
                <c:pt idx="217">
                  <c:v>05/08/2021</c:v>
                </c:pt>
                <c:pt idx="218">
                  <c:v>09/08/2021</c:v>
                </c:pt>
                <c:pt idx="219">
                  <c:v>10/08/2021</c:v>
                </c:pt>
                <c:pt idx="220">
                  <c:v>11/08/2021</c:v>
                </c:pt>
                <c:pt idx="221">
                  <c:v>12/08/2021</c:v>
                </c:pt>
                <c:pt idx="222">
                  <c:v>13/08/2021</c:v>
                </c:pt>
                <c:pt idx="223">
                  <c:v>17/08/2021</c:v>
                </c:pt>
                <c:pt idx="224">
                  <c:v>18/08/2021</c:v>
                </c:pt>
                <c:pt idx="225">
                  <c:v>19/08/2021</c:v>
                </c:pt>
                <c:pt idx="226">
                  <c:v>20/08/2021</c:v>
                </c:pt>
                <c:pt idx="227">
                  <c:v>23/08/2021</c:v>
                </c:pt>
                <c:pt idx="228">
                  <c:v>24/08/2021</c:v>
                </c:pt>
                <c:pt idx="229">
                  <c:v>25/08/2021</c:v>
                </c:pt>
                <c:pt idx="230">
                  <c:v>26/08/2021</c:v>
                </c:pt>
                <c:pt idx="231">
                  <c:v>27/08/2021</c:v>
                </c:pt>
                <c:pt idx="232">
                  <c:v>30/08/2021</c:v>
                </c:pt>
                <c:pt idx="233">
                  <c:v>31/08/2021</c:v>
                </c:pt>
                <c:pt idx="234">
                  <c:v>01/09/2021</c:v>
                </c:pt>
                <c:pt idx="235">
                  <c:v>02/09/2021</c:v>
                </c:pt>
                <c:pt idx="236">
                  <c:v>03/09/2021</c:v>
                </c:pt>
                <c:pt idx="237">
                  <c:v>06/09/2021</c:v>
                </c:pt>
                <c:pt idx="238">
                  <c:v>07/09/2021</c:v>
                </c:pt>
                <c:pt idx="239">
                  <c:v>08/09/2021</c:v>
                </c:pt>
                <c:pt idx="240">
                  <c:v>09/09/2021</c:v>
                </c:pt>
                <c:pt idx="241">
                  <c:v>10/09/2021</c:v>
                </c:pt>
                <c:pt idx="242">
                  <c:v>13/09/2021</c:v>
                </c:pt>
                <c:pt idx="243">
                  <c:v>14/09/2021</c:v>
                </c:pt>
                <c:pt idx="244">
                  <c:v>15/09/2021</c:v>
                </c:pt>
                <c:pt idx="245">
                  <c:v>16/09/2021</c:v>
                </c:pt>
                <c:pt idx="246">
                  <c:v>17/09/2021</c:v>
                </c:pt>
                <c:pt idx="247">
                  <c:v>20/09/2021</c:v>
                </c:pt>
                <c:pt idx="248">
                  <c:v>21/09/2021</c:v>
                </c:pt>
                <c:pt idx="249">
                  <c:v>22/09/2021</c:v>
                </c:pt>
                <c:pt idx="250">
                  <c:v>23/09/2021</c:v>
                </c:pt>
                <c:pt idx="251">
                  <c:v>24/09/2021</c:v>
                </c:pt>
                <c:pt idx="252">
                  <c:v>27/09/2021</c:v>
                </c:pt>
                <c:pt idx="253">
                  <c:v>28/09/2021</c:v>
                </c:pt>
                <c:pt idx="254">
                  <c:v>29/09/2021</c:v>
                </c:pt>
                <c:pt idx="255">
                  <c:v>30/09/2021</c:v>
                </c:pt>
                <c:pt idx="256">
                  <c:v>01/10/2021</c:v>
                </c:pt>
                <c:pt idx="257">
                  <c:v>04/10/2021</c:v>
                </c:pt>
                <c:pt idx="258">
                  <c:v>05/10/2021</c:v>
                </c:pt>
                <c:pt idx="259">
                  <c:v>06/10/2021</c:v>
                </c:pt>
                <c:pt idx="260">
                  <c:v>07/10/2021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  <c:pt idx="267">
                  <c:v>17/11/2021</c:v>
                </c:pt>
                <c:pt idx="268">
                  <c:v>16/11/2021</c:v>
                </c:pt>
                <c:pt idx="269">
                  <c:v>15/11/2021</c:v>
                </c:pt>
                <c:pt idx="270">
                  <c:v>12/11/2021</c:v>
                </c:pt>
                <c:pt idx="271">
                  <c:v>11/11/2021</c:v>
                </c:pt>
                <c:pt idx="272">
                  <c:v>10/11/2021</c:v>
                </c:pt>
                <c:pt idx="273">
                  <c:v>09/11/2021</c:v>
                </c:pt>
                <c:pt idx="274">
                  <c:v>08/11/2021</c:v>
                </c:pt>
                <c:pt idx="275">
                  <c:v>05/11/2021</c:v>
                </c:pt>
                <c:pt idx="276">
                  <c:v>04/11/2021</c:v>
                </c:pt>
                <c:pt idx="277">
                  <c:v>03/11/2021</c:v>
                </c:pt>
                <c:pt idx="278">
                  <c:v>02/11/2021</c:v>
                </c:pt>
                <c:pt idx="279">
                  <c:v>01/11/2021</c:v>
                </c:pt>
                <c:pt idx="280">
                  <c:v>29/10/2021</c:v>
                </c:pt>
                <c:pt idx="281">
                  <c:v>28/10/2021</c:v>
                </c:pt>
                <c:pt idx="282">
                  <c:v>27/10/2021</c:v>
                </c:pt>
                <c:pt idx="283">
                  <c:v>26/10/2021</c:v>
                </c:pt>
                <c:pt idx="284">
                  <c:v>25/10/2021</c:v>
                </c:pt>
                <c:pt idx="285">
                  <c:v>22/10/2021</c:v>
                </c:pt>
                <c:pt idx="286">
                  <c:v>21/10/2021</c:v>
                </c:pt>
                <c:pt idx="287">
                  <c:v>20/10/2021</c:v>
                </c:pt>
                <c:pt idx="288">
                  <c:v>19/10/2021</c:v>
                </c:pt>
              </c:strCache>
            </c:strRef>
          </c:cat>
          <c:val>
            <c:numRef>
              <c:f>'Grafico Paridades bkp'!$E$3:$E$292</c:f>
              <c:numCache>
                <c:formatCode>0.00%</c:formatCode>
                <c:ptCount val="289"/>
                <c:pt idx="0">
                  <c:v>0.52082611207394569</c:v>
                </c:pt>
                <c:pt idx="1">
                  <c:v>0.51288667592809101</c:v>
                </c:pt>
                <c:pt idx="2">
                  <c:v>0.48155259683098589</c:v>
                </c:pt>
                <c:pt idx="3">
                  <c:v>0.47090296403273502</c:v>
                </c:pt>
                <c:pt idx="4">
                  <c:v>0.47290457458806701</c:v>
                </c:pt>
                <c:pt idx="5">
                  <c:v>0.46304584026736723</c:v>
                </c:pt>
                <c:pt idx="6">
                  <c:v>0.45571035620959982</c:v>
                </c:pt>
                <c:pt idx="7">
                  <c:v>0.4673501946060431</c:v>
                </c:pt>
                <c:pt idx="8">
                  <c:v>0.46182198261634938</c:v>
                </c:pt>
                <c:pt idx="9">
                  <c:v>0.45378405512081749</c:v>
                </c:pt>
                <c:pt idx="10">
                  <c:v>0.45075361681060561</c:v>
                </c:pt>
                <c:pt idx="11">
                  <c:v>0.44843846693345429</c:v>
                </c:pt>
                <c:pt idx="12">
                  <c:v>0.44772958552215408</c:v>
                </c:pt>
                <c:pt idx="13">
                  <c:v>0.44872729272954798</c:v>
                </c:pt>
                <c:pt idx="14">
                  <c:v>0.44470572057205721</c:v>
                </c:pt>
                <c:pt idx="15">
                  <c:v>0.44569118435708088</c:v>
                </c:pt>
                <c:pt idx="16">
                  <c:v>0.4461869534129036</c:v>
                </c:pt>
                <c:pt idx="17">
                  <c:v>0.44969405293915432</c:v>
                </c:pt>
                <c:pt idx="18">
                  <c:v>0.44868410197178449</c:v>
                </c:pt>
                <c:pt idx="19">
                  <c:v>0.44897905867146998</c:v>
                </c:pt>
                <c:pt idx="20">
                  <c:v>0.44905473594478279</c:v>
                </c:pt>
                <c:pt idx="21">
                  <c:v>0.44613787603805749</c:v>
                </c:pt>
                <c:pt idx="22">
                  <c:v>0.44562990664485169</c:v>
                </c:pt>
                <c:pt idx="23">
                  <c:v>0.44351609976077211</c:v>
                </c:pt>
                <c:pt idx="24">
                  <c:v>0.43506743473060477</c:v>
                </c:pt>
                <c:pt idx="25">
                  <c:v>0.41529049465203888</c:v>
                </c:pt>
                <c:pt idx="26">
                  <c:v>0.40444603307716631</c:v>
                </c:pt>
                <c:pt idx="27">
                  <c:v>0.40243332416827049</c:v>
                </c:pt>
                <c:pt idx="28">
                  <c:v>0.40292957204327678</c:v>
                </c:pt>
                <c:pt idx="29">
                  <c:v>0.38364538656109087</c:v>
                </c:pt>
                <c:pt idx="30">
                  <c:v>0.39357481613856621</c:v>
                </c:pt>
                <c:pt idx="31">
                  <c:v>0.38935474115415281</c:v>
                </c:pt>
                <c:pt idx="32">
                  <c:v>0.38874730229425269</c:v>
                </c:pt>
                <c:pt idx="33">
                  <c:v>0.38181805685379672</c:v>
                </c:pt>
                <c:pt idx="34">
                  <c:v>0.38772250553256998</c:v>
                </c:pt>
                <c:pt idx="35">
                  <c:v>0.38510831317352101</c:v>
                </c:pt>
                <c:pt idx="36">
                  <c:v>0.38520335931164351</c:v>
                </c:pt>
                <c:pt idx="37">
                  <c:v>0.38118453968166699</c:v>
                </c:pt>
                <c:pt idx="38">
                  <c:v>0.38127963713834101</c:v>
                </c:pt>
                <c:pt idx="39">
                  <c:v>0.38477555732702928</c:v>
                </c:pt>
                <c:pt idx="40">
                  <c:v>0.38527192512266523</c:v>
                </c:pt>
                <c:pt idx="41">
                  <c:v>0.3932930181418362</c:v>
                </c:pt>
                <c:pt idx="42">
                  <c:v>0.3959964816316433</c:v>
                </c:pt>
                <c:pt idx="43">
                  <c:v>0.40030510431269067</c:v>
                </c:pt>
                <c:pt idx="44">
                  <c:v>0.40390022675736958</c:v>
                </c:pt>
                <c:pt idx="45">
                  <c:v>0.40309210345491031</c:v>
                </c:pt>
                <c:pt idx="46">
                  <c:v>0.39867247516044357</c:v>
                </c:pt>
                <c:pt idx="47">
                  <c:v>0.39555711301671059</c:v>
                </c:pt>
                <c:pt idx="48">
                  <c:v>0.39173961439624011</c:v>
                </c:pt>
                <c:pt idx="49">
                  <c:v>0.38971184367828732</c:v>
                </c:pt>
                <c:pt idx="50">
                  <c:v>0.39321735784758288</c:v>
                </c:pt>
                <c:pt idx="51">
                  <c:v>0.39120577121264172</c:v>
                </c:pt>
                <c:pt idx="52">
                  <c:v>0.39130070352863577</c:v>
                </c:pt>
                <c:pt idx="53">
                  <c:v>0.38727242748595059</c:v>
                </c:pt>
                <c:pt idx="54">
                  <c:v>0.38596317669689473</c:v>
                </c:pt>
                <c:pt idx="55">
                  <c:v>0.38766298896690071</c:v>
                </c:pt>
                <c:pt idx="56">
                  <c:v>0.38956335357643379</c:v>
                </c:pt>
                <c:pt idx="57">
                  <c:v>0.38715084566450958</c:v>
                </c:pt>
                <c:pt idx="58">
                  <c:v>0.39233939660383582</c:v>
                </c:pt>
                <c:pt idx="59">
                  <c:v>0.39784994985506061</c:v>
                </c:pt>
                <c:pt idx="60">
                  <c:v>0.39964967715345517</c:v>
                </c:pt>
                <c:pt idx="61">
                  <c:v>0.40444685615375098</c:v>
                </c:pt>
                <c:pt idx="62">
                  <c:v>0.40143281039646128</c:v>
                </c:pt>
                <c:pt idx="63">
                  <c:v>0.3989202555120544</c:v>
                </c:pt>
                <c:pt idx="64">
                  <c:v>0.399516456948184</c:v>
                </c:pt>
                <c:pt idx="65">
                  <c:v>0.40332156544912562</c:v>
                </c:pt>
                <c:pt idx="66">
                  <c:v>0.4085192307692308</c:v>
                </c:pt>
                <c:pt idx="67">
                  <c:v>0.40821279927473519</c:v>
                </c:pt>
                <c:pt idx="68">
                  <c:v>0.40730474437515451</c:v>
                </c:pt>
                <c:pt idx="69">
                  <c:v>0.41008419520101091</c:v>
                </c:pt>
                <c:pt idx="70">
                  <c:v>0.41037935391715202</c:v>
                </c:pt>
                <c:pt idx="71">
                  <c:v>0.41047397986512651</c:v>
                </c:pt>
                <c:pt idx="72">
                  <c:v>0.40653583102150681</c:v>
                </c:pt>
                <c:pt idx="73">
                  <c:v>0.40352262583258952</c:v>
                </c:pt>
                <c:pt idx="74">
                  <c:v>0.40201329378158651</c:v>
                </c:pt>
                <c:pt idx="75">
                  <c:v>0.39649395058846137</c:v>
                </c:pt>
                <c:pt idx="76">
                  <c:v>0.39598725589826689</c:v>
                </c:pt>
                <c:pt idx="77">
                  <c:v>0.39135963527004569</c:v>
                </c:pt>
                <c:pt idx="78">
                  <c:v>0.39135426107494992</c:v>
                </c:pt>
                <c:pt idx="79">
                  <c:v>0.39074742869697759</c:v>
                </c:pt>
                <c:pt idx="80">
                  <c:v>0.38843650444908268</c:v>
                </c:pt>
                <c:pt idx="81">
                  <c:v>0.3878297288019224</c:v>
                </c:pt>
                <c:pt idx="82">
                  <c:v>0.38891635085406712</c:v>
                </c:pt>
                <c:pt idx="83">
                  <c:v>0.38881077592717178</c:v>
                </c:pt>
                <c:pt idx="84">
                  <c:v>0.38830427021831659</c:v>
                </c:pt>
                <c:pt idx="85">
                  <c:v>0.38779777841853053</c:v>
                </c:pt>
                <c:pt idx="86">
                  <c:v>0.3877924538664323</c:v>
                </c:pt>
                <c:pt idx="87">
                  <c:v>0.3867742156930048</c:v>
                </c:pt>
                <c:pt idx="88">
                  <c:v>0.38666868032291718</c:v>
                </c:pt>
                <c:pt idx="89">
                  <c:v>0.38516001482762879</c:v>
                </c:pt>
                <c:pt idx="90">
                  <c:v>0.38355116834619302</c:v>
                </c:pt>
                <c:pt idx="91">
                  <c:v>0.38224302914647368</c:v>
                </c:pt>
                <c:pt idx="92">
                  <c:v>0.38172620191647683</c:v>
                </c:pt>
                <c:pt idx="93">
                  <c:v>0.38051837513556552</c:v>
                </c:pt>
                <c:pt idx="94">
                  <c:v>0.37860908242271157</c:v>
                </c:pt>
                <c:pt idx="95">
                  <c:v>0.37720090603335849</c:v>
                </c:pt>
                <c:pt idx="96">
                  <c:v>0.37699530516431923</c:v>
                </c:pt>
                <c:pt idx="97">
                  <c:v>0.37728040192727419</c:v>
                </c:pt>
                <c:pt idx="98">
                  <c:v>0.37597254632807142</c:v>
                </c:pt>
                <c:pt idx="99">
                  <c:v>0.37526595379610439</c:v>
                </c:pt>
                <c:pt idx="100">
                  <c:v>0.37085186405314879</c:v>
                </c:pt>
                <c:pt idx="101">
                  <c:v>0.36523547417402169</c:v>
                </c:pt>
                <c:pt idx="102">
                  <c:v>0.36210436739959923</c:v>
                </c:pt>
                <c:pt idx="103">
                  <c:v>0.36821120245954508</c:v>
                </c:pt>
                <c:pt idx="104">
                  <c:v>0.36259538841614047</c:v>
                </c:pt>
                <c:pt idx="105">
                  <c:v>0.36418346760358478</c:v>
                </c:pt>
                <c:pt idx="106">
                  <c:v>0.35816727053140102</c:v>
                </c:pt>
                <c:pt idx="107">
                  <c:v>0.36146846908666708</c:v>
                </c:pt>
                <c:pt idx="108">
                  <c:v>0.36537068042708531</c:v>
                </c:pt>
                <c:pt idx="109">
                  <c:v>0.36847132446786612</c:v>
                </c:pt>
                <c:pt idx="110">
                  <c:v>0.36845615479621252</c:v>
                </c:pt>
                <c:pt idx="111">
                  <c:v>0.36354242428400868</c:v>
                </c:pt>
                <c:pt idx="112">
                  <c:v>0.3628362059501592</c:v>
                </c:pt>
                <c:pt idx="113">
                  <c:v>0.36443401534175901</c:v>
                </c:pt>
                <c:pt idx="114">
                  <c:v>0.35811812168949148</c:v>
                </c:pt>
                <c:pt idx="115">
                  <c:v>0.35760253577946399</c:v>
                </c:pt>
                <c:pt idx="116">
                  <c:v>0.3519882543428744</c:v>
                </c:pt>
                <c:pt idx="117">
                  <c:v>0.3356563619149549</c:v>
                </c:pt>
                <c:pt idx="118">
                  <c:v>0.33565175631174532</c:v>
                </c:pt>
                <c:pt idx="119">
                  <c:v>0.34446151946323461</c:v>
                </c:pt>
                <c:pt idx="120">
                  <c:v>0.35015641293013561</c:v>
                </c:pt>
                <c:pt idx="121">
                  <c:v>0.3545585511422103</c:v>
                </c:pt>
                <c:pt idx="122">
                  <c:v>0.35855994292456711</c:v>
                </c:pt>
                <c:pt idx="123">
                  <c:v>0.35875533359858408</c:v>
                </c:pt>
                <c:pt idx="124">
                  <c:v>0.35975194819449019</c:v>
                </c:pt>
                <c:pt idx="125">
                  <c:v>0.36464446913885112</c:v>
                </c:pt>
                <c:pt idx="126">
                  <c:v>0.36053339186742028</c:v>
                </c:pt>
                <c:pt idx="127">
                  <c:v>0.35381375696216422</c:v>
                </c:pt>
                <c:pt idx="128">
                  <c:v>0.35370875917415462</c:v>
                </c:pt>
                <c:pt idx="129">
                  <c:v>0.3471851079590661</c:v>
                </c:pt>
                <c:pt idx="130">
                  <c:v>0.34337508059095462</c:v>
                </c:pt>
                <c:pt idx="131">
                  <c:v>0.34096707818930039</c:v>
                </c:pt>
                <c:pt idx="132">
                  <c:v>0.34895411837322537</c:v>
                </c:pt>
                <c:pt idx="133">
                  <c:v>0.34674649548733988</c:v>
                </c:pt>
                <c:pt idx="134">
                  <c:v>0.34614097411771161</c:v>
                </c:pt>
                <c:pt idx="135">
                  <c:v>0.34433395512152298</c:v>
                </c:pt>
                <c:pt idx="136">
                  <c:v>0.34222661125512632</c:v>
                </c:pt>
                <c:pt idx="137">
                  <c:v>0.34691820276497692</c:v>
                </c:pt>
                <c:pt idx="138">
                  <c:v>0.34861547323522563</c:v>
                </c:pt>
                <c:pt idx="139">
                  <c:v>0.34610774336890038</c:v>
                </c:pt>
                <c:pt idx="140">
                  <c:v>0.34289926626894329</c:v>
                </c:pt>
                <c:pt idx="141">
                  <c:v>0.34239398760217238</c:v>
                </c:pt>
                <c:pt idx="142">
                  <c:v>0.3440817893827397</c:v>
                </c:pt>
                <c:pt idx="143">
                  <c:v>0.34297586396050472</c:v>
                </c:pt>
                <c:pt idx="144">
                  <c:v>0.3438721355987987</c:v>
                </c:pt>
                <c:pt idx="145">
                  <c:v>0.34406763391020539</c:v>
                </c:pt>
                <c:pt idx="146">
                  <c:v>0.34256133181575082</c:v>
                </c:pt>
                <c:pt idx="147">
                  <c:v>0.34905383539478368</c:v>
                </c:pt>
                <c:pt idx="148">
                  <c:v>0.35285285285285278</c:v>
                </c:pt>
                <c:pt idx="149">
                  <c:v>0.35384900175515582</c:v>
                </c:pt>
                <c:pt idx="150">
                  <c:v>0.35264298152998119</c:v>
                </c:pt>
                <c:pt idx="151">
                  <c:v>0.35193747429041539</c:v>
                </c:pt>
                <c:pt idx="152">
                  <c:v>0.3521231815501899</c:v>
                </c:pt>
                <c:pt idx="153">
                  <c:v>0.35151781062330317</c:v>
                </c:pt>
                <c:pt idx="154">
                  <c:v>0.35071227805580307</c:v>
                </c:pt>
                <c:pt idx="155">
                  <c:v>0.34800510036196119</c:v>
                </c:pt>
                <c:pt idx="156">
                  <c:v>0.34329626938316632</c:v>
                </c:pt>
                <c:pt idx="157">
                  <c:v>0.34428297230600491</c:v>
                </c:pt>
                <c:pt idx="158">
                  <c:v>0.33847356082313101</c:v>
                </c:pt>
                <c:pt idx="159">
                  <c:v>0.34137122645389489</c:v>
                </c:pt>
                <c:pt idx="160">
                  <c:v>0.34246740605678411</c:v>
                </c:pt>
                <c:pt idx="161">
                  <c:v>0.35116939021715288</c:v>
                </c:pt>
                <c:pt idx="162">
                  <c:v>0.35725938009787928</c:v>
                </c:pt>
                <c:pt idx="163">
                  <c:v>0.35725448264517201</c:v>
                </c:pt>
                <c:pt idx="164">
                  <c:v>0.35094518087979282</c:v>
                </c:pt>
                <c:pt idx="165">
                  <c:v>0.34803838245373547</c:v>
                </c:pt>
                <c:pt idx="166">
                  <c:v>0.34423105920412328</c:v>
                </c:pt>
                <c:pt idx="167">
                  <c:v>0.35471380009868958</c:v>
                </c:pt>
                <c:pt idx="168">
                  <c:v>0.35681017585701158</c:v>
                </c:pt>
                <c:pt idx="169">
                  <c:v>0.35370350064420619</c:v>
                </c:pt>
                <c:pt idx="170">
                  <c:v>0.35318868984800089</c:v>
                </c:pt>
                <c:pt idx="171">
                  <c:v>0.35618541158411232</c:v>
                </c:pt>
                <c:pt idx="172">
                  <c:v>0.36318407960199001</c:v>
                </c:pt>
                <c:pt idx="173">
                  <c:v>0.36067786853790912</c:v>
                </c:pt>
                <c:pt idx="174">
                  <c:v>0.35867196601110118</c:v>
                </c:pt>
                <c:pt idx="175">
                  <c:v>0.36516007016774482</c:v>
                </c:pt>
                <c:pt idx="176">
                  <c:v>0.37035727500719479</c:v>
                </c:pt>
                <c:pt idx="177">
                  <c:v>0.37665478963957788</c:v>
                </c:pt>
                <c:pt idx="178">
                  <c:v>0.3798508996724726</c:v>
                </c:pt>
                <c:pt idx="179">
                  <c:v>0.38314696047799152</c:v>
                </c:pt>
                <c:pt idx="180">
                  <c:v>0.38313120931825972</c:v>
                </c:pt>
                <c:pt idx="181">
                  <c:v>0.38072516991887739</c:v>
                </c:pt>
                <c:pt idx="182">
                  <c:v>0.37971963769406802</c:v>
                </c:pt>
                <c:pt idx="183">
                  <c:v>0.37541313820603472</c:v>
                </c:pt>
                <c:pt idx="184">
                  <c:v>0.37310733224626258</c:v>
                </c:pt>
                <c:pt idx="185">
                  <c:v>0.36658536919556611</c:v>
                </c:pt>
                <c:pt idx="186">
                  <c:v>0.36548010522854318</c:v>
                </c:pt>
                <c:pt idx="187">
                  <c:v>0.36007398780571348</c:v>
                </c:pt>
                <c:pt idx="188">
                  <c:v>0.34996711698133892</c:v>
                </c:pt>
                <c:pt idx="189">
                  <c:v>0.34855252161284578</c:v>
                </c:pt>
                <c:pt idx="190">
                  <c:v>0.34154678723112752</c:v>
                </c:pt>
                <c:pt idx="191">
                  <c:v>0.33934183666479428</c:v>
                </c:pt>
                <c:pt idx="192">
                  <c:v>0.33803704515563349</c:v>
                </c:pt>
                <c:pt idx="193">
                  <c:v>0.34063266340608012</c:v>
                </c:pt>
                <c:pt idx="194">
                  <c:v>0.33801852156282541</c:v>
                </c:pt>
                <c:pt idx="195">
                  <c:v>0.33771387865254737</c:v>
                </c:pt>
                <c:pt idx="196">
                  <c:v>0.33760924956848132</c:v>
                </c:pt>
                <c:pt idx="197">
                  <c:v>0.3386046384197044</c:v>
                </c:pt>
                <c:pt idx="198">
                  <c:v>0.34288590879826858</c:v>
                </c:pt>
                <c:pt idx="199">
                  <c:v>0.34748095994740008</c:v>
                </c:pt>
                <c:pt idx="200">
                  <c:v>0.35087596739949323</c:v>
                </c:pt>
                <c:pt idx="201">
                  <c:v>0.35287099690436402</c:v>
                </c:pt>
                <c:pt idx="202">
                  <c:v>0.35566589505115948</c:v>
                </c:pt>
                <c:pt idx="203">
                  <c:v>0.35835091083413229</c:v>
                </c:pt>
                <c:pt idx="204">
                  <c:v>0.36184547533933242</c:v>
                </c:pt>
                <c:pt idx="205">
                  <c:v>0.36314030570317207</c:v>
                </c:pt>
                <c:pt idx="206">
                  <c:v>0.36293536767424978</c:v>
                </c:pt>
                <c:pt idx="207">
                  <c:v>0.36273043525899151</c:v>
                </c:pt>
                <c:pt idx="208">
                  <c:v>0.36211567169289338</c:v>
                </c:pt>
                <c:pt idx="209">
                  <c:v>0.36111095894163081</c:v>
                </c:pt>
                <c:pt idx="210">
                  <c:v>0.3600062997302072</c:v>
                </c:pt>
                <c:pt idx="211">
                  <c:v>0.35900164338537383</c:v>
                </c:pt>
                <c:pt idx="212">
                  <c:v>0.35859684200435488</c:v>
                </c:pt>
                <c:pt idx="213">
                  <c:v>0.35768730400010962</c:v>
                </c:pt>
                <c:pt idx="214">
                  <c:v>0.35578303023663449</c:v>
                </c:pt>
                <c:pt idx="215">
                  <c:v>0.35397877439233139</c:v>
                </c:pt>
                <c:pt idx="216">
                  <c:v>0.35177471037712588</c:v>
                </c:pt>
                <c:pt idx="217">
                  <c:v>0.34957070672490997</c:v>
                </c:pt>
                <c:pt idx="218">
                  <c:v>0.35085100847585271</c:v>
                </c:pt>
                <c:pt idx="219">
                  <c:v>0.353345108993318</c:v>
                </c:pt>
                <c:pt idx="220">
                  <c:v>0.35513945750551118</c:v>
                </c:pt>
                <c:pt idx="221">
                  <c:v>0.35663389654133693</c:v>
                </c:pt>
                <c:pt idx="222">
                  <c:v>0.35103169713151228</c:v>
                </c:pt>
                <c:pt idx="223">
                  <c:v>0.35251167184654769</c:v>
                </c:pt>
                <c:pt idx="224">
                  <c:v>0.350907721796276</c:v>
                </c:pt>
                <c:pt idx="225">
                  <c:v>0.35240207554661079</c:v>
                </c:pt>
                <c:pt idx="226">
                  <c:v>0.35249719339558072</c:v>
                </c:pt>
                <c:pt idx="227">
                  <c:v>0.35238277773974952</c:v>
                </c:pt>
                <c:pt idx="228">
                  <c:v>0.35367713495605507</c:v>
                </c:pt>
                <c:pt idx="229">
                  <c:v>0.35347242186537431</c:v>
                </c:pt>
                <c:pt idx="230">
                  <c:v>0.35396725440806048</c:v>
                </c:pt>
                <c:pt idx="231">
                  <c:v>0.3560610001505839</c:v>
                </c:pt>
                <c:pt idx="232">
                  <c:v>0.35984367300005471</c:v>
                </c:pt>
                <c:pt idx="233">
                  <c:v>0.36283657070893738</c:v>
                </c:pt>
                <c:pt idx="234">
                  <c:v>0.36852739069729251</c:v>
                </c:pt>
                <c:pt idx="235">
                  <c:v>0.37431797960440771</c:v>
                </c:pt>
                <c:pt idx="236">
                  <c:v>0.37591162943495399</c:v>
                </c:pt>
                <c:pt idx="237">
                  <c:v>0.37729506289437298</c:v>
                </c:pt>
                <c:pt idx="238">
                  <c:v>0.37818915959485361</c:v>
                </c:pt>
                <c:pt idx="239">
                  <c:v>0.37758448419813578</c:v>
                </c:pt>
                <c:pt idx="240">
                  <c:v>0.37707974049437459</c:v>
                </c:pt>
                <c:pt idx="241">
                  <c:v>0.37647509683423902</c:v>
                </c:pt>
                <c:pt idx="242">
                  <c:v>0.38395286453343552</c:v>
                </c:pt>
                <c:pt idx="243">
                  <c:v>0.38234907687464931</c:v>
                </c:pt>
                <c:pt idx="244">
                  <c:v>0.38124486779438332</c:v>
                </c:pt>
                <c:pt idx="245">
                  <c:v>0.38143946133107071</c:v>
                </c:pt>
                <c:pt idx="246">
                  <c:v>0.38063500752702889</c:v>
                </c:pt>
                <c:pt idx="247">
                  <c:v>0.37842157842157842</c:v>
                </c:pt>
                <c:pt idx="248">
                  <c:v>0.37721761502039031</c:v>
                </c:pt>
                <c:pt idx="249">
                  <c:v>0.37651317139924728</c:v>
                </c:pt>
                <c:pt idx="250">
                  <c:v>0.37600853905523018</c:v>
                </c:pt>
                <c:pt idx="251">
                  <c:v>0.37320634399332209</c:v>
                </c:pt>
                <c:pt idx="252">
                  <c:v>0.37159277504105093</c:v>
                </c:pt>
                <c:pt idx="253">
                  <c:v>0.37078857705833251</c:v>
                </c:pt>
                <c:pt idx="254">
                  <c:v>0.37188226923182183</c:v>
                </c:pt>
                <c:pt idx="255">
                  <c:v>0.37077843000424171</c:v>
                </c:pt>
                <c:pt idx="256">
                  <c:v>0.36937496579278628</c:v>
                </c:pt>
                <c:pt idx="257">
                  <c:v>0.36826111346751128</c:v>
                </c:pt>
                <c:pt idx="258">
                  <c:v>0.36645824211908928</c:v>
                </c:pt>
                <c:pt idx="259">
                  <c:v>0.36335700310580249</c:v>
                </c:pt>
                <c:pt idx="260">
                  <c:v>0.36345190860582838</c:v>
                </c:pt>
                <c:pt idx="261">
                  <c:v>0.36122990628633972</c:v>
                </c:pt>
                <c:pt idx="262">
                  <c:v>0.36062575243515382</c:v>
                </c:pt>
                <c:pt idx="263">
                  <c:v>0.36022134971339448</c:v>
                </c:pt>
                <c:pt idx="264">
                  <c:v>0.35921776245588122</c:v>
                </c:pt>
                <c:pt idx="265">
                  <c:v>0.35800467845857098</c:v>
                </c:pt>
                <c:pt idx="267">
                  <c:v>0.32511657163172941</c:v>
                </c:pt>
                <c:pt idx="268">
                  <c:v>0.32791603992889379</c:v>
                </c:pt>
                <c:pt idx="269">
                  <c:v>0.35127924626345219</c:v>
                </c:pt>
                <c:pt idx="270">
                  <c:v>0.35758280228646439</c:v>
                </c:pt>
                <c:pt idx="271">
                  <c:v>0.35838632478632482</c:v>
                </c:pt>
                <c:pt idx="272">
                  <c:v>0.3580917345878234</c:v>
                </c:pt>
                <c:pt idx="273">
                  <c:v>0.35849595886383212</c:v>
                </c:pt>
                <c:pt idx="274">
                  <c:v>0.35929952681819433</c:v>
                </c:pt>
                <c:pt idx="275">
                  <c:v>0.3579165469987281</c:v>
                </c:pt>
                <c:pt idx="276">
                  <c:v>0.35642386279712251</c:v>
                </c:pt>
                <c:pt idx="277">
                  <c:v>0.35523065771298062</c:v>
                </c:pt>
                <c:pt idx="278">
                  <c:v>0.35633377099403679</c:v>
                </c:pt>
                <c:pt idx="279">
                  <c:v>0.35603911646037062</c:v>
                </c:pt>
                <c:pt idx="280">
                  <c:v>0.35645311303206051</c:v>
                </c:pt>
                <c:pt idx="281">
                  <c:v>0.35765616665070921</c:v>
                </c:pt>
                <c:pt idx="282">
                  <c:v>0.35816030638763502</c:v>
                </c:pt>
                <c:pt idx="283">
                  <c:v>0.35826505628581978</c:v>
                </c:pt>
                <c:pt idx="284">
                  <c:v>0.35817010450292708</c:v>
                </c:pt>
                <c:pt idx="285">
                  <c:v>0.35768552082620891</c:v>
                </c:pt>
                <c:pt idx="286">
                  <c:v>0.35798998686802358</c:v>
                </c:pt>
                <c:pt idx="287">
                  <c:v>0.35789502482798252</c:v>
                </c:pt>
                <c:pt idx="288">
                  <c:v>0.35770019972093792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9D-4312-B392-89DABA539039}"/>
            </c:ext>
          </c:extLst>
        </c:ser>
        <c:ser>
          <c:idx val="4"/>
          <c:order val="4"/>
          <c:tx>
            <c:strRef>
              <c:f>'Grafico Paridades bkp'!$F$1:$F$2</c:f>
              <c:strCache>
                <c:ptCount val="1"/>
                <c:pt idx="0">
                  <c:v>Suma de P41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bkp'!$A$3:$A$292</c:f>
              <c:strCache>
                <c:ptCount val="289"/>
                <c:pt idx="0">
                  <c:v>14/09/2020</c:v>
                </c:pt>
                <c:pt idx="1">
                  <c:v>15/09/2020</c:v>
                </c:pt>
                <c:pt idx="2">
                  <c:v>16/09/2020</c:v>
                </c:pt>
                <c:pt idx="3">
                  <c:v>17/09/2020</c:v>
                </c:pt>
                <c:pt idx="4">
                  <c:v>18/09/2020</c:v>
                </c:pt>
                <c:pt idx="5">
                  <c:v>21/09/2020</c:v>
                </c:pt>
                <c:pt idx="6">
                  <c:v>22/09/2020</c:v>
                </c:pt>
                <c:pt idx="7">
                  <c:v>23/09/2020</c:v>
                </c:pt>
                <c:pt idx="8">
                  <c:v>24/09/2020</c:v>
                </c:pt>
                <c:pt idx="9">
                  <c:v>25/09/2020</c:v>
                </c:pt>
                <c:pt idx="10">
                  <c:v>28/09/2020</c:v>
                </c:pt>
                <c:pt idx="11">
                  <c:v>29/09/2020</c:v>
                </c:pt>
                <c:pt idx="12">
                  <c:v>30/09/2020</c:v>
                </c:pt>
                <c:pt idx="13">
                  <c:v>01/10/2020</c:v>
                </c:pt>
                <c:pt idx="14">
                  <c:v>02/10/2020</c:v>
                </c:pt>
                <c:pt idx="15">
                  <c:v>05/10/2020</c:v>
                </c:pt>
                <c:pt idx="16">
                  <c:v>06/10/2020</c:v>
                </c:pt>
                <c:pt idx="17">
                  <c:v>07/10/2020</c:v>
                </c:pt>
                <c:pt idx="18">
                  <c:v>08/10/2020</c:v>
                </c:pt>
                <c:pt idx="19">
                  <c:v>09/10/2020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02/11/2020</c:v>
                </c:pt>
                <c:pt idx="35">
                  <c:v>03/11/2020</c:v>
                </c:pt>
                <c:pt idx="36">
                  <c:v>04/11/2020</c:v>
                </c:pt>
                <c:pt idx="37">
                  <c:v>05/11/2020</c:v>
                </c:pt>
                <c:pt idx="38">
                  <c:v>06/11/2020</c:v>
                </c:pt>
                <c:pt idx="39">
                  <c:v>09/11/2020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01/12/2020</c:v>
                </c:pt>
                <c:pt idx="55">
                  <c:v>02/12/2020</c:v>
                </c:pt>
                <c:pt idx="56">
                  <c:v>03/12/2020</c:v>
                </c:pt>
                <c:pt idx="57">
                  <c:v>04/12/2020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11/01/2021</c:v>
                </c:pt>
                <c:pt idx="78">
                  <c:v>12/01/2021</c:v>
                </c:pt>
                <c:pt idx="79">
                  <c:v>13/01/2021</c:v>
                </c:pt>
                <c:pt idx="80">
                  <c:v>14/01/2021</c:v>
                </c:pt>
                <c:pt idx="81">
                  <c:v>15/01/2021</c:v>
                </c:pt>
                <c:pt idx="82">
                  <c:v>18/01/2021</c:v>
                </c:pt>
                <c:pt idx="83">
                  <c:v>19/01/2021</c:v>
                </c:pt>
                <c:pt idx="84">
                  <c:v>20/01/2021</c:v>
                </c:pt>
                <c:pt idx="85">
                  <c:v>21/01/2021</c:v>
                </c:pt>
                <c:pt idx="86">
                  <c:v>22/01/2021</c:v>
                </c:pt>
                <c:pt idx="87">
                  <c:v>25/01/2021</c:v>
                </c:pt>
                <c:pt idx="88">
                  <c:v>26/01/2021</c:v>
                </c:pt>
                <c:pt idx="89">
                  <c:v>27/01/2021</c:v>
                </c:pt>
                <c:pt idx="90">
                  <c:v>28/01/2021</c:v>
                </c:pt>
                <c:pt idx="91">
                  <c:v>29/01/2021</c:v>
                </c:pt>
                <c:pt idx="92">
                  <c:v>01/02/2021</c:v>
                </c:pt>
                <c:pt idx="93">
                  <c:v>02/02/2021</c:v>
                </c:pt>
                <c:pt idx="94">
                  <c:v>03/02/2021</c:v>
                </c:pt>
                <c:pt idx="95">
                  <c:v>04/02/2021</c:v>
                </c:pt>
                <c:pt idx="96">
                  <c:v>05/02/2021</c:v>
                </c:pt>
                <c:pt idx="97">
                  <c:v>08/02/2021</c:v>
                </c:pt>
                <c:pt idx="98">
                  <c:v>09/02/2021</c:v>
                </c:pt>
                <c:pt idx="99">
                  <c:v>10/02/2021</c:v>
                </c:pt>
                <c:pt idx="100">
                  <c:v>11/02/2021</c:v>
                </c:pt>
                <c:pt idx="101">
                  <c:v>12/02/2021</c:v>
                </c:pt>
                <c:pt idx="102">
                  <c:v>17/02/2021</c:v>
                </c:pt>
                <c:pt idx="103">
                  <c:v>18/02/2021</c:v>
                </c:pt>
                <c:pt idx="104">
                  <c:v>19/02/2021</c:v>
                </c:pt>
                <c:pt idx="105">
                  <c:v>22/02/2021</c:v>
                </c:pt>
                <c:pt idx="106">
                  <c:v>23/02/2021</c:v>
                </c:pt>
                <c:pt idx="107">
                  <c:v>24/02/2021</c:v>
                </c:pt>
                <c:pt idx="108">
                  <c:v>25/02/2021</c:v>
                </c:pt>
                <c:pt idx="109">
                  <c:v>26/02/2021</c:v>
                </c:pt>
                <c:pt idx="110">
                  <c:v>01/03/2021</c:v>
                </c:pt>
                <c:pt idx="111">
                  <c:v>02/03/2021</c:v>
                </c:pt>
                <c:pt idx="112">
                  <c:v>03/03/2021</c:v>
                </c:pt>
                <c:pt idx="113">
                  <c:v>04/03/2021</c:v>
                </c:pt>
                <c:pt idx="114">
                  <c:v>05/03/2021</c:v>
                </c:pt>
                <c:pt idx="115">
                  <c:v>08/03/2021</c:v>
                </c:pt>
                <c:pt idx="116">
                  <c:v>09/03/2021</c:v>
                </c:pt>
                <c:pt idx="117">
                  <c:v>10/03/2021</c:v>
                </c:pt>
                <c:pt idx="118">
                  <c:v>11/03/2021</c:v>
                </c:pt>
                <c:pt idx="119">
                  <c:v>12/03/2021</c:v>
                </c:pt>
                <c:pt idx="120">
                  <c:v>15/03/2021</c:v>
                </c:pt>
                <c:pt idx="121">
                  <c:v>16/03/2021</c:v>
                </c:pt>
                <c:pt idx="122">
                  <c:v>17/03/2021</c:v>
                </c:pt>
                <c:pt idx="123">
                  <c:v>18/03/2021</c:v>
                </c:pt>
                <c:pt idx="124">
                  <c:v>19/03/2021</c:v>
                </c:pt>
                <c:pt idx="125">
                  <c:v>22/03/2021</c:v>
                </c:pt>
                <c:pt idx="126">
                  <c:v>23/03/2021</c:v>
                </c:pt>
                <c:pt idx="127">
                  <c:v>25/03/2021</c:v>
                </c:pt>
                <c:pt idx="128">
                  <c:v>26/03/2021</c:v>
                </c:pt>
                <c:pt idx="129">
                  <c:v>29/03/2021</c:v>
                </c:pt>
                <c:pt idx="130">
                  <c:v>30/03/2021</c:v>
                </c:pt>
                <c:pt idx="131">
                  <c:v>31/03/2021</c:v>
                </c:pt>
                <c:pt idx="132">
                  <c:v>05/04/2021</c:v>
                </c:pt>
                <c:pt idx="133">
                  <c:v>06/04/2021</c:v>
                </c:pt>
                <c:pt idx="134">
                  <c:v>07/04/2021</c:v>
                </c:pt>
                <c:pt idx="135">
                  <c:v>08/04/2021</c:v>
                </c:pt>
                <c:pt idx="136">
                  <c:v>09/04/2021</c:v>
                </c:pt>
                <c:pt idx="137">
                  <c:v>12/04/2021</c:v>
                </c:pt>
                <c:pt idx="138">
                  <c:v>13/04/2021</c:v>
                </c:pt>
                <c:pt idx="139">
                  <c:v>14/04/2021</c:v>
                </c:pt>
                <c:pt idx="140">
                  <c:v>15/04/2021</c:v>
                </c:pt>
                <c:pt idx="141">
                  <c:v>16/04/2021</c:v>
                </c:pt>
                <c:pt idx="142">
                  <c:v>19/04/2021</c:v>
                </c:pt>
                <c:pt idx="143">
                  <c:v>20/04/2021</c:v>
                </c:pt>
                <c:pt idx="144">
                  <c:v>21/04/2021</c:v>
                </c:pt>
                <c:pt idx="145">
                  <c:v>22/04/2021</c:v>
                </c:pt>
                <c:pt idx="146">
                  <c:v>23/04/2021</c:v>
                </c:pt>
                <c:pt idx="147">
                  <c:v>26/04/2021</c:v>
                </c:pt>
                <c:pt idx="148">
                  <c:v>27/04/2021</c:v>
                </c:pt>
                <c:pt idx="149">
                  <c:v>28/04/2021</c:v>
                </c:pt>
                <c:pt idx="150">
                  <c:v>29/04/2021</c:v>
                </c:pt>
                <c:pt idx="151">
                  <c:v>30/04/2021</c:v>
                </c:pt>
                <c:pt idx="152">
                  <c:v>03/05/2021</c:v>
                </c:pt>
                <c:pt idx="153">
                  <c:v>04/05/2021</c:v>
                </c:pt>
                <c:pt idx="154">
                  <c:v>05/05/2021</c:v>
                </c:pt>
                <c:pt idx="155">
                  <c:v>06/05/2021</c:v>
                </c:pt>
                <c:pt idx="156">
                  <c:v>07/05/2021</c:v>
                </c:pt>
                <c:pt idx="157">
                  <c:v>10/05/2021</c:v>
                </c:pt>
                <c:pt idx="158">
                  <c:v>11/05/2021</c:v>
                </c:pt>
                <c:pt idx="159">
                  <c:v>12/05/2021</c:v>
                </c:pt>
                <c:pt idx="160">
                  <c:v>13/05/2021</c:v>
                </c:pt>
                <c:pt idx="161">
                  <c:v>14/05/2021</c:v>
                </c:pt>
                <c:pt idx="162">
                  <c:v>17/05/2021</c:v>
                </c:pt>
                <c:pt idx="163">
                  <c:v>18/05/2021</c:v>
                </c:pt>
                <c:pt idx="164">
                  <c:v>19/05/2021</c:v>
                </c:pt>
                <c:pt idx="165">
                  <c:v>20/05/2021</c:v>
                </c:pt>
                <c:pt idx="166">
                  <c:v>21/05/2021</c:v>
                </c:pt>
                <c:pt idx="167">
                  <c:v>26/05/2021</c:v>
                </c:pt>
                <c:pt idx="168">
                  <c:v>27/05/2021</c:v>
                </c:pt>
                <c:pt idx="169">
                  <c:v>28/05/2021</c:v>
                </c:pt>
                <c:pt idx="170">
                  <c:v>31/05/2021</c:v>
                </c:pt>
                <c:pt idx="171">
                  <c:v>01/06/2021</c:v>
                </c:pt>
                <c:pt idx="172">
                  <c:v>02/06/2021</c:v>
                </c:pt>
                <c:pt idx="173">
                  <c:v>03/06/2021</c:v>
                </c:pt>
                <c:pt idx="174">
                  <c:v>04/06/2021</c:v>
                </c:pt>
                <c:pt idx="175">
                  <c:v>07/06/2021</c:v>
                </c:pt>
                <c:pt idx="176">
                  <c:v>08/06/2021</c:v>
                </c:pt>
                <c:pt idx="177">
                  <c:v>09/06/2021</c:v>
                </c:pt>
                <c:pt idx="178">
                  <c:v>10/06/2021</c:v>
                </c:pt>
                <c:pt idx="179">
                  <c:v>11/06/2021</c:v>
                </c:pt>
                <c:pt idx="180">
                  <c:v>14/06/2021</c:v>
                </c:pt>
                <c:pt idx="181">
                  <c:v>15/06/2021</c:v>
                </c:pt>
                <c:pt idx="182">
                  <c:v>16/06/2021</c:v>
                </c:pt>
                <c:pt idx="183">
                  <c:v>17/06/2021</c:v>
                </c:pt>
                <c:pt idx="184">
                  <c:v>18/06/2021</c:v>
                </c:pt>
                <c:pt idx="185">
                  <c:v>22/06/2021</c:v>
                </c:pt>
                <c:pt idx="186">
                  <c:v>23/06/2021</c:v>
                </c:pt>
                <c:pt idx="187">
                  <c:v>24/06/2021</c:v>
                </c:pt>
                <c:pt idx="188">
                  <c:v>25/06/2021</c:v>
                </c:pt>
                <c:pt idx="189">
                  <c:v>28/06/2021</c:v>
                </c:pt>
                <c:pt idx="190">
                  <c:v>29/06/2021</c:v>
                </c:pt>
                <c:pt idx="191">
                  <c:v>30/06/2021</c:v>
                </c:pt>
                <c:pt idx="192">
                  <c:v>01/07/2021</c:v>
                </c:pt>
                <c:pt idx="193">
                  <c:v>02/07/2021</c:v>
                </c:pt>
                <c:pt idx="194">
                  <c:v>05/07/2021</c:v>
                </c:pt>
                <c:pt idx="195">
                  <c:v>06/07/2021</c:v>
                </c:pt>
                <c:pt idx="196">
                  <c:v>07/07/2021</c:v>
                </c:pt>
                <c:pt idx="197">
                  <c:v>08/07/2021</c:v>
                </c:pt>
                <c:pt idx="198">
                  <c:v>12/07/2021</c:v>
                </c:pt>
                <c:pt idx="199">
                  <c:v>13/07/2021</c:v>
                </c:pt>
                <c:pt idx="200">
                  <c:v>14/07/2021</c:v>
                </c:pt>
                <c:pt idx="201">
                  <c:v>15/07/2021</c:v>
                </c:pt>
                <c:pt idx="202">
                  <c:v>16/07/2021</c:v>
                </c:pt>
                <c:pt idx="203">
                  <c:v>19/07/2021</c:v>
                </c:pt>
                <c:pt idx="204">
                  <c:v>20/07/2021</c:v>
                </c:pt>
                <c:pt idx="205">
                  <c:v>21/07/2021</c:v>
                </c:pt>
                <c:pt idx="206">
                  <c:v>22/07/2021</c:v>
                </c:pt>
                <c:pt idx="207">
                  <c:v>23/07/2021</c:v>
                </c:pt>
                <c:pt idx="208">
                  <c:v>26/07/2021</c:v>
                </c:pt>
                <c:pt idx="209">
                  <c:v>27/07/2021</c:v>
                </c:pt>
                <c:pt idx="210">
                  <c:v>28/07/2021</c:v>
                </c:pt>
                <c:pt idx="211">
                  <c:v>29/07/2021</c:v>
                </c:pt>
                <c:pt idx="212">
                  <c:v>30/07/2021</c:v>
                </c:pt>
                <c:pt idx="213">
                  <c:v>01/08/2021</c:v>
                </c:pt>
                <c:pt idx="214">
                  <c:v>02/08/2021</c:v>
                </c:pt>
                <c:pt idx="215">
                  <c:v>03/08/2021</c:v>
                </c:pt>
                <c:pt idx="216">
                  <c:v>04/08/2021</c:v>
                </c:pt>
                <c:pt idx="217">
                  <c:v>05/08/2021</c:v>
                </c:pt>
                <c:pt idx="218">
                  <c:v>09/08/2021</c:v>
                </c:pt>
                <c:pt idx="219">
                  <c:v>10/08/2021</c:v>
                </c:pt>
                <c:pt idx="220">
                  <c:v>11/08/2021</c:v>
                </c:pt>
                <c:pt idx="221">
                  <c:v>12/08/2021</c:v>
                </c:pt>
                <c:pt idx="222">
                  <c:v>13/08/2021</c:v>
                </c:pt>
                <c:pt idx="223">
                  <c:v>17/08/2021</c:v>
                </c:pt>
                <c:pt idx="224">
                  <c:v>18/08/2021</c:v>
                </c:pt>
                <c:pt idx="225">
                  <c:v>19/08/2021</c:v>
                </c:pt>
                <c:pt idx="226">
                  <c:v>20/08/2021</c:v>
                </c:pt>
                <c:pt idx="227">
                  <c:v>23/08/2021</c:v>
                </c:pt>
                <c:pt idx="228">
                  <c:v>24/08/2021</c:v>
                </c:pt>
                <c:pt idx="229">
                  <c:v>25/08/2021</c:v>
                </c:pt>
                <c:pt idx="230">
                  <c:v>26/08/2021</c:v>
                </c:pt>
                <c:pt idx="231">
                  <c:v>27/08/2021</c:v>
                </c:pt>
                <c:pt idx="232">
                  <c:v>30/08/2021</c:v>
                </c:pt>
                <c:pt idx="233">
                  <c:v>31/08/2021</c:v>
                </c:pt>
                <c:pt idx="234">
                  <c:v>01/09/2021</c:v>
                </c:pt>
                <c:pt idx="235">
                  <c:v>02/09/2021</c:v>
                </c:pt>
                <c:pt idx="236">
                  <c:v>03/09/2021</c:v>
                </c:pt>
                <c:pt idx="237">
                  <c:v>06/09/2021</c:v>
                </c:pt>
                <c:pt idx="238">
                  <c:v>07/09/2021</c:v>
                </c:pt>
                <c:pt idx="239">
                  <c:v>08/09/2021</c:v>
                </c:pt>
                <c:pt idx="240">
                  <c:v>09/09/2021</c:v>
                </c:pt>
                <c:pt idx="241">
                  <c:v>10/09/2021</c:v>
                </c:pt>
                <c:pt idx="242">
                  <c:v>13/09/2021</c:v>
                </c:pt>
                <c:pt idx="243">
                  <c:v>14/09/2021</c:v>
                </c:pt>
                <c:pt idx="244">
                  <c:v>15/09/2021</c:v>
                </c:pt>
                <c:pt idx="245">
                  <c:v>16/09/2021</c:v>
                </c:pt>
                <c:pt idx="246">
                  <c:v>17/09/2021</c:v>
                </c:pt>
                <c:pt idx="247">
                  <c:v>20/09/2021</c:v>
                </c:pt>
                <c:pt idx="248">
                  <c:v>21/09/2021</c:v>
                </c:pt>
                <c:pt idx="249">
                  <c:v>22/09/2021</c:v>
                </c:pt>
                <c:pt idx="250">
                  <c:v>23/09/2021</c:v>
                </c:pt>
                <c:pt idx="251">
                  <c:v>24/09/2021</c:v>
                </c:pt>
                <c:pt idx="252">
                  <c:v>27/09/2021</c:v>
                </c:pt>
                <c:pt idx="253">
                  <c:v>28/09/2021</c:v>
                </c:pt>
                <c:pt idx="254">
                  <c:v>29/09/2021</c:v>
                </c:pt>
                <c:pt idx="255">
                  <c:v>30/09/2021</c:v>
                </c:pt>
                <c:pt idx="256">
                  <c:v>01/10/2021</c:v>
                </c:pt>
                <c:pt idx="257">
                  <c:v>04/10/2021</c:v>
                </c:pt>
                <c:pt idx="258">
                  <c:v>05/10/2021</c:v>
                </c:pt>
                <c:pt idx="259">
                  <c:v>06/10/2021</c:v>
                </c:pt>
                <c:pt idx="260">
                  <c:v>07/10/2021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  <c:pt idx="267">
                  <c:v>17/11/2021</c:v>
                </c:pt>
                <c:pt idx="268">
                  <c:v>16/11/2021</c:v>
                </c:pt>
                <c:pt idx="269">
                  <c:v>15/11/2021</c:v>
                </c:pt>
                <c:pt idx="270">
                  <c:v>12/11/2021</c:v>
                </c:pt>
                <c:pt idx="271">
                  <c:v>11/11/2021</c:v>
                </c:pt>
                <c:pt idx="272">
                  <c:v>10/11/2021</c:v>
                </c:pt>
                <c:pt idx="273">
                  <c:v>09/11/2021</c:v>
                </c:pt>
                <c:pt idx="274">
                  <c:v>08/11/2021</c:v>
                </c:pt>
                <c:pt idx="275">
                  <c:v>05/11/2021</c:v>
                </c:pt>
                <c:pt idx="276">
                  <c:v>04/11/2021</c:v>
                </c:pt>
                <c:pt idx="277">
                  <c:v>03/11/2021</c:v>
                </c:pt>
                <c:pt idx="278">
                  <c:v>02/11/2021</c:v>
                </c:pt>
                <c:pt idx="279">
                  <c:v>01/11/2021</c:v>
                </c:pt>
                <c:pt idx="280">
                  <c:v>29/10/2021</c:v>
                </c:pt>
                <c:pt idx="281">
                  <c:v>28/10/2021</c:v>
                </c:pt>
                <c:pt idx="282">
                  <c:v>27/10/2021</c:v>
                </c:pt>
                <c:pt idx="283">
                  <c:v>26/10/2021</c:v>
                </c:pt>
                <c:pt idx="284">
                  <c:v>25/10/2021</c:v>
                </c:pt>
                <c:pt idx="285">
                  <c:v>22/10/2021</c:v>
                </c:pt>
                <c:pt idx="286">
                  <c:v>21/10/2021</c:v>
                </c:pt>
                <c:pt idx="287">
                  <c:v>20/10/2021</c:v>
                </c:pt>
                <c:pt idx="288">
                  <c:v>19/10/2021</c:v>
                </c:pt>
              </c:strCache>
            </c:strRef>
          </c:cat>
          <c:val>
            <c:numRef>
              <c:f>'Grafico Paridades bkp'!$F$3:$F$292</c:f>
              <c:numCache>
                <c:formatCode>0.00%</c:formatCode>
                <c:ptCount val="289"/>
                <c:pt idx="0">
                  <c:v>0.44034939767296771</c:v>
                </c:pt>
                <c:pt idx="1">
                  <c:v>0.43143882647761589</c:v>
                </c:pt>
                <c:pt idx="2">
                  <c:v>0.41041603817568489</c:v>
                </c:pt>
                <c:pt idx="3">
                  <c:v>0.40040451826331402</c:v>
                </c:pt>
                <c:pt idx="4">
                  <c:v>0.40040314563293178</c:v>
                </c:pt>
                <c:pt idx="5">
                  <c:v>0.38638506182531218</c:v>
                </c:pt>
                <c:pt idx="6">
                  <c:v>0.37787528710020218</c:v>
                </c:pt>
                <c:pt idx="7">
                  <c:v>0.38588191737713012</c:v>
                </c:pt>
                <c:pt idx="8">
                  <c:v>0.39488948003510321</c:v>
                </c:pt>
                <c:pt idx="9">
                  <c:v>0.40039353748375972</c:v>
                </c:pt>
                <c:pt idx="10">
                  <c:v>0.39538455209861639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0.40037981235624198</c:v>
                </c:pt>
                <c:pt idx="16">
                  <c:v>0.40027834528526968</c:v>
                </c:pt>
                <c:pt idx="17">
                  <c:v>0.39937612477504503</c:v>
                </c:pt>
                <c:pt idx="18">
                  <c:v>0.39537099881395549</c:v>
                </c:pt>
                <c:pt idx="19">
                  <c:v>0.39536964353659421</c:v>
                </c:pt>
                <c:pt idx="20">
                  <c:v>0.39286191731423808</c:v>
                </c:pt>
                <c:pt idx="21">
                  <c:v>0.38235092482141148</c:v>
                </c:pt>
                <c:pt idx="22">
                  <c:v>0.36533405545481662</c:v>
                </c:pt>
                <c:pt idx="23">
                  <c:v>0.35832642064346287</c:v>
                </c:pt>
                <c:pt idx="24">
                  <c:v>0.35832273588883129</c:v>
                </c:pt>
                <c:pt idx="25">
                  <c:v>0.34831252699339821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0.34180317473375349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0.33819418261090117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0.34639182324835299</c:v>
                </c:pt>
                <c:pt idx="38">
                  <c:v>0.34619046802968251</c:v>
                </c:pt>
                <c:pt idx="39">
                  <c:v>0.34778823545541171</c:v>
                </c:pt>
                <c:pt idx="40">
                  <c:v>0.35229076052495378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0.35227868622094882</c:v>
                </c:pt>
                <c:pt idx="49">
                  <c:v>0.35027230072693499</c:v>
                </c:pt>
                <c:pt idx="50">
                  <c:v>0.35426569927445578</c:v>
                </c:pt>
                <c:pt idx="51">
                  <c:v>0.34926912860937359</c:v>
                </c:pt>
                <c:pt idx="52">
                  <c:v>0.35026869927615711</c:v>
                </c:pt>
                <c:pt idx="53">
                  <c:v>0.35026509789943761</c:v>
                </c:pt>
                <c:pt idx="54">
                  <c:v>0.34626088148605122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0.34495635455115609</c:v>
                </c:pt>
                <c:pt idx="58">
                  <c:v>0.34495044347265819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0.34824687363987478</c:v>
                </c:pt>
                <c:pt idx="62">
                  <c:v>0.34824568017162788</c:v>
                </c:pt>
                <c:pt idx="63">
                  <c:v>0.34824448671156122</c:v>
                </c:pt>
                <c:pt idx="64">
                  <c:v>0.35074504105608018</c:v>
                </c:pt>
                <c:pt idx="65">
                  <c:v>0.35524696963985242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0.35724223960082518</c:v>
                </c:pt>
                <c:pt idx="69">
                  <c:v>0.35723611839332159</c:v>
                </c:pt>
                <c:pt idx="70">
                  <c:v>0.35773522316043432</c:v>
                </c:pt>
                <c:pt idx="71">
                  <c:v>0.35923497904451202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0.34621816487101459</c:v>
                </c:pt>
                <c:pt idx="75">
                  <c:v>0.34871854621218101</c:v>
                </c:pt>
                <c:pt idx="76">
                  <c:v>0.34621579203476138</c:v>
                </c:pt>
                <c:pt idx="77">
                  <c:v>0.34521161945165008</c:v>
                </c:pt>
                <c:pt idx="78">
                  <c:v>0.34721165642069479</c:v>
                </c:pt>
                <c:pt idx="79">
                  <c:v>0.34270773722427628</c:v>
                </c:pt>
                <c:pt idx="80">
                  <c:v>0.33820384889522448</c:v>
                </c:pt>
                <c:pt idx="81">
                  <c:v>0.33670179045660931</c:v>
                </c:pt>
                <c:pt idx="82">
                  <c:v>0.33819921323519331</c:v>
                </c:pt>
                <c:pt idx="83">
                  <c:v>0.33869834731983461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0.33618881837744491</c:v>
                </c:pt>
                <c:pt idx="89">
                  <c:v>0.33908928614260703</c:v>
                </c:pt>
                <c:pt idx="90">
                  <c:v>0.33718706953857958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0.33568048574062082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0.33767809049978409</c:v>
                </c:pt>
                <c:pt idx="97">
                  <c:v>0.33717436071393092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0.33416822852600447</c:v>
                </c:pt>
                <c:pt idx="102">
                  <c:v>0.32865982772444141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0.32755368100787008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0.33215242611335338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0.32264253728530762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0.32013485132435932</c:v>
                </c:pt>
                <c:pt idx="116">
                  <c:v>0.31993367091730113</c:v>
                </c:pt>
                <c:pt idx="117">
                  <c:v>0.31433025328989073</c:v>
                </c:pt>
                <c:pt idx="118">
                  <c:v>0.31512950527614092</c:v>
                </c:pt>
                <c:pt idx="119">
                  <c:v>0.32513250262949628</c:v>
                </c:pt>
                <c:pt idx="120">
                  <c:v>0.33463293637198338</c:v>
                </c:pt>
                <c:pt idx="121">
                  <c:v>0.33503194751357562</c:v>
                </c:pt>
                <c:pt idx="122">
                  <c:v>0.33763181516071339</c:v>
                </c:pt>
                <c:pt idx="123">
                  <c:v>0.33963143271197421</c:v>
                </c:pt>
                <c:pt idx="124">
                  <c:v>0.3426314202707888</c:v>
                </c:pt>
                <c:pt idx="125">
                  <c:v>0.34863013933283321</c:v>
                </c:pt>
                <c:pt idx="126">
                  <c:v>0.35263042495169439</c:v>
                </c:pt>
                <c:pt idx="127">
                  <c:v>0.34612564835179888</c:v>
                </c:pt>
                <c:pt idx="128">
                  <c:v>0.34362356326761329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0.33010626708597968</c:v>
                </c:pt>
                <c:pt idx="134">
                  <c:v>0.33210577341413527</c:v>
                </c:pt>
                <c:pt idx="135">
                  <c:v>0.33110432053934802</c:v>
                </c:pt>
                <c:pt idx="136">
                  <c:v>0.33140327978924938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0.33489863452934759</c:v>
                </c:pt>
                <c:pt idx="140">
                  <c:v>0.33109638079577958</c:v>
                </c:pt>
                <c:pt idx="141">
                  <c:v>0.33159539045478842</c:v>
                </c:pt>
                <c:pt idx="142">
                  <c:v>0.33159198270753187</c:v>
                </c:pt>
                <c:pt idx="143">
                  <c:v>0.33009043573581798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0.32958239559889968</c:v>
                </c:pt>
                <c:pt idx="149">
                  <c:v>0.33158175988599919</c:v>
                </c:pt>
                <c:pt idx="150">
                  <c:v>0.32757965121656291</c:v>
                </c:pt>
                <c:pt idx="151">
                  <c:v>0.32957900866646123</c:v>
                </c:pt>
                <c:pt idx="152">
                  <c:v>0.32557470378477249</c:v>
                </c:pt>
                <c:pt idx="153">
                  <c:v>0.32837422157062901</c:v>
                </c:pt>
                <c:pt idx="154">
                  <c:v>0.32807302995529819</c:v>
                </c:pt>
                <c:pt idx="155">
                  <c:v>0.32497122657020722</c:v>
                </c:pt>
                <c:pt idx="156">
                  <c:v>0.32306970339491048</c:v>
                </c:pt>
                <c:pt idx="157">
                  <c:v>0.32256628074261828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0.33056339571972698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0.35255191689187099</c:v>
                </c:pt>
                <c:pt idx="169">
                  <c:v>0.34604977428260231</c:v>
                </c:pt>
                <c:pt idx="170">
                  <c:v>0.34404595134281629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0.34504253949117009</c:v>
                </c:pt>
                <c:pt idx="174">
                  <c:v>0.34614148956210511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0.36403740110285299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0.37202930367802939</c:v>
                </c:pt>
                <c:pt idx="183">
                  <c:v>0.37002787881278731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0.34751666175775547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0.33901044895219368</c:v>
                </c:pt>
                <c:pt idx="192">
                  <c:v>0.34350941121674572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0.34700237672860768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0.36279378777760662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0.38498154198086387</c:v>
                </c:pt>
                <c:pt idx="208">
                  <c:v>0.38297770335288689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0.38147387165262647</c:v>
                </c:pt>
                <c:pt idx="212">
                  <c:v>0.38097260128552402</c:v>
                </c:pt>
                <c:pt idx="213">
                  <c:v>0.38047003147012393</c:v>
                </c:pt>
                <c:pt idx="214">
                  <c:v>0.37896885187518831</c:v>
                </c:pt>
                <c:pt idx="215">
                  <c:v>0.37596781097508769</c:v>
                </c:pt>
                <c:pt idx="216">
                  <c:v>0.37146692417798421</c:v>
                </c:pt>
                <c:pt idx="217">
                  <c:v>0.36996579083440922</c:v>
                </c:pt>
                <c:pt idx="218">
                  <c:v>0.37076063842537271</c:v>
                </c:pt>
                <c:pt idx="219">
                  <c:v>0.37495890861275483</c:v>
                </c:pt>
                <c:pt idx="220">
                  <c:v>0.37545756815154452</c:v>
                </c:pt>
                <c:pt idx="221">
                  <c:v>0.37895587500085598</c:v>
                </c:pt>
                <c:pt idx="222">
                  <c:v>0.37395517660554378</c:v>
                </c:pt>
                <c:pt idx="223">
                  <c:v>0.36395139005406812</c:v>
                </c:pt>
                <c:pt idx="224">
                  <c:v>0.36654978770031499</c:v>
                </c:pt>
                <c:pt idx="225">
                  <c:v>0.36694847641255862</c:v>
                </c:pt>
                <c:pt idx="226">
                  <c:v>0.36594736373535308</c:v>
                </c:pt>
                <c:pt idx="227">
                  <c:v>0.369942988238114</c:v>
                </c:pt>
                <c:pt idx="228">
                  <c:v>0.37144148524547499</c:v>
                </c:pt>
                <c:pt idx="229">
                  <c:v>0.37144021339031053</c:v>
                </c:pt>
                <c:pt idx="230">
                  <c:v>0.37093902372212789</c:v>
                </c:pt>
                <c:pt idx="231">
                  <c:v>0.37373728381196308</c:v>
                </c:pt>
                <c:pt idx="232">
                  <c:v>0.3819319847150508</c:v>
                </c:pt>
                <c:pt idx="233">
                  <c:v>0.38393031401834599</c:v>
                </c:pt>
                <c:pt idx="234">
                  <c:v>0.38592862963698488</c:v>
                </c:pt>
                <c:pt idx="235">
                  <c:v>0.39192617828833609</c:v>
                </c:pt>
                <c:pt idx="236">
                  <c:v>0.39242474046073361</c:v>
                </c:pt>
                <c:pt idx="237">
                  <c:v>0.39342050750019691</c:v>
                </c:pt>
                <c:pt idx="238">
                  <c:v>0.39391905772786412</c:v>
                </c:pt>
                <c:pt idx="239">
                  <c:v>0.39041843998342812</c:v>
                </c:pt>
                <c:pt idx="240">
                  <c:v>0.38791763392704293</c:v>
                </c:pt>
                <c:pt idx="241">
                  <c:v>0.38941598216823092</c:v>
                </c:pt>
                <c:pt idx="242">
                  <c:v>0.39491073935343379</c:v>
                </c:pt>
                <c:pt idx="243">
                  <c:v>0.3939096166290611</c:v>
                </c:pt>
                <c:pt idx="244">
                  <c:v>0.39290850076009692</c:v>
                </c:pt>
                <c:pt idx="245">
                  <c:v>0.39240727362369848</c:v>
                </c:pt>
                <c:pt idx="246">
                  <c:v>0.39140616975382608</c:v>
                </c:pt>
                <c:pt idx="247">
                  <c:v>0.3849037740564859</c:v>
                </c:pt>
                <c:pt idx="248">
                  <c:v>0.3849024562268466</c:v>
                </c:pt>
                <c:pt idx="249">
                  <c:v>0.38190190875631258</c:v>
                </c:pt>
                <c:pt idx="250">
                  <c:v>0.37890138183212579</c:v>
                </c:pt>
                <c:pt idx="251">
                  <c:v>0.37939995275218519</c:v>
                </c:pt>
                <c:pt idx="252">
                  <c:v>0.37389756231169541</c:v>
                </c:pt>
                <c:pt idx="253">
                  <c:v>0.37889489559403039</c:v>
                </c:pt>
                <c:pt idx="254">
                  <c:v>0.37789387911613859</c:v>
                </c:pt>
                <c:pt idx="255">
                  <c:v>0.37489343782418011</c:v>
                </c:pt>
                <c:pt idx="256">
                  <c:v>0.37089330466578108</c:v>
                </c:pt>
                <c:pt idx="257">
                  <c:v>0.37088949525312659</c:v>
                </c:pt>
                <c:pt idx="258">
                  <c:v>0.37368738188491141</c:v>
                </c:pt>
                <c:pt idx="259">
                  <c:v>0.36888756509146181</c:v>
                </c:pt>
                <c:pt idx="260">
                  <c:v>0.3678866102913485</c:v>
                </c:pt>
                <c:pt idx="261">
                  <c:v>0.36878002019890788</c:v>
                </c:pt>
                <c:pt idx="262">
                  <c:v>0.36587971078001752</c:v>
                </c:pt>
                <c:pt idx="263">
                  <c:v>0.37087679777608118</c:v>
                </c:pt>
                <c:pt idx="264">
                  <c:v>0.37187519257235591</c:v>
                </c:pt>
                <c:pt idx="265">
                  <c:v>0.36387413942437719</c:v>
                </c:pt>
                <c:pt idx="267">
                  <c:v>0.35384125614878248</c:v>
                </c:pt>
                <c:pt idx="268">
                  <c:v>0.35934001985417452</c:v>
                </c:pt>
                <c:pt idx="269">
                  <c:v>0.36483882120570021</c:v>
                </c:pt>
                <c:pt idx="270">
                  <c:v>0.37143972121618751</c:v>
                </c:pt>
                <c:pt idx="271">
                  <c:v>0.36484381685922118</c:v>
                </c:pt>
                <c:pt idx="272">
                  <c:v>0.36984294340759399</c:v>
                </c:pt>
                <c:pt idx="273">
                  <c:v>0.37414239892100237</c:v>
                </c:pt>
                <c:pt idx="274">
                  <c:v>0.37484338735185979</c:v>
                </c:pt>
                <c:pt idx="275">
                  <c:v>0.37484723691372351</c:v>
                </c:pt>
                <c:pt idx="276">
                  <c:v>0.37214961077372838</c:v>
                </c:pt>
                <c:pt idx="277">
                  <c:v>0.36135521041226631</c:v>
                </c:pt>
                <c:pt idx="278">
                  <c:v>0.35985704309247007</c:v>
                </c:pt>
                <c:pt idx="279">
                  <c:v>0.36885473186929801</c:v>
                </c:pt>
                <c:pt idx="280">
                  <c:v>0.36585967026346061</c:v>
                </c:pt>
                <c:pt idx="281">
                  <c:v>0.36286206270903859</c:v>
                </c:pt>
                <c:pt idx="282">
                  <c:v>0.36116394508917882</c:v>
                </c:pt>
                <c:pt idx="283">
                  <c:v>0.35836622630593368</c:v>
                </c:pt>
                <c:pt idx="284">
                  <c:v>0.35706793377791768</c:v>
                </c:pt>
                <c:pt idx="285">
                  <c:v>0.35597199637116789</c:v>
                </c:pt>
                <c:pt idx="286">
                  <c:v>0.3558732506230658</c:v>
                </c:pt>
                <c:pt idx="287">
                  <c:v>0.3578737637066377</c:v>
                </c:pt>
                <c:pt idx="288">
                  <c:v>0.3599742555682604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9D-4312-B392-89DABA539039}"/>
            </c:ext>
          </c:extLst>
        </c:ser>
        <c:ser>
          <c:idx val="5"/>
          <c:order val="5"/>
          <c:tx>
            <c:strRef>
              <c:f>'Grafico Paridades bkp'!$G$1:$G$2</c:f>
              <c:strCache>
                <c:ptCount val="1"/>
                <c:pt idx="0">
                  <c:v>Suma de PG30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bkp'!$A$3:$A$292</c:f>
              <c:strCache>
                <c:ptCount val="289"/>
                <c:pt idx="0">
                  <c:v>14/09/2020</c:v>
                </c:pt>
                <c:pt idx="1">
                  <c:v>15/09/2020</c:v>
                </c:pt>
                <c:pt idx="2">
                  <c:v>16/09/2020</c:v>
                </c:pt>
                <c:pt idx="3">
                  <c:v>17/09/2020</c:v>
                </c:pt>
                <c:pt idx="4">
                  <c:v>18/09/2020</c:v>
                </c:pt>
                <c:pt idx="5">
                  <c:v>21/09/2020</c:v>
                </c:pt>
                <c:pt idx="6">
                  <c:v>22/09/2020</c:v>
                </c:pt>
                <c:pt idx="7">
                  <c:v>23/09/2020</c:v>
                </c:pt>
                <c:pt idx="8">
                  <c:v>24/09/2020</c:v>
                </c:pt>
                <c:pt idx="9">
                  <c:v>25/09/2020</c:v>
                </c:pt>
                <c:pt idx="10">
                  <c:v>28/09/2020</c:v>
                </c:pt>
                <c:pt idx="11">
                  <c:v>29/09/2020</c:v>
                </c:pt>
                <c:pt idx="12">
                  <c:v>30/09/2020</c:v>
                </c:pt>
                <c:pt idx="13">
                  <c:v>01/10/2020</c:v>
                </c:pt>
                <c:pt idx="14">
                  <c:v>02/10/2020</c:v>
                </c:pt>
                <c:pt idx="15">
                  <c:v>05/10/2020</c:v>
                </c:pt>
                <c:pt idx="16">
                  <c:v>06/10/2020</c:v>
                </c:pt>
                <c:pt idx="17">
                  <c:v>07/10/2020</c:v>
                </c:pt>
                <c:pt idx="18">
                  <c:v>08/10/2020</c:v>
                </c:pt>
                <c:pt idx="19">
                  <c:v>09/10/2020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02/11/2020</c:v>
                </c:pt>
                <c:pt idx="35">
                  <c:v>03/11/2020</c:v>
                </c:pt>
                <c:pt idx="36">
                  <c:v>04/11/2020</c:v>
                </c:pt>
                <c:pt idx="37">
                  <c:v>05/11/2020</c:v>
                </c:pt>
                <c:pt idx="38">
                  <c:v>06/11/2020</c:v>
                </c:pt>
                <c:pt idx="39">
                  <c:v>09/11/2020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01/12/2020</c:v>
                </c:pt>
                <c:pt idx="55">
                  <c:v>02/12/2020</c:v>
                </c:pt>
                <c:pt idx="56">
                  <c:v>03/12/2020</c:v>
                </c:pt>
                <c:pt idx="57">
                  <c:v>04/12/2020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11/01/2021</c:v>
                </c:pt>
                <c:pt idx="78">
                  <c:v>12/01/2021</c:v>
                </c:pt>
                <c:pt idx="79">
                  <c:v>13/01/2021</c:v>
                </c:pt>
                <c:pt idx="80">
                  <c:v>14/01/2021</c:v>
                </c:pt>
                <c:pt idx="81">
                  <c:v>15/01/2021</c:v>
                </c:pt>
                <c:pt idx="82">
                  <c:v>18/01/2021</c:v>
                </c:pt>
                <c:pt idx="83">
                  <c:v>19/01/2021</c:v>
                </c:pt>
                <c:pt idx="84">
                  <c:v>20/01/2021</c:v>
                </c:pt>
                <c:pt idx="85">
                  <c:v>21/01/2021</c:v>
                </c:pt>
                <c:pt idx="86">
                  <c:v>22/01/2021</c:v>
                </c:pt>
                <c:pt idx="87">
                  <c:v>25/01/2021</c:v>
                </c:pt>
                <c:pt idx="88">
                  <c:v>26/01/2021</c:v>
                </c:pt>
                <c:pt idx="89">
                  <c:v>27/01/2021</c:v>
                </c:pt>
                <c:pt idx="90">
                  <c:v>28/01/2021</c:v>
                </c:pt>
                <c:pt idx="91">
                  <c:v>29/01/2021</c:v>
                </c:pt>
                <c:pt idx="92">
                  <c:v>01/02/2021</c:v>
                </c:pt>
                <c:pt idx="93">
                  <c:v>02/02/2021</c:v>
                </c:pt>
                <c:pt idx="94">
                  <c:v>03/02/2021</c:v>
                </c:pt>
                <c:pt idx="95">
                  <c:v>04/02/2021</c:v>
                </c:pt>
                <c:pt idx="96">
                  <c:v>05/02/2021</c:v>
                </c:pt>
                <c:pt idx="97">
                  <c:v>08/02/2021</c:v>
                </c:pt>
                <c:pt idx="98">
                  <c:v>09/02/2021</c:v>
                </c:pt>
                <c:pt idx="99">
                  <c:v>10/02/2021</c:v>
                </c:pt>
                <c:pt idx="100">
                  <c:v>11/02/2021</c:v>
                </c:pt>
                <c:pt idx="101">
                  <c:v>12/02/2021</c:v>
                </c:pt>
                <c:pt idx="102">
                  <c:v>17/02/2021</c:v>
                </c:pt>
                <c:pt idx="103">
                  <c:v>18/02/2021</c:v>
                </c:pt>
                <c:pt idx="104">
                  <c:v>19/02/2021</c:v>
                </c:pt>
                <c:pt idx="105">
                  <c:v>22/02/2021</c:v>
                </c:pt>
                <c:pt idx="106">
                  <c:v>23/02/2021</c:v>
                </c:pt>
                <c:pt idx="107">
                  <c:v>24/02/2021</c:v>
                </c:pt>
                <c:pt idx="108">
                  <c:v>25/02/2021</c:v>
                </c:pt>
                <c:pt idx="109">
                  <c:v>26/02/2021</c:v>
                </c:pt>
                <c:pt idx="110">
                  <c:v>01/03/2021</c:v>
                </c:pt>
                <c:pt idx="111">
                  <c:v>02/03/2021</c:v>
                </c:pt>
                <c:pt idx="112">
                  <c:v>03/03/2021</c:v>
                </c:pt>
                <c:pt idx="113">
                  <c:v>04/03/2021</c:v>
                </c:pt>
                <c:pt idx="114">
                  <c:v>05/03/2021</c:v>
                </c:pt>
                <c:pt idx="115">
                  <c:v>08/03/2021</c:v>
                </c:pt>
                <c:pt idx="116">
                  <c:v>09/03/2021</c:v>
                </c:pt>
                <c:pt idx="117">
                  <c:v>10/03/2021</c:v>
                </c:pt>
                <c:pt idx="118">
                  <c:v>11/03/2021</c:v>
                </c:pt>
                <c:pt idx="119">
                  <c:v>12/03/2021</c:v>
                </c:pt>
                <c:pt idx="120">
                  <c:v>15/03/2021</c:v>
                </c:pt>
                <c:pt idx="121">
                  <c:v>16/03/2021</c:v>
                </c:pt>
                <c:pt idx="122">
                  <c:v>17/03/2021</c:v>
                </c:pt>
                <c:pt idx="123">
                  <c:v>18/03/2021</c:v>
                </c:pt>
                <c:pt idx="124">
                  <c:v>19/03/2021</c:v>
                </c:pt>
                <c:pt idx="125">
                  <c:v>22/03/2021</c:v>
                </c:pt>
                <c:pt idx="126">
                  <c:v>23/03/2021</c:v>
                </c:pt>
                <c:pt idx="127">
                  <c:v>25/03/2021</c:v>
                </c:pt>
                <c:pt idx="128">
                  <c:v>26/03/2021</c:v>
                </c:pt>
                <c:pt idx="129">
                  <c:v>29/03/2021</c:v>
                </c:pt>
                <c:pt idx="130">
                  <c:v>30/03/2021</c:v>
                </c:pt>
                <c:pt idx="131">
                  <c:v>31/03/2021</c:v>
                </c:pt>
                <c:pt idx="132">
                  <c:v>05/04/2021</c:v>
                </c:pt>
                <c:pt idx="133">
                  <c:v>06/04/2021</c:v>
                </c:pt>
                <c:pt idx="134">
                  <c:v>07/04/2021</c:v>
                </c:pt>
                <c:pt idx="135">
                  <c:v>08/04/2021</c:v>
                </c:pt>
                <c:pt idx="136">
                  <c:v>09/04/2021</c:v>
                </c:pt>
                <c:pt idx="137">
                  <c:v>12/04/2021</c:v>
                </c:pt>
                <c:pt idx="138">
                  <c:v>13/04/2021</c:v>
                </c:pt>
                <c:pt idx="139">
                  <c:v>14/04/2021</c:v>
                </c:pt>
                <c:pt idx="140">
                  <c:v>15/04/2021</c:v>
                </c:pt>
                <c:pt idx="141">
                  <c:v>16/04/2021</c:v>
                </c:pt>
                <c:pt idx="142">
                  <c:v>19/04/2021</c:v>
                </c:pt>
                <c:pt idx="143">
                  <c:v>20/04/2021</c:v>
                </c:pt>
                <c:pt idx="144">
                  <c:v>21/04/2021</c:v>
                </c:pt>
                <c:pt idx="145">
                  <c:v>22/04/2021</c:v>
                </c:pt>
                <c:pt idx="146">
                  <c:v>23/04/2021</c:v>
                </c:pt>
                <c:pt idx="147">
                  <c:v>26/04/2021</c:v>
                </c:pt>
                <c:pt idx="148">
                  <c:v>27/04/2021</c:v>
                </c:pt>
                <c:pt idx="149">
                  <c:v>28/04/2021</c:v>
                </c:pt>
                <c:pt idx="150">
                  <c:v>29/04/2021</c:v>
                </c:pt>
                <c:pt idx="151">
                  <c:v>30/04/2021</c:v>
                </c:pt>
                <c:pt idx="152">
                  <c:v>03/05/2021</c:v>
                </c:pt>
                <c:pt idx="153">
                  <c:v>04/05/2021</c:v>
                </c:pt>
                <c:pt idx="154">
                  <c:v>05/05/2021</c:v>
                </c:pt>
                <c:pt idx="155">
                  <c:v>06/05/2021</c:v>
                </c:pt>
                <c:pt idx="156">
                  <c:v>07/05/2021</c:v>
                </c:pt>
                <c:pt idx="157">
                  <c:v>10/05/2021</c:v>
                </c:pt>
                <c:pt idx="158">
                  <c:v>11/05/2021</c:v>
                </c:pt>
                <c:pt idx="159">
                  <c:v>12/05/2021</c:v>
                </c:pt>
                <c:pt idx="160">
                  <c:v>13/05/2021</c:v>
                </c:pt>
                <c:pt idx="161">
                  <c:v>14/05/2021</c:v>
                </c:pt>
                <c:pt idx="162">
                  <c:v>17/05/2021</c:v>
                </c:pt>
                <c:pt idx="163">
                  <c:v>18/05/2021</c:v>
                </c:pt>
                <c:pt idx="164">
                  <c:v>19/05/2021</c:v>
                </c:pt>
                <c:pt idx="165">
                  <c:v>20/05/2021</c:v>
                </c:pt>
                <c:pt idx="166">
                  <c:v>21/05/2021</c:v>
                </c:pt>
                <c:pt idx="167">
                  <c:v>26/05/2021</c:v>
                </c:pt>
                <c:pt idx="168">
                  <c:v>27/05/2021</c:v>
                </c:pt>
                <c:pt idx="169">
                  <c:v>28/05/2021</c:v>
                </c:pt>
                <c:pt idx="170">
                  <c:v>31/05/2021</c:v>
                </c:pt>
                <c:pt idx="171">
                  <c:v>01/06/2021</c:v>
                </c:pt>
                <c:pt idx="172">
                  <c:v>02/06/2021</c:v>
                </c:pt>
                <c:pt idx="173">
                  <c:v>03/06/2021</c:v>
                </c:pt>
                <c:pt idx="174">
                  <c:v>04/06/2021</c:v>
                </c:pt>
                <c:pt idx="175">
                  <c:v>07/06/2021</c:v>
                </c:pt>
                <c:pt idx="176">
                  <c:v>08/06/2021</c:v>
                </c:pt>
                <c:pt idx="177">
                  <c:v>09/06/2021</c:v>
                </c:pt>
                <c:pt idx="178">
                  <c:v>10/06/2021</c:v>
                </c:pt>
                <c:pt idx="179">
                  <c:v>11/06/2021</c:v>
                </c:pt>
                <c:pt idx="180">
                  <c:v>14/06/2021</c:v>
                </c:pt>
                <c:pt idx="181">
                  <c:v>15/06/2021</c:v>
                </c:pt>
                <c:pt idx="182">
                  <c:v>16/06/2021</c:v>
                </c:pt>
                <c:pt idx="183">
                  <c:v>17/06/2021</c:v>
                </c:pt>
                <c:pt idx="184">
                  <c:v>18/06/2021</c:v>
                </c:pt>
                <c:pt idx="185">
                  <c:v>22/06/2021</c:v>
                </c:pt>
                <c:pt idx="186">
                  <c:v>23/06/2021</c:v>
                </c:pt>
                <c:pt idx="187">
                  <c:v>24/06/2021</c:v>
                </c:pt>
                <c:pt idx="188">
                  <c:v>25/06/2021</c:v>
                </c:pt>
                <c:pt idx="189">
                  <c:v>28/06/2021</c:v>
                </c:pt>
                <c:pt idx="190">
                  <c:v>29/06/2021</c:v>
                </c:pt>
                <c:pt idx="191">
                  <c:v>30/06/2021</c:v>
                </c:pt>
                <c:pt idx="192">
                  <c:v>01/07/2021</c:v>
                </c:pt>
                <c:pt idx="193">
                  <c:v>02/07/2021</c:v>
                </c:pt>
                <c:pt idx="194">
                  <c:v>05/07/2021</c:v>
                </c:pt>
                <c:pt idx="195">
                  <c:v>06/07/2021</c:v>
                </c:pt>
                <c:pt idx="196">
                  <c:v>07/07/2021</c:v>
                </c:pt>
                <c:pt idx="197">
                  <c:v>08/07/2021</c:v>
                </c:pt>
                <c:pt idx="198">
                  <c:v>12/07/2021</c:v>
                </c:pt>
                <c:pt idx="199">
                  <c:v>13/07/2021</c:v>
                </c:pt>
                <c:pt idx="200">
                  <c:v>14/07/2021</c:v>
                </c:pt>
                <c:pt idx="201">
                  <c:v>15/07/2021</c:v>
                </c:pt>
                <c:pt idx="202">
                  <c:v>16/07/2021</c:v>
                </c:pt>
                <c:pt idx="203">
                  <c:v>19/07/2021</c:v>
                </c:pt>
                <c:pt idx="204">
                  <c:v>20/07/2021</c:v>
                </c:pt>
                <c:pt idx="205">
                  <c:v>21/07/2021</c:v>
                </c:pt>
                <c:pt idx="206">
                  <c:v>22/07/2021</c:v>
                </c:pt>
                <c:pt idx="207">
                  <c:v>23/07/2021</c:v>
                </c:pt>
                <c:pt idx="208">
                  <c:v>26/07/2021</c:v>
                </c:pt>
                <c:pt idx="209">
                  <c:v>27/07/2021</c:v>
                </c:pt>
                <c:pt idx="210">
                  <c:v>28/07/2021</c:v>
                </c:pt>
                <c:pt idx="211">
                  <c:v>29/07/2021</c:v>
                </c:pt>
                <c:pt idx="212">
                  <c:v>30/07/2021</c:v>
                </c:pt>
                <c:pt idx="213">
                  <c:v>01/08/2021</c:v>
                </c:pt>
                <c:pt idx="214">
                  <c:v>02/08/2021</c:v>
                </c:pt>
                <c:pt idx="215">
                  <c:v>03/08/2021</c:v>
                </c:pt>
                <c:pt idx="216">
                  <c:v>04/08/2021</c:v>
                </c:pt>
                <c:pt idx="217">
                  <c:v>05/08/2021</c:v>
                </c:pt>
                <c:pt idx="218">
                  <c:v>09/08/2021</c:v>
                </c:pt>
                <c:pt idx="219">
                  <c:v>10/08/2021</c:v>
                </c:pt>
                <c:pt idx="220">
                  <c:v>11/08/2021</c:v>
                </c:pt>
                <c:pt idx="221">
                  <c:v>12/08/2021</c:v>
                </c:pt>
                <c:pt idx="222">
                  <c:v>13/08/2021</c:v>
                </c:pt>
                <c:pt idx="223">
                  <c:v>17/08/2021</c:v>
                </c:pt>
                <c:pt idx="224">
                  <c:v>18/08/2021</c:v>
                </c:pt>
                <c:pt idx="225">
                  <c:v>19/08/2021</c:v>
                </c:pt>
                <c:pt idx="226">
                  <c:v>20/08/2021</c:v>
                </c:pt>
                <c:pt idx="227">
                  <c:v>23/08/2021</c:v>
                </c:pt>
                <c:pt idx="228">
                  <c:v>24/08/2021</c:v>
                </c:pt>
                <c:pt idx="229">
                  <c:v>25/08/2021</c:v>
                </c:pt>
                <c:pt idx="230">
                  <c:v>26/08/2021</c:v>
                </c:pt>
                <c:pt idx="231">
                  <c:v>27/08/2021</c:v>
                </c:pt>
                <c:pt idx="232">
                  <c:v>30/08/2021</c:v>
                </c:pt>
                <c:pt idx="233">
                  <c:v>31/08/2021</c:v>
                </c:pt>
                <c:pt idx="234">
                  <c:v>01/09/2021</c:v>
                </c:pt>
                <c:pt idx="235">
                  <c:v>02/09/2021</c:v>
                </c:pt>
                <c:pt idx="236">
                  <c:v>03/09/2021</c:v>
                </c:pt>
                <c:pt idx="237">
                  <c:v>06/09/2021</c:v>
                </c:pt>
                <c:pt idx="238">
                  <c:v>07/09/2021</c:v>
                </c:pt>
                <c:pt idx="239">
                  <c:v>08/09/2021</c:v>
                </c:pt>
                <c:pt idx="240">
                  <c:v>09/09/2021</c:v>
                </c:pt>
                <c:pt idx="241">
                  <c:v>10/09/2021</c:v>
                </c:pt>
                <c:pt idx="242">
                  <c:v>13/09/2021</c:v>
                </c:pt>
                <c:pt idx="243">
                  <c:v>14/09/2021</c:v>
                </c:pt>
                <c:pt idx="244">
                  <c:v>15/09/2021</c:v>
                </c:pt>
                <c:pt idx="245">
                  <c:v>16/09/2021</c:v>
                </c:pt>
                <c:pt idx="246">
                  <c:v>17/09/2021</c:v>
                </c:pt>
                <c:pt idx="247">
                  <c:v>20/09/2021</c:v>
                </c:pt>
                <c:pt idx="248">
                  <c:v>21/09/2021</c:v>
                </c:pt>
                <c:pt idx="249">
                  <c:v>22/09/2021</c:v>
                </c:pt>
                <c:pt idx="250">
                  <c:v>23/09/2021</c:v>
                </c:pt>
                <c:pt idx="251">
                  <c:v>24/09/2021</c:v>
                </c:pt>
                <c:pt idx="252">
                  <c:v>27/09/2021</c:v>
                </c:pt>
                <c:pt idx="253">
                  <c:v>28/09/2021</c:v>
                </c:pt>
                <c:pt idx="254">
                  <c:v>29/09/2021</c:v>
                </c:pt>
                <c:pt idx="255">
                  <c:v>30/09/2021</c:v>
                </c:pt>
                <c:pt idx="256">
                  <c:v>01/10/2021</c:v>
                </c:pt>
                <c:pt idx="257">
                  <c:v>04/10/2021</c:v>
                </c:pt>
                <c:pt idx="258">
                  <c:v>05/10/2021</c:v>
                </c:pt>
                <c:pt idx="259">
                  <c:v>06/10/2021</c:v>
                </c:pt>
                <c:pt idx="260">
                  <c:v>07/10/2021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  <c:pt idx="267">
                  <c:v>17/11/2021</c:v>
                </c:pt>
                <c:pt idx="268">
                  <c:v>16/11/2021</c:v>
                </c:pt>
                <c:pt idx="269">
                  <c:v>15/11/2021</c:v>
                </c:pt>
                <c:pt idx="270">
                  <c:v>12/11/2021</c:v>
                </c:pt>
                <c:pt idx="271">
                  <c:v>11/11/2021</c:v>
                </c:pt>
                <c:pt idx="272">
                  <c:v>10/11/2021</c:v>
                </c:pt>
                <c:pt idx="273">
                  <c:v>09/11/2021</c:v>
                </c:pt>
                <c:pt idx="274">
                  <c:v>08/11/2021</c:v>
                </c:pt>
                <c:pt idx="275">
                  <c:v>05/11/2021</c:v>
                </c:pt>
                <c:pt idx="276">
                  <c:v>04/11/2021</c:v>
                </c:pt>
                <c:pt idx="277">
                  <c:v>03/11/2021</c:v>
                </c:pt>
                <c:pt idx="278">
                  <c:v>02/11/2021</c:v>
                </c:pt>
                <c:pt idx="279">
                  <c:v>01/11/2021</c:v>
                </c:pt>
                <c:pt idx="280">
                  <c:v>29/10/2021</c:v>
                </c:pt>
                <c:pt idx="281">
                  <c:v>28/10/2021</c:v>
                </c:pt>
                <c:pt idx="282">
                  <c:v>27/10/2021</c:v>
                </c:pt>
                <c:pt idx="283">
                  <c:v>26/10/2021</c:v>
                </c:pt>
                <c:pt idx="284">
                  <c:v>25/10/2021</c:v>
                </c:pt>
                <c:pt idx="285">
                  <c:v>22/10/2021</c:v>
                </c:pt>
                <c:pt idx="286">
                  <c:v>21/10/2021</c:v>
                </c:pt>
                <c:pt idx="287">
                  <c:v>20/10/2021</c:v>
                </c:pt>
                <c:pt idx="288">
                  <c:v>19/10/2021</c:v>
                </c:pt>
              </c:strCache>
            </c:strRef>
          </c:cat>
          <c:val>
            <c:numRef>
              <c:f>'Grafico Paridades bkp'!$G$3:$G$292</c:f>
              <c:numCache>
                <c:formatCode>0.00%</c:formatCode>
                <c:ptCount val="289"/>
                <c:pt idx="0">
                  <c:v>0.49997945289919588</c:v>
                </c:pt>
                <c:pt idx="1">
                  <c:v>0.49997774071702289</c:v>
                </c:pt>
                <c:pt idx="2">
                  <c:v>0.48097693946180659</c:v>
                </c:pt>
                <c:pt idx="3">
                  <c:v>0.46247624265876752</c:v>
                </c:pt>
                <c:pt idx="4">
                  <c:v>0.46887430825708182</c:v>
                </c:pt>
                <c:pt idx="5">
                  <c:v>0.45747023310127077</c:v>
                </c:pt>
                <c:pt idx="6">
                  <c:v>0.45326895418122037</c:v>
                </c:pt>
                <c:pt idx="7">
                  <c:v>0.46296670444933752</c:v>
                </c:pt>
                <c:pt idx="8">
                  <c:v>0.45696557108710989</c:v>
                </c:pt>
                <c:pt idx="9">
                  <c:v>0.45286432917955088</c:v>
                </c:pt>
                <c:pt idx="10">
                  <c:v>0.44846006862402671</c:v>
                </c:pt>
                <c:pt idx="11">
                  <c:v>0.44465888428124789</c:v>
                </c:pt>
                <c:pt idx="12">
                  <c:v>0.44705713150793758</c:v>
                </c:pt>
                <c:pt idx="13">
                  <c:v>0.4439559084885405</c:v>
                </c:pt>
                <c:pt idx="14">
                  <c:v>0.43985480943738658</c:v>
                </c:pt>
                <c:pt idx="15">
                  <c:v>0.43445090109679391</c:v>
                </c:pt>
                <c:pt idx="16">
                  <c:v>0.43994877308806513</c:v>
                </c:pt>
                <c:pt idx="17">
                  <c:v>0.44494666735151611</c:v>
                </c:pt>
                <c:pt idx="18">
                  <c:v>0.44794477393198101</c:v>
                </c:pt>
                <c:pt idx="19">
                  <c:v>0.45014296133709092</c:v>
                </c:pt>
                <c:pt idx="20">
                  <c:v>0.4500368098999798</c:v>
                </c:pt>
                <c:pt idx="21">
                  <c:v>0.45493456420651818</c:v>
                </c:pt>
                <c:pt idx="22">
                  <c:v>0.44493447882674808</c:v>
                </c:pt>
                <c:pt idx="23">
                  <c:v>0.44293325663256222</c:v>
                </c:pt>
                <c:pt idx="24">
                  <c:v>0.43792951134577651</c:v>
                </c:pt>
                <c:pt idx="25">
                  <c:v>0.41693146332109787</c:v>
                </c:pt>
                <c:pt idx="26">
                  <c:v>0.4054319651839246</c:v>
                </c:pt>
                <c:pt idx="27">
                  <c:v>0.41492895052217088</c:v>
                </c:pt>
                <c:pt idx="28">
                  <c:v>0.42492578351041432</c:v>
                </c:pt>
                <c:pt idx="29">
                  <c:v>0.40492511658802832</c:v>
                </c:pt>
                <c:pt idx="30">
                  <c:v>0.40492373011932692</c:v>
                </c:pt>
                <c:pt idx="31">
                  <c:v>0.40492234366011998</c:v>
                </c:pt>
                <c:pt idx="32">
                  <c:v>0.39572275275031932</c:v>
                </c:pt>
                <c:pt idx="33">
                  <c:v>0.39842086160968032</c:v>
                </c:pt>
                <c:pt idx="34">
                  <c:v>0.40461547416464372</c:v>
                </c:pt>
                <c:pt idx="35">
                  <c:v>0.41141264526025301</c:v>
                </c:pt>
                <c:pt idx="36">
                  <c:v>0.40911173274259321</c:v>
                </c:pt>
                <c:pt idx="37">
                  <c:v>0.40641092363317632</c:v>
                </c:pt>
                <c:pt idx="38">
                  <c:v>0.40490986595449641</c:v>
                </c:pt>
                <c:pt idx="39">
                  <c:v>0.41630305271375162</c:v>
                </c:pt>
                <c:pt idx="40">
                  <c:v>0.41490195809894242</c:v>
                </c:pt>
                <c:pt idx="41">
                  <c:v>0.41889957886807949</c:v>
                </c:pt>
                <c:pt idx="42">
                  <c:v>0.42239729380869723</c:v>
                </c:pt>
                <c:pt idx="43">
                  <c:v>0.42489523131282703</c:v>
                </c:pt>
                <c:pt idx="44">
                  <c:v>0.4282899940083883</c:v>
                </c:pt>
                <c:pt idx="45">
                  <c:v>0.41679152001533842</c:v>
                </c:pt>
                <c:pt idx="46">
                  <c:v>0.41399083118492719</c:v>
                </c:pt>
                <c:pt idx="47">
                  <c:v>0.40889077575168281</c:v>
                </c:pt>
                <c:pt idx="48">
                  <c:v>0.4083895110569401</c:v>
                </c:pt>
                <c:pt idx="49">
                  <c:v>0.41188292368949919</c:v>
                </c:pt>
                <c:pt idx="50">
                  <c:v>0.41588036318319388</c:v>
                </c:pt>
                <c:pt idx="51">
                  <c:v>0.41188010339455983</c:v>
                </c:pt>
                <c:pt idx="52">
                  <c:v>0.41477783940346341</c:v>
                </c:pt>
                <c:pt idx="53">
                  <c:v>0.40687598642879402</c:v>
                </c:pt>
                <c:pt idx="54">
                  <c:v>0.40667465507206679</c:v>
                </c:pt>
                <c:pt idx="55">
                  <c:v>0.40597348086726398</c:v>
                </c:pt>
                <c:pt idx="56">
                  <c:v>0.40487243745121398</c:v>
                </c:pt>
                <c:pt idx="57">
                  <c:v>0.39927283433700911</c:v>
                </c:pt>
                <c:pt idx="58">
                  <c:v>0.39986579846489878</c:v>
                </c:pt>
                <c:pt idx="59">
                  <c:v>0.40586239596849022</c:v>
                </c:pt>
                <c:pt idx="60">
                  <c:v>0.4077603560424512</c:v>
                </c:pt>
                <c:pt idx="61">
                  <c:v>0.41485366463199619</c:v>
                </c:pt>
                <c:pt idx="62">
                  <c:v>0.40645523512173742</c:v>
                </c:pt>
                <c:pt idx="63">
                  <c:v>0.40785334040841481</c:v>
                </c:pt>
                <c:pt idx="64">
                  <c:v>0.40995118210512621</c:v>
                </c:pt>
                <c:pt idx="65">
                  <c:v>0.41384835009089133</c:v>
                </c:pt>
                <c:pt idx="66">
                  <c:v>0.41134504125158328</c:v>
                </c:pt>
                <c:pt idx="67">
                  <c:v>0.41234325307845299</c:v>
                </c:pt>
                <c:pt idx="68">
                  <c:v>0.41284164977816717</c:v>
                </c:pt>
                <c:pt idx="69">
                  <c:v>0.41873222030898583</c:v>
                </c:pt>
                <c:pt idx="70">
                  <c:v>0.41173361449825069</c:v>
                </c:pt>
                <c:pt idx="71">
                  <c:v>0.41573057555311371</c:v>
                </c:pt>
                <c:pt idx="72">
                  <c:v>0.40482808670290699</c:v>
                </c:pt>
                <c:pt idx="73">
                  <c:v>0.40252768506632441</c:v>
                </c:pt>
                <c:pt idx="74">
                  <c:v>0.40932337416046499</c:v>
                </c:pt>
                <c:pt idx="75">
                  <c:v>0.40582349457598921</c:v>
                </c:pt>
                <c:pt idx="76">
                  <c:v>0.40442271880819369</c:v>
                </c:pt>
                <c:pt idx="77">
                  <c:v>0.40251941765851618</c:v>
                </c:pt>
                <c:pt idx="78">
                  <c:v>0.40331767830980519</c:v>
                </c:pt>
                <c:pt idx="79">
                  <c:v>0.39342080490735382</c:v>
                </c:pt>
                <c:pt idx="80">
                  <c:v>0.38982110949085008</c:v>
                </c:pt>
                <c:pt idx="81">
                  <c:v>0.39071935920036971</c:v>
                </c:pt>
                <c:pt idx="82">
                  <c:v>0.39661255981762039</c:v>
                </c:pt>
                <c:pt idx="83">
                  <c:v>0.3993099175392536</c:v>
                </c:pt>
                <c:pt idx="84">
                  <c:v>0.40100773601697809</c:v>
                </c:pt>
                <c:pt idx="85">
                  <c:v>0.39880742518167589</c:v>
                </c:pt>
                <c:pt idx="86">
                  <c:v>0.40480314367670522</c:v>
                </c:pt>
                <c:pt idx="87">
                  <c:v>0.40379948313337549</c:v>
                </c:pt>
                <c:pt idx="88">
                  <c:v>0.40379810094952517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0.40019579050416049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0.39958652226892483</c:v>
                </c:pt>
                <c:pt idx="97">
                  <c:v>0.39958241916216852</c:v>
                </c:pt>
                <c:pt idx="98">
                  <c:v>0.39868154435925518</c:v>
                </c:pt>
                <c:pt idx="99">
                  <c:v>0.39638144721574747</c:v>
                </c:pt>
                <c:pt idx="100">
                  <c:v>0.39558053408725302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0.37767494712055139</c:v>
                </c:pt>
                <c:pt idx="107">
                  <c:v>0.38087173782835632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0.36937104055362951</c:v>
                </c:pt>
                <c:pt idx="112">
                  <c:v>0.36976952721249079</c:v>
                </c:pt>
                <c:pt idx="113">
                  <c:v>0.36956838693558491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0.34367755117406878</c:v>
                </c:pt>
                <c:pt idx="118">
                  <c:v>0.34627468428077618</c:v>
                </c:pt>
                <c:pt idx="119">
                  <c:v>0.35286918488249119</c:v>
                </c:pt>
                <c:pt idx="120">
                  <c:v>0.35926131268951461</c:v>
                </c:pt>
                <c:pt idx="121">
                  <c:v>0.36275774739471928</c:v>
                </c:pt>
                <c:pt idx="122">
                  <c:v>0.36855261536776679</c:v>
                </c:pt>
                <c:pt idx="123">
                  <c:v>0.36585317439946341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0.37054366499887059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0.35353605869590521</c:v>
                </c:pt>
                <c:pt idx="136">
                  <c:v>0.35123657257057211</c:v>
                </c:pt>
                <c:pt idx="137">
                  <c:v>0.35892711705484193</c:v>
                </c:pt>
                <c:pt idx="138">
                  <c:v>0.36362230214596392</c:v>
                </c:pt>
                <c:pt idx="139">
                  <c:v>0.36072328077091548</c:v>
                </c:pt>
                <c:pt idx="140">
                  <c:v>0.35952297031397029</c:v>
                </c:pt>
                <c:pt idx="141">
                  <c:v>0.36371849185219662</c:v>
                </c:pt>
                <c:pt idx="142">
                  <c:v>0.36461405267786567</c:v>
                </c:pt>
                <c:pt idx="143">
                  <c:v>0.36171508743113312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0.36820241174940799</c:v>
                </c:pt>
                <c:pt idx="148">
                  <c:v>0.37109879994661871</c:v>
                </c:pt>
                <c:pt idx="149">
                  <c:v>0.36929899602378891</c:v>
                </c:pt>
                <c:pt idx="150">
                  <c:v>0.36719944976543167</c:v>
                </c:pt>
                <c:pt idx="151">
                  <c:v>0.37179441554886389</c:v>
                </c:pt>
                <c:pt idx="152">
                  <c:v>0.37039176301913129</c:v>
                </c:pt>
                <c:pt idx="153">
                  <c:v>0.37019066259700789</c:v>
                </c:pt>
                <c:pt idx="154">
                  <c:v>0.3678913240602919</c:v>
                </c:pt>
                <c:pt idx="155">
                  <c:v>0.36499250631317448</c:v>
                </c:pt>
                <c:pt idx="156">
                  <c:v>0.36289303226380432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0.36368613388445592</c:v>
                </c:pt>
                <c:pt idx="160">
                  <c:v>0.36418445661806731</c:v>
                </c:pt>
                <c:pt idx="161">
                  <c:v>0.37417451942488389</c:v>
                </c:pt>
                <c:pt idx="162">
                  <c:v>0.38346250047047642</c:v>
                </c:pt>
                <c:pt idx="163">
                  <c:v>0.38346118840202842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0.38714732469736468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0.38823569664082341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0.40431230327083623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0.40040644982500068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0.38711156271275737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0.37472014670060477</c:v>
                </c:pt>
                <c:pt idx="189">
                  <c:v>0.37491609618917621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0.37501214497334939</c:v>
                </c:pt>
                <c:pt idx="193">
                  <c:v>0.37181417912234899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0.36971003188417689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0.37369814651368038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0.37749019044393578</c:v>
                </c:pt>
                <c:pt idx="203">
                  <c:v>0.37988368910782699</c:v>
                </c:pt>
                <c:pt idx="204">
                  <c:v>0.38188019334909218</c:v>
                </c:pt>
                <c:pt idx="205">
                  <c:v>0.38347712454074617</c:v>
                </c:pt>
                <c:pt idx="206">
                  <c:v>0.38537371332396009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0.38636335648068959</c:v>
                </c:pt>
                <c:pt idx="212">
                  <c:v>0.38776044962730599</c:v>
                </c:pt>
                <c:pt idx="213">
                  <c:v>0.38955574635774948</c:v>
                </c:pt>
                <c:pt idx="214">
                  <c:v>0.38915487079847028</c:v>
                </c:pt>
                <c:pt idx="215">
                  <c:v>0.38745548771101651</c:v>
                </c:pt>
                <c:pt idx="216">
                  <c:v>0.38655519675989269</c:v>
                </c:pt>
                <c:pt idx="217">
                  <c:v>0.38355733280426357</c:v>
                </c:pt>
                <c:pt idx="218">
                  <c:v>0.38285290123520133</c:v>
                </c:pt>
                <c:pt idx="219">
                  <c:v>0.38644738012328023</c:v>
                </c:pt>
                <c:pt idx="220">
                  <c:v>0.38654594089819161</c:v>
                </c:pt>
                <c:pt idx="221">
                  <c:v>0.39093944120625018</c:v>
                </c:pt>
                <c:pt idx="222">
                  <c:v>0.38754211633515201</c:v>
                </c:pt>
                <c:pt idx="223">
                  <c:v>0.38354158899123991</c:v>
                </c:pt>
                <c:pt idx="224">
                  <c:v>0.38204207285787578</c:v>
                </c:pt>
                <c:pt idx="225">
                  <c:v>0.37864484814486687</c:v>
                </c:pt>
                <c:pt idx="226">
                  <c:v>0.37944258975481621</c:v>
                </c:pt>
                <c:pt idx="227">
                  <c:v>0.38702946759932272</c:v>
                </c:pt>
                <c:pt idx="228">
                  <c:v>0.39541791514454983</c:v>
                </c:pt>
                <c:pt idx="229">
                  <c:v>0.39441778373700648</c:v>
                </c:pt>
                <c:pt idx="230">
                  <c:v>0.39251876124477519</c:v>
                </c:pt>
                <c:pt idx="231">
                  <c:v>0.3955137348260187</c:v>
                </c:pt>
                <c:pt idx="232">
                  <c:v>0.40150224721407018</c:v>
                </c:pt>
                <c:pt idx="233">
                  <c:v>0.40269938398497762</c:v>
                </c:pt>
                <c:pt idx="234">
                  <c:v>0.40629352451054163</c:v>
                </c:pt>
                <c:pt idx="235">
                  <c:v>0.40898876404494378</c:v>
                </c:pt>
                <c:pt idx="236">
                  <c:v>0.40868774070856401</c:v>
                </c:pt>
                <c:pt idx="237">
                  <c:v>0.41337761527384909</c:v>
                </c:pt>
                <c:pt idx="238">
                  <c:v>0.41167835277217218</c:v>
                </c:pt>
                <c:pt idx="239">
                  <c:v>0.40298798444442158</c:v>
                </c:pt>
                <c:pt idx="240">
                  <c:v>0.40048978698370569</c:v>
                </c:pt>
                <c:pt idx="241">
                  <c:v>0.3944960717986955</c:v>
                </c:pt>
                <c:pt idx="242">
                  <c:v>0.41516540345308778</c:v>
                </c:pt>
                <c:pt idx="243">
                  <c:v>0.41047004381329588</c:v>
                </c:pt>
                <c:pt idx="244">
                  <c:v>0.41356463208586142</c:v>
                </c:pt>
                <c:pt idx="245">
                  <c:v>0.4123647731198205</c:v>
                </c:pt>
                <c:pt idx="246">
                  <c:v>0.40796908133251247</c:v>
                </c:pt>
                <c:pt idx="247">
                  <c:v>0.39987550575785868</c:v>
                </c:pt>
                <c:pt idx="248">
                  <c:v>0.39587939148517021</c:v>
                </c:pt>
                <c:pt idx="249">
                  <c:v>0.39348119773586188</c:v>
                </c:pt>
                <c:pt idx="250">
                  <c:v>0.39048381249444231</c:v>
                </c:pt>
                <c:pt idx="251">
                  <c:v>0.38548909493240119</c:v>
                </c:pt>
                <c:pt idx="252">
                  <c:v>0.39047847053592799</c:v>
                </c:pt>
                <c:pt idx="253">
                  <c:v>0.39497111744205532</c:v>
                </c:pt>
                <c:pt idx="254">
                  <c:v>0.40096172261894991</c:v>
                </c:pt>
                <c:pt idx="255">
                  <c:v>0.39946236743013691</c:v>
                </c:pt>
                <c:pt idx="256">
                  <c:v>0.39936113600142281</c:v>
                </c:pt>
                <c:pt idx="257">
                  <c:v>0.3968604329045784</c:v>
                </c:pt>
                <c:pt idx="258">
                  <c:v>0.39945553663157751</c:v>
                </c:pt>
                <c:pt idx="259">
                  <c:v>0.39446099336865043</c:v>
                </c:pt>
                <c:pt idx="260">
                  <c:v>0.3909644322845417</c:v>
                </c:pt>
                <c:pt idx="261">
                  <c:v>0.38686342572801419</c:v>
                </c:pt>
                <c:pt idx="262">
                  <c:v>0.3805708501193546</c:v>
                </c:pt>
                <c:pt idx="263">
                  <c:v>0.38146829590262887</c:v>
                </c:pt>
                <c:pt idx="264">
                  <c:v>0.37697327022516491</c:v>
                </c:pt>
                <c:pt idx="265">
                  <c:v>0.37347432210142573</c:v>
                </c:pt>
                <c:pt idx="267">
                  <c:v>0.36335124007919539</c:v>
                </c:pt>
                <c:pt idx="268">
                  <c:v>0.36944330460949248</c:v>
                </c:pt>
                <c:pt idx="269">
                  <c:v>0.37493631150427947</c:v>
                </c:pt>
                <c:pt idx="270">
                  <c:v>0.37194463062003308</c:v>
                </c:pt>
                <c:pt idx="271">
                  <c:v>0.37194590250824972</c:v>
                </c:pt>
                <c:pt idx="272">
                  <c:v>0.36545682102628291</c:v>
                </c:pt>
                <c:pt idx="273">
                  <c:v>0.3659573303970482</c:v>
                </c:pt>
                <c:pt idx="274">
                  <c:v>0.36895415002462112</c:v>
                </c:pt>
                <c:pt idx="275">
                  <c:v>0.36276703062965709</c:v>
                </c:pt>
                <c:pt idx="276">
                  <c:v>0.36576388033977603</c:v>
                </c:pt>
                <c:pt idx="277">
                  <c:v>0.35647871092614569</c:v>
                </c:pt>
                <c:pt idx="278">
                  <c:v>0.35727876454214058</c:v>
                </c:pt>
                <c:pt idx="279">
                  <c:v>0.35897751560229119</c:v>
                </c:pt>
                <c:pt idx="280">
                  <c:v>0.36527210674983412</c:v>
                </c:pt>
                <c:pt idx="281">
                  <c:v>0.36946730911938608</c:v>
                </c:pt>
                <c:pt idx="282">
                  <c:v>0.36956842897202652</c:v>
                </c:pt>
                <c:pt idx="283">
                  <c:v>0.37246553746507582</c:v>
                </c:pt>
                <c:pt idx="284">
                  <c:v>0.37396466701776232</c:v>
                </c:pt>
                <c:pt idx="285">
                  <c:v>0.37646495562813131</c:v>
                </c:pt>
                <c:pt idx="286">
                  <c:v>0.37596695096678001</c:v>
                </c:pt>
                <c:pt idx="287">
                  <c:v>0.37696682432039608</c:v>
                </c:pt>
                <c:pt idx="288">
                  <c:v>0.37297374936733102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9D-4312-B392-89DABA539039}"/>
            </c:ext>
          </c:extLst>
        </c:ser>
        <c:ser>
          <c:idx val="6"/>
          <c:order val="6"/>
          <c:tx>
            <c:strRef>
              <c:f>'Grafico Paridades bkp'!$H$1:$H$2</c:f>
              <c:strCache>
                <c:ptCount val="1"/>
                <c:pt idx="0">
                  <c:v>Suma de P35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bkp'!$A$3:$A$292</c:f>
              <c:strCache>
                <c:ptCount val="289"/>
                <c:pt idx="0">
                  <c:v>14/09/2020</c:v>
                </c:pt>
                <c:pt idx="1">
                  <c:v>15/09/2020</c:v>
                </c:pt>
                <c:pt idx="2">
                  <c:v>16/09/2020</c:v>
                </c:pt>
                <c:pt idx="3">
                  <c:v>17/09/2020</c:v>
                </c:pt>
                <c:pt idx="4">
                  <c:v>18/09/2020</c:v>
                </c:pt>
                <c:pt idx="5">
                  <c:v>21/09/2020</c:v>
                </c:pt>
                <c:pt idx="6">
                  <c:v>22/09/2020</c:v>
                </c:pt>
                <c:pt idx="7">
                  <c:v>23/09/2020</c:v>
                </c:pt>
                <c:pt idx="8">
                  <c:v>24/09/2020</c:v>
                </c:pt>
                <c:pt idx="9">
                  <c:v>25/09/2020</c:v>
                </c:pt>
                <c:pt idx="10">
                  <c:v>28/09/2020</c:v>
                </c:pt>
                <c:pt idx="11">
                  <c:v>29/09/2020</c:v>
                </c:pt>
                <c:pt idx="12">
                  <c:v>30/09/2020</c:v>
                </c:pt>
                <c:pt idx="13">
                  <c:v>01/10/2020</c:v>
                </c:pt>
                <c:pt idx="14">
                  <c:v>02/10/2020</c:v>
                </c:pt>
                <c:pt idx="15">
                  <c:v>05/10/2020</c:v>
                </c:pt>
                <c:pt idx="16">
                  <c:v>06/10/2020</c:v>
                </c:pt>
                <c:pt idx="17">
                  <c:v>07/10/2020</c:v>
                </c:pt>
                <c:pt idx="18">
                  <c:v>08/10/2020</c:v>
                </c:pt>
                <c:pt idx="19">
                  <c:v>09/10/2020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02/11/2020</c:v>
                </c:pt>
                <c:pt idx="35">
                  <c:v>03/11/2020</c:v>
                </c:pt>
                <c:pt idx="36">
                  <c:v>04/11/2020</c:v>
                </c:pt>
                <c:pt idx="37">
                  <c:v>05/11/2020</c:v>
                </c:pt>
                <c:pt idx="38">
                  <c:v>06/11/2020</c:v>
                </c:pt>
                <c:pt idx="39">
                  <c:v>09/11/2020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01/12/2020</c:v>
                </c:pt>
                <c:pt idx="55">
                  <c:v>02/12/2020</c:v>
                </c:pt>
                <c:pt idx="56">
                  <c:v>03/12/2020</c:v>
                </c:pt>
                <c:pt idx="57">
                  <c:v>04/12/2020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11/01/2021</c:v>
                </c:pt>
                <c:pt idx="78">
                  <c:v>12/01/2021</c:v>
                </c:pt>
                <c:pt idx="79">
                  <c:v>13/01/2021</c:v>
                </c:pt>
                <c:pt idx="80">
                  <c:v>14/01/2021</c:v>
                </c:pt>
                <c:pt idx="81">
                  <c:v>15/01/2021</c:v>
                </c:pt>
                <c:pt idx="82">
                  <c:v>18/01/2021</c:v>
                </c:pt>
                <c:pt idx="83">
                  <c:v>19/01/2021</c:v>
                </c:pt>
                <c:pt idx="84">
                  <c:v>20/01/2021</c:v>
                </c:pt>
                <c:pt idx="85">
                  <c:v>21/01/2021</c:v>
                </c:pt>
                <c:pt idx="86">
                  <c:v>22/01/2021</c:v>
                </c:pt>
                <c:pt idx="87">
                  <c:v>25/01/2021</c:v>
                </c:pt>
                <c:pt idx="88">
                  <c:v>26/01/2021</c:v>
                </c:pt>
                <c:pt idx="89">
                  <c:v>27/01/2021</c:v>
                </c:pt>
                <c:pt idx="90">
                  <c:v>28/01/2021</c:v>
                </c:pt>
                <c:pt idx="91">
                  <c:v>29/01/2021</c:v>
                </c:pt>
                <c:pt idx="92">
                  <c:v>01/02/2021</c:v>
                </c:pt>
                <c:pt idx="93">
                  <c:v>02/02/2021</c:v>
                </c:pt>
                <c:pt idx="94">
                  <c:v>03/02/2021</c:v>
                </c:pt>
                <c:pt idx="95">
                  <c:v>04/02/2021</c:v>
                </c:pt>
                <c:pt idx="96">
                  <c:v>05/02/2021</c:v>
                </c:pt>
                <c:pt idx="97">
                  <c:v>08/02/2021</c:v>
                </c:pt>
                <c:pt idx="98">
                  <c:v>09/02/2021</c:v>
                </c:pt>
                <c:pt idx="99">
                  <c:v>10/02/2021</c:v>
                </c:pt>
                <c:pt idx="100">
                  <c:v>11/02/2021</c:v>
                </c:pt>
                <c:pt idx="101">
                  <c:v>12/02/2021</c:v>
                </c:pt>
                <c:pt idx="102">
                  <c:v>17/02/2021</c:v>
                </c:pt>
                <c:pt idx="103">
                  <c:v>18/02/2021</c:v>
                </c:pt>
                <c:pt idx="104">
                  <c:v>19/02/2021</c:v>
                </c:pt>
                <c:pt idx="105">
                  <c:v>22/02/2021</c:v>
                </c:pt>
                <c:pt idx="106">
                  <c:v>23/02/2021</c:v>
                </c:pt>
                <c:pt idx="107">
                  <c:v>24/02/2021</c:v>
                </c:pt>
                <c:pt idx="108">
                  <c:v>25/02/2021</c:v>
                </c:pt>
                <c:pt idx="109">
                  <c:v>26/02/2021</c:v>
                </c:pt>
                <c:pt idx="110">
                  <c:v>01/03/2021</c:v>
                </c:pt>
                <c:pt idx="111">
                  <c:v>02/03/2021</c:v>
                </c:pt>
                <c:pt idx="112">
                  <c:v>03/03/2021</c:v>
                </c:pt>
                <c:pt idx="113">
                  <c:v>04/03/2021</c:v>
                </c:pt>
                <c:pt idx="114">
                  <c:v>05/03/2021</c:v>
                </c:pt>
                <c:pt idx="115">
                  <c:v>08/03/2021</c:v>
                </c:pt>
                <c:pt idx="116">
                  <c:v>09/03/2021</c:v>
                </c:pt>
                <c:pt idx="117">
                  <c:v>10/03/2021</c:v>
                </c:pt>
                <c:pt idx="118">
                  <c:v>11/03/2021</c:v>
                </c:pt>
                <c:pt idx="119">
                  <c:v>12/03/2021</c:v>
                </c:pt>
                <c:pt idx="120">
                  <c:v>15/03/2021</c:v>
                </c:pt>
                <c:pt idx="121">
                  <c:v>16/03/2021</c:v>
                </c:pt>
                <c:pt idx="122">
                  <c:v>17/03/2021</c:v>
                </c:pt>
                <c:pt idx="123">
                  <c:v>18/03/2021</c:v>
                </c:pt>
                <c:pt idx="124">
                  <c:v>19/03/2021</c:v>
                </c:pt>
                <c:pt idx="125">
                  <c:v>22/03/2021</c:v>
                </c:pt>
                <c:pt idx="126">
                  <c:v>23/03/2021</c:v>
                </c:pt>
                <c:pt idx="127">
                  <c:v>25/03/2021</c:v>
                </c:pt>
                <c:pt idx="128">
                  <c:v>26/03/2021</c:v>
                </c:pt>
                <c:pt idx="129">
                  <c:v>29/03/2021</c:v>
                </c:pt>
                <c:pt idx="130">
                  <c:v>30/03/2021</c:v>
                </c:pt>
                <c:pt idx="131">
                  <c:v>31/03/2021</c:v>
                </c:pt>
                <c:pt idx="132">
                  <c:v>05/04/2021</c:v>
                </c:pt>
                <c:pt idx="133">
                  <c:v>06/04/2021</c:v>
                </c:pt>
                <c:pt idx="134">
                  <c:v>07/04/2021</c:v>
                </c:pt>
                <c:pt idx="135">
                  <c:v>08/04/2021</c:v>
                </c:pt>
                <c:pt idx="136">
                  <c:v>09/04/2021</c:v>
                </c:pt>
                <c:pt idx="137">
                  <c:v>12/04/2021</c:v>
                </c:pt>
                <c:pt idx="138">
                  <c:v>13/04/2021</c:v>
                </c:pt>
                <c:pt idx="139">
                  <c:v>14/04/2021</c:v>
                </c:pt>
                <c:pt idx="140">
                  <c:v>15/04/2021</c:v>
                </c:pt>
                <c:pt idx="141">
                  <c:v>16/04/2021</c:v>
                </c:pt>
                <c:pt idx="142">
                  <c:v>19/04/2021</c:v>
                </c:pt>
                <c:pt idx="143">
                  <c:v>20/04/2021</c:v>
                </c:pt>
                <c:pt idx="144">
                  <c:v>21/04/2021</c:v>
                </c:pt>
                <c:pt idx="145">
                  <c:v>22/04/2021</c:v>
                </c:pt>
                <c:pt idx="146">
                  <c:v>23/04/2021</c:v>
                </c:pt>
                <c:pt idx="147">
                  <c:v>26/04/2021</c:v>
                </c:pt>
                <c:pt idx="148">
                  <c:v>27/04/2021</c:v>
                </c:pt>
                <c:pt idx="149">
                  <c:v>28/04/2021</c:v>
                </c:pt>
                <c:pt idx="150">
                  <c:v>29/04/2021</c:v>
                </c:pt>
                <c:pt idx="151">
                  <c:v>30/04/2021</c:v>
                </c:pt>
                <c:pt idx="152">
                  <c:v>03/05/2021</c:v>
                </c:pt>
                <c:pt idx="153">
                  <c:v>04/05/2021</c:v>
                </c:pt>
                <c:pt idx="154">
                  <c:v>05/05/2021</c:v>
                </c:pt>
                <c:pt idx="155">
                  <c:v>06/05/2021</c:v>
                </c:pt>
                <c:pt idx="156">
                  <c:v>07/05/2021</c:v>
                </c:pt>
                <c:pt idx="157">
                  <c:v>10/05/2021</c:v>
                </c:pt>
                <c:pt idx="158">
                  <c:v>11/05/2021</c:v>
                </c:pt>
                <c:pt idx="159">
                  <c:v>12/05/2021</c:v>
                </c:pt>
                <c:pt idx="160">
                  <c:v>13/05/2021</c:v>
                </c:pt>
                <c:pt idx="161">
                  <c:v>14/05/2021</c:v>
                </c:pt>
                <c:pt idx="162">
                  <c:v>17/05/2021</c:v>
                </c:pt>
                <c:pt idx="163">
                  <c:v>18/05/2021</c:v>
                </c:pt>
                <c:pt idx="164">
                  <c:v>19/05/2021</c:v>
                </c:pt>
                <c:pt idx="165">
                  <c:v>20/05/2021</c:v>
                </c:pt>
                <c:pt idx="166">
                  <c:v>21/05/2021</c:v>
                </c:pt>
                <c:pt idx="167">
                  <c:v>26/05/2021</c:v>
                </c:pt>
                <c:pt idx="168">
                  <c:v>27/05/2021</c:v>
                </c:pt>
                <c:pt idx="169">
                  <c:v>28/05/2021</c:v>
                </c:pt>
                <c:pt idx="170">
                  <c:v>31/05/2021</c:v>
                </c:pt>
                <c:pt idx="171">
                  <c:v>01/06/2021</c:v>
                </c:pt>
                <c:pt idx="172">
                  <c:v>02/06/2021</c:v>
                </c:pt>
                <c:pt idx="173">
                  <c:v>03/06/2021</c:v>
                </c:pt>
                <c:pt idx="174">
                  <c:v>04/06/2021</c:v>
                </c:pt>
                <c:pt idx="175">
                  <c:v>07/06/2021</c:v>
                </c:pt>
                <c:pt idx="176">
                  <c:v>08/06/2021</c:v>
                </c:pt>
                <c:pt idx="177">
                  <c:v>09/06/2021</c:v>
                </c:pt>
                <c:pt idx="178">
                  <c:v>10/06/2021</c:v>
                </c:pt>
                <c:pt idx="179">
                  <c:v>11/06/2021</c:v>
                </c:pt>
                <c:pt idx="180">
                  <c:v>14/06/2021</c:v>
                </c:pt>
                <c:pt idx="181">
                  <c:v>15/06/2021</c:v>
                </c:pt>
                <c:pt idx="182">
                  <c:v>16/06/2021</c:v>
                </c:pt>
                <c:pt idx="183">
                  <c:v>17/06/2021</c:v>
                </c:pt>
                <c:pt idx="184">
                  <c:v>18/06/2021</c:v>
                </c:pt>
                <c:pt idx="185">
                  <c:v>22/06/2021</c:v>
                </c:pt>
                <c:pt idx="186">
                  <c:v>23/06/2021</c:v>
                </c:pt>
                <c:pt idx="187">
                  <c:v>24/06/2021</c:v>
                </c:pt>
                <c:pt idx="188">
                  <c:v>25/06/2021</c:v>
                </c:pt>
                <c:pt idx="189">
                  <c:v>28/06/2021</c:v>
                </c:pt>
                <c:pt idx="190">
                  <c:v>29/06/2021</c:v>
                </c:pt>
                <c:pt idx="191">
                  <c:v>30/06/2021</c:v>
                </c:pt>
                <c:pt idx="192">
                  <c:v>01/07/2021</c:v>
                </c:pt>
                <c:pt idx="193">
                  <c:v>02/07/2021</c:v>
                </c:pt>
                <c:pt idx="194">
                  <c:v>05/07/2021</c:v>
                </c:pt>
                <c:pt idx="195">
                  <c:v>06/07/2021</c:v>
                </c:pt>
                <c:pt idx="196">
                  <c:v>07/07/2021</c:v>
                </c:pt>
                <c:pt idx="197">
                  <c:v>08/07/2021</c:v>
                </c:pt>
                <c:pt idx="198">
                  <c:v>12/07/2021</c:v>
                </c:pt>
                <c:pt idx="199">
                  <c:v>13/07/2021</c:v>
                </c:pt>
                <c:pt idx="200">
                  <c:v>14/07/2021</c:v>
                </c:pt>
                <c:pt idx="201">
                  <c:v>15/07/2021</c:v>
                </c:pt>
                <c:pt idx="202">
                  <c:v>16/07/2021</c:v>
                </c:pt>
                <c:pt idx="203">
                  <c:v>19/07/2021</c:v>
                </c:pt>
                <c:pt idx="204">
                  <c:v>20/07/2021</c:v>
                </c:pt>
                <c:pt idx="205">
                  <c:v>21/07/2021</c:v>
                </c:pt>
                <c:pt idx="206">
                  <c:v>22/07/2021</c:v>
                </c:pt>
                <c:pt idx="207">
                  <c:v>23/07/2021</c:v>
                </c:pt>
                <c:pt idx="208">
                  <c:v>26/07/2021</c:v>
                </c:pt>
                <c:pt idx="209">
                  <c:v>27/07/2021</c:v>
                </c:pt>
                <c:pt idx="210">
                  <c:v>28/07/2021</c:v>
                </c:pt>
                <c:pt idx="211">
                  <c:v>29/07/2021</c:v>
                </c:pt>
                <c:pt idx="212">
                  <c:v>30/07/2021</c:v>
                </c:pt>
                <c:pt idx="213">
                  <c:v>01/08/2021</c:v>
                </c:pt>
                <c:pt idx="214">
                  <c:v>02/08/2021</c:v>
                </c:pt>
                <c:pt idx="215">
                  <c:v>03/08/2021</c:v>
                </c:pt>
                <c:pt idx="216">
                  <c:v>04/08/2021</c:v>
                </c:pt>
                <c:pt idx="217">
                  <c:v>05/08/2021</c:v>
                </c:pt>
                <c:pt idx="218">
                  <c:v>09/08/2021</c:v>
                </c:pt>
                <c:pt idx="219">
                  <c:v>10/08/2021</c:v>
                </c:pt>
                <c:pt idx="220">
                  <c:v>11/08/2021</c:v>
                </c:pt>
                <c:pt idx="221">
                  <c:v>12/08/2021</c:v>
                </c:pt>
                <c:pt idx="222">
                  <c:v>13/08/2021</c:v>
                </c:pt>
                <c:pt idx="223">
                  <c:v>17/08/2021</c:v>
                </c:pt>
                <c:pt idx="224">
                  <c:v>18/08/2021</c:v>
                </c:pt>
                <c:pt idx="225">
                  <c:v>19/08/2021</c:v>
                </c:pt>
                <c:pt idx="226">
                  <c:v>20/08/2021</c:v>
                </c:pt>
                <c:pt idx="227">
                  <c:v>23/08/2021</c:v>
                </c:pt>
                <c:pt idx="228">
                  <c:v>24/08/2021</c:v>
                </c:pt>
                <c:pt idx="229">
                  <c:v>25/08/2021</c:v>
                </c:pt>
                <c:pt idx="230">
                  <c:v>26/08/2021</c:v>
                </c:pt>
                <c:pt idx="231">
                  <c:v>27/08/2021</c:v>
                </c:pt>
                <c:pt idx="232">
                  <c:v>30/08/2021</c:v>
                </c:pt>
                <c:pt idx="233">
                  <c:v>31/08/2021</c:v>
                </c:pt>
                <c:pt idx="234">
                  <c:v>01/09/2021</c:v>
                </c:pt>
                <c:pt idx="235">
                  <c:v>02/09/2021</c:v>
                </c:pt>
                <c:pt idx="236">
                  <c:v>03/09/2021</c:v>
                </c:pt>
                <c:pt idx="237">
                  <c:v>06/09/2021</c:v>
                </c:pt>
                <c:pt idx="238">
                  <c:v>07/09/2021</c:v>
                </c:pt>
                <c:pt idx="239">
                  <c:v>08/09/2021</c:v>
                </c:pt>
                <c:pt idx="240">
                  <c:v>09/09/2021</c:v>
                </c:pt>
                <c:pt idx="241">
                  <c:v>10/09/2021</c:v>
                </c:pt>
                <c:pt idx="242">
                  <c:v>13/09/2021</c:v>
                </c:pt>
                <c:pt idx="243">
                  <c:v>14/09/2021</c:v>
                </c:pt>
                <c:pt idx="244">
                  <c:v>15/09/2021</c:v>
                </c:pt>
                <c:pt idx="245">
                  <c:v>16/09/2021</c:v>
                </c:pt>
                <c:pt idx="246">
                  <c:v>17/09/2021</c:v>
                </c:pt>
                <c:pt idx="247">
                  <c:v>20/09/2021</c:v>
                </c:pt>
                <c:pt idx="248">
                  <c:v>21/09/2021</c:v>
                </c:pt>
                <c:pt idx="249">
                  <c:v>22/09/2021</c:v>
                </c:pt>
                <c:pt idx="250">
                  <c:v>23/09/2021</c:v>
                </c:pt>
                <c:pt idx="251">
                  <c:v>24/09/2021</c:v>
                </c:pt>
                <c:pt idx="252">
                  <c:v>27/09/2021</c:v>
                </c:pt>
                <c:pt idx="253">
                  <c:v>28/09/2021</c:v>
                </c:pt>
                <c:pt idx="254">
                  <c:v>29/09/2021</c:v>
                </c:pt>
                <c:pt idx="255">
                  <c:v>30/09/2021</c:v>
                </c:pt>
                <c:pt idx="256">
                  <c:v>01/10/2021</c:v>
                </c:pt>
                <c:pt idx="257">
                  <c:v>04/10/2021</c:v>
                </c:pt>
                <c:pt idx="258">
                  <c:v>05/10/2021</c:v>
                </c:pt>
                <c:pt idx="259">
                  <c:v>06/10/2021</c:v>
                </c:pt>
                <c:pt idx="260">
                  <c:v>07/10/2021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  <c:pt idx="267">
                  <c:v>17/11/2021</c:v>
                </c:pt>
                <c:pt idx="268">
                  <c:v>16/11/2021</c:v>
                </c:pt>
                <c:pt idx="269">
                  <c:v>15/11/2021</c:v>
                </c:pt>
                <c:pt idx="270">
                  <c:v>12/11/2021</c:v>
                </c:pt>
                <c:pt idx="271">
                  <c:v>11/11/2021</c:v>
                </c:pt>
                <c:pt idx="272">
                  <c:v>10/11/2021</c:v>
                </c:pt>
                <c:pt idx="273">
                  <c:v>09/11/2021</c:v>
                </c:pt>
                <c:pt idx="274">
                  <c:v>08/11/2021</c:v>
                </c:pt>
                <c:pt idx="275">
                  <c:v>05/11/2021</c:v>
                </c:pt>
                <c:pt idx="276">
                  <c:v>04/11/2021</c:v>
                </c:pt>
                <c:pt idx="277">
                  <c:v>03/11/2021</c:v>
                </c:pt>
                <c:pt idx="278">
                  <c:v>02/11/2021</c:v>
                </c:pt>
                <c:pt idx="279">
                  <c:v>01/11/2021</c:v>
                </c:pt>
                <c:pt idx="280">
                  <c:v>29/10/2021</c:v>
                </c:pt>
                <c:pt idx="281">
                  <c:v>28/10/2021</c:v>
                </c:pt>
                <c:pt idx="282">
                  <c:v>27/10/2021</c:v>
                </c:pt>
                <c:pt idx="283">
                  <c:v>26/10/2021</c:v>
                </c:pt>
                <c:pt idx="284">
                  <c:v>25/10/2021</c:v>
                </c:pt>
                <c:pt idx="285">
                  <c:v>22/10/2021</c:v>
                </c:pt>
                <c:pt idx="286">
                  <c:v>21/10/2021</c:v>
                </c:pt>
                <c:pt idx="287">
                  <c:v>20/10/2021</c:v>
                </c:pt>
                <c:pt idx="288">
                  <c:v>19/10/2021</c:v>
                </c:pt>
              </c:strCache>
            </c:strRef>
          </c:cat>
          <c:val>
            <c:numRef>
              <c:f>'Grafico Paridades bkp'!$H$3:$H$292</c:f>
              <c:numCache>
                <c:formatCode>0.00%</c:formatCode>
                <c:ptCount val="289"/>
                <c:pt idx="0">
                  <c:v>0.44952889208414271</c:v>
                </c:pt>
                <c:pt idx="1">
                  <c:v>0.44961583260463073</c:v>
                </c:pt>
                <c:pt idx="2">
                  <c:v>0.42285785384466501</c:v>
                </c:pt>
                <c:pt idx="3">
                  <c:v>0.42133093711659092</c:v>
                </c:pt>
                <c:pt idx="4">
                  <c:v>0.4198041153742475</c:v>
                </c:pt>
                <c:pt idx="5">
                  <c:v>0.40604186176701312</c:v>
                </c:pt>
                <c:pt idx="6">
                  <c:v>0.38847230381146552</c:v>
                </c:pt>
                <c:pt idx="7">
                  <c:v>0.40107256763153992</c:v>
                </c:pt>
                <c:pt idx="8">
                  <c:v>0.42275265369305609</c:v>
                </c:pt>
                <c:pt idx="9">
                  <c:v>0.41870380800022111</c:v>
                </c:pt>
                <c:pt idx="10">
                  <c:v>0.4136205967302829</c:v>
                </c:pt>
                <c:pt idx="11">
                  <c:v>0.40251094305465818</c:v>
                </c:pt>
                <c:pt idx="12">
                  <c:v>0.41097207923665291</c:v>
                </c:pt>
                <c:pt idx="13">
                  <c:v>0.41156454359849509</c:v>
                </c:pt>
                <c:pt idx="14">
                  <c:v>0.40398645847726949</c:v>
                </c:pt>
                <c:pt idx="15">
                  <c:v>0.39840142034562198</c:v>
                </c:pt>
                <c:pt idx="16">
                  <c:v>0.40302850274250818</c:v>
                </c:pt>
                <c:pt idx="17">
                  <c:v>0.40442794231931611</c:v>
                </c:pt>
                <c:pt idx="18">
                  <c:v>0.40219663321060739</c:v>
                </c:pt>
                <c:pt idx="19">
                  <c:v>0.40339431448869417</c:v>
                </c:pt>
                <c:pt idx="20">
                  <c:v>0.40031908391147147</c:v>
                </c:pt>
                <c:pt idx="21">
                  <c:v>0.39707998950232748</c:v>
                </c:pt>
                <c:pt idx="22">
                  <c:v>0.38315314039855392</c:v>
                </c:pt>
                <c:pt idx="23">
                  <c:v>0.37981395413078461</c:v>
                </c:pt>
                <c:pt idx="24">
                  <c:v>0.36243798185980192</c:v>
                </c:pt>
                <c:pt idx="25">
                  <c:v>0.36333404685784521</c:v>
                </c:pt>
                <c:pt idx="26">
                  <c:v>0.34779786708832361</c:v>
                </c:pt>
                <c:pt idx="27">
                  <c:v>0.35282745287578537</c:v>
                </c:pt>
                <c:pt idx="28">
                  <c:v>0.35735270256741319</c:v>
                </c:pt>
                <c:pt idx="29">
                  <c:v>0.34471998232630069</c:v>
                </c:pt>
                <c:pt idx="30">
                  <c:v>0.35478849174159932</c:v>
                </c:pt>
                <c:pt idx="31">
                  <c:v>0.35276168911409178</c:v>
                </c:pt>
                <c:pt idx="32">
                  <c:v>0.35285151679362697</c:v>
                </c:pt>
                <c:pt idx="33">
                  <c:v>0.35374760123148291</c:v>
                </c:pt>
                <c:pt idx="34">
                  <c:v>0.35331154511162732</c:v>
                </c:pt>
                <c:pt idx="35">
                  <c:v>0.35773446343281518</c:v>
                </c:pt>
                <c:pt idx="36">
                  <c:v>0.35873102420136871</c:v>
                </c:pt>
                <c:pt idx="37">
                  <c:v>0.36526954373227138</c:v>
                </c:pt>
                <c:pt idx="38">
                  <c:v>0.36072396004071838</c:v>
                </c:pt>
                <c:pt idx="39">
                  <c:v>0.37529932165260049</c:v>
                </c:pt>
                <c:pt idx="40">
                  <c:v>0.37377644213351918</c:v>
                </c:pt>
                <c:pt idx="41">
                  <c:v>0.37577974054650842</c:v>
                </c:pt>
                <c:pt idx="42">
                  <c:v>0.36871612460281039</c:v>
                </c:pt>
                <c:pt idx="43">
                  <c:v>0.37102167268110592</c:v>
                </c:pt>
                <c:pt idx="44">
                  <c:v>0.37521775876640739</c:v>
                </c:pt>
                <c:pt idx="45">
                  <c:v>0.37470247745727753</c:v>
                </c:pt>
                <c:pt idx="46">
                  <c:v>0.37771254523064612</c:v>
                </c:pt>
                <c:pt idx="47">
                  <c:v>0.3715568862275449</c:v>
                </c:pt>
                <c:pt idx="48">
                  <c:v>0.37013531272312111</c:v>
                </c:pt>
                <c:pt idx="49">
                  <c:v>0.36434919660501391</c:v>
                </c:pt>
                <c:pt idx="50">
                  <c:v>0.36655332004441898</c:v>
                </c:pt>
                <c:pt idx="51">
                  <c:v>0.35959375808259342</c:v>
                </c:pt>
                <c:pt idx="52">
                  <c:v>0.36481874862061348</c:v>
                </c:pt>
                <c:pt idx="53">
                  <c:v>0.36236832396012569</c:v>
                </c:pt>
                <c:pt idx="54">
                  <c:v>0.35601406799531071</c:v>
                </c:pt>
                <c:pt idx="55">
                  <c:v>0.35841933048074498</c:v>
                </c:pt>
                <c:pt idx="56">
                  <c:v>0.35921362028423859</c:v>
                </c:pt>
                <c:pt idx="57">
                  <c:v>0.35537688719414429</c:v>
                </c:pt>
                <c:pt idx="58">
                  <c:v>0.35129545109827232</c:v>
                </c:pt>
                <c:pt idx="59">
                  <c:v>0.3574244831972313</c:v>
                </c:pt>
                <c:pt idx="60">
                  <c:v>0.35831925821240218</c:v>
                </c:pt>
                <c:pt idx="61">
                  <c:v>0.3582859132065197</c:v>
                </c:pt>
                <c:pt idx="62">
                  <c:v>0.35324285015130308</c:v>
                </c:pt>
                <c:pt idx="63">
                  <c:v>0.35323189329840948</c:v>
                </c:pt>
                <c:pt idx="64">
                  <c:v>0.36076839304669078</c:v>
                </c:pt>
                <c:pt idx="65">
                  <c:v>0.36407798106646722</c:v>
                </c:pt>
                <c:pt idx="66">
                  <c:v>0.37229496898690562</c:v>
                </c:pt>
                <c:pt idx="67">
                  <c:v>0.36725256625397562</c:v>
                </c:pt>
                <c:pt idx="68">
                  <c:v>0.36522889689819382</c:v>
                </c:pt>
                <c:pt idx="69">
                  <c:v>0.3696992038254962</c:v>
                </c:pt>
                <c:pt idx="70">
                  <c:v>0.36817881159739829</c:v>
                </c:pt>
                <c:pt idx="71">
                  <c:v>0.36716147457119142</c:v>
                </c:pt>
                <c:pt idx="72">
                  <c:v>0.36308150148453811</c:v>
                </c:pt>
                <c:pt idx="73">
                  <c:v>0.35844386656793009</c:v>
                </c:pt>
                <c:pt idx="74">
                  <c:v>0.35953902956492989</c:v>
                </c:pt>
                <c:pt idx="75">
                  <c:v>0.35309158162650289</c:v>
                </c:pt>
                <c:pt idx="76">
                  <c:v>0.35197443191602212</c:v>
                </c:pt>
                <c:pt idx="77">
                  <c:v>0.35194170578086642</c:v>
                </c:pt>
                <c:pt idx="78">
                  <c:v>0.34991976528763968</c:v>
                </c:pt>
                <c:pt idx="79">
                  <c:v>0.34588697930835</c:v>
                </c:pt>
                <c:pt idx="80">
                  <c:v>0.34577571483664821</c:v>
                </c:pt>
                <c:pt idx="81">
                  <c:v>0.34435740724799863</c:v>
                </c:pt>
                <c:pt idx="82">
                  <c:v>0.34432539627890318</c:v>
                </c:pt>
                <c:pt idx="83">
                  <c:v>0.3458226749890691</c:v>
                </c:pt>
                <c:pt idx="84">
                  <c:v>0.34279615795090718</c:v>
                </c:pt>
                <c:pt idx="85">
                  <c:v>0.33876459227689443</c:v>
                </c:pt>
                <c:pt idx="86">
                  <c:v>0.34217179367133932</c:v>
                </c:pt>
                <c:pt idx="87">
                  <c:v>0.34374817135087687</c:v>
                </c:pt>
                <c:pt idx="88">
                  <c:v>0.34222990183255081</c:v>
                </c:pt>
                <c:pt idx="89">
                  <c:v>0.34171677571910941</c:v>
                </c:pt>
                <c:pt idx="90">
                  <c:v>0.3407011722917857</c:v>
                </c:pt>
                <c:pt idx="91">
                  <c:v>0.33797715375269749</c:v>
                </c:pt>
                <c:pt idx="92">
                  <c:v>0.33965406878703819</c:v>
                </c:pt>
                <c:pt idx="93">
                  <c:v>0.33964354909201028</c:v>
                </c:pt>
                <c:pt idx="94">
                  <c:v>0.34063786149843772</c:v>
                </c:pt>
                <c:pt idx="95">
                  <c:v>0.34263691264775209</c:v>
                </c:pt>
                <c:pt idx="96">
                  <c:v>0.34272677847591648</c:v>
                </c:pt>
                <c:pt idx="97">
                  <c:v>0.34269493980546439</c:v>
                </c:pt>
                <c:pt idx="98">
                  <c:v>0.33967039394460702</c:v>
                </c:pt>
                <c:pt idx="99">
                  <c:v>0.34046356727298999</c:v>
                </c:pt>
                <c:pt idx="100">
                  <c:v>0.33954890115182962</c:v>
                </c:pt>
                <c:pt idx="101">
                  <c:v>0.33702700936090568</c:v>
                </c:pt>
                <c:pt idx="102">
                  <c:v>0.33044626825627232</c:v>
                </c:pt>
                <c:pt idx="103">
                  <c:v>0.33154084015808433</c:v>
                </c:pt>
                <c:pt idx="104">
                  <c:v>0.32640847492605068</c:v>
                </c:pt>
                <c:pt idx="105">
                  <c:v>0.32386756406332218</c:v>
                </c:pt>
                <c:pt idx="106">
                  <c:v>0.32245164662833248</c:v>
                </c:pt>
                <c:pt idx="107">
                  <c:v>0.32635796206819467</c:v>
                </c:pt>
                <c:pt idx="108">
                  <c:v>0.33036445043570362</c:v>
                </c:pt>
                <c:pt idx="109">
                  <c:v>0.33135834224543759</c:v>
                </c:pt>
                <c:pt idx="110">
                  <c:v>0.33142798198260148</c:v>
                </c:pt>
                <c:pt idx="111">
                  <c:v>0.32338579076396218</c:v>
                </c:pt>
                <c:pt idx="112">
                  <c:v>0.31976152492023319</c:v>
                </c:pt>
                <c:pt idx="113">
                  <c:v>0.3268795318661748</c:v>
                </c:pt>
                <c:pt idx="114">
                  <c:v>0.31773393933976468</c:v>
                </c:pt>
                <c:pt idx="115">
                  <c:v>0.31770444802728148</c:v>
                </c:pt>
                <c:pt idx="116">
                  <c:v>0.30635196732920372</c:v>
                </c:pt>
                <c:pt idx="117">
                  <c:v>0.29911553705428812</c:v>
                </c:pt>
                <c:pt idx="118">
                  <c:v>0.30372336037398601</c:v>
                </c:pt>
                <c:pt idx="119">
                  <c:v>0.30612279972089412</c:v>
                </c:pt>
                <c:pt idx="120">
                  <c:v>0.31061053905057812</c:v>
                </c:pt>
                <c:pt idx="121">
                  <c:v>0.31401302562163841</c:v>
                </c:pt>
                <c:pt idx="122">
                  <c:v>0.31771635953727823</c:v>
                </c:pt>
                <c:pt idx="123">
                  <c:v>0.31710443565431662</c:v>
                </c:pt>
                <c:pt idx="124">
                  <c:v>0.32271402650244679</c:v>
                </c:pt>
                <c:pt idx="125">
                  <c:v>0.32860397431095562</c:v>
                </c:pt>
                <c:pt idx="126">
                  <c:v>0.32849347829074871</c:v>
                </c:pt>
                <c:pt idx="127">
                  <c:v>0.31613284497983141</c:v>
                </c:pt>
                <c:pt idx="128">
                  <c:v>0.3130130044149731</c:v>
                </c:pt>
                <c:pt idx="129">
                  <c:v>0.30907167052583118</c:v>
                </c:pt>
                <c:pt idx="130">
                  <c:v>0.30785836731468852</c:v>
                </c:pt>
                <c:pt idx="131">
                  <c:v>0.30584266575060121</c:v>
                </c:pt>
                <c:pt idx="132">
                  <c:v>0.30689862439677817</c:v>
                </c:pt>
                <c:pt idx="133">
                  <c:v>0.30588623202841109</c:v>
                </c:pt>
                <c:pt idx="134">
                  <c:v>0.304472752375817</c:v>
                </c:pt>
                <c:pt idx="135">
                  <c:v>0.30486447872735012</c:v>
                </c:pt>
                <c:pt idx="136">
                  <c:v>0.30274914915464951</c:v>
                </c:pt>
                <c:pt idx="137">
                  <c:v>0.30683222988379438</c:v>
                </c:pt>
                <c:pt idx="138">
                  <c:v>0.30932946909005998</c:v>
                </c:pt>
                <c:pt idx="139">
                  <c:v>0.30801645457479759</c:v>
                </c:pt>
                <c:pt idx="140">
                  <c:v>0.30860851202637052</c:v>
                </c:pt>
                <c:pt idx="141">
                  <c:v>0.31080468610512152</c:v>
                </c:pt>
                <c:pt idx="142">
                  <c:v>0.30877086973986428</c:v>
                </c:pt>
                <c:pt idx="143">
                  <c:v>0.30936281241417191</c:v>
                </c:pt>
                <c:pt idx="144">
                  <c:v>0.31025545077225708</c:v>
                </c:pt>
                <c:pt idx="145">
                  <c:v>0.31235092585599628</c:v>
                </c:pt>
                <c:pt idx="146">
                  <c:v>0.31574936407295401</c:v>
                </c:pt>
                <c:pt idx="147">
                  <c:v>0.31572010132699918</c:v>
                </c:pt>
                <c:pt idx="148">
                  <c:v>0.32122275119017779</c:v>
                </c:pt>
                <c:pt idx="149">
                  <c:v>0.32271616463933661</c:v>
                </c:pt>
                <c:pt idx="150">
                  <c:v>0.31819632689344152</c:v>
                </c:pt>
                <c:pt idx="151">
                  <c:v>0.32069190376497242</c:v>
                </c:pt>
                <c:pt idx="152">
                  <c:v>0.32066218938424212</c:v>
                </c:pt>
                <c:pt idx="153">
                  <c:v>0.32075248965361042</c:v>
                </c:pt>
                <c:pt idx="154">
                  <c:v>0.31863836796321399</c:v>
                </c:pt>
                <c:pt idx="155">
                  <c:v>0.31622378390249262</c:v>
                </c:pt>
                <c:pt idx="156">
                  <c:v>0.31410993264318038</c:v>
                </c:pt>
                <c:pt idx="157">
                  <c:v>0.31458176079050298</c:v>
                </c:pt>
                <c:pt idx="158">
                  <c:v>0.310664942069311</c:v>
                </c:pt>
                <c:pt idx="159">
                  <c:v>0.31376090133732221</c:v>
                </c:pt>
                <c:pt idx="160">
                  <c:v>0.31254910167520328</c:v>
                </c:pt>
                <c:pt idx="161">
                  <c:v>0.32506106430276921</c:v>
                </c:pt>
                <c:pt idx="162">
                  <c:v>0.32953832116162363</c:v>
                </c:pt>
                <c:pt idx="163">
                  <c:v>0.32952814785340889</c:v>
                </c:pt>
                <c:pt idx="164">
                  <c:v>0.32951797517330322</c:v>
                </c:pt>
                <c:pt idx="165">
                  <c:v>0.32850625964671581</c:v>
                </c:pt>
                <c:pt idx="166">
                  <c:v>0.32298780006791078</c:v>
                </c:pt>
                <c:pt idx="167">
                  <c:v>0.33495425302807919</c:v>
                </c:pt>
                <c:pt idx="168">
                  <c:v>0.33844856024937159</c:v>
                </c:pt>
                <c:pt idx="169">
                  <c:v>0.33543422649868659</c:v>
                </c:pt>
                <c:pt idx="170">
                  <c:v>0.33440196949072343</c:v>
                </c:pt>
                <c:pt idx="171">
                  <c:v>0.33749528557419989</c:v>
                </c:pt>
                <c:pt idx="172">
                  <c:v>0.34239046583946758</c:v>
                </c:pt>
                <c:pt idx="173">
                  <c:v>0.33306957034517748</c:v>
                </c:pt>
                <c:pt idx="174">
                  <c:v>0.3357622092325625</c:v>
                </c:pt>
                <c:pt idx="175">
                  <c:v>0.33833369899078541</c:v>
                </c:pt>
                <c:pt idx="176">
                  <c:v>0.34122603446443689</c:v>
                </c:pt>
                <c:pt idx="177">
                  <c:v>0.34772152332636341</c:v>
                </c:pt>
                <c:pt idx="178">
                  <c:v>0.35081356966329491</c:v>
                </c:pt>
                <c:pt idx="179">
                  <c:v>0.35180361133581028</c:v>
                </c:pt>
                <c:pt idx="180">
                  <c:v>0.35117059377945342</c:v>
                </c:pt>
                <c:pt idx="181">
                  <c:v>0.34755709703068022</c:v>
                </c:pt>
                <c:pt idx="182">
                  <c:v>0.34464431977463472</c:v>
                </c:pt>
                <c:pt idx="183">
                  <c:v>0.34163165434095721</c:v>
                </c:pt>
                <c:pt idx="184">
                  <c:v>0.33831898043596709</c:v>
                </c:pt>
                <c:pt idx="185">
                  <c:v>0.33367483647253532</c:v>
                </c:pt>
                <c:pt idx="186">
                  <c:v>0.33316430020283971</c:v>
                </c:pt>
                <c:pt idx="187">
                  <c:v>0.32965240779127342</c:v>
                </c:pt>
                <c:pt idx="188">
                  <c:v>0.32073840081679078</c:v>
                </c:pt>
                <c:pt idx="189">
                  <c:v>0.320108529946797</c:v>
                </c:pt>
                <c:pt idx="190">
                  <c:v>0.31409681066082012</c:v>
                </c:pt>
                <c:pt idx="191">
                  <c:v>0.31308684943426091</c:v>
                </c:pt>
                <c:pt idx="192">
                  <c:v>0.31357732043517578</c:v>
                </c:pt>
                <c:pt idx="193">
                  <c:v>0.31756851649499718</c:v>
                </c:pt>
                <c:pt idx="194">
                  <c:v>0.31503884040498142</c:v>
                </c:pt>
                <c:pt idx="195">
                  <c:v>0.31082874101372387</c:v>
                </c:pt>
                <c:pt idx="196">
                  <c:v>0.31261927105095522</c:v>
                </c:pt>
                <c:pt idx="197">
                  <c:v>0.31500970920336591</c:v>
                </c:pt>
                <c:pt idx="198">
                  <c:v>0.31897050615182843</c:v>
                </c:pt>
                <c:pt idx="199">
                  <c:v>0.32745962826500841</c:v>
                </c:pt>
                <c:pt idx="200">
                  <c:v>0.32594976801520309</c:v>
                </c:pt>
                <c:pt idx="201">
                  <c:v>0.32713950159901928</c:v>
                </c:pt>
                <c:pt idx="202">
                  <c:v>0.32642957170199582</c:v>
                </c:pt>
                <c:pt idx="203">
                  <c:v>0.32929850388578857</c:v>
                </c:pt>
                <c:pt idx="204">
                  <c:v>0.33108774764720178</c:v>
                </c:pt>
                <c:pt idx="205">
                  <c:v>0.33247702904405219</c:v>
                </c:pt>
                <c:pt idx="206">
                  <c:v>0.33286662535901712</c:v>
                </c:pt>
                <c:pt idx="207">
                  <c:v>0.33325619766812947</c:v>
                </c:pt>
                <c:pt idx="208">
                  <c:v>0.33482456110325748</c:v>
                </c:pt>
                <c:pt idx="209">
                  <c:v>0.33431452413387103</c:v>
                </c:pt>
                <c:pt idx="210">
                  <c:v>0.33690270423827151</c:v>
                </c:pt>
                <c:pt idx="211">
                  <c:v>0.33479362037100419</c:v>
                </c:pt>
                <c:pt idx="212">
                  <c:v>0.33558279059102147</c:v>
                </c:pt>
                <c:pt idx="213">
                  <c:v>0.33576197695469312</c:v>
                </c:pt>
                <c:pt idx="214">
                  <c:v>0.33675089659703777</c:v>
                </c:pt>
                <c:pt idx="215">
                  <c:v>0.33404260415775522</c:v>
                </c:pt>
                <c:pt idx="216">
                  <c:v>0.32993559955378232</c:v>
                </c:pt>
                <c:pt idx="217">
                  <c:v>0.32722768381107498</c:v>
                </c:pt>
                <c:pt idx="218">
                  <c:v>0.32668785646591098</c:v>
                </c:pt>
                <c:pt idx="219">
                  <c:v>0.32877572804904748</c:v>
                </c:pt>
                <c:pt idx="220">
                  <c:v>0.3299643855393658</c:v>
                </c:pt>
                <c:pt idx="221">
                  <c:v>0.33764616531990438</c:v>
                </c:pt>
                <c:pt idx="222">
                  <c:v>0.33214169645758862</c:v>
                </c:pt>
                <c:pt idx="223">
                  <c:v>0.32660740000889338</c:v>
                </c:pt>
                <c:pt idx="224">
                  <c:v>0.33139143521685588</c:v>
                </c:pt>
                <c:pt idx="225">
                  <c:v>0.33158098156781329</c:v>
                </c:pt>
                <c:pt idx="226">
                  <c:v>0.32657723905355401</c:v>
                </c:pt>
                <c:pt idx="227">
                  <c:v>0.32854431353773023</c:v>
                </c:pt>
                <c:pt idx="228">
                  <c:v>0.33752145930085431</c:v>
                </c:pt>
                <c:pt idx="229">
                  <c:v>0.33451541089449188</c:v>
                </c:pt>
                <c:pt idx="230">
                  <c:v>0.33949772938666078</c:v>
                </c:pt>
                <c:pt idx="231">
                  <c:v>0.3407853207997511</c:v>
                </c:pt>
                <c:pt idx="232">
                  <c:v>0.34943993872833951</c:v>
                </c:pt>
                <c:pt idx="233">
                  <c:v>0.34942918588470212</c:v>
                </c:pt>
                <c:pt idx="234">
                  <c:v>0.35540846399485793</c:v>
                </c:pt>
                <c:pt idx="235">
                  <c:v>0.35739414348963228</c:v>
                </c:pt>
                <c:pt idx="236">
                  <c:v>0.35638486995049651</c:v>
                </c:pt>
                <c:pt idx="237">
                  <c:v>0.35884743839114491</c:v>
                </c:pt>
                <c:pt idx="238">
                  <c:v>0.36282901483557811</c:v>
                </c:pt>
                <c:pt idx="239">
                  <c:v>0.35802686045756432</c:v>
                </c:pt>
                <c:pt idx="240">
                  <c:v>0.35532099617853558</c:v>
                </c:pt>
                <c:pt idx="241">
                  <c:v>0.34443119012055362</c:v>
                </c:pt>
                <c:pt idx="242">
                  <c:v>0.35537707540140939</c:v>
                </c:pt>
                <c:pt idx="243">
                  <c:v>0.35546593849003588</c:v>
                </c:pt>
                <c:pt idx="244">
                  <c:v>0.35525542356431039</c:v>
                </c:pt>
                <c:pt idx="245">
                  <c:v>0.35724025275014443</c:v>
                </c:pt>
                <c:pt idx="246">
                  <c:v>0.35722926562553392</c:v>
                </c:pt>
                <c:pt idx="247">
                  <c:v>0.35071090047393372</c:v>
                </c:pt>
                <c:pt idx="248">
                  <c:v>0.34920352893742362</c:v>
                </c:pt>
                <c:pt idx="249">
                  <c:v>0.3417100879815495</c:v>
                </c:pt>
                <c:pt idx="250">
                  <c:v>0.34469256946057858</c:v>
                </c:pt>
                <c:pt idx="251">
                  <c:v>0.34358457496421158</c:v>
                </c:pt>
                <c:pt idx="252">
                  <c:v>0.34016124624214272</c:v>
                </c:pt>
                <c:pt idx="253">
                  <c:v>0.34414082649822869</c:v>
                </c:pt>
                <c:pt idx="254">
                  <c:v>0.34662394359461363</c:v>
                </c:pt>
                <c:pt idx="255">
                  <c:v>0.34411966646968201</c:v>
                </c:pt>
                <c:pt idx="256">
                  <c:v>0.34311166978644331</c:v>
                </c:pt>
                <c:pt idx="257">
                  <c:v>0.34278083085425037</c:v>
                </c:pt>
                <c:pt idx="258">
                  <c:v>0.34356813027678362</c:v>
                </c:pt>
                <c:pt idx="259">
                  <c:v>0.33009450104337079</c:v>
                </c:pt>
                <c:pt idx="260">
                  <c:v>0.33905945835183232</c:v>
                </c:pt>
                <c:pt idx="261">
                  <c:v>0.33501903672465899</c:v>
                </c:pt>
                <c:pt idx="262">
                  <c:v>0.33700284090909088</c:v>
                </c:pt>
                <c:pt idx="263">
                  <c:v>0.3240312353818891</c:v>
                </c:pt>
                <c:pt idx="264">
                  <c:v>0.33349266940269462</c:v>
                </c:pt>
                <c:pt idx="265">
                  <c:v>0.32997279018398212</c:v>
                </c:pt>
                <c:pt idx="267">
                  <c:v>0.31074531259060162</c:v>
                </c:pt>
                <c:pt idx="268">
                  <c:v>0.32071494354811197</c:v>
                </c:pt>
                <c:pt idx="269">
                  <c:v>0.33566538523200568</c:v>
                </c:pt>
                <c:pt idx="270">
                  <c:v>0.33868469710098448</c:v>
                </c:pt>
                <c:pt idx="271">
                  <c:v>0.33969125799573557</c:v>
                </c:pt>
                <c:pt idx="272">
                  <c:v>0.34169407333615359</c:v>
                </c:pt>
                <c:pt idx="273">
                  <c:v>0.34409550096040009</c:v>
                </c:pt>
                <c:pt idx="274">
                  <c:v>0.34868883445127569</c:v>
                </c:pt>
                <c:pt idx="275">
                  <c:v>0.34324105762767387</c:v>
                </c:pt>
                <c:pt idx="276">
                  <c:v>0.33976428196081382</c:v>
                </c:pt>
                <c:pt idx="277">
                  <c:v>0.3357890893456133</c:v>
                </c:pt>
                <c:pt idx="278">
                  <c:v>0.33380652734742899</c:v>
                </c:pt>
                <c:pt idx="279">
                  <c:v>0.33381677956558092</c:v>
                </c:pt>
                <c:pt idx="280">
                  <c:v>0.33733549937203078</c:v>
                </c:pt>
                <c:pt idx="281">
                  <c:v>0.33535268038457472</c:v>
                </c:pt>
                <c:pt idx="282">
                  <c:v>0.33336973958155569</c:v>
                </c:pt>
                <c:pt idx="283">
                  <c:v>0.33487495776176612</c:v>
                </c:pt>
                <c:pt idx="284">
                  <c:v>0.32890515134552112</c:v>
                </c:pt>
                <c:pt idx="285">
                  <c:v>0.33092901397873331</c:v>
                </c:pt>
                <c:pt idx="286">
                  <c:v>0.33093918125460853</c:v>
                </c:pt>
                <c:pt idx="287">
                  <c:v>0.33094934915525032</c:v>
                </c:pt>
                <c:pt idx="288">
                  <c:v>0.33395011573204791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9D-4312-B392-89DABA539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188207"/>
        <c:axId val="251183215"/>
      </c:lineChart>
      <c:catAx>
        <c:axId val="251188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183215"/>
        <c:crosses val="autoZero"/>
        <c:auto val="1"/>
        <c:lblAlgn val="ctr"/>
        <c:lblOffset val="100"/>
        <c:noMultiLvlLbl val="0"/>
      </c:catAx>
      <c:valAx>
        <c:axId val="25118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188207"/>
        <c:crosses val="autoZero"/>
        <c:crossBetween val="between"/>
      </c:valAx>
    </c:plotArea>
    <c:legend>
      <c:legendPos val="r"/>
      <c:layout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5.0744319962478107E-2"/>
          <c:y val="9.6354937124812454E-2"/>
          <c:w val="0.93450736942060575"/>
          <c:h val="0.89095236148202217"/>
        </c:manualLayout>
      </c:layout>
      <c:lineChart>
        <c:grouping val="standard"/>
        <c:varyColors val="0"/>
        <c:ser>
          <c:idx val="0"/>
          <c:order val="0"/>
          <c:tx>
            <c:strRef>
              <c:f>'Paridad usd'!#REF!</c:f>
              <c:strCache>
                <c:ptCount val="1"/>
                <c:pt idx="0">
                  <c:v>30-38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'Paridad usd'!$A$2:$A$480</c:f>
              <c:numCache>
                <c:formatCode>m/d/yyyy</c:formatCode>
                <c:ptCount val="479"/>
                <c:pt idx="0">
                  <c:v>44918</c:v>
                </c:pt>
                <c:pt idx="1">
                  <c:v>44917</c:v>
                </c:pt>
                <c:pt idx="2">
                  <c:v>44916</c:v>
                </c:pt>
                <c:pt idx="3">
                  <c:v>44915</c:v>
                </c:pt>
                <c:pt idx="4">
                  <c:v>44914</c:v>
                </c:pt>
                <c:pt idx="5">
                  <c:v>44911</c:v>
                </c:pt>
                <c:pt idx="6">
                  <c:v>44910</c:v>
                </c:pt>
                <c:pt idx="7">
                  <c:v>44909</c:v>
                </c:pt>
                <c:pt idx="8">
                  <c:v>44908</c:v>
                </c:pt>
                <c:pt idx="9">
                  <c:v>44907</c:v>
                </c:pt>
                <c:pt idx="10">
                  <c:v>44902</c:v>
                </c:pt>
                <c:pt idx="11">
                  <c:v>44901</c:v>
                </c:pt>
                <c:pt idx="12">
                  <c:v>44900</c:v>
                </c:pt>
                <c:pt idx="13">
                  <c:v>44897</c:v>
                </c:pt>
                <c:pt idx="14">
                  <c:v>44896</c:v>
                </c:pt>
                <c:pt idx="15">
                  <c:v>44895</c:v>
                </c:pt>
                <c:pt idx="16">
                  <c:v>44894</c:v>
                </c:pt>
                <c:pt idx="17">
                  <c:v>44893</c:v>
                </c:pt>
                <c:pt idx="18">
                  <c:v>44890</c:v>
                </c:pt>
                <c:pt idx="19">
                  <c:v>44889</c:v>
                </c:pt>
                <c:pt idx="20">
                  <c:v>44888</c:v>
                </c:pt>
                <c:pt idx="21">
                  <c:v>44887</c:v>
                </c:pt>
                <c:pt idx="22">
                  <c:v>44883</c:v>
                </c:pt>
                <c:pt idx="23">
                  <c:v>44882</c:v>
                </c:pt>
                <c:pt idx="24">
                  <c:v>44881</c:v>
                </c:pt>
                <c:pt idx="25">
                  <c:v>44880</c:v>
                </c:pt>
                <c:pt idx="26">
                  <c:v>44879</c:v>
                </c:pt>
                <c:pt idx="27">
                  <c:v>44876</c:v>
                </c:pt>
                <c:pt idx="28">
                  <c:v>44875</c:v>
                </c:pt>
                <c:pt idx="29">
                  <c:v>44874</c:v>
                </c:pt>
                <c:pt idx="30">
                  <c:v>44873</c:v>
                </c:pt>
                <c:pt idx="31">
                  <c:v>44872</c:v>
                </c:pt>
                <c:pt idx="32">
                  <c:v>44869</c:v>
                </c:pt>
                <c:pt idx="33">
                  <c:v>44868</c:v>
                </c:pt>
                <c:pt idx="34">
                  <c:v>44867</c:v>
                </c:pt>
                <c:pt idx="35">
                  <c:v>44866</c:v>
                </c:pt>
                <c:pt idx="36">
                  <c:v>44865</c:v>
                </c:pt>
                <c:pt idx="37">
                  <c:v>44862</c:v>
                </c:pt>
                <c:pt idx="38">
                  <c:v>44861</c:v>
                </c:pt>
                <c:pt idx="39">
                  <c:v>44860</c:v>
                </c:pt>
                <c:pt idx="40">
                  <c:v>44859</c:v>
                </c:pt>
                <c:pt idx="41">
                  <c:v>44858</c:v>
                </c:pt>
                <c:pt idx="42">
                  <c:v>44855</c:v>
                </c:pt>
                <c:pt idx="43">
                  <c:v>44854</c:v>
                </c:pt>
                <c:pt idx="44">
                  <c:v>44853</c:v>
                </c:pt>
                <c:pt idx="45">
                  <c:v>44852</c:v>
                </c:pt>
                <c:pt idx="46">
                  <c:v>44851</c:v>
                </c:pt>
                <c:pt idx="47">
                  <c:v>44848</c:v>
                </c:pt>
                <c:pt idx="48">
                  <c:v>44847</c:v>
                </c:pt>
                <c:pt idx="49">
                  <c:v>44846</c:v>
                </c:pt>
                <c:pt idx="50">
                  <c:v>44845</c:v>
                </c:pt>
                <c:pt idx="51">
                  <c:v>44840</c:v>
                </c:pt>
                <c:pt idx="52">
                  <c:v>44839</c:v>
                </c:pt>
                <c:pt idx="53">
                  <c:v>44838</c:v>
                </c:pt>
                <c:pt idx="54">
                  <c:v>44837</c:v>
                </c:pt>
                <c:pt idx="55">
                  <c:v>44834</c:v>
                </c:pt>
                <c:pt idx="56">
                  <c:v>44833</c:v>
                </c:pt>
                <c:pt idx="57">
                  <c:v>44832</c:v>
                </c:pt>
                <c:pt idx="58">
                  <c:v>44831</c:v>
                </c:pt>
                <c:pt idx="59">
                  <c:v>44830</c:v>
                </c:pt>
                <c:pt idx="60">
                  <c:v>44827</c:v>
                </c:pt>
                <c:pt idx="61">
                  <c:v>44826</c:v>
                </c:pt>
                <c:pt idx="62">
                  <c:v>44825</c:v>
                </c:pt>
                <c:pt idx="63">
                  <c:v>44824</c:v>
                </c:pt>
                <c:pt idx="64">
                  <c:v>44823</c:v>
                </c:pt>
                <c:pt idx="65">
                  <c:v>44820</c:v>
                </c:pt>
                <c:pt idx="66">
                  <c:v>44819</c:v>
                </c:pt>
                <c:pt idx="67">
                  <c:v>44818</c:v>
                </c:pt>
                <c:pt idx="68">
                  <c:v>44817</c:v>
                </c:pt>
                <c:pt idx="69">
                  <c:v>44816</c:v>
                </c:pt>
                <c:pt idx="70">
                  <c:v>44813</c:v>
                </c:pt>
                <c:pt idx="71">
                  <c:v>44812</c:v>
                </c:pt>
                <c:pt idx="72">
                  <c:v>44811</c:v>
                </c:pt>
                <c:pt idx="73">
                  <c:v>44810</c:v>
                </c:pt>
                <c:pt idx="74">
                  <c:v>44809</c:v>
                </c:pt>
                <c:pt idx="75">
                  <c:v>44805</c:v>
                </c:pt>
                <c:pt idx="76">
                  <c:v>44804</c:v>
                </c:pt>
                <c:pt idx="77">
                  <c:v>44803</c:v>
                </c:pt>
                <c:pt idx="78">
                  <c:v>44802</c:v>
                </c:pt>
                <c:pt idx="79">
                  <c:v>44799</c:v>
                </c:pt>
                <c:pt idx="80">
                  <c:v>44798</c:v>
                </c:pt>
                <c:pt idx="81">
                  <c:v>44797</c:v>
                </c:pt>
                <c:pt idx="82">
                  <c:v>44796</c:v>
                </c:pt>
                <c:pt idx="83">
                  <c:v>44795</c:v>
                </c:pt>
                <c:pt idx="84">
                  <c:v>44792</c:v>
                </c:pt>
                <c:pt idx="85">
                  <c:v>44791</c:v>
                </c:pt>
                <c:pt idx="86">
                  <c:v>44790</c:v>
                </c:pt>
                <c:pt idx="87">
                  <c:v>44789</c:v>
                </c:pt>
                <c:pt idx="88">
                  <c:v>44785</c:v>
                </c:pt>
                <c:pt idx="89">
                  <c:v>44784</c:v>
                </c:pt>
                <c:pt idx="90">
                  <c:v>44783</c:v>
                </c:pt>
                <c:pt idx="91">
                  <c:v>44782</c:v>
                </c:pt>
                <c:pt idx="92">
                  <c:v>44781</c:v>
                </c:pt>
                <c:pt idx="93">
                  <c:v>44778</c:v>
                </c:pt>
                <c:pt idx="94">
                  <c:v>44777</c:v>
                </c:pt>
                <c:pt idx="95">
                  <c:v>44776</c:v>
                </c:pt>
                <c:pt idx="96">
                  <c:v>44775</c:v>
                </c:pt>
                <c:pt idx="97">
                  <c:v>44774</c:v>
                </c:pt>
                <c:pt idx="98">
                  <c:v>44771</c:v>
                </c:pt>
                <c:pt idx="99">
                  <c:v>44770</c:v>
                </c:pt>
                <c:pt idx="100">
                  <c:v>44769</c:v>
                </c:pt>
                <c:pt idx="101">
                  <c:v>44768</c:v>
                </c:pt>
                <c:pt idx="102">
                  <c:v>44767</c:v>
                </c:pt>
                <c:pt idx="103">
                  <c:v>44764</c:v>
                </c:pt>
                <c:pt idx="104">
                  <c:v>44763</c:v>
                </c:pt>
                <c:pt idx="105">
                  <c:v>44762</c:v>
                </c:pt>
                <c:pt idx="106">
                  <c:v>44761</c:v>
                </c:pt>
                <c:pt idx="107">
                  <c:v>44760</c:v>
                </c:pt>
                <c:pt idx="108">
                  <c:v>44757</c:v>
                </c:pt>
                <c:pt idx="109">
                  <c:v>44756</c:v>
                </c:pt>
                <c:pt idx="110">
                  <c:v>44755</c:v>
                </c:pt>
                <c:pt idx="111">
                  <c:v>44754</c:v>
                </c:pt>
                <c:pt idx="112">
                  <c:v>44753</c:v>
                </c:pt>
                <c:pt idx="113">
                  <c:v>44750</c:v>
                </c:pt>
                <c:pt idx="114">
                  <c:v>44749</c:v>
                </c:pt>
                <c:pt idx="115">
                  <c:v>44747</c:v>
                </c:pt>
                <c:pt idx="116">
                  <c:v>44746</c:v>
                </c:pt>
                <c:pt idx="117">
                  <c:v>44743</c:v>
                </c:pt>
                <c:pt idx="118">
                  <c:v>44742</c:v>
                </c:pt>
                <c:pt idx="119">
                  <c:v>44741</c:v>
                </c:pt>
                <c:pt idx="120">
                  <c:v>44740</c:v>
                </c:pt>
                <c:pt idx="121">
                  <c:v>44739</c:v>
                </c:pt>
                <c:pt idx="122">
                  <c:v>44736</c:v>
                </c:pt>
                <c:pt idx="123">
                  <c:v>44735</c:v>
                </c:pt>
                <c:pt idx="124">
                  <c:v>44734</c:v>
                </c:pt>
                <c:pt idx="125">
                  <c:v>44733</c:v>
                </c:pt>
                <c:pt idx="126">
                  <c:v>44728</c:v>
                </c:pt>
                <c:pt idx="127">
                  <c:v>44727</c:v>
                </c:pt>
                <c:pt idx="128">
                  <c:v>44725</c:v>
                </c:pt>
                <c:pt idx="129">
                  <c:v>44722</c:v>
                </c:pt>
                <c:pt idx="130">
                  <c:v>44721</c:v>
                </c:pt>
                <c:pt idx="131">
                  <c:v>44720</c:v>
                </c:pt>
                <c:pt idx="132">
                  <c:v>44719</c:v>
                </c:pt>
                <c:pt idx="133">
                  <c:v>44718</c:v>
                </c:pt>
                <c:pt idx="134">
                  <c:v>44715</c:v>
                </c:pt>
                <c:pt idx="135">
                  <c:v>44714</c:v>
                </c:pt>
                <c:pt idx="136">
                  <c:v>44713</c:v>
                </c:pt>
                <c:pt idx="137">
                  <c:v>44712</c:v>
                </c:pt>
                <c:pt idx="138">
                  <c:v>44711</c:v>
                </c:pt>
                <c:pt idx="139">
                  <c:v>44708</c:v>
                </c:pt>
                <c:pt idx="140">
                  <c:v>44707</c:v>
                </c:pt>
                <c:pt idx="141">
                  <c:v>44705</c:v>
                </c:pt>
                <c:pt idx="142">
                  <c:v>44704</c:v>
                </c:pt>
                <c:pt idx="143">
                  <c:v>44701</c:v>
                </c:pt>
                <c:pt idx="144">
                  <c:v>44700</c:v>
                </c:pt>
                <c:pt idx="145">
                  <c:v>44698</c:v>
                </c:pt>
                <c:pt idx="146">
                  <c:v>44697</c:v>
                </c:pt>
                <c:pt idx="147">
                  <c:v>44694</c:v>
                </c:pt>
                <c:pt idx="148">
                  <c:v>44693</c:v>
                </c:pt>
                <c:pt idx="149">
                  <c:v>44692</c:v>
                </c:pt>
                <c:pt idx="150">
                  <c:v>44691</c:v>
                </c:pt>
                <c:pt idx="151">
                  <c:v>44690</c:v>
                </c:pt>
                <c:pt idx="152">
                  <c:v>44687</c:v>
                </c:pt>
                <c:pt idx="153">
                  <c:v>44686</c:v>
                </c:pt>
                <c:pt idx="154">
                  <c:v>44685</c:v>
                </c:pt>
                <c:pt idx="155">
                  <c:v>44684</c:v>
                </c:pt>
                <c:pt idx="156">
                  <c:v>44683</c:v>
                </c:pt>
                <c:pt idx="157">
                  <c:v>44680</c:v>
                </c:pt>
                <c:pt idx="158">
                  <c:v>44679</c:v>
                </c:pt>
                <c:pt idx="159">
                  <c:v>44678</c:v>
                </c:pt>
                <c:pt idx="160">
                  <c:v>44677</c:v>
                </c:pt>
                <c:pt idx="161">
                  <c:v>44676</c:v>
                </c:pt>
                <c:pt idx="162">
                  <c:v>44673</c:v>
                </c:pt>
                <c:pt idx="163">
                  <c:v>44672</c:v>
                </c:pt>
                <c:pt idx="164">
                  <c:v>44671</c:v>
                </c:pt>
                <c:pt idx="165">
                  <c:v>44670</c:v>
                </c:pt>
                <c:pt idx="166">
                  <c:v>44669</c:v>
                </c:pt>
                <c:pt idx="167">
                  <c:v>44664</c:v>
                </c:pt>
                <c:pt idx="168">
                  <c:v>44663</c:v>
                </c:pt>
                <c:pt idx="169">
                  <c:v>44662</c:v>
                </c:pt>
                <c:pt idx="170">
                  <c:v>44659</c:v>
                </c:pt>
                <c:pt idx="171">
                  <c:v>44658</c:v>
                </c:pt>
                <c:pt idx="172">
                  <c:v>44657</c:v>
                </c:pt>
                <c:pt idx="173">
                  <c:v>44656</c:v>
                </c:pt>
                <c:pt idx="174">
                  <c:v>44655</c:v>
                </c:pt>
                <c:pt idx="175">
                  <c:v>44652</c:v>
                </c:pt>
                <c:pt idx="176">
                  <c:v>44651</c:v>
                </c:pt>
                <c:pt idx="177">
                  <c:v>44650</c:v>
                </c:pt>
                <c:pt idx="178">
                  <c:v>44649</c:v>
                </c:pt>
                <c:pt idx="179">
                  <c:v>44648</c:v>
                </c:pt>
                <c:pt idx="180">
                  <c:v>44645</c:v>
                </c:pt>
                <c:pt idx="181">
                  <c:v>44643</c:v>
                </c:pt>
                <c:pt idx="182">
                  <c:v>44642</c:v>
                </c:pt>
                <c:pt idx="183">
                  <c:v>44641</c:v>
                </c:pt>
                <c:pt idx="184">
                  <c:v>44638</c:v>
                </c:pt>
                <c:pt idx="185">
                  <c:v>44637</c:v>
                </c:pt>
                <c:pt idx="186">
                  <c:v>44636</c:v>
                </c:pt>
                <c:pt idx="187">
                  <c:v>44635</c:v>
                </c:pt>
                <c:pt idx="188">
                  <c:v>44634</c:v>
                </c:pt>
                <c:pt idx="189">
                  <c:v>44631</c:v>
                </c:pt>
                <c:pt idx="190">
                  <c:v>44630</c:v>
                </c:pt>
                <c:pt idx="191">
                  <c:v>44629</c:v>
                </c:pt>
                <c:pt idx="192">
                  <c:v>44628</c:v>
                </c:pt>
                <c:pt idx="193">
                  <c:v>44627</c:v>
                </c:pt>
                <c:pt idx="194">
                  <c:v>44624</c:v>
                </c:pt>
                <c:pt idx="195">
                  <c:v>44623</c:v>
                </c:pt>
                <c:pt idx="196">
                  <c:v>44622</c:v>
                </c:pt>
                <c:pt idx="197">
                  <c:v>44617</c:v>
                </c:pt>
                <c:pt idx="198">
                  <c:v>44616</c:v>
                </c:pt>
                <c:pt idx="199">
                  <c:v>44615</c:v>
                </c:pt>
                <c:pt idx="200">
                  <c:v>44614</c:v>
                </c:pt>
                <c:pt idx="201">
                  <c:v>44613</c:v>
                </c:pt>
                <c:pt idx="202">
                  <c:v>44610</c:v>
                </c:pt>
                <c:pt idx="203">
                  <c:v>44609</c:v>
                </c:pt>
                <c:pt idx="204">
                  <c:v>44608</c:v>
                </c:pt>
                <c:pt idx="205">
                  <c:v>44607</c:v>
                </c:pt>
                <c:pt idx="206">
                  <c:v>44606</c:v>
                </c:pt>
                <c:pt idx="207">
                  <c:v>44603</c:v>
                </c:pt>
                <c:pt idx="208">
                  <c:v>44602</c:v>
                </c:pt>
                <c:pt idx="209">
                  <c:v>44601</c:v>
                </c:pt>
                <c:pt idx="210">
                  <c:v>44600</c:v>
                </c:pt>
                <c:pt idx="211">
                  <c:v>44599</c:v>
                </c:pt>
                <c:pt idx="212">
                  <c:v>44596</c:v>
                </c:pt>
                <c:pt idx="213">
                  <c:v>44595</c:v>
                </c:pt>
                <c:pt idx="214">
                  <c:v>44594</c:v>
                </c:pt>
                <c:pt idx="215">
                  <c:v>44593</c:v>
                </c:pt>
                <c:pt idx="216">
                  <c:v>44592</c:v>
                </c:pt>
                <c:pt idx="217">
                  <c:v>44589</c:v>
                </c:pt>
                <c:pt idx="218">
                  <c:v>44588</c:v>
                </c:pt>
                <c:pt idx="219">
                  <c:v>44587</c:v>
                </c:pt>
                <c:pt idx="220">
                  <c:v>44586</c:v>
                </c:pt>
                <c:pt idx="221">
                  <c:v>44585</c:v>
                </c:pt>
                <c:pt idx="222">
                  <c:v>44582</c:v>
                </c:pt>
                <c:pt idx="223">
                  <c:v>44581</c:v>
                </c:pt>
                <c:pt idx="224">
                  <c:v>44580</c:v>
                </c:pt>
                <c:pt idx="225">
                  <c:v>44579</c:v>
                </c:pt>
                <c:pt idx="226">
                  <c:v>44578</c:v>
                </c:pt>
                <c:pt idx="227">
                  <c:v>44575</c:v>
                </c:pt>
                <c:pt idx="228">
                  <c:v>44574</c:v>
                </c:pt>
                <c:pt idx="229">
                  <c:v>44573</c:v>
                </c:pt>
                <c:pt idx="230">
                  <c:v>44572</c:v>
                </c:pt>
                <c:pt idx="231">
                  <c:v>44571</c:v>
                </c:pt>
                <c:pt idx="232">
                  <c:v>44568</c:v>
                </c:pt>
                <c:pt idx="233">
                  <c:v>44567</c:v>
                </c:pt>
                <c:pt idx="234">
                  <c:v>44566</c:v>
                </c:pt>
                <c:pt idx="235">
                  <c:v>44565</c:v>
                </c:pt>
                <c:pt idx="236">
                  <c:v>44564</c:v>
                </c:pt>
                <c:pt idx="237">
                  <c:v>44560</c:v>
                </c:pt>
                <c:pt idx="238">
                  <c:v>44559</c:v>
                </c:pt>
                <c:pt idx="239">
                  <c:v>44558</c:v>
                </c:pt>
                <c:pt idx="240">
                  <c:v>44557</c:v>
                </c:pt>
                <c:pt idx="241">
                  <c:v>44553</c:v>
                </c:pt>
                <c:pt idx="242">
                  <c:v>44552</c:v>
                </c:pt>
                <c:pt idx="243">
                  <c:v>44551</c:v>
                </c:pt>
                <c:pt idx="244">
                  <c:v>44550</c:v>
                </c:pt>
                <c:pt idx="245">
                  <c:v>44547</c:v>
                </c:pt>
                <c:pt idx="246">
                  <c:v>44546</c:v>
                </c:pt>
                <c:pt idx="247">
                  <c:v>44545</c:v>
                </c:pt>
                <c:pt idx="248">
                  <c:v>44544</c:v>
                </c:pt>
                <c:pt idx="249">
                  <c:v>44543</c:v>
                </c:pt>
                <c:pt idx="250">
                  <c:v>44540</c:v>
                </c:pt>
                <c:pt idx="251">
                  <c:v>44539</c:v>
                </c:pt>
                <c:pt idx="252">
                  <c:v>44537</c:v>
                </c:pt>
                <c:pt idx="253">
                  <c:v>44536</c:v>
                </c:pt>
                <c:pt idx="254">
                  <c:v>44533</c:v>
                </c:pt>
                <c:pt idx="255">
                  <c:v>44532</c:v>
                </c:pt>
                <c:pt idx="256">
                  <c:v>44531</c:v>
                </c:pt>
                <c:pt idx="257">
                  <c:v>44530</c:v>
                </c:pt>
                <c:pt idx="258">
                  <c:v>44529</c:v>
                </c:pt>
                <c:pt idx="259">
                  <c:v>44526</c:v>
                </c:pt>
                <c:pt idx="260">
                  <c:v>44525</c:v>
                </c:pt>
                <c:pt idx="261">
                  <c:v>44524</c:v>
                </c:pt>
                <c:pt idx="262">
                  <c:v>44523</c:v>
                </c:pt>
                <c:pt idx="263">
                  <c:v>44519</c:v>
                </c:pt>
                <c:pt idx="264">
                  <c:v>44518</c:v>
                </c:pt>
                <c:pt idx="265">
                  <c:v>44517</c:v>
                </c:pt>
                <c:pt idx="266">
                  <c:v>44516</c:v>
                </c:pt>
                <c:pt idx="267">
                  <c:v>44515</c:v>
                </c:pt>
                <c:pt idx="268">
                  <c:v>44512</c:v>
                </c:pt>
                <c:pt idx="269">
                  <c:v>44511</c:v>
                </c:pt>
                <c:pt idx="270">
                  <c:v>44510</c:v>
                </c:pt>
                <c:pt idx="271">
                  <c:v>44509</c:v>
                </c:pt>
                <c:pt idx="272">
                  <c:v>44508</c:v>
                </c:pt>
                <c:pt idx="273">
                  <c:v>44505</c:v>
                </c:pt>
                <c:pt idx="274">
                  <c:v>44504</c:v>
                </c:pt>
                <c:pt idx="275">
                  <c:v>44503</c:v>
                </c:pt>
                <c:pt idx="276">
                  <c:v>44502</c:v>
                </c:pt>
                <c:pt idx="277">
                  <c:v>44501</c:v>
                </c:pt>
                <c:pt idx="278">
                  <c:v>44498</c:v>
                </c:pt>
                <c:pt idx="279">
                  <c:v>44497</c:v>
                </c:pt>
                <c:pt idx="280">
                  <c:v>44496</c:v>
                </c:pt>
                <c:pt idx="281">
                  <c:v>44495</c:v>
                </c:pt>
                <c:pt idx="282">
                  <c:v>44494</c:v>
                </c:pt>
                <c:pt idx="283">
                  <c:v>44491</c:v>
                </c:pt>
                <c:pt idx="284">
                  <c:v>44490</c:v>
                </c:pt>
                <c:pt idx="285">
                  <c:v>44489</c:v>
                </c:pt>
                <c:pt idx="286">
                  <c:v>44488</c:v>
                </c:pt>
                <c:pt idx="287">
                  <c:v>44487</c:v>
                </c:pt>
                <c:pt idx="288">
                  <c:v>44484</c:v>
                </c:pt>
                <c:pt idx="289">
                  <c:v>44483</c:v>
                </c:pt>
                <c:pt idx="290">
                  <c:v>44482</c:v>
                </c:pt>
                <c:pt idx="291">
                  <c:v>44481</c:v>
                </c:pt>
                <c:pt idx="292">
                  <c:v>44476</c:v>
                </c:pt>
                <c:pt idx="293">
                  <c:v>44475</c:v>
                </c:pt>
                <c:pt idx="294">
                  <c:v>44474</c:v>
                </c:pt>
                <c:pt idx="295">
                  <c:v>44473</c:v>
                </c:pt>
                <c:pt idx="296">
                  <c:v>44470</c:v>
                </c:pt>
                <c:pt idx="297">
                  <c:v>44469</c:v>
                </c:pt>
                <c:pt idx="298">
                  <c:v>44468</c:v>
                </c:pt>
                <c:pt idx="299">
                  <c:v>44467</c:v>
                </c:pt>
                <c:pt idx="300">
                  <c:v>44466</c:v>
                </c:pt>
                <c:pt idx="301">
                  <c:v>44463</c:v>
                </c:pt>
                <c:pt idx="302">
                  <c:v>44462</c:v>
                </c:pt>
                <c:pt idx="303">
                  <c:v>44461</c:v>
                </c:pt>
                <c:pt idx="304">
                  <c:v>44460</c:v>
                </c:pt>
                <c:pt idx="305">
                  <c:v>44459</c:v>
                </c:pt>
                <c:pt idx="306">
                  <c:v>44456</c:v>
                </c:pt>
                <c:pt idx="307">
                  <c:v>44455</c:v>
                </c:pt>
                <c:pt idx="308">
                  <c:v>44454</c:v>
                </c:pt>
                <c:pt idx="309">
                  <c:v>44453</c:v>
                </c:pt>
                <c:pt idx="310">
                  <c:v>44452</c:v>
                </c:pt>
                <c:pt idx="311">
                  <c:v>44449</c:v>
                </c:pt>
                <c:pt idx="312">
                  <c:v>44448</c:v>
                </c:pt>
                <c:pt idx="313">
                  <c:v>44447</c:v>
                </c:pt>
                <c:pt idx="314">
                  <c:v>44446</c:v>
                </c:pt>
                <c:pt idx="315">
                  <c:v>44445</c:v>
                </c:pt>
                <c:pt idx="316">
                  <c:v>44442</c:v>
                </c:pt>
                <c:pt idx="317">
                  <c:v>44441</c:v>
                </c:pt>
                <c:pt idx="318">
                  <c:v>44440</c:v>
                </c:pt>
                <c:pt idx="319">
                  <c:v>44439</c:v>
                </c:pt>
                <c:pt idx="320">
                  <c:v>44438</c:v>
                </c:pt>
                <c:pt idx="321">
                  <c:v>44435</c:v>
                </c:pt>
                <c:pt idx="322">
                  <c:v>44434</c:v>
                </c:pt>
                <c:pt idx="323">
                  <c:v>44433</c:v>
                </c:pt>
                <c:pt idx="324">
                  <c:v>44432</c:v>
                </c:pt>
                <c:pt idx="325">
                  <c:v>44431</c:v>
                </c:pt>
                <c:pt idx="326">
                  <c:v>44428</c:v>
                </c:pt>
                <c:pt idx="327">
                  <c:v>44427</c:v>
                </c:pt>
                <c:pt idx="328">
                  <c:v>44426</c:v>
                </c:pt>
                <c:pt idx="329">
                  <c:v>44425</c:v>
                </c:pt>
                <c:pt idx="330">
                  <c:v>44421</c:v>
                </c:pt>
                <c:pt idx="331">
                  <c:v>44420</c:v>
                </c:pt>
                <c:pt idx="332">
                  <c:v>44419</c:v>
                </c:pt>
                <c:pt idx="333">
                  <c:v>44418</c:v>
                </c:pt>
                <c:pt idx="334">
                  <c:v>44417</c:v>
                </c:pt>
                <c:pt idx="335">
                  <c:v>44413</c:v>
                </c:pt>
                <c:pt idx="336">
                  <c:v>44412</c:v>
                </c:pt>
                <c:pt idx="337">
                  <c:v>44411</c:v>
                </c:pt>
                <c:pt idx="338">
                  <c:v>44410</c:v>
                </c:pt>
                <c:pt idx="339">
                  <c:v>44409</c:v>
                </c:pt>
                <c:pt idx="340">
                  <c:v>44407</c:v>
                </c:pt>
                <c:pt idx="341">
                  <c:v>44406</c:v>
                </c:pt>
                <c:pt idx="342">
                  <c:v>44405</c:v>
                </c:pt>
                <c:pt idx="343">
                  <c:v>44404</c:v>
                </c:pt>
                <c:pt idx="344">
                  <c:v>44403</c:v>
                </c:pt>
                <c:pt idx="345">
                  <c:v>44400</c:v>
                </c:pt>
                <c:pt idx="346">
                  <c:v>44399</c:v>
                </c:pt>
                <c:pt idx="347">
                  <c:v>44398</c:v>
                </c:pt>
                <c:pt idx="348">
                  <c:v>44397</c:v>
                </c:pt>
                <c:pt idx="349">
                  <c:v>44396</c:v>
                </c:pt>
                <c:pt idx="350">
                  <c:v>44393</c:v>
                </c:pt>
                <c:pt idx="351">
                  <c:v>44392</c:v>
                </c:pt>
                <c:pt idx="352">
                  <c:v>44391</c:v>
                </c:pt>
                <c:pt idx="353">
                  <c:v>44390</c:v>
                </c:pt>
                <c:pt idx="354">
                  <c:v>44389</c:v>
                </c:pt>
                <c:pt idx="355">
                  <c:v>44385</c:v>
                </c:pt>
                <c:pt idx="356">
                  <c:v>44384</c:v>
                </c:pt>
                <c:pt idx="357">
                  <c:v>44383</c:v>
                </c:pt>
                <c:pt idx="358">
                  <c:v>44382</c:v>
                </c:pt>
                <c:pt idx="359">
                  <c:v>44379</c:v>
                </c:pt>
                <c:pt idx="360">
                  <c:v>44378</c:v>
                </c:pt>
                <c:pt idx="361">
                  <c:v>44377</c:v>
                </c:pt>
                <c:pt idx="362">
                  <c:v>44376</c:v>
                </c:pt>
                <c:pt idx="363">
                  <c:v>44375</c:v>
                </c:pt>
                <c:pt idx="364">
                  <c:v>44372</c:v>
                </c:pt>
                <c:pt idx="365">
                  <c:v>44371</c:v>
                </c:pt>
                <c:pt idx="366">
                  <c:v>44370</c:v>
                </c:pt>
                <c:pt idx="367">
                  <c:v>44369</c:v>
                </c:pt>
                <c:pt idx="368">
                  <c:v>44365</c:v>
                </c:pt>
                <c:pt idx="369">
                  <c:v>44364</c:v>
                </c:pt>
                <c:pt idx="370">
                  <c:v>44363</c:v>
                </c:pt>
                <c:pt idx="371">
                  <c:v>44362</c:v>
                </c:pt>
                <c:pt idx="372">
                  <c:v>44361</c:v>
                </c:pt>
                <c:pt idx="373">
                  <c:v>44358</c:v>
                </c:pt>
                <c:pt idx="374">
                  <c:v>44357</c:v>
                </c:pt>
                <c:pt idx="375">
                  <c:v>44356</c:v>
                </c:pt>
                <c:pt idx="376">
                  <c:v>44355</c:v>
                </c:pt>
                <c:pt idx="377">
                  <c:v>44354</c:v>
                </c:pt>
                <c:pt idx="378">
                  <c:v>44351</c:v>
                </c:pt>
                <c:pt idx="379">
                  <c:v>44350</c:v>
                </c:pt>
                <c:pt idx="380">
                  <c:v>44349</c:v>
                </c:pt>
                <c:pt idx="381">
                  <c:v>44348</c:v>
                </c:pt>
                <c:pt idx="382">
                  <c:v>44347</c:v>
                </c:pt>
                <c:pt idx="383">
                  <c:v>44344</c:v>
                </c:pt>
                <c:pt idx="384">
                  <c:v>44343</c:v>
                </c:pt>
                <c:pt idx="385">
                  <c:v>44342</c:v>
                </c:pt>
                <c:pt idx="386">
                  <c:v>44337</c:v>
                </c:pt>
                <c:pt idx="387">
                  <c:v>44336</c:v>
                </c:pt>
                <c:pt idx="388">
                  <c:v>44335</c:v>
                </c:pt>
                <c:pt idx="389">
                  <c:v>44334</c:v>
                </c:pt>
                <c:pt idx="390">
                  <c:v>44333</c:v>
                </c:pt>
                <c:pt idx="391">
                  <c:v>44330</c:v>
                </c:pt>
                <c:pt idx="392">
                  <c:v>44329</c:v>
                </c:pt>
                <c:pt idx="393">
                  <c:v>44328</c:v>
                </c:pt>
                <c:pt idx="394">
                  <c:v>44327</c:v>
                </c:pt>
                <c:pt idx="395">
                  <c:v>44326</c:v>
                </c:pt>
                <c:pt idx="396">
                  <c:v>44323</c:v>
                </c:pt>
                <c:pt idx="397">
                  <c:v>44322</c:v>
                </c:pt>
                <c:pt idx="398">
                  <c:v>44321</c:v>
                </c:pt>
                <c:pt idx="399">
                  <c:v>44320</c:v>
                </c:pt>
                <c:pt idx="400">
                  <c:v>44319</c:v>
                </c:pt>
                <c:pt idx="401">
                  <c:v>44316</c:v>
                </c:pt>
                <c:pt idx="402">
                  <c:v>44315</c:v>
                </c:pt>
                <c:pt idx="403">
                  <c:v>44314</c:v>
                </c:pt>
                <c:pt idx="404">
                  <c:v>44313</c:v>
                </c:pt>
                <c:pt idx="405">
                  <c:v>44312</c:v>
                </c:pt>
                <c:pt idx="406">
                  <c:v>44309</c:v>
                </c:pt>
                <c:pt idx="407">
                  <c:v>44308</c:v>
                </c:pt>
                <c:pt idx="408">
                  <c:v>44307</c:v>
                </c:pt>
                <c:pt idx="409">
                  <c:v>44306</c:v>
                </c:pt>
                <c:pt idx="410">
                  <c:v>44305</c:v>
                </c:pt>
                <c:pt idx="411">
                  <c:v>44302</c:v>
                </c:pt>
                <c:pt idx="412">
                  <c:v>44301</c:v>
                </c:pt>
                <c:pt idx="413">
                  <c:v>44300</c:v>
                </c:pt>
                <c:pt idx="414">
                  <c:v>44299</c:v>
                </c:pt>
                <c:pt idx="415">
                  <c:v>44298</c:v>
                </c:pt>
                <c:pt idx="416">
                  <c:v>44295</c:v>
                </c:pt>
                <c:pt idx="417">
                  <c:v>44294</c:v>
                </c:pt>
                <c:pt idx="418">
                  <c:v>44293</c:v>
                </c:pt>
                <c:pt idx="419">
                  <c:v>44292</c:v>
                </c:pt>
                <c:pt idx="420">
                  <c:v>44291</c:v>
                </c:pt>
                <c:pt idx="421">
                  <c:v>44286</c:v>
                </c:pt>
                <c:pt idx="422">
                  <c:v>44285</c:v>
                </c:pt>
                <c:pt idx="423">
                  <c:v>44284</c:v>
                </c:pt>
                <c:pt idx="424">
                  <c:v>44281</c:v>
                </c:pt>
                <c:pt idx="425">
                  <c:v>44280</c:v>
                </c:pt>
                <c:pt idx="426">
                  <c:v>44278</c:v>
                </c:pt>
                <c:pt idx="427">
                  <c:v>44277</c:v>
                </c:pt>
                <c:pt idx="428">
                  <c:v>44274</c:v>
                </c:pt>
                <c:pt idx="429">
                  <c:v>44273</c:v>
                </c:pt>
                <c:pt idx="430">
                  <c:v>44272</c:v>
                </c:pt>
                <c:pt idx="431">
                  <c:v>44271</c:v>
                </c:pt>
                <c:pt idx="432">
                  <c:v>44270</c:v>
                </c:pt>
                <c:pt idx="433">
                  <c:v>44267</c:v>
                </c:pt>
                <c:pt idx="434">
                  <c:v>44266</c:v>
                </c:pt>
                <c:pt idx="435">
                  <c:v>44265</c:v>
                </c:pt>
                <c:pt idx="436">
                  <c:v>44264</c:v>
                </c:pt>
                <c:pt idx="437">
                  <c:v>44263</c:v>
                </c:pt>
                <c:pt idx="438">
                  <c:v>44260</c:v>
                </c:pt>
                <c:pt idx="439">
                  <c:v>44259</c:v>
                </c:pt>
                <c:pt idx="440">
                  <c:v>44258</c:v>
                </c:pt>
                <c:pt idx="441">
                  <c:v>44257</c:v>
                </c:pt>
                <c:pt idx="442">
                  <c:v>44256</c:v>
                </c:pt>
                <c:pt idx="443">
                  <c:v>44253</c:v>
                </c:pt>
                <c:pt idx="444">
                  <c:v>44252</c:v>
                </c:pt>
                <c:pt idx="445">
                  <c:v>44251</c:v>
                </c:pt>
                <c:pt idx="446">
                  <c:v>44250</c:v>
                </c:pt>
                <c:pt idx="447">
                  <c:v>44249</c:v>
                </c:pt>
                <c:pt idx="448">
                  <c:v>44246</c:v>
                </c:pt>
                <c:pt idx="449">
                  <c:v>44245</c:v>
                </c:pt>
                <c:pt idx="450">
                  <c:v>44244</c:v>
                </c:pt>
                <c:pt idx="451">
                  <c:v>44239</c:v>
                </c:pt>
                <c:pt idx="452">
                  <c:v>44238</c:v>
                </c:pt>
                <c:pt idx="453">
                  <c:v>44237</c:v>
                </c:pt>
                <c:pt idx="454">
                  <c:v>44236</c:v>
                </c:pt>
                <c:pt idx="455">
                  <c:v>44235</c:v>
                </c:pt>
                <c:pt idx="456">
                  <c:v>44232</c:v>
                </c:pt>
                <c:pt idx="457">
                  <c:v>44231</c:v>
                </c:pt>
                <c:pt idx="458">
                  <c:v>44230</c:v>
                </c:pt>
                <c:pt idx="459">
                  <c:v>44229</c:v>
                </c:pt>
                <c:pt idx="460">
                  <c:v>44228</c:v>
                </c:pt>
                <c:pt idx="461">
                  <c:v>44225</c:v>
                </c:pt>
                <c:pt idx="462">
                  <c:v>44224</c:v>
                </c:pt>
                <c:pt idx="463">
                  <c:v>44223</c:v>
                </c:pt>
                <c:pt idx="464">
                  <c:v>44222</c:v>
                </c:pt>
                <c:pt idx="465">
                  <c:v>44221</c:v>
                </c:pt>
                <c:pt idx="466">
                  <c:v>44218</c:v>
                </c:pt>
                <c:pt idx="467">
                  <c:v>44217</c:v>
                </c:pt>
                <c:pt idx="468">
                  <c:v>44216</c:v>
                </c:pt>
                <c:pt idx="469">
                  <c:v>44215</c:v>
                </c:pt>
                <c:pt idx="470">
                  <c:v>44214</c:v>
                </c:pt>
                <c:pt idx="471">
                  <c:v>44211</c:v>
                </c:pt>
                <c:pt idx="472">
                  <c:v>44210</c:v>
                </c:pt>
                <c:pt idx="473">
                  <c:v>44209</c:v>
                </c:pt>
                <c:pt idx="474">
                  <c:v>44208</c:v>
                </c:pt>
                <c:pt idx="475">
                  <c:v>44207</c:v>
                </c:pt>
                <c:pt idx="476">
                  <c:v>44204</c:v>
                </c:pt>
                <c:pt idx="477">
                  <c:v>44203</c:v>
                </c:pt>
                <c:pt idx="478">
                  <c:v>44202</c:v>
                </c:pt>
              </c:numCache>
            </c:numRef>
          </c:cat>
          <c:val>
            <c:numRef>
              <c:f>'Paridad usd'!#REF!</c:f>
              <c:numCache>
                <c:formatCode>0.00%</c:formatCode>
                <c:ptCount val="479"/>
                <c:pt idx="0">
                  <c:v>-6.3118666854167588E-2</c:v>
                </c:pt>
                <c:pt idx="1">
                  <c:v>-6.7948914535461036E-2</c:v>
                </c:pt>
                <c:pt idx="2">
                  <c:v>-6.5257423433505601E-2</c:v>
                </c:pt>
                <c:pt idx="3">
                  <c:v>-6.2747242237508633E-2</c:v>
                </c:pt>
                <c:pt idx="4">
                  <c:v>-6.3729884975820078E-2</c:v>
                </c:pt>
                <c:pt idx="5">
                  <c:v>-6.3232606908437156E-2</c:v>
                </c:pt>
                <c:pt idx="6">
                  <c:v>-5.8930004548457572E-2</c:v>
                </c:pt>
                <c:pt idx="7">
                  <c:v>-6.1704125399268638E-2</c:v>
                </c:pt>
                <c:pt idx="8">
                  <c:v>-6.1214298480992552E-2</c:v>
                </c:pt>
                <c:pt idx="9">
                  <c:v>-6.2012391036066733E-2</c:v>
                </c:pt>
                <c:pt idx="10">
                  <c:v>-5.9715360785109688E-2</c:v>
                </c:pt>
                <c:pt idx="11">
                  <c:v>-5.6407532412461353E-2</c:v>
                </c:pt>
                <c:pt idx="12">
                  <c:v>-5.7601967759541052E-2</c:v>
                </c:pt>
                <c:pt idx="13">
                  <c:v>-5.4193026550402507E-2</c:v>
                </c:pt>
                <c:pt idx="14">
                  <c:v>-5.4003703398493669E-2</c:v>
                </c:pt>
                <c:pt idx="15">
                  <c:v>-5.6394731350254551E-2</c:v>
                </c:pt>
                <c:pt idx="16">
                  <c:v>-5.1698950182929471E-2</c:v>
                </c:pt>
                <c:pt idx="17">
                  <c:v>-4.9186273459408257E-2</c:v>
                </c:pt>
                <c:pt idx="18">
                  <c:v>-4.9478781290907187E-2</c:v>
                </c:pt>
                <c:pt idx="19">
                  <c:v>-4.7466191976658252E-2</c:v>
                </c:pt>
                <c:pt idx="20">
                  <c:v>-4.8175040659246909E-2</c:v>
                </c:pt>
                <c:pt idx="21">
                  <c:v>-4.844222346693669E-2</c:v>
                </c:pt>
                <c:pt idx="22">
                  <c:v>-4.8056276855246348E-2</c:v>
                </c:pt>
                <c:pt idx="23">
                  <c:v>-4.7169673293867231E-2</c:v>
                </c:pt>
                <c:pt idx="24">
                  <c:v>-4.5069663827784517E-2</c:v>
                </c:pt>
                <c:pt idx="25">
                  <c:v>-4.9065629504025848E-2</c:v>
                </c:pt>
                <c:pt idx="26">
                  <c:v>-4.9258416300926477E-2</c:v>
                </c:pt>
                <c:pt idx="27">
                  <c:v>-4.7458806474715433E-2</c:v>
                </c:pt>
                <c:pt idx="28">
                  <c:v>-5.5156764002512383E-2</c:v>
                </c:pt>
                <c:pt idx="29">
                  <c:v>-5.3955406536621731E-2</c:v>
                </c:pt>
                <c:pt idx="30">
                  <c:v>-5.0140770029657861E-2</c:v>
                </c:pt>
                <c:pt idx="31">
                  <c:v>-5.1644544451428603E-2</c:v>
                </c:pt>
                <c:pt idx="32">
                  <c:v>-4.9247522011575152E-2</c:v>
                </c:pt>
                <c:pt idx="33">
                  <c:v>-4.9537987882843783E-2</c:v>
                </c:pt>
                <c:pt idx="34">
                  <c:v>-4.9646289285323997E-2</c:v>
                </c:pt>
                <c:pt idx="35">
                  <c:v>-5.5143989454908858E-2</c:v>
                </c:pt>
                <c:pt idx="36">
                  <c:v>-5.0148768313969937E-2</c:v>
                </c:pt>
                <c:pt idx="37">
                  <c:v>-4.4360911968820048E-2</c:v>
                </c:pt>
                <c:pt idx="38">
                  <c:v>-4.7150050649175879E-2</c:v>
                </c:pt>
                <c:pt idx="39">
                  <c:v>-4.5949771298867098E-2</c:v>
                </c:pt>
                <c:pt idx="40">
                  <c:v>-4.224292580667055E-2</c:v>
                </c:pt>
                <c:pt idx="41">
                  <c:v>-4.1244578872089599E-2</c:v>
                </c:pt>
                <c:pt idx="42">
                  <c:v>-4.1444334586885838E-2</c:v>
                </c:pt>
                <c:pt idx="43">
                  <c:v>-4.5342723956979358E-2</c:v>
                </c:pt>
                <c:pt idx="44">
                  <c:v>-4.7642853818825798E-2</c:v>
                </c:pt>
                <c:pt idx="45">
                  <c:v>-4.7125103617762787E-2</c:v>
                </c:pt>
                <c:pt idx="46">
                  <c:v>-4.5433092092701299E-2</c:v>
                </c:pt>
                <c:pt idx="47">
                  <c:v>-4.4831405368238743E-2</c:v>
                </c:pt>
                <c:pt idx="48">
                  <c:v>-4.5728188027350708E-2</c:v>
                </c:pt>
                <c:pt idx="49">
                  <c:v>-4.3997093409003069E-2</c:v>
                </c:pt>
                <c:pt idx="50">
                  <c:v>-4.8013085441911352E-2</c:v>
                </c:pt>
                <c:pt idx="51">
                  <c:v>-4.7211192867223778E-2</c:v>
                </c:pt>
                <c:pt idx="52">
                  <c:v>-5.0147959564992212E-2</c:v>
                </c:pt>
                <c:pt idx="53">
                  <c:v>-4.9804819166301612E-2</c:v>
                </c:pt>
                <c:pt idx="54">
                  <c:v>-5.1599693304916733E-2</c:v>
                </c:pt>
                <c:pt idx="55">
                  <c:v>-4.9100191675243432E-2</c:v>
                </c:pt>
                <c:pt idx="56">
                  <c:v>-4.9288881809867617E-2</c:v>
                </c:pt>
                <c:pt idx="57">
                  <c:v>-4.5083551371014247E-2</c:v>
                </c:pt>
                <c:pt idx="58">
                  <c:v>-4.6789314759844443E-2</c:v>
                </c:pt>
                <c:pt idx="59">
                  <c:v>-4.4081798685549262E-2</c:v>
                </c:pt>
                <c:pt idx="60">
                  <c:v>-4.5580010270315108E-2</c:v>
                </c:pt>
                <c:pt idx="61">
                  <c:v>-4.5628785568870511E-2</c:v>
                </c:pt>
                <c:pt idx="62">
                  <c:v>-4.3779094883512532E-2</c:v>
                </c:pt>
                <c:pt idx="63">
                  <c:v>-4.7968469864769492E-2</c:v>
                </c:pt>
                <c:pt idx="64">
                  <c:v>-4.9867462413659303E-2</c:v>
                </c:pt>
                <c:pt idx="65">
                  <c:v>-4.9564729274150648E-2</c:v>
                </c:pt>
                <c:pt idx="66">
                  <c:v>-4.6864490366613172E-2</c:v>
                </c:pt>
                <c:pt idx="67">
                  <c:v>-5.0464012931168728E-2</c:v>
                </c:pt>
                <c:pt idx="68">
                  <c:v>-4.8456330176461171E-2</c:v>
                </c:pt>
                <c:pt idx="69">
                  <c:v>-4.6953657499045842E-2</c:v>
                </c:pt>
                <c:pt idx="70">
                  <c:v>-4.5552330714581653E-2</c:v>
                </c:pt>
                <c:pt idx="71">
                  <c:v>-4.5451380396309471E-2</c:v>
                </c:pt>
                <c:pt idx="72">
                  <c:v>-4.7050862362570833E-2</c:v>
                </c:pt>
                <c:pt idx="73">
                  <c:v>-5.0043799129706967E-2</c:v>
                </c:pt>
                <c:pt idx="74">
                  <c:v>-5.0938955983828527E-2</c:v>
                </c:pt>
                <c:pt idx="75">
                  <c:v>-5.6431926972970697E-2</c:v>
                </c:pt>
                <c:pt idx="76">
                  <c:v>-5.002816920397582E-2</c:v>
                </c:pt>
                <c:pt idx="77">
                  <c:v>-5.0626019660579891E-2</c:v>
                </c:pt>
                <c:pt idx="78">
                  <c:v>-5.1520808315702993E-2</c:v>
                </c:pt>
                <c:pt idx="79">
                  <c:v>-5.3819446325534509E-2</c:v>
                </c:pt>
                <c:pt idx="80">
                  <c:v>-4.9018549310061721E-2</c:v>
                </c:pt>
                <c:pt idx="81">
                  <c:v>-4.7317044804595497E-2</c:v>
                </c:pt>
                <c:pt idx="82">
                  <c:v>-4.7415004699237567E-2</c:v>
                </c:pt>
                <c:pt idx="83">
                  <c:v>-4.9809898898867278E-2</c:v>
                </c:pt>
                <c:pt idx="84">
                  <c:v>-5.1508327993699733E-2</c:v>
                </c:pt>
                <c:pt idx="85">
                  <c:v>-5.1806715939473669E-2</c:v>
                </c:pt>
                <c:pt idx="86">
                  <c:v>-5.3304975406839213E-2</c:v>
                </c:pt>
                <c:pt idx="87">
                  <c:v>-5.1403440968403047E-2</c:v>
                </c:pt>
                <c:pt idx="88">
                  <c:v>-5.1309836896097312E-2</c:v>
                </c:pt>
                <c:pt idx="89">
                  <c:v>-5.0517228450771813E-2</c:v>
                </c:pt>
                <c:pt idx="90">
                  <c:v>-6.1316580518317808E-2</c:v>
                </c:pt>
                <c:pt idx="91">
                  <c:v>-5.9129103079147122E-2</c:v>
                </c:pt>
                <c:pt idx="92">
                  <c:v>-6.1846191057001898E-2</c:v>
                </c:pt>
                <c:pt idx="93">
                  <c:v>-5.9543612201527707E-2</c:v>
                </c:pt>
                <c:pt idx="94">
                  <c:v>-4.7354366603462567E-2</c:v>
                </c:pt>
                <c:pt idx="95">
                  <c:v>-5.8129820682811667E-2</c:v>
                </c:pt>
                <c:pt idx="96">
                  <c:v>-6.5712583415038023E-2</c:v>
                </c:pt>
                <c:pt idx="97">
                  <c:v>-6.4319071546194484E-2</c:v>
                </c:pt>
                <c:pt idx="98">
                  <c:v>-5.8935249792132383E-2</c:v>
                </c:pt>
                <c:pt idx="99">
                  <c:v>-5.8043138496965629E-2</c:v>
                </c:pt>
                <c:pt idx="100">
                  <c:v>-5.6349515875525308E-2</c:v>
                </c:pt>
                <c:pt idx="101">
                  <c:v>-6.0534287711097007E-2</c:v>
                </c:pt>
                <c:pt idx="102">
                  <c:v>-5.3552348370463299E-2</c:v>
                </c:pt>
                <c:pt idx="103">
                  <c:v>-4.9640253310278021E-2</c:v>
                </c:pt>
                <c:pt idx="104">
                  <c:v>-5.5140948723416523E-2</c:v>
                </c:pt>
                <c:pt idx="105">
                  <c:v>-6.0240408479316422E-2</c:v>
                </c:pt>
                <c:pt idx="106">
                  <c:v>-6.0250611202753712E-2</c:v>
                </c:pt>
                <c:pt idx="107">
                  <c:v>-6.2661714608663988E-2</c:v>
                </c:pt>
                <c:pt idx="108">
                  <c:v>-6.0363947145959829E-2</c:v>
                </c:pt>
                <c:pt idx="109">
                  <c:v>-6.3154753815238829E-2</c:v>
                </c:pt>
                <c:pt idx="110">
                  <c:v>-6.2356102375820399E-2</c:v>
                </c:pt>
                <c:pt idx="111">
                  <c:v>-5.8355593848074698E-2</c:v>
                </c:pt>
                <c:pt idx="112">
                  <c:v>-5.9452724464546143E-2</c:v>
                </c:pt>
                <c:pt idx="113">
                  <c:v>-5.9153426453289137E-2</c:v>
                </c:pt>
                <c:pt idx="114">
                  <c:v>-5.8641211185464497E-2</c:v>
                </c:pt>
                <c:pt idx="115">
                  <c:v>-5.4942867156369528E-2</c:v>
                </c:pt>
                <c:pt idx="116">
                  <c:v>-5.3533677748061892E-2</c:v>
                </c:pt>
                <c:pt idx="117">
                  <c:v>-5.4134645451738683E-2</c:v>
                </c:pt>
                <c:pt idx="118">
                  <c:v>-5.6023230527194712E-2</c:v>
                </c:pt>
                <c:pt idx="119">
                  <c:v>-5.4826900075848728E-2</c:v>
                </c:pt>
                <c:pt idx="120">
                  <c:v>-5.3222058689614049E-2</c:v>
                </c:pt>
                <c:pt idx="121">
                  <c:v>-5.3220850346364201E-2</c:v>
                </c:pt>
                <c:pt idx="122">
                  <c:v>-5.581332869944261E-2</c:v>
                </c:pt>
                <c:pt idx="123">
                  <c:v>-5.661639754095138E-2</c:v>
                </c:pt>
                <c:pt idx="124">
                  <c:v>-5.4020670468211178E-2</c:v>
                </c:pt>
                <c:pt idx="125">
                  <c:v>-5.440123775174377E-2</c:v>
                </c:pt>
                <c:pt idx="126">
                  <c:v>-5.50125534798655E-2</c:v>
                </c:pt>
                <c:pt idx="127">
                  <c:v>-5.3805476734513247E-2</c:v>
                </c:pt>
                <c:pt idx="128">
                  <c:v>-5.1512705259165237E-2</c:v>
                </c:pt>
                <c:pt idx="129">
                  <c:v>-4.701839009465042E-2</c:v>
                </c:pt>
                <c:pt idx="130">
                  <c:v>-4.8814223296068882E-2</c:v>
                </c:pt>
                <c:pt idx="131">
                  <c:v>-5.1901351226323673E-2</c:v>
                </c:pt>
                <c:pt idx="132">
                  <c:v>-5.1696600345621117E-2</c:v>
                </c:pt>
                <c:pt idx="133">
                  <c:v>-4.8499239113923509E-2</c:v>
                </c:pt>
                <c:pt idx="134">
                  <c:v>-4.6800671778731928E-2</c:v>
                </c:pt>
                <c:pt idx="135">
                  <c:v>-4.7896941521710701E-2</c:v>
                </c:pt>
                <c:pt idx="136">
                  <c:v>-4.63962378518194E-2</c:v>
                </c:pt>
                <c:pt idx="137">
                  <c:v>-4.5783432802933573E-2</c:v>
                </c:pt>
                <c:pt idx="138">
                  <c:v>-4.9886054118533363E-2</c:v>
                </c:pt>
                <c:pt idx="139">
                  <c:v>-4.829105913341869E-2</c:v>
                </c:pt>
                <c:pt idx="140">
                  <c:v>-4.1192869597063697E-2</c:v>
                </c:pt>
                <c:pt idx="141">
                  <c:v>-3.9593026835430867E-2</c:v>
                </c:pt>
                <c:pt idx="142">
                  <c:v>-3.7776228083304109E-2</c:v>
                </c:pt>
                <c:pt idx="143">
                  <c:v>-4.1468968207407308E-2</c:v>
                </c:pt>
                <c:pt idx="144">
                  <c:v>-4.2366929794698797E-2</c:v>
                </c:pt>
                <c:pt idx="145">
                  <c:v>-4.0659122529729419E-2</c:v>
                </c:pt>
                <c:pt idx="146">
                  <c:v>-3.4863560051966669E-2</c:v>
                </c:pt>
                <c:pt idx="147">
                  <c:v>-3.4562176266257898E-2</c:v>
                </c:pt>
                <c:pt idx="148">
                  <c:v>-3.8859401097551927E-2</c:v>
                </c:pt>
                <c:pt idx="149">
                  <c:v>-3.9759266700596367E-2</c:v>
                </c:pt>
                <c:pt idx="150">
                  <c:v>-3.8247606022463958E-2</c:v>
                </c:pt>
                <c:pt idx="151">
                  <c:v>-4.2141930242033721E-2</c:v>
                </c:pt>
                <c:pt idx="152">
                  <c:v>-4.2937251147873723E-2</c:v>
                </c:pt>
                <c:pt idx="153">
                  <c:v>-4.2031858296359297E-2</c:v>
                </c:pt>
                <c:pt idx="154">
                  <c:v>-4.8422576573559528E-2</c:v>
                </c:pt>
                <c:pt idx="155">
                  <c:v>-4.0711618171781483E-2</c:v>
                </c:pt>
                <c:pt idx="156">
                  <c:v>-4.6699239276094977E-2</c:v>
                </c:pt>
                <c:pt idx="157">
                  <c:v>-4.6699838157312101E-2</c:v>
                </c:pt>
                <c:pt idx="158">
                  <c:v>-4.6699980418130123E-2</c:v>
                </c:pt>
                <c:pt idx="159">
                  <c:v>-4.6990563807559123E-2</c:v>
                </c:pt>
                <c:pt idx="160">
                  <c:v>-4.4092761689832498E-2</c:v>
                </c:pt>
                <c:pt idx="161">
                  <c:v>-3.9990950000652281E-2</c:v>
                </c:pt>
                <c:pt idx="162">
                  <c:v>-4.168654780576303E-2</c:v>
                </c:pt>
                <c:pt idx="163">
                  <c:v>-4.2985169636425118E-2</c:v>
                </c:pt>
                <c:pt idx="164">
                  <c:v>-5.0074390268993019E-2</c:v>
                </c:pt>
                <c:pt idx="165">
                  <c:v>-5.1970836254035813E-2</c:v>
                </c:pt>
                <c:pt idx="166">
                  <c:v>-4.5166519599163901E-2</c:v>
                </c:pt>
                <c:pt idx="167">
                  <c:v>-3.9859573585081631E-2</c:v>
                </c:pt>
                <c:pt idx="168">
                  <c:v>-4.9054269007130218E-2</c:v>
                </c:pt>
                <c:pt idx="169">
                  <c:v>-5.594831821648788E-2</c:v>
                </c:pt>
                <c:pt idx="170">
                  <c:v>-5.4950651927288707E-2</c:v>
                </c:pt>
                <c:pt idx="171">
                  <c:v>-4.9248186463399679E-2</c:v>
                </c:pt>
                <c:pt idx="172">
                  <c:v>-5.553607206345329E-2</c:v>
                </c:pt>
                <c:pt idx="173">
                  <c:v>-5.2133525951620019E-2</c:v>
                </c:pt>
                <c:pt idx="174">
                  <c:v>-5.6031872514983982E-2</c:v>
                </c:pt>
                <c:pt idx="175">
                  <c:v>-5.8029772298332172E-2</c:v>
                </c:pt>
                <c:pt idx="176">
                  <c:v>-5.1228841785796668E-2</c:v>
                </c:pt>
                <c:pt idx="177">
                  <c:v>-5.1119503352404339E-2</c:v>
                </c:pt>
                <c:pt idx="178">
                  <c:v>-4.7214596130169213E-2</c:v>
                </c:pt>
                <c:pt idx="179">
                  <c:v>-4.5313038446459009E-2</c:v>
                </c:pt>
                <c:pt idx="180">
                  <c:v>-4.3009331394245898E-2</c:v>
                </c:pt>
                <c:pt idx="181">
                  <c:v>-4.1605220279844153E-2</c:v>
                </c:pt>
                <c:pt idx="182">
                  <c:v>-4.3096287567291947E-2</c:v>
                </c:pt>
                <c:pt idx="183">
                  <c:v>-4.3094390044831177E-2</c:v>
                </c:pt>
                <c:pt idx="184">
                  <c:v>-4.2992853225259198E-2</c:v>
                </c:pt>
                <c:pt idx="185">
                  <c:v>-3.4091389969862052E-2</c:v>
                </c:pt>
                <c:pt idx="186">
                  <c:v>-3.3088146703884817E-2</c:v>
                </c:pt>
                <c:pt idx="187">
                  <c:v>-3.7576762578403089E-2</c:v>
                </c:pt>
                <c:pt idx="188">
                  <c:v>-3.8076464438178408E-2</c:v>
                </c:pt>
                <c:pt idx="189">
                  <c:v>-3.6575502229920058E-2</c:v>
                </c:pt>
                <c:pt idx="190">
                  <c:v>-3.7072081992894523E-2</c:v>
                </c:pt>
                <c:pt idx="191">
                  <c:v>-4.9867691175825402E-2</c:v>
                </c:pt>
                <c:pt idx="192">
                  <c:v>-5.1656629331372772E-2</c:v>
                </c:pt>
                <c:pt idx="193">
                  <c:v>-4.0350519432058703E-2</c:v>
                </c:pt>
                <c:pt idx="194">
                  <c:v>-3.7349023236861789E-2</c:v>
                </c:pt>
                <c:pt idx="195">
                  <c:v>-3.7244420259481832E-2</c:v>
                </c:pt>
                <c:pt idx="196">
                  <c:v>-3.9440823002433678E-2</c:v>
                </c:pt>
                <c:pt idx="197">
                  <c:v>-3.999878623587011E-2</c:v>
                </c:pt>
                <c:pt idx="198">
                  <c:v>-3.9698129248896652E-2</c:v>
                </c:pt>
                <c:pt idx="199">
                  <c:v>-3.5668394945845061E-2</c:v>
                </c:pt>
                <c:pt idx="200">
                  <c:v>-3.7675271833778778E-2</c:v>
                </c:pt>
                <c:pt idx="201">
                  <c:v>-3.7368686521649208E-2</c:v>
                </c:pt>
                <c:pt idx="202">
                  <c:v>-3.9959824457707398E-2</c:v>
                </c:pt>
                <c:pt idx="203">
                  <c:v>-4.0311693689351891E-2</c:v>
                </c:pt>
                <c:pt idx="204">
                  <c:v>-3.7808894732594689E-2</c:v>
                </c:pt>
                <c:pt idx="205">
                  <c:v>-3.7005972391261521E-2</c:v>
                </c:pt>
                <c:pt idx="206">
                  <c:v>-3.7003017069889621E-2</c:v>
                </c:pt>
                <c:pt idx="207">
                  <c:v>-4.8333541594653473E-2</c:v>
                </c:pt>
                <c:pt idx="208">
                  <c:v>-5.1341552581539551E-2</c:v>
                </c:pt>
                <c:pt idx="209">
                  <c:v>-4.6565310114909109E-2</c:v>
                </c:pt>
                <c:pt idx="210">
                  <c:v>-4.4073794893141123E-2</c:v>
                </c:pt>
                <c:pt idx="211">
                  <c:v>-4.4574852857020231E-2</c:v>
                </c:pt>
                <c:pt idx="212">
                  <c:v>-4.8554245442092192E-2</c:v>
                </c:pt>
                <c:pt idx="213">
                  <c:v>-4.7460759195325108E-2</c:v>
                </c:pt>
                <c:pt idx="214">
                  <c:v>-4.0266875918304967E-2</c:v>
                </c:pt>
                <c:pt idx="215">
                  <c:v>-4.3551148367213847E-2</c:v>
                </c:pt>
                <c:pt idx="216">
                  <c:v>-4.0524611190373927E-2</c:v>
                </c:pt>
                <c:pt idx="217">
                  <c:v>-3.9525448485316923E-2</c:v>
                </c:pt>
                <c:pt idx="218">
                  <c:v>-3.9015813025662427E-2</c:v>
                </c:pt>
                <c:pt idx="219">
                  <c:v>-3.9612359146531988E-2</c:v>
                </c:pt>
                <c:pt idx="220">
                  <c:v>-4.3705372794181907E-2</c:v>
                </c:pt>
                <c:pt idx="221">
                  <c:v>-4.4318963312866833E-2</c:v>
                </c:pt>
                <c:pt idx="222">
                  <c:v>-4.2416600046080943E-2</c:v>
                </c:pt>
                <c:pt idx="223">
                  <c:v>-4.1011526948261101E-2</c:v>
                </c:pt>
                <c:pt idx="224">
                  <c:v>-4.051017579942251E-2</c:v>
                </c:pt>
                <c:pt idx="225">
                  <c:v>-4.3905131455563177E-2</c:v>
                </c:pt>
                <c:pt idx="226">
                  <c:v>-4.4511580026358188E-2</c:v>
                </c:pt>
                <c:pt idx="227">
                  <c:v>-3.7511623314809561E-2</c:v>
                </c:pt>
                <c:pt idx="228">
                  <c:v>-3.2692416476755908E-2</c:v>
                </c:pt>
                <c:pt idx="229">
                  <c:v>-4.6963948957342898E-2</c:v>
                </c:pt>
                <c:pt idx="230">
                  <c:v>-4.6543644345492019E-2</c:v>
                </c:pt>
                <c:pt idx="231">
                  <c:v>-3.4452711852923368E-2</c:v>
                </c:pt>
                <c:pt idx="232">
                  <c:v>-4.20124981762382E-2</c:v>
                </c:pt>
                <c:pt idx="233">
                  <c:v>-3.3824939701917238E-2</c:v>
                </c:pt>
                <c:pt idx="234">
                  <c:v>-3.9401022962402499E-2</c:v>
                </c:pt>
                <c:pt idx="235">
                  <c:v>-3.6408853460509587E-2</c:v>
                </c:pt>
                <c:pt idx="236">
                  <c:v>-3.3910636350762469E-2</c:v>
                </c:pt>
                <c:pt idx="237">
                  <c:v>-3.4208510188988239E-2</c:v>
                </c:pt>
                <c:pt idx="238">
                  <c:v>-3.8910558390601542E-2</c:v>
                </c:pt>
                <c:pt idx="239">
                  <c:v>-4.0804049274544778E-2</c:v>
                </c:pt>
                <c:pt idx="240">
                  <c:v>-3.3722442372261907E-2</c:v>
                </c:pt>
                <c:pt idx="241">
                  <c:v>-3.2923312414241117E-2</c:v>
                </c:pt>
                <c:pt idx="242">
                  <c:v>-2.50544967062632E-2</c:v>
                </c:pt>
                <c:pt idx="243">
                  <c:v>-2.3352821382774221E-2</c:v>
                </c:pt>
                <c:pt idx="244">
                  <c:v>-2.6948720143071762E-2</c:v>
                </c:pt>
                <c:pt idx="245">
                  <c:v>-2.774441718334231E-2</c:v>
                </c:pt>
                <c:pt idx="246">
                  <c:v>-2.8341092652138859E-2</c:v>
                </c:pt>
                <c:pt idx="247">
                  <c:v>-2.6039475379517559E-2</c:v>
                </c:pt>
                <c:pt idx="248">
                  <c:v>-2.7226494022225711E-2</c:v>
                </c:pt>
                <c:pt idx="249">
                  <c:v>-2.7421021804305671E-2</c:v>
                </c:pt>
                <c:pt idx="250">
                  <c:v>-2.3617543521456289E-2</c:v>
                </c:pt>
                <c:pt idx="251">
                  <c:v>-2.401513149675449E-2</c:v>
                </c:pt>
                <c:pt idx="252">
                  <c:v>-2.2811678603217259E-2</c:v>
                </c:pt>
                <c:pt idx="253">
                  <c:v>-2.0402339671012289E-2</c:v>
                </c:pt>
                <c:pt idx="254">
                  <c:v>-1.6201716140421481E-2</c:v>
                </c:pt>
                <c:pt idx="255">
                  <c:v>-1.4699232827044269E-2</c:v>
                </c:pt>
                <c:pt idx="256">
                  <c:v>-1.409594594280034E-2</c:v>
                </c:pt>
                <c:pt idx="257">
                  <c:v>-1.16930967787906E-2</c:v>
                </c:pt>
                <c:pt idx="258">
                  <c:v>-9.6823777034293901E-3</c:v>
                </c:pt>
                <c:pt idx="259">
                  <c:v>-9.3791693229220985E-3</c:v>
                </c:pt>
                <c:pt idx="260">
                  <c:v>-9.4753890328816981E-3</c:v>
                </c:pt>
                <c:pt idx="261">
                  <c:v>-1.2170598835730569E-2</c:v>
                </c:pt>
                <c:pt idx="262">
                  <c:v>-1.486634902849682E-2</c:v>
                </c:pt>
                <c:pt idx="263">
                  <c:v>-1.0658101124150171E-2</c:v>
                </c:pt>
                <c:pt idx="264">
                  <c:v>-9.6557801441528035E-3</c:v>
                </c:pt>
                <c:pt idx="265">
                  <c:v>-1.42510004132248E-2</c:v>
                </c:pt>
                <c:pt idx="266">
                  <c:v>-2.2645202839115971E-2</c:v>
                </c:pt>
                <c:pt idx="267">
                  <c:v>-8.933315126582797E-3</c:v>
                </c:pt>
                <c:pt idx="268">
                  <c:v>-1.002919082823822E-2</c:v>
                </c:pt>
                <c:pt idx="269">
                  <c:v>-1.3427271835609321E-2</c:v>
                </c:pt>
                <c:pt idx="270">
                  <c:v>-9.6262967903913421E-3</c:v>
                </c:pt>
                <c:pt idx="271">
                  <c:v>-1.0515750576477301E-2</c:v>
                </c:pt>
                <c:pt idx="272">
                  <c:v>-9.1135869909275136E-3</c:v>
                </c:pt>
                <c:pt idx="273">
                  <c:v>-1.0010486912000851E-2</c:v>
                </c:pt>
                <c:pt idx="274">
                  <c:v>-8.1063185356978762E-3</c:v>
                </c:pt>
                <c:pt idx="275">
                  <c:v>-6.3036916803952958E-3</c:v>
                </c:pt>
                <c:pt idx="276">
                  <c:v>-1.9519053353223009E-4</c:v>
                </c:pt>
                <c:pt idx="277">
                  <c:v>-3.892582570648007E-3</c:v>
                </c:pt>
                <c:pt idx="278">
                  <c:v>-6.9883265036886364E-3</c:v>
                </c:pt>
                <c:pt idx="279">
                  <c:v>-1.0084233141377019E-2</c:v>
                </c:pt>
                <c:pt idx="280">
                  <c:v>-7.6818957098886984E-3</c:v>
                </c:pt>
                <c:pt idx="281">
                  <c:v>-1.1271042392511031E-2</c:v>
                </c:pt>
                <c:pt idx="282">
                  <c:v>-1.3467221678766021E-2</c:v>
                </c:pt>
                <c:pt idx="283">
                  <c:v>-1.3163283731973559E-2</c:v>
                </c:pt>
                <c:pt idx="284">
                  <c:v>-1.156053975441179E-2</c:v>
                </c:pt>
                <c:pt idx="285">
                  <c:v>-1.245753585551757E-2</c:v>
                </c:pt>
                <c:pt idx="286">
                  <c:v>-9.4416403080898603E-3</c:v>
                </c:pt>
                <c:pt idx="287">
                  <c:v>-1.1837681148975101E-2</c:v>
                </c:pt>
                <c:pt idx="288">
                  <c:v>-1.383374692481454E-2</c:v>
                </c:pt>
                <c:pt idx="289">
                  <c:v>-1.8729281821293801E-2</c:v>
                </c:pt>
                <c:pt idx="290">
                  <c:v>-1.8624939570882348E-2</c:v>
                </c:pt>
                <c:pt idx="291">
                  <c:v>-1.6513111025779629E-2</c:v>
                </c:pt>
                <c:pt idx="292">
                  <c:v>-1.9607822042542411E-2</c:v>
                </c:pt>
                <c:pt idx="293">
                  <c:v>-1.8401054042378961E-2</c:v>
                </c:pt>
                <c:pt idx="294">
                  <c:v>-2.159365257245344E-2</c:v>
                </c:pt>
                <c:pt idx="295">
                  <c:v>-2.4087955614027708E-2</c:v>
                </c:pt>
                <c:pt idx="296">
                  <c:v>-2.1875578985109109E-2</c:v>
                </c:pt>
                <c:pt idx="297">
                  <c:v>-2.09711118878908E-2</c:v>
                </c:pt>
                <c:pt idx="298">
                  <c:v>-2.3166954673333521E-2</c:v>
                </c:pt>
                <c:pt idx="299">
                  <c:v>-2.3763405232819331E-2</c:v>
                </c:pt>
                <c:pt idx="300">
                  <c:v>-2.1559594154992701E-2</c:v>
                </c:pt>
                <c:pt idx="301">
                  <c:v>-1.944930745018808E-2</c:v>
                </c:pt>
                <c:pt idx="302">
                  <c:v>-2.0045628714092319E-2</c:v>
                </c:pt>
                <c:pt idx="303">
                  <c:v>-2.5540709925406021E-2</c:v>
                </c:pt>
                <c:pt idx="304">
                  <c:v>-2.4937915366119109E-2</c:v>
                </c:pt>
                <c:pt idx="305">
                  <c:v>-2.64230600037626E-2</c:v>
                </c:pt>
                <c:pt idx="306">
                  <c:v>-2.7321396335519891E-2</c:v>
                </c:pt>
                <c:pt idx="307">
                  <c:v>-2.2917816843620601E-2</c:v>
                </c:pt>
                <c:pt idx="308">
                  <c:v>-2.4013536634558411E-2</c:v>
                </c:pt>
                <c:pt idx="309">
                  <c:v>-2.3109290259555489E-2</c:v>
                </c:pt>
                <c:pt idx="310">
                  <c:v>-2.439471428068191E-2</c:v>
                </c:pt>
                <c:pt idx="311">
                  <c:v>-2.5191724118432849E-2</c:v>
                </c:pt>
                <c:pt idx="312">
                  <c:v>-2.7488565732657899E-2</c:v>
                </c:pt>
                <c:pt idx="313">
                  <c:v>-2.6485550427968411E-2</c:v>
                </c:pt>
                <c:pt idx="314">
                  <c:v>-2.5282530567715459E-2</c:v>
                </c:pt>
                <c:pt idx="315">
                  <c:v>-2.6175486013150621E-2</c:v>
                </c:pt>
                <c:pt idx="316">
                  <c:v>-2.5472022801873662E-2</c:v>
                </c:pt>
                <c:pt idx="317">
                  <c:v>-2.4468683062008389E-2</c:v>
                </c:pt>
                <c:pt idx="318">
                  <c:v>-2.2865371284588099E-2</c:v>
                </c:pt>
                <c:pt idx="319">
                  <c:v>-2.2361944336310391E-2</c:v>
                </c:pt>
                <c:pt idx="320">
                  <c:v>-2.31510635732563E-2</c:v>
                </c:pt>
                <c:pt idx="321">
                  <c:v>-2.25474704185748E-2</c:v>
                </c:pt>
                <c:pt idx="322">
                  <c:v>-1.8344016858914399E-2</c:v>
                </c:pt>
                <c:pt idx="323">
                  <c:v>-2.0140134791792889E-2</c:v>
                </c:pt>
                <c:pt idx="324">
                  <c:v>-1.8136195771805811E-2</c:v>
                </c:pt>
                <c:pt idx="325">
                  <c:v>-1.632518735439931E-2</c:v>
                </c:pt>
                <c:pt idx="326">
                  <c:v>-1.7121400512127401E-2</c:v>
                </c:pt>
                <c:pt idx="327">
                  <c:v>-1.7317727913943148E-2</c:v>
                </c:pt>
                <c:pt idx="328">
                  <c:v>-1.7514040121092141E-2</c:v>
                </c:pt>
                <c:pt idx="329">
                  <c:v>-1.6710396719140541E-2</c:v>
                </c:pt>
                <c:pt idx="330">
                  <c:v>-1.9050248796802841E-2</c:v>
                </c:pt>
                <c:pt idx="331">
                  <c:v>-2.044224512898574E-2</c:v>
                </c:pt>
                <c:pt idx="332">
                  <c:v>-1.7342448803288061E-2</c:v>
                </c:pt>
                <c:pt idx="333">
                  <c:v>-1.9637601645979112E-2</c:v>
                </c:pt>
                <c:pt idx="334">
                  <c:v>-1.7737504019537002E-2</c:v>
                </c:pt>
                <c:pt idx="335">
                  <c:v>-1.5528345198982999E-2</c:v>
                </c:pt>
                <c:pt idx="336">
                  <c:v>-1.1832767463037521E-2</c:v>
                </c:pt>
                <c:pt idx="337">
                  <c:v>-1.3034868584715699E-2</c:v>
                </c:pt>
                <c:pt idx="338">
                  <c:v>-1.255334205449204E-2</c:v>
                </c:pt>
                <c:pt idx="339">
                  <c:v>-1.31464557086402E-2</c:v>
                </c:pt>
                <c:pt idx="340">
                  <c:v>-1.2174404929238819E-2</c:v>
                </c:pt>
                <c:pt idx="341">
                  <c:v>-9.1900280045772997E-3</c:v>
                </c:pt>
                <c:pt idx="342">
                  <c:v>-7.7910372195439948E-3</c:v>
                </c:pt>
                <c:pt idx="343">
                  <c:v>-7.0961130064299827E-3</c:v>
                </c:pt>
                <c:pt idx="344">
                  <c:v>-5.6005890011701087E-3</c:v>
                </c:pt>
                <c:pt idx="345">
                  <c:v>-6.9081268603509724E-3</c:v>
                </c:pt>
                <c:pt idx="346">
                  <c:v>-3.011024865103296E-3</c:v>
                </c:pt>
                <c:pt idx="347">
                  <c:v>-5.1121046669787007E-3</c:v>
                </c:pt>
                <c:pt idx="348">
                  <c:v>-4.7008407315557443E-3</c:v>
                </c:pt>
                <c:pt idx="349">
                  <c:v>-4.6874744116767184E-3</c:v>
                </c:pt>
                <c:pt idx="350">
                  <c:v>-6.0731202373390247E-3</c:v>
                </c:pt>
                <c:pt idx="351">
                  <c:v>-6.351046976884045E-3</c:v>
                </c:pt>
                <c:pt idx="352">
                  <c:v>-9.0299479877640754E-3</c:v>
                </c:pt>
                <c:pt idx="353">
                  <c:v>-1.25972201100899E-2</c:v>
                </c:pt>
                <c:pt idx="354">
                  <c:v>-1.010155847963257E-2</c:v>
                </c:pt>
                <c:pt idx="355">
                  <c:v>-1.400125681483483E-2</c:v>
                </c:pt>
                <c:pt idx="356">
                  <c:v>-1.297906615074701E-2</c:v>
                </c:pt>
                <c:pt idx="357">
                  <c:v>-1.0469487369451641E-2</c:v>
                </c:pt>
                <c:pt idx="358">
                  <c:v>-1.0659991517476489E-2</c:v>
                </c:pt>
                <c:pt idx="359">
                  <c:v>-1.0864708234416929E-2</c:v>
                </c:pt>
                <c:pt idx="360">
                  <c:v>-1.29534873511038E-2</c:v>
                </c:pt>
                <c:pt idx="361">
                  <c:v>-7.6123478850618764E-3</c:v>
                </c:pt>
                <c:pt idx="362">
                  <c:v>-5.6207527958708203E-3</c:v>
                </c:pt>
                <c:pt idx="363">
                  <c:v>-1.72836601978793E-3</c:v>
                </c:pt>
                <c:pt idx="364">
                  <c:v>1.056105005304786E-3</c:v>
                </c:pt>
                <c:pt idx="365">
                  <c:v>4.0571093959977933E-3</c:v>
                </c:pt>
                <c:pt idx="366">
                  <c:v>4.9831356633828214E-3</c:v>
                </c:pt>
                <c:pt idx="367">
                  <c:v>6.0083805828786141E-3</c:v>
                </c:pt>
                <c:pt idx="368">
                  <c:v>6.2145529354489248E-3</c:v>
                </c:pt>
                <c:pt idx="369">
                  <c:v>5.8258415786230922E-3</c:v>
                </c:pt>
                <c:pt idx="370">
                  <c:v>7.7128504570576073E-3</c:v>
                </c:pt>
                <c:pt idx="371">
                  <c:v>7.6260631459275641E-3</c:v>
                </c:pt>
                <c:pt idx="372">
                  <c:v>1.1614390655216911E-2</c:v>
                </c:pt>
                <c:pt idx="373">
                  <c:v>1.081187862502081E-2</c:v>
                </c:pt>
                <c:pt idx="374">
                  <c:v>1.381098675495851E-2</c:v>
                </c:pt>
                <c:pt idx="375">
                  <c:v>1.4412624667108079E-2</c:v>
                </c:pt>
                <c:pt idx="376">
                  <c:v>1.012755801139331E-2</c:v>
                </c:pt>
                <c:pt idx="377">
                  <c:v>1.2427585653471461E-2</c:v>
                </c:pt>
                <c:pt idx="378">
                  <c:v>9.6305792393950318E-3</c:v>
                </c:pt>
                <c:pt idx="379">
                  <c:v>1.2634209726808791E-2</c:v>
                </c:pt>
                <c:pt idx="380">
                  <c:v>1.034888227105568E-2</c:v>
                </c:pt>
                <c:pt idx="381">
                  <c:v>2.6812962187178209E-3</c:v>
                </c:pt>
                <c:pt idx="382">
                  <c:v>8.8266390093660885E-4</c:v>
                </c:pt>
                <c:pt idx="383">
                  <c:v>4.6836420200441209E-3</c:v>
                </c:pt>
                <c:pt idx="384">
                  <c:v>5.2888083487128701E-3</c:v>
                </c:pt>
                <c:pt idx="385">
                  <c:v>7.8877061990126895E-3</c:v>
                </c:pt>
                <c:pt idx="386">
                  <c:v>5.204326949415361E-3</c:v>
                </c:pt>
                <c:pt idx="387">
                  <c:v>6.7055278456711886E-3</c:v>
                </c:pt>
                <c:pt idx="388">
                  <c:v>8.4004060659257918E-3</c:v>
                </c:pt>
                <c:pt idx="389">
                  <c:v>8.997798374450916E-3</c:v>
                </c:pt>
                <c:pt idx="390">
                  <c:v>8.7054727669905185E-3</c:v>
                </c:pt>
                <c:pt idx="391">
                  <c:v>1.0025730951039039E-2</c:v>
                </c:pt>
                <c:pt idx="392">
                  <c:v>1.002456744982522E-2</c:v>
                </c:pt>
                <c:pt idx="393">
                  <c:v>2.07161674495005E-2</c:v>
                </c:pt>
                <c:pt idx="394">
                  <c:v>8.5274578610042284E-3</c:v>
                </c:pt>
                <c:pt idx="395">
                  <c:v>8.7260324985375948E-3</c:v>
                </c:pt>
                <c:pt idx="396">
                  <c:v>7.6691532741540724E-4</c:v>
                </c:pt>
                <c:pt idx="397">
                  <c:v>2.1642573835882199E-3</c:v>
                </c:pt>
                <c:pt idx="398">
                  <c:v>2.8591752166540201E-3</c:v>
                </c:pt>
                <c:pt idx="399">
                  <c:v>5.0546372839228026E-3</c:v>
                </c:pt>
                <c:pt idx="400">
                  <c:v>4.5584007963172524E-3</c:v>
                </c:pt>
                <c:pt idx="401">
                  <c:v>6.0507525950579946E-3</c:v>
                </c:pt>
                <c:pt idx="402">
                  <c:v>1.034305344877218E-2</c:v>
                </c:pt>
                <c:pt idx="403">
                  <c:v>1.396180791813839E-2</c:v>
                </c:pt>
                <c:pt idx="404">
                  <c:v>1.8264641841616299E-2</c:v>
                </c:pt>
                <c:pt idx="405">
                  <c:v>1.676976986472134E-2</c:v>
                </c:pt>
                <c:pt idx="406">
                  <c:v>1.0785474466933341E-2</c:v>
                </c:pt>
                <c:pt idx="407">
                  <c:v>1.239680516326841E-2</c:v>
                </c:pt>
                <c:pt idx="408">
                  <c:v>1.5716635817011989E-2</c:v>
                </c:pt>
                <c:pt idx="409">
                  <c:v>1.39384949893423E-2</c:v>
                </c:pt>
                <c:pt idx="410">
                  <c:v>1.3442288901675479E-2</c:v>
                </c:pt>
                <c:pt idx="411">
                  <c:v>2.4707104655219081E-2</c:v>
                </c:pt>
                <c:pt idx="412">
                  <c:v>2.5799350167799939E-2</c:v>
                </c:pt>
                <c:pt idx="413">
                  <c:v>2.1812132609419669E-2</c:v>
                </c:pt>
                <c:pt idx="414">
                  <c:v>2.510198482282755E-2</c:v>
                </c:pt>
                <c:pt idx="415">
                  <c:v>2.6008209343095001E-2</c:v>
                </c:pt>
                <c:pt idx="416">
                  <c:v>1.7715842848259718E-2</c:v>
                </c:pt>
                <c:pt idx="417">
                  <c:v>1.661125512916822E-2</c:v>
                </c:pt>
                <c:pt idx="418">
                  <c:v>1.8621488325863189E-2</c:v>
                </c:pt>
                <c:pt idx="419">
                  <c:v>1.8031260409783919E-2</c:v>
                </c:pt>
                <c:pt idx="420">
                  <c:v>1.7142578944381981E-2</c:v>
                </c:pt>
                <c:pt idx="421">
                  <c:v>1.5852980589132201E-2</c:v>
                </c:pt>
                <c:pt idx="422">
                  <c:v>1.8844279016283109E-2</c:v>
                </c:pt>
                <c:pt idx="423">
                  <c:v>1.326166211314711E-2</c:v>
                </c:pt>
                <c:pt idx="424">
                  <c:v>1.9052356181020299E-2</c:v>
                </c:pt>
                <c:pt idx="425">
                  <c:v>1.3869666157523219E-2</c:v>
                </c:pt>
                <c:pt idx="426">
                  <c:v>1.0884871124615451E-2</c:v>
                </c:pt>
                <c:pt idx="427">
                  <c:v>1.447734365389081E-2</c:v>
                </c:pt>
                <c:pt idx="428">
                  <c:v>1.8871493994530641E-2</c:v>
                </c:pt>
                <c:pt idx="429">
                  <c:v>1.6575499273299769E-2</c:v>
                </c:pt>
                <c:pt idx="430">
                  <c:v>1.5877655019139011E-2</c:v>
                </c:pt>
                <c:pt idx="431">
                  <c:v>1.5590006157393871E-2</c:v>
                </c:pt>
                <c:pt idx="432">
                  <c:v>1.299496788739285E-2</c:v>
                </c:pt>
                <c:pt idx="433">
                  <c:v>1.16973371582047E-2</c:v>
                </c:pt>
                <c:pt idx="434">
                  <c:v>1.25977902421775E-2</c:v>
                </c:pt>
                <c:pt idx="435">
                  <c:v>1.2799742959997969E-2</c:v>
                </c:pt>
                <c:pt idx="436">
                  <c:v>1.3810286768246031E-2</c:v>
                </c:pt>
                <c:pt idx="437">
                  <c:v>1.4611857674530489E-2</c:v>
                </c:pt>
                <c:pt idx="438">
                  <c:v>1.701220374794488E-2</c:v>
                </c:pt>
                <c:pt idx="439">
                  <c:v>2.1411749215212609E-2</c:v>
                </c:pt>
                <c:pt idx="440">
                  <c:v>2.0316165850767561E-2</c:v>
                </c:pt>
                <c:pt idx="441">
                  <c:v>2.4324816647942001E-2</c:v>
                </c:pt>
                <c:pt idx="442">
                  <c:v>2.6227940612623572E-2</c:v>
                </c:pt>
                <c:pt idx="443">
                  <c:v>2.3232708446111801E-2</c:v>
                </c:pt>
                <c:pt idx="444">
                  <c:v>2.883337422448384E-2</c:v>
                </c:pt>
                <c:pt idx="445">
                  <c:v>2.943701636737828E-2</c:v>
                </c:pt>
                <c:pt idx="446">
                  <c:v>2.9350795839592211E-2</c:v>
                </c:pt>
                <c:pt idx="447">
                  <c:v>3.005370966484722E-2</c:v>
                </c:pt>
                <c:pt idx="448">
                  <c:v>2.7056007530527001E-2</c:v>
                </c:pt>
                <c:pt idx="449">
                  <c:v>2.6359593071695161E-2</c:v>
                </c:pt>
                <c:pt idx="450">
                  <c:v>2.5963857430624682E-2</c:v>
                </c:pt>
                <c:pt idx="451">
                  <c:v>2.4470730275524599E-2</c:v>
                </c:pt>
                <c:pt idx="452">
                  <c:v>2.3874466229436508E-2</c:v>
                </c:pt>
                <c:pt idx="453">
                  <c:v>2.6670283292080099E-2</c:v>
                </c:pt>
                <c:pt idx="454">
                  <c:v>3.2969860548807912E-2</c:v>
                </c:pt>
                <c:pt idx="455">
                  <c:v>3.2670406392686202E-2</c:v>
                </c:pt>
                <c:pt idx="456">
                  <c:v>2.6889322728822222E-2</c:v>
                </c:pt>
                <c:pt idx="457">
                  <c:v>2.0796190687789321E-2</c:v>
                </c:pt>
                <c:pt idx="458">
                  <c:v>1.8501732934172569E-2</c:v>
                </c:pt>
                <c:pt idx="459">
                  <c:v>1.9925665080875898E-2</c:v>
                </c:pt>
                <c:pt idx="460">
                  <c:v>2.012879186014932E-2</c:v>
                </c:pt>
                <c:pt idx="461">
                  <c:v>2.0832427096065202E-2</c:v>
                </c:pt>
                <c:pt idx="462">
                  <c:v>1.915148476717338E-2</c:v>
                </c:pt>
                <c:pt idx="463">
                  <c:v>1.8959872429282491E-2</c:v>
                </c:pt>
                <c:pt idx="464">
                  <c:v>2.4562650338832152E-2</c:v>
                </c:pt>
                <c:pt idx="465">
                  <c:v>2.9862254804722491E-2</c:v>
                </c:pt>
                <c:pt idx="466">
                  <c:v>2.866371069633444E-2</c:v>
                </c:pt>
                <c:pt idx="467">
                  <c:v>2.488262082537368E-2</c:v>
                </c:pt>
                <c:pt idx="468">
                  <c:v>2.2789327134818401E-2</c:v>
                </c:pt>
                <c:pt idx="469">
                  <c:v>1.9500104053247092E-2</c:v>
                </c:pt>
                <c:pt idx="470">
                  <c:v>1.4327091113583211E-2</c:v>
                </c:pt>
                <c:pt idx="471">
                  <c:v>1.4128892709507851E-2</c:v>
                </c:pt>
                <c:pt idx="472">
                  <c:v>6.3371239374505062E-3</c:v>
                </c:pt>
                <c:pt idx="473">
                  <c:v>1.4940025106073399E-2</c:v>
                </c:pt>
                <c:pt idx="474">
                  <c:v>1.424304520348119E-2</c:v>
                </c:pt>
                <c:pt idx="475">
                  <c:v>1.4751383597655991E-2</c:v>
                </c:pt>
                <c:pt idx="476">
                  <c:v>1.4555576846701499E-2</c:v>
                </c:pt>
                <c:pt idx="477">
                  <c:v>1.165873357874153E-2</c:v>
                </c:pt>
                <c:pt idx="478">
                  <c:v>7.666907567925707E-3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20-4AA5-93C6-1A0529107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7527535"/>
        <c:axId val="2087528367"/>
      </c:lineChart>
      <c:dateAx>
        <c:axId val="20875275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528367"/>
        <c:crosses val="autoZero"/>
        <c:auto val="0"/>
        <c:lblOffset val="100"/>
        <c:baseTimeUnit val="days"/>
      </c:dateAx>
      <c:valAx>
        <c:axId val="208752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527535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3</xdr:row>
      <xdr:rowOff>123825</xdr:rowOff>
    </xdr:from>
    <xdr:to>
      <xdr:col>18</xdr:col>
      <xdr:colOff>504825</xdr:colOff>
      <xdr:row>35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0" cy="0"/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464.804287962957" createdVersion="6" refreshedVersion="6" minRefreshableVersion="3" recordCount="244">
  <cacheSource type="worksheet">
    <worksheetSource ref="A1:G241" sheet="Paridad usd"/>
  </cacheSource>
  <cacheFields count="21">
    <cacheField name="Fecha" numFmtId="14">
      <sharedItems containsDate="1" containsMixedTypes="1" minDate="2020-09-14T00:00:00" maxDate="2021-09-16T00:00:00" count="252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numFmtId="2">
      <sharedItems containsSemiMixedTypes="0" containsString="0" containsNumber="1" minValue="34.950000000000003" maxValue="47.57"/>
    </cacheField>
    <cacheField name="P29" numFmtId="10">
      <sharedItems containsSemiMixedTypes="0" containsString="0" containsNumber="1" minValue="0.35065283122594842" maxValue="0.47948332044626091"/>
    </cacheField>
    <cacheField name="GD29d" numFmtId="2">
      <sharedItems containsSemiMixedTypes="0" containsString="0" containsNumber="1" minValue="36.61" maxValue="49"/>
    </cacheField>
    <cacheField name="PG29" numFmtId="10">
      <sharedItems containsSemiMixedTypes="0" containsString="0" containsNumber="1" minValue="0.36676318823077347" maxValue="0.4935018349383295"/>
    </cacheField>
    <cacheField name="AL30D" numFmtId="2">
      <sharedItems containsSemiMixedTypes="0" containsString="0" containsNumber="1" minValue="33.51" maxValue="46"/>
    </cacheField>
    <cacheField name="P30" numFmtId="10">
      <sharedItems containsSemiMixedTypes="0" containsString="0" containsNumber="1" minValue="0.33523776894614221" maxValue="0.46045414655550682"/>
    </cacheField>
    <cacheField name="GD30D" numFmtId="2">
      <sharedItems containsSemiMixedTypes="0" containsString="0" containsNumber="1" minValue="34.39" maxValue="45.7"/>
    </cacheField>
    <cacheField name="PG30" numFmtId="10">
      <sharedItems containsSemiMixedTypes="0" containsString="0" containsNumber="1" minValue="0.34367755117406878" maxValue="0.45696557108710989"/>
    </cacheField>
    <cacheField name="AL35D" numFmtId="2">
      <sharedItems containsSemiMixedTypes="0" containsString="0" containsNumber="1" minValue="29.8" maxValue="41.9"/>
    </cacheField>
    <cacheField name="P35" numFmtId="10">
      <sharedItems containsSemiMixedTypes="0" containsString="0" containsNumber="1" minValue="0.29812353749327641" maxValue="0.41941366827555943"/>
    </cacheField>
    <cacheField name="AE38D" numFmtId="0">
      <sharedItems containsSemiMixedTypes="0" containsString="0" containsNumber="1" minValue="32.049999999999997" maxValue="43.4"/>
    </cacheField>
    <cacheField name="P38" numFmtId="10">
      <sharedItems containsSemiMixedTypes="0" containsString="0" containsNumber="1" minValue="0.32063176647937508" maxValue="0.43442847740236951"/>
    </cacheField>
    <cacheField name="AL41D" numFmtId="2">
      <sharedItems containsSemiMixedTypes="0" containsString="0" containsNumber="1" minValue="31.42" maxValue="40"/>
    </cacheField>
    <cacheField name="P41" numFmtId="10">
      <sharedItems containsSemiMixedTypes="0" containsString="0" containsNumber="1" minValue="0.31433025328989073" maxValue="0.40039353748375972"/>
    </cacheField>
    <cacheField name="29-30" numFmtId="10">
      <sharedItems containsSemiMixedTypes="0" containsString="0" containsNumber="1" minValue="3.9492190919996339E-3" maxValue="7.7867060860588255E-2"/>
    </cacheField>
    <cacheField name="g29-29" numFmtId="10">
      <sharedItems containsSemiMixedTypes="0" containsString="0" containsNumber="1" minValue="-1.40253609266066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517.727376620373" createdVersion="6" refreshedVersion="6" minRefreshableVersion="3" recordCount="294">
  <cacheSource type="worksheet">
    <worksheetSource ref="A1:G1048576" sheet="Paridad usd"/>
  </cacheSource>
  <cacheFields count="25">
    <cacheField name="Fecha" numFmtId="0">
      <sharedItems containsNonDate="0" containsDate="1" containsString="0" containsBlank="1" minDate="2020-09-14T00:00:00" maxDate="2021-11-18T00:00:00" count="29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numFmtId="0">
      <sharedItems containsString="0" containsBlank="1" containsNumber="1" minValue="34.75" maxValue="51.8"/>
    </cacheField>
    <cacheField name="P29" numFmtId="0">
      <sharedItems containsString="0" containsBlank="1" containsNumber="1" minValue="0.34625726843384019" maxValue="0.5222639633169438"/>
    </cacheField>
    <cacheField name="GD29d" numFmtId="0">
      <sharedItems containsString="0" containsBlank="1" containsNumber="1" minValue="36.61" maxValue="53.75"/>
    </cacheField>
    <cacheField name="PG29" numFmtId="0">
      <sharedItems containsString="0" containsBlank="1" containsNumber="1" minValue="0.36676318823077347" maxValue="0.54192447931053533"/>
    </cacheField>
    <cacheField name="AL30D" numFmtId="0">
      <sharedItems containsString="0" containsBlank="1" containsNumber="1" minValue="32.57" maxValue="51.87"/>
    </cacheField>
    <cacheField name="P30" numFmtId="0">
      <sharedItems containsString="0" containsBlank="1" containsNumber="1" minValue="0.32511657163172941" maxValue="0.52082611207394569"/>
    </cacheField>
    <cacheField name="GD30D" numFmtId="0">
      <sharedItems containsString="0" containsBlank="1" containsNumber="1" minValue="34.39" maxValue="50"/>
    </cacheField>
    <cacheField name="PG30" numFmtId="0">
      <sharedItems containsString="0" containsBlank="1" containsNumber="1" minValue="0.34367755117406878" maxValue="0.49997945289919588"/>
    </cacheField>
    <cacheField name="AL35D" numFmtId="0">
      <sharedItems containsString="0" containsBlank="1" containsNumber="1" minValue="29.8" maxValue="44.55"/>
    </cacheField>
    <cacheField name="P35" numFmtId="0">
      <sharedItems containsString="0" containsBlank="1" containsNumber="1" minValue="0.29911553705428812" maxValue="0.44961583260463073"/>
    </cacheField>
    <cacheField name="AE38D" numFmtId="0">
      <sharedItems containsString="0" containsBlank="1" containsNumber="1" minValue="32.049999999999997" maxValue="49.2"/>
    </cacheField>
    <cacheField name="P38" numFmtId="0">
      <sharedItems containsString="0" containsBlank="1" containsNumber="1" minValue="0.32063176647937508" maxValue="0.49250262253944088"/>
    </cacheField>
    <cacheField name="AL41D" numFmtId="0">
      <sharedItems containsString="0" containsBlank="1" containsNumber="1" minValue="31.42" maxValue="43.99"/>
    </cacheField>
    <cacheField name="P41" numFmtId="0">
      <sharedItems containsString="0" containsBlank="1" containsNumber="1" minValue="0.31433025328989073" maxValue="0.44034939767296771"/>
    </cacheField>
    <cacheField name="29-30" numFmtId="0">
      <sharedItems containsString="0" containsBlank="1" containsNumber="1" minValue="1.4378512429981121E-3" maxValue="7.6902843779468322E-2"/>
    </cacheField>
    <cacheField name="g29-29" numFmtId="0">
      <sharedItems containsString="0" containsBlank="1" containsNumber="1" minValue="-8.0736775990605802E-3" maxValue="6.4854872530625718E-2"/>
    </cacheField>
    <cacheField name="29-38" numFmtId="0">
      <sharedItems containsString="0" containsBlank="1" containsNumber="1" minValue="-1.8386504472300221E-2" maxValue="9.6459390320899785E-2"/>
    </cacheField>
    <cacheField name="29-41" numFmtId="0">
      <sharedItems containsString="0" containsBlank="1" containsNumber="1" minValue="-1.5123405375726149E-2" maxValue="0.12088054975013129"/>
    </cacheField>
    <cacheField name="g29-41" numFmtId="0">
      <sharedItems containsString="0" containsBlank="1" containsNumber="1" minValue="-2.0626169077156979E-3" maxValue="0.15169866020457601"/>
    </cacheField>
    <cacheField name="30-41" numFmtId="0">
      <sharedItems containsString="0" containsBlank="1" containsNumber="1" minValue="-3.1423979925280732E-2" maxValue="8.5189679117309236E-2"/>
    </cacheField>
    <cacheField name="30-35" numFmtId="0">
      <sharedItems containsString="0" containsBlank="1" containsNumber="1" minValue="7.2010963807817574E-3" maxValue="7.2629452870802858E-2"/>
    </cacheField>
    <cacheField name="29-35" numFmtId="0">
      <sharedItems containsString="0" containsBlank="1" containsNumber="1" minValue="2.26299890457905E-2" maxValue="0.10482084229815999"/>
    </cacheField>
    <cacheField name="g30-30" numFmtId="0">
      <sharedItems containsString="0" containsBlank="1" containsNumber="1" minValue="-2.084665917474976E-2" maxValue="4.1740780188494753E-2"/>
    </cacheField>
    <cacheField name="30-38" numFmtId="0">
      <sharedItems containsString="0" containsBlank="1" containsNumber="1" minValue="-3.3722442372261963E-2" maxValue="4.6217203186439959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6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46" firstHeaderRow="1" firstDataRow="1" firstDataCol="1"/>
  <pivotFields count="21">
    <pivotField axis="axisRow" showAll="0" defaultSubtotal="0">
      <items count="252">
        <item m="1" x="248"/>
        <item m="1" x="245"/>
        <item m="1" x="251"/>
        <item m="1" x="250"/>
        <item m="1" x="247"/>
        <item m="1" x="249"/>
        <item m="1" x="246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45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Dinámica3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A1:H292" firstHeaderRow="1" firstDataRow="2" firstDataCol="1"/>
  <pivotFields count="25">
    <pivotField axis="axisRow" showAll="0" defaultSubtotal="0">
      <items count="290"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m="1" x="289"/>
        <item x="23"/>
        <item x="22"/>
        <item x="28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9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G29" fld="4" baseField="0" baseItem="0"/>
    <dataField name="Suma de P38" fld="12" baseField="0" baseItem="9"/>
    <dataField name="Suma de P30" fld="6" baseField="0" baseItem="0"/>
    <dataField name="Suma de P41" fld="14" baseField="0" baseItem="0"/>
    <dataField name="Suma de PG30" fld="8" baseField="0" baseItem="0"/>
    <dataField name="Suma de P35" fld="10" baseField="0" baseItem="1"/>
  </dataFields>
  <formats count="2">
    <format dxfId="1">
      <pivotArea collapsedLevelsAreSubtotals="1" fieldPosition="0">
        <references count="2">
          <reference field="4294967294" count="1" selected="0">
            <x v="0"/>
          </reference>
          <reference field="0" count="1">
            <x v="0"/>
          </reference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chartFormats count="14"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1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" format="13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Y109"/>
  <sheetViews>
    <sheetView workbookViewId="0">
      <selection activeCell="Q9" sqref="Q9:Q15"/>
    </sheetView>
  </sheetViews>
  <sheetFormatPr baseColWidth="10" defaultRowHeight="15" x14ac:dyDescent="0.25"/>
  <cols>
    <col min="1" max="1" width="22.140625" style="66" bestFit="1" customWidth="1"/>
    <col min="2" max="2" width="10.7109375" style="66" bestFit="1" customWidth="1"/>
    <col min="3" max="6" width="11.42578125" style="66" customWidth="1"/>
    <col min="7" max="7" width="22.140625" style="66" bestFit="1" customWidth="1"/>
    <col min="8" max="8" width="11.85546875" style="66" bestFit="1" customWidth="1"/>
    <col min="9" max="12" width="11.42578125" style="66" customWidth="1"/>
    <col min="13" max="13" width="22.140625" style="66" bestFit="1" customWidth="1"/>
    <col min="14" max="14" width="11.85546875" style="66" bestFit="1" customWidth="1"/>
    <col min="15" max="18" width="11.42578125" style="66" customWidth="1"/>
    <col min="19" max="19" width="22.140625" style="66" bestFit="1" customWidth="1"/>
    <col min="20" max="36" width="11.42578125" style="66" customWidth="1"/>
    <col min="37" max="16384" width="11.42578125" style="66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 t="e">
        <f>#REF!-B5</f>
        <v>#REF!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44570</v>
      </c>
      <c r="C5" s="27"/>
      <c r="D5" s="26" t="e">
        <f>DAYS360(B5,#REF!)</f>
        <v>#REF!</v>
      </c>
      <c r="E5" s="28"/>
      <c r="G5" s="31" t="s">
        <v>10</v>
      </c>
      <c r="H5" s="24">
        <v>44570</v>
      </c>
      <c r="I5" s="27"/>
      <c r="J5" s="27"/>
      <c r="K5" s="28"/>
      <c r="L5" s="21"/>
      <c r="M5" s="31" t="s">
        <v>10</v>
      </c>
      <c r="N5" s="24">
        <v>44570</v>
      </c>
      <c r="O5" s="27"/>
      <c r="P5" s="27"/>
      <c r="Q5" s="28"/>
      <c r="S5" s="31" t="s">
        <v>10</v>
      </c>
      <c r="T5" s="24">
        <v>44570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 t="e">
        <f>DAYS360(B5,#REF!)</f>
        <v>#REF!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4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7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5">
        <f ca="1">B6*DAYS360(B5,TODAY())/360*100</f>
        <v>0.96666666666666667</v>
      </c>
      <c r="C8" s="27"/>
      <c r="D8" s="47"/>
      <c r="E8" s="28"/>
      <c r="F8" s="46"/>
      <c r="G8" s="31" t="s">
        <v>13</v>
      </c>
      <c r="H8" s="45">
        <f ca="1">H6*DAYS360(H5,TODAY())/360*100</f>
        <v>0.96666666666666667</v>
      </c>
      <c r="I8" s="27"/>
      <c r="J8" s="27"/>
      <c r="K8" s="28"/>
      <c r="L8" s="21"/>
      <c r="M8" s="31" t="s">
        <v>13</v>
      </c>
      <c r="N8" s="45">
        <f ca="1">N6*DAYS360(N5,TODAY())/360*100</f>
        <v>0.12083333333333333</v>
      </c>
      <c r="O8" s="27"/>
      <c r="P8" s="27"/>
      <c r="Q8" s="28"/>
      <c r="S8" s="31" t="s">
        <v>13</v>
      </c>
      <c r="T8" s="45">
        <f ca="1">T6*DAYS360(T5,TODAY())/360*100</f>
        <v>0.12083333333333333</v>
      </c>
      <c r="U8" s="27"/>
      <c r="V8" s="27"/>
      <c r="W8" s="28"/>
    </row>
    <row r="9" spans="1:25" ht="18.75" customHeight="1" thickBot="1" x14ac:dyDescent="0.35">
      <c r="A9" s="30" t="s">
        <v>14</v>
      </c>
      <c r="B9" s="45">
        <f ca="1">B7+B8</f>
        <v>100.96666666666667</v>
      </c>
      <c r="C9" s="27"/>
      <c r="D9" s="27"/>
      <c r="E9" s="78">
        <v>-23.5</v>
      </c>
      <c r="F9" s="21"/>
      <c r="G9" s="31" t="s">
        <v>14</v>
      </c>
      <c r="H9" s="45">
        <f ca="1">H7+H8</f>
        <v>100.96666666666667</v>
      </c>
      <c r="I9" s="27"/>
      <c r="J9" s="27"/>
      <c r="K9" s="78">
        <v>-20.45</v>
      </c>
      <c r="L9" s="21"/>
      <c r="M9" s="31" t="s">
        <v>14</v>
      </c>
      <c r="N9" s="45">
        <f ca="1">N7+N8</f>
        <v>100.12083333333334</v>
      </c>
      <c r="O9" s="27"/>
      <c r="P9" s="27"/>
      <c r="Q9" s="78">
        <v>-22.9</v>
      </c>
      <c r="S9" s="31" t="s">
        <v>14</v>
      </c>
      <c r="T9" s="45">
        <f ca="1">T7+T8</f>
        <v>100.12083333333334</v>
      </c>
      <c r="U9" s="27"/>
      <c r="V9" s="27"/>
      <c r="W9" s="78">
        <v>-20.48</v>
      </c>
    </row>
    <row r="10" spans="1:25" ht="15.75" customHeight="1" thickBot="1" x14ac:dyDescent="0.3">
      <c r="A10" s="3">
        <v>44935</v>
      </c>
      <c r="B10" s="1" t="s">
        <v>15</v>
      </c>
      <c r="C10" s="38">
        <v>0.5</v>
      </c>
      <c r="D10" s="2">
        <v>0</v>
      </c>
      <c r="E10" s="79">
        <v>0.5</v>
      </c>
      <c r="F10" s="21"/>
      <c r="G10" s="3">
        <v>44935</v>
      </c>
      <c r="H10" t="s">
        <v>15</v>
      </c>
      <c r="I10" s="2">
        <v>0.5</v>
      </c>
      <c r="J10" s="2">
        <v>0</v>
      </c>
      <c r="K10" s="80">
        <v>0.5</v>
      </c>
      <c r="L10" s="21"/>
      <c r="M10" s="3">
        <v>44935</v>
      </c>
      <c r="N10" t="s">
        <v>15</v>
      </c>
      <c r="O10" s="2">
        <v>0.25</v>
      </c>
      <c r="P10" s="2">
        <v>0</v>
      </c>
      <c r="Q10" s="80">
        <v>0.25</v>
      </c>
      <c r="S10" s="3">
        <v>44935</v>
      </c>
      <c r="T10" t="s">
        <v>15</v>
      </c>
      <c r="U10" s="2">
        <v>0.25</v>
      </c>
      <c r="V10" s="2">
        <v>0</v>
      </c>
      <c r="W10" s="80">
        <v>0.25</v>
      </c>
    </row>
    <row r="11" spans="1:25" ht="15.75" customHeight="1" thickBot="1" x14ac:dyDescent="0.3">
      <c r="A11" s="3">
        <v>45116</v>
      </c>
      <c r="B11" s="1" t="s">
        <v>15</v>
      </c>
      <c r="C11" s="38">
        <v>0.5</v>
      </c>
      <c r="D11" s="2">
        <v>0</v>
      </c>
      <c r="E11" s="79">
        <v>0.5</v>
      </c>
      <c r="F11" s="21"/>
      <c r="G11" s="3">
        <v>45116</v>
      </c>
      <c r="H11" t="s">
        <v>15</v>
      </c>
      <c r="I11" s="2">
        <v>0.5</v>
      </c>
      <c r="J11" s="2">
        <v>0</v>
      </c>
      <c r="K11" s="80">
        <v>0.5</v>
      </c>
      <c r="L11" s="21"/>
      <c r="M11" s="3">
        <v>45116</v>
      </c>
      <c r="N11" t="s">
        <v>15</v>
      </c>
      <c r="O11" s="2">
        <v>0.25</v>
      </c>
      <c r="P11" s="2">
        <v>0</v>
      </c>
      <c r="Q11" s="80">
        <v>0.25</v>
      </c>
      <c r="S11" s="3">
        <v>45116</v>
      </c>
      <c r="T11" t="s">
        <v>15</v>
      </c>
      <c r="U11" s="2">
        <v>0.25</v>
      </c>
      <c r="V11" s="2">
        <v>0</v>
      </c>
      <c r="W11" s="80">
        <v>0.25</v>
      </c>
    </row>
    <row r="12" spans="1:25" ht="15.75" customHeight="1" thickBot="1" x14ac:dyDescent="0.3">
      <c r="A12" s="3">
        <v>45300</v>
      </c>
      <c r="B12" s="1" t="s">
        <v>15</v>
      </c>
      <c r="C12" s="38">
        <v>0.5</v>
      </c>
      <c r="D12" s="2">
        <v>0</v>
      </c>
      <c r="E12" s="79">
        <v>0.5</v>
      </c>
      <c r="F12" s="21"/>
      <c r="G12" s="3">
        <v>45300</v>
      </c>
      <c r="H12" t="s">
        <v>15</v>
      </c>
      <c r="I12" s="2">
        <v>0.5</v>
      </c>
      <c r="J12" s="2">
        <v>0</v>
      </c>
      <c r="K12" s="80">
        <v>0.5</v>
      </c>
      <c r="L12" s="21"/>
      <c r="M12" s="3">
        <v>45300</v>
      </c>
      <c r="N12" t="s">
        <v>15</v>
      </c>
      <c r="O12" s="2">
        <v>0.38</v>
      </c>
      <c r="P12" s="2">
        <v>0</v>
      </c>
      <c r="Q12" s="80">
        <v>0.38</v>
      </c>
      <c r="S12" s="3">
        <v>45300</v>
      </c>
      <c r="T12" t="s">
        <v>15</v>
      </c>
      <c r="U12" s="2">
        <v>0.38</v>
      </c>
      <c r="V12" s="2">
        <v>0</v>
      </c>
      <c r="W12" s="80">
        <v>0.38</v>
      </c>
    </row>
    <row r="13" spans="1:25" ht="15.75" customHeight="1" thickBot="1" x14ac:dyDescent="0.3">
      <c r="A13" s="3">
        <v>45482</v>
      </c>
      <c r="B13" s="1" t="s">
        <v>15</v>
      </c>
      <c r="C13" s="38">
        <v>0.5</v>
      </c>
      <c r="D13" s="2">
        <v>0</v>
      </c>
      <c r="E13" s="79">
        <v>0.5</v>
      </c>
      <c r="F13" s="21"/>
      <c r="G13" s="3">
        <v>45482</v>
      </c>
      <c r="H13" t="s">
        <v>15</v>
      </c>
      <c r="I13" s="2">
        <v>0.5</v>
      </c>
      <c r="J13" s="2">
        <v>0</v>
      </c>
      <c r="K13" s="80">
        <v>0.5</v>
      </c>
      <c r="L13" s="21"/>
      <c r="M13" s="3">
        <v>45482</v>
      </c>
      <c r="N13" t="s">
        <v>15</v>
      </c>
      <c r="O13" s="2">
        <v>0.38</v>
      </c>
      <c r="P13" s="2">
        <v>4</v>
      </c>
      <c r="Q13" s="80">
        <v>4.38</v>
      </c>
      <c r="S13" s="3">
        <v>45482</v>
      </c>
      <c r="T13" t="s">
        <v>15</v>
      </c>
      <c r="U13" s="2">
        <v>0.38</v>
      </c>
      <c r="V13" s="2">
        <v>4</v>
      </c>
      <c r="W13" s="80">
        <v>4.38</v>
      </c>
    </row>
    <row r="14" spans="1:25" ht="15.75" customHeight="1" thickBot="1" x14ac:dyDescent="0.3">
      <c r="A14" s="3">
        <v>45666</v>
      </c>
      <c r="B14" s="1" t="s">
        <v>15</v>
      </c>
      <c r="C14" s="38">
        <v>0.5</v>
      </c>
      <c r="D14" s="2">
        <v>10</v>
      </c>
      <c r="E14" s="79">
        <v>10.5</v>
      </c>
      <c r="F14" s="21"/>
      <c r="G14" s="3">
        <v>45666</v>
      </c>
      <c r="H14" t="s">
        <v>15</v>
      </c>
      <c r="I14" s="2">
        <v>0.5</v>
      </c>
      <c r="J14" s="2">
        <v>10</v>
      </c>
      <c r="K14" s="80">
        <v>10.5</v>
      </c>
      <c r="L14" s="21"/>
      <c r="M14" s="3">
        <v>45666</v>
      </c>
      <c r="N14" t="s">
        <v>15</v>
      </c>
      <c r="O14" s="2">
        <v>0.36</v>
      </c>
      <c r="P14" s="2">
        <v>8</v>
      </c>
      <c r="Q14" s="80">
        <v>8.36</v>
      </c>
      <c r="S14" s="3">
        <v>45666</v>
      </c>
      <c r="T14" t="s">
        <v>15</v>
      </c>
      <c r="U14" s="2">
        <v>0.36</v>
      </c>
      <c r="V14" s="2">
        <v>8</v>
      </c>
      <c r="W14" s="80">
        <v>8.36</v>
      </c>
    </row>
    <row r="15" spans="1:25" ht="15.75" customHeight="1" thickBot="1" x14ac:dyDescent="0.3">
      <c r="A15" s="3">
        <v>45847</v>
      </c>
      <c r="B15" s="1" t="s">
        <v>15</v>
      </c>
      <c r="C15" s="38">
        <v>0.45</v>
      </c>
      <c r="D15" s="2">
        <v>10</v>
      </c>
      <c r="E15" s="79">
        <v>10.45</v>
      </c>
      <c r="F15" s="21"/>
      <c r="G15" s="3">
        <v>45847</v>
      </c>
      <c r="H15" t="s">
        <v>15</v>
      </c>
      <c r="I15" s="2">
        <v>0.45</v>
      </c>
      <c r="J15" s="2">
        <v>10</v>
      </c>
      <c r="K15" s="80">
        <v>10.45</v>
      </c>
      <c r="L15" s="21"/>
      <c r="M15" s="3">
        <v>45847</v>
      </c>
      <c r="N15" t="s">
        <v>15</v>
      </c>
      <c r="O15" s="2">
        <v>0.33</v>
      </c>
      <c r="P15" s="2">
        <v>8</v>
      </c>
      <c r="Q15" s="80">
        <v>8.33</v>
      </c>
      <c r="S15" s="3">
        <v>45847</v>
      </c>
      <c r="T15" t="s">
        <v>15</v>
      </c>
      <c r="U15" s="2">
        <v>0.33</v>
      </c>
      <c r="V15" s="2">
        <v>8</v>
      </c>
      <c r="W15" s="80">
        <v>8.33</v>
      </c>
    </row>
    <row r="16" spans="1:25" ht="15.75" customHeight="1" thickBot="1" x14ac:dyDescent="0.3">
      <c r="A16" s="3">
        <v>46031</v>
      </c>
      <c r="B16" s="1" t="s">
        <v>15</v>
      </c>
      <c r="C16" s="38">
        <v>0.4</v>
      </c>
      <c r="D16" s="2">
        <v>10</v>
      </c>
      <c r="E16" s="41">
        <v>10.4</v>
      </c>
      <c r="F16" s="21"/>
      <c r="G16" s="3">
        <v>46031</v>
      </c>
      <c r="H16" t="s">
        <v>15</v>
      </c>
      <c r="I16" s="2">
        <v>0.4</v>
      </c>
      <c r="J16" s="2">
        <v>10</v>
      </c>
      <c r="K16" s="4">
        <v>10.4</v>
      </c>
      <c r="L16" s="21"/>
      <c r="M16" s="3">
        <v>46031</v>
      </c>
      <c r="N16" t="s">
        <v>15</v>
      </c>
      <c r="O16" s="2">
        <v>0.3</v>
      </c>
      <c r="P16" s="2">
        <v>8</v>
      </c>
      <c r="Q16" s="4">
        <v>8.3000000000000007</v>
      </c>
      <c r="S16" s="3">
        <v>46031</v>
      </c>
      <c r="T16" t="s">
        <v>15</v>
      </c>
      <c r="U16" s="2">
        <v>0.3</v>
      </c>
      <c r="V16" s="2">
        <v>8</v>
      </c>
      <c r="W16" s="80">
        <v>8.3000000000000007</v>
      </c>
    </row>
    <row r="17" spans="1:23" ht="15.75" customHeight="1" thickBot="1" x14ac:dyDescent="0.3">
      <c r="A17" s="3">
        <v>46212</v>
      </c>
      <c r="B17" s="1" t="s">
        <v>15</v>
      </c>
      <c r="C17" s="38">
        <v>0.35</v>
      </c>
      <c r="D17" s="2">
        <v>10</v>
      </c>
      <c r="E17" s="41">
        <v>10.35</v>
      </c>
      <c r="F17" s="21"/>
      <c r="G17" s="3">
        <v>46212</v>
      </c>
      <c r="H17" t="s">
        <v>15</v>
      </c>
      <c r="I17" s="2">
        <v>0.35</v>
      </c>
      <c r="J17" s="2">
        <v>10</v>
      </c>
      <c r="K17" s="4">
        <v>10.35</v>
      </c>
      <c r="L17" s="21"/>
      <c r="M17" s="3">
        <v>46212</v>
      </c>
      <c r="N17" t="s">
        <v>15</v>
      </c>
      <c r="O17" s="2">
        <v>0.27</v>
      </c>
      <c r="P17" s="2">
        <v>8</v>
      </c>
      <c r="Q17" s="4">
        <v>8.27</v>
      </c>
      <c r="S17" s="3">
        <v>46212</v>
      </c>
      <c r="T17" t="s">
        <v>15</v>
      </c>
      <c r="U17" s="2">
        <v>0.27</v>
      </c>
      <c r="V17" s="2">
        <v>8</v>
      </c>
      <c r="W17" s="4">
        <v>8.27</v>
      </c>
    </row>
    <row r="18" spans="1:23" ht="15.75" customHeight="1" thickBot="1" x14ac:dyDescent="0.3">
      <c r="A18" s="3">
        <v>46396</v>
      </c>
      <c r="B18" s="1" t="s">
        <v>15</v>
      </c>
      <c r="C18" s="38">
        <v>0.3</v>
      </c>
      <c r="D18" s="2">
        <v>10</v>
      </c>
      <c r="E18" s="41">
        <v>10.3</v>
      </c>
      <c r="F18" s="21"/>
      <c r="G18" s="3">
        <v>46396</v>
      </c>
      <c r="H18" t="s">
        <v>15</v>
      </c>
      <c r="I18" s="2">
        <v>0.3</v>
      </c>
      <c r="J18" s="2">
        <v>10</v>
      </c>
      <c r="K18" s="4">
        <v>10.3</v>
      </c>
      <c r="L18" s="21"/>
      <c r="M18" s="3">
        <v>46396</v>
      </c>
      <c r="N18" t="s">
        <v>15</v>
      </c>
      <c r="O18" s="2">
        <v>0.24</v>
      </c>
      <c r="P18" s="2">
        <v>8</v>
      </c>
      <c r="Q18" s="4">
        <v>8.24</v>
      </c>
      <c r="S18" s="3">
        <v>46396</v>
      </c>
      <c r="T18" t="s">
        <v>15</v>
      </c>
      <c r="U18" s="2">
        <v>0.24</v>
      </c>
      <c r="V18" s="2">
        <v>8</v>
      </c>
      <c r="W18" s="4">
        <v>8.24</v>
      </c>
    </row>
    <row r="19" spans="1:23" ht="15.75" customHeight="1" thickBot="1" x14ac:dyDescent="0.3">
      <c r="A19" s="3">
        <v>46577</v>
      </c>
      <c r="B19" s="1" t="s">
        <v>15</v>
      </c>
      <c r="C19" s="38">
        <v>0.25</v>
      </c>
      <c r="D19" s="2">
        <v>10</v>
      </c>
      <c r="E19" s="41">
        <v>10.25</v>
      </c>
      <c r="F19" s="21"/>
      <c r="G19" s="3">
        <v>46577</v>
      </c>
      <c r="H19" t="s">
        <v>15</v>
      </c>
      <c r="I19" s="2">
        <v>0.25</v>
      </c>
      <c r="J19" s="2">
        <v>10</v>
      </c>
      <c r="K19" s="4">
        <v>10.25</v>
      </c>
      <c r="L19" s="21"/>
      <c r="M19" s="3">
        <v>46577</v>
      </c>
      <c r="N19" t="s">
        <v>15</v>
      </c>
      <c r="O19" s="2">
        <v>0.21</v>
      </c>
      <c r="P19" s="2">
        <v>8</v>
      </c>
      <c r="Q19" s="4">
        <v>8.2100000000000009</v>
      </c>
      <c r="S19" s="3">
        <v>46577</v>
      </c>
      <c r="T19" t="s">
        <v>15</v>
      </c>
      <c r="U19" s="2">
        <v>0.21</v>
      </c>
      <c r="V19" s="2">
        <v>8</v>
      </c>
      <c r="W19" s="4">
        <v>8.2100000000000009</v>
      </c>
    </row>
    <row r="20" spans="1:23" ht="15.75" customHeight="1" thickBot="1" x14ac:dyDescent="0.3">
      <c r="A20" s="3">
        <v>46761</v>
      </c>
      <c r="B20" s="1" t="s">
        <v>15</v>
      </c>
      <c r="C20" s="38">
        <v>0.2</v>
      </c>
      <c r="D20" s="2">
        <v>10</v>
      </c>
      <c r="E20" s="41">
        <v>10.199999999999999</v>
      </c>
      <c r="F20" s="21"/>
      <c r="G20" s="3">
        <v>46761</v>
      </c>
      <c r="H20" t="s">
        <v>15</v>
      </c>
      <c r="I20" s="2">
        <v>0.2</v>
      </c>
      <c r="J20" s="2">
        <v>10</v>
      </c>
      <c r="K20" s="4">
        <v>10.199999999999999</v>
      </c>
      <c r="L20" s="21"/>
      <c r="M20" s="3">
        <v>46761</v>
      </c>
      <c r="N20" t="s">
        <v>15</v>
      </c>
      <c r="O20" s="2">
        <v>0.42</v>
      </c>
      <c r="P20" s="2">
        <v>8</v>
      </c>
      <c r="Q20" s="4">
        <v>8.42</v>
      </c>
      <c r="S20" s="3">
        <v>46761</v>
      </c>
      <c r="T20" t="s">
        <v>15</v>
      </c>
      <c r="U20" s="2">
        <v>0.42</v>
      </c>
      <c r="V20" s="2">
        <v>8</v>
      </c>
      <c r="W20" s="4">
        <v>8.42</v>
      </c>
    </row>
    <row r="21" spans="1:23" ht="15.75" customHeight="1" thickBot="1" x14ac:dyDescent="0.3">
      <c r="A21" s="3">
        <v>46943</v>
      </c>
      <c r="B21" s="1" t="s">
        <v>15</v>
      </c>
      <c r="C21" s="38">
        <v>0.15</v>
      </c>
      <c r="D21" s="2">
        <v>10</v>
      </c>
      <c r="E21" s="41">
        <v>10.15</v>
      </c>
      <c r="F21" s="21"/>
      <c r="G21" s="3">
        <v>46943</v>
      </c>
      <c r="H21" t="s">
        <v>15</v>
      </c>
      <c r="I21" s="2">
        <v>0.15</v>
      </c>
      <c r="J21" s="2">
        <v>10</v>
      </c>
      <c r="K21" s="4">
        <v>10.15</v>
      </c>
      <c r="L21" s="21"/>
      <c r="M21" s="3">
        <v>46943</v>
      </c>
      <c r="N21" t="s">
        <v>15</v>
      </c>
      <c r="O21" s="2">
        <v>0.35</v>
      </c>
      <c r="P21" s="2">
        <v>8</v>
      </c>
      <c r="Q21" s="4">
        <v>8.35</v>
      </c>
      <c r="S21" s="3">
        <v>46943</v>
      </c>
      <c r="T21" t="s">
        <v>15</v>
      </c>
      <c r="U21" s="2">
        <v>0.35</v>
      </c>
      <c r="V21" s="2">
        <v>8</v>
      </c>
      <c r="W21" s="4">
        <v>8.35</v>
      </c>
    </row>
    <row r="22" spans="1:23" ht="15.75" customHeight="1" thickBot="1" x14ac:dyDescent="0.3">
      <c r="A22" s="3">
        <v>47127</v>
      </c>
      <c r="B22" s="1" t="s">
        <v>15</v>
      </c>
      <c r="C22" s="38">
        <v>0.1</v>
      </c>
      <c r="D22" s="2">
        <v>10</v>
      </c>
      <c r="E22" s="41">
        <v>10.1</v>
      </c>
      <c r="F22" s="21"/>
      <c r="G22" s="3">
        <v>47127</v>
      </c>
      <c r="H22" t="s">
        <v>15</v>
      </c>
      <c r="I22" s="2">
        <v>0.1</v>
      </c>
      <c r="J22" s="2">
        <v>10</v>
      </c>
      <c r="K22" s="4">
        <v>10.1</v>
      </c>
      <c r="L22" s="21"/>
      <c r="M22" s="3">
        <v>47127</v>
      </c>
      <c r="N22" t="s">
        <v>15</v>
      </c>
      <c r="O22" s="2">
        <v>0.28000000000000003</v>
      </c>
      <c r="P22" s="2">
        <v>8</v>
      </c>
      <c r="Q22" s="4">
        <v>8.2799999999999994</v>
      </c>
      <c r="S22" s="3">
        <v>47127</v>
      </c>
      <c r="T22" t="s">
        <v>15</v>
      </c>
      <c r="U22" s="2">
        <v>0.28000000000000003</v>
      </c>
      <c r="V22" s="2">
        <v>8</v>
      </c>
      <c r="W22" s="4">
        <v>8.2799999999999994</v>
      </c>
    </row>
    <row r="23" spans="1:23" ht="15.75" customHeight="1" thickBot="1" x14ac:dyDescent="0.3">
      <c r="A23" s="3">
        <v>47308</v>
      </c>
      <c r="B23" s="1" t="s">
        <v>15</v>
      </c>
      <c r="C23" s="38">
        <v>0.05</v>
      </c>
      <c r="D23" s="2">
        <v>10</v>
      </c>
      <c r="E23" s="41">
        <v>10.050000000000001</v>
      </c>
      <c r="F23" s="21"/>
      <c r="G23" s="3">
        <v>47308</v>
      </c>
      <c r="H23" t="s">
        <v>15</v>
      </c>
      <c r="I23" s="2">
        <v>0.05</v>
      </c>
      <c r="J23" s="2">
        <v>10</v>
      </c>
      <c r="K23" s="4">
        <v>10.050000000000001</v>
      </c>
      <c r="L23" s="21"/>
      <c r="M23" s="3">
        <v>47308</v>
      </c>
      <c r="N23" t="s">
        <v>15</v>
      </c>
      <c r="O23" s="2">
        <v>0.21</v>
      </c>
      <c r="P23" s="2">
        <v>8</v>
      </c>
      <c r="Q23" s="4">
        <v>8.2100000000000009</v>
      </c>
      <c r="S23" s="3">
        <v>47308</v>
      </c>
      <c r="T23" t="s">
        <v>15</v>
      </c>
      <c r="U23" s="2">
        <v>0.21</v>
      </c>
      <c r="V23" s="2">
        <v>8</v>
      </c>
      <c r="W23" s="4">
        <v>8.2100000000000009</v>
      </c>
    </row>
    <row r="24" spans="1:23" ht="15.75" customHeight="1" thickBot="1" x14ac:dyDescent="0.3">
      <c r="A24" s="5"/>
      <c r="B24" s="6"/>
      <c r="C24" s="39">
        <f>SUM(C10:C23)</f>
        <v>4.75</v>
      </c>
      <c r="D24" s="7">
        <f>SUM(D10:D23)</f>
        <v>100</v>
      </c>
      <c r="E24" s="42">
        <f>SUM(E10:E23)</f>
        <v>104.75</v>
      </c>
      <c r="F24" s="21"/>
      <c r="G24" s="9"/>
      <c r="H24" s="6"/>
      <c r="I24" s="7">
        <f>SUM(I10:I23)</f>
        <v>4.75</v>
      </c>
      <c r="J24" s="7">
        <f>SUM(J10:J23)</f>
        <v>100</v>
      </c>
      <c r="K24" s="8">
        <f>SUM(K10:K23)</f>
        <v>104.75</v>
      </c>
      <c r="L24" s="21"/>
      <c r="M24" s="3">
        <v>47492</v>
      </c>
      <c r="N24" t="s">
        <v>15</v>
      </c>
      <c r="O24" s="2">
        <v>0.14000000000000001</v>
      </c>
      <c r="P24" s="2">
        <v>8</v>
      </c>
      <c r="Q24" s="4">
        <v>8.14</v>
      </c>
      <c r="S24" s="3">
        <v>47492</v>
      </c>
      <c r="T24" t="s">
        <v>15</v>
      </c>
      <c r="U24" s="2">
        <v>0.14000000000000001</v>
      </c>
      <c r="V24" s="2">
        <v>8</v>
      </c>
      <c r="W24" s="4">
        <v>8.14</v>
      </c>
    </row>
    <row r="25" spans="1:23" ht="15.75" customHeight="1" thickBot="1" x14ac:dyDescent="0.3">
      <c r="B25" s="21"/>
      <c r="F25" s="21"/>
      <c r="I25" s="21"/>
      <c r="J25" s="21"/>
      <c r="K25" s="21"/>
      <c r="L25" s="21"/>
      <c r="M25" s="3">
        <v>47673</v>
      </c>
      <c r="N25" t="s">
        <v>15</v>
      </c>
      <c r="O25" s="2">
        <v>7.0000000000000007E-2</v>
      </c>
      <c r="P25" s="2">
        <v>8</v>
      </c>
      <c r="Q25" s="4">
        <v>8.07</v>
      </c>
      <c r="S25" s="3">
        <v>47673</v>
      </c>
      <c r="T25" t="s">
        <v>15</v>
      </c>
      <c r="U25" s="2">
        <v>7.0000000000000007E-2</v>
      </c>
      <c r="V25" s="2">
        <v>8</v>
      </c>
      <c r="W25" s="4">
        <v>8.07</v>
      </c>
    </row>
    <row r="26" spans="1:23" ht="15.75" customHeight="1" thickBot="1" x14ac:dyDescent="0.3">
      <c r="B26" s="21"/>
      <c r="F26" s="21"/>
      <c r="G26" s="21"/>
      <c r="H26" s="21"/>
      <c r="I26" s="21"/>
      <c r="J26" s="21"/>
      <c r="K26" s="21"/>
      <c r="L26" s="21"/>
      <c r="M26" s="5"/>
      <c r="N26" s="10"/>
      <c r="O26" s="7">
        <f>SUM(O10:O25)</f>
        <v>4.4399999999999995</v>
      </c>
      <c r="P26" s="7">
        <f>SUM(P10:P25)</f>
        <v>100</v>
      </c>
      <c r="Q26" s="8">
        <f>SUM(Q10:Q25)</f>
        <v>104.44</v>
      </c>
      <c r="S26" s="5"/>
      <c r="T26" s="10"/>
      <c r="U26" s="7">
        <f>SUM(U10:U25)</f>
        <v>4.4399999999999995</v>
      </c>
      <c r="V26" s="7">
        <f>SUM(V10:V25)</f>
        <v>100</v>
      </c>
      <c r="W26" s="8">
        <f>SUM(W10:W25)</f>
        <v>104.44</v>
      </c>
    </row>
    <row r="27" spans="1:23" ht="15.75" customHeight="1" thickBot="1" x14ac:dyDescent="0.3">
      <c r="B27" s="21"/>
      <c r="F27" s="21"/>
      <c r="G27" s="21"/>
      <c r="H27" s="21"/>
      <c r="I27" s="21"/>
      <c r="J27" s="21"/>
      <c r="K27" s="21"/>
      <c r="L27" s="21"/>
      <c r="O27" s="26"/>
      <c r="P27" s="26"/>
      <c r="Q27" s="26"/>
      <c r="U27" s="26"/>
      <c r="V27" s="26"/>
      <c r="W27" s="26"/>
    </row>
    <row r="28" spans="1:23" ht="15.75" customHeight="1" thickBot="1" x14ac:dyDescent="0.35">
      <c r="A28" s="20" t="s">
        <v>16</v>
      </c>
      <c r="B28" s="16"/>
      <c r="C28" s="17" t="s">
        <v>2</v>
      </c>
      <c r="D28" s="17" t="s">
        <v>3</v>
      </c>
      <c r="E28" s="18" t="s">
        <v>4</v>
      </c>
      <c r="F28" s="21"/>
      <c r="G28" s="20" t="s">
        <v>17</v>
      </c>
      <c r="H28" s="16"/>
      <c r="I28" s="17" t="s">
        <v>2</v>
      </c>
      <c r="J28" s="17" t="s">
        <v>3</v>
      </c>
      <c r="K28" s="18" t="s">
        <v>4</v>
      </c>
      <c r="L28" s="21"/>
      <c r="M28" s="20" t="s">
        <v>18</v>
      </c>
      <c r="N28" s="16"/>
      <c r="O28" s="17" t="s">
        <v>2</v>
      </c>
      <c r="P28" s="17" t="s">
        <v>3</v>
      </c>
      <c r="Q28" s="18" t="s">
        <v>4</v>
      </c>
      <c r="U28" s="26"/>
      <c r="V28" s="26"/>
      <c r="W28" s="26"/>
    </row>
    <row r="29" spans="1:23" ht="15.75" customHeight="1" x14ac:dyDescent="0.3">
      <c r="A29" s="31" t="s">
        <v>8</v>
      </c>
      <c r="B29" s="21">
        <v>1</v>
      </c>
      <c r="C29" s="27"/>
      <c r="D29" s="27"/>
      <c r="E29" s="28"/>
      <c r="F29" s="21"/>
      <c r="G29" s="31" t="s">
        <v>8</v>
      </c>
      <c r="H29" s="21">
        <v>0.125</v>
      </c>
      <c r="I29" s="27"/>
      <c r="J29" s="27"/>
      <c r="K29" s="28"/>
      <c r="L29" s="21"/>
      <c r="M29" s="31" t="s">
        <v>8</v>
      </c>
      <c r="N29" s="21">
        <v>1</v>
      </c>
      <c r="O29" s="27"/>
      <c r="P29" s="27"/>
      <c r="Q29" s="28"/>
      <c r="T29" s="26"/>
      <c r="U29" s="26"/>
      <c r="V29" s="26"/>
    </row>
    <row r="30" spans="1:23" ht="15.75" customHeight="1" x14ac:dyDescent="0.3">
      <c r="A30" s="31" t="s">
        <v>9</v>
      </c>
      <c r="B30" s="24">
        <v>44076</v>
      </c>
      <c r="C30" s="27"/>
      <c r="D30" s="27"/>
      <c r="E30" s="28"/>
      <c r="F30" s="21"/>
      <c r="G30" s="31" t="s">
        <v>9</v>
      </c>
      <c r="H30" s="24">
        <v>44076</v>
      </c>
      <c r="I30" s="27"/>
      <c r="J30" s="27"/>
      <c r="K30" s="28"/>
      <c r="M30" s="31" t="s">
        <v>9</v>
      </c>
      <c r="N30" s="24">
        <v>44076</v>
      </c>
      <c r="O30" s="27"/>
      <c r="P30" s="27"/>
      <c r="Q30" s="28"/>
      <c r="T30" s="26"/>
      <c r="U30" s="26"/>
      <c r="V30" s="26"/>
    </row>
    <row r="31" spans="1:23" ht="19.5" customHeight="1" x14ac:dyDescent="0.3">
      <c r="A31" s="31" t="s">
        <v>10</v>
      </c>
      <c r="B31" s="24">
        <v>44570</v>
      </c>
      <c r="C31" s="27"/>
      <c r="D31" s="27"/>
      <c r="E31" s="28"/>
      <c r="F31" s="21"/>
      <c r="G31" s="31" t="s">
        <v>10</v>
      </c>
      <c r="H31" s="24">
        <v>44570</v>
      </c>
      <c r="I31" s="27"/>
      <c r="J31" s="27"/>
      <c r="K31" s="28"/>
      <c r="M31" s="31" t="s">
        <v>10</v>
      </c>
      <c r="N31" s="24">
        <v>44570</v>
      </c>
      <c r="O31" s="27"/>
      <c r="P31" s="27"/>
      <c r="Q31" s="28"/>
      <c r="T31" s="26"/>
      <c r="U31" s="26"/>
      <c r="V31" s="26"/>
    </row>
    <row r="32" spans="1:23" ht="18.75" customHeight="1" x14ac:dyDescent="0.3">
      <c r="A32" s="31" t="s">
        <v>11</v>
      </c>
      <c r="B32" s="32">
        <v>1.25E-3</v>
      </c>
      <c r="C32" s="27"/>
      <c r="D32" s="27"/>
      <c r="E32" s="28"/>
      <c r="F32" s="21"/>
      <c r="G32" s="31" t="s">
        <v>11</v>
      </c>
      <c r="H32" s="32">
        <v>1.25E-3</v>
      </c>
      <c r="I32" s="27"/>
      <c r="J32" s="27"/>
      <c r="K32" s="28"/>
      <c r="M32" s="31" t="s">
        <v>11</v>
      </c>
      <c r="N32" s="32">
        <v>1.25E-3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12</v>
      </c>
      <c r="B33" s="21">
        <v>100</v>
      </c>
      <c r="C33" s="27"/>
      <c r="D33" s="27"/>
      <c r="E33" s="28"/>
      <c r="F33" s="21"/>
      <c r="G33" s="31" t="s">
        <v>12</v>
      </c>
      <c r="H33" s="21">
        <v>100</v>
      </c>
      <c r="I33" s="27"/>
      <c r="J33" s="27"/>
      <c r="K33" s="28"/>
      <c r="M33" s="31" t="s">
        <v>12</v>
      </c>
      <c r="N33" s="21">
        <v>100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13</v>
      </c>
      <c r="B34" s="45">
        <f ca="1">B32*DAYS360(B31,TODAY())/360*100</f>
        <v>0.12083333333333333</v>
      </c>
      <c r="C34" s="27"/>
      <c r="D34" s="27"/>
      <c r="E34" s="28"/>
      <c r="F34" s="21"/>
      <c r="G34" s="31" t="s">
        <v>13</v>
      </c>
      <c r="H34" s="45">
        <f ca="1">H32*DAYS360(H31,TODAY())/360*100</f>
        <v>0.12083333333333333</v>
      </c>
      <c r="I34" s="27"/>
      <c r="J34" s="27"/>
      <c r="K34" s="28"/>
      <c r="M34" s="31" t="s">
        <v>13</v>
      </c>
      <c r="N34" s="45">
        <f ca="1">N32*DAYS360(N30,TODAY())/360*100</f>
        <v>0.28993055555555558</v>
      </c>
      <c r="O34" s="27"/>
      <c r="P34" s="27"/>
      <c r="Q34" s="28"/>
      <c r="T34" s="26"/>
      <c r="U34" s="26"/>
      <c r="V34" s="26"/>
    </row>
    <row r="35" spans="1:22" ht="18.75" customHeight="1" thickBot="1" x14ac:dyDescent="0.35">
      <c r="A35" s="31" t="s">
        <v>14</v>
      </c>
      <c r="B35" s="45">
        <f ca="1">B33+B34</f>
        <v>100.12083333333334</v>
      </c>
      <c r="C35" s="27"/>
      <c r="D35" s="27"/>
      <c r="E35" s="78">
        <v>-18.05</v>
      </c>
      <c r="F35" s="21"/>
      <c r="G35" s="31" t="s">
        <v>14</v>
      </c>
      <c r="H35" s="45">
        <f ca="1">H33+H34</f>
        <v>100.12083333333334</v>
      </c>
      <c r="I35" s="27"/>
      <c r="J35" s="27"/>
      <c r="K35" s="78">
        <v>-23.1</v>
      </c>
      <c r="M35" s="31" t="s">
        <v>14</v>
      </c>
      <c r="N35" s="45">
        <f ca="1">N33+N34</f>
        <v>100.28993055555556</v>
      </c>
      <c r="O35" s="27"/>
      <c r="P35" s="27"/>
      <c r="Q35" s="78">
        <v>-22.7</v>
      </c>
      <c r="T35" s="26"/>
      <c r="U35" s="26"/>
      <c r="V35" s="26"/>
    </row>
    <row r="36" spans="1:22" ht="18.75" customHeight="1" thickBot="1" x14ac:dyDescent="0.3">
      <c r="A36" s="3">
        <v>44935</v>
      </c>
      <c r="B36" s="1" t="s">
        <v>15</v>
      </c>
      <c r="C36" s="2">
        <v>0.75</v>
      </c>
      <c r="D36" s="2">
        <v>0</v>
      </c>
      <c r="E36" s="80">
        <v>0.75</v>
      </c>
      <c r="F36" s="21"/>
      <c r="G36" s="3">
        <v>44935</v>
      </c>
      <c r="H36" s="1" t="s">
        <v>15</v>
      </c>
      <c r="I36" s="2">
        <v>1.94</v>
      </c>
      <c r="J36" s="2">
        <v>0</v>
      </c>
      <c r="K36" s="80">
        <v>1.94</v>
      </c>
      <c r="M36" s="3">
        <v>44935</v>
      </c>
      <c r="N36" s="1" t="s">
        <v>15</v>
      </c>
      <c r="O36" s="2">
        <v>1.75</v>
      </c>
      <c r="P36" s="2">
        <v>0</v>
      </c>
      <c r="Q36" s="80">
        <v>1.75</v>
      </c>
      <c r="T36" s="26"/>
      <c r="U36" s="26"/>
      <c r="V36" s="26"/>
    </row>
    <row r="37" spans="1:22" ht="18.75" customHeight="1" thickBot="1" x14ac:dyDescent="0.3">
      <c r="A37" s="3">
        <v>45116</v>
      </c>
      <c r="B37" s="1" t="s">
        <v>15</v>
      </c>
      <c r="C37" s="2">
        <v>0.75</v>
      </c>
      <c r="D37" s="2">
        <v>0</v>
      </c>
      <c r="E37" s="80">
        <v>0.75</v>
      </c>
      <c r="F37" s="21"/>
      <c r="G37" s="3">
        <v>45116</v>
      </c>
      <c r="H37" s="1" t="s">
        <v>15</v>
      </c>
      <c r="I37" s="2">
        <v>1.94</v>
      </c>
      <c r="J37" s="2">
        <v>0</v>
      </c>
      <c r="K37" s="80">
        <v>1.94</v>
      </c>
      <c r="M37" s="3">
        <v>45116</v>
      </c>
      <c r="N37" s="1" t="s">
        <v>15</v>
      </c>
      <c r="O37" s="2">
        <v>1.75</v>
      </c>
      <c r="P37" s="2">
        <v>0</v>
      </c>
      <c r="Q37" s="80">
        <v>1.75</v>
      </c>
      <c r="T37" s="26"/>
      <c r="U37" s="26"/>
      <c r="V37" s="26"/>
    </row>
    <row r="38" spans="1:22" ht="19.5" customHeight="1" thickBot="1" x14ac:dyDescent="0.3">
      <c r="A38" s="3">
        <v>45300</v>
      </c>
      <c r="B38" s="1" t="s">
        <v>15</v>
      </c>
      <c r="C38" s="2">
        <v>1.81</v>
      </c>
      <c r="D38" s="2">
        <v>0</v>
      </c>
      <c r="E38" s="80">
        <v>1.81</v>
      </c>
      <c r="F38" s="21"/>
      <c r="G38" s="3">
        <v>45300</v>
      </c>
      <c r="H38" s="1" t="s">
        <v>15</v>
      </c>
      <c r="I38" s="2">
        <v>2.12</v>
      </c>
      <c r="J38" s="2">
        <v>0</v>
      </c>
      <c r="K38" s="80">
        <v>2.12</v>
      </c>
      <c r="M38" s="3">
        <v>45300</v>
      </c>
      <c r="N38" s="1" t="s">
        <v>15</v>
      </c>
      <c r="O38" s="2">
        <v>1.75</v>
      </c>
      <c r="P38" s="2">
        <v>0</v>
      </c>
      <c r="Q38" s="80">
        <v>1.75</v>
      </c>
      <c r="T38" s="26"/>
      <c r="U38" s="26"/>
      <c r="V38" s="26"/>
    </row>
    <row r="39" spans="1:22" ht="15.75" customHeight="1" thickBot="1" x14ac:dyDescent="0.3">
      <c r="A39" s="3">
        <v>45482</v>
      </c>
      <c r="B39" s="1" t="s">
        <v>15</v>
      </c>
      <c r="C39" s="2">
        <v>1.81</v>
      </c>
      <c r="D39" s="2">
        <v>0</v>
      </c>
      <c r="E39" s="80">
        <v>1.81</v>
      </c>
      <c r="F39" s="21"/>
      <c r="G39" s="3">
        <v>45482</v>
      </c>
      <c r="H39" s="1" t="s">
        <v>15</v>
      </c>
      <c r="I39" s="2">
        <v>2.12</v>
      </c>
      <c r="J39" s="2">
        <v>0</v>
      </c>
      <c r="K39" s="80">
        <v>2.12</v>
      </c>
      <c r="M39" s="3">
        <v>45482</v>
      </c>
      <c r="N39" s="1" t="s">
        <v>15</v>
      </c>
      <c r="O39" s="2">
        <v>1.75</v>
      </c>
      <c r="P39" s="2">
        <v>0</v>
      </c>
      <c r="Q39" s="80">
        <v>1.75</v>
      </c>
      <c r="T39" s="26"/>
      <c r="U39" s="26"/>
      <c r="V39" s="26"/>
    </row>
    <row r="40" spans="1:22" ht="15.75" customHeight="1" thickBot="1" x14ac:dyDescent="0.3">
      <c r="A40" s="3">
        <v>45666</v>
      </c>
      <c r="B40" s="1" t="s">
        <v>15</v>
      </c>
      <c r="C40" s="2">
        <v>2.06</v>
      </c>
      <c r="D40" s="2">
        <v>0</v>
      </c>
      <c r="E40" s="80">
        <v>2.06</v>
      </c>
      <c r="F40" s="21"/>
      <c r="G40" s="3">
        <v>45666</v>
      </c>
      <c r="H40" s="1" t="s">
        <v>15</v>
      </c>
      <c r="I40" s="2">
        <v>2.5</v>
      </c>
      <c r="J40" s="2">
        <v>0</v>
      </c>
      <c r="K40" s="80">
        <v>2.5</v>
      </c>
      <c r="M40" s="3">
        <v>45666</v>
      </c>
      <c r="N40" s="1" t="s">
        <v>15</v>
      </c>
      <c r="O40" s="2">
        <v>1.75</v>
      </c>
      <c r="P40" s="2">
        <v>0</v>
      </c>
      <c r="Q40" s="80">
        <v>1.75</v>
      </c>
      <c r="T40" s="26"/>
      <c r="U40" s="26"/>
      <c r="V40" s="26"/>
    </row>
    <row r="41" spans="1:22" ht="15.75" customHeight="1" thickBot="1" x14ac:dyDescent="0.3">
      <c r="A41" s="3">
        <v>45847</v>
      </c>
      <c r="B41" s="1" t="s">
        <v>15</v>
      </c>
      <c r="C41" s="2">
        <v>2.06</v>
      </c>
      <c r="D41" s="2">
        <v>0</v>
      </c>
      <c r="E41" s="80">
        <v>2.06</v>
      </c>
      <c r="F41" s="21"/>
      <c r="G41" s="3">
        <v>45847</v>
      </c>
      <c r="H41" s="1" t="s">
        <v>15</v>
      </c>
      <c r="I41" s="2">
        <v>2.5</v>
      </c>
      <c r="J41" s="2">
        <v>0</v>
      </c>
      <c r="K41" s="80">
        <v>2.5</v>
      </c>
      <c r="M41" s="3">
        <v>45847</v>
      </c>
      <c r="N41" s="1" t="s">
        <v>15</v>
      </c>
      <c r="O41" s="2">
        <v>1.75</v>
      </c>
      <c r="P41" s="2">
        <v>0</v>
      </c>
      <c r="Q41" s="80">
        <v>1.75</v>
      </c>
      <c r="T41" s="26"/>
      <c r="U41" s="26"/>
      <c r="V41" s="26"/>
    </row>
    <row r="42" spans="1:22" ht="15.75" customHeight="1" thickBot="1" x14ac:dyDescent="0.3">
      <c r="A42" s="3">
        <v>46031</v>
      </c>
      <c r="B42" s="1" t="s">
        <v>15</v>
      </c>
      <c r="C42" s="2">
        <v>2.06</v>
      </c>
      <c r="D42" s="2">
        <v>0</v>
      </c>
      <c r="E42" s="80">
        <v>2.06</v>
      </c>
      <c r="F42" s="21"/>
      <c r="G42" s="3">
        <v>46031</v>
      </c>
      <c r="H42" s="1" t="s">
        <v>15</v>
      </c>
      <c r="I42" s="2">
        <v>2.5</v>
      </c>
      <c r="J42" s="2">
        <v>0</v>
      </c>
      <c r="K42" s="80">
        <v>2.5</v>
      </c>
      <c r="M42" s="3">
        <v>46031</v>
      </c>
      <c r="N42" s="1" t="s">
        <v>15</v>
      </c>
      <c r="O42" s="2">
        <v>1.75</v>
      </c>
      <c r="P42" s="2">
        <v>0</v>
      </c>
      <c r="Q42" s="80">
        <v>1.75</v>
      </c>
      <c r="T42" s="26"/>
      <c r="U42" s="26"/>
      <c r="V42" s="26"/>
    </row>
    <row r="43" spans="1:22" ht="15.75" customHeight="1" thickBot="1" x14ac:dyDescent="0.3">
      <c r="A43" s="3">
        <v>46212</v>
      </c>
      <c r="B43" s="1" t="s">
        <v>15</v>
      </c>
      <c r="C43" s="2">
        <v>2.06</v>
      </c>
      <c r="D43" s="2">
        <v>0</v>
      </c>
      <c r="E43" s="80">
        <v>2.06</v>
      </c>
      <c r="F43" s="21"/>
      <c r="G43" s="3">
        <v>46212</v>
      </c>
      <c r="H43" s="1" t="s">
        <v>15</v>
      </c>
      <c r="I43" s="2">
        <v>2.5</v>
      </c>
      <c r="J43" s="2">
        <v>0</v>
      </c>
      <c r="K43" s="80">
        <v>2.5</v>
      </c>
      <c r="M43" s="3">
        <v>46212</v>
      </c>
      <c r="N43" s="1" t="s">
        <v>15</v>
      </c>
      <c r="O43" s="2">
        <v>1.75</v>
      </c>
      <c r="P43" s="2">
        <v>0</v>
      </c>
      <c r="Q43" s="80">
        <v>1.75</v>
      </c>
      <c r="T43" s="26"/>
      <c r="U43" s="26"/>
      <c r="V43" s="26"/>
    </row>
    <row r="44" spans="1:22" ht="15.75" customHeight="1" thickBot="1" x14ac:dyDescent="0.3">
      <c r="A44" s="3">
        <v>46396</v>
      </c>
      <c r="B44" s="1" t="s">
        <v>15</v>
      </c>
      <c r="C44" s="2">
        <v>2.06</v>
      </c>
      <c r="D44" s="2">
        <v>0</v>
      </c>
      <c r="E44" s="80">
        <v>2.06</v>
      </c>
      <c r="F44" s="21"/>
      <c r="G44" s="3">
        <v>46396</v>
      </c>
      <c r="H44" s="1" t="s">
        <v>15</v>
      </c>
      <c r="I44" s="2">
        <v>2.5</v>
      </c>
      <c r="J44" s="2">
        <v>0</v>
      </c>
      <c r="K44" s="80">
        <v>2.5</v>
      </c>
      <c r="M44" s="3">
        <v>46396</v>
      </c>
      <c r="N44" s="1" t="s">
        <v>15</v>
      </c>
      <c r="O44" s="2">
        <v>1.75</v>
      </c>
      <c r="P44" s="2">
        <v>0</v>
      </c>
      <c r="Q44" s="80">
        <v>1.75</v>
      </c>
      <c r="T44" s="26"/>
      <c r="U44" s="26"/>
      <c r="V44" s="26"/>
    </row>
    <row r="45" spans="1:22" ht="15.75" customHeight="1" thickBot="1" x14ac:dyDescent="0.3">
      <c r="A45" s="3">
        <v>46577</v>
      </c>
      <c r="B45" s="1" t="s">
        <v>15</v>
      </c>
      <c r="C45" s="2">
        <v>2.06</v>
      </c>
      <c r="D45" s="2">
        <v>0</v>
      </c>
      <c r="E45" s="80">
        <v>2.06</v>
      </c>
      <c r="F45" s="21"/>
      <c r="G45" s="3">
        <v>46577</v>
      </c>
      <c r="H45" s="1" t="s">
        <v>15</v>
      </c>
      <c r="I45" s="2">
        <v>2.5</v>
      </c>
      <c r="J45" s="2">
        <v>4.55</v>
      </c>
      <c r="K45" s="80">
        <v>7.05</v>
      </c>
      <c r="M45" s="3">
        <v>46577</v>
      </c>
      <c r="N45" s="1" t="s">
        <v>15</v>
      </c>
      <c r="O45" s="2">
        <v>1.75</v>
      </c>
      <c r="P45" s="2">
        <v>0</v>
      </c>
      <c r="Q45" s="80">
        <v>1.75</v>
      </c>
      <c r="T45" s="26"/>
      <c r="U45" s="26"/>
      <c r="V45" s="26"/>
    </row>
    <row r="46" spans="1:22" ht="15.75" customHeight="1" thickBot="1" x14ac:dyDescent="0.3">
      <c r="A46" s="3">
        <v>46761</v>
      </c>
      <c r="B46" s="1" t="s">
        <v>15</v>
      </c>
      <c r="C46" s="2">
        <v>2.38</v>
      </c>
      <c r="D46" s="2">
        <v>0</v>
      </c>
      <c r="E46" s="80">
        <v>2.38</v>
      </c>
      <c r="F46" s="21"/>
      <c r="G46" s="3">
        <v>46761</v>
      </c>
      <c r="H46" s="1" t="s">
        <v>15</v>
      </c>
      <c r="I46" s="2">
        <v>2.39</v>
      </c>
      <c r="J46" s="2">
        <v>4.55</v>
      </c>
      <c r="K46" s="4">
        <v>6.94</v>
      </c>
      <c r="M46" s="3">
        <v>46761</v>
      </c>
      <c r="N46" s="1" t="s">
        <v>15</v>
      </c>
      <c r="O46" s="2">
        <v>1.75</v>
      </c>
      <c r="P46" s="2">
        <v>3.57</v>
      </c>
      <c r="Q46" s="80">
        <v>5.32</v>
      </c>
      <c r="T46" s="26"/>
      <c r="U46" s="26"/>
      <c r="V46" s="26"/>
    </row>
    <row r="47" spans="1:22" ht="15.75" customHeight="1" thickBot="1" x14ac:dyDescent="0.3">
      <c r="A47" s="3">
        <v>46943</v>
      </c>
      <c r="B47" s="1" t="s">
        <v>15</v>
      </c>
      <c r="C47" s="2">
        <v>2.38</v>
      </c>
      <c r="D47" s="2">
        <v>0</v>
      </c>
      <c r="E47" s="4">
        <v>2.38</v>
      </c>
      <c r="F47" s="21"/>
      <c r="G47" s="3">
        <v>46943</v>
      </c>
      <c r="H47" s="1" t="s">
        <v>15</v>
      </c>
      <c r="I47" s="2">
        <v>2.27</v>
      </c>
      <c r="J47" s="2">
        <v>4.55</v>
      </c>
      <c r="K47" s="4">
        <v>6.82</v>
      </c>
      <c r="M47" s="3">
        <v>46943</v>
      </c>
      <c r="N47" s="1" t="s">
        <v>15</v>
      </c>
      <c r="O47" s="2">
        <v>1.69</v>
      </c>
      <c r="P47" s="2">
        <v>3.57</v>
      </c>
      <c r="Q47" s="4">
        <v>5.26</v>
      </c>
      <c r="T47" s="26"/>
      <c r="U47" s="26"/>
      <c r="V47" s="26"/>
    </row>
    <row r="48" spans="1:22" ht="15.75" customHeight="1" thickBot="1" x14ac:dyDescent="0.3">
      <c r="A48" s="3">
        <v>47127</v>
      </c>
      <c r="B48" s="1" t="s">
        <v>15</v>
      </c>
      <c r="C48" s="2">
        <v>2.5</v>
      </c>
      <c r="D48" s="2">
        <v>0</v>
      </c>
      <c r="E48" s="4">
        <v>2.5</v>
      </c>
      <c r="F48" s="21"/>
      <c r="G48" s="3">
        <v>47127</v>
      </c>
      <c r="H48" s="1" t="s">
        <v>15</v>
      </c>
      <c r="I48" s="2">
        <v>2.16</v>
      </c>
      <c r="J48" s="2">
        <v>4.55</v>
      </c>
      <c r="K48" s="4">
        <v>6.71</v>
      </c>
      <c r="M48" s="3">
        <v>47127</v>
      </c>
      <c r="N48" s="1" t="s">
        <v>15</v>
      </c>
      <c r="O48" s="2">
        <v>1.63</v>
      </c>
      <c r="P48" s="2">
        <v>3.57</v>
      </c>
      <c r="Q48" s="4">
        <v>5.2</v>
      </c>
      <c r="T48" s="26"/>
      <c r="U48" s="26"/>
      <c r="V48" s="26"/>
    </row>
    <row r="49" spans="1:23" ht="15.75" customHeight="1" thickBot="1" x14ac:dyDescent="0.3">
      <c r="A49" s="3">
        <v>47308</v>
      </c>
      <c r="B49" s="1" t="s">
        <v>15</v>
      </c>
      <c r="C49" s="2">
        <v>2.5</v>
      </c>
      <c r="D49" s="2">
        <v>0</v>
      </c>
      <c r="E49" s="4">
        <v>2.5</v>
      </c>
      <c r="F49" s="21"/>
      <c r="G49" s="3">
        <v>47308</v>
      </c>
      <c r="H49" s="1" t="s">
        <v>15</v>
      </c>
      <c r="I49" s="2">
        <v>2.0499999999999998</v>
      </c>
      <c r="J49" s="2">
        <v>4.55</v>
      </c>
      <c r="K49" s="4">
        <v>6.6</v>
      </c>
      <c r="M49" s="3">
        <v>47308</v>
      </c>
      <c r="N49" s="1" t="s">
        <v>15</v>
      </c>
      <c r="O49" s="2">
        <v>1.56</v>
      </c>
      <c r="P49" s="2">
        <v>3.57</v>
      </c>
      <c r="Q49" s="4">
        <v>5.13</v>
      </c>
      <c r="T49" s="26"/>
      <c r="U49" s="26"/>
      <c r="V49" s="26"/>
    </row>
    <row r="50" spans="1:23" ht="15.75" customHeight="1" thickBot="1" x14ac:dyDescent="0.3">
      <c r="A50" s="3">
        <v>47492</v>
      </c>
      <c r="B50" s="1" t="s">
        <v>15</v>
      </c>
      <c r="C50" s="2">
        <v>2.5</v>
      </c>
      <c r="D50" s="2">
        <v>0</v>
      </c>
      <c r="E50" s="4">
        <v>2.5</v>
      </c>
      <c r="F50" s="21"/>
      <c r="G50" s="3">
        <v>47492</v>
      </c>
      <c r="H50" s="1" t="s">
        <v>15</v>
      </c>
      <c r="I50" s="2">
        <v>1.93</v>
      </c>
      <c r="J50" s="2">
        <v>4.55</v>
      </c>
      <c r="K50" s="4">
        <v>6.48</v>
      </c>
      <c r="M50" s="3">
        <v>47492</v>
      </c>
      <c r="N50" s="1" t="s">
        <v>15</v>
      </c>
      <c r="O50" s="2">
        <v>2.09</v>
      </c>
      <c r="P50" s="2">
        <v>3.57</v>
      </c>
      <c r="Q50" s="4">
        <v>5.66</v>
      </c>
      <c r="T50" s="26"/>
      <c r="U50" s="26"/>
      <c r="V50" s="26"/>
    </row>
    <row r="51" spans="1:23" ht="15.75" customHeight="1" thickBot="1" x14ac:dyDescent="0.3">
      <c r="A51" s="3">
        <v>47673</v>
      </c>
      <c r="B51" s="1" t="s">
        <v>15</v>
      </c>
      <c r="C51" s="2">
        <v>2.5</v>
      </c>
      <c r="D51" s="2">
        <v>0</v>
      </c>
      <c r="E51" s="4">
        <v>2.5</v>
      </c>
      <c r="F51" s="21"/>
      <c r="G51" s="3">
        <v>47673</v>
      </c>
      <c r="H51" s="1" t="s">
        <v>15</v>
      </c>
      <c r="I51" s="2">
        <v>1.82</v>
      </c>
      <c r="J51" s="2">
        <v>4.55</v>
      </c>
      <c r="K51" s="4">
        <v>6.37</v>
      </c>
      <c r="M51" s="3">
        <v>47673</v>
      </c>
      <c r="N51" s="1" t="s">
        <v>15</v>
      </c>
      <c r="O51" s="2">
        <v>2</v>
      </c>
      <c r="P51" s="2">
        <v>3.57</v>
      </c>
      <c r="Q51" s="4">
        <v>5.57</v>
      </c>
      <c r="T51" s="26"/>
      <c r="U51" s="26"/>
      <c r="V51" s="26"/>
    </row>
    <row r="52" spans="1:23" ht="15.75" customHeight="1" thickBot="1" x14ac:dyDescent="0.3">
      <c r="A52" s="3">
        <v>47857</v>
      </c>
      <c r="B52" s="1" t="s">
        <v>15</v>
      </c>
      <c r="C52" s="2">
        <v>2.5</v>
      </c>
      <c r="D52" s="2">
        <v>10</v>
      </c>
      <c r="E52" s="4">
        <v>12.5</v>
      </c>
      <c r="F52" s="21"/>
      <c r="G52" s="3">
        <v>47857</v>
      </c>
      <c r="H52" s="1" t="s">
        <v>15</v>
      </c>
      <c r="I52" s="2">
        <v>1.7</v>
      </c>
      <c r="J52" s="2">
        <v>4.55</v>
      </c>
      <c r="K52" s="4">
        <v>6.25</v>
      </c>
      <c r="M52" s="3">
        <v>47857</v>
      </c>
      <c r="N52" s="1" t="s">
        <v>15</v>
      </c>
      <c r="O52" s="2">
        <v>1.92</v>
      </c>
      <c r="P52" s="2">
        <v>3.57</v>
      </c>
      <c r="Q52" s="4">
        <v>5.49</v>
      </c>
      <c r="T52" s="26"/>
      <c r="U52" s="26"/>
      <c r="V52" s="26"/>
    </row>
    <row r="53" spans="1:23" ht="15.75" customHeight="1" thickBot="1" x14ac:dyDescent="0.3">
      <c r="A53" s="3">
        <v>48038</v>
      </c>
      <c r="B53" s="1" t="s">
        <v>15</v>
      </c>
      <c r="C53" s="2">
        <v>2.25</v>
      </c>
      <c r="D53" s="2">
        <v>10</v>
      </c>
      <c r="E53" s="4">
        <v>12.25</v>
      </c>
      <c r="F53" s="21"/>
      <c r="G53" s="3">
        <v>48038</v>
      </c>
      <c r="H53" s="1" t="s">
        <v>15</v>
      </c>
      <c r="I53" s="2">
        <v>1.59</v>
      </c>
      <c r="J53" s="2">
        <v>4.55</v>
      </c>
      <c r="K53" s="4">
        <v>6.14</v>
      </c>
      <c r="M53" s="3">
        <v>48038</v>
      </c>
      <c r="N53" s="1" t="s">
        <v>15</v>
      </c>
      <c r="O53" s="2">
        <v>1.83</v>
      </c>
      <c r="P53" s="2">
        <v>3.57</v>
      </c>
      <c r="Q53" s="4">
        <v>5.4</v>
      </c>
      <c r="T53" s="26"/>
      <c r="U53" s="26"/>
      <c r="V53" s="26"/>
    </row>
    <row r="54" spans="1:23" ht="15.75" customHeight="1" thickBot="1" x14ac:dyDescent="0.3">
      <c r="A54" s="3">
        <v>48222</v>
      </c>
      <c r="B54" s="1" t="s">
        <v>15</v>
      </c>
      <c r="C54" s="2">
        <v>2</v>
      </c>
      <c r="D54" s="2">
        <v>10</v>
      </c>
      <c r="E54" s="4">
        <v>12</v>
      </c>
      <c r="F54" s="21"/>
      <c r="G54" s="3">
        <v>48222</v>
      </c>
      <c r="H54" s="1" t="s">
        <v>15</v>
      </c>
      <c r="I54" s="2">
        <v>1.48</v>
      </c>
      <c r="J54" s="2">
        <v>4.55</v>
      </c>
      <c r="K54" s="4">
        <v>6.03</v>
      </c>
      <c r="M54" s="3">
        <v>48222</v>
      </c>
      <c r="N54" s="1" t="s">
        <v>15</v>
      </c>
      <c r="O54" s="2">
        <v>1.74</v>
      </c>
      <c r="P54" s="2">
        <v>3.57</v>
      </c>
      <c r="Q54" s="4">
        <v>5.31</v>
      </c>
      <c r="T54" s="26"/>
      <c r="U54" s="26"/>
      <c r="V54" s="26"/>
    </row>
    <row r="55" spans="1:23" ht="15.75" customHeight="1" thickBot="1" x14ac:dyDescent="0.3">
      <c r="A55" s="3">
        <v>48404</v>
      </c>
      <c r="B55" s="1" t="s">
        <v>15</v>
      </c>
      <c r="C55" s="2">
        <v>1.75</v>
      </c>
      <c r="D55" s="2">
        <v>10</v>
      </c>
      <c r="E55" s="4">
        <v>11.75</v>
      </c>
      <c r="F55" s="21"/>
      <c r="G55" s="3">
        <v>48404</v>
      </c>
      <c r="H55" s="1" t="s">
        <v>15</v>
      </c>
      <c r="I55" s="2">
        <v>1.36</v>
      </c>
      <c r="J55" s="2">
        <v>4.55</v>
      </c>
      <c r="K55" s="4">
        <v>5.91</v>
      </c>
      <c r="L55" s="21"/>
      <c r="M55" s="3">
        <v>48404</v>
      </c>
      <c r="N55" s="1" t="s">
        <v>15</v>
      </c>
      <c r="O55" s="2">
        <v>1.65</v>
      </c>
      <c r="P55" s="2">
        <v>3.57</v>
      </c>
      <c r="Q55" s="4">
        <v>5.22</v>
      </c>
      <c r="T55" s="26"/>
      <c r="U55" s="26"/>
      <c r="V55" s="26"/>
    </row>
    <row r="56" spans="1:23" ht="15.75" customHeight="1" thickBot="1" x14ac:dyDescent="0.3">
      <c r="A56" s="3">
        <v>48588</v>
      </c>
      <c r="B56" s="1" t="s">
        <v>15</v>
      </c>
      <c r="C56" s="2">
        <v>1.5</v>
      </c>
      <c r="D56" s="2">
        <v>10</v>
      </c>
      <c r="E56" s="4">
        <v>11.5</v>
      </c>
      <c r="F56" s="21"/>
      <c r="G56" s="3">
        <v>48588</v>
      </c>
      <c r="H56" s="1" t="s">
        <v>15</v>
      </c>
      <c r="I56" s="2">
        <v>1.25</v>
      </c>
      <c r="J56" s="2">
        <v>4.55</v>
      </c>
      <c r="K56" s="4">
        <v>5.8</v>
      </c>
      <c r="L56" s="21"/>
      <c r="M56" s="3">
        <v>48588</v>
      </c>
      <c r="N56" s="1" t="s">
        <v>15</v>
      </c>
      <c r="O56" s="2">
        <v>1.57</v>
      </c>
      <c r="P56" s="2">
        <v>3.57</v>
      </c>
      <c r="Q56" s="4">
        <v>5.14</v>
      </c>
      <c r="T56" s="26"/>
      <c r="U56" s="26"/>
      <c r="V56" s="26"/>
    </row>
    <row r="57" spans="1:23" ht="15.75" customHeight="1" thickBot="1" x14ac:dyDescent="0.3">
      <c r="A57" s="3">
        <v>48769</v>
      </c>
      <c r="B57" s="1" t="s">
        <v>15</v>
      </c>
      <c r="C57" s="2">
        <v>1.25</v>
      </c>
      <c r="D57" s="2">
        <v>10</v>
      </c>
      <c r="E57" s="4">
        <v>11.25</v>
      </c>
      <c r="F57" s="21"/>
      <c r="G57" s="3">
        <v>48769</v>
      </c>
      <c r="H57" s="1" t="s">
        <v>15</v>
      </c>
      <c r="I57" s="2">
        <v>1.1399999999999999</v>
      </c>
      <c r="J57" s="2">
        <v>4.55</v>
      </c>
      <c r="K57" s="4">
        <v>5.69</v>
      </c>
      <c r="L57" s="21"/>
      <c r="M57" s="3">
        <v>48769</v>
      </c>
      <c r="N57" s="1" t="s">
        <v>15</v>
      </c>
      <c r="O57" s="2">
        <v>1.48</v>
      </c>
      <c r="P57" s="2">
        <v>3.57</v>
      </c>
      <c r="Q57" s="4">
        <v>5.05</v>
      </c>
      <c r="U57" s="26"/>
      <c r="V57" s="26"/>
      <c r="W57" s="26"/>
    </row>
    <row r="58" spans="1:23" ht="15.75" customHeight="1" thickBot="1" x14ac:dyDescent="0.3">
      <c r="A58" s="3">
        <v>48953</v>
      </c>
      <c r="B58" s="1" t="s">
        <v>15</v>
      </c>
      <c r="C58" s="2">
        <v>1</v>
      </c>
      <c r="D58" s="2">
        <v>10</v>
      </c>
      <c r="E58" s="4">
        <v>11</v>
      </c>
      <c r="F58" s="21"/>
      <c r="G58" s="3">
        <v>48953</v>
      </c>
      <c r="H58" s="1" t="s">
        <v>15</v>
      </c>
      <c r="I58" s="2">
        <v>1.02</v>
      </c>
      <c r="J58" s="2">
        <v>4.55</v>
      </c>
      <c r="K58" s="4">
        <v>5.57</v>
      </c>
      <c r="L58" s="21"/>
      <c r="M58" s="3">
        <v>48953</v>
      </c>
      <c r="N58" s="1" t="s">
        <v>15</v>
      </c>
      <c r="O58" s="2">
        <v>1.39</v>
      </c>
      <c r="P58" s="2">
        <v>3.57</v>
      </c>
      <c r="Q58" s="4">
        <v>4.96</v>
      </c>
      <c r="U58" s="26"/>
      <c r="V58" s="26"/>
      <c r="W58" s="26"/>
    </row>
    <row r="59" spans="1:23" ht="15.75" customHeight="1" thickBot="1" x14ac:dyDescent="0.3">
      <c r="A59" s="3">
        <v>49134</v>
      </c>
      <c r="B59" s="1" t="s">
        <v>15</v>
      </c>
      <c r="C59" s="2">
        <v>0.75</v>
      </c>
      <c r="D59" s="2">
        <v>10</v>
      </c>
      <c r="E59" s="4">
        <v>10.75</v>
      </c>
      <c r="F59" s="21"/>
      <c r="G59" s="3">
        <v>49134</v>
      </c>
      <c r="H59" s="1" t="s">
        <v>15</v>
      </c>
      <c r="I59" s="2">
        <v>0.91</v>
      </c>
      <c r="J59" s="2">
        <v>4.55</v>
      </c>
      <c r="K59" s="4">
        <v>5.46</v>
      </c>
      <c r="L59" s="21"/>
      <c r="M59" s="3">
        <v>49134</v>
      </c>
      <c r="N59" s="1" t="s">
        <v>15</v>
      </c>
      <c r="O59" s="2">
        <v>1.31</v>
      </c>
      <c r="P59" s="2">
        <v>3.57</v>
      </c>
      <c r="Q59" s="4">
        <v>4.88</v>
      </c>
      <c r="U59" s="26"/>
      <c r="V59" s="26"/>
      <c r="W59" s="26"/>
    </row>
    <row r="60" spans="1:23" ht="15.75" customHeight="1" thickBot="1" x14ac:dyDescent="0.3">
      <c r="A60" s="3">
        <v>49318</v>
      </c>
      <c r="B60" s="1" t="s">
        <v>15</v>
      </c>
      <c r="C60" s="2">
        <v>0.5</v>
      </c>
      <c r="D60" s="2">
        <v>10</v>
      </c>
      <c r="E60" s="4">
        <v>10.5</v>
      </c>
      <c r="F60" s="21"/>
      <c r="G60" s="3">
        <v>49318</v>
      </c>
      <c r="H60" s="1" t="s">
        <v>15</v>
      </c>
      <c r="I60" s="2">
        <v>0.8</v>
      </c>
      <c r="J60" s="2">
        <v>4.55</v>
      </c>
      <c r="K60" s="4">
        <v>5.35</v>
      </c>
      <c r="L60" s="21"/>
      <c r="M60" s="3">
        <v>49318</v>
      </c>
      <c r="N60" s="1" t="s">
        <v>15</v>
      </c>
      <c r="O60" s="2">
        <v>1.22</v>
      </c>
      <c r="P60" s="2">
        <v>3.57</v>
      </c>
      <c r="Q60" s="4">
        <v>4.79</v>
      </c>
      <c r="U60" s="26"/>
      <c r="V60" s="26"/>
      <c r="W60" s="26"/>
    </row>
    <row r="61" spans="1:23" ht="15.75" customHeight="1" thickBot="1" x14ac:dyDescent="0.3">
      <c r="A61" s="3">
        <v>49499</v>
      </c>
      <c r="B61" s="1" t="s">
        <v>15</v>
      </c>
      <c r="C61" s="2">
        <v>0.25</v>
      </c>
      <c r="D61" s="2">
        <v>10</v>
      </c>
      <c r="E61" s="4">
        <v>10.25</v>
      </c>
      <c r="F61" s="21"/>
      <c r="G61" s="3">
        <v>49499</v>
      </c>
      <c r="H61" s="1" t="s">
        <v>15</v>
      </c>
      <c r="I61" s="2">
        <v>0.68</v>
      </c>
      <c r="J61" s="2">
        <v>4.55</v>
      </c>
      <c r="K61" s="4">
        <v>5.23</v>
      </c>
      <c r="L61" s="21"/>
      <c r="M61" s="3">
        <v>49499</v>
      </c>
      <c r="N61" s="1" t="s">
        <v>15</v>
      </c>
      <c r="O61" s="2">
        <v>1.1299999999999999</v>
      </c>
      <c r="P61" s="2">
        <v>3.57</v>
      </c>
      <c r="Q61" s="4">
        <v>4.7</v>
      </c>
      <c r="U61" s="26"/>
      <c r="V61" s="26"/>
      <c r="W61" s="26"/>
    </row>
    <row r="62" spans="1:23" ht="15.75" customHeight="1" thickBot="1" x14ac:dyDescent="0.3">
      <c r="A62" s="5"/>
      <c r="B62" s="6"/>
      <c r="C62" s="7">
        <f>SUM(C36:C61)</f>
        <v>45.989999999999995</v>
      </c>
      <c r="D62" s="7">
        <f>SUM(D36:D61)</f>
        <v>100</v>
      </c>
      <c r="E62" s="8">
        <f>SUM(E36:E61)</f>
        <v>145.99</v>
      </c>
      <c r="F62" s="21"/>
      <c r="G62" s="3">
        <v>49683</v>
      </c>
      <c r="H62" s="1" t="s">
        <v>15</v>
      </c>
      <c r="I62" s="2">
        <v>0.56999999999999995</v>
      </c>
      <c r="J62" s="2">
        <v>4.55</v>
      </c>
      <c r="K62" s="4">
        <v>5.12</v>
      </c>
      <c r="L62" s="21"/>
      <c r="M62" s="3">
        <v>49683</v>
      </c>
      <c r="N62" s="1" t="s">
        <v>15</v>
      </c>
      <c r="O62" s="2">
        <v>1.04</v>
      </c>
      <c r="P62" s="2">
        <v>3.57</v>
      </c>
      <c r="Q62" s="4">
        <v>4.6100000000000003</v>
      </c>
      <c r="U62" s="26"/>
      <c r="V62" s="26"/>
      <c r="W62" s="26"/>
    </row>
    <row r="63" spans="1:23" ht="15.75" customHeight="1" thickBot="1" x14ac:dyDescent="0.3">
      <c r="B63" s="21"/>
      <c r="F63" s="21"/>
      <c r="G63" s="3">
        <v>49865</v>
      </c>
      <c r="H63" s="1" t="s">
        <v>15</v>
      </c>
      <c r="I63" s="2">
        <v>0.45</v>
      </c>
      <c r="J63" s="2">
        <v>4.55</v>
      </c>
      <c r="K63" s="4">
        <v>5</v>
      </c>
      <c r="L63" s="21"/>
      <c r="M63" s="3">
        <v>49865</v>
      </c>
      <c r="N63" s="1" t="s">
        <v>15</v>
      </c>
      <c r="O63" s="2">
        <v>0.96</v>
      </c>
      <c r="P63" s="2">
        <v>3.57</v>
      </c>
      <c r="Q63" s="4">
        <v>4.53</v>
      </c>
      <c r="U63" s="26"/>
      <c r="V63" s="26"/>
      <c r="W63" s="26"/>
    </row>
    <row r="64" spans="1:23" ht="15.75" customHeight="1" thickBot="1" x14ac:dyDescent="0.3">
      <c r="B64" s="21"/>
      <c r="F64" s="21"/>
      <c r="G64" s="3">
        <v>50049</v>
      </c>
      <c r="H64" s="1" t="s">
        <v>15</v>
      </c>
      <c r="I64" s="2">
        <v>0.34</v>
      </c>
      <c r="J64" s="2">
        <v>4.55</v>
      </c>
      <c r="K64" s="4">
        <v>4.8899999999999997</v>
      </c>
      <c r="L64" s="21"/>
      <c r="M64" s="3">
        <v>50049</v>
      </c>
      <c r="N64" s="1" t="s">
        <v>15</v>
      </c>
      <c r="O64" s="2">
        <v>0.87</v>
      </c>
      <c r="P64" s="2">
        <v>3.57</v>
      </c>
      <c r="Q64" s="4">
        <v>4.4400000000000004</v>
      </c>
      <c r="U64" s="26"/>
      <c r="V64" s="26"/>
      <c r="W64" s="26"/>
    </row>
    <row r="65" spans="1:23" ht="15.75" customHeight="1" thickBot="1" x14ac:dyDescent="0.3">
      <c r="B65" s="21"/>
      <c r="F65" s="21"/>
      <c r="G65" s="3">
        <v>50230</v>
      </c>
      <c r="H65" s="1" t="s">
        <v>15</v>
      </c>
      <c r="I65" s="2">
        <v>0.23</v>
      </c>
      <c r="J65" s="2">
        <v>4.55</v>
      </c>
      <c r="K65" s="4">
        <v>4.78</v>
      </c>
      <c r="L65" s="21"/>
      <c r="M65" s="3">
        <v>50230</v>
      </c>
      <c r="N65" s="1" t="s">
        <v>15</v>
      </c>
      <c r="O65" s="2">
        <v>0.78</v>
      </c>
      <c r="P65" s="2">
        <v>3.57</v>
      </c>
      <c r="Q65" s="4">
        <v>4.3499999999999996</v>
      </c>
      <c r="U65" s="26"/>
      <c r="V65" s="26"/>
      <c r="W65" s="26"/>
    </row>
    <row r="66" spans="1:23" ht="15.75" customHeight="1" thickBot="1" x14ac:dyDescent="0.3">
      <c r="B66" s="21"/>
      <c r="F66" s="21"/>
      <c r="G66" s="3">
        <v>50414</v>
      </c>
      <c r="H66" s="1" t="s">
        <v>15</v>
      </c>
      <c r="I66" s="2">
        <v>0.11</v>
      </c>
      <c r="J66" s="2">
        <v>4.55</v>
      </c>
      <c r="K66" s="4">
        <v>4.66</v>
      </c>
      <c r="L66" s="21"/>
      <c r="M66" s="3">
        <v>50414</v>
      </c>
      <c r="N66" s="1" t="s">
        <v>15</v>
      </c>
      <c r="O66" s="2">
        <v>0.7</v>
      </c>
      <c r="P66" s="2">
        <v>3.57</v>
      </c>
      <c r="Q66" s="4">
        <v>4.2699999999999996</v>
      </c>
      <c r="U66" s="26"/>
      <c r="V66" s="26"/>
      <c r="W66" s="26"/>
    </row>
    <row r="67" spans="1:23" ht="15.75" customHeight="1" thickBot="1" x14ac:dyDescent="0.3">
      <c r="B67" s="21"/>
      <c r="F67" s="21"/>
      <c r="G67" s="5"/>
      <c r="H67" s="10"/>
      <c r="I67" s="7">
        <f>SUM(I36:I66)</f>
        <v>49.370000000000005</v>
      </c>
      <c r="J67" s="7">
        <f>SUM(J36:J66)</f>
        <v>100.09999999999997</v>
      </c>
      <c r="K67" s="8">
        <f>SUM(K36:K66)</f>
        <v>149.46999999999997</v>
      </c>
      <c r="L67" s="21"/>
      <c r="M67" s="3">
        <v>50595</v>
      </c>
      <c r="N67" s="1" t="s">
        <v>15</v>
      </c>
      <c r="O67" s="2">
        <v>0.61</v>
      </c>
      <c r="P67" s="2">
        <v>3.57</v>
      </c>
      <c r="Q67" s="4">
        <v>4.18</v>
      </c>
      <c r="U67" s="26"/>
      <c r="V67" s="26"/>
      <c r="W67" s="26"/>
    </row>
    <row r="68" spans="1:23" ht="15.75" customHeight="1" thickBot="1" x14ac:dyDescent="0.3">
      <c r="B68" s="21"/>
      <c r="F68" s="21"/>
      <c r="L68" s="21"/>
      <c r="M68" s="3">
        <v>50779</v>
      </c>
      <c r="N68" s="1" t="s">
        <v>15</v>
      </c>
      <c r="O68" s="2">
        <v>0.52</v>
      </c>
      <c r="P68" s="2">
        <v>3.57</v>
      </c>
      <c r="Q68" s="4">
        <v>4.09</v>
      </c>
      <c r="U68" s="26"/>
      <c r="V68" s="26"/>
      <c r="W68" s="26"/>
    </row>
    <row r="69" spans="1:23" ht="15.75" customHeight="1" thickBot="1" x14ac:dyDescent="0.3">
      <c r="B69" s="21"/>
      <c r="F69" s="21"/>
      <c r="L69" s="21"/>
      <c r="M69" s="3">
        <v>50960</v>
      </c>
      <c r="N69" s="1" t="s">
        <v>15</v>
      </c>
      <c r="O69" s="2">
        <v>0.44</v>
      </c>
      <c r="P69" s="2">
        <v>3.57</v>
      </c>
      <c r="Q69" s="4">
        <v>4.01</v>
      </c>
      <c r="U69" s="26"/>
      <c r="V69" s="26"/>
      <c r="W69" s="26"/>
    </row>
    <row r="70" spans="1:23" ht="15.75" customHeight="1" thickBot="1" x14ac:dyDescent="0.3">
      <c r="B70" s="21"/>
      <c r="F70" s="21"/>
      <c r="L70" s="21"/>
      <c r="M70" s="3">
        <v>51144</v>
      </c>
      <c r="N70" s="1" t="s">
        <v>15</v>
      </c>
      <c r="O70" s="2">
        <v>0.35</v>
      </c>
      <c r="P70" s="2">
        <v>3.57</v>
      </c>
      <c r="Q70" s="4">
        <v>3.92</v>
      </c>
      <c r="U70" s="26"/>
      <c r="V70" s="26"/>
      <c r="W70" s="26"/>
    </row>
    <row r="71" spans="1:23" ht="15.75" customHeight="1" thickBot="1" x14ac:dyDescent="0.3">
      <c r="B71" s="21"/>
      <c r="F71" s="21"/>
      <c r="L71" s="21"/>
      <c r="M71" s="3">
        <v>51326</v>
      </c>
      <c r="N71" s="1" t="s">
        <v>15</v>
      </c>
      <c r="O71" s="2">
        <v>0.26</v>
      </c>
      <c r="P71" s="2">
        <v>3.57</v>
      </c>
      <c r="Q71" s="4">
        <v>3.83</v>
      </c>
      <c r="U71" s="26"/>
      <c r="V71" s="26"/>
      <c r="W71" s="26"/>
    </row>
    <row r="72" spans="1:23" ht="15.75" customHeight="1" thickBot="1" x14ac:dyDescent="0.3">
      <c r="B72" s="21"/>
      <c r="F72" s="21"/>
      <c r="L72" s="21"/>
      <c r="M72" s="3">
        <v>51510</v>
      </c>
      <c r="N72" s="1" t="s">
        <v>15</v>
      </c>
      <c r="O72" s="2">
        <v>0.17</v>
      </c>
      <c r="P72" s="2">
        <v>3.57</v>
      </c>
      <c r="Q72" s="4">
        <v>3.74</v>
      </c>
      <c r="U72" s="26"/>
      <c r="V72" s="26"/>
      <c r="W72" s="26"/>
    </row>
    <row r="73" spans="1:23" ht="15.75" customHeight="1" thickBot="1" x14ac:dyDescent="0.3">
      <c r="B73" s="21"/>
      <c r="F73" s="21"/>
      <c r="L73" s="21"/>
      <c r="M73" s="3">
        <v>51691</v>
      </c>
      <c r="N73" s="1" t="s">
        <v>15</v>
      </c>
      <c r="O73" s="2">
        <v>0.09</v>
      </c>
      <c r="P73" s="2">
        <v>3.57</v>
      </c>
      <c r="Q73" s="4">
        <v>3.66</v>
      </c>
    </row>
    <row r="74" spans="1:23" ht="15.75" customHeight="1" thickBot="1" x14ac:dyDescent="0.3">
      <c r="B74" s="21"/>
      <c r="F74" s="21"/>
      <c r="L74" s="21"/>
      <c r="M74" s="5"/>
      <c r="N74" s="10"/>
      <c r="O74" s="7">
        <f>SUM(O36:O73)</f>
        <v>50.250000000000007</v>
      </c>
      <c r="P74" s="7">
        <f>SUM(P36:P73)</f>
        <v>99.959999999999923</v>
      </c>
      <c r="Q74" s="8">
        <f>SUM(Q36:Q73)</f>
        <v>150.20999999999998</v>
      </c>
    </row>
    <row r="75" spans="1:23" ht="15.75" customHeight="1" x14ac:dyDescent="0.25">
      <c r="B75" s="21"/>
    </row>
    <row r="76" spans="1:23" ht="15.75" customHeight="1" x14ac:dyDescent="0.25">
      <c r="B76" s="21"/>
    </row>
    <row r="77" spans="1:23" ht="15.75" customHeight="1" x14ac:dyDescent="0.25">
      <c r="B77" s="21"/>
    </row>
    <row r="78" spans="1:23" ht="15.75" customHeight="1" x14ac:dyDescent="0.25">
      <c r="B78" s="21"/>
      <c r="M78" s="21"/>
    </row>
    <row r="79" spans="1:23" ht="15.75" customHeight="1" x14ac:dyDescent="0.25">
      <c r="A79" s="22"/>
      <c r="B79" s="23"/>
      <c r="D79" s="21"/>
      <c r="E79" s="21"/>
      <c r="G79" s="21"/>
      <c r="H79" s="21"/>
      <c r="I79" s="21"/>
      <c r="J79" s="21"/>
      <c r="K79" s="21"/>
    </row>
    <row r="80" spans="1:23" ht="15.75" customHeight="1" x14ac:dyDescent="0.25">
      <c r="A80" s="22"/>
      <c r="B80" s="23"/>
      <c r="D80" s="21"/>
      <c r="E80" s="21"/>
      <c r="F80" s="21"/>
      <c r="G80" s="21"/>
      <c r="H80" s="21"/>
      <c r="I80" s="21"/>
      <c r="J80" s="21"/>
      <c r="K80" s="21"/>
      <c r="L80" s="21"/>
    </row>
    <row r="81" spans="1:12" x14ac:dyDescent="0.25">
      <c r="A81" s="22"/>
      <c r="B81" s="23"/>
      <c r="D81" s="21"/>
      <c r="E81" s="21"/>
      <c r="F81" s="21"/>
      <c r="G81" s="21"/>
      <c r="H81" s="21"/>
      <c r="I81" s="21"/>
      <c r="J81" s="21"/>
      <c r="K81" s="21"/>
      <c r="L81" s="21"/>
    </row>
    <row r="82" spans="1:12" x14ac:dyDescent="0.25">
      <c r="A82" s="22"/>
      <c r="B82" s="23"/>
      <c r="D82" s="21"/>
      <c r="E82" s="21"/>
      <c r="F82" s="21"/>
      <c r="G82" s="21"/>
      <c r="H82" s="21"/>
      <c r="I82" s="21"/>
      <c r="J82" s="21"/>
      <c r="K82" s="21"/>
      <c r="L82" s="21"/>
    </row>
    <row r="83" spans="1:12" x14ac:dyDescent="0.25">
      <c r="A83" s="22"/>
      <c r="B83" s="23"/>
      <c r="D83" s="21"/>
      <c r="E83" s="21"/>
      <c r="F83" s="21"/>
      <c r="G83" s="21"/>
      <c r="H83" s="21"/>
      <c r="I83" s="21"/>
      <c r="J83" s="21"/>
      <c r="K83" s="21"/>
      <c r="L83" s="21"/>
    </row>
    <row r="84" spans="1:12" x14ac:dyDescent="0.25">
      <c r="A84" s="24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</row>
    <row r="85" spans="1:12" x14ac:dyDescent="0.25"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</row>
    <row r="86" spans="1:12" x14ac:dyDescent="0.25">
      <c r="B86" s="21"/>
      <c r="F86" s="21"/>
      <c r="G86" s="21"/>
      <c r="H86" s="21"/>
      <c r="I86" s="21"/>
      <c r="J86" s="21"/>
      <c r="K86" s="21"/>
      <c r="L86" s="21"/>
    </row>
    <row r="87" spans="1:12" x14ac:dyDescent="0.25">
      <c r="B87" s="21"/>
      <c r="F87" s="21"/>
      <c r="G87" s="21"/>
      <c r="H87" s="21"/>
      <c r="I87" s="21"/>
      <c r="J87" s="21"/>
      <c r="K87" s="21"/>
      <c r="L87" s="21"/>
    </row>
    <row r="88" spans="1:12" x14ac:dyDescent="0.25">
      <c r="B88" s="21"/>
      <c r="F88" s="21"/>
      <c r="G88" s="21"/>
      <c r="H88" s="21"/>
      <c r="I88" s="21"/>
      <c r="J88" s="21"/>
      <c r="K88" s="21"/>
      <c r="L88" s="21"/>
    </row>
    <row r="89" spans="1:12" x14ac:dyDescent="0.25">
      <c r="B89" s="21"/>
      <c r="F89" s="21"/>
      <c r="G89" s="21"/>
      <c r="H89" s="21"/>
      <c r="I89" s="21"/>
      <c r="J89" s="21"/>
      <c r="K89" s="21"/>
      <c r="L89" s="21"/>
    </row>
    <row r="90" spans="1:12" x14ac:dyDescent="0.25">
      <c r="B90" s="21"/>
      <c r="F90" s="21"/>
      <c r="G90" s="21"/>
      <c r="H90" s="21"/>
      <c r="I90" s="21"/>
      <c r="J90" s="21"/>
      <c r="K90" s="21"/>
      <c r="L90" s="21"/>
    </row>
    <row r="91" spans="1:12" x14ac:dyDescent="0.25">
      <c r="B91" s="21"/>
      <c r="F91" s="21"/>
      <c r="G91" s="21"/>
      <c r="H91" s="21"/>
      <c r="I91" s="21"/>
      <c r="J91" s="21"/>
      <c r="K91" s="21"/>
      <c r="L91" s="21"/>
    </row>
    <row r="92" spans="1:12" x14ac:dyDescent="0.25">
      <c r="B92" s="21"/>
      <c r="F92" s="21"/>
      <c r="G92" s="21"/>
      <c r="H92" s="21"/>
      <c r="I92" s="21"/>
      <c r="J92" s="21"/>
      <c r="K92" s="21"/>
      <c r="L92" s="21"/>
    </row>
    <row r="93" spans="1:12" x14ac:dyDescent="0.25">
      <c r="B93" s="21"/>
      <c r="F93" s="21"/>
      <c r="G93" s="21"/>
      <c r="H93" s="21"/>
      <c r="I93" s="21"/>
      <c r="J93" s="21"/>
      <c r="K93" s="21"/>
      <c r="L93" s="21"/>
    </row>
    <row r="94" spans="1:12" x14ac:dyDescent="0.25">
      <c r="B94" s="21"/>
      <c r="F94" s="21"/>
      <c r="G94" s="21"/>
      <c r="H94" s="21"/>
      <c r="I94" s="21"/>
      <c r="J94" s="21"/>
      <c r="K94" s="21"/>
      <c r="L94" s="21"/>
    </row>
    <row r="95" spans="1:12" x14ac:dyDescent="0.25">
      <c r="B95" s="21"/>
      <c r="F95" s="21"/>
      <c r="G95" s="21"/>
      <c r="H95" s="21"/>
      <c r="I95" s="21"/>
      <c r="J95" s="21"/>
      <c r="K95" s="21"/>
      <c r="L95" s="21"/>
    </row>
    <row r="96" spans="1:12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L102" s="21"/>
    </row>
    <row r="103" spans="2:12" x14ac:dyDescent="0.25">
      <c r="B103" s="21"/>
    </row>
    <row r="104" spans="2:12" x14ac:dyDescent="0.25">
      <c r="B104" s="21"/>
    </row>
    <row r="105" spans="2:12" x14ac:dyDescent="0.25">
      <c r="B105" s="21"/>
    </row>
    <row r="106" spans="2:12" x14ac:dyDescent="0.25">
      <c r="B106" s="21"/>
    </row>
    <row r="107" spans="2:12" x14ac:dyDescent="0.25">
      <c r="B107" s="21"/>
    </row>
    <row r="108" spans="2:12" x14ac:dyDescent="0.25">
      <c r="B108" s="21"/>
    </row>
    <row r="109" spans="2:12" x14ac:dyDescent="0.25">
      <c r="B109" s="21"/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Y111"/>
  <sheetViews>
    <sheetView workbookViewId="0">
      <selection activeCell="F9" sqref="F9"/>
    </sheetView>
  </sheetViews>
  <sheetFormatPr baseColWidth="10" defaultRowHeight="15" x14ac:dyDescent="0.25"/>
  <cols>
    <col min="1" max="1" width="22.140625" style="66" bestFit="1" customWidth="1"/>
    <col min="2" max="2" width="10.7109375" style="66" bestFit="1" customWidth="1"/>
    <col min="3" max="6" width="11.42578125" style="66" customWidth="1"/>
    <col min="7" max="7" width="22.140625" style="66" bestFit="1" customWidth="1"/>
    <col min="8" max="8" width="11.85546875" style="66" bestFit="1" customWidth="1"/>
    <col min="9" max="12" width="11.42578125" style="66" customWidth="1"/>
    <col min="13" max="13" width="22.140625" style="66" bestFit="1" customWidth="1"/>
    <col min="14" max="14" width="11.85546875" style="66" bestFit="1" customWidth="1"/>
    <col min="15" max="18" width="11.42578125" style="66" customWidth="1"/>
    <col min="19" max="19" width="22.140625" style="66" bestFit="1" customWidth="1"/>
    <col min="20" max="36" width="11.42578125" style="66" customWidth="1"/>
    <col min="37" max="16384" width="11.42578125" style="66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 t="e">
        <f>#REF!-B5</f>
        <v>#REF!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44570</v>
      </c>
      <c r="C5" s="27"/>
      <c r="D5" s="26" t="e">
        <f>DAYS360(B5,#REF!)</f>
        <v>#REF!</v>
      </c>
      <c r="E5" s="28"/>
      <c r="G5" s="31" t="s">
        <v>10</v>
      </c>
      <c r="H5" s="24">
        <v>44570</v>
      </c>
      <c r="I5" s="27"/>
      <c r="J5" s="27"/>
      <c r="K5" s="28"/>
      <c r="L5" s="21"/>
      <c r="M5" s="31" t="s">
        <v>10</v>
      </c>
      <c r="N5" s="24">
        <v>44570</v>
      </c>
      <c r="O5" s="27"/>
      <c r="P5" s="27"/>
      <c r="Q5" s="28"/>
      <c r="S5" s="31" t="s">
        <v>10</v>
      </c>
      <c r="T5" s="24">
        <v>44570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 t="e">
        <f>DAYS360(B5,#REF!)</f>
        <v>#REF!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4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7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5">
        <f ca="1">B6*DAYS360(B5,TODAY())/360*100</f>
        <v>0.96666666666666667</v>
      </c>
      <c r="C8" s="27"/>
      <c r="D8" s="47"/>
      <c r="E8" s="28"/>
      <c r="F8" s="46"/>
      <c r="G8" s="31" t="s">
        <v>13</v>
      </c>
      <c r="H8" s="45">
        <f ca="1">H6*DAYS360(H5,TODAY())/360*100</f>
        <v>0.96666666666666667</v>
      </c>
      <c r="I8" s="27"/>
      <c r="J8" s="27"/>
      <c r="K8" s="28"/>
      <c r="L8" s="21"/>
      <c r="M8" s="31" t="s">
        <v>13</v>
      </c>
      <c r="N8" s="45">
        <f ca="1">N6*DAYS360(N5,TODAY())/360*100</f>
        <v>0.12083333333333333</v>
      </c>
      <c r="O8" s="27"/>
      <c r="P8" s="27"/>
      <c r="Q8" s="28"/>
      <c r="S8" s="31" t="s">
        <v>13</v>
      </c>
      <c r="T8" s="45">
        <f ca="1">T6*DAYS360(T5,TODAY())/360*100</f>
        <v>0.12083333333333333</v>
      </c>
      <c r="U8" s="27"/>
      <c r="V8" s="27"/>
      <c r="W8" s="28"/>
    </row>
    <row r="9" spans="1:25" ht="18.75" customHeight="1" thickBot="1" x14ac:dyDescent="0.35">
      <c r="A9" s="30" t="s">
        <v>14</v>
      </c>
      <c r="B9" s="45">
        <f ca="1">B7+B8</f>
        <v>100.96666666666667</v>
      </c>
      <c r="C9" s="27"/>
      <c r="D9" s="27"/>
      <c r="E9" s="28">
        <v>-34.799999999999997</v>
      </c>
      <c r="F9" s="21"/>
      <c r="G9" s="31" t="s">
        <v>14</v>
      </c>
      <c r="H9" s="45">
        <f ca="1">H7+H8</f>
        <v>100.96666666666667</v>
      </c>
      <c r="I9" s="27"/>
      <c r="J9" s="27"/>
      <c r="K9" s="28"/>
      <c r="L9" s="21"/>
      <c r="M9" s="31" t="s">
        <v>14</v>
      </c>
      <c r="N9" s="45">
        <f ca="1">N7+N8</f>
        <v>100.12083333333334</v>
      </c>
      <c r="O9" s="27"/>
      <c r="P9" s="27"/>
      <c r="Q9" s="28">
        <v>-32.700000000000003</v>
      </c>
      <c r="S9" s="31" t="s">
        <v>14</v>
      </c>
      <c r="T9" s="45">
        <f ca="1">T7+T8</f>
        <v>100.12083333333334</v>
      </c>
      <c r="U9" s="27"/>
      <c r="V9" s="27"/>
      <c r="W9" s="28"/>
    </row>
    <row r="10" spans="1:25" ht="15.75" customHeight="1" thickBot="1" x14ac:dyDescent="0.3">
      <c r="A10" s="3">
        <v>44751</v>
      </c>
      <c r="B10" s="1" t="s">
        <v>15</v>
      </c>
      <c r="C10" s="38">
        <v>0.5</v>
      </c>
      <c r="D10" s="2">
        <v>0</v>
      </c>
      <c r="E10" s="41">
        <v>0.5</v>
      </c>
      <c r="F10" s="21"/>
      <c r="G10" s="3">
        <v>44751</v>
      </c>
      <c r="H10" t="s">
        <v>15</v>
      </c>
      <c r="I10" s="2">
        <v>0.5</v>
      </c>
      <c r="J10" s="2">
        <v>0</v>
      </c>
      <c r="K10" s="4">
        <v>0.5</v>
      </c>
      <c r="L10" s="21"/>
      <c r="M10" s="3">
        <v>44751</v>
      </c>
      <c r="N10" t="s">
        <v>15</v>
      </c>
      <c r="O10" s="2">
        <v>0.25</v>
      </c>
      <c r="P10" s="2">
        <v>0</v>
      </c>
      <c r="Q10" s="4">
        <v>0.25</v>
      </c>
      <c r="S10" s="3">
        <v>44751</v>
      </c>
      <c r="T10" t="s">
        <v>15</v>
      </c>
      <c r="U10" s="2">
        <v>0.25</v>
      </c>
      <c r="V10" s="2">
        <v>0</v>
      </c>
      <c r="W10" s="4">
        <v>0.25</v>
      </c>
    </row>
    <row r="11" spans="1:25" ht="15.75" customHeight="1" thickBot="1" x14ac:dyDescent="0.3">
      <c r="A11" s="3">
        <v>44935</v>
      </c>
      <c r="B11" s="1" t="s">
        <v>15</v>
      </c>
      <c r="C11" s="38">
        <v>0.5</v>
      </c>
      <c r="D11" s="2">
        <v>0</v>
      </c>
      <c r="E11" s="41">
        <v>0.5</v>
      </c>
      <c r="F11" s="21"/>
      <c r="G11" s="3">
        <v>44935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44935</v>
      </c>
      <c r="N11" t="s">
        <v>15</v>
      </c>
      <c r="O11" s="2">
        <v>0.25</v>
      </c>
      <c r="P11" s="2">
        <v>0</v>
      </c>
      <c r="Q11" s="4">
        <v>0.25</v>
      </c>
      <c r="S11" s="3">
        <v>44935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45116</v>
      </c>
      <c r="B12" s="1" t="s">
        <v>15</v>
      </c>
      <c r="C12" s="38">
        <v>0.5</v>
      </c>
      <c r="D12" s="2">
        <v>0</v>
      </c>
      <c r="E12" s="41">
        <v>0.5</v>
      </c>
      <c r="F12" s="21"/>
      <c r="G12" s="3">
        <v>45116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45116</v>
      </c>
      <c r="N12" t="s">
        <v>15</v>
      </c>
      <c r="O12" s="2">
        <v>0.25</v>
      </c>
      <c r="P12" s="2">
        <v>0</v>
      </c>
      <c r="Q12" s="4">
        <v>0.25</v>
      </c>
      <c r="S12" s="3">
        <v>45116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45300</v>
      </c>
      <c r="B13" s="1" t="s">
        <v>15</v>
      </c>
      <c r="C13" s="38">
        <v>0.5</v>
      </c>
      <c r="D13" s="2">
        <v>0</v>
      </c>
      <c r="E13" s="41">
        <v>0.5</v>
      </c>
      <c r="F13" s="21"/>
      <c r="G13" s="3">
        <v>45300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45300</v>
      </c>
      <c r="N13" t="s">
        <v>15</v>
      </c>
      <c r="O13" s="2">
        <v>0.38</v>
      </c>
      <c r="P13" s="2">
        <v>0</v>
      </c>
      <c r="Q13" s="4">
        <v>0.38</v>
      </c>
      <c r="S13" s="3">
        <v>45300</v>
      </c>
      <c r="T13" t="s">
        <v>15</v>
      </c>
      <c r="U13" s="2">
        <v>0.38</v>
      </c>
      <c r="V13" s="2">
        <v>0</v>
      </c>
      <c r="W13" s="4">
        <v>0.38</v>
      </c>
    </row>
    <row r="14" spans="1:25" ht="15.75" customHeight="1" thickBot="1" x14ac:dyDescent="0.3">
      <c r="A14" s="3">
        <v>45482</v>
      </c>
      <c r="B14" s="1" t="s">
        <v>15</v>
      </c>
      <c r="C14" s="38">
        <v>0.5</v>
      </c>
      <c r="D14" s="2">
        <v>0</v>
      </c>
      <c r="E14" s="41">
        <v>0.5</v>
      </c>
      <c r="F14" s="21"/>
      <c r="G14" s="3">
        <v>45482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45482</v>
      </c>
      <c r="N14" t="s">
        <v>15</v>
      </c>
      <c r="O14" s="2">
        <v>0.38</v>
      </c>
      <c r="P14" s="2">
        <v>4</v>
      </c>
      <c r="Q14" s="4">
        <v>4.38</v>
      </c>
      <c r="S14" s="3">
        <v>45482</v>
      </c>
      <c r="T14" t="s">
        <v>15</v>
      </c>
      <c r="U14" s="2">
        <v>0.38</v>
      </c>
      <c r="V14" s="2">
        <v>4</v>
      </c>
      <c r="W14" s="4">
        <v>4.38</v>
      </c>
    </row>
    <row r="15" spans="1:25" ht="15.75" customHeight="1" thickBot="1" x14ac:dyDescent="0.3">
      <c r="A15" s="3">
        <v>45666</v>
      </c>
      <c r="B15" s="1" t="s">
        <v>15</v>
      </c>
      <c r="C15" s="38">
        <v>0.5</v>
      </c>
      <c r="D15" s="2">
        <v>10</v>
      </c>
      <c r="E15" s="41">
        <v>10.5</v>
      </c>
      <c r="F15" s="21"/>
      <c r="G15" s="3">
        <v>45666</v>
      </c>
      <c r="H15" t="s">
        <v>15</v>
      </c>
      <c r="I15" s="2">
        <v>0.5</v>
      </c>
      <c r="J15" s="2">
        <v>10</v>
      </c>
      <c r="K15" s="4">
        <v>10.5</v>
      </c>
      <c r="L15" s="21"/>
      <c r="M15" s="3">
        <v>45666</v>
      </c>
      <c r="N15" t="s">
        <v>15</v>
      </c>
      <c r="O15" s="2">
        <v>0.36</v>
      </c>
      <c r="P15" s="2">
        <v>8</v>
      </c>
      <c r="Q15" s="4">
        <v>8.36</v>
      </c>
      <c r="S15" s="3">
        <v>45666</v>
      </c>
      <c r="T15" t="s">
        <v>15</v>
      </c>
      <c r="U15" s="2">
        <v>0.36</v>
      </c>
      <c r="V15" s="2">
        <v>8</v>
      </c>
      <c r="W15" s="4">
        <v>8.36</v>
      </c>
    </row>
    <row r="16" spans="1:25" ht="15.75" customHeight="1" thickBot="1" x14ac:dyDescent="0.3">
      <c r="A16" s="3">
        <v>45847</v>
      </c>
      <c r="B16" s="1" t="s">
        <v>15</v>
      </c>
      <c r="C16" s="38">
        <v>0.45</v>
      </c>
      <c r="D16" s="2">
        <v>10</v>
      </c>
      <c r="E16" s="41">
        <v>10.45</v>
      </c>
      <c r="F16" s="21"/>
      <c r="G16" s="3">
        <v>45847</v>
      </c>
      <c r="H16" t="s">
        <v>15</v>
      </c>
      <c r="I16" s="2">
        <v>0.45</v>
      </c>
      <c r="J16" s="2">
        <v>10</v>
      </c>
      <c r="K16" s="4">
        <v>10.45</v>
      </c>
      <c r="L16" s="21"/>
      <c r="M16" s="3">
        <v>45847</v>
      </c>
      <c r="N16" t="s">
        <v>15</v>
      </c>
      <c r="O16" s="2">
        <v>0.33</v>
      </c>
      <c r="P16" s="2">
        <v>8</v>
      </c>
      <c r="Q16" s="4">
        <v>8.33</v>
      </c>
      <c r="S16" s="3">
        <v>45847</v>
      </c>
      <c r="T16" t="s">
        <v>15</v>
      </c>
      <c r="U16" s="2">
        <v>0.33</v>
      </c>
      <c r="V16" s="2">
        <v>8</v>
      </c>
      <c r="W16" s="4">
        <v>8.33</v>
      </c>
    </row>
    <row r="17" spans="1:23" ht="15.75" customHeight="1" thickBot="1" x14ac:dyDescent="0.3">
      <c r="A17" s="3">
        <v>46031</v>
      </c>
      <c r="B17" s="1" t="s">
        <v>15</v>
      </c>
      <c r="C17" s="38">
        <v>0.4</v>
      </c>
      <c r="D17" s="2">
        <v>10</v>
      </c>
      <c r="E17" s="41">
        <v>10.4</v>
      </c>
      <c r="F17" s="21"/>
      <c r="G17" s="3">
        <v>46031</v>
      </c>
      <c r="H17" t="s">
        <v>15</v>
      </c>
      <c r="I17" s="2">
        <v>0.4</v>
      </c>
      <c r="J17" s="2">
        <v>10</v>
      </c>
      <c r="K17" s="4">
        <v>10.4</v>
      </c>
      <c r="L17" s="21"/>
      <c r="M17" s="3">
        <v>46031</v>
      </c>
      <c r="N17" t="s">
        <v>15</v>
      </c>
      <c r="O17" s="2">
        <v>0.3</v>
      </c>
      <c r="P17" s="2">
        <v>8</v>
      </c>
      <c r="Q17" s="4">
        <v>8.3000000000000007</v>
      </c>
      <c r="S17" s="3">
        <v>46031</v>
      </c>
      <c r="T17" t="s">
        <v>15</v>
      </c>
      <c r="U17" s="2">
        <v>0.3</v>
      </c>
      <c r="V17" s="2">
        <v>8</v>
      </c>
      <c r="W17" s="4">
        <v>8.3000000000000007</v>
      </c>
    </row>
    <row r="18" spans="1:23" ht="15.75" customHeight="1" thickBot="1" x14ac:dyDescent="0.3">
      <c r="A18" s="3">
        <v>46212</v>
      </c>
      <c r="B18" s="1" t="s">
        <v>15</v>
      </c>
      <c r="C18" s="38">
        <v>0.35</v>
      </c>
      <c r="D18" s="2">
        <v>10</v>
      </c>
      <c r="E18" s="41">
        <v>10.35</v>
      </c>
      <c r="F18" s="21"/>
      <c r="G18" s="3">
        <v>46212</v>
      </c>
      <c r="H18" t="s">
        <v>15</v>
      </c>
      <c r="I18" s="2">
        <v>0.35</v>
      </c>
      <c r="J18" s="2">
        <v>10</v>
      </c>
      <c r="K18" s="4">
        <v>10.35</v>
      </c>
      <c r="L18" s="21"/>
      <c r="M18" s="3">
        <v>46212</v>
      </c>
      <c r="N18" t="s">
        <v>15</v>
      </c>
      <c r="O18" s="2">
        <v>0.27</v>
      </c>
      <c r="P18" s="2">
        <v>8</v>
      </c>
      <c r="Q18" s="4">
        <v>8.27</v>
      </c>
      <c r="S18" s="3">
        <v>46212</v>
      </c>
      <c r="T18" t="s">
        <v>15</v>
      </c>
      <c r="U18" s="2">
        <v>0.27</v>
      </c>
      <c r="V18" s="2">
        <v>8</v>
      </c>
      <c r="W18" s="4">
        <v>8.27</v>
      </c>
    </row>
    <row r="19" spans="1:23" ht="15.75" customHeight="1" thickBot="1" x14ac:dyDescent="0.3">
      <c r="A19" s="3">
        <v>46396</v>
      </c>
      <c r="B19" s="1" t="s">
        <v>15</v>
      </c>
      <c r="C19" s="38">
        <v>0.3</v>
      </c>
      <c r="D19" s="2">
        <v>10</v>
      </c>
      <c r="E19" s="41">
        <v>10.3</v>
      </c>
      <c r="F19" s="21"/>
      <c r="G19" s="3">
        <v>46396</v>
      </c>
      <c r="H19" t="s">
        <v>15</v>
      </c>
      <c r="I19" s="2">
        <v>0.3</v>
      </c>
      <c r="J19" s="2">
        <v>10</v>
      </c>
      <c r="K19" s="4">
        <v>10.3</v>
      </c>
      <c r="L19" s="21"/>
      <c r="M19" s="3">
        <v>46396</v>
      </c>
      <c r="N19" t="s">
        <v>15</v>
      </c>
      <c r="O19" s="2">
        <v>0.24</v>
      </c>
      <c r="P19" s="2">
        <v>8</v>
      </c>
      <c r="Q19" s="4">
        <v>8.24</v>
      </c>
      <c r="S19" s="3">
        <v>46396</v>
      </c>
      <c r="T19" t="s">
        <v>15</v>
      </c>
      <c r="U19" s="2">
        <v>0.24</v>
      </c>
      <c r="V19" s="2">
        <v>8</v>
      </c>
      <c r="W19" s="4">
        <v>8.24</v>
      </c>
    </row>
    <row r="20" spans="1:23" ht="15.75" customHeight="1" thickBot="1" x14ac:dyDescent="0.3">
      <c r="A20" s="3">
        <v>46577</v>
      </c>
      <c r="B20" s="1" t="s">
        <v>15</v>
      </c>
      <c r="C20" s="38">
        <v>0.25</v>
      </c>
      <c r="D20" s="2">
        <v>10</v>
      </c>
      <c r="E20" s="41">
        <v>10.25</v>
      </c>
      <c r="F20" s="21"/>
      <c r="G20" s="3">
        <v>46577</v>
      </c>
      <c r="H20" t="s">
        <v>15</v>
      </c>
      <c r="I20" s="2">
        <v>0.25</v>
      </c>
      <c r="J20" s="2">
        <v>10</v>
      </c>
      <c r="K20" s="4">
        <v>10.25</v>
      </c>
      <c r="L20" s="21"/>
      <c r="M20" s="3">
        <v>46577</v>
      </c>
      <c r="N20" t="s">
        <v>15</v>
      </c>
      <c r="O20" s="2">
        <v>0.21</v>
      </c>
      <c r="P20" s="2">
        <v>8</v>
      </c>
      <c r="Q20" s="4">
        <v>8.2100000000000009</v>
      </c>
      <c r="S20" s="3">
        <v>46577</v>
      </c>
      <c r="T20" t="s">
        <v>15</v>
      </c>
      <c r="U20" s="2">
        <v>0.21</v>
      </c>
      <c r="V20" s="2">
        <v>8</v>
      </c>
      <c r="W20" s="4">
        <v>8.2100000000000009</v>
      </c>
    </row>
    <row r="21" spans="1:23" ht="15.75" customHeight="1" thickBot="1" x14ac:dyDescent="0.3">
      <c r="A21" s="3">
        <v>46761</v>
      </c>
      <c r="B21" s="1" t="s">
        <v>15</v>
      </c>
      <c r="C21" s="38">
        <v>0.2</v>
      </c>
      <c r="D21" s="2">
        <v>10</v>
      </c>
      <c r="E21" s="41">
        <v>10.199999999999999</v>
      </c>
      <c r="F21" s="21"/>
      <c r="G21" s="3">
        <v>46761</v>
      </c>
      <c r="H21" t="s">
        <v>15</v>
      </c>
      <c r="I21" s="2">
        <v>0.2</v>
      </c>
      <c r="J21" s="2">
        <v>10</v>
      </c>
      <c r="K21" s="4">
        <v>10.199999999999999</v>
      </c>
      <c r="L21" s="21"/>
      <c r="M21" s="3">
        <v>46761</v>
      </c>
      <c r="N21" t="s">
        <v>15</v>
      </c>
      <c r="O21" s="2">
        <v>0.42</v>
      </c>
      <c r="P21" s="2">
        <v>8</v>
      </c>
      <c r="Q21" s="4">
        <v>8.42</v>
      </c>
      <c r="S21" s="3">
        <v>46761</v>
      </c>
      <c r="T21" t="s">
        <v>15</v>
      </c>
      <c r="U21" s="2">
        <v>0.42</v>
      </c>
      <c r="V21" s="2">
        <v>8</v>
      </c>
      <c r="W21" s="4">
        <v>8.42</v>
      </c>
    </row>
    <row r="22" spans="1:23" ht="15.75" customHeight="1" thickBot="1" x14ac:dyDescent="0.3">
      <c r="A22" s="3">
        <v>46943</v>
      </c>
      <c r="B22" s="1" t="s">
        <v>15</v>
      </c>
      <c r="C22" s="38">
        <v>0.15</v>
      </c>
      <c r="D22" s="2">
        <v>10</v>
      </c>
      <c r="E22" s="41">
        <v>10.15</v>
      </c>
      <c r="F22" s="21"/>
      <c r="G22" s="3">
        <v>46943</v>
      </c>
      <c r="H22" t="s">
        <v>15</v>
      </c>
      <c r="I22" s="2">
        <v>0.15</v>
      </c>
      <c r="J22" s="2">
        <v>10</v>
      </c>
      <c r="K22" s="4">
        <v>10.15</v>
      </c>
      <c r="L22" s="21"/>
      <c r="M22" s="3">
        <v>46943</v>
      </c>
      <c r="N22" t="s">
        <v>15</v>
      </c>
      <c r="O22" s="2">
        <v>0.35</v>
      </c>
      <c r="P22" s="2">
        <v>8</v>
      </c>
      <c r="Q22" s="4">
        <v>8.35</v>
      </c>
      <c r="S22" s="3">
        <v>46943</v>
      </c>
      <c r="T22" t="s">
        <v>15</v>
      </c>
      <c r="U22" s="2">
        <v>0.35</v>
      </c>
      <c r="V22" s="2">
        <v>8</v>
      </c>
      <c r="W22" s="4">
        <v>8.35</v>
      </c>
    </row>
    <row r="23" spans="1:23" ht="15.75" customHeight="1" thickBot="1" x14ac:dyDescent="0.3">
      <c r="A23" s="3">
        <v>47127</v>
      </c>
      <c r="B23" s="1" t="s">
        <v>15</v>
      </c>
      <c r="C23" s="38">
        <v>0.1</v>
      </c>
      <c r="D23" s="2">
        <v>10</v>
      </c>
      <c r="E23" s="41">
        <v>10.1</v>
      </c>
      <c r="F23" s="21"/>
      <c r="G23" s="3">
        <v>47127</v>
      </c>
      <c r="H23" t="s">
        <v>15</v>
      </c>
      <c r="I23" s="2">
        <v>0.1</v>
      </c>
      <c r="J23" s="2">
        <v>10</v>
      </c>
      <c r="K23" s="4">
        <v>10.1</v>
      </c>
      <c r="L23" s="21"/>
      <c r="M23" s="3">
        <v>47127</v>
      </c>
      <c r="N23" t="s">
        <v>15</v>
      </c>
      <c r="O23" s="2">
        <v>0.28000000000000003</v>
      </c>
      <c r="P23" s="2">
        <v>8</v>
      </c>
      <c r="Q23" s="4">
        <v>8.2799999999999994</v>
      </c>
      <c r="S23" s="3">
        <v>47127</v>
      </c>
      <c r="T23" t="s">
        <v>15</v>
      </c>
      <c r="U23" s="2">
        <v>0.28000000000000003</v>
      </c>
      <c r="V23" s="2">
        <v>8</v>
      </c>
      <c r="W23" s="4">
        <v>8.2799999999999994</v>
      </c>
    </row>
    <row r="24" spans="1:23" ht="15.75" customHeight="1" thickBot="1" x14ac:dyDescent="0.3">
      <c r="A24" s="3">
        <v>47308</v>
      </c>
      <c r="B24" s="1" t="s">
        <v>15</v>
      </c>
      <c r="C24" s="38">
        <v>0.05</v>
      </c>
      <c r="D24" s="2">
        <v>10</v>
      </c>
      <c r="E24" s="41">
        <v>10.050000000000001</v>
      </c>
      <c r="F24" s="21"/>
      <c r="G24" s="3">
        <v>47308</v>
      </c>
      <c r="H24" t="s">
        <v>15</v>
      </c>
      <c r="I24" s="2">
        <v>0.05</v>
      </c>
      <c r="J24" s="2">
        <v>10</v>
      </c>
      <c r="K24" s="4">
        <v>10.050000000000001</v>
      </c>
      <c r="L24" s="21"/>
      <c r="M24" s="3">
        <v>47308</v>
      </c>
      <c r="N24" t="s">
        <v>15</v>
      </c>
      <c r="O24" s="2">
        <v>0.21</v>
      </c>
      <c r="P24" s="2">
        <v>8</v>
      </c>
      <c r="Q24" s="4">
        <v>8.2100000000000009</v>
      </c>
      <c r="S24" s="3">
        <v>47308</v>
      </c>
      <c r="T24" t="s">
        <v>15</v>
      </c>
      <c r="U24" s="2">
        <v>0.21</v>
      </c>
      <c r="V24" s="2">
        <v>8</v>
      </c>
      <c r="W24" s="4">
        <v>8.2100000000000009</v>
      </c>
    </row>
    <row r="25" spans="1:23" ht="15.75" customHeight="1" thickBot="1" x14ac:dyDescent="0.3">
      <c r="A25" s="5"/>
      <c r="B25" s="6"/>
      <c r="C25" s="39">
        <f>SUM(C10:C24)</f>
        <v>5.25</v>
      </c>
      <c r="D25" s="7">
        <f>SUM(D10:D24)</f>
        <v>100</v>
      </c>
      <c r="E25" s="42">
        <f>SUM(E10:E24)</f>
        <v>105.25</v>
      </c>
      <c r="F25" s="21"/>
      <c r="G25" s="9"/>
      <c r="H25" s="6"/>
      <c r="I25" s="7">
        <f>SUM(I10:I24)</f>
        <v>5.25</v>
      </c>
      <c r="J25" s="7">
        <f>SUM(J10:J24)</f>
        <v>100</v>
      </c>
      <c r="K25" s="8">
        <f>SUM(K10:K24)</f>
        <v>105.25</v>
      </c>
      <c r="L25" s="21"/>
      <c r="M25" s="3">
        <v>47492</v>
      </c>
      <c r="N25" t="s">
        <v>15</v>
      </c>
      <c r="O25" s="2">
        <v>0.14000000000000001</v>
      </c>
      <c r="P25" s="2">
        <v>8</v>
      </c>
      <c r="Q25" s="4">
        <v>8.14</v>
      </c>
      <c r="S25" s="3">
        <v>47492</v>
      </c>
      <c r="T25" t="s">
        <v>15</v>
      </c>
      <c r="U25" s="2">
        <v>0.14000000000000001</v>
      </c>
      <c r="V25" s="2">
        <v>8</v>
      </c>
      <c r="W25" s="4">
        <v>8.14</v>
      </c>
    </row>
    <row r="26" spans="1:23" ht="15.75" customHeight="1" thickBot="1" x14ac:dyDescent="0.3">
      <c r="B26" s="21"/>
      <c r="F26" s="21"/>
      <c r="I26" s="21"/>
      <c r="J26" s="21"/>
      <c r="K26" s="21"/>
      <c r="L26" s="21"/>
      <c r="M26" s="3">
        <v>47673</v>
      </c>
      <c r="N26" t="s">
        <v>15</v>
      </c>
      <c r="O26" s="2">
        <v>7.0000000000000007E-2</v>
      </c>
      <c r="P26" s="2">
        <v>8</v>
      </c>
      <c r="Q26" s="4">
        <v>8.07</v>
      </c>
      <c r="S26" s="3">
        <v>47673</v>
      </c>
      <c r="T26" t="s">
        <v>15</v>
      </c>
      <c r="U26" s="2">
        <v>7.0000000000000007E-2</v>
      </c>
      <c r="V26" s="2">
        <v>8</v>
      </c>
      <c r="W26" s="4">
        <v>8.07</v>
      </c>
    </row>
    <row r="27" spans="1:23" ht="15.75" customHeight="1" thickBot="1" x14ac:dyDescent="0.3">
      <c r="B27" s="21"/>
      <c r="F27" s="21"/>
      <c r="G27" s="21"/>
      <c r="H27" s="21"/>
      <c r="I27" s="21"/>
      <c r="J27" s="21"/>
      <c r="K27" s="21"/>
      <c r="L27" s="21"/>
      <c r="M27" s="5"/>
      <c r="N27" s="10"/>
      <c r="O27" s="7">
        <f>SUM(O10:O26)</f>
        <v>4.6899999999999995</v>
      </c>
      <c r="P27" s="7">
        <f>SUM(P10:P26)</f>
        <v>100</v>
      </c>
      <c r="Q27" s="8">
        <f>SUM(Q10:Q26)</f>
        <v>104.69</v>
      </c>
      <c r="S27" s="5"/>
      <c r="T27" s="10"/>
      <c r="U27" s="7">
        <f>SUM(U10:U26)</f>
        <v>4.6899999999999995</v>
      </c>
      <c r="V27" s="7">
        <f>SUM(V10:V26)</f>
        <v>100</v>
      </c>
      <c r="W27" s="8">
        <f>SUM(W10:W26)</f>
        <v>104.69</v>
      </c>
    </row>
    <row r="28" spans="1:23" ht="15.75" customHeight="1" thickBot="1" x14ac:dyDescent="0.3">
      <c r="B28" s="21"/>
      <c r="F28" s="21"/>
      <c r="G28" s="21"/>
      <c r="H28" s="21"/>
      <c r="I28" s="21"/>
      <c r="J28" s="21"/>
      <c r="K28" s="21"/>
      <c r="L28" s="21"/>
      <c r="O28" s="26"/>
      <c r="P28" s="26"/>
      <c r="Q28" s="26"/>
      <c r="U28" s="26"/>
      <c r="V28" s="26"/>
      <c r="W28" s="26"/>
    </row>
    <row r="29" spans="1:23" ht="15.75" customHeight="1" thickBot="1" x14ac:dyDescent="0.35">
      <c r="A29" s="20" t="s">
        <v>16</v>
      </c>
      <c r="B29" s="16"/>
      <c r="C29" s="17" t="s">
        <v>2</v>
      </c>
      <c r="D29" s="17" t="s">
        <v>3</v>
      </c>
      <c r="E29" s="18" t="s">
        <v>4</v>
      </c>
      <c r="F29" s="21"/>
      <c r="G29" s="20" t="s">
        <v>17</v>
      </c>
      <c r="H29" s="16"/>
      <c r="I29" s="17" t="s">
        <v>2</v>
      </c>
      <c r="J29" s="17" t="s">
        <v>3</v>
      </c>
      <c r="K29" s="18" t="s">
        <v>4</v>
      </c>
      <c r="L29" s="21"/>
      <c r="M29" s="20" t="s">
        <v>18</v>
      </c>
      <c r="N29" s="16"/>
      <c r="O29" s="17" t="s">
        <v>2</v>
      </c>
      <c r="P29" s="17" t="s">
        <v>3</v>
      </c>
      <c r="Q29" s="18" t="s">
        <v>4</v>
      </c>
      <c r="U29" s="26"/>
      <c r="V29" s="26"/>
      <c r="W29" s="26"/>
    </row>
    <row r="30" spans="1:23" ht="15.75" customHeight="1" x14ac:dyDescent="0.3">
      <c r="A30" s="31" t="s">
        <v>8</v>
      </c>
      <c r="B30" s="21">
        <v>1</v>
      </c>
      <c r="C30" s="27"/>
      <c r="D30" s="27"/>
      <c r="E30" s="28"/>
      <c r="F30" s="21"/>
      <c r="G30" s="31" t="s">
        <v>8</v>
      </c>
      <c r="H30" s="21">
        <v>0.125</v>
      </c>
      <c r="I30" s="27"/>
      <c r="J30" s="27"/>
      <c r="K30" s="28"/>
      <c r="L30" s="21"/>
      <c r="M30" s="31" t="s">
        <v>8</v>
      </c>
      <c r="N30" s="21">
        <v>1</v>
      </c>
      <c r="O30" s="27"/>
      <c r="P30" s="27"/>
      <c r="Q30" s="28"/>
      <c r="T30" s="26"/>
      <c r="U30" s="26"/>
      <c r="V30" s="26"/>
    </row>
    <row r="31" spans="1:23" ht="19.5" customHeight="1" x14ac:dyDescent="0.3">
      <c r="A31" s="31" t="s">
        <v>9</v>
      </c>
      <c r="B31" s="24">
        <v>44076</v>
      </c>
      <c r="C31" s="27"/>
      <c r="D31" s="27"/>
      <c r="E31" s="28"/>
      <c r="F31" s="21"/>
      <c r="G31" s="31" t="s">
        <v>9</v>
      </c>
      <c r="H31" s="24">
        <v>44076</v>
      </c>
      <c r="I31" s="27"/>
      <c r="J31" s="27"/>
      <c r="K31" s="28"/>
      <c r="M31" s="31" t="s">
        <v>9</v>
      </c>
      <c r="N31" s="24">
        <v>44076</v>
      </c>
      <c r="O31" s="27"/>
      <c r="P31" s="27"/>
      <c r="Q31" s="28"/>
      <c r="T31" s="26"/>
      <c r="U31" s="26"/>
      <c r="V31" s="26"/>
    </row>
    <row r="32" spans="1:23" ht="18.75" customHeight="1" x14ac:dyDescent="0.3">
      <c r="A32" s="31" t="s">
        <v>10</v>
      </c>
      <c r="B32" s="24">
        <v>44570</v>
      </c>
      <c r="C32" s="27"/>
      <c r="D32" s="27"/>
      <c r="E32" s="28"/>
      <c r="F32" s="21"/>
      <c r="G32" s="31" t="s">
        <v>10</v>
      </c>
      <c r="H32" s="24">
        <v>44570</v>
      </c>
      <c r="I32" s="27"/>
      <c r="J32" s="27"/>
      <c r="K32" s="28"/>
      <c r="M32" s="31" t="s">
        <v>10</v>
      </c>
      <c r="N32" s="24">
        <v>44570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11</v>
      </c>
      <c r="B33" s="32">
        <v>1.25E-3</v>
      </c>
      <c r="C33" s="27"/>
      <c r="D33" s="27"/>
      <c r="E33" s="28"/>
      <c r="F33" s="21"/>
      <c r="G33" s="31" t="s">
        <v>11</v>
      </c>
      <c r="H33" s="32">
        <v>1.25E-3</v>
      </c>
      <c r="I33" s="27"/>
      <c r="J33" s="27"/>
      <c r="K33" s="28"/>
      <c r="M33" s="31" t="s">
        <v>11</v>
      </c>
      <c r="N33" s="32">
        <v>1.25E-3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12</v>
      </c>
      <c r="B34" s="21">
        <v>100</v>
      </c>
      <c r="C34" s="27"/>
      <c r="D34" s="27"/>
      <c r="E34" s="28"/>
      <c r="F34" s="21"/>
      <c r="G34" s="31" t="s">
        <v>12</v>
      </c>
      <c r="H34" s="21">
        <v>100</v>
      </c>
      <c r="I34" s="27"/>
      <c r="J34" s="27"/>
      <c r="K34" s="28"/>
      <c r="M34" s="31" t="s">
        <v>12</v>
      </c>
      <c r="N34" s="21">
        <v>100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13</v>
      </c>
      <c r="B35" s="45">
        <f ca="1">B33*DAYS360(B32,TODAY())/360*100</f>
        <v>0.12083333333333333</v>
      </c>
      <c r="C35" s="27"/>
      <c r="D35" s="27"/>
      <c r="E35" s="28"/>
      <c r="F35" s="21"/>
      <c r="G35" s="31" t="s">
        <v>13</v>
      </c>
      <c r="H35" s="45">
        <f ca="1">H33*DAYS360(H32,TODAY())/360*100</f>
        <v>0.12083333333333333</v>
      </c>
      <c r="I35" s="27"/>
      <c r="J35" s="27"/>
      <c r="K35" s="28"/>
      <c r="M35" s="31" t="s">
        <v>13</v>
      </c>
      <c r="N35" s="45">
        <f ca="1">N33*DAYS360(N31,TODAY())/360*100</f>
        <v>0.28993055555555558</v>
      </c>
      <c r="O35" s="27"/>
      <c r="P35" s="27"/>
      <c r="Q35" s="28"/>
      <c r="T35" s="26"/>
      <c r="U35" s="26"/>
      <c r="V35" s="26"/>
    </row>
    <row r="36" spans="1:22" ht="18.75" customHeight="1" thickBot="1" x14ac:dyDescent="0.35">
      <c r="A36" s="31" t="s">
        <v>14</v>
      </c>
      <c r="B36" s="45">
        <f ca="1">B34+B35</f>
        <v>100.12083333333334</v>
      </c>
      <c r="C36" s="27"/>
      <c r="D36" s="27"/>
      <c r="E36" s="28"/>
      <c r="F36" s="21"/>
      <c r="G36" s="31" t="s">
        <v>14</v>
      </c>
      <c r="H36" s="45">
        <f ca="1">H34+H35</f>
        <v>100.12083333333334</v>
      </c>
      <c r="I36" s="27"/>
      <c r="J36" s="27"/>
      <c r="K36" s="28"/>
      <c r="M36" s="31" t="s">
        <v>14</v>
      </c>
      <c r="N36" s="45">
        <f ca="1">N34+N35</f>
        <v>100.28993055555556</v>
      </c>
      <c r="O36" s="27"/>
      <c r="P36" s="27"/>
      <c r="Q36" s="28"/>
      <c r="T36" s="26"/>
      <c r="U36" s="26"/>
      <c r="V36" s="26"/>
    </row>
    <row r="37" spans="1:22" ht="18.75" customHeight="1" thickBot="1" x14ac:dyDescent="0.3">
      <c r="A37" s="3">
        <v>44751</v>
      </c>
      <c r="B37" s="1" t="s">
        <v>15</v>
      </c>
      <c r="C37" s="2">
        <v>0.56000000000000005</v>
      </c>
      <c r="D37" s="2">
        <v>0</v>
      </c>
      <c r="E37" s="4">
        <v>0.56000000000000005</v>
      </c>
      <c r="F37" s="21"/>
      <c r="G37" s="3">
        <v>44751</v>
      </c>
      <c r="H37" s="1" t="s">
        <v>15</v>
      </c>
      <c r="I37" s="2">
        <v>1</v>
      </c>
      <c r="J37" s="2">
        <v>0</v>
      </c>
      <c r="K37" s="4">
        <v>1</v>
      </c>
      <c r="M37" s="3">
        <v>44751</v>
      </c>
      <c r="N37" s="1" t="s">
        <v>15</v>
      </c>
      <c r="O37" s="2">
        <v>1.25</v>
      </c>
      <c r="P37" s="2">
        <v>0</v>
      </c>
      <c r="Q37" s="4">
        <v>1.25</v>
      </c>
      <c r="T37" s="26"/>
      <c r="U37" s="26"/>
      <c r="V37" s="26"/>
    </row>
    <row r="38" spans="1:22" ht="19.5" customHeight="1" thickBot="1" x14ac:dyDescent="0.3">
      <c r="A38" s="3">
        <v>44935</v>
      </c>
      <c r="B38" s="1" t="s">
        <v>15</v>
      </c>
      <c r="C38" s="2">
        <v>0.75</v>
      </c>
      <c r="D38" s="2">
        <v>0</v>
      </c>
      <c r="E38" s="4">
        <v>0.75</v>
      </c>
      <c r="F38" s="21"/>
      <c r="G38" s="3">
        <v>44935</v>
      </c>
      <c r="H38" s="1" t="s">
        <v>15</v>
      </c>
      <c r="I38" s="2">
        <v>1.94</v>
      </c>
      <c r="J38" s="2">
        <v>0</v>
      </c>
      <c r="K38" s="4">
        <v>1.94</v>
      </c>
      <c r="M38" s="3">
        <v>44935</v>
      </c>
      <c r="N38" s="1" t="s">
        <v>15</v>
      </c>
      <c r="O38" s="2">
        <v>1.75</v>
      </c>
      <c r="P38" s="2">
        <v>0</v>
      </c>
      <c r="Q38" s="4">
        <v>1.75</v>
      </c>
      <c r="T38" s="26"/>
      <c r="U38" s="26"/>
      <c r="V38" s="26"/>
    </row>
    <row r="39" spans="1:22" ht="15.75" customHeight="1" thickBot="1" x14ac:dyDescent="0.3">
      <c r="A39" s="3">
        <v>45116</v>
      </c>
      <c r="B39" s="1" t="s">
        <v>15</v>
      </c>
      <c r="C39" s="2">
        <v>0.75</v>
      </c>
      <c r="D39" s="2">
        <v>0</v>
      </c>
      <c r="E39" s="4">
        <v>0.75</v>
      </c>
      <c r="F39" s="21"/>
      <c r="G39" s="3">
        <v>45116</v>
      </c>
      <c r="H39" s="1" t="s">
        <v>15</v>
      </c>
      <c r="I39" s="2">
        <v>1.94</v>
      </c>
      <c r="J39" s="2">
        <v>0</v>
      </c>
      <c r="K39" s="4">
        <v>1.94</v>
      </c>
      <c r="M39" s="3">
        <v>45116</v>
      </c>
      <c r="N39" s="1" t="s">
        <v>15</v>
      </c>
      <c r="O39" s="2">
        <v>1.75</v>
      </c>
      <c r="P39" s="2">
        <v>0</v>
      </c>
      <c r="Q39" s="4">
        <v>1.75</v>
      </c>
      <c r="T39" s="26"/>
      <c r="U39" s="26"/>
      <c r="V39" s="26"/>
    </row>
    <row r="40" spans="1:22" ht="15.75" customHeight="1" thickBot="1" x14ac:dyDescent="0.3">
      <c r="A40" s="3">
        <v>45300</v>
      </c>
      <c r="B40" s="1" t="s">
        <v>15</v>
      </c>
      <c r="C40" s="2">
        <v>1.81</v>
      </c>
      <c r="D40" s="2">
        <v>0</v>
      </c>
      <c r="E40" s="4">
        <v>1.81</v>
      </c>
      <c r="F40" s="21"/>
      <c r="G40" s="3">
        <v>45300</v>
      </c>
      <c r="H40" s="1" t="s">
        <v>15</v>
      </c>
      <c r="I40" s="2">
        <v>2.12</v>
      </c>
      <c r="J40" s="2">
        <v>0</v>
      </c>
      <c r="K40" s="4">
        <v>2.12</v>
      </c>
      <c r="M40" s="3">
        <v>45300</v>
      </c>
      <c r="N40" s="1" t="s">
        <v>15</v>
      </c>
      <c r="O40" s="2">
        <v>1.75</v>
      </c>
      <c r="P40" s="2">
        <v>0</v>
      </c>
      <c r="Q40" s="4">
        <v>1.75</v>
      </c>
      <c r="T40" s="26"/>
      <c r="U40" s="26"/>
      <c r="V40" s="26"/>
    </row>
    <row r="41" spans="1:22" ht="15.75" customHeight="1" thickBot="1" x14ac:dyDescent="0.3">
      <c r="A41" s="3">
        <v>45482</v>
      </c>
      <c r="B41" s="1" t="s">
        <v>15</v>
      </c>
      <c r="C41" s="2">
        <v>1.81</v>
      </c>
      <c r="D41" s="2">
        <v>0</v>
      </c>
      <c r="E41" s="4">
        <v>1.81</v>
      </c>
      <c r="F41" s="21"/>
      <c r="G41" s="3">
        <v>45482</v>
      </c>
      <c r="H41" s="1" t="s">
        <v>15</v>
      </c>
      <c r="I41" s="2">
        <v>2.12</v>
      </c>
      <c r="J41" s="2">
        <v>0</v>
      </c>
      <c r="K41" s="4">
        <v>2.12</v>
      </c>
      <c r="M41" s="3">
        <v>45482</v>
      </c>
      <c r="N41" s="1" t="s">
        <v>15</v>
      </c>
      <c r="O41" s="2">
        <v>1.75</v>
      </c>
      <c r="P41" s="2">
        <v>0</v>
      </c>
      <c r="Q41" s="4">
        <v>1.75</v>
      </c>
      <c r="T41" s="26"/>
      <c r="U41" s="26"/>
      <c r="V41" s="26"/>
    </row>
    <row r="42" spans="1:22" ht="15.75" customHeight="1" thickBot="1" x14ac:dyDescent="0.3">
      <c r="A42" s="3">
        <v>45666</v>
      </c>
      <c r="B42" s="1" t="s">
        <v>15</v>
      </c>
      <c r="C42" s="2">
        <v>2.06</v>
      </c>
      <c r="D42" s="2">
        <v>0</v>
      </c>
      <c r="E42" s="4">
        <v>2.06</v>
      </c>
      <c r="F42" s="21"/>
      <c r="G42" s="3">
        <v>45666</v>
      </c>
      <c r="H42" s="1" t="s">
        <v>15</v>
      </c>
      <c r="I42" s="2">
        <v>2.5</v>
      </c>
      <c r="J42" s="2">
        <v>0</v>
      </c>
      <c r="K42" s="4">
        <v>2.5</v>
      </c>
      <c r="M42" s="3">
        <v>45666</v>
      </c>
      <c r="N42" s="1" t="s">
        <v>15</v>
      </c>
      <c r="O42" s="2">
        <v>1.75</v>
      </c>
      <c r="P42" s="2">
        <v>0</v>
      </c>
      <c r="Q42" s="4">
        <v>1.75</v>
      </c>
      <c r="T42" s="26"/>
      <c r="U42" s="26"/>
      <c r="V42" s="26"/>
    </row>
    <row r="43" spans="1:22" ht="15.75" customHeight="1" thickBot="1" x14ac:dyDescent="0.3">
      <c r="A43" s="3">
        <v>45847</v>
      </c>
      <c r="B43" s="1" t="s">
        <v>15</v>
      </c>
      <c r="C43" s="2">
        <v>2.06</v>
      </c>
      <c r="D43" s="2">
        <v>0</v>
      </c>
      <c r="E43" s="4">
        <v>2.06</v>
      </c>
      <c r="F43" s="21"/>
      <c r="G43" s="3">
        <v>45847</v>
      </c>
      <c r="H43" s="1" t="s">
        <v>15</v>
      </c>
      <c r="I43" s="2">
        <v>2.5</v>
      </c>
      <c r="J43" s="2">
        <v>0</v>
      </c>
      <c r="K43" s="4">
        <v>2.5</v>
      </c>
      <c r="M43" s="3">
        <v>45847</v>
      </c>
      <c r="N43" s="1" t="s">
        <v>15</v>
      </c>
      <c r="O43" s="2">
        <v>1.75</v>
      </c>
      <c r="P43" s="2">
        <v>0</v>
      </c>
      <c r="Q43" s="4">
        <v>1.75</v>
      </c>
      <c r="T43" s="26"/>
      <c r="U43" s="26"/>
      <c r="V43" s="26"/>
    </row>
    <row r="44" spans="1:22" ht="15.75" customHeight="1" thickBot="1" x14ac:dyDescent="0.3">
      <c r="A44" s="3">
        <v>46031</v>
      </c>
      <c r="B44" s="1" t="s">
        <v>15</v>
      </c>
      <c r="C44" s="2">
        <v>2.06</v>
      </c>
      <c r="D44" s="2">
        <v>0</v>
      </c>
      <c r="E44" s="4">
        <v>2.06</v>
      </c>
      <c r="F44" s="21"/>
      <c r="G44" s="3">
        <v>46031</v>
      </c>
      <c r="H44" s="1" t="s">
        <v>15</v>
      </c>
      <c r="I44" s="2">
        <v>2.5</v>
      </c>
      <c r="J44" s="2">
        <v>0</v>
      </c>
      <c r="K44" s="4">
        <v>2.5</v>
      </c>
      <c r="M44" s="3">
        <v>46031</v>
      </c>
      <c r="N44" s="1" t="s">
        <v>15</v>
      </c>
      <c r="O44" s="2">
        <v>1.75</v>
      </c>
      <c r="P44" s="2">
        <v>0</v>
      </c>
      <c r="Q44" s="4">
        <v>1.75</v>
      </c>
      <c r="T44" s="26"/>
      <c r="U44" s="26"/>
      <c r="V44" s="26"/>
    </row>
    <row r="45" spans="1:22" ht="15.75" customHeight="1" thickBot="1" x14ac:dyDescent="0.3">
      <c r="A45" s="3">
        <v>46212</v>
      </c>
      <c r="B45" s="1" t="s">
        <v>15</v>
      </c>
      <c r="C45" s="2">
        <v>2.06</v>
      </c>
      <c r="D45" s="2">
        <v>0</v>
      </c>
      <c r="E45" s="4">
        <v>2.06</v>
      </c>
      <c r="F45" s="21"/>
      <c r="G45" s="3">
        <v>46212</v>
      </c>
      <c r="H45" s="1" t="s">
        <v>15</v>
      </c>
      <c r="I45" s="2">
        <v>2.5</v>
      </c>
      <c r="J45" s="2">
        <v>0</v>
      </c>
      <c r="K45" s="4">
        <v>2.5</v>
      </c>
      <c r="M45" s="3">
        <v>46212</v>
      </c>
      <c r="N45" s="1" t="s">
        <v>15</v>
      </c>
      <c r="O45" s="2">
        <v>1.75</v>
      </c>
      <c r="P45" s="2">
        <v>0</v>
      </c>
      <c r="Q45" s="4">
        <v>1.75</v>
      </c>
      <c r="T45" s="26"/>
      <c r="U45" s="26"/>
      <c r="V45" s="26"/>
    </row>
    <row r="46" spans="1:22" ht="15.75" customHeight="1" thickBot="1" x14ac:dyDescent="0.3">
      <c r="A46" s="3">
        <v>46396</v>
      </c>
      <c r="B46" s="1" t="s">
        <v>15</v>
      </c>
      <c r="C46" s="2">
        <v>2.06</v>
      </c>
      <c r="D46" s="2">
        <v>0</v>
      </c>
      <c r="E46" s="4">
        <v>2.06</v>
      </c>
      <c r="F46" s="21"/>
      <c r="G46" s="3">
        <v>46396</v>
      </c>
      <c r="H46" s="1" t="s">
        <v>15</v>
      </c>
      <c r="I46" s="2">
        <v>2.5</v>
      </c>
      <c r="J46" s="2">
        <v>0</v>
      </c>
      <c r="K46" s="4">
        <v>2.5</v>
      </c>
      <c r="M46" s="3">
        <v>46396</v>
      </c>
      <c r="N46" s="1" t="s">
        <v>15</v>
      </c>
      <c r="O46" s="2">
        <v>1.75</v>
      </c>
      <c r="P46" s="2">
        <v>0</v>
      </c>
      <c r="Q46" s="4">
        <v>1.75</v>
      </c>
      <c r="T46" s="26"/>
      <c r="U46" s="26"/>
      <c r="V46" s="26"/>
    </row>
    <row r="47" spans="1:22" ht="15.75" customHeight="1" thickBot="1" x14ac:dyDescent="0.3">
      <c r="A47" s="3">
        <v>46577</v>
      </c>
      <c r="B47" s="1" t="s">
        <v>15</v>
      </c>
      <c r="C47" s="2">
        <v>2.06</v>
      </c>
      <c r="D47" s="2">
        <v>0</v>
      </c>
      <c r="E47" s="4">
        <v>2.06</v>
      </c>
      <c r="F47" s="21"/>
      <c r="G47" s="3">
        <v>46577</v>
      </c>
      <c r="H47" s="1" t="s">
        <v>15</v>
      </c>
      <c r="I47" s="2">
        <v>2.5</v>
      </c>
      <c r="J47" s="2">
        <v>4.55</v>
      </c>
      <c r="K47" s="4">
        <v>7.05</v>
      </c>
      <c r="M47" s="3">
        <v>46577</v>
      </c>
      <c r="N47" s="1" t="s">
        <v>15</v>
      </c>
      <c r="O47" s="2">
        <v>1.75</v>
      </c>
      <c r="P47" s="2">
        <v>0</v>
      </c>
      <c r="Q47" s="4">
        <v>1.75</v>
      </c>
      <c r="T47" s="26"/>
      <c r="U47" s="26"/>
      <c r="V47" s="26"/>
    </row>
    <row r="48" spans="1:22" ht="15.75" customHeight="1" thickBot="1" x14ac:dyDescent="0.3">
      <c r="A48" s="3">
        <v>46761</v>
      </c>
      <c r="B48" s="1" t="s">
        <v>15</v>
      </c>
      <c r="C48" s="2">
        <v>2.38</v>
      </c>
      <c r="D48" s="2">
        <v>0</v>
      </c>
      <c r="E48" s="4">
        <v>2.38</v>
      </c>
      <c r="F48" s="21"/>
      <c r="G48" s="3">
        <v>46761</v>
      </c>
      <c r="H48" s="1" t="s">
        <v>15</v>
      </c>
      <c r="I48" s="2">
        <v>2.39</v>
      </c>
      <c r="J48" s="2">
        <v>4.55</v>
      </c>
      <c r="K48" s="4">
        <v>6.94</v>
      </c>
      <c r="M48" s="3">
        <v>46761</v>
      </c>
      <c r="N48" s="1" t="s">
        <v>15</v>
      </c>
      <c r="O48" s="2">
        <v>1.75</v>
      </c>
      <c r="P48" s="2">
        <v>3.57</v>
      </c>
      <c r="Q48" s="4">
        <v>5.32</v>
      </c>
      <c r="T48" s="26"/>
      <c r="U48" s="26"/>
      <c r="V48" s="26"/>
    </row>
    <row r="49" spans="1:23" ht="15.75" customHeight="1" thickBot="1" x14ac:dyDescent="0.3">
      <c r="A49" s="3">
        <v>46943</v>
      </c>
      <c r="B49" s="1" t="s">
        <v>15</v>
      </c>
      <c r="C49" s="2">
        <v>2.38</v>
      </c>
      <c r="D49" s="2">
        <v>0</v>
      </c>
      <c r="E49" s="4">
        <v>2.38</v>
      </c>
      <c r="F49" s="21"/>
      <c r="G49" s="3">
        <v>46943</v>
      </c>
      <c r="H49" s="1" t="s">
        <v>15</v>
      </c>
      <c r="I49" s="2">
        <v>2.27</v>
      </c>
      <c r="J49" s="2">
        <v>4.55</v>
      </c>
      <c r="K49" s="4">
        <v>6.82</v>
      </c>
      <c r="M49" s="3">
        <v>46943</v>
      </c>
      <c r="N49" s="1" t="s">
        <v>15</v>
      </c>
      <c r="O49" s="2">
        <v>1.69</v>
      </c>
      <c r="P49" s="2">
        <v>3.57</v>
      </c>
      <c r="Q49" s="4">
        <v>5.26</v>
      </c>
      <c r="T49" s="26"/>
      <c r="U49" s="26"/>
      <c r="V49" s="26"/>
    </row>
    <row r="50" spans="1:23" ht="15.75" customHeight="1" thickBot="1" x14ac:dyDescent="0.3">
      <c r="A50" s="3">
        <v>47127</v>
      </c>
      <c r="B50" s="1" t="s">
        <v>15</v>
      </c>
      <c r="C50" s="2">
        <v>2.5</v>
      </c>
      <c r="D50" s="2">
        <v>0</v>
      </c>
      <c r="E50" s="4">
        <v>2.5</v>
      </c>
      <c r="F50" s="21"/>
      <c r="G50" s="3">
        <v>47127</v>
      </c>
      <c r="H50" s="1" t="s">
        <v>15</v>
      </c>
      <c r="I50" s="2">
        <v>2.16</v>
      </c>
      <c r="J50" s="2">
        <v>4.55</v>
      </c>
      <c r="K50" s="4">
        <v>6.71</v>
      </c>
      <c r="M50" s="3">
        <v>47127</v>
      </c>
      <c r="N50" s="1" t="s">
        <v>15</v>
      </c>
      <c r="O50" s="2">
        <v>1.63</v>
      </c>
      <c r="P50" s="2">
        <v>3.57</v>
      </c>
      <c r="Q50" s="4">
        <v>5.2</v>
      </c>
      <c r="T50" s="26"/>
      <c r="U50" s="26"/>
      <c r="V50" s="26"/>
    </row>
    <row r="51" spans="1:23" ht="15.75" customHeight="1" thickBot="1" x14ac:dyDescent="0.3">
      <c r="A51" s="3">
        <v>47308</v>
      </c>
      <c r="B51" s="1" t="s">
        <v>15</v>
      </c>
      <c r="C51" s="2">
        <v>2.5</v>
      </c>
      <c r="D51" s="2">
        <v>0</v>
      </c>
      <c r="E51" s="4">
        <v>2.5</v>
      </c>
      <c r="F51" s="21"/>
      <c r="G51" s="3">
        <v>47308</v>
      </c>
      <c r="H51" s="1" t="s">
        <v>15</v>
      </c>
      <c r="I51" s="2">
        <v>2.0499999999999998</v>
      </c>
      <c r="J51" s="2">
        <v>4.55</v>
      </c>
      <c r="K51" s="4">
        <v>6.6</v>
      </c>
      <c r="M51" s="3">
        <v>47308</v>
      </c>
      <c r="N51" s="1" t="s">
        <v>15</v>
      </c>
      <c r="O51" s="2">
        <v>1.56</v>
      </c>
      <c r="P51" s="2">
        <v>3.57</v>
      </c>
      <c r="Q51" s="4">
        <v>5.13</v>
      </c>
      <c r="T51" s="26"/>
      <c r="U51" s="26"/>
      <c r="V51" s="26"/>
    </row>
    <row r="52" spans="1:23" ht="15.75" customHeight="1" thickBot="1" x14ac:dyDescent="0.3">
      <c r="A52" s="3">
        <v>47492</v>
      </c>
      <c r="B52" s="1" t="s">
        <v>15</v>
      </c>
      <c r="C52" s="2">
        <v>2.5</v>
      </c>
      <c r="D52" s="2">
        <v>0</v>
      </c>
      <c r="E52" s="4">
        <v>2.5</v>
      </c>
      <c r="F52" s="21"/>
      <c r="G52" s="3">
        <v>47492</v>
      </c>
      <c r="H52" s="1" t="s">
        <v>15</v>
      </c>
      <c r="I52" s="2">
        <v>1.93</v>
      </c>
      <c r="J52" s="2">
        <v>4.55</v>
      </c>
      <c r="K52" s="4">
        <v>6.48</v>
      </c>
      <c r="M52" s="3">
        <v>47492</v>
      </c>
      <c r="N52" s="1" t="s">
        <v>15</v>
      </c>
      <c r="O52" s="2">
        <v>2.09</v>
      </c>
      <c r="P52" s="2">
        <v>3.57</v>
      </c>
      <c r="Q52" s="4">
        <v>5.66</v>
      </c>
      <c r="T52" s="26"/>
      <c r="U52" s="26"/>
      <c r="V52" s="26"/>
    </row>
    <row r="53" spans="1:23" ht="15.75" customHeight="1" thickBot="1" x14ac:dyDescent="0.3">
      <c r="A53" s="3">
        <v>47673</v>
      </c>
      <c r="B53" s="1" t="s">
        <v>15</v>
      </c>
      <c r="C53" s="2">
        <v>2.5</v>
      </c>
      <c r="D53" s="2">
        <v>0</v>
      </c>
      <c r="E53" s="4">
        <v>2.5</v>
      </c>
      <c r="F53" s="21"/>
      <c r="G53" s="3">
        <v>47673</v>
      </c>
      <c r="H53" s="1" t="s">
        <v>15</v>
      </c>
      <c r="I53" s="2">
        <v>1.82</v>
      </c>
      <c r="J53" s="2">
        <v>4.55</v>
      </c>
      <c r="K53" s="4">
        <v>6.37</v>
      </c>
      <c r="M53" s="3">
        <v>47673</v>
      </c>
      <c r="N53" s="1" t="s">
        <v>15</v>
      </c>
      <c r="O53" s="2">
        <v>2</v>
      </c>
      <c r="P53" s="2">
        <v>3.57</v>
      </c>
      <c r="Q53" s="4">
        <v>5.57</v>
      </c>
      <c r="T53" s="26"/>
      <c r="U53" s="26"/>
      <c r="V53" s="26"/>
    </row>
    <row r="54" spans="1:23" ht="15.75" customHeight="1" thickBot="1" x14ac:dyDescent="0.3">
      <c r="A54" s="3">
        <v>47857</v>
      </c>
      <c r="B54" s="1" t="s">
        <v>15</v>
      </c>
      <c r="C54" s="2">
        <v>2.5</v>
      </c>
      <c r="D54" s="2">
        <v>10</v>
      </c>
      <c r="E54" s="4">
        <v>12.5</v>
      </c>
      <c r="F54" s="21"/>
      <c r="G54" s="3">
        <v>47857</v>
      </c>
      <c r="H54" s="1" t="s">
        <v>15</v>
      </c>
      <c r="I54" s="2">
        <v>1.7</v>
      </c>
      <c r="J54" s="2">
        <v>4.55</v>
      </c>
      <c r="K54" s="4">
        <v>6.25</v>
      </c>
      <c r="M54" s="3">
        <v>47857</v>
      </c>
      <c r="N54" s="1" t="s">
        <v>15</v>
      </c>
      <c r="O54" s="2">
        <v>1.92</v>
      </c>
      <c r="P54" s="2">
        <v>3.57</v>
      </c>
      <c r="Q54" s="4">
        <v>5.49</v>
      </c>
      <c r="T54" s="26"/>
      <c r="U54" s="26"/>
      <c r="V54" s="26"/>
    </row>
    <row r="55" spans="1:23" ht="15.75" customHeight="1" thickBot="1" x14ac:dyDescent="0.3">
      <c r="A55" s="3">
        <v>48038</v>
      </c>
      <c r="B55" s="1" t="s">
        <v>15</v>
      </c>
      <c r="C55" s="2">
        <v>2.25</v>
      </c>
      <c r="D55" s="2">
        <v>10</v>
      </c>
      <c r="E55" s="4">
        <v>12.25</v>
      </c>
      <c r="F55" s="21"/>
      <c r="G55" s="3">
        <v>48038</v>
      </c>
      <c r="H55" s="1" t="s">
        <v>15</v>
      </c>
      <c r="I55" s="2">
        <v>1.59</v>
      </c>
      <c r="J55" s="2">
        <v>4.55</v>
      </c>
      <c r="K55" s="4">
        <v>6.14</v>
      </c>
      <c r="M55" s="3">
        <v>48038</v>
      </c>
      <c r="N55" s="1" t="s">
        <v>15</v>
      </c>
      <c r="O55" s="2">
        <v>1.83</v>
      </c>
      <c r="P55" s="2">
        <v>3.57</v>
      </c>
      <c r="Q55" s="4">
        <v>5.4</v>
      </c>
      <c r="T55" s="26"/>
      <c r="U55" s="26"/>
      <c r="V55" s="26"/>
    </row>
    <row r="56" spans="1:23" ht="15.75" customHeight="1" thickBot="1" x14ac:dyDescent="0.3">
      <c r="A56" s="3">
        <v>48222</v>
      </c>
      <c r="B56" s="1" t="s">
        <v>15</v>
      </c>
      <c r="C56" s="2">
        <v>2</v>
      </c>
      <c r="D56" s="2">
        <v>10</v>
      </c>
      <c r="E56" s="4">
        <v>12</v>
      </c>
      <c r="F56" s="21"/>
      <c r="G56" s="3">
        <v>48222</v>
      </c>
      <c r="H56" s="1" t="s">
        <v>15</v>
      </c>
      <c r="I56" s="2">
        <v>1.48</v>
      </c>
      <c r="J56" s="2">
        <v>4.55</v>
      </c>
      <c r="K56" s="4">
        <v>6.03</v>
      </c>
      <c r="M56" s="3">
        <v>48222</v>
      </c>
      <c r="N56" s="1" t="s">
        <v>15</v>
      </c>
      <c r="O56" s="2">
        <v>1.74</v>
      </c>
      <c r="P56" s="2">
        <v>3.57</v>
      </c>
      <c r="Q56" s="4">
        <v>5.31</v>
      </c>
      <c r="T56" s="26"/>
      <c r="U56" s="26"/>
      <c r="V56" s="26"/>
    </row>
    <row r="57" spans="1:23" ht="15.75" customHeight="1" thickBot="1" x14ac:dyDescent="0.3">
      <c r="A57" s="3">
        <v>48404</v>
      </c>
      <c r="B57" s="1" t="s">
        <v>15</v>
      </c>
      <c r="C57" s="2">
        <v>1.75</v>
      </c>
      <c r="D57" s="2">
        <v>10</v>
      </c>
      <c r="E57" s="4">
        <v>11.75</v>
      </c>
      <c r="F57" s="21"/>
      <c r="G57" s="3">
        <v>48404</v>
      </c>
      <c r="H57" s="1" t="s">
        <v>15</v>
      </c>
      <c r="I57" s="2">
        <v>1.36</v>
      </c>
      <c r="J57" s="2">
        <v>4.55</v>
      </c>
      <c r="K57" s="4">
        <v>5.91</v>
      </c>
      <c r="L57" s="21"/>
      <c r="M57" s="3">
        <v>48404</v>
      </c>
      <c r="N57" s="1" t="s">
        <v>15</v>
      </c>
      <c r="O57" s="2">
        <v>1.65</v>
      </c>
      <c r="P57" s="2">
        <v>3.57</v>
      </c>
      <c r="Q57" s="4">
        <v>5.22</v>
      </c>
      <c r="T57" s="26"/>
      <c r="U57" s="26"/>
      <c r="V57" s="26"/>
    </row>
    <row r="58" spans="1:23" ht="15.75" customHeight="1" thickBot="1" x14ac:dyDescent="0.3">
      <c r="A58" s="3">
        <v>48588</v>
      </c>
      <c r="B58" s="1" t="s">
        <v>15</v>
      </c>
      <c r="C58" s="2">
        <v>1.5</v>
      </c>
      <c r="D58" s="2">
        <v>10</v>
      </c>
      <c r="E58" s="4">
        <v>11.5</v>
      </c>
      <c r="F58" s="21"/>
      <c r="G58" s="3">
        <v>48588</v>
      </c>
      <c r="H58" s="1" t="s">
        <v>15</v>
      </c>
      <c r="I58" s="2">
        <v>1.25</v>
      </c>
      <c r="J58" s="2">
        <v>4.55</v>
      </c>
      <c r="K58" s="4">
        <v>5.8</v>
      </c>
      <c r="L58" s="21"/>
      <c r="M58" s="3">
        <v>48588</v>
      </c>
      <c r="N58" s="1" t="s">
        <v>15</v>
      </c>
      <c r="O58" s="2">
        <v>1.57</v>
      </c>
      <c r="P58" s="2">
        <v>3.57</v>
      </c>
      <c r="Q58" s="4">
        <v>5.14</v>
      </c>
      <c r="U58" s="26"/>
      <c r="V58" s="26"/>
      <c r="W58" s="26"/>
    </row>
    <row r="59" spans="1:23" ht="15.75" customHeight="1" thickBot="1" x14ac:dyDescent="0.3">
      <c r="A59" s="3">
        <v>48769</v>
      </c>
      <c r="B59" s="1" t="s">
        <v>15</v>
      </c>
      <c r="C59" s="2">
        <v>1.25</v>
      </c>
      <c r="D59" s="2">
        <v>10</v>
      </c>
      <c r="E59" s="4">
        <v>11.25</v>
      </c>
      <c r="F59" s="21"/>
      <c r="G59" s="3">
        <v>48769</v>
      </c>
      <c r="H59" s="1" t="s">
        <v>15</v>
      </c>
      <c r="I59" s="2">
        <v>1.1399999999999999</v>
      </c>
      <c r="J59" s="2">
        <v>4.55</v>
      </c>
      <c r="K59" s="4">
        <v>5.69</v>
      </c>
      <c r="L59" s="21"/>
      <c r="M59" s="3">
        <v>48769</v>
      </c>
      <c r="N59" s="1" t="s">
        <v>15</v>
      </c>
      <c r="O59" s="2">
        <v>1.48</v>
      </c>
      <c r="P59" s="2">
        <v>3.57</v>
      </c>
      <c r="Q59" s="4">
        <v>5.05</v>
      </c>
      <c r="U59" s="26"/>
      <c r="V59" s="26"/>
      <c r="W59" s="26"/>
    </row>
    <row r="60" spans="1:23" ht="15.75" customHeight="1" thickBot="1" x14ac:dyDescent="0.3">
      <c r="A60" s="3">
        <v>48953</v>
      </c>
      <c r="B60" s="1" t="s">
        <v>15</v>
      </c>
      <c r="C60" s="2">
        <v>1</v>
      </c>
      <c r="D60" s="2">
        <v>10</v>
      </c>
      <c r="E60" s="4">
        <v>11</v>
      </c>
      <c r="F60" s="21"/>
      <c r="G60" s="3">
        <v>48953</v>
      </c>
      <c r="H60" s="1" t="s">
        <v>15</v>
      </c>
      <c r="I60" s="2">
        <v>1.02</v>
      </c>
      <c r="J60" s="2">
        <v>4.55</v>
      </c>
      <c r="K60" s="4">
        <v>5.57</v>
      </c>
      <c r="L60" s="21"/>
      <c r="M60" s="3">
        <v>48953</v>
      </c>
      <c r="N60" s="1" t="s">
        <v>15</v>
      </c>
      <c r="O60" s="2">
        <v>1.39</v>
      </c>
      <c r="P60" s="2">
        <v>3.57</v>
      </c>
      <c r="Q60" s="4">
        <v>4.96</v>
      </c>
      <c r="U60" s="26"/>
      <c r="V60" s="26"/>
      <c r="W60" s="26"/>
    </row>
    <row r="61" spans="1:23" ht="15.75" customHeight="1" thickBot="1" x14ac:dyDescent="0.3">
      <c r="A61" s="3">
        <v>49134</v>
      </c>
      <c r="B61" s="1" t="s">
        <v>15</v>
      </c>
      <c r="C61" s="2">
        <v>0.75</v>
      </c>
      <c r="D61" s="2">
        <v>10</v>
      </c>
      <c r="E61" s="4">
        <v>10.75</v>
      </c>
      <c r="F61" s="21"/>
      <c r="G61" s="3">
        <v>49134</v>
      </c>
      <c r="H61" s="1" t="s">
        <v>15</v>
      </c>
      <c r="I61" s="2">
        <v>0.91</v>
      </c>
      <c r="J61" s="2">
        <v>4.55</v>
      </c>
      <c r="K61" s="4">
        <v>5.46</v>
      </c>
      <c r="L61" s="21"/>
      <c r="M61" s="3">
        <v>49134</v>
      </c>
      <c r="N61" s="1" t="s">
        <v>15</v>
      </c>
      <c r="O61" s="2">
        <v>1.31</v>
      </c>
      <c r="P61" s="2">
        <v>3.57</v>
      </c>
      <c r="Q61" s="4">
        <v>4.88</v>
      </c>
      <c r="U61" s="26"/>
      <c r="V61" s="26"/>
      <c r="W61" s="26"/>
    </row>
    <row r="62" spans="1:23" ht="15.75" customHeight="1" thickBot="1" x14ac:dyDescent="0.3">
      <c r="A62" s="3">
        <v>49318</v>
      </c>
      <c r="B62" s="1" t="s">
        <v>15</v>
      </c>
      <c r="C62" s="2">
        <v>0.5</v>
      </c>
      <c r="D62" s="2">
        <v>10</v>
      </c>
      <c r="E62" s="4">
        <v>10.5</v>
      </c>
      <c r="F62" s="21"/>
      <c r="G62" s="3">
        <v>49318</v>
      </c>
      <c r="H62" s="1" t="s">
        <v>15</v>
      </c>
      <c r="I62" s="2">
        <v>0.8</v>
      </c>
      <c r="J62" s="2">
        <v>4.55</v>
      </c>
      <c r="K62" s="4">
        <v>5.35</v>
      </c>
      <c r="L62" s="21"/>
      <c r="M62" s="3">
        <v>49318</v>
      </c>
      <c r="N62" s="1" t="s">
        <v>15</v>
      </c>
      <c r="O62" s="2">
        <v>1.22</v>
      </c>
      <c r="P62" s="2">
        <v>3.57</v>
      </c>
      <c r="Q62" s="4">
        <v>4.79</v>
      </c>
      <c r="U62" s="26"/>
      <c r="V62" s="26"/>
      <c r="W62" s="26"/>
    </row>
    <row r="63" spans="1:23" ht="15.75" customHeight="1" thickBot="1" x14ac:dyDescent="0.3">
      <c r="A63" s="3">
        <v>49499</v>
      </c>
      <c r="B63" s="1" t="s">
        <v>15</v>
      </c>
      <c r="C63" s="2">
        <v>0.25</v>
      </c>
      <c r="D63" s="2">
        <v>10</v>
      </c>
      <c r="E63" s="4">
        <v>10.25</v>
      </c>
      <c r="F63" s="21"/>
      <c r="G63" s="3">
        <v>49499</v>
      </c>
      <c r="H63" s="1" t="s">
        <v>15</v>
      </c>
      <c r="I63" s="2">
        <v>0.68</v>
      </c>
      <c r="J63" s="2">
        <v>4.55</v>
      </c>
      <c r="K63" s="4">
        <v>5.23</v>
      </c>
      <c r="L63" s="21"/>
      <c r="M63" s="3">
        <v>49499</v>
      </c>
      <c r="N63" s="1" t="s">
        <v>15</v>
      </c>
      <c r="O63" s="2">
        <v>1.1299999999999999</v>
      </c>
      <c r="P63" s="2">
        <v>3.57</v>
      </c>
      <c r="Q63" s="4">
        <v>4.7</v>
      </c>
      <c r="U63" s="26"/>
      <c r="V63" s="26"/>
      <c r="W63" s="26"/>
    </row>
    <row r="64" spans="1:23" ht="15.75" customHeight="1" thickBot="1" x14ac:dyDescent="0.3">
      <c r="A64" s="5"/>
      <c r="B64" s="6"/>
      <c r="C64" s="7">
        <f>SUM(C37:C63)</f>
        <v>46.55</v>
      </c>
      <c r="D64" s="7">
        <f>SUM(D37:D63)</f>
        <v>100</v>
      </c>
      <c r="E64" s="8">
        <f>SUM(E37:E63)</f>
        <v>146.55000000000001</v>
      </c>
      <c r="F64" s="21"/>
      <c r="G64" s="3">
        <v>49683</v>
      </c>
      <c r="H64" s="1" t="s">
        <v>15</v>
      </c>
      <c r="I64" s="2">
        <v>0.56999999999999995</v>
      </c>
      <c r="J64" s="2">
        <v>4.55</v>
      </c>
      <c r="K64" s="4">
        <v>5.12</v>
      </c>
      <c r="L64" s="21"/>
      <c r="M64" s="3">
        <v>49683</v>
      </c>
      <c r="N64" s="1" t="s">
        <v>15</v>
      </c>
      <c r="O64" s="2">
        <v>1.04</v>
      </c>
      <c r="P64" s="2">
        <v>3.57</v>
      </c>
      <c r="Q64" s="4">
        <v>4.6100000000000003</v>
      </c>
      <c r="U64" s="26"/>
      <c r="V64" s="26"/>
      <c r="W64" s="26"/>
    </row>
    <row r="65" spans="2:23" ht="15.75" customHeight="1" thickBot="1" x14ac:dyDescent="0.3">
      <c r="B65" s="21"/>
      <c r="F65" s="21"/>
      <c r="G65" s="3">
        <v>49865</v>
      </c>
      <c r="H65" s="1" t="s">
        <v>15</v>
      </c>
      <c r="I65" s="2">
        <v>0.45</v>
      </c>
      <c r="J65" s="2">
        <v>4.55</v>
      </c>
      <c r="K65" s="4">
        <v>5</v>
      </c>
      <c r="L65" s="21"/>
      <c r="M65" s="3">
        <v>49865</v>
      </c>
      <c r="N65" s="1" t="s">
        <v>15</v>
      </c>
      <c r="O65" s="2">
        <v>0.96</v>
      </c>
      <c r="P65" s="2">
        <v>3.57</v>
      </c>
      <c r="Q65" s="4">
        <v>4.53</v>
      </c>
      <c r="U65" s="26"/>
      <c r="V65" s="26"/>
      <c r="W65" s="26"/>
    </row>
    <row r="66" spans="2:23" ht="15.75" customHeight="1" thickBot="1" x14ac:dyDescent="0.3">
      <c r="B66" s="21"/>
      <c r="F66" s="21"/>
      <c r="G66" s="3">
        <v>50049</v>
      </c>
      <c r="H66" s="1" t="s">
        <v>15</v>
      </c>
      <c r="I66" s="2">
        <v>0.34</v>
      </c>
      <c r="J66" s="2">
        <v>4.55</v>
      </c>
      <c r="K66" s="4">
        <v>4.8899999999999997</v>
      </c>
      <c r="L66" s="21"/>
      <c r="M66" s="3">
        <v>50049</v>
      </c>
      <c r="N66" s="1" t="s">
        <v>15</v>
      </c>
      <c r="O66" s="2">
        <v>0.87</v>
      </c>
      <c r="P66" s="2">
        <v>3.57</v>
      </c>
      <c r="Q66" s="4">
        <v>4.4400000000000004</v>
      </c>
      <c r="U66" s="26"/>
      <c r="V66" s="26"/>
      <c r="W66" s="26"/>
    </row>
    <row r="67" spans="2:23" ht="15.75" customHeight="1" thickBot="1" x14ac:dyDescent="0.3">
      <c r="B67" s="21"/>
      <c r="F67" s="21"/>
      <c r="G67" s="3">
        <v>50230</v>
      </c>
      <c r="H67" s="1" t="s">
        <v>15</v>
      </c>
      <c r="I67" s="2">
        <v>0.23</v>
      </c>
      <c r="J67" s="2">
        <v>4.55</v>
      </c>
      <c r="K67" s="4">
        <v>4.78</v>
      </c>
      <c r="L67" s="21"/>
      <c r="M67" s="3">
        <v>50230</v>
      </c>
      <c r="N67" s="1" t="s">
        <v>15</v>
      </c>
      <c r="O67" s="2">
        <v>0.78</v>
      </c>
      <c r="P67" s="2">
        <v>3.57</v>
      </c>
      <c r="Q67" s="4">
        <v>4.3499999999999996</v>
      </c>
      <c r="U67" s="26"/>
      <c r="V67" s="26"/>
      <c r="W67" s="26"/>
    </row>
    <row r="68" spans="2:23" ht="15.75" customHeight="1" thickBot="1" x14ac:dyDescent="0.3">
      <c r="B68" s="21"/>
      <c r="F68" s="21"/>
      <c r="G68" s="3">
        <v>50414</v>
      </c>
      <c r="H68" s="1" t="s">
        <v>15</v>
      </c>
      <c r="I68" s="2">
        <v>0.11</v>
      </c>
      <c r="J68" s="2">
        <v>4.55</v>
      </c>
      <c r="K68" s="4">
        <v>4.66</v>
      </c>
      <c r="L68" s="21"/>
      <c r="M68" s="3">
        <v>50414</v>
      </c>
      <c r="N68" s="1" t="s">
        <v>15</v>
      </c>
      <c r="O68" s="2">
        <v>0.7</v>
      </c>
      <c r="P68" s="2">
        <v>3.57</v>
      </c>
      <c r="Q68" s="4">
        <v>4.2699999999999996</v>
      </c>
      <c r="U68" s="26"/>
      <c r="V68" s="26"/>
      <c r="W68" s="26"/>
    </row>
    <row r="69" spans="2:23" ht="15.75" customHeight="1" thickBot="1" x14ac:dyDescent="0.3">
      <c r="B69" s="21"/>
      <c r="F69" s="21"/>
      <c r="G69" s="5"/>
      <c r="H69" s="10"/>
      <c r="I69" s="7">
        <f>SUM(I37:I68)</f>
        <v>50.370000000000005</v>
      </c>
      <c r="J69" s="7">
        <f>SUM(J37:J68)</f>
        <v>100.09999999999997</v>
      </c>
      <c r="K69" s="8">
        <f>SUM(K37:K68)</f>
        <v>150.46999999999997</v>
      </c>
      <c r="L69" s="21"/>
      <c r="M69" s="3">
        <v>50595</v>
      </c>
      <c r="N69" s="1" t="s">
        <v>15</v>
      </c>
      <c r="O69" s="2">
        <v>0.61</v>
      </c>
      <c r="P69" s="2">
        <v>3.57</v>
      </c>
      <c r="Q69" s="4">
        <v>4.18</v>
      </c>
      <c r="U69" s="26"/>
      <c r="V69" s="26"/>
      <c r="W69" s="26"/>
    </row>
    <row r="70" spans="2:23" ht="15.75" customHeight="1" thickBot="1" x14ac:dyDescent="0.3">
      <c r="B70" s="21"/>
      <c r="F70" s="21"/>
      <c r="L70" s="21"/>
      <c r="M70" s="3">
        <v>50779</v>
      </c>
      <c r="N70" s="1" t="s">
        <v>15</v>
      </c>
      <c r="O70" s="2">
        <v>0.52</v>
      </c>
      <c r="P70" s="2">
        <v>3.57</v>
      </c>
      <c r="Q70" s="4">
        <v>4.09</v>
      </c>
      <c r="U70" s="26"/>
      <c r="V70" s="26"/>
      <c r="W70" s="26"/>
    </row>
    <row r="71" spans="2:23" ht="15.75" customHeight="1" thickBot="1" x14ac:dyDescent="0.3">
      <c r="B71" s="21"/>
      <c r="F71" s="21"/>
      <c r="L71" s="21"/>
      <c r="M71" s="3">
        <v>50960</v>
      </c>
      <c r="N71" s="1" t="s">
        <v>15</v>
      </c>
      <c r="O71" s="2">
        <v>0.44</v>
      </c>
      <c r="P71" s="2">
        <v>3.57</v>
      </c>
      <c r="Q71" s="4">
        <v>4.01</v>
      </c>
      <c r="U71" s="26"/>
      <c r="V71" s="26"/>
      <c r="W71" s="26"/>
    </row>
    <row r="72" spans="2:23" ht="15.75" customHeight="1" thickBot="1" x14ac:dyDescent="0.3">
      <c r="B72" s="21"/>
      <c r="F72" s="21"/>
      <c r="L72" s="21"/>
      <c r="M72" s="3">
        <v>51144</v>
      </c>
      <c r="N72" s="1" t="s">
        <v>15</v>
      </c>
      <c r="O72" s="2">
        <v>0.35</v>
      </c>
      <c r="P72" s="2">
        <v>3.57</v>
      </c>
      <c r="Q72" s="4">
        <v>3.92</v>
      </c>
      <c r="U72" s="26"/>
      <c r="V72" s="26"/>
      <c r="W72" s="26"/>
    </row>
    <row r="73" spans="2:23" ht="15.75" customHeight="1" thickBot="1" x14ac:dyDescent="0.3">
      <c r="B73" s="21"/>
      <c r="F73" s="21"/>
      <c r="L73" s="21"/>
      <c r="M73" s="3">
        <v>51326</v>
      </c>
      <c r="N73" s="1" t="s">
        <v>15</v>
      </c>
      <c r="O73" s="2">
        <v>0.26</v>
      </c>
      <c r="P73" s="2">
        <v>3.57</v>
      </c>
      <c r="Q73" s="4">
        <v>3.83</v>
      </c>
      <c r="U73" s="26"/>
      <c r="V73" s="26"/>
      <c r="W73" s="26"/>
    </row>
    <row r="74" spans="2:23" ht="15.75" customHeight="1" thickBot="1" x14ac:dyDescent="0.3">
      <c r="B74" s="21"/>
      <c r="F74" s="21"/>
      <c r="L74" s="21"/>
      <c r="M74" s="3">
        <v>51510</v>
      </c>
      <c r="N74" s="1" t="s">
        <v>15</v>
      </c>
      <c r="O74" s="2">
        <v>0.17</v>
      </c>
      <c r="P74" s="2">
        <v>3.57</v>
      </c>
      <c r="Q74" s="4">
        <v>3.74</v>
      </c>
    </row>
    <row r="75" spans="2:23" ht="15.75" customHeight="1" thickBot="1" x14ac:dyDescent="0.3">
      <c r="B75" s="21"/>
      <c r="F75" s="21"/>
      <c r="L75" s="21"/>
      <c r="M75" s="3">
        <v>51691</v>
      </c>
      <c r="N75" s="1" t="s">
        <v>15</v>
      </c>
      <c r="O75" s="2">
        <v>0.09</v>
      </c>
      <c r="P75" s="2">
        <v>3.57</v>
      </c>
      <c r="Q75" s="4">
        <v>3.66</v>
      </c>
    </row>
    <row r="76" spans="2:23" ht="15.75" customHeight="1" thickBot="1" x14ac:dyDescent="0.3">
      <c r="B76" s="21"/>
      <c r="F76" s="21"/>
      <c r="L76" s="21"/>
      <c r="M76" s="5"/>
      <c r="N76" s="10"/>
      <c r="O76" s="7">
        <f>SUM(O37:O75)</f>
        <v>51.500000000000007</v>
      </c>
      <c r="P76" s="7">
        <f>SUM(P37:P75)</f>
        <v>99.959999999999923</v>
      </c>
      <c r="Q76" s="8">
        <f>SUM(Q37:Q75)</f>
        <v>151.45999999999998</v>
      </c>
    </row>
    <row r="77" spans="2:23" ht="15.75" customHeight="1" x14ac:dyDescent="0.25">
      <c r="B77" s="21"/>
    </row>
    <row r="78" spans="2:23" ht="15.75" customHeight="1" x14ac:dyDescent="0.25">
      <c r="B78" s="21"/>
    </row>
    <row r="79" spans="2:23" ht="15.75" customHeight="1" x14ac:dyDescent="0.25">
      <c r="B79" s="21"/>
    </row>
    <row r="80" spans="2:23" ht="15.75" customHeight="1" x14ac:dyDescent="0.25">
      <c r="B80" s="21"/>
      <c r="M80" s="21"/>
    </row>
    <row r="81" spans="1:12" x14ac:dyDescent="0.25">
      <c r="A81" s="22"/>
      <c r="B81" s="23"/>
      <c r="D81" s="21"/>
      <c r="E81" s="21"/>
      <c r="G81" s="21"/>
      <c r="H81" s="21"/>
      <c r="I81" s="21"/>
      <c r="J81" s="21"/>
      <c r="K81" s="21"/>
    </row>
    <row r="82" spans="1:12" x14ac:dyDescent="0.25">
      <c r="A82" s="22"/>
      <c r="B82" s="23"/>
      <c r="D82" s="21"/>
      <c r="E82" s="21"/>
      <c r="F82" s="21"/>
      <c r="G82" s="21"/>
      <c r="H82" s="21"/>
      <c r="I82" s="21"/>
      <c r="J82" s="21"/>
      <c r="K82" s="21"/>
      <c r="L82" s="21"/>
    </row>
    <row r="83" spans="1:12" x14ac:dyDescent="0.25">
      <c r="A83" s="22"/>
      <c r="B83" s="23"/>
      <c r="D83" s="21"/>
      <c r="E83" s="21"/>
      <c r="F83" s="21"/>
      <c r="G83" s="21"/>
      <c r="H83" s="21"/>
      <c r="I83" s="21"/>
      <c r="J83" s="21"/>
      <c r="K83" s="21"/>
      <c r="L83" s="21"/>
    </row>
    <row r="84" spans="1:12" x14ac:dyDescent="0.25">
      <c r="A84" s="22"/>
      <c r="B84" s="23"/>
      <c r="D84" s="21"/>
      <c r="E84" s="21"/>
      <c r="F84" s="21"/>
      <c r="G84" s="21"/>
      <c r="H84" s="21"/>
      <c r="I84" s="21"/>
      <c r="J84" s="21"/>
      <c r="K84" s="21"/>
      <c r="L84" s="21"/>
    </row>
    <row r="85" spans="1:12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2" x14ac:dyDescent="0.25">
      <c r="A86" s="24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</row>
    <row r="87" spans="1:12" x14ac:dyDescent="0.25"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</row>
    <row r="88" spans="1:12" x14ac:dyDescent="0.25">
      <c r="B88" s="21"/>
      <c r="F88" s="21"/>
      <c r="G88" s="21"/>
      <c r="H88" s="21"/>
      <c r="I88" s="21"/>
      <c r="J88" s="21"/>
      <c r="K88" s="21"/>
      <c r="L88" s="21"/>
    </row>
    <row r="89" spans="1:12" x14ac:dyDescent="0.25">
      <c r="B89" s="21"/>
      <c r="F89" s="21"/>
      <c r="G89" s="21"/>
      <c r="H89" s="21"/>
      <c r="I89" s="21"/>
      <c r="J89" s="21"/>
      <c r="K89" s="21"/>
      <c r="L89" s="21"/>
    </row>
    <row r="90" spans="1:12" x14ac:dyDescent="0.25">
      <c r="B90" s="21"/>
      <c r="F90" s="21"/>
      <c r="G90" s="21"/>
      <c r="H90" s="21"/>
      <c r="I90" s="21"/>
      <c r="J90" s="21"/>
      <c r="K90" s="21"/>
      <c r="L90" s="21"/>
    </row>
    <row r="91" spans="1:12" x14ac:dyDescent="0.25">
      <c r="B91" s="21"/>
      <c r="F91" s="21"/>
      <c r="G91" s="21"/>
      <c r="H91" s="21"/>
      <c r="I91" s="21"/>
      <c r="J91" s="21"/>
      <c r="K91" s="21"/>
      <c r="L91" s="21"/>
    </row>
    <row r="92" spans="1:12" x14ac:dyDescent="0.25">
      <c r="B92" s="21"/>
      <c r="F92" s="21"/>
      <c r="G92" s="21"/>
      <c r="H92" s="21"/>
      <c r="I92" s="21"/>
      <c r="J92" s="21"/>
      <c r="K92" s="21"/>
      <c r="L92" s="21"/>
    </row>
    <row r="93" spans="1:12" x14ac:dyDescent="0.25">
      <c r="B93" s="21"/>
      <c r="F93" s="21"/>
      <c r="G93" s="21"/>
      <c r="H93" s="21"/>
      <c r="I93" s="21"/>
      <c r="J93" s="21"/>
      <c r="K93" s="21"/>
      <c r="L93" s="21"/>
    </row>
    <row r="94" spans="1:12" x14ac:dyDescent="0.25">
      <c r="B94" s="21"/>
      <c r="F94" s="21"/>
      <c r="G94" s="21"/>
      <c r="H94" s="21"/>
      <c r="I94" s="21"/>
      <c r="J94" s="21"/>
      <c r="K94" s="21"/>
      <c r="L94" s="21"/>
    </row>
    <row r="95" spans="1:12" x14ac:dyDescent="0.25">
      <c r="B95" s="21"/>
      <c r="F95" s="21"/>
      <c r="G95" s="21"/>
      <c r="H95" s="21"/>
      <c r="I95" s="21"/>
      <c r="J95" s="21"/>
      <c r="K95" s="21"/>
      <c r="L95" s="21"/>
    </row>
    <row r="96" spans="1:12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L104" s="21"/>
    </row>
    <row r="105" spans="2:12" x14ac:dyDescent="0.25">
      <c r="B105" s="21"/>
    </row>
    <row r="106" spans="2:12" x14ac:dyDescent="0.25">
      <c r="B106" s="21"/>
    </row>
    <row r="107" spans="2:12" x14ac:dyDescent="0.25">
      <c r="B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Y113"/>
  <sheetViews>
    <sheetView topLeftCell="A19" workbookViewId="0">
      <selection activeCell="I40" sqref="I40"/>
    </sheetView>
  </sheetViews>
  <sheetFormatPr baseColWidth="10" defaultRowHeight="15" x14ac:dyDescent="0.25"/>
  <cols>
    <col min="1" max="1" width="22.140625" style="66" bestFit="1" customWidth="1"/>
    <col min="2" max="2" width="10.7109375" style="66" bestFit="1" customWidth="1"/>
    <col min="3" max="6" width="11.42578125" style="66" customWidth="1"/>
    <col min="7" max="7" width="22.140625" style="66" bestFit="1" customWidth="1"/>
    <col min="8" max="8" width="11.85546875" style="66" bestFit="1" customWidth="1"/>
    <col min="9" max="12" width="11.42578125" style="66" customWidth="1"/>
    <col min="13" max="13" width="22.140625" style="66" bestFit="1" customWidth="1"/>
    <col min="14" max="14" width="11.85546875" style="66" bestFit="1" customWidth="1"/>
    <col min="15" max="18" width="11.42578125" style="66" customWidth="1"/>
    <col min="19" max="19" width="22.140625" style="66" bestFit="1" customWidth="1"/>
    <col min="20" max="36" width="11.42578125" style="66" customWidth="1"/>
    <col min="37" max="16384" width="11.42578125" style="66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 t="e">
        <f>#REF!-B5</f>
        <v>#REF!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44078</v>
      </c>
      <c r="C5" s="27"/>
      <c r="D5" s="26" t="e">
        <f>DAYS360(B5,#REF!)</f>
        <v>#REF!</v>
      </c>
      <c r="E5" s="28"/>
      <c r="G5" s="31" t="s">
        <v>10</v>
      </c>
      <c r="H5" s="24">
        <v>44078</v>
      </c>
      <c r="I5" s="27"/>
      <c r="J5" s="27"/>
      <c r="K5" s="28"/>
      <c r="L5" s="21"/>
      <c r="M5" s="31" t="s">
        <v>10</v>
      </c>
      <c r="N5" s="24">
        <v>44078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 t="e">
        <f>DAYS360(B5,#REF!)</f>
        <v>#REF!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4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7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5">
        <f ca="1">B6*DAYS360(B5,TODAY())/360*100</f>
        <v>2.3138888888888891</v>
      </c>
      <c r="C8" s="27"/>
      <c r="D8" s="47"/>
      <c r="E8" s="28"/>
      <c r="F8" s="46"/>
      <c r="G8" s="31" t="s">
        <v>13</v>
      </c>
      <c r="H8" s="45">
        <f ca="1">H6*DAYS360(H5,TODAY())/360*100</f>
        <v>2.3138888888888891</v>
      </c>
      <c r="I8" s="27"/>
      <c r="J8" s="27"/>
      <c r="K8" s="28"/>
      <c r="L8" s="21"/>
      <c r="M8" s="31" t="s">
        <v>13</v>
      </c>
      <c r="N8" s="45">
        <f ca="1">N6*DAYS360(N5,TODAY())/360*100</f>
        <v>0.28923611111111114</v>
      </c>
      <c r="O8" s="27"/>
      <c r="P8" s="27"/>
      <c r="Q8" s="28"/>
      <c r="S8" s="31" t="s">
        <v>13</v>
      </c>
      <c r="T8" s="45">
        <f ca="1">T6*DAYS360(T5,TODAY())/360*100</f>
        <v>0.28993055555555558</v>
      </c>
      <c r="U8" s="27"/>
      <c r="V8" s="27"/>
      <c r="W8" s="28"/>
    </row>
    <row r="9" spans="1:25" ht="18.75" customHeight="1" thickBot="1" x14ac:dyDescent="0.35">
      <c r="A9" s="30" t="s">
        <v>14</v>
      </c>
      <c r="B9" s="45">
        <f ca="1">B7+B8</f>
        <v>102.31388888888888</v>
      </c>
      <c r="C9" s="27"/>
      <c r="D9" s="27"/>
      <c r="E9" s="28">
        <v>-34.799999999999997</v>
      </c>
      <c r="F9" s="21"/>
      <c r="G9" s="31" t="s">
        <v>14</v>
      </c>
      <c r="H9" s="45">
        <f ca="1">H7+H8</f>
        <v>102.31388888888888</v>
      </c>
      <c r="I9" s="27"/>
      <c r="J9" s="27"/>
      <c r="K9" s="28"/>
      <c r="L9" s="21"/>
      <c r="M9" s="31" t="s">
        <v>14</v>
      </c>
      <c r="N9" s="45">
        <f ca="1">N7+N8</f>
        <v>100.28923611111111</v>
      </c>
      <c r="O9" s="27"/>
      <c r="P9" s="27"/>
      <c r="Q9" s="28">
        <v>-32.700000000000003</v>
      </c>
      <c r="S9" s="31" t="s">
        <v>14</v>
      </c>
      <c r="T9" s="45">
        <f ca="1">T7+T8</f>
        <v>100.28993055555556</v>
      </c>
      <c r="U9" s="27"/>
      <c r="V9" s="27"/>
      <c r="W9" s="28"/>
    </row>
    <row r="10" spans="1:25" ht="15.75" customHeight="1" thickBot="1" x14ac:dyDescent="0.3">
      <c r="A10" s="3">
        <v>44570</v>
      </c>
      <c r="B10" s="1" t="s">
        <v>15</v>
      </c>
      <c r="C10" s="38">
        <v>0.5</v>
      </c>
      <c r="D10" s="2">
        <v>0</v>
      </c>
      <c r="E10" s="41">
        <v>0.5</v>
      </c>
      <c r="F10" s="21"/>
      <c r="G10" s="3">
        <v>44570</v>
      </c>
      <c r="H10" t="s">
        <v>15</v>
      </c>
      <c r="I10" s="2">
        <v>0.5</v>
      </c>
      <c r="J10" s="2">
        <v>0</v>
      </c>
      <c r="K10" s="4">
        <v>0.5</v>
      </c>
      <c r="L10" s="21"/>
      <c r="M10" s="3">
        <v>44570</v>
      </c>
      <c r="N10" t="s">
        <v>15</v>
      </c>
      <c r="O10" s="2">
        <v>0.25</v>
      </c>
      <c r="P10" s="2">
        <v>0</v>
      </c>
      <c r="Q10" s="4">
        <v>0.25</v>
      </c>
      <c r="S10" s="3">
        <v>44570</v>
      </c>
      <c r="T10" t="s">
        <v>15</v>
      </c>
      <c r="U10" s="2">
        <v>0.25</v>
      </c>
      <c r="V10" s="2">
        <v>0</v>
      </c>
      <c r="W10" s="4">
        <v>0.25</v>
      </c>
    </row>
    <row r="11" spans="1:25" ht="15.75" customHeight="1" thickBot="1" x14ac:dyDescent="0.3">
      <c r="A11" s="3">
        <v>44751</v>
      </c>
      <c r="B11" s="1" t="s">
        <v>15</v>
      </c>
      <c r="C11" s="38">
        <v>0.5</v>
      </c>
      <c r="D11" s="2">
        <v>0</v>
      </c>
      <c r="E11" s="41">
        <v>0.5</v>
      </c>
      <c r="F11" s="21"/>
      <c r="G11" s="3">
        <v>44751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44751</v>
      </c>
      <c r="N11" t="s">
        <v>15</v>
      </c>
      <c r="O11" s="2">
        <v>0.25</v>
      </c>
      <c r="P11" s="2">
        <v>0</v>
      </c>
      <c r="Q11" s="4">
        <v>0.25</v>
      </c>
      <c r="S11" s="3">
        <v>44751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44935</v>
      </c>
      <c r="B12" s="1" t="s">
        <v>15</v>
      </c>
      <c r="C12" s="38">
        <v>0.5</v>
      </c>
      <c r="D12" s="2">
        <v>0</v>
      </c>
      <c r="E12" s="41">
        <v>0.5</v>
      </c>
      <c r="F12" s="21"/>
      <c r="G12" s="3">
        <v>44935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44935</v>
      </c>
      <c r="N12" t="s">
        <v>15</v>
      </c>
      <c r="O12" s="2">
        <v>0.25</v>
      </c>
      <c r="P12" s="2">
        <v>0</v>
      </c>
      <c r="Q12" s="4">
        <v>0.25</v>
      </c>
      <c r="S12" s="3">
        <v>44935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45116</v>
      </c>
      <c r="B13" s="1" t="s">
        <v>15</v>
      </c>
      <c r="C13" s="38">
        <v>0.5</v>
      </c>
      <c r="D13" s="2">
        <v>0</v>
      </c>
      <c r="E13" s="41">
        <v>0.5</v>
      </c>
      <c r="F13" s="21"/>
      <c r="G13" s="3">
        <v>45116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45116</v>
      </c>
      <c r="N13" t="s">
        <v>15</v>
      </c>
      <c r="O13" s="2">
        <v>0.25</v>
      </c>
      <c r="P13" s="2">
        <v>0</v>
      </c>
      <c r="Q13" s="4">
        <v>0.25</v>
      </c>
      <c r="S13" s="3">
        <v>45116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45300</v>
      </c>
      <c r="B14" s="1" t="s">
        <v>15</v>
      </c>
      <c r="C14" s="38">
        <v>0.5</v>
      </c>
      <c r="D14" s="2">
        <v>0</v>
      </c>
      <c r="E14" s="41">
        <v>0.5</v>
      </c>
      <c r="F14" s="21"/>
      <c r="G14" s="3">
        <v>45300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45300</v>
      </c>
      <c r="N14" t="s">
        <v>15</v>
      </c>
      <c r="O14" s="2">
        <v>0.38</v>
      </c>
      <c r="P14" s="2">
        <v>0</v>
      </c>
      <c r="Q14" s="4">
        <v>0.38</v>
      </c>
      <c r="S14" s="3">
        <v>45300</v>
      </c>
      <c r="T14" t="s">
        <v>15</v>
      </c>
      <c r="U14" s="2">
        <v>0.38</v>
      </c>
      <c r="V14" s="2">
        <v>0</v>
      </c>
      <c r="W14" s="4">
        <v>0.38</v>
      </c>
    </row>
    <row r="15" spans="1:25" ht="15.75" customHeight="1" thickBot="1" x14ac:dyDescent="0.3">
      <c r="A15" s="3">
        <v>45482</v>
      </c>
      <c r="B15" s="1" t="s">
        <v>15</v>
      </c>
      <c r="C15" s="38">
        <v>0.5</v>
      </c>
      <c r="D15" s="2">
        <v>0</v>
      </c>
      <c r="E15" s="41">
        <v>0.5</v>
      </c>
      <c r="F15" s="21"/>
      <c r="G15" s="3">
        <v>45482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45482</v>
      </c>
      <c r="N15" t="s">
        <v>15</v>
      </c>
      <c r="O15" s="2">
        <v>0.38</v>
      </c>
      <c r="P15" s="2">
        <v>4</v>
      </c>
      <c r="Q15" s="4">
        <v>4.38</v>
      </c>
      <c r="S15" s="3">
        <v>45482</v>
      </c>
      <c r="T15" t="s">
        <v>15</v>
      </c>
      <c r="U15" s="2">
        <v>0.38</v>
      </c>
      <c r="V15" s="2">
        <v>4</v>
      </c>
      <c r="W15" s="4">
        <v>4.38</v>
      </c>
    </row>
    <row r="16" spans="1:25" ht="15.75" customHeight="1" thickBot="1" x14ac:dyDescent="0.3">
      <c r="A16" s="3">
        <v>45666</v>
      </c>
      <c r="B16" s="1" t="s">
        <v>15</v>
      </c>
      <c r="C16" s="38">
        <v>0.5</v>
      </c>
      <c r="D16" s="2">
        <v>10</v>
      </c>
      <c r="E16" s="41">
        <v>10.5</v>
      </c>
      <c r="F16" s="21"/>
      <c r="G16" s="3">
        <v>45666</v>
      </c>
      <c r="H16" t="s">
        <v>15</v>
      </c>
      <c r="I16" s="2">
        <v>0.5</v>
      </c>
      <c r="J16" s="2">
        <v>10</v>
      </c>
      <c r="K16" s="4">
        <v>10.5</v>
      </c>
      <c r="L16" s="21"/>
      <c r="M16" s="3">
        <v>45666</v>
      </c>
      <c r="N16" t="s">
        <v>15</v>
      </c>
      <c r="O16" s="2">
        <v>0.36</v>
      </c>
      <c r="P16" s="2">
        <v>8</v>
      </c>
      <c r="Q16" s="4">
        <v>8.36</v>
      </c>
      <c r="S16" s="3">
        <v>45666</v>
      </c>
      <c r="T16" t="s">
        <v>15</v>
      </c>
      <c r="U16" s="2">
        <v>0.36</v>
      </c>
      <c r="V16" s="2">
        <v>8</v>
      </c>
      <c r="W16" s="4">
        <v>8.36</v>
      </c>
    </row>
    <row r="17" spans="1:23" ht="15.75" customHeight="1" thickBot="1" x14ac:dyDescent="0.3">
      <c r="A17" s="3">
        <v>45847</v>
      </c>
      <c r="B17" s="1" t="s">
        <v>15</v>
      </c>
      <c r="C17" s="38">
        <v>0.45</v>
      </c>
      <c r="D17" s="2">
        <v>10</v>
      </c>
      <c r="E17" s="41">
        <v>10.45</v>
      </c>
      <c r="F17" s="21"/>
      <c r="G17" s="3">
        <v>45847</v>
      </c>
      <c r="H17" t="s">
        <v>15</v>
      </c>
      <c r="I17" s="2">
        <v>0.45</v>
      </c>
      <c r="J17" s="2">
        <v>10</v>
      </c>
      <c r="K17" s="4">
        <v>10.45</v>
      </c>
      <c r="L17" s="21"/>
      <c r="M17" s="3">
        <v>45847</v>
      </c>
      <c r="N17" t="s">
        <v>15</v>
      </c>
      <c r="O17" s="2">
        <v>0.33</v>
      </c>
      <c r="P17" s="2">
        <v>8</v>
      </c>
      <c r="Q17" s="4">
        <v>8.33</v>
      </c>
      <c r="S17" s="3">
        <v>45847</v>
      </c>
      <c r="T17" t="s">
        <v>15</v>
      </c>
      <c r="U17" s="2">
        <v>0.33</v>
      </c>
      <c r="V17" s="2">
        <v>8</v>
      </c>
      <c r="W17" s="4">
        <v>8.33</v>
      </c>
    </row>
    <row r="18" spans="1:23" ht="15.75" customHeight="1" thickBot="1" x14ac:dyDescent="0.3">
      <c r="A18" s="3">
        <v>46031</v>
      </c>
      <c r="B18" s="1" t="s">
        <v>15</v>
      </c>
      <c r="C18" s="38">
        <v>0.4</v>
      </c>
      <c r="D18" s="2">
        <v>10</v>
      </c>
      <c r="E18" s="41">
        <v>10.4</v>
      </c>
      <c r="F18" s="21"/>
      <c r="G18" s="3">
        <v>46031</v>
      </c>
      <c r="H18" t="s">
        <v>15</v>
      </c>
      <c r="I18" s="2">
        <v>0.4</v>
      </c>
      <c r="J18" s="2">
        <v>10</v>
      </c>
      <c r="K18" s="4">
        <v>10.4</v>
      </c>
      <c r="L18" s="21"/>
      <c r="M18" s="3">
        <v>46031</v>
      </c>
      <c r="N18" t="s">
        <v>15</v>
      </c>
      <c r="O18" s="2">
        <v>0.3</v>
      </c>
      <c r="P18" s="2">
        <v>8</v>
      </c>
      <c r="Q18" s="4">
        <v>8.3000000000000007</v>
      </c>
      <c r="S18" s="3">
        <v>46031</v>
      </c>
      <c r="T18" t="s">
        <v>15</v>
      </c>
      <c r="U18" s="2">
        <v>0.3</v>
      </c>
      <c r="V18" s="2">
        <v>8</v>
      </c>
      <c r="W18" s="4">
        <v>8.3000000000000007</v>
      </c>
    </row>
    <row r="19" spans="1:23" ht="15.75" customHeight="1" thickBot="1" x14ac:dyDescent="0.3">
      <c r="A19" s="3">
        <v>46212</v>
      </c>
      <c r="B19" s="1" t="s">
        <v>15</v>
      </c>
      <c r="C19" s="38">
        <v>0.35</v>
      </c>
      <c r="D19" s="2">
        <v>10</v>
      </c>
      <c r="E19" s="41">
        <v>10.35</v>
      </c>
      <c r="F19" s="21"/>
      <c r="G19" s="3">
        <v>46212</v>
      </c>
      <c r="H19" t="s">
        <v>15</v>
      </c>
      <c r="I19" s="2">
        <v>0.35</v>
      </c>
      <c r="J19" s="2">
        <v>10</v>
      </c>
      <c r="K19" s="4">
        <v>10.35</v>
      </c>
      <c r="L19" s="21"/>
      <c r="M19" s="3">
        <v>46212</v>
      </c>
      <c r="N19" t="s">
        <v>15</v>
      </c>
      <c r="O19" s="2">
        <v>0.27</v>
      </c>
      <c r="P19" s="2">
        <v>8</v>
      </c>
      <c r="Q19" s="4">
        <v>8.27</v>
      </c>
      <c r="S19" s="3">
        <v>46212</v>
      </c>
      <c r="T19" t="s">
        <v>15</v>
      </c>
      <c r="U19" s="2">
        <v>0.27</v>
      </c>
      <c r="V19" s="2">
        <v>8</v>
      </c>
      <c r="W19" s="4">
        <v>8.27</v>
      </c>
    </row>
    <row r="20" spans="1:23" ht="15.75" customHeight="1" thickBot="1" x14ac:dyDescent="0.3">
      <c r="A20" s="3">
        <v>46396</v>
      </c>
      <c r="B20" s="1" t="s">
        <v>15</v>
      </c>
      <c r="C20" s="38">
        <v>0.3</v>
      </c>
      <c r="D20" s="2">
        <v>10</v>
      </c>
      <c r="E20" s="41">
        <v>10.3</v>
      </c>
      <c r="F20" s="21"/>
      <c r="G20" s="3">
        <v>46396</v>
      </c>
      <c r="H20" t="s">
        <v>15</v>
      </c>
      <c r="I20" s="2">
        <v>0.3</v>
      </c>
      <c r="J20" s="2">
        <v>10</v>
      </c>
      <c r="K20" s="4">
        <v>10.3</v>
      </c>
      <c r="L20" s="21"/>
      <c r="M20" s="3">
        <v>46396</v>
      </c>
      <c r="N20" t="s">
        <v>15</v>
      </c>
      <c r="O20" s="2">
        <v>0.24</v>
      </c>
      <c r="P20" s="2">
        <v>8</v>
      </c>
      <c r="Q20" s="4">
        <v>8.24</v>
      </c>
      <c r="S20" s="3">
        <v>46396</v>
      </c>
      <c r="T20" t="s">
        <v>15</v>
      </c>
      <c r="U20" s="2">
        <v>0.24</v>
      </c>
      <c r="V20" s="2">
        <v>8</v>
      </c>
      <c r="W20" s="4">
        <v>8.24</v>
      </c>
    </row>
    <row r="21" spans="1:23" ht="15.75" customHeight="1" thickBot="1" x14ac:dyDescent="0.3">
      <c r="A21" s="3">
        <v>46577</v>
      </c>
      <c r="B21" s="1" t="s">
        <v>15</v>
      </c>
      <c r="C21" s="38">
        <v>0.25</v>
      </c>
      <c r="D21" s="2">
        <v>10</v>
      </c>
      <c r="E21" s="41">
        <v>10.25</v>
      </c>
      <c r="F21" s="21"/>
      <c r="G21" s="3">
        <v>46577</v>
      </c>
      <c r="H21" t="s">
        <v>15</v>
      </c>
      <c r="I21" s="2">
        <v>0.25</v>
      </c>
      <c r="J21" s="2">
        <v>10</v>
      </c>
      <c r="K21" s="4">
        <v>10.25</v>
      </c>
      <c r="L21" s="21"/>
      <c r="M21" s="3">
        <v>46577</v>
      </c>
      <c r="N21" t="s">
        <v>15</v>
      </c>
      <c r="O21" s="2">
        <v>0.21</v>
      </c>
      <c r="P21" s="2">
        <v>8</v>
      </c>
      <c r="Q21" s="4">
        <v>8.2100000000000009</v>
      </c>
      <c r="S21" s="3">
        <v>46577</v>
      </c>
      <c r="T21" t="s">
        <v>15</v>
      </c>
      <c r="U21" s="2">
        <v>0.21</v>
      </c>
      <c r="V21" s="2">
        <v>8</v>
      </c>
      <c r="W21" s="4">
        <v>8.2100000000000009</v>
      </c>
    </row>
    <row r="22" spans="1:23" ht="15.75" customHeight="1" thickBot="1" x14ac:dyDescent="0.3">
      <c r="A22" s="3">
        <v>46761</v>
      </c>
      <c r="B22" s="1" t="s">
        <v>15</v>
      </c>
      <c r="C22" s="38">
        <v>0.2</v>
      </c>
      <c r="D22" s="2">
        <v>10</v>
      </c>
      <c r="E22" s="41">
        <v>10.199999999999999</v>
      </c>
      <c r="F22" s="21"/>
      <c r="G22" s="3">
        <v>46761</v>
      </c>
      <c r="H22" t="s">
        <v>15</v>
      </c>
      <c r="I22" s="2">
        <v>0.2</v>
      </c>
      <c r="J22" s="2">
        <v>10</v>
      </c>
      <c r="K22" s="4">
        <v>10.199999999999999</v>
      </c>
      <c r="L22" s="21"/>
      <c r="M22" s="3">
        <v>46761</v>
      </c>
      <c r="N22" t="s">
        <v>15</v>
      </c>
      <c r="O22" s="2">
        <v>0.42</v>
      </c>
      <c r="P22" s="2">
        <v>8</v>
      </c>
      <c r="Q22" s="4">
        <v>8.42</v>
      </c>
      <c r="S22" s="3">
        <v>46761</v>
      </c>
      <c r="T22" t="s">
        <v>15</v>
      </c>
      <c r="U22" s="2">
        <v>0.42</v>
      </c>
      <c r="V22" s="2">
        <v>8</v>
      </c>
      <c r="W22" s="4">
        <v>8.42</v>
      </c>
    </row>
    <row r="23" spans="1:23" ht="15.75" customHeight="1" thickBot="1" x14ac:dyDescent="0.3">
      <c r="A23" s="3">
        <v>46943</v>
      </c>
      <c r="B23" s="1" t="s">
        <v>15</v>
      </c>
      <c r="C23" s="38">
        <v>0.15</v>
      </c>
      <c r="D23" s="2">
        <v>10</v>
      </c>
      <c r="E23" s="41">
        <v>10.15</v>
      </c>
      <c r="F23" s="21"/>
      <c r="G23" s="3">
        <v>46943</v>
      </c>
      <c r="H23" t="s">
        <v>15</v>
      </c>
      <c r="I23" s="2">
        <v>0.15</v>
      </c>
      <c r="J23" s="2">
        <v>10</v>
      </c>
      <c r="K23" s="4">
        <v>10.15</v>
      </c>
      <c r="L23" s="21"/>
      <c r="M23" s="3">
        <v>46943</v>
      </c>
      <c r="N23" t="s">
        <v>15</v>
      </c>
      <c r="O23" s="2">
        <v>0.35</v>
      </c>
      <c r="P23" s="2">
        <v>8</v>
      </c>
      <c r="Q23" s="4">
        <v>8.35</v>
      </c>
      <c r="S23" s="3">
        <v>46943</v>
      </c>
      <c r="T23" t="s">
        <v>15</v>
      </c>
      <c r="U23" s="2">
        <v>0.35</v>
      </c>
      <c r="V23" s="2">
        <v>8</v>
      </c>
      <c r="W23" s="4">
        <v>8.35</v>
      </c>
    </row>
    <row r="24" spans="1:23" ht="15.75" customHeight="1" thickBot="1" x14ac:dyDescent="0.3">
      <c r="A24" s="3">
        <v>47127</v>
      </c>
      <c r="B24" s="1" t="s">
        <v>15</v>
      </c>
      <c r="C24" s="38">
        <v>0.1</v>
      </c>
      <c r="D24" s="2">
        <v>10</v>
      </c>
      <c r="E24" s="41">
        <v>10.1</v>
      </c>
      <c r="F24" s="21"/>
      <c r="G24" s="3">
        <v>47127</v>
      </c>
      <c r="H24" t="s">
        <v>15</v>
      </c>
      <c r="I24" s="2">
        <v>0.1</v>
      </c>
      <c r="J24" s="2">
        <v>10</v>
      </c>
      <c r="K24" s="4">
        <v>10.1</v>
      </c>
      <c r="L24" s="21"/>
      <c r="M24" s="3">
        <v>47127</v>
      </c>
      <c r="N24" t="s">
        <v>15</v>
      </c>
      <c r="O24" s="2">
        <v>0.28000000000000003</v>
      </c>
      <c r="P24" s="2">
        <v>8</v>
      </c>
      <c r="Q24" s="4">
        <v>8.2799999999999994</v>
      </c>
      <c r="S24" s="3">
        <v>47127</v>
      </c>
      <c r="T24" t="s">
        <v>15</v>
      </c>
      <c r="U24" s="2">
        <v>0.28000000000000003</v>
      </c>
      <c r="V24" s="2">
        <v>8</v>
      </c>
      <c r="W24" s="4">
        <v>8.2799999999999994</v>
      </c>
    </row>
    <row r="25" spans="1:23" ht="15.75" customHeight="1" thickBot="1" x14ac:dyDescent="0.3">
      <c r="A25" s="3">
        <v>47308</v>
      </c>
      <c r="B25" s="1" t="s">
        <v>15</v>
      </c>
      <c r="C25" s="38">
        <v>0.05</v>
      </c>
      <c r="D25" s="2">
        <v>10</v>
      </c>
      <c r="E25" s="41">
        <v>10.050000000000001</v>
      </c>
      <c r="F25" s="21"/>
      <c r="G25" s="3">
        <v>47308</v>
      </c>
      <c r="H25" t="s">
        <v>15</v>
      </c>
      <c r="I25" s="2">
        <v>0.05</v>
      </c>
      <c r="J25" s="2">
        <v>10</v>
      </c>
      <c r="K25" s="4">
        <v>10.050000000000001</v>
      </c>
      <c r="L25" s="21"/>
      <c r="M25" s="3">
        <v>47308</v>
      </c>
      <c r="N25" t="s">
        <v>15</v>
      </c>
      <c r="O25" s="2">
        <v>0.21</v>
      </c>
      <c r="P25" s="2">
        <v>8</v>
      </c>
      <c r="Q25" s="4">
        <v>8.2100000000000009</v>
      </c>
      <c r="S25" s="3">
        <v>47308</v>
      </c>
      <c r="T25" t="s">
        <v>15</v>
      </c>
      <c r="U25" s="2">
        <v>0.21</v>
      </c>
      <c r="V25" s="2">
        <v>8</v>
      </c>
      <c r="W25" s="4">
        <v>8.2100000000000009</v>
      </c>
    </row>
    <row r="26" spans="1:23" ht="15.75" customHeight="1" thickBot="1" x14ac:dyDescent="0.3">
      <c r="A26" s="5"/>
      <c r="B26" s="6"/>
      <c r="C26" s="39">
        <f>SUM(C10:C25)</f>
        <v>5.75</v>
      </c>
      <c r="D26" s="7">
        <f>SUM(D10:D25)</f>
        <v>100</v>
      </c>
      <c r="E26" s="42">
        <f>SUM(E10:E25)</f>
        <v>105.75</v>
      </c>
      <c r="F26" s="21"/>
      <c r="G26" s="9"/>
      <c r="H26" s="6"/>
      <c r="I26" s="7">
        <f>SUM(I10:I25)</f>
        <v>5.75</v>
      </c>
      <c r="J26" s="7">
        <f>SUM(J10:J25)</f>
        <v>100</v>
      </c>
      <c r="K26" s="8">
        <f>SUM(K10:K25)</f>
        <v>105.75</v>
      </c>
      <c r="L26" s="21"/>
      <c r="M26" s="3">
        <v>47492</v>
      </c>
      <c r="N26" t="s">
        <v>15</v>
      </c>
      <c r="O26" s="2">
        <v>0.14000000000000001</v>
      </c>
      <c r="P26" s="2">
        <v>8</v>
      </c>
      <c r="Q26" s="4">
        <v>8.14</v>
      </c>
      <c r="S26" s="3">
        <v>47492</v>
      </c>
      <c r="T26" t="s">
        <v>15</v>
      </c>
      <c r="U26" s="2">
        <v>0.14000000000000001</v>
      </c>
      <c r="V26" s="2">
        <v>8</v>
      </c>
      <c r="W26" s="4">
        <v>8.14</v>
      </c>
    </row>
    <row r="27" spans="1:23" ht="15.75" customHeight="1" thickBot="1" x14ac:dyDescent="0.3">
      <c r="B27" s="21"/>
      <c r="F27" s="21"/>
      <c r="I27" s="21"/>
      <c r="J27" s="21"/>
      <c r="K27" s="21"/>
      <c r="L27" s="21"/>
      <c r="M27" s="3">
        <v>47673</v>
      </c>
      <c r="N27" t="s">
        <v>15</v>
      </c>
      <c r="O27" s="2">
        <v>7.0000000000000007E-2</v>
      </c>
      <c r="P27" s="2">
        <v>8</v>
      </c>
      <c r="Q27" s="4">
        <v>8.07</v>
      </c>
      <c r="S27" s="3">
        <v>47673</v>
      </c>
      <c r="T27" t="s">
        <v>15</v>
      </c>
      <c r="U27" s="2">
        <v>7.0000000000000007E-2</v>
      </c>
      <c r="V27" s="2">
        <v>8</v>
      </c>
      <c r="W27" s="4">
        <v>8.07</v>
      </c>
    </row>
    <row r="28" spans="1:23" ht="15.75" customHeight="1" thickBot="1" x14ac:dyDescent="0.3">
      <c r="B28" s="21"/>
      <c r="F28" s="21"/>
      <c r="G28" s="21"/>
      <c r="H28" s="21"/>
      <c r="I28" s="21"/>
      <c r="J28" s="21"/>
      <c r="K28" s="21"/>
      <c r="L28" s="21"/>
      <c r="M28" s="5"/>
      <c r="N28" s="10"/>
      <c r="O28" s="7">
        <f>SUM(O10:O27)</f>
        <v>4.9399999999999995</v>
      </c>
      <c r="P28" s="7">
        <f>SUM(P10:P27)</f>
        <v>100</v>
      </c>
      <c r="Q28" s="8">
        <f>SUM(Q10:Q27)</f>
        <v>104.94</v>
      </c>
      <c r="S28" s="5"/>
      <c r="T28" s="10"/>
      <c r="U28" s="7">
        <f>SUM(U10:U27)</f>
        <v>4.9399999999999995</v>
      </c>
      <c r="V28" s="7">
        <f>SUM(V10:V27)</f>
        <v>100</v>
      </c>
      <c r="W28" s="8">
        <f>SUM(W10:W27)</f>
        <v>104.94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O29" s="26"/>
      <c r="P29" s="26"/>
      <c r="Q29" s="26"/>
      <c r="U29" s="26"/>
      <c r="V29" s="26"/>
      <c r="W29" s="26"/>
    </row>
    <row r="30" spans="1:23" ht="15.75" customHeight="1" thickBot="1" x14ac:dyDescent="0.35">
      <c r="A30" s="20" t="s">
        <v>16</v>
      </c>
      <c r="B30" s="16"/>
      <c r="C30" s="17" t="s">
        <v>2</v>
      </c>
      <c r="D30" s="17" t="s">
        <v>3</v>
      </c>
      <c r="E30" s="18" t="s">
        <v>4</v>
      </c>
      <c r="F30" s="21"/>
      <c r="G30" s="20" t="s">
        <v>17</v>
      </c>
      <c r="H30" s="16"/>
      <c r="I30" s="17" t="s">
        <v>2</v>
      </c>
      <c r="J30" s="17" t="s">
        <v>3</v>
      </c>
      <c r="K30" s="18" t="s">
        <v>4</v>
      </c>
      <c r="L30" s="21"/>
      <c r="M30" s="20" t="s">
        <v>18</v>
      </c>
      <c r="N30" s="16"/>
      <c r="O30" s="17" t="s">
        <v>2</v>
      </c>
      <c r="P30" s="17" t="s">
        <v>3</v>
      </c>
      <c r="Q30" s="18" t="s">
        <v>4</v>
      </c>
      <c r="U30" s="26"/>
      <c r="V30" s="26"/>
      <c r="W30" s="26"/>
    </row>
    <row r="31" spans="1:23" ht="19.5" customHeight="1" x14ac:dyDescent="0.3">
      <c r="A31" s="31" t="s">
        <v>8</v>
      </c>
      <c r="B31" s="21">
        <v>1</v>
      </c>
      <c r="C31" s="27"/>
      <c r="D31" s="27"/>
      <c r="E31" s="28"/>
      <c r="F31" s="21"/>
      <c r="G31" s="31" t="s">
        <v>8</v>
      </c>
      <c r="H31" s="21">
        <v>0.125</v>
      </c>
      <c r="I31" s="27"/>
      <c r="J31" s="27"/>
      <c r="K31" s="28"/>
      <c r="L31" s="21"/>
      <c r="M31" s="31" t="s">
        <v>8</v>
      </c>
      <c r="N31" s="21">
        <v>1</v>
      </c>
      <c r="O31" s="27"/>
      <c r="P31" s="27"/>
      <c r="Q31" s="28"/>
      <c r="T31" s="26"/>
      <c r="U31" s="26"/>
      <c r="V31" s="26"/>
    </row>
    <row r="32" spans="1:23" ht="18.75" customHeight="1" x14ac:dyDescent="0.3">
      <c r="A32" s="31" t="s">
        <v>9</v>
      </c>
      <c r="B32" s="24">
        <v>44076</v>
      </c>
      <c r="C32" s="27"/>
      <c r="D32" s="27"/>
      <c r="E32" s="28"/>
      <c r="F32" s="21"/>
      <c r="G32" s="31" t="s">
        <v>9</v>
      </c>
      <c r="H32" s="24">
        <v>44076</v>
      </c>
      <c r="I32" s="27"/>
      <c r="J32" s="27"/>
      <c r="K32" s="28"/>
      <c r="M32" s="31" t="s">
        <v>9</v>
      </c>
      <c r="N32" s="24">
        <v>44076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10</v>
      </c>
      <c r="B33" s="24">
        <v>44078</v>
      </c>
      <c r="C33" s="27"/>
      <c r="D33" s="27"/>
      <c r="E33" s="28"/>
      <c r="F33" s="21"/>
      <c r="G33" s="31" t="s">
        <v>10</v>
      </c>
      <c r="H33" s="24">
        <v>44078</v>
      </c>
      <c r="I33" s="27"/>
      <c r="J33" s="27"/>
      <c r="K33" s="28"/>
      <c r="M33" s="31" t="s">
        <v>10</v>
      </c>
      <c r="N33" s="24">
        <v>44078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11</v>
      </c>
      <c r="B34" s="32">
        <v>1.25E-3</v>
      </c>
      <c r="C34" s="27"/>
      <c r="D34" s="27"/>
      <c r="E34" s="28"/>
      <c r="F34" s="21"/>
      <c r="G34" s="31" t="s">
        <v>11</v>
      </c>
      <c r="H34" s="32">
        <v>1.25E-3</v>
      </c>
      <c r="I34" s="27"/>
      <c r="J34" s="27"/>
      <c r="K34" s="28"/>
      <c r="M34" s="31" t="s">
        <v>11</v>
      </c>
      <c r="N34" s="32">
        <v>1.25E-3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12</v>
      </c>
      <c r="B35" s="21">
        <v>100</v>
      </c>
      <c r="C35" s="27"/>
      <c r="D35" s="27"/>
      <c r="E35" s="28"/>
      <c r="F35" s="21"/>
      <c r="G35" s="31" t="s">
        <v>12</v>
      </c>
      <c r="H35" s="21">
        <v>100</v>
      </c>
      <c r="I35" s="27"/>
      <c r="J35" s="27"/>
      <c r="K35" s="28"/>
      <c r="M35" s="31" t="s">
        <v>12</v>
      </c>
      <c r="N35" s="21">
        <v>100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13</v>
      </c>
      <c r="B36" s="45">
        <f ca="1">B34*DAYS360(B33,TODAY())/360*100</f>
        <v>0.28923611111111114</v>
      </c>
      <c r="C36" s="27"/>
      <c r="D36" s="27"/>
      <c r="E36" s="28"/>
      <c r="F36" s="21"/>
      <c r="G36" s="31" t="s">
        <v>13</v>
      </c>
      <c r="H36" s="45">
        <f ca="1">H34*DAYS360(H33,TODAY())/360*100</f>
        <v>0.28923611111111114</v>
      </c>
      <c r="I36" s="27"/>
      <c r="J36" s="27"/>
      <c r="K36" s="28"/>
      <c r="M36" s="31" t="s">
        <v>13</v>
      </c>
      <c r="N36" s="45">
        <f ca="1">N34*DAYS360(N32,TODAY())/360*100</f>
        <v>0.28993055555555558</v>
      </c>
      <c r="O36" s="27"/>
      <c r="P36" s="27"/>
      <c r="Q36" s="28"/>
      <c r="T36" s="26"/>
      <c r="U36" s="26"/>
      <c r="V36" s="26"/>
    </row>
    <row r="37" spans="1:22" ht="18.75" customHeight="1" thickBot="1" x14ac:dyDescent="0.35">
      <c r="A37" s="31" t="s">
        <v>14</v>
      </c>
      <c r="B37" s="45">
        <f ca="1">B35+B36</f>
        <v>100.28923611111111</v>
      </c>
      <c r="C37" s="27"/>
      <c r="D37" s="27"/>
      <c r="E37" s="28"/>
      <c r="F37" s="21"/>
      <c r="G37" s="31" t="s">
        <v>14</v>
      </c>
      <c r="H37" s="45">
        <f ca="1">H35+H36</f>
        <v>100.28923611111111</v>
      </c>
      <c r="I37" s="27"/>
      <c r="J37" s="27"/>
      <c r="K37" s="28"/>
      <c r="M37" s="31" t="s">
        <v>14</v>
      </c>
      <c r="N37" s="45">
        <f ca="1">N35+N36</f>
        <v>100.28993055555556</v>
      </c>
      <c r="O37" s="27"/>
      <c r="P37" s="27"/>
      <c r="Q37" s="28"/>
      <c r="T37" s="26"/>
      <c r="U37" s="26"/>
      <c r="V37" s="26"/>
    </row>
    <row r="38" spans="1:22" ht="19.5" customHeight="1" thickBot="1" x14ac:dyDescent="0.3">
      <c r="A38" s="3">
        <v>44570</v>
      </c>
      <c r="B38" s="1" t="s">
        <v>15</v>
      </c>
      <c r="C38" s="2">
        <v>0.56000000000000005</v>
      </c>
      <c r="D38" s="2">
        <v>0</v>
      </c>
      <c r="E38" s="4">
        <v>0.56000000000000005</v>
      </c>
      <c r="F38" s="21"/>
      <c r="G38" s="3">
        <v>44570</v>
      </c>
      <c r="H38" s="1" t="s">
        <v>15</v>
      </c>
      <c r="I38" s="2">
        <v>1</v>
      </c>
      <c r="J38" s="2">
        <v>0</v>
      </c>
      <c r="K38" s="4">
        <v>1</v>
      </c>
      <c r="M38" s="3">
        <v>44570</v>
      </c>
      <c r="N38" s="1" t="s">
        <v>15</v>
      </c>
      <c r="O38" s="2">
        <v>1.25</v>
      </c>
      <c r="P38" s="2">
        <v>0</v>
      </c>
      <c r="Q38" s="4">
        <v>1.25</v>
      </c>
      <c r="T38" s="26"/>
      <c r="U38" s="26"/>
      <c r="V38" s="26"/>
    </row>
    <row r="39" spans="1:22" ht="15.75" customHeight="1" thickBot="1" x14ac:dyDescent="0.3">
      <c r="A39" s="3">
        <v>44751</v>
      </c>
      <c r="B39" s="1" t="s">
        <v>15</v>
      </c>
      <c r="C39" s="2">
        <v>0.56000000000000005</v>
      </c>
      <c r="D39" s="2">
        <v>0</v>
      </c>
      <c r="E39" s="4">
        <v>0.56000000000000005</v>
      </c>
      <c r="F39" s="21"/>
      <c r="G39" s="3">
        <v>44751</v>
      </c>
      <c r="H39" s="1" t="s">
        <v>15</v>
      </c>
      <c r="I39" s="2">
        <v>1</v>
      </c>
      <c r="J39" s="2">
        <v>0</v>
      </c>
      <c r="K39" s="4">
        <v>1</v>
      </c>
      <c r="M39" s="3">
        <v>44751</v>
      </c>
      <c r="N39" s="1" t="s">
        <v>15</v>
      </c>
      <c r="O39" s="2">
        <v>1.25</v>
      </c>
      <c r="P39" s="2">
        <v>0</v>
      </c>
      <c r="Q39" s="4">
        <v>1.25</v>
      </c>
      <c r="T39" s="26"/>
      <c r="U39" s="26"/>
      <c r="V39" s="26"/>
    </row>
    <row r="40" spans="1:22" ht="15.75" customHeight="1" thickBot="1" x14ac:dyDescent="0.3">
      <c r="A40" s="3">
        <v>44935</v>
      </c>
      <c r="B40" s="1" t="s">
        <v>15</v>
      </c>
      <c r="C40" s="2">
        <v>0.75</v>
      </c>
      <c r="D40" s="2">
        <v>0</v>
      </c>
      <c r="E40" s="4">
        <v>0.75</v>
      </c>
      <c r="F40" s="21"/>
      <c r="G40" s="3">
        <v>44935</v>
      </c>
      <c r="H40" s="1" t="s">
        <v>15</v>
      </c>
      <c r="I40" s="2">
        <v>1.94</v>
      </c>
      <c r="J40" s="2">
        <v>0</v>
      </c>
      <c r="K40" s="4">
        <v>1.94</v>
      </c>
      <c r="M40" s="3">
        <v>44935</v>
      </c>
      <c r="N40" s="1" t="s">
        <v>15</v>
      </c>
      <c r="O40" s="2">
        <v>1.75</v>
      </c>
      <c r="P40" s="2">
        <v>0</v>
      </c>
      <c r="Q40" s="4">
        <v>1.75</v>
      </c>
      <c r="T40" s="26"/>
      <c r="U40" s="26"/>
      <c r="V40" s="26"/>
    </row>
    <row r="41" spans="1:22" ht="15.75" customHeight="1" thickBot="1" x14ac:dyDescent="0.3">
      <c r="A41" s="3">
        <v>45116</v>
      </c>
      <c r="B41" s="1" t="s">
        <v>15</v>
      </c>
      <c r="C41" s="2">
        <v>0.75</v>
      </c>
      <c r="D41" s="2">
        <v>0</v>
      </c>
      <c r="E41" s="4">
        <v>0.75</v>
      </c>
      <c r="F41" s="21"/>
      <c r="G41" s="3">
        <v>45116</v>
      </c>
      <c r="H41" s="1" t="s">
        <v>15</v>
      </c>
      <c r="I41" s="2">
        <v>1.94</v>
      </c>
      <c r="J41" s="2">
        <v>0</v>
      </c>
      <c r="K41" s="4">
        <v>1.94</v>
      </c>
      <c r="M41" s="3">
        <v>45116</v>
      </c>
      <c r="N41" s="1" t="s">
        <v>15</v>
      </c>
      <c r="O41" s="2">
        <v>1.75</v>
      </c>
      <c r="P41" s="2">
        <v>0</v>
      </c>
      <c r="Q41" s="4">
        <v>1.75</v>
      </c>
      <c r="T41" s="26"/>
      <c r="U41" s="26"/>
      <c r="V41" s="26"/>
    </row>
    <row r="42" spans="1:22" ht="15.75" customHeight="1" thickBot="1" x14ac:dyDescent="0.3">
      <c r="A42" s="3">
        <v>45300</v>
      </c>
      <c r="B42" s="1" t="s">
        <v>15</v>
      </c>
      <c r="C42" s="2">
        <v>1.81</v>
      </c>
      <c r="D42" s="2">
        <v>0</v>
      </c>
      <c r="E42" s="4">
        <v>1.81</v>
      </c>
      <c r="F42" s="21"/>
      <c r="G42" s="3">
        <v>45300</v>
      </c>
      <c r="H42" s="1" t="s">
        <v>15</v>
      </c>
      <c r="I42" s="2">
        <v>2.12</v>
      </c>
      <c r="J42" s="2">
        <v>0</v>
      </c>
      <c r="K42" s="4">
        <v>2.12</v>
      </c>
      <c r="M42" s="3">
        <v>45300</v>
      </c>
      <c r="N42" s="1" t="s">
        <v>15</v>
      </c>
      <c r="O42" s="2">
        <v>1.75</v>
      </c>
      <c r="P42" s="2">
        <v>0</v>
      </c>
      <c r="Q42" s="4">
        <v>1.75</v>
      </c>
      <c r="T42" s="26"/>
      <c r="U42" s="26"/>
      <c r="V42" s="26"/>
    </row>
    <row r="43" spans="1:22" ht="15.75" customHeight="1" thickBot="1" x14ac:dyDescent="0.3">
      <c r="A43" s="3">
        <v>45482</v>
      </c>
      <c r="B43" s="1" t="s">
        <v>15</v>
      </c>
      <c r="C43" s="2">
        <v>1.81</v>
      </c>
      <c r="D43" s="2">
        <v>0</v>
      </c>
      <c r="E43" s="4">
        <v>1.81</v>
      </c>
      <c r="F43" s="21"/>
      <c r="G43" s="3">
        <v>45482</v>
      </c>
      <c r="H43" s="1" t="s">
        <v>15</v>
      </c>
      <c r="I43" s="2">
        <v>2.12</v>
      </c>
      <c r="J43" s="2">
        <v>0</v>
      </c>
      <c r="K43" s="4">
        <v>2.12</v>
      </c>
      <c r="M43" s="3">
        <v>45482</v>
      </c>
      <c r="N43" s="1" t="s">
        <v>15</v>
      </c>
      <c r="O43" s="2">
        <v>1.75</v>
      </c>
      <c r="P43" s="2">
        <v>0</v>
      </c>
      <c r="Q43" s="4">
        <v>1.75</v>
      </c>
      <c r="T43" s="26"/>
      <c r="U43" s="26"/>
      <c r="V43" s="26"/>
    </row>
    <row r="44" spans="1:22" ht="15.75" customHeight="1" thickBot="1" x14ac:dyDescent="0.3">
      <c r="A44" s="3">
        <v>45666</v>
      </c>
      <c r="B44" s="1" t="s">
        <v>15</v>
      </c>
      <c r="C44" s="2">
        <v>2.06</v>
      </c>
      <c r="D44" s="2">
        <v>0</v>
      </c>
      <c r="E44" s="4">
        <v>2.06</v>
      </c>
      <c r="F44" s="21"/>
      <c r="G44" s="3">
        <v>45666</v>
      </c>
      <c r="H44" s="1" t="s">
        <v>15</v>
      </c>
      <c r="I44" s="2">
        <v>2.5</v>
      </c>
      <c r="J44" s="2">
        <v>0</v>
      </c>
      <c r="K44" s="4">
        <v>2.5</v>
      </c>
      <c r="M44" s="3">
        <v>45666</v>
      </c>
      <c r="N44" s="1" t="s">
        <v>15</v>
      </c>
      <c r="O44" s="2">
        <v>1.75</v>
      </c>
      <c r="P44" s="2">
        <v>0</v>
      </c>
      <c r="Q44" s="4">
        <v>1.75</v>
      </c>
      <c r="T44" s="26"/>
      <c r="U44" s="26"/>
      <c r="V44" s="26"/>
    </row>
    <row r="45" spans="1:22" ht="15.75" customHeight="1" thickBot="1" x14ac:dyDescent="0.3">
      <c r="A45" s="3">
        <v>45847</v>
      </c>
      <c r="B45" s="1" t="s">
        <v>15</v>
      </c>
      <c r="C45" s="2">
        <v>2.06</v>
      </c>
      <c r="D45" s="2">
        <v>0</v>
      </c>
      <c r="E45" s="4">
        <v>2.06</v>
      </c>
      <c r="F45" s="21"/>
      <c r="G45" s="3">
        <v>45847</v>
      </c>
      <c r="H45" s="1" t="s">
        <v>15</v>
      </c>
      <c r="I45" s="2">
        <v>2.5</v>
      </c>
      <c r="J45" s="2">
        <v>0</v>
      </c>
      <c r="K45" s="4">
        <v>2.5</v>
      </c>
      <c r="M45" s="3">
        <v>45847</v>
      </c>
      <c r="N45" s="1" t="s">
        <v>15</v>
      </c>
      <c r="O45" s="2">
        <v>1.75</v>
      </c>
      <c r="P45" s="2">
        <v>0</v>
      </c>
      <c r="Q45" s="4">
        <v>1.75</v>
      </c>
      <c r="T45" s="26"/>
      <c r="U45" s="26"/>
      <c r="V45" s="26"/>
    </row>
    <row r="46" spans="1:22" ht="15.75" customHeight="1" thickBot="1" x14ac:dyDescent="0.3">
      <c r="A46" s="3">
        <v>46031</v>
      </c>
      <c r="B46" s="1" t="s">
        <v>15</v>
      </c>
      <c r="C46" s="2">
        <v>2.06</v>
      </c>
      <c r="D46" s="2">
        <v>0</v>
      </c>
      <c r="E46" s="4">
        <v>2.06</v>
      </c>
      <c r="F46" s="21"/>
      <c r="G46" s="3">
        <v>46031</v>
      </c>
      <c r="H46" s="1" t="s">
        <v>15</v>
      </c>
      <c r="I46" s="2">
        <v>2.5</v>
      </c>
      <c r="J46" s="2">
        <v>0</v>
      </c>
      <c r="K46" s="4">
        <v>2.5</v>
      </c>
      <c r="M46" s="3">
        <v>46031</v>
      </c>
      <c r="N46" s="1" t="s">
        <v>15</v>
      </c>
      <c r="O46" s="2">
        <v>1.75</v>
      </c>
      <c r="P46" s="2">
        <v>0</v>
      </c>
      <c r="Q46" s="4">
        <v>1.75</v>
      </c>
      <c r="T46" s="26"/>
      <c r="U46" s="26"/>
      <c r="V46" s="26"/>
    </row>
    <row r="47" spans="1:22" ht="15.75" customHeight="1" thickBot="1" x14ac:dyDescent="0.3">
      <c r="A47" s="3">
        <v>46212</v>
      </c>
      <c r="B47" s="1" t="s">
        <v>15</v>
      </c>
      <c r="C47" s="2">
        <v>2.06</v>
      </c>
      <c r="D47" s="2">
        <v>0</v>
      </c>
      <c r="E47" s="4">
        <v>2.06</v>
      </c>
      <c r="F47" s="21"/>
      <c r="G47" s="3">
        <v>46212</v>
      </c>
      <c r="H47" s="1" t="s">
        <v>15</v>
      </c>
      <c r="I47" s="2">
        <v>2.5</v>
      </c>
      <c r="J47" s="2">
        <v>0</v>
      </c>
      <c r="K47" s="4">
        <v>2.5</v>
      </c>
      <c r="M47" s="3">
        <v>46212</v>
      </c>
      <c r="N47" s="1" t="s">
        <v>15</v>
      </c>
      <c r="O47" s="2">
        <v>1.75</v>
      </c>
      <c r="P47" s="2">
        <v>0</v>
      </c>
      <c r="Q47" s="4">
        <v>1.75</v>
      </c>
      <c r="T47" s="26"/>
      <c r="U47" s="26"/>
      <c r="V47" s="26"/>
    </row>
    <row r="48" spans="1:22" ht="15.75" customHeight="1" thickBot="1" x14ac:dyDescent="0.3">
      <c r="A48" s="3">
        <v>46396</v>
      </c>
      <c r="B48" s="1" t="s">
        <v>15</v>
      </c>
      <c r="C48" s="2">
        <v>2.06</v>
      </c>
      <c r="D48" s="2">
        <v>0</v>
      </c>
      <c r="E48" s="4">
        <v>2.06</v>
      </c>
      <c r="F48" s="21"/>
      <c r="G48" s="3">
        <v>46396</v>
      </c>
      <c r="H48" s="1" t="s">
        <v>15</v>
      </c>
      <c r="I48" s="2">
        <v>2.5</v>
      </c>
      <c r="J48" s="2">
        <v>0</v>
      </c>
      <c r="K48" s="4">
        <v>2.5</v>
      </c>
      <c r="M48" s="3">
        <v>46396</v>
      </c>
      <c r="N48" s="1" t="s">
        <v>15</v>
      </c>
      <c r="O48" s="2">
        <v>1.75</v>
      </c>
      <c r="P48" s="2">
        <v>0</v>
      </c>
      <c r="Q48" s="4">
        <v>1.75</v>
      </c>
      <c r="T48" s="26"/>
      <c r="U48" s="26"/>
      <c r="V48" s="26"/>
    </row>
    <row r="49" spans="1:23" ht="15.75" customHeight="1" thickBot="1" x14ac:dyDescent="0.3">
      <c r="A49" s="3">
        <v>46577</v>
      </c>
      <c r="B49" s="1" t="s">
        <v>15</v>
      </c>
      <c r="C49" s="2">
        <v>2.06</v>
      </c>
      <c r="D49" s="2">
        <v>0</v>
      </c>
      <c r="E49" s="4">
        <v>2.06</v>
      </c>
      <c r="F49" s="21"/>
      <c r="G49" s="3">
        <v>46577</v>
      </c>
      <c r="H49" s="1" t="s">
        <v>15</v>
      </c>
      <c r="I49" s="2">
        <v>2.5</v>
      </c>
      <c r="J49" s="2">
        <v>4.55</v>
      </c>
      <c r="K49" s="4">
        <v>7.05</v>
      </c>
      <c r="M49" s="3">
        <v>46577</v>
      </c>
      <c r="N49" s="1" t="s">
        <v>15</v>
      </c>
      <c r="O49" s="2">
        <v>1.75</v>
      </c>
      <c r="P49" s="2">
        <v>0</v>
      </c>
      <c r="Q49" s="4">
        <v>1.75</v>
      </c>
      <c r="T49" s="26"/>
      <c r="U49" s="26"/>
      <c r="V49" s="26"/>
    </row>
    <row r="50" spans="1:23" ht="15.75" customHeight="1" thickBot="1" x14ac:dyDescent="0.3">
      <c r="A50" s="3">
        <v>46761</v>
      </c>
      <c r="B50" s="1" t="s">
        <v>15</v>
      </c>
      <c r="C50" s="2">
        <v>2.38</v>
      </c>
      <c r="D50" s="2">
        <v>0</v>
      </c>
      <c r="E50" s="4">
        <v>2.38</v>
      </c>
      <c r="F50" s="21"/>
      <c r="G50" s="3">
        <v>46761</v>
      </c>
      <c r="H50" s="1" t="s">
        <v>15</v>
      </c>
      <c r="I50" s="2">
        <v>2.39</v>
      </c>
      <c r="J50" s="2">
        <v>4.55</v>
      </c>
      <c r="K50" s="4">
        <v>6.94</v>
      </c>
      <c r="M50" s="3">
        <v>46761</v>
      </c>
      <c r="N50" s="1" t="s">
        <v>15</v>
      </c>
      <c r="O50" s="2">
        <v>1.75</v>
      </c>
      <c r="P50" s="2">
        <v>3.57</v>
      </c>
      <c r="Q50" s="4">
        <v>5.32</v>
      </c>
      <c r="T50" s="26"/>
      <c r="U50" s="26"/>
      <c r="V50" s="26"/>
    </row>
    <row r="51" spans="1:23" ht="15.75" customHeight="1" thickBot="1" x14ac:dyDescent="0.3">
      <c r="A51" s="3">
        <v>46943</v>
      </c>
      <c r="B51" s="1" t="s">
        <v>15</v>
      </c>
      <c r="C51" s="2">
        <v>2.38</v>
      </c>
      <c r="D51" s="2">
        <v>0</v>
      </c>
      <c r="E51" s="4">
        <v>2.38</v>
      </c>
      <c r="F51" s="21"/>
      <c r="G51" s="3">
        <v>46943</v>
      </c>
      <c r="H51" s="1" t="s">
        <v>15</v>
      </c>
      <c r="I51" s="2">
        <v>2.27</v>
      </c>
      <c r="J51" s="2">
        <v>4.55</v>
      </c>
      <c r="K51" s="4">
        <v>6.82</v>
      </c>
      <c r="M51" s="3">
        <v>46943</v>
      </c>
      <c r="N51" s="1" t="s">
        <v>15</v>
      </c>
      <c r="O51" s="2">
        <v>1.69</v>
      </c>
      <c r="P51" s="2">
        <v>3.57</v>
      </c>
      <c r="Q51" s="4">
        <v>5.26</v>
      </c>
      <c r="T51" s="26"/>
      <c r="U51" s="26"/>
      <c r="V51" s="26"/>
    </row>
    <row r="52" spans="1:23" ht="15.75" customHeight="1" thickBot="1" x14ac:dyDescent="0.3">
      <c r="A52" s="3">
        <v>47127</v>
      </c>
      <c r="B52" s="1" t="s">
        <v>15</v>
      </c>
      <c r="C52" s="2">
        <v>2.5</v>
      </c>
      <c r="D52" s="2">
        <v>0</v>
      </c>
      <c r="E52" s="4">
        <v>2.5</v>
      </c>
      <c r="F52" s="21"/>
      <c r="G52" s="3">
        <v>47127</v>
      </c>
      <c r="H52" s="1" t="s">
        <v>15</v>
      </c>
      <c r="I52" s="2">
        <v>2.16</v>
      </c>
      <c r="J52" s="2">
        <v>4.55</v>
      </c>
      <c r="K52" s="4">
        <v>6.71</v>
      </c>
      <c r="M52" s="3">
        <v>47127</v>
      </c>
      <c r="N52" s="1" t="s">
        <v>15</v>
      </c>
      <c r="O52" s="2">
        <v>1.63</v>
      </c>
      <c r="P52" s="2">
        <v>3.57</v>
      </c>
      <c r="Q52" s="4">
        <v>5.2</v>
      </c>
      <c r="T52" s="26"/>
      <c r="U52" s="26"/>
      <c r="V52" s="26"/>
    </row>
    <row r="53" spans="1:23" ht="15.75" customHeight="1" thickBot="1" x14ac:dyDescent="0.3">
      <c r="A53" s="3">
        <v>47308</v>
      </c>
      <c r="B53" s="1" t="s">
        <v>15</v>
      </c>
      <c r="C53" s="2">
        <v>2.5</v>
      </c>
      <c r="D53" s="2">
        <v>0</v>
      </c>
      <c r="E53" s="4">
        <v>2.5</v>
      </c>
      <c r="F53" s="21"/>
      <c r="G53" s="3">
        <v>47308</v>
      </c>
      <c r="H53" s="1" t="s">
        <v>15</v>
      </c>
      <c r="I53" s="2">
        <v>2.0499999999999998</v>
      </c>
      <c r="J53" s="2">
        <v>4.55</v>
      </c>
      <c r="K53" s="4">
        <v>6.6</v>
      </c>
      <c r="M53" s="3">
        <v>47308</v>
      </c>
      <c r="N53" s="1" t="s">
        <v>15</v>
      </c>
      <c r="O53" s="2">
        <v>1.56</v>
      </c>
      <c r="P53" s="2">
        <v>3.57</v>
      </c>
      <c r="Q53" s="4">
        <v>5.13</v>
      </c>
      <c r="T53" s="26"/>
      <c r="U53" s="26"/>
      <c r="V53" s="26"/>
    </row>
    <row r="54" spans="1:23" ht="15.75" customHeight="1" thickBot="1" x14ac:dyDescent="0.3">
      <c r="A54" s="3">
        <v>47492</v>
      </c>
      <c r="B54" s="1" t="s">
        <v>15</v>
      </c>
      <c r="C54" s="2">
        <v>2.5</v>
      </c>
      <c r="D54" s="2">
        <v>0</v>
      </c>
      <c r="E54" s="4">
        <v>2.5</v>
      </c>
      <c r="F54" s="21"/>
      <c r="G54" s="3">
        <v>47492</v>
      </c>
      <c r="H54" s="1" t="s">
        <v>15</v>
      </c>
      <c r="I54" s="2">
        <v>1.93</v>
      </c>
      <c r="J54" s="2">
        <v>4.55</v>
      </c>
      <c r="K54" s="4">
        <v>6.48</v>
      </c>
      <c r="M54" s="3">
        <v>47492</v>
      </c>
      <c r="N54" s="1" t="s">
        <v>15</v>
      </c>
      <c r="O54" s="2">
        <v>2.09</v>
      </c>
      <c r="P54" s="2">
        <v>3.57</v>
      </c>
      <c r="Q54" s="4">
        <v>5.66</v>
      </c>
      <c r="T54" s="26"/>
      <c r="U54" s="26"/>
      <c r="V54" s="26"/>
    </row>
    <row r="55" spans="1:23" ht="15.75" customHeight="1" thickBot="1" x14ac:dyDescent="0.3">
      <c r="A55" s="3">
        <v>47673</v>
      </c>
      <c r="B55" s="1" t="s">
        <v>15</v>
      </c>
      <c r="C55" s="2">
        <v>2.5</v>
      </c>
      <c r="D55" s="2">
        <v>0</v>
      </c>
      <c r="E55" s="4">
        <v>2.5</v>
      </c>
      <c r="F55" s="21"/>
      <c r="G55" s="3">
        <v>47673</v>
      </c>
      <c r="H55" s="1" t="s">
        <v>15</v>
      </c>
      <c r="I55" s="2">
        <v>1.82</v>
      </c>
      <c r="J55" s="2">
        <v>4.55</v>
      </c>
      <c r="K55" s="4">
        <v>6.37</v>
      </c>
      <c r="M55" s="3">
        <v>47673</v>
      </c>
      <c r="N55" s="1" t="s">
        <v>15</v>
      </c>
      <c r="O55" s="2">
        <v>2</v>
      </c>
      <c r="P55" s="2">
        <v>3.57</v>
      </c>
      <c r="Q55" s="4">
        <v>5.57</v>
      </c>
      <c r="T55" s="26"/>
      <c r="U55" s="26"/>
      <c r="V55" s="26"/>
    </row>
    <row r="56" spans="1:23" ht="15.75" customHeight="1" thickBot="1" x14ac:dyDescent="0.3">
      <c r="A56" s="3">
        <v>47857</v>
      </c>
      <c r="B56" s="1" t="s">
        <v>15</v>
      </c>
      <c r="C56" s="2">
        <v>2.5</v>
      </c>
      <c r="D56" s="2">
        <v>10</v>
      </c>
      <c r="E56" s="4">
        <v>12.5</v>
      </c>
      <c r="F56" s="21"/>
      <c r="G56" s="3">
        <v>47857</v>
      </c>
      <c r="H56" s="1" t="s">
        <v>15</v>
      </c>
      <c r="I56" s="2">
        <v>1.7</v>
      </c>
      <c r="J56" s="2">
        <v>4.55</v>
      </c>
      <c r="K56" s="4">
        <v>6.25</v>
      </c>
      <c r="M56" s="3">
        <v>47857</v>
      </c>
      <c r="N56" s="1" t="s">
        <v>15</v>
      </c>
      <c r="O56" s="2">
        <v>1.92</v>
      </c>
      <c r="P56" s="2">
        <v>3.57</v>
      </c>
      <c r="Q56" s="4">
        <v>5.49</v>
      </c>
      <c r="T56" s="26"/>
      <c r="U56" s="26"/>
      <c r="V56" s="26"/>
    </row>
    <row r="57" spans="1:23" ht="15.75" customHeight="1" thickBot="1" x14ac:dyDescent="0.3">
      <c r="A57" s="3">
        <v>48038</v>
      </c>
      <c r="B57" s="1" t="s">
        <v>15</v>
      </c>
      <c r="C57" s="2">
        <v>2.25</v>
      </c>
      <c r="D57" s="2">
        <v>10</v>
      </c>
      <c r="E57" s="4">
        <v>12.25</v>
      </c>
      <c r="F57" s="21"/>
      <c r="G57" s="3">
        <v>48038</v>
      </c>
      <c r="H57" s="1" t="s">
        <v>15</v>
      </c>
      <c r="I57" s="2">
        <v>1.59</v>
      </c>
      <c r="J57" s="2">
        <v>4.55</v>
      </c>
      <c r="K57" s="4">
        <v>6.14</v>
      </c>
      <c r="M57" s="3">
        <v>48038</v>
      </c>
      <c r="N57" s="1" t="s">
        <v>15</v>
      </c>
      <c r="O57" s="2">
        <v>1.83</v>
      </c>
      <c r="P57" s="2">
        <v>3.57</v>
      </c>
      <c r="Q57" s="4">
        <v>5.4</v>
      </c>
      <c r="T57" s="26"/>
      <c r="U57" s="26"/>
      <c r="V57" s="26"/>
    </row>
    <row r="58" spans="1:23" ht="15.75" customHeight="1" thickBot="1" x14ac:dyDescent="0.3">
      <c r="A58" s="3">
        <v>48222</v>
      </c>
      <c r="B58" s="1" t="s">
        <v>15</v>
      </c>
      <c r="C58" s="2">
        <v>2</v>
      </c>
      <c r="D58" s="2">
        <v>10</v>
      </c>
      <c r="E58" s="4">
        <v>12</v>
      </c>
      <c r="F58" s="21"/>
      <c r="G58" s="3">
        <v>48222</v>
      </c>
      <c r="H58" s="1" t="s">
        <v>15</v>
      </c>
      <c r="I58" s="2">
        <v>1.48</v>
      </c>
      <c r="J58" s="2">
        <v>4.55</v>
      </c>
      <c r="K58" s="4">
        <v>6.03</v>
      </c>
      <c r="M58" s="3">
        <v>48222</v>
      </c>
      <c r="N58" s="1" t="s">
        <v>15</v>
      </c>
      <c r="O58" s="2">
        <v>1.74</v>
      </c>
      <c r="P58" s="2">
        <v>3.57</v>
      </c>
      <c r="Q58" s="4">
        <v>5.31</v>
      </c>
      <c r="T58" s="26"/>
      <c r="U58" s="26"/>
      <c r="V58" s="26"/>
    </row>
    <row r="59" spans="1:23" ht="15.75" customHeight="1" thickBot="1" x14ac:dyDescent="0.3">
      <c r="A59" s="3">
        <v>48404</v>
      </c>
      <c r="B59" s="1" t="s">
        <v>15</v>
      </c>
      <c r="C59" s="2">
        <v>1.75</v>
      </c>
      <c r="D59" s="2">
        <v>10</v>
      </c>
      <c r="E59" s="4">
        <v>11.75</v>
      </c>
      <c r="F59" s="21"/>
      <c r="G59" s="3">
        <v>48404</v>
      </c>
      <c r="H59" s="1" t="s">
        <v>15</v>
      </c>
      <c r="I59" s="2">
        <v>1.36</v>
      </c>
      <c r="J59" s="2">
        <v>4.55</v>
      </c>
      <c r="K59" s="4">
        <v>5.91</v>
      </c>
      <c r="L59" s="21"/>
      <c r="M59" s="3">
        <v>48404</v>
      </c>
      <c r="N59" s="1" t="s">
        <v>15</v>
      </c>
      <c r="O59" s="2">
        <v>1.65</v>
      </c>
      <c r="P59" s="2">
        <v>3.57</v>
      </c>
      <c r="Q59" s="4">
        <v>5.22</v>
      </c>
      <c r="U59" s="26"/>
      <c r="V59" s="26"/>
      <c r="W59" s="26"/>
    </row>
    <row r="60" spans="1:23" ht="15.75" customHeight="1" thickBot="1" x14ac:dyDescent="0.3">
      <c r="A60" s="3">
        <v>48588</v>
      </c>
      <c r="B60" s="1" t="s">
        <v>15</v>
      </c>
      <c r="C60" s="2">
        <v>1.5</v>
      </c>
      <c r="D60" s="2">
        <v>10</v>
      </c>
      <c r="E60" s="4">
        <v>11.5</v>
      </c>
      <c r="F60" s="21"/>
      <c r="G60" s="3">
        <v>48588</v>
      </c>
      <c r="H60" s="1" t="s">
        <v>15</v>
      </c>
      <c r="I60" s="2">
        <v>1.25</v>
      </c>
      <c r="J60" s="2">
        <v>4.55</v>
      </c>
      <c r="K60" s="4">
        <v>5.8</v>
      </c>
      <c r="L60" s="21"/>
      <c r="M60" s="3">
        <v>48588</v>
      </c>
      <c r="N60" s="1" t="s">
        <v>15</v>
      </c>
      <c r="O60" s="2">
        <v>1.57</v>
      </c>
      <c r="P60" s="2">
        <v>3.57</v>
      </c>
      <c r="Q60" s="4">
        <v>5.14</v>
      </c>
      <c r="U60" s="26"/>
      <c r="V60" s="26"/>
      <c r="W60" s="26"/>
    </row>
    <row r="61" spans="1:23" ht="15.75" customHeight="1" thickBot="1" x14ac:dyDescent="0.3">
      <c r="A61" s="3">
        <v>48769</v>
      </c>
      <c r="B61" s="1" t="s">
        <v>15</v>
      </c>
      <c r="C61" s="2">
        <v>1.25</v>
      </c>
      <c r="D61" s="2">
        <v>10</v>
      </c>
      <c r="E61" s="4">
        <v>11.25</v>
      </c>
      <c r="F61" s="21"/>
      <c r="G61" s="3">
        <v>48769</v>
      </c>
      <c r="H61" s="1" t="s">
        <v>15</v>
      </c>
      <c r="I61" s="2">
        <v>1.1399999999999999</v>
      </c>
      <c r="J61" s="2">
        <v>4.55</v>
      </c>
      <c r="K61" s="4">
        <v>5.69</v>
      </c>
      <c r="L61" s="21"/>
      <c r="M61" s="3">
        <v>48769</v>
      </c>
      <c r="N61" s="1" t="s">
        <v>15</v>
      </c>
      <c r="O61" s="2">
        <v>1.48</v>
      </c>
      <c r="P61" s="2">
        <v>3.57</v>
      </c>
      <c r="Q61" s="4">
        <v>5.05</v>
      </c>
      <c r="U61" s="26"/>
      <c r="V61" s="26"/>
      <c r="W61" s="26"/>
    </row>
    <row r="62" spans="1:23" ht="15.75" customHeight="1" thickBot="1" x14ac:dyDescent="0.3">
      <c r="A62" s="3">
        <v>48953</v>
      </c>
      <c r="B62" s="1" t="s">
        <v>15</v>
      </c>
      <c r="C62" s="2">
        <v>1</v>
      </c>
      <c r="D62" s="2">
        <v>10</v>
      </c>
      <c r="E62" s="4">
        <v>11</v>
      </c>
      <c r="F62" s="21"/>
      <c r="G62" s="3">
        <v>48953</v>
      </c>
      <c r="H62" s="1" t="s">
        <v>15</v>
      </c>
      <c r="I62" s="2">
        <v>1.02</v>
      </c>
      <c r="J62" s="2">
        <v>4.55</v>
      </c>
      <c r="K62" s="4">
        <v>5.57</v>
      </c>
      <c r="L62" s="21"/>
      <c r="M62" s="3">
        <v>48953</v>
      </c>
      <c r="N62" s="1" t="s">
        <v>15</v>
      </c>
      <c r="O62" s="2">
        <v>1.39</v>
      </c>
      <c r="P62" s="2">
        <v>3.57</v>
      </c>
      <c r="Q62" s="4">
        <v>4.96</v>
      </c>
      <c r="U62" s="26"/>
      <c r="V62" s="26"/>
      <c r="W62" s="26"/>
    </row>
    <row r="63" spans="1:23" ht="15.75" customHeight="1" thickBot="1" x14ac:dyDescent="0.3">
      <c r="A63" s="3">
        <v>49134</v>
      </c>
      <c r="B63" s="1" t="s">
        <v>15</v>
      </c>
      <c r="C63" s="2">
        <v>0.75</v>
      </c>
      <c r="D63" s="2">
        <v>10</v>
      </c>
      <c r="E63" s="4">
        <v>10.75</v>
      </c>
      <c r="F63" s="21"/>
      <c r="G63" s="3">
        <v>49134</v>
      </c>
      <c r="H63" s="1" t="s">
        <v>15</v>
      </c>
      <c r="I63" s="2">
        <v>0.91</v>
      </c>
      <c r="J63" s="2">
        <v>4.55</v>
      </c>
      <c r="K63" s="4">
        <v>5.46</v>
      </c>
      <c r="L63" s="21"/>
      <c r="M63" s="3">
        <v>49134</v>
      </c>
      <c r="N63" s="1" t="s">
        <v>15</v>
      </c>
      <c r="O63" s="2">
        <v>1.31</v>
      </c>
      <c r="P63" s="2">
        <v>3.57</v>
      </c>
      <c r="Q63" s="4">
        <v>4.88</v>
      </c>
      <c r="U63" s="26"/>
      <c r="V63" s="26"/>
      <c r="W63" s="26"/>
    </row>
    <row r="64" spans="1:23" ht="15.75" customHeight="1" thickBot="1" x14ac:dyDescent="0.3">
      <c r="A64" s="3">
        <v>49318</v>
      </c>
      <c r="B64" s="1" t="s">
        <v>15</v>
      </c>
      <c r="C64" s="2">
        <v>0.5</v>
      </c>
      <c r="D64" s="2">
        <v>10</v>
      </c>
      <c r="E64" s="4">
        <v>10.5</v>
      </c>
      <c r="F64" s="21"/>
      <c r="G64" s="3">
        <v>49318</v>
      </c>
      <c r="H64" s="1" t="s">
        <v>15</v>
      </c>
      <c r="I64" s="2">
        <v>0.8</v>
      </c>
      <c r="J64" s="2">
        <v>4.55</v>
      </c>
      <c r="K64" s="4">
        <v>5.35</v>
      </c>
      <c r="L64" s="21"/>
      <c r="M64" s="3">
        <v>49318</v>
      </c>
      <c r="N64" s="1" t="s">
        <v>15</v>
      </c>
      <c r="O64" s="2">
        <v>1.22</v>
      </c>
      <c r="P64" s="2">
        <v>3.57</v>
      </c>
      <c r="Q64" s="4">
        <v>4.79</v>
      </c>
      <c r="U64" s="26"/>
      <c r="V64" s="26"/>
      <c r="W64" s="26"/>
    </row>
    <row r="65" spans="1:23" ht="15.75" customHeight="1" thickBot="1" x14ac:dyDescent="0.3">
      <c r="A65" s="3">
        <v>49499</v>
      </c>
      <c r="B65" s="1" t="s">
        <v>15</v>
      </c>
      <c r="C65" s="2">
        <v>0.25</v>
      </c>
      <c r="D65" s="2">
        <v>10</v>
      </c>
      <c r="E65" s="4">
        <v>10.25</v>
      </c>
      <c r="F65" s="21"/>
      <c r="G65" s="3">
        <v>49499</v>
      </c>
      <c r="H65" s="1" t="s">
        <v>15</v>
      </c>
      <c r="I65" s="2">
        <v>0.68</v>
      </c>
      <c r="J65" s="2">
        <v>4.55</v>
      </c>
      <c r="K65" s="4">
        <v>5.23</v>
      </c>
      <c r="L65" s="21"/>
      <c r="M65" s="3">
        <v>49499</v>
      </c>
      <c r="N65" s="1" t="s">
        <v>15</v>
      </c>
      <c r="O65" s="2">
        <v>1.1299999999999999</v>
      </c>
      <c r="P65" s="2">
        <v>3.57</v>
      </c>
      <c r="Q65" s="4">
        <v>4.7</v>
      </c>
      <c r="U65" s="26"/>
      <c r="V65" s="26"/>
      <c r="W65" s="26"/>
    </row>
    <row r="66" spans="1:23" ht="15.75" customHeight="1" thickBot="1" x14ac:dyDescent="0.3">
      <c r="A66" s="5"/>
      <c r="B66" s="6"/>
      <c r="C66" s="7">
        <f>SUM(C38:C65)</f>
        <v>47.11</v>
      </c>
      <c r="D66" s="7">
        <f>SUM(D38:D65)</f>
        <v>100</v>
      </c>
      <c r="E66" s="8">
        <f>SUM(E38:E65)</f>
        <v>147.11000000000001</v>
      </c>
      <c r="F66" s="21"/>
      <c r="G66" s="3">
        <v>49683</v>
      </c>
      <c r="H66" s="1" t="s">
        <v>15</v>
      </c>
      <c r="I66" s="2">
        <v>0.56999999999999995</v>
      </c>
      <c r="J66" s="2">
        <v>4.55</v>
      </c>
      <c r="K66" s="4">
        <v>5.12</v>
      </c>
      <c r="L66" s="21"/>
      <c r="M66" s="3">
        <v>49683</v>
      </c>
      <c r="N66" s="1" t="s">
        <v>15</v>
      </c>
      <c r="O66" s="2">
        <v>1.04</v>
      </c>
      <c r="P66" s="2">
        <v>3.57</v>
      </c>
      <c r="Q66" s="4">
        <v>4.6100000000000003</v>
      </c>
      <c r="U66" s="26"/>
      <c r="V66" s="26"/>
      <c r="W66" s="26"/>
    </row>
    <row r="67" spans="1:23" ht="15.75" customHeight="1" thickBot="1" x14ac:dyDescent="0.3">
      <c r="B67" s="21"/>
      <c r="F67" s="21"/>
      <c r="G67" s="3">
        <v>49865</v>
      </c>
      <c r="H67" s="1" t="s">
        <v>15</v>
      </c>
      <c r="I67" s="2">
        <v>0.45</v>
      </c>
      <c r="J67" s="2">
        <v>4.55</v>
      </c>
      <c r="K67" s="4">
        <v>5</v>
      </c>
      <c r="L67" s="21"/>
      <c r="M67" s="3">
        <v>49865</v>
      </c>
      <c r="N67" s="1" t="s">
        <v>15</v>
      </c>
      <c r="O67" s="2">
        <v>0.96</v>
      </c>
      <c r="P67" s="2">
        <v>3.57</v>
      </c>
      <c r="Q67" s="4">
        <v>4.53</v>
      </c>
      <c r="U67" s="26"/>
      <c r="V67" s="26"/>
      <c r="W67" s="26"/>
    </row>
    <row r="68" spans="1:23" ht="15.75" customHeight="1" thickBot="1" x14ac:dyDescent="0.3">
      <c r="B68" s="21"/>
      <c r="F68" s="21"/>
      <c r="G68" s="3">
        <v>50049</v>
      </c>
      <c r="H68" s="1" t="s">
        <v>15</v>
      </c>
      <c r="I68" s="2">
        <v>0.34</v>
      </c>
      <c r="J68" s="2">
        <v>4.55</v>
      </c>
      <c r="K68" s="4">
        <v>4.8899999999999997</v>
      </c>
      <c r="L68" s="21"/>
      <c r="M68" s="3">
        <v>50049</v>
      </c>
      <c r="N68" s="1" t="s">
        <v>15</v>
      </c>
      <c r="O68" s="2">
        <v>0.87</v>
      </c>
      <c r="P68" s="2">
        <v>3.57</v>
      </c>
      <c r="Q68" s="4">
        <v>4.4400000000000004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50230</v>
      </c>
      <c r="H69" s="1" t="s">
        <v>15</v>
      </c>
      <c r="I69" s="2">
        <v>0.23</v>
      </c>
      <c r="J69" s="2">
        <v>4.55</v>
      </c>
      <c r="K69" s="4">
        <v>4.78</v>
      </c>
      <c r="L69" s="21"/>
      <c r="M69" s="3">
        <v>50230</v>
      </c>
      <c r="N69" s="1" t="s">
        <v>15</v>
      </c>
      <c r="O69" s="2">
        <v>0.78</v>
      </c>
      <c r="P69" s="2">
        <v>3.57</v>
      </c>
      <c r="Q69" s="4">
        <v>4.3499999999999996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50414</v>
      </c>
      <c r="H70" s="1" t="s">
        <v>15</v>
      </c>
      <c r="I70" s="2">
        <v>0.11</v>
      </c>
      <c r="J70" s="2">
        <v>4.55</v>
      </c>
      <c r="K70" s="4">
        <v>4.66</v>
      </c>
      <c r="L70" s="21"/>
      <c r="M70" s="3">
        <v>50414</v>
      </c>
      <c r="N70" s="1" t="s">
        <v>15</v>
      </c>
      <c r="O70" s="2">
        <v>0.7</v>
      </c>
      <c r="P70" s="2">
        <v>3.57</v>
      </c>
      <c r="Q70" s="4">
        <v>4.2699999999999996</v>
      </c>
      <c r="U70" s="26"/>
      <c r="V70" s="26"/>
      <c r="W70" s="26"/>
    </row>
    <row r="71" spans="1:23" ht="15.75" customHeight="1" thickBot="1" x14ac:dyDescent="0.3">
      <c r="B71" s="21"/>
      <c r="F71" s="21"/>
      <c r="G71" s="5"/>
      <c r="H71" s="10"/>
      <c r="I71" s="7">
        <f>SUM(I38:I70)</f>
        <v>51.370000000000005</v>
      </c>
      <c r="J71" s="7">
        <f>SUM(J38:J70)</f>
        <v>100.09999999999997</v>
      </c>
      <c r="K71" s="8">
        <f>SUM(K38:K70)</f>
        <v>151.46999999999997</v>
      </c>
      <c r="L71" s="21"/>
      <c r="M71" s="3">
        <v>50595</v>
      </c>
      <c r="N71" s="1" t="s">
        <v>15</v>
      </c>
      <c r="O71" s="2">
        <v>0.61</v>
      </c>
      <c r="P71" s="2">
        <v>3.57</v>
      </c>
      <c r="Q71" s="4">
        <v>4.18</v>
      </c>
      <c r="U71" s="26"/>
      <c r="V71" s="26"/>
      <c r="W71" s="26"/>
    </row>
    <row r="72" spans="1:23" ht="15.75" customHeight="1" thickBot="1" x14ac:dyDescent="0.3">
      <c r="B72" s="21"/>
      <c r="F72" s="21"/>
      <c r="L72" s="21"/>
      <c r="M72" s="3">
        <v>50779</v>
      </c>
      <c r="N72" s="1" t="s">
        <v>15</v>
      </c>
      <c r="O72" s="2">
        <v>0.52</v>
      </c>
      <c r="P72" s="2">
        <v>3.57</v>
      </c>
      <c r="Q72" s="4">
        <v>4.09</v>
      </c>
      <c r="U72" s="26"/>
      <c r="V72" s="26"/>
      <c r="W72" s="26"/>
    </row>
    <row r="73" spans="1:23" ht="15.75" customHeight="1" thickBot="1" x14ac:dyDescent="0.3">
      <c r="B73" s="21"/>
      <c r="F73" s="21"/>
      <c r="L73" s="21"/>
      <c r="M73" s="3">
        <v>50960</v>
      </c>
      <c r="N73" s="1" t="s">
        <v>15</v>
      </c>
      <c r="O73" s="2">
        <v>0.44</v>
      </c>
      <c r="P73" s="2">
        <v>3.57</v>
      </c>
      <c r="Q73" s="4">
        <v>4.01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51144</v>
      </c>
      <c r="N74" s="1" t="s">
        <v>15</v>
      </c>
      <c r="O74" s="2">
        <v>0.35</v>
      </c>
      <c r="P74" s="2">
        <v>3.57</v>
      </c>
      <c r="Q74" s="4">
        <v>3.92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51326</v>
      </c>
      <c r="N75" s="1" t="s">
        <v>15</v>
      </c>
      <c r="O75" s="2">
        <v>0.26</v>
      </c>
      <c r="P75" s="2">
        <v>3.57</v>
      </c>
      <c r="Q75" s="4">
        <v>3.83</v>
      </c>
    </row>
    <row r="76" spans="1:23" ht="15.75" customHeight="1" thickBot="1" x14ac:dyDescent="0.3">
      <c r="B76" s="21"/>
      <c r="F76" s="21"/>
      <c r="L76" s="21"/>
      <c r="M76" s="3">
        <v>51510</v>
      </c>
      <c r="N76" s="1" t="s">
        <v>15</v>
      </c>
      <c r="O76" s="2">
        <v>0.17</v>
      </c>
      <c r="P76" s="2">
        <v>3.57</v>
      </c>
      <c r="Q76" s="4">
        <v>3.74</v>
      </c>
    </row>
    <row r="77" spans="1:23" ht="15.75" customHeight="1" thickBot="1" x14ac:dyDescent="0.3">
      <c r="B77" s="21"/>
      <c r="F77" s="21"/>
      <c r="L77" s="21"/>
      <c r="M77" s="3">
        <v>51691</v>
      </c>
      <c r="N77" s="1" t="s">
        <v>15</v>
      </c>
      <c r="O77" s="2">
        <v>0.09</v>
      </c>
      <c r="P77" s="2">
        <v>3.57</v>
      </c>
      <c r="Q77" s="4">
        <v>3.66</v>
      </c>
    </row>
    <row r="78" spans="1:23" ht="15.75" customHeight="1" thickBot="1" x14ac:dyDescent="0.3">
      <c r="B78" s="21"/>
      <c r="F78" s="21"/>
      <c r="L78" s="21"/>
      <c r="M78" s="5"/>
      <c r="N78" s="10"/>
      <c r="O78" s="7">
        <f>SUM(O38:O77)</f>
        <v>52.750000000000007</v>
      </c>
      <c r="P78" s="7">
        <f>SUM(P38:P77)</f>
        <v>99.959999999999923</v>
      </c>
      <c r="Q78" s="8">
        <f>SUM(Q38:Q77)</f>
        <v>152.70999999999998</v>
      </c>
    </row>
    <row r="79" spans="1:23" ht="15.75" customHeight="1" x14ac:dyDescent="0.25">
      <c r="B79" s="21"/>
    </row>
    <row r="80" spans="1:23" ht="15.75" customHeight="1" x14ac:dyDescent="0.25">
      <c r="B80" s="21"/>
    </row>
    <row r="81" spans="1:13" x14ac:dyDescent="0.25">
      <c r="B81" s="21"/>
    </row>
    <row r="82" spans="1:13" x14ac:dyDescent="0.25">
      <c r="B82" s="21"/>
      <c r="M82" s="21"/>
    </row>
    <row r="83" spans="1:13" x14ac:dyDescent="0.25">
      <c r="A83" s="22"/>
      <c r="B83" s="23"/>
      <c r="D83" s="21"/>
      <c r="E83" s="21"/>
      <c r="G83" s="21"/>
      <c r="H83" s="21"/>
      <c r="I83" s="21"/>
      <c r="J83" s="21"/>
      <c r="K83" s="21"/>
    </row>
    <row r="84" spans="1:13" x14ac:dyDescent="0.25">
      <c r="A84" s="22"/>
      <c r="B84" s="23"/>
      <c r="D84" s="21"/>
      <c r="E84" s="21"/>
      <c r="F84" s="21"/>
      <c r="G84" s="21"/>
      <c r="H84" s="21"/>
      <c r="I84" s="21"/>
      <c r="J84" s="21"/>
      <c r="K84" s="21"/>
      <c r="L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4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B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L106" s="21"/>
    </row>
    <row r="107" spans="2:12" x14ac:dyDescent="0.25">
      <c r="B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</sheetData>
  <pageMargins left="0.7" right="0.7" top="0.75" bottom="0.75" header="0.3" footer="0.3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topLeftCell="A7" workbookViewId="0">
      <selection activeCell="Q9" sqref="Q9:Q20"/>
    </sheetView>
  </sheetViews>
  <sheetFormatPr baseColWidth="10" defaultRowHeight="15" x14ac:dyDescent="0.25"/>
  <cols>
    <col min="1" max="1" width="22.140625" style="66" bestFit="1" customWidth="1"/>
    <col min="2" max="2" width="10.7109375" style="66" bestFit="1" customWidth="1"/>
    <col min="7" max="7" width="22.140625" style="66" bestFit="1" customWidth="1"/>
    <col min="8" max="8" width="11.85546875" style="66" bestFit="1" customWidth="1"/>
    <col min="13" max="13" width="22.140625" style="66" bestFit="1" customWidth="1"/>
    <col min="14" max="14" width="11.85546875" style="66" bestFit="1" customWidth="1"/>
    <col min="15" max="17" width="11.42578125" style="66" customWidth="1"/>
    <col min="19" max="19" width="22.140625" style="66" bestFit="1" customWidth="1"/>
    <col min="21" max="23" width="11.42578125" style="66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308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44078</v>
      </c>
      <c r="C5" s="27"/>
      <c r="D5" s="26">
        <f>DAYS360(B5,A10)</f>
        <v>305</v>
      </c>
      <c r="E5" s="28"/>
      <c r="G5" s="31" t="s">
        <v>10</v>
      </c>
      <c r="H5" s="24">
        <v>44078</v>
      </c>
      <c r="I5" s="27"/>
      <c r="J5" s="27"/>
      <c r="K5" s="28"/>
      <c r="L5" s="21"/>
      <c r="M5" s="31" t="s">
        <v>10</v>
      </c>
      <c r="N5" s="24">
        <v>44078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305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4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7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5">
        <f ca="1">B6*DAYS360(B5,TODAY())/360*100</f>
        <v>2.3138888888888891</v>
      </c>
      <c r="C8" s="27"/>
      <c r="D8" s="47"/>
      <c r="E8" s="28"/>
      <c r="F8" s="46"/>
      <c r="G8" s="31" t="s">
        <v>13</v>
      </c>
      <c r="H8" s="45">
        <f ca="1">H6*DAYS360(H5,TODAY())/360*100</f>
        <v>2.3138888888888891</v>
      </c>
      <c r="I8" s="27"/>
      <c r="J8" s="27"/>
      <c r="K8" s="28"/>
      <c r="L8" s="21"/>
      <c r="M8" s="31" t="s">
        <v>13</v>
      </c>
      <c r="N8" s="45">
        <f ca="1">N6*DAYS360(N5,TODAY())/360*100</f>
        <v>0.28923611111111114</v>
      </c>
      <c r="O8" s="27"/>
      <c r="P8" s="27"/>
      <c r="Q8" s="28"/>
      <c r="S8" s="31" t="s">
        <v>13</v>
      </c>
      <c r="T8" s="45">
        <f ca="1">T6*DAYS360(T5,TODAY())/360*100</f>
        <v>0.28993055555555558</v>
      </c>
      <c r="U8" s="27"/>
      <c r="V8" s="27"/>
      <c r="W8" s="28"/>
    </row>
    <row r="9" spans="1:25" ht="18.75" customHeight="1" x14ac:dyDescent="0.3">
      <c r="A9" s="30" t="s">
        <v>14</v>
      </c>
      <c r="B9" s="45">
        <f ca="1">B7+B8</f>
        <v>102.31388888888888</v>
      </c>
      <c r="C9" s="27"/>
      <c r="D9" s="27"/>
      <c r="E9" s="28">
        <v>-34.799999999999997</v>
      </c>
      <c r="F9" s="21"/>
      <c r="G9" s="31" t="s">
        <v>14</v>
      </c>
      <c r="H9" s="45">
        <f ca="1">H7+H8</f>
        <v>102.31388888888888</v>
      </c>
      <c r="I9" s="27"/>
      <c r="J9" s="27"/>
      <c r="K9" s="28"/>
      <c r="L9" s="21"/>
      <c r="M9" s="31" t="s">
        <v>14</v>
      </c>
      <c r="N9" s="45">
        <f ca="1">N7+N8</f>
        <v>100.28923611111111</v>
      </c>
      <c r="O9" s="27"/>
      <c r="P9" s="27"/>
      <c r="Q9" s="28">
        <v>-32.700000000000003</v>
      </c>
      <c r="S9" s="31" t="s">
        <v>14</v>
      </c>
      <c r="T9" s="45">
        <f ca="1">T7+T8</f>
        <v>100.28993055555556</v>
      </c>
      <c r="U9" s="27"/>
      <c r="V9" s="27"/>
      <c r="W9" s="28"/>
    </row>
    <row r="10" spans="1:25" ht="15.75" customHeight="1" thickBot="1" x14ac:dyDescent="0.3">
      <c r="A10" s="11">
        <v>44386</v>
      </c>
      <c r="B10" s="12" t="s">
        <v>15</v>
      </c>
      <c r="C10" s="37">
        <v>0.84719999999999995</v>
      </c>
      <c r="D10" s="13">
        <v>0</v>
      </c>
      <c r="E10" s="40">
        <v>0.84719999999999995</v>
      </c>
      <c r="F10" s="21"/>
      <c r="G10" s="11">
        <v>44386</v>
      </c>
      <c r="H10" t="s">
        <v>15</v>
      </c>
      <c r="I10" s="13">
        <v>0.85</v>
      </c>
      <c r="J10" s="13">
        <v>0</v>
      </c>
      <c r="K10" s="14">
        <v>0.85</v>
      </c>
      <c r="L10" s="21"/>
      <c r="M10" s="11">
        <v>44386</v>
      </c>
      <c r="N10" t="s">
        <v>15</v>
      </c>
      <c r="O10" s="13">
        <v>0.11</v>
      </c>
      <c r="P10" s="13">
        <v>0</v>
      </c>
      <c r="Q10" s="14">
        <v>0.11</v>
      </c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8">
        <v>0.5</v>
      </c>
      <c r="D11" s="2">
        <v>0</v>
      </c>
      <c r="E11" s="41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4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8">
        <v>0.5</v>
      </c>
      <c r="D12" s="2">
        <v>0</v>
      </c>
      <c r="E12" s="41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4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8">
        <v>0.5</v>
      </c>
      <c r="D13" s="2">
        <v>0</v>
      </c>
      <c r="E13" s="41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4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8">
        <v>0.5</v>
      </c>
      <c r="D14" s="2">
        <v>0</v>
      </c>
      <c r="E14" s="41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4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8">
        <v>0.5</v>
      </c>
      <c r="D15" s="2">
        <v>0</v>
      </c>
      <c r="E15" s="41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4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8">
        <v>0.5</v>
      </c>
      <c r="D16" s="2">
        <v>0</v>
      </c>
      <c r="E16" s="41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4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8">
        <v>0.5</v>
      </c>
      <c r="D17" s="2">
        <v>10</v>
      </c>
      <c r="E17" s="41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4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8">
        <v>0.45</v>
      </c>
      <c r="D18" s="2">
        <v>10</v>
      </c>
      <c r="E18" s="41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4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8">
        <v>0.4</v>
      </c>
      <c r="D19" s="2">
        <v>10</v>
      </c>
      <c r="E19" s="41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4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8">
        <v>0.35</v>
      </c>
      <c r="D20" s="2">
        <v>10</v>
      </c>
      <c r="E20" s="41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4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8">
        <v>0.3</v>
      </c>
      <c r="D21" s="2">
        <v>10</v>
      </c>
      <c r="E21" s="41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8">
        <v>0.25</v>
      </c>
      <c r="D22" s="2">
        <v>10</v>
      </c>
      <c r="E22" s="41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8">
        <v>0.2</v>
      </c>
      <c r="D23" s="2">
        <v>10</v>
      </c>
      <c r="E23" s="41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8">
        <v>0.15</v>
      </c>
      <c r="D24" s="2">
        <v>10</v>
      </c>
      <c r="E24" s="41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8">
        <v>0.1</v>
      </c>
      <c r="D25" s="2">
        <v>10</v>
      </c>
      <c r="E25" s="41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8">
        <v>0.05</v>
      </c>
      <c r="D26" s="2">
        <v>10</v>
      </c>
      <c r="E26" s="41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39">
        <f>SUM(C10:C26)</f>
        <v>6.5972</v>
      </c>
      <c r="D27" s="7">
        <f>SUM(D10:D26)</f>
        <v>100</v>
      </c>
      <c r="E27" s="42">
        <f>SUM(E10:E26)</f>
        <v>106.5972</v>
      </c>
      <c r="F27" s="21"/>
      <c r="G27" s="9"/>
      <c r="H27" s="6"/>
      <c r="I27" s="7">
        <f>SUM(I10:I26)</f>
        <v>6.6</v>
      </c>
      <c r="J27" s="7">
        <f>SUM(J10:J26)</f>
        <v>100</v>
      </c>
      <c r="K27" s="8">
        <f>SUM(K10:K26)</f>
        <v>106.6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5.0499999999999989</v>
      </c>
      <c r="P29" s="7">
        <f>SUM(P10:P28)</f>
        <v>100</v>
      </c>
      <c r="Q29" s="8">
        <f>SUM(Q10:Q28)</f>
        <v>105.05000000000001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44078</v>
      </c>
      <c r="C34" s="27"/>
      <c r="D34" s="27"/>
      <c r="E34" s="28"/>
      <c r="F34" s="21"/>
      <c r="G34" s="31" t="s">
        <v>10</v>
      </c>
      <c r="H34" s="24">
        <v>44078</v>
      </c>
      <c r="I34" s="27"/>
      <c r="J34" s="27"/>
      <c r="K34" s="28"/>
      <c r="M34" s="31" t="s">
        <v>10</v>
      </c>
      <c r="N34" s="24">
        <v>44078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1.25E-3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5">
        <f ca="1">B35*DAYS360(B34,TODAY())/360*100</f>
        <v>0.28923611111111114</v>
      </c>
      <c r="C37" s="27"/>
      <c r="D37" s="27"/>
      <c r="E37" s="28"/>
      <c r="F37" s="21"/>
      <c r="G37" s="31" t="s">
        <v>13</v>
      </c>
      <c r="H37" s="45">
        <f ca="1">H35*DAYS360(H34,TODAY())/360*100</f>
        <v>0.28923611111111114</v>
      </c>
      <c r="I37" s="27"/>
      <c r="J37" s="27"/>
      <c r="K37" s="28"/>
      <c r="M37" s="31" t="s">
        <v>13</v>
      </c>
      <c r="N37" s="45">
        <f ca="1">N35*DAYS360(N33,TODAY())/360*100</f>
        <v>0.28993055555555558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5">
        <f ca="1">B36+B37</f>
        <v>100.28923611111111</v>
      </c>
      <c r="C38" s="27"/>
      <c r="D38" s="27"/>
      <c r="E38" s="28"/>
      <c r="F38" s="21"/>
      <c r="G38" s="31" t="s">
        <v>14</v>
      </c>
      <c r="H38" s="45">
        <f ca="1">H36+H37</f>
        <v>100.28923611111111</v>
      </c>
      <c r="I38" s="27"/>
      <c r="J38" s="27"/>
      <c r="K38" s="28"/>
      <c r="M38" s="31" t="s">
        <v>14</v>
      </c>
      <c r="N38" s="45">
        <f ca="1">N36+N37</f>
        <v>100.28993055555556</v>
      </c>
      <c r="O38" s="27"/>
      <c r="P38" s="27"/>
      <c r="Q38" s="28"/>
      <c r="T38" s="26"/>
      <c r="U38" s="26"/>
      <c r="V38" s="26"/>
    </row>
    <row r="39" spans="1:22" ht="15.75" customHeight="1" thickBot="1" x14ac:dyDescent="0.3">
      <c r="A39" s="3">
        <v>44386</v>
      </c>
      <c r="B39" s="1" t="s">
        <v>15</v>
      </c>
      <c r="C39" s="2">
        <v>0.11</v>
      </c>
      <c r="D39" s="2">
        <v>0</v>
      </c>
      <c r="E39" s="4">
        <v>0.11</v>
      </c>
      <c r="F39" s="21"/>
      <c r="G39" s="3">
        <v>44386</v>
      </c>
      <c r="H39" s="1" t="s">
        <v>15</v>
      </c>
      <c r="I39" s="2">
        <v>0.11</v>
      </c>
      <c r="J39" s="2">
        <v>0</v>
      </c>
      <c r="K39" s="4">
        <v>0.11</v>
      </c>
      <c r="M39" s="3">
        <v>44386</v>
      </c>
      <c r="N39" s="1" t="s">
        <v>15</v>
      </c>
      <c r="O39" s="2">
        <v>0.11</v>
      </c>
      <c r="P39" s="2">
        <v>0</v>
      </c>
      <c r="Q39" s="4">
        <v>0.11</v>
      </c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4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4">
        <v>1</v>
      </c>
      <c r="M40" s="3">
        <v>44570</v>
      </c>
      <c r="N40" s="1" t="s">
        <v>15</v>
      </c>
      <c r="O40" s="2">
        <v>1.25</v>
      </c>
      <c r="P40" s="2">
        <v>0</v>
      </c>
      <c r="Q40" s="4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4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4">
        <v>1</v>
      </c>
      <c r="M41" s="3">
        <v>44751</v>
      </c>
      <c r="N41" s="1" t="s">
        <v>15</v>
      </c>
      <c r="O41" s="2">
        <v>1.25</v>
      </c>
      <c r="P41" s="2">
        <v>0</v>
      </c>
      <c r="Q41" s="4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4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4">
        <v>1.94</v>
      </c>
      <c r="M42" s="3">
        <v>44935</v>
      </c>
      <c r="N42" s="1" t="s">
        <v>15</v>
      </c>
      <c r="O42" s="2">
        <v>1.75</v>
      </c>
      <c r="P42" s="2">
        <v>0</v>
      </c>
      <c r="Q42" s="4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4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4">
        <v>1.94</v>
      </c>
      <c r="M43" s="3">
        <v>45116</v>
      </c>
      <c r="N43" s="1" t="s">
        <v>15</v>
      </c>
      <c r="O43" s="2">
        <v>1.75</v>
      </c>
      <c r="P43" s="2">
        <v>0</v>
      </c>
      <c r="Q43" s="4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4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4">
        <v>2.12</v>
      </c>
      <c r="M44" s="3">
        <v>45300</v>
      </c>
      <c r="N44" s="1" t="s">
        <v>15</v>
      </c>
      <c r="O44" s="2">
        <v>1.75</v>
      </c>
      <c r="P44" s="2">
        <v>0</v>
      </c>
      <c r="Q44" s="4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4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4">
        <v>2.12</v>
      </c>
      <c r="M45" s="3">
        <v>45482</v>
      </c>
      <c r="N45" s="1" t="s">
        <v>15</v>
      </c>
      <c r="O45" s="2">
        <v>1.75</v>
      </c>
      <c r="P45" s="2">
        <v>0</v>
      </c>
      <c r="Q45" s="4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4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4">
        <v>2.5</v>
      </c>
      <c r="M46" s="3">
        <v>45666</v>
      </c>
      <c r="N46" s="1" t="s">
        <v>15</v>
      </c>
      <c r="O46" s="2">
        <v>1.75</v>
      </c>
      <c r="P46" s="2">
        <v>0</v>
      </c>
      <c r="Q46" s="4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4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4">
        <v>2.5</v>
      </c>
      <c r="M47" s="3">
        <v>45847</v>
      </c>
      <c r="N47" s="1" t="s">
        <v>15</v>
      </c>
      <c r="O47" s="2">
        <v>1.75</v>
      </c>
      <c r="P47" s="2">
        <v>0</v>
      </c>
      <c r="Q47" s="4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4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4">
        <v>2.5</v>
      </c>
      <c r="M48" s="3">
        <v>46031</v>
      </c>
      <c r="N48" s="1" t="s">
        <v>15</v>
      </c>
      <c r="O48" s="2">
        <v>1.75</v>
      </c>
      <c r="P48" s="2">
        <v>0</v>
      </c>
      <c r="Q48" s="4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4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4">
        <v>2.5</v>
      </c>
      <c r="M49" s="3">
        <v>46212</v>
      </c>
      <c r="N49" s="1" t="s">
        <v>15</v>
      </c>
      <c r="O49" s="2">
        <v>1.75</v>
      </c>
      <c r="P49" s="2">
        <v>0</v>
      </c>
      <c r="Q49" s="4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4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4">
        <v>2.5</v>
      </c>
      <c r="M50" s="3">
        <v>46396</v>
      </c>
      <c r="N50" s="1" t="s">
        <v>15</v>
      </c>
      <c r="O50" s="2">
        <v>1.75</v>
      </c>
      <c r="P50" s="2">
        <v>0</v>
      </c>
      <c r="Q50" s="4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4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4">
        <v>7.05</v>
      </c>
      <c r="M51" s="3">
        <v>46577</v>
      </c>
      <c r="N51" s="1" t="s">
        <v>15</v>
      </c>
      <c r="O51" s="2">
        <v>1.75</v>
      </c>
      <c r="P51" s="2">
        <v>0</v>
      </c>
      <c r="Q51" s="4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4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4">
        <v>6.94</v>
      </c>
      <c r="M52" s="3">
        <v>46761</v>
      </c>
      <c r="N52" s="1" t="s">
        <v>15</v>
      </c>
      <c r="O52" s="2">
        <v>1.75</v>
      </c>
      <c r="P52" s="2">
        <v>3.57</v>
      </c>
      <c r="Q52" s="4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4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4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4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4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4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4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4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47.22</v>
      </c>
      <c r="D68" s="7">
        <f>SUM(D39:D67)</f>
        <v>100</v>
      </c>
      <c r="E68" s="8">
        <f>SUM(E39:E67)</f>
        <v>147.22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51.48</v>
      </c>
      <c r="J73" s="7">
        <f>SUM(J39:J72)</f>
        <v>100.09999999999997</v>
      </c>
      <c r="K73" s="8">
        <f>SUM(K39:K72)</f>
        <v>151.57999999999998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52.860000000000007</v>
      </c>
      <c r="P80" s="7">
        <f>SUM(P39:P79)</f>
        <v>99.959999999999923</v>
      </c>
      <c r="Q80" s="8">
        <f>SUM(Q39:Q79)</f>
        <v>152.82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7" workbookViewId="0">
      <selection activeCell="B34" sqref="B34"/>
    </sheetView>
  </sheetViews>
  <sheetFormatPr baseColWidth="10" defaultRowHeight="15" x14ac:dyDescent="0.25"/>
  <cols>
    <col min="1" max="1" width="22.140625" style="66" bestFit="1" customWidth="1"/>
    <col min="2" max="2" width="10.7109375" style="66" bestFit="1" customWidth="1"/>
    <col min="7" max="7" width="22.140625" style="66" bestFit="1" customWidth="1"/>
    <col min="8" max="8" width="11.85546875" style="66" bestFit="1" customWidth="1"/>
    <col min="13" max="13" width="22.140625" style="66" bestFit="1" customWidth="1"/>
    <col min="14" max="14" width="11.85546875" style="66" bestFit="1" customWidth="1"/>
    <col min="15" max="17" width="11.42578125" style="66" customWidth="1"/>
    <col min="19" max="19" width="22.140625" style="66" bestFit="1" customWidth="1"/>
    <col min="21" max="23" width="11.42578125" style="66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-44751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44751</v>
      </c>
      <c r="C5" s="27"/>
      <c r="D5" s="26">
        <f>DAYS360(B5,A10)</f>
        <v>-44109</v>
      </c>
      <c r="E5" s="28"/>
      <c r="G5" s="31" t="s">
        <v>10</v>
      </c>
      <c r="H5" s="24">
        <v>44751</v>
      </c>
      <c r="I5" s="27"/>
      <c r="J5" s="27"/>
      <c r="K5" s="28"/>
      <c r="L5" s="21"/>
      <c r="M5" s="31" t="s">
        <v>10</v>
      </c>
      <c r="N5" s="24">
        <v>44751</v>
      </c>
      <c r="O5" s="27"/>
      <c r="P5" s="27"/>
      <c r="Q5" s="28"/>
      <c r="S5" s="31" t="s">
        <v>10</v>
      </c>
      <c r="T5" s="24">
        <v>44751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-44109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5.0000000000000001E-3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4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7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5">
        <f ca="1">B6*DAYS360(B5,TODAY())/360*100</f>
        <v>0.46666666666666662</v>
      </c>
      <c r="C8" s="27"/>
      <c r="D8" s="47"/>
      <c r="E8" s="28"/>
      <c r="F8" s="46"/>
      <c r="G8" s="31" t="s">
        <v>13</v>
      </c>
      <c r="H8" s="45">
        <f ca="1">H6*DAYS360(H5,TODAY())/360*100</f>
        <v>0.46666666666666662</v>
      </c>
      <c r="I8" s="27"/>
      <c r="J8" s="27"/>
      <c r="K8" s="28"/>
      <c r="L8" s="21"/>
      <c r="M8" s="31" t="s">
        <v>13</v>
      </c>
      <c r="N8" s="45">
        <f ca="1">N6*DAYS360(N5,TODAY())/360*100</f>
        <v>0.23333333333333331</v>
      </c>
      <c r="O8" s="27"/>
      <c r="P8" s="27"/>
      <c r="Q8" s="28"/>
      <c r="S8" s="31" t="s">
        <v>13</v>
      </c>
      <c r="T8" s="45">
        <f ca="1">T6*DAYS360(T5,TODAY())/360*100</f>
        <v>5.8333333333333327E-2</v>
      </c>
      <c r="U8" s="27"/>
      <c r="V8" s="27"/>
      <c r="W8" s="28"/>
    </row>
    <row r="9" spans="1:25" ht="19.5" customHeight="1" thickBot="1" x14ac:dyDescent="0.35">
      <c r="A9" s="30" t="s">
        <v>14</v>
      </c>
      <c r="B9" s="45">
        <f ca="1">B7+B8</f>
        <v>100.46666666666667</v>
      </c>
      <c r="C9" s="27"/>
      <c r="D9" s="27"/>
      <c r="E9" s="40" t="e">
        <f>-'Paridad usd'!#REF!</f>
        <v>#REF!</v>
      </c>
      <c r="F9" s="21"/>
      <c r="G9" s="31" t="s">
        <v>14</v>
      </c>
      <c r="H9" s="45">
        <f ca="1">H7+H8</f>
        <v>100.46666666666667</v>
      </c>
      <c r="I9" s="27"/>
      <c r="J9" s="27"/>
      <c r="K9" s="49" t="e">
        <f>-'Paridad usd'!#REF!</f>
        <v>#REF!</v>
      </c>
      <c r="L9" s="21"/>
      <c r="M9" s="31" t="s">
        <v>14</v>
      </c>
      <c r="N9" s="45">
        <f ca="1">N7+N8</f>
        <v>100.23333333333333</v>
      </c>
      <c r="O9" s="27"/>
      <c r="P9" s="27"/>
      <c r="Q9" s="49">
        <f>-'Paridad usd'!B44</f>
        <v>-19.100000000000001</v>
      </c>
      <c r="S9" s="31" t="s">
        <v>14</v>
      </c>
      <c r="T9" s="45">
        <f ca="1">T7+T8</f>
        <v>100.05833333333334</v>
      </c>
      <c r="U9" s="27"/>
      <c r="V9" s="27"/>
      <c r="W9" s="28"/>
    </row>
    <row r="10" spans="1:25" ht="15.75" customHeight="1" thickBot="1" x14ac:dyDescent="0.3">
      <c r="A10" s="11"/>
      <c r="B10" s="12"/>
      <c r="C10" s="37"/>
      <c r="D10" s="13"/>
      <c r="E10" s="2"/>
      <c r="F10" s="21"/>
      <c r="G10" s="11"/>
      <c r="I10" s="13"/>
      <c r="J10" s="13"/>
      <c r="K10" s="14"/>
      <c r="L10" s="21"/>
      <c r="M10" s="11"/>
      <c r="O10" s="13"/>
      <c r="P10" s="13"/>
      <c r="Q10" s="14"/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8">
        <v>0.5</v>
      </c>
      <c r="D11" s="2">
        <v>0</v>
      </c>
      <c r="E11" s="48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50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8">
        <v>0.5</v>
      </c>
      <c r="D12" s="2">
        <v>0</v>
      </c>
      <c r="E12" s="48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50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8">
        <v>0.5</v>
      </c>
      <c r="D13" s="2">
        <v>0</v>
      </c>
      <c r="E13" s="48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50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8">
        <v>0.5</v>
      </c>
      <c r="D14" s="2">
        <v>0</v>
      </c>
      <c r="E14" s="48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50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8">
        <v>0.5</v>
      </c>
      <c r="D15" s="2">
        <v>0</v>
      </c>
      <c r="E15" s="48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50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8">
        <v>0.5</v>
      </c>
      <c r="D16" s="2">
        <v>0</v>
      </c>
      <c r="E16" s="48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50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8">
        <v>0.5</v>
      </c>
      <c r="D17" s="2">
        <v>10</v>
      </c>
      <c r="E17" s="48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50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8">
        <v>0.45</v>
      </c>
      <c r="D18" s="2">
        <v>10</v>
      </c>
      <c r="E18" s="48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50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8">
        <v>0.4</v>
      </c>
      <c r="D19" s="2">
        <v>10</v>
      </c>
      <c r="E19" s="48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50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8">
        <v>0.35</v>
      </c>
      <c r="D20" s="2">
        <v>10</v>
      </c>
      <c r="E20" s="48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50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8">
        <v>0.3</v>
      </c>
      <c r="D21" s="2">
        <v>10</v>
      </c>
      <c r="E21" s="41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8">
        <v>0.25</v>
      </c>
      <c r="D22" s="2">
        <v>10</v>
      </c>
      <c r="E22" s="41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8">
        <v>0.2</v>
      </c>
      <c r="D23" s="2">
        <v>10</v>
      </c>
      <c r="E23" s="41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8">
        <v>0.15</v>
      </c>
      <c r="D24" s="2">
        <v>10</v>
      </c>
      <c r="E24" s="41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8">
        <v>0.1</v>
      </c>
      <c r="D25" s="2">
        <v>10</v>
      </c>
      <c r="E25" s="41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8">
        <v>0.05</v>
      </c>
      <c r="D26" s="2">
        <v>10</v>
      </c>
      <c r="E26" s="41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39">
        <f>SUM(C10:C26)</f>
        <v>5.75</v>
      </c>
      <c r="D27" s="7">
        <f>SUM(D10:D26)</f>
        <v>100</v>
      </c>
      <c r="E27" s="42" t="e">
        <f>SUM(E9:E26)</f>
        <v>#REF!</v>
      </c>
      <c r="F27" s="21"/>
      <c r="G27" s="9"/>
      <c r="H27" s="6"/>
      <c r="I27" s="7">
        <f>SUM(I10:I26)</f>
        <v>5.75</v>
      </c>
      <c r="J27" s="7">
        <f>SUM(J10:J26)</f>
        <v>100</v>
      </c>
      <c r="K27" s="8">
        <f>SUM(K10:K26)</f>
        <v>105.75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4.9399999999999995</v>
      </c>
      <c r="P29" s="7">
        <f>SUM(P10:P28)</f>
        <v>100</v>
      </c>
      <c r="Q29" s="8">
        <f>SUM(Q10:Q28)</f>
        <v>104.94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44751</v>
      </c>
      <c r="C34" s="27"/>
      <c r="D34" s="27"/>
      <c r="E34" s="28"/>
      <c r="F34" s="21"/>
      <c r="G34" s="31" t="s">
        <v>10</v>
      </c>
      <c r="H34" s="24">
        <v>44751</v>
      </c>
      <c r="I34" s="27"/>
      <c r="J34" s="27"/>
      <c r="K34" s="28"/>
      <c r="M34" s="31" t="s">
        <v>10</v>
      </c>
      <c r="N34" s="24">
        <v>44751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1.125E-2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5">
        <f ca="1">B35*DAYS360(B34,TODAY())/360*100</f>
        <v>0.52499999999999991</v>
      </c>
      <c r="C37" s="27"/>
      <c r="D37" s="27"/>
      <c r="E37" s="28"/>
      <c r="F37" s="21"/>
      <c r="G37" s="31" t="s">
        <v>13</v>
      </c>
      <c r="H37" s="45">
        <f ca="1">H35*DAYS360(H34,TODAY())/360*100</f>
        <v>5.8333333333333327E-2</v>
      </c>
      <c r="I37" s="27"/>
      <c r="J37" s="27"/>
      <c r="K37" s="28"/>
      <c r="M37" s="31" t="s">
        <v>13</v>
      </c>
      <c r="N37" s="45">
        <f ca="1">N35*DAYS360(N33,TODAY())/360*100</f>
        <v>0.28993055555555558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5">
        <f ca="1">B36+B37</f>
        <v>100.52500000000001</v>
      </c>
      <c r="C38" s="27"/>
      <c r="D38" s="27"/>
      <c r="E38" s="49" t="e">
        <f>-'Paridad usd'!#REF!</f>
        <v>#REF!</v>
      </c>
      <c r="F38" s="21"/>
      <c r="G38" s="31" t="s">
        <v>14</v>
      </c>
      <c r="H38" s="45">
        <f ca="1">H36+H37</f>
        <v>100.05833333333334</v>
      </c>
      <c r="I38" s="27"/>
      <c r="J38" s="27"/>
      <c r="K38" s="49">
        <f>-'Paridad usd'!F44</f>
        <v>-24</v>
      </c>
      <c r="M38" s="31" t="s">
        <v>14</v>
      </c>
      <c r="N38" s="45">
        <f ca="1">N36+N37</f>
        <v>100.28993055555556</v>
      </c>
      <c r="O38" s="27"/>
      <c r="P38" s="27"/>
      <c r="Q38" s="49" t="e">
        <f>-'Paridad usd'!#REF!</f>
        <v>#REF!</v>
      </c>
      <c r="T38" s="26"/>
      <c r="U38" s="26"/>
      <c r="V38" s="26"/>
    </row>
    <row r="39" spans="1:22" ht="15.75" customHeight="1" thickBot="1" x14ac:dyDescent="0.3">
      <c r="A39" s="3"/>
      <c r="B39" s="1"/>
      <c r="C39" s="2"/>
      <c r="D39" s="2"/>
      <c r="E39" s="4"/>
      <c r="F39" s="21"/>
      <c r="G39" s="3"/>
      <c r="H39" s="1"/>
      <c r="I39" s="2"/>
      <c r="J39" s="2"/>
      <c r="K39" s="4"/>
      <c r="M39" s="3"/>
      <c r="N39" s="1"/>
      <c r="O39" s="2"/>
      <c r="P39" s="2"/>
      <c r="Q39" s="4"/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50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50">
        <v>1</v>
      </c>
      <c r="M40" s="3">
        <v>44570</v>
      </c>
      <c r="N40" s="1" t="s">
        <v>15</v>
      </c>
      <c r="O40" s="2">
        <v>1.25</v>
      </c>
      <c r="P40" s="2">
        <v>0</v>
      </c>
      <c r="Q40" s="50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50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50">
        <v>1</v>
      </c>
      <c r="M41" s="3">
        <v>44751</v>
      </c>
      <c r="N41" s="1" t="s">
        <v>15</v>
      </c>
      <c r="O41" s="2">
        <v>1.25</v>
      </c>
      <c r="P41" s="2">
        <v>0</v>
      </c>
      <c r="Q41" s="50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50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50">
        <v>1.94</v>
      </c>
      <c r="M42" s="3">
        <v>44935</v>
      </c>
      <c r="N42" s="1" t="s">
        <v>15</v>
      </c>
      <c r="O42" s="2">
        <v>1.75</v>
      </c>
      <c r="P42" s="2">
        <v>0</v>
      </c>
      <c r="Q42" s="50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50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50">
        <v>1.94</v>
      </c>
      <c r="M43" s="3">
        <v>45116</v>
      </c>
      <c r="N43" s="1" t="s">
        <v>15</v>
      </c>
      <c r="O43" s="2">
        <v>1.75</v>
      </c>
      <c r="P43" s="2">
        <v>0</v>
      </c>
      <c r="Q43" s="50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50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50">
        <v>2.12</v>
      </c>
      <c r="M44" s="3">
        <v>45300</v>
      </c>
      <c r="N44" s="1" t="s">
        <v>15</v>
      </c>
      <c r="O44" s="2">
        <v>1.75</v>
      </c>
      <c r="P44" s="2">
        <v>0</v>
      </c>
      <c r="Q44" s="50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50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50">
        <v>2.12</v>
      </c>
      <c r="M45" s="3">
        <v>45482</v>
      </c>
      <c r="N45" s="1" t="s">
        <v>15</v>
      </c>
      <c r="O45" s="2">
        <v>1.75</v>
      </c>
      <c r="P45" s="2">
        <v>0</v>
      </c>
      <c r="Q45" s="50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50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50">
        <v>2.5</v>
      </c>
      <c r="M46" s="3">
        <v>45666</v>
      </c>
      <c r="N46" s="1" t="s">
        <v>15</v>
      </c>
      <c r="O46" s="2">
        <v>1.75</v>
      </c>
      <c r="P46" s="2">
        <v>0</v>
      </c>
      <c r="Q46" s="50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50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50">
        <v>2.5</v>
      </c>
      <c r="M47" s="3">
        <v>45847</v>
      </c>
      <c r="N47" s="1" t="s">
        <v>15</v>
      </c>
      <c r="O47" s="2">
        <v>1.75</v>
      </c>
      <c r="P47" s="2">
        <v>0</v>
      </c>
      <c r="Q47" s="50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50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50">
        <v>2.5</v>
      </c>
      <c r="M48" s="3">
        <v>46031</v>
      </c>
      <c r="N48" s="1" t="s">
        <v>15</v>
      </c>
      <c r="O48" s="2">
        <v>1.75</v>
      </c>
      <c r="P48" s="2">
        <v>0</v>
      </c>
      <c r="Q48" s="50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50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50">
        <v>2.5</v>
      </c>
      <c r="M49" s="3">
        <v>46212</v>
      </c>
      <c r="N49" s="1" t="s">
        <v>15</v>
      </c>
      <c r="O49" s="2">
        <v>1.75</v>
      </c>
      <c r="P49" s="2">
        <v>0</v>
      </c>
      <c r="Q49" s="50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50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50">
        <v>2.5</v>
      </c>
      <c r="M50" s="3">
        <v>46396</v>
      </c>
      <c r="N50" s="1" t="s">
        <v>15</v>
      </c>
      <c r="O50" s="2">
        <v>1.75</v>
      </c>
      <c r="P50" s="2">
        <v>0</v>
      </c>
      <c r="Q50" s="50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50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50">
        <v>7.05</v>
      </c>
      <c r="M51" s="3">
        <v>46577</v>
      </c>
      <c r="N51" s="1" t="s">
        <v>15</v>
      </c>
      <c r="O51" s="2">
        <v>1.75</v>
      </c>
      <c r="P51" s="2">
        <v>0</v>
      </c>
      <c r="Q51" s="50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50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50">
        <v>6.94</v>
      </c>
      <c r="M52" s="3">
        <v>46761</v>
      </c>
      <c r="N52" s="1" t="s">
        <v>15</v>
      </c>
      <c r="O52" s="2">
        <v>1.75</v>
      </c>
      <c r="P52" s="2">
        <v>3.57</v>
      </c>
      <c r="Q52" s="50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50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50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50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50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50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50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50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47.11</v>
      </c>
      <c r="D68" s="7">
        <f>SUM(D39:D67)</f>
        <v>100</v>
      </c>
      <c r="E68" s="8">
        <f>SUM(E39:E67)</f>
        <v>147.11000000000001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51.370000000000005</v>
      </c>
      <c r="J73" s="7">
        <f>SUM(J39:J72)</f>
        <v>100.09999999999997</v>
      </c>
      <c r="K73" s="8">
        <f>SUM(K39:K72)</f>
        <v>151.46999999999997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52.750000000000007</v>
      </c>
      <c r="P80" s="7">
        <f>SUM(P39:P79)</f>
        <v>99.959999999999923</v>
      </c>
      <c r="Q80" s="8">
        <f>SUM(Q39:Q79)</f>
        <v>152.70999999999998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246"/>
  <sheetViews>
    <sheetView workbookViewId="0"/>
  </sheetViews>
  <sheetFormatPr baseColWidth="10" defaultRowHeight="15" x14ac:dyDescent="0.25"/>
  <cols>
    <col min="1" max="1" width="17.5703125" style="66" bestFit="1" customWidth="1"/>
    <col min="2" max="2" width="15.140625" style="66" bestFit="1" customWidth="1"/>
  </cols>
  <sheetData>
    <row r="1" spans="1:1" x14ac:dyDescent="0.25">
      <c r="A1" s="35" t="s">
        <v>19</v>
      </c>
    </row>
    <row r="2" spans="1:1" x14ac:dyDescent="0.25">
      <c r="A2" s="36">
        <v>44098</v>
      </c>
    </row>
    <row r="3" spans="1:1" x14ac:dyDescent="0.25">
      <c r="A3" s="36">
        <v>44099</v>
      </c>
    </row>
    <row r="4" spans="1:1" x14ac:dyDescent="0.25">
      <c r="A4" s="36">
        <v>44102</v>
      </c>
    </row>
    <row r="5" spans="1:1" x14ac:dyDescent="0.25">
      <c r="A5" s="36">
        <v>44103</v>
      </c>
    </row>
    <row r="6" spans="1:1" x14ac:dyDescent="0.25">
      <c r="A6" s="36">
        <v>44104</v>
      </c>
    </row>
    <row r="7" spans="1:1" x14ac:dyDescent="0.25">
      <c r="A7" s="36">
        <v>44105</v>
      </c>
    </row>
    <row r="8" spans="1:1" x14ac:dyDescent="0.25">
      <c r="A8" s="36">
        <v>44106</v>
      </c>
    </row>
    <row r="9" spans="1:1" x14ac:dyDescent="0.25">
      <c r="A9" s="36">
        <v>44109</v>
      </c>
    </row>
    <row r="10" spans="1:1" x14ac:dyDescent="0.25">
      <c r="A10" s="36">
        <v>44110</v>
      </c>
    </row>
    <row r="11" spans="1:1" x14ac:dyDescent="0.25">
      <c r="A11" s="36">
        <v>44111</v>
      </c>
    </row>
    <row r="12" spans="1:1" x14ac:dyDescent="0.25">
      <c r="A12" s="36">
        <v>44112</v>
      </c>
    </row>
    <row r="13" spans="1:1" x14ac:dyDescent="0.25">
      <c r="A13" s="36">
        <v>44113</v>
      </c>
    </row>
    <row r="14" spans="1:1" x14ac:dyDescent="0.25">
      <c r="A14" s="36">
        <v>44117</v>
      </c>
    </row>
    <row r="15" spans="1:1" x14ac:dyDescent="0.25">
      <c r="A15" s="36">
        <v>44118</v>
      </c>
    </row>
    <row r="16" spans="1:1" x14ac:dyDescent="0.25">
      <c r="A16" s="36">
        <v>44119</v>
      </c>
    </row>
    <row r="17" spans="1:1" x14ac:dyDescent="0.25">
      <c r="A17" s="36">
        <v>44120</v>
      </c>
    </row>
    <row r="18" spans="1:1" x14ac:dyDescent="0.25">
      <c r="A18" s="36">
        <v>44123</v>
      </c>
    </row>
    <row r="19" spans="1:1" x14ac:dyDescent="0.25">
      <c r="A19" s="36">
        <v>44124</v>
      </c>
    </row>
    <row r="20" spans="1:1" x14ac:dyDescent="0.25">
      <c r="A20" s="36">
        <v>44125</v>
      </c>
    </row>
    <row r="21" spans="1:1" x14ac:dyDescent="0.25">
      <c r="A21" s="36">
        <v>44126</v>
      </c>
    </row>
    <row r="22" spans="1:1" x14ac:dyDescent="0.25">
      <c r="A22" s="36">
        <v>44127</v>
      </c>
    </row>
    <row r="23" spans="1:1" x14ac:dyDescent="0.25">
      <c r="A23" s="36">
        <v>44130</v>
      </c>
    </row>
    <row r="24" spans="1:1" x14ac:dyDescent="0.25">
      <c r="A24" s="36">
        <v>44131</v>
      </c>
    </row>
    <row r="25" spans="1:1" x14ac:dyDescent="0.25">
      <c r="A25" s="36">
        <v>44132</v>
      </c>
    </row>
    <row r="26" spans="1:1" x14ac:dyDescent="0.25">
      <c r="A26" s="36">
        <v>44133</v>
      </c>
    </row>
    <row r="27" spans="1:1" x14ac:dyDescent="0.25">
      <c r="A27" s="36">
        <v>44134</v>
      </c>
    </row>
    <row r="28" spans="1:1" x14ac:dyDescent="0.25">
      <c r="A28" s="36">
        <v>44137</v>
      </c>
    </row>
    <row r="29" spans="1:1" x14ac:dyDescent="0.25">
      <c r="A29" s="36">
        <v>44138</v>
      </c>
    </row>
    <row r="30" spans="1:1" x14ac:dyDescent="0.25">
      <c r="A30" s="36">
        <v>44139</v>
      </c>
    </row>
    <row r="31" spans="1:1" x14ac:dyDescent="0.25">
      <c r="A31" s="36">
        <v>44140</v>
      </c>
    </row>
    <row r="32" spans="1:1" x14ac:dyDescent="0.25">
      <c r="A32" s="36">
        <v>44141</v>
      </c>
    </row>
    <row r="33" spans="1:1" x14ac:dyDescent="0.25">
      <c r="A33" s="36">
        <v>44144</v>
      </c>
    </row>
    <row r="34" spans="1:1" x14ac:dyDescent="0.25">
      <c r="A34" s="36">
        <v>44145</v>
      </c>
    </row>
    <row r="35" spans="1:1" x14ac:dyDescent="0.25">
      <c r="A35" s="36">
        <v>44146</v>
      </c>
    </row>
    <row r="36" spans="1:1" x14ac:dyDescent="0.25">
      <c r="A36" s="36">
        <v>44147</v>
      </c>
    </row>
    <row r="37" spans="1:1" x14ac:dyDescent="0.25">
      <c r="A37" s="36">
        <v>44148</v>
      </c>
    </row>
    <row r="38" spans="1:1" x14ac:dyDescent="0.25">
      <c r="A38" s="36">
        <v>44151</v>
      </c>
    </row>
    <row r="39" spans="1:1" x14ac:dyDescent="0.25">
      <c r="A39" s="36">
        <v>44152</v>
      </c>
    </row>
    <row r="40" spans="1:1" x14ac:dyDescent="0.25">
      <c r="A40" s="36">
        <v>44153</v>
      </c>
    </row>
    <row r="41" spans="1:1" x14ac:dyDescent="0.25">
      <c r="A41" s="36">
        <v>44154</v>
      </c>
    </row>
    <row r="42" spans="1:1" x14ac:dyDescent="0.25">
      <c r="A42" s="36">
        <v>44155</v>
      </c>
    </row>
    <row r="43" spans="1:1" x14ac:dyDescent="0.25">
      <c r="A43" s="36">
        <v>44159</v>
      </c>
    </row>
    <row r="44" spans="1:1" x14ac:dyDescent="0.25">
      <c r="A44" s="36">
        <v>44160</v>
      </c>
    </row>
    <row r="45" spans="1:1" x14ac:dyDescent="0.25">
      <c r="A45" s="36">
        <v>44161</v>
      </c>
    </row>
    <row r="46" spans="1:1" x14ac:dyDescent="0.25">
      <c r="A46" s="36">
        <v>44162</v>
      </c>
    </row>
    <row r="47" spans="1:1" x14ac:dyDescent="0.25">
      <c r="A47" s="36">
        <v>44165</v>
      </c>
    </row>
    <row r="48" spans="1:1" x14ac:dyDescent="0.25">
      <c r="A48" s="36">
        <v>44166</v>
      </c>
    </row>
    <row r="49" spans="1:1" x14ac:dyDescent="0.25">
      <c r="A49" s="36">
        <v>44167</v>
      </c>
    </row>
    <row r="50" spans="1:1" x14ac:dyDescent="0.25">
      <c r="A50" s="36">
        <v>44168</v>
      </c>
    </row>
    <row r="51" spans="1:1" x14ac:dyDescent="0.25">
      <c r="A51" s="36">
        <v>44169</v>
      </c>
    </row>
    <row r="52" spans="1:1" x14ac:dyDescent="0.25">
      <c r="A52" s="36">
        <v>44174</v>
      </c>
    </row>
    <row r="53" spans="1:1" x14ac:dyDescent="0.25">
      <c r="A53" s="36">
        <v>44175</v>
      </c>
    </row>
    <row r="54" spans="1:1" x14ac:dyDescent="0.25">
      <c r="A54" s="36">
        <v>44176</v>
      </c>
    </row>
    <row r="55" spans="1:1" x14ac:dyDescent="0.25">
      <c r="A55" s="36">
        <v>44179</v>
      </c>
    </row>
    <row r="56" spans="1:1" x14ac:dyDescent="0.25">
      <c r="A56" s="36">
        <v>44180</v>
      </c>
    </row>
    <row r="57" spans="1:1" x14ac:dyDescent="0.25">
      <c r="A57" s="36">
        <v>44181</v>
      </c>
    </row>
    <row r="58" spans="1:1" x14ac:dyDescent="0.25">
      <c r="A58" s="36">
        <v>44182</v>
      </c>
    </row>
    <row r="59" spans="1:1" x14ac:dyDescent="0.25">
      <c r="A59" s="36">
        <v>44183</v>
      </c>
    </row>
    <row r="60" spans="1:1" x14ac:dyDescent="0.25">
      <c r="A60" s="36">
        <v>44186</v>
      </c>
    </row>
    <row r="61" spans="1:1" x14ac:dyDescent="0.25">
      <c r="A61" s="36">
        <v>44187</v>
      </c>
    </row>
    <row r="62" spans="1:1" x14ac:dyDescent="0.25">
      <c r="A62" s="36">
        <v>44188</v>
      </c>
    </row>
    <row r="63" spans="1:1" x14ac:dyDescent="0.25">
      <c r="A63" s="36">
        <v>44193</v>
      </c>
    </row>
    <row r="64" spans="1:1" x14ac:dyDescent="0.25">
      <c r="A64" s="36">
        <v>44194</v>
      </c>
    </row>
    <row r="65" spans="1:1" x14ac:dyDescent="0.25">
      <c r="A65" s="36">
        <v>44195</v>
      </c>
    </row>
    <row r="66" spans="1:1" x14ac:dyDescent="0.25">
      <c r="A66" s="36">
        <v>44200</v>
      </c>
    </row>
    <row r="67" spans="1:1" x14ac:dyDescent="0.25">
      <c r="A67" s="36">
        <v>44201</v>
      </c>
    </row>
    <row r="68" spans="1:1" x14ac:dyDescent="0.25">
      <c r="A68" s="36">
        <v>44202</v>
      </c>
    </row>
    <row r="69" spans="1:1" x14ac:dyDescent="0.25">
      <c r="A69" s="36">
        <v>44203</v>
      </c>
    </row>
    <row r="70" spans="1:1" x14ac:dyDescent="0.25">
      <c r="A70" s="36">
        <v>44204</v>
      </c>
    </row>
    <row r="71" spans="1:1" x14ac:dyDescent="0.25">
      <c r="A71" s="36">
        <v>44207</v>
      </c>
    </row>
    <row r="72" spans="1:1" x14ac:dyDescent="0.25">
      <c r="A72" s="36">
        <v>44208</v>
      </c>
    </row>
    <row r="73" spans="1:1" x14ac:dyDescent="0.25">
      <c r="A73" s="36">
        <v>44209</v>
      </c>
    </row>
    <row r="74" spans="1:1" x14ac:dyDescent="0.25">
      <c r="A74" s="36">
        <v>44210</v>
      </c>
    </row>
    <row r="75" spans="1:1" x14ac:dyDescent="0.25">
      <c r="A75" s="36">
        <v>44211</v>
      </c>
    </row>
    <row r="76" spans="1:1" x14ac:dyDescent="0.25">
      <c r="A76" s="36">
        <v>44214</v>
      </c>
    </row>
    <row r="77" spans="1:1" x14ac:dyDescent="0.25">
      <c r="A77" s="36">
        <v>44215</v>
      </c>
    </row>
    <row r="78" spans="1:1" x14ac:dyDescent="0.25">
      <c r="A78" s="36">
        <v>44216</v>
      </c>
    </row>
    <row r="79" spans="1:1" x14ac:dyDescent="0.25">
      <c r="A79" s="36">
        <v>44217</v>
      </c>
    </row>
    <row r="80" spans="1:1" x14ac:dyDescent="0.25">
      <c r="A80" s="36">
        <v>44218</v>
      </c>
    </row>
    <row r="81" spans="1:1" x14ac:dyDescent="0.25">
      <c r="A81" s="36">
        <v>44221</v>
      </c>
    </row>
    <row r="82" spans="1:1" x14ac:dyDescent="0.25">
      <c r="A82" s="36">
        <v>44222</v>
      </c>
    </row>
    <row r="83" spans="1:1" x14ac:dyDescent="0.25">
      <c r="A83" s="36">
        <v>44223</v>
      </c>
    </row>
    <row r="84" spans="1:1" x14ac:dyDescent="0.25">
      <c r="A84" s="36">
        <v>44224</v>
      </c>
    </row>
    <row r="85" spans="1:1" x14ac:dyDescent="0.25">
      <c r="A85" s="36">
        <v>44225</v>
      </c>
    </row>
    <row r="86" spans="1:1" x14ac:dyDescent="0.25">
      <c r="A86" s="36">
        <v>44228</v>
      </c>
    </row>
    <row r="87" spans="1:1" x14ac:dyDescent="0.25">
      <c r="A87" s="36">
        <v>44229</v>
      </c>
    </row>
    <row r="88" spans="1:1" x14ac:dyDescent="0.25">
      <c r="A88" s="36">
        <v>44230</v>
      </c>
    </row>
    <row r="89" spans="1:1" x14ac:dyDescent="0.25">
      <c r="A89" s="36">
        <v>44231</v>
      </c>
    </row>
    <row r="90" spans="1:1" x14ac:dyDescent="0.25">
      <c r="A90" s="36">
        <v>44232</v>
      </c>
    </row>
    <row r="91" spans="1:1" x14ac:dyDescent="0.25">
      <c r="A91" s="36">
        <v>44235</v>
      </c>
    </row>
    <row r="92" spans="1:1" x14ac:dyDescent="0.25">
      <c r="A92" s="36">
        <v>44236</v>
      </c>
    </row>
    <row r="93" spans="1:1" x14ac:dyDescent="0.25">
      <c r="A93" s="36">
        <v>44237</v>
      </c>
    </row>
    <row r="94" spans="1:1" x14ac:dyDescent="0.25">
      <c r="A94" s="36">
        <v>44238</v>
      </c>
    </row>
    <row r="95" spans="1:1" x14ac:dyDescent="0.25">
      <c r="A95" s="36">
        <v>44239</v>
      </c>
    </row>
    <row r="96" spans="1:1" x14ac:dyDescent="0.25">
      <c r="A96" s="36">
        <v>44244</v>
      </c>
    </row>
    <row r="97" spans="1:1" x14ac:dyDescent="0.25">
      <c r="A97" s="36">
        <v>44245</v>
      </c>
    </row>
    <row r="98" spans="1:1" x14ac:dyDescent="0.25">
      <c r="A98" s="36">
        <v>44246</v>
      </c>
    </row>
    <row r="99" spans="1:1" x14ac:dyDescent="0.25">
      <c r="A99" s="36">
        <v>44249</v>
      </c>
    </row>
    <row r="100" spans="1:1" x14ac:dyDescent="0.25">
      <c r="A100" s="36">
        <v>44250</v>
      </c>
    </row>
    <row r="101" spans="1:1" x14ac:dyDescent="0.25">
      <c r="A101" s="36">
        <v>44251</v>
      </c>
    </row>
    <row r="102" spans="1:1" x14ac:dyDescent="0.25">
      <c r="A102" s="36">
        <v>44252</v>
      </c>
    </row>
    <row r="103" spans="1:1" x14ac:dyDescent="0.25">
      <c r="A103" s="36">
        <v>44253</v>
      </c>
    </row>
    <row r="104" spans="1:1" x14ac:dyDescent="0.25">
      <c r="A104" s="36">
        <v>44256</v>
      </c>
    </row>
    <row r="105" spans="1:1" x14ac:dyDescent="0.25">
      <c r="A105" s="36">
        <v>44257</v>
      </c>
    </row>
    <row r="106" spans="1:1" x14ac:dyDescent="0.25">
      <c r="A106" s="36">
        <v>44258</v>
      </c>
    </row>
    <row r="107" spans="1:1" x14ac:dyDescent="0.25">
      <c r="A107" s="36">
        <v>44259</v>
      </c>
    </row>
    <row r="108" spans="1:1" x14ac:dyDescent="0.25">
      <c r="A108" s="36">
        <v>44260</v>
      </c>
    </row>
    <row r="109" spans="1:1" x14ac:dyDescent="0.25">
      <c r="A109" s="36">
        <v>44263</v>
      </c>
    </row>
    <row r="110" spans="1:1" x14ac:dyDescent="0.25">
      <c r="A110" s="36">
        <v>44264</v>
      </c>
    </row>
    <row r="111" spans="1:1" x14ac:dyDescent="0.25">
      <c r="A111" s="36">
        <v>44265</v>
      </c>
    </row>
    <row r="112" spans="1:1" x14ac:dyDescent="0.25">
      <c r="A112" s="36">
        <v>44266</v>
      </c>
    </row>
    <row r="113" spans="1:1" x14ac:dyDescent="0.25">
      <c r="A113" s="36">
        <v>44267</v>
      </c>
    </row>
    <row r="114" spans="1:1" x14ac:dyDescent="0.25">
      <c r="A114" s="36">
        <v>44270</v>
      </c>
    </row>
    <row r="115" spans="1:1" x14ac:dyDescent="0.25">
      <c r="A115" s="36">
        <v>44271</v>
      </c>
    </row>
    <row r="116" spans="1:1" x14ac:dyDescent="0.25">
      <c r="A116" s="36">
        <v>44272</v>
      </c>
    </row>
    <row r="117" spans="1:1" x14ac:dyDescent="0.25">
      <c r="A117" s="36">
        <v>44273</v>
      </c>
    </row>
    <row r="118" spans="1:1" x14ac:dyDescent="0.25">
      <c r="A118" s="36">
        <v>44274</v>
      </c>
    </row>
    <row r="119" spans="1:1" x14ac:dyDescent="0.25">
      <c r="A119" s="36">
        <v>44277</v>
      </c>
    </row>
    <row r="120" spans="1:1" x14ac:dyDescent="0.25">
      <c r="A120" s="36">
        <v>44278</v>
      </c>
    </row>
    <row r="121" spans="1:1" x14ac:dyDescent="0.25">
      <c r="A121" s="36">
        <v>44280</v>
      </c>
    </row>
    <row r="122" spans="1:1" x14ac:dyDescent="0.25">
      <c r="A122" s="36">
        <v>44281</v>
      </c>
    </row>
    <row r="123" spans="1:1" x14ac:dyDescent="0.25">
      <c r="A123" s="36">
        <v>44284</v>
      </c>
    </row>
    <row r="124" spans="1:1" x14ac:dyDescent="0.25">
      <c r="A124" s="36">
        <v>44285</v>
      </c>
    </row>
    <row r="125" spans="1:1" x14ac:dyDescent="0.25">
      <c r="A125" s="36">
        <v>44286</v>
      </c>
    </row>
    <row r="126" spans="1:1" x14ac:dyDescent="0.25">
      <c r="A126" s="36">
        <v>44291</v>
      </c>
    </row>
    <row r="127" spans="1:1" x14ac:dyDescent="0.25">
      <c r="A127" s="36">
        <v>44292</v>
      </c>
    </row>
    <row r="128" spans="1:1" x14ac:dyDescent="0.25">
      <c r="A128" s="36">
        <v>44293</v>
      </c>
    </row>
    <row r="129" spans="1:1" x14ac:dyDescent="0.25">
      <c r="A129" s="36">
        <v>44294</v>
      </c>
    </row>
    <row r="130" spans="1:1" x14ac:dyDescent="0.25">
      <c r="A130" s="36">
        <v>44295</v>
      </c>
    </row>
    <row r="131" spans="1:1" x14ac:dyDescent="0.25">
      <c r="A131" s="36">
        <v>44298</v>
      </c>
    </row>
    <row r="132" spans="1:1" x14ac:dyDescent="0.25">
      <c r="A132" s="36">
        <v>44299</v>
      </c>
    </row>
    <row r="133" spans="1:1" x14ac:dyDescent="0.25">
      <c r="A133" s="36">
        <v>44300</v>
      </c>
    </row>
    <row r="134" spans="1:1" x14ac:dyDescent="0.25">
      <c r="A134" s="36">
        <v>44301</v>
      </c>
    </row>
    <row r="135" spans="1:1" x14ac:dyDescent="0.25">
      <c r="A135" s="36">
        <v>44302</v>
      </c>
    </row>
    <row r="136" spans="1:1" x14ac:dyDescent="0.25">
      <c r="A136" s="36">
        <v>44305</v>
      </c>
    </row>
    <row r="137" spans="1:1" x14ac:dyDescent="0.25">
      <c r="A137" s="36">
        <v>44306</v>
      </c>
    </row>
    <row r="138" spans="1:1" x14ac:dyDescent="0.25">
      <c r="A138" s="36">
        <v>44307</v>
      </c>
    </row>
    <row r="139" spans="1:1" x14ac:dyDescent="0.25">
      <c r="A139" s="36">
        <v>44308</v>
      </c>
    </row>
    <row r="140" spans="1:1" x14ac:dyDescent="0.25">
      <c r="A140" s="36">
        <v>44309</v>
      </c>
    </row>
    <row r="141" spans="1:1" x14ac:dyDescent="0.25">
      <c r="A141" s="36">
        <v>44312</v>
      </c>
    </row>
    <row r="142" spans="1:1" x14ac:dyDescent="0.25">
      <c r="A142" s="36">
        <v>44313</v>
      </c>
    </row>
    <row r="143" spans="1:1" x14ac:dyDescent="0.25">
      <c r="A143" s="36">
        <v>44314</v>
      </c>
    </row>
    <row r="144" spans="1:1" x14ac:dyDescent="0.25">
      <c r="A144" s="36">
        <v>44315</v>
      </c>
    </row>
    <row r="145" spans="1:1" x14ac:dyDescent="0.25">
      <c r="A145" s="36">
        <v>44316</v>
      </c>
    </row>
    <row r="146" spans="1:1" x14ac:dyDescent="0.25">
      <c r="A146" s="36">
        <v>44319</v>
      </c>
    </row>
    <row r="147" spans="1:1" x14ac:dyDescent="0.25">
      <c r="A147" s="36">
        <v>44320</v>
      </c>
    </row>
    <row r="148" spans="1:1" x14ac:dyDescent="0.25">
      <c r="A148" s="36">
        <v>44321</v>
      </c>
    </row>
    <row r="149" spans="1:1" x14ac:dyDescent="0.25">
      <c r="A149" s="36">
        <v>44322</v>
      </c>
    </row>
    <row r="150" spans="1:1" x14ac:dyDescent="0.25">
      <c r="A150" s="36">
        <v>44323</v>
      </c>
    </row>
    <row r="151" spans="1:1" x14ac:dyDescent="0.25">
      <c r="A151" s="36">
        <v>44326</v>
      </c>
    </row>
    <row r="152" spans="1:1" x14ac:dyDescent="0.25">
      <c r="A152" s="36">
        <v>44327</v>
      </c>
    </row>
    <row r="153" spans="1:1" x14ac:dyDescent="0.25">
      <c r="A153" s="36">
        <v>44328</v>
      </c>
    </row>
    <row r="154" spans="1:1" x14ac:dyDescent="0.25">
      <c r="A154" s="36">
        <v>44329</v>
      </c>
    </row>
    <row r="155" spans="1:1" x14ac:dyDescent="0.25">
      <c r="A155" s="36">
        <v>44330</v>
      </c>
    </row>
    <row r="156" spans="1:1" x14ac:dyDescent="0.25">
      <c r="A156" s="36">
        <v>44333</v>
      </c>
    </row>
    <row r="157" spans="1:1" x14ac:dyDescent="0.25">
      <c r="A157" s="36">
        <v>44334</v>
      </c>
    </row>
    <row r="158" spans="1:1" x14ac:dyDescent="0.25">
      <c r="A158" s="36">
        <v>44335</v>
      </c>
    </row>
    <row r="159" spans="1:1" x14ac:dyDescent="0.25">
      <c r="A159" s="36">
        <v>44336</v>
      </c>
    </row>
    <row r="160" spans="1:1" x14ac:dyDescent="0.25">
      <c r="A160" s="36">
        <v>44337</v>
      </c>
    </row>
    <row r="161" spans="1:1" x14ac:dyDescent="0.25">
      <c r="A161" s="36">
        <v>44342</v>
      </c>
    </row>
    <row r="162" spans="1:1" x14ac:dyDescent="0.25">
      <c r="A162" s="36">
        <v>44343</v>
      </c>
    </row>
    <row r="163" spans="1:1" x14ac:dyDescent="0.25">
      <c r="A163" s="36">
        <v>44344</v>
      </c>
    </row>
    <row r="164" spans="1:1" x14ac:dyDescent="0.25">
      <c r="A164" s="36">
        <v>44347</v>
      </c>
    </row>
    <row r="165" spans="1:1" x14ac:dyDescent="0.25">
      <c r="A165" s="36">
        <v>44348</v>
      </c>
    </row>
    <row r="166" spans="1:1" x14ac:dyDescent="0.25">
      <c r="A166" s="36">
        <v>44349</v>
      </c>
    </row>
    <row r="167" spans="1:1" x14ac:dyDescent="0.25">
      <c r="A167" s="36">
        <v>44350</v>
      </c>
    </row>
    <row r="168" spans="1:1" x14ac:dyDescent="0.25">
      <c r="A168" s="36">
        <v>44351</v>
      </c>
    </row>
    <row r="169" spans="1:1" x14ac:dyDescent="0.25">
      <c r="A169" s="36">
        <v>44354</v>
      </c>
    </row>
    <row r="170" spans="1:1" x14ac:dyDescent="0.25">
      <c r="A170" s="36">
        <v>44355</v>
      </c>
    </row>
    <row r="171" spans="1:1" x14ac:dyDescent="0.25">
      <c r="A171" s="36">
        <v>44356</v>
      </c>
    </row>
    <row r="172" spans="1:1" x14ac:dyDescent="0.25">
      <c r="A172" s="36">
        <v>44357</v>
      </c>
    </row>
    <row r="173" spans="1:1" x14ac:dyDescent="0.25">
      <c r="A173" s="36">
        <v>44358</v>
      </c>
    </row>
    <row r="174" spans="1:1" x14ac:dyDescent="0.25">
      <c r="A174" s="36">
        <v>44361</v>
      </c>
    </row>
    <row r="175" spans="1:1" x14ac:dyDescent="0.25">
      <c r="A175" s="36">
        <v>44362</v>
      </c>
    </row>
    <row r="176" spans="1:1" x14ac:dyDescent="0.25">
      <c r="A176" s="36">
        <v>44363</v>
      </c>
    </row>
    <row r="177" spans="1:1" x14ac:dyDescent="0.25">
      <c r="A177" s="36">
        <v>44364</v>
      </c>
    </row>
    <row r="178" spans="1:1" x14ac:dyDescent="0.25">
      <c r="A178" s="36">
        <v>44365</v>
      </c>
    </row>
    <row r="179" spans="1:1" x14ac:dyDescent="0.25">
      <c r="A179" s="36">
        <v>44369</v>
      </c>
    </row>
    <row r="180" spans="1:1" x14ac:dyDescent="0.25">
      <c r="A180" s="36">
        <v>44370</v>
      </c>
    </row>
    <row r="181" spans="1:1" x14ac:dyDescent="0.25">
      <c r="A181" s="36">
        <v>44371</v>
      </c>
    </row>
    <row r="182" spans="1:1" x14ac:dyDescent="0.25">
      <c r="A182" s="36">
        <v>44372</v>
      </c>
    </row>
    <row r="183" spans="1:1" x14ac:dyDescent="0.25">
      <c r="A183" s="36">
        <v>44375</v>
      </c>
    </row>
    <row r="184" spans="1:1" x14ac:dyDescent="0.25">
      <c r="A184" s="36">
        <v>44376</v>
      </c>
    </row>
    <row r="185" spans="1:1" x14ac:dyDescent="0.25">
      <c r="A185" s="36">
        <v>44377</v>
      </c>
    </row>
    <row r="186" spans="1:1" x14ac:dyDescent="0.25">
      <c r="A186" s="36">
        <v>44378</v>
      </c>
    </row>
    <row r="187" spans="1:1" x14ac:dyDescent="0.25">
      <c r="A187" s="36">
        <v>44379</v>
      </c>
    </row>
    <row r="188" spans="1:1" x14ac:dyDescent="0.25">
      <c r="A188" s="36">
        <v>44382</v>
      </c>
    </row>
    <row r="189" spans="1:1" x14ac:dyDescent="0.25">
      <c r="A189" s="36">
        <v>44383</v>
      </c>
    </row>
    <row r="190" spans="1:1" x14ac:dyDescent="0.25">
      <c r="A190" s="36">
        <v>44384</v>
      </c>
    </row>
    <row r="191" spans="1:1" x14ac:dyDescent="0.25">
      <c r="A191" s="36">
        <v>44385</v>
      </c>
    </row>
    <row r="192" spans="1:1" x14ac:dyDescent="0.25">
      <c r="A192" s="36">
        <v>44389</v>
      </c>
    </row>
    <row r="193" spans="1:1" x14ac:dyDescent="0.25">
      <c r="A193" s="36">
        <v>44390</v>
      </c>
    </row>
    <row r="194" spans="1:1" x14ac:dyDescent="0.25">
      <c r="A194" s="36">
        <v>44391</v>
      </c>
    </row>
    <row r="195" spans="1:1" x14ac:dyDescent="0.25">
      <c r="A195" s="36">
        <v>44392</v>
      </c>
    </row>
    <row r="196" spans="1:1" x14ac:dyDescent="0.25">
      <c r="A196" s="36">
        <v>44393</v>
      </c>
    </row>
    <row r="197" spans="1:1" x14ac:dyDescent="0.25">
      <c r="A197" s="43" t="s">
        <v>20</v>
      </c>
    </row>
    <row r="198" spans="1:1" x14ac:dyDescent="0.25">
      <c r="A198" s="43" t="s">
        <v>21</v>
      </c>
    </row>
    <row r="199" spans="1:1" x14ac:dyDescent="0.25">
      <c r="A199" s="43" t="s">
        <v>22</v>
      </c>
    </row>
    <row r="200" spans="1:1" x14ac:dyDescent="0.25">
      <c r="A200" s="43" t="s">
        <v>23</v>
      </c>
    </row>
    <row r="201" spans="1:1" x14ac:dyDescent="0.25">
      <c r="A201" s="43" t="s">
        <v>24</v>
      </c>
    </row>
    <row r="202" spans="1:1" x14ac:dyDescent="0.25">
      <c r="A202" s="43" t="s">
        <v>25</v>
      </c>
    </row>
    <row r="203" spans="1:1" x14ac:dyDescent="0.25">
      <c r="A203" s="43" t="s">
        <v>26</v>
      </c>
    </row>
    <row r="204" spans="1:1" x14ac:dyDescent="0.25">
      <c r="A204" s="36">
        <v>44454</v>
      </c>
    </row>
    <row r="205" spans="1:1" x14ac:dyDescent="0.25">
      <c r="A205" s="36">
        <v>44453</v>
      </c>
    </row>
    <row r="206" spans="1:1" x14ac:dyDescent="0.25">
      <c r="A206" s="36">
        <v>44452</v>
      </c>
    </row>
    <row r="207" spans="1:1" x14ac:dyDescent="0.25">
      <c r="A207" s="36">
        <v>44449</v>
      </c>
    </row>
    <row r="208" spans="1:1" x14ac:dyDescent="0.25">
      <c r="A208" s="36">
        <v>44448</v>
      </c>
    </row>
    <row r="209" spans="1:1" x14ac:dyDescent="0.25">
      <c r="A209" s="36">
        <v>44447</v>
      </c>
    </row>
    <row r="210" spans="1:1" x14ac:dyDescent="0.25">
      <c r="A210" s="36">
        <v>44446</v>
      </c>
    </row>
    <row r="211" spans="1:1" x14ac:dyDescent="0.25">
      <c r="A211" s="36">
        <v>44445</v>
      </c>
    </row>
    <row r="212" spans="1:1" x14ac:dyDescent="0.25">
      <c r="A212" s="36">
        <v>44442</v>
      </c>
    </row>
    <row r="213" spans="1:1" x14ac:dyDescent="0.25">
      <c r="A213" s="36">
        <v>44441</v>
      </c>
    </row>
    <row r="214" spans="1:1" x14ac:dyDescent="0.25">
      <c r="A214" s="36">
        <v>44440</v>
      </c>
    </row>
    <row r="215" spans="1:1" x14ac:dyDescent="0.25">
      <c r="A215" s="36">
        <v>44439</v>
      </c>
    </row>
    <row r="216" spans="1:1" x14ac:dyDescent="0.25">
      <c r="A216" s="36">
        <v>44438</v>
      </c>
    </row>
    <row r="217" spans="1:1" x14ac:dyDescent="0.25">
      <c r="A217" s="36">
        <v>44435</v>
      </c>
    </row>
    <row r="218" spans="1:1" x14ac:dyDescent="0.25">
      <c r="A218" s="36">
        <v>44434</v>
      </c>
    </row>
    <row r="219" spans="1:1" x14ac:dyDescent="0.25">
      <c r="A219" s="36">
        <v>44433</v>
      </c>
    </row>
    <row r="220" spans="1:1" x14ac:dyDescent="0.25">
      <c r="A220" s="36">
        <v>44432</v>
      </c>
    </row>
    <row r="221" spans="1:1" x14ac:dyDescent="0.25">
      <c r="A221" s="36">
        <v>44431</v>
      </c>
    </row>
    <row r="222" spans="1:1" x14ac:dyDescent="0.25">
      <c r="A222" s="36">
        <v>44428</v>
      </c>
    </row>
    <row r="223" spans="1:1" x14ac:dyDescent="0.25">
      <c r="A223" s="36">
        <v>44427</v>
      </c>
    </row>
    <row r="224" spans="1:1" x14ac:dyDescent="0.25">
      <c r="A224" s="36">
        <v>44426</v>
      </c>
    </row>
    <row r="225" spans="1:1" x14ac:dyDescent="0.25">
      <c r="A225" s="36">
        <v>44425</v>
      </c>
    </row>
    <row r="226" spans="1:1" x14ac:dyDescent="0.25">
      <c r="A226" s="36">
        <v>44421</v>
      </c>
    </row>
    <row r="227" spans="1:1" x14ac:dyDescent="0.25">
      <c r="A227" s="36">
        <v>44420</v>
      </c>
    </row>
    <row r="228" spans="1:1" x14ac:dyDescent="0.25">
      <c r="A228" s="36">
        <v>44419</v>
      </c>
    </row>
    <row r="229" spans="1:1" x14ac:dyDescent="0.25">
      <c r="A229" s="36">
        <v>44418</v>
      </c>
    </row>
    <row r="230" spans="1:1" x14ac:dyDescent="0.25">
      <c r="A230" s="36">
        <v>44417</v>
      </c>
    </row>
    <row r="231" spans="1:1" x14ac:dyDescent="0.25">
      <c r="A231" s="36">
        <v>44413</v>
      </c>
    </row>
    <row r="232" spans="1:1" x14ac:dyDescent="0.25">
      <c r="A232" s="36">
        <v>44412</v>
      </c>
    </row>
    <row r="233" spans="1:1" x14ac:dyDescent="0.25">
      <c r="A233" s="36">
        <v>44411</v>
      </c>
    </row>
    <row r="234" spans="1:1" x14ac:dyDescent="0.25">
      <c r="A234" s="36">
        <v>44410</v>
      </c>
    </row>
    <row r="235" spans="1:1" x14ac:dyDescent="0.25">
      <c r="A235" s="36">
        <v>44409</v>
      </c>
    </row>
    <row r="236" spans="1:1" x14ac:dyDescent="0.25">
      <c r="A236" s="36">
        <v>44407</v>
      </c>
    </row>
    <row r="237" spans="1:1" x14ac:dyDescent="0.25">
      <c r="A237" s="36">
        <v>44406</v>
      </c>
    </row>
    <row r="238" spans="1:1" x14ac:dyDescent="0.25">
      <c r="A238" s="36">
        <v>44405</v>
      </c>
    </row>
    <row r="239" spans="1:1" x14ac:dyDescent="0.25">
      <c r="A239" s="36">
        <v>44404</v>
      </c>
    </row>
    <row r="240" spans="1:1" x14ac:dyDescent="0.25">
      <c r="A240" s="36">
        <v>44403</v>
      </c>
    </row>
    <row r="241" spans="1:1" x14ac:dyDescent="0.25">
      <c r="A241" s="36">
        <v>44400</v>
      </c>
    </row>
    <row r="242" spans="1:1" x14ac:dyDescent="0.25">
      <c r="A242" s="36">
        <v>44399</v>
      </c>
    </row>
    <row r="243" spans="1:1" x14ac:dyDescent="0.25">
      <c r="A243" s="36">
        <v>44398</v>
      </c>
    </row>
    <row r="244" spans="1:1" x14ac:dyDescent="0.25">
      <c r="A244" s="36">
        <v>44397</v>
      </c>
    </row>
    <row r="245" spans="1:1" x14ac:dyDescent="0.25">
      <c r="A245" s="36">
        <v>44396</v>
      </c>
    </row>
    <row r="246" spans="1:1" x14ac:dyDescent="0.25">
      <c r="A246" s="43" t="s">
        <v>27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92"/>
  <sheetViews>
    <sheetView workbookViewId="0"/>
  </sheetViews>
  <sheetFormatPr baseColWidth="10" defaultRowHeight="15" x14ac:dyDescent="0.25"/>
  <cols>
    <col min="1" max="1" width="17.5703125" style="66" customWidth="1"/>
    <col min="2" max="2" width="12.140625" style="66" customWidth="1"/>
    <col min="3" max="3" width="13.5703125" style="66" customWidth="1"/>
    <col min="4" max="6" width="12.140625" style="66" customWidth="1"/>
    <col min="7" max="7" width="13.5703125" style="66" customWidth="1"/>
    <col min="8" max="8" width="12.140625" style="66" customWidth="1"/>
  </cols>
  <sheetData>
    <row r="1" spans="1:8" x14ac:dyDescent="0.25">
      <c r="B1" s="35" t="s">
        <v>28</v>
      </c>
    </row>
    <row r="2" spans="1:8" x14ac:dyDescent="0.25">
      <c r="A2" s="35" t="s">
        <v>19</v>
      </c>
      <c r="B2" t="s">
        <v>29</v>
      </c>
      <c r="C2" t="s">
        <v>30</v>
      </c>
      <c r="D2" t="s">
        <v>31</v>
      </c>
      <c r="E2" t="s">
        <v>32</v>
      </c>
      <c r="F2" t="s">
        <v>33</v>
      </c>
      <c r="G2" t="s">
        <v>34</v>
      </c>
      <c r="H2" t="s">
        <v>35</v>
      </c>
    </row>
    <row r="3" spans="1:8" x14ac:dyDescent="0.25">
      <c r="A3" s="36">
        <v>44088</v>
      </c>
      <c r="B3" s="25">
        <v>0.5222639633169438</v>
      </c>
      <c r="C3" s="25">
        <v>0.54192447931053533</v>
      </c>
      <c r="D3" s="25">
        <v>0.49250262253944088</v>
      </c>
      <c r="E3" s="25">
        <v>0.52082611207394569</v>
      </c>
      <c r="F3" s="25">
        <v>0.44034939767296771</v>
      </c>
      <c r="G3" s="25">
        <v>0.49997945289919588</v>
      </c>
      <c r="H3" s="25">
        <v>0.44952889208414271</v>
      </c>
    </row>
    <row r="4" spans="1:8" x14ac:dyDescent="0.25">
      <c r="A4" s="36">
        <v>44089</v>
      </c>
      <c r="B4" s="25">
        <v>0.51821672237107419</v>
      </c>
      <c r="C4" s="25">
        <v>0.54190951026158052</v>
      </c>
      <c r="D4" s="25">
        <v>0.48399227981885679</v>
      </c>
      <c r="E4" s="25">
        <v>0.51288667592809101</v>
      </c>
      <c r="F4" s="25">
        <v>0.43143882647761589</v>
      </c>
      <c r="G4" s="25">
        <v>0.49997774071702289</v>
      </c>
      <c r="H4" s="25">
        <v>0.44961583260463073</v>
      </c>
    </row>
    <row r="5" spans="1:8" x14ac:dyDescent="0.25">
      <c r="A5" s="36">
        <v>44090</v>
      </c>
      <c r="B5" s="25">
        <v>0.4924939233233897</v>
      </c>
      <c r="C5" s="25">
        <v>0.51416970500497183</v>
      </c>
      <c r="D5" s="25">
        <v>0.45195814935688228</v>
      </c>
      <c r="E5" s="25">
        <v>0.48155259683098589</v>
      </c>
      <c r="F5" s="25">
        <v>0.41041603817568489</v>
      </c>
      <c r="G5" s="25">
        <v>0.48097693946180659</v>
      </c>
      <c r="H5" s="25">
        <v>0.42285785384466501</v>
      </c>
    </row>
    <row r="6" spans="1:8" x14ac:dyDescent="0.25">
      <c r="A6" s="36">
        <v>44091</v>
      </c>
      <c r="B6" s="25">
        <v>0.48905261704184511</v>
      </c>
      <c r="C6" s="25">
        <v>0.48401187681259489</v>
      </c>
      <c r="D6" s="25">
        <v>0.4429474983287911</v>
      </c>
      <c r="E6" s="25">
        <v>0.47090296403273502</v>
      </c>
      <c r="F6" s="25">
        <v>0.40040451826331402</v>
      </c>
      <c r="G6" s="25">
        <v>0.46247624265876752</v>
      </c>
      <c r="H6" s="25">
        <v>0.42133093711659092</v>
      </c>
    </row>
    <row r="7" spans="1:8" x14ac:dyDescent="0.25">
      <c r="A7" s="36">
        <v>44092</v>
      </c>
      <c r="B7" s="25">
        <v>0.48742611721814072</v>
      </c>
      <c r="C7" s="25">
        <v>0.48843423741921232</v>
      </c>
      <c r="D7" s="25">
        <v>0.4429459798564308</v>
      </c>
      <c r="E7" s="25">
        <v>0.47290457458806701</v>
      </c>
      <c r="F7" s="25">
        <v>0.40040314563293178</v>
      </c>
      <c r="G7" s="25">
        <v>0.46887430825708182</v>
      </c>
      <c r="H7" s="25">
        <v>0.4198041153742475</v>
      </c>
    </row>
    <row r="8" spans="1:8" x14ac:dyDescent="0.25">
      <c r="A8" s="36">
        <v>44095</v>
      </c>
      <c r="B8" s="25">
        <v>0.47780938440719162</v>
      </c>
      <c r="C8" s="25">
        <v>0.47377723770333341</v>
      </c>
      <c r="D8" s="25">
        <v>0.43393244637635447</v>
      </c>
      <c r="E8" s="25">
        <v>0.46304584026736723</v>
      </c>
      <c r="F8" s="25">
        <v>0.38638506182531218</v>
      </c>
      <c r="G8" s="25">
        <v>0.45747023310127077</v>
      </c>
      <c r="H8" s="25">
        <v>0.40604186176701312</v>
      </c>
    </row>
    <row r="9" spans="1:8" x14ac:dyDescent="0.25">
      <c r="A9" s="36">
        <v>44096</v>
      </c>
      <c r="B9" s="25">
        <v>0.46872410936205472</v>
      </c>
      <c r="C9" s="25">
        <v>0.47376415354874352</v>
      </c>
      <c r="D9" s="25">
        <v>0.42692399986287749</v>
      </c>
      <c r="E9" s="25">
        <v>0.45571035620959982</v>
      </c>
      <c r="F9" s="25">
        <v>0.37787528710020218</v>
      </c>
      <c r="G9" s="25">
        <v>0.45326895418122037</v>
      </c>
      <c r="H9" s="25">
        <v>0.38847230381146552</v>
      </c>
    </row>
    <row r="10" spans="1:8" x14ac:dyDescent="0.25">
      <c r="A10" s="36">
        <v>44097</v>
      </c>
      <c r="B10" s="25">
        <v>0.47979895611830659</v>
      </c>
      <c r="C10" s="25">
        <v>0.4747590511170639</v>
      </c>
      <c r="D10" s="25">
        <v>0.4304260038188481</v>
      </c>
      <c r="E10" s="25">
        <v>0.4673501946060431</v>
      </c>
      <c r="F10" s="25">
        <v>0.38588191737713012</v>
      </c>
      <c r="G10" s="25">
        <v>0.46296670444933752</v>
      </c>
      <c r="H10" s="25">
        <v>0.40107256763153992</v>
      </c>
    </row>
    <row r="11" spans="1:8" x14ac:dyDescent="0.25">
      <c r="A11" s="36">
        <v>44098</v>
      </c>
      <c r="B11" s="25">
        <v>0.47948332044626091</v>
      </c>
      <c r="C11" s="25">
        <v>0.4818016127250635</v>
      </c>
      <c r="D11" s="25">
        <v>0.43442847740236951</v>
      </c>
      <c r="E11" s="25">
        <v>0.46182198261634938</v>
      </c>
      <c r="F11" s="25">
        <v>0.39488948003510321</v>
      </c>
      <c r="G11" s="25">
        <v>0.45696557108710989</v>
      </c>
      <c r="H11" s="25">
        <v>0.42275265369305609</v>
      </c>
    </row>
    <row r="12" spans="1:8" x14ac:dyDescent="0.25">
      <c r="A12" s="36">
        <v>44099</v>
      </c>
      <c r="B12" s="25">
        <v>0.46808052356888408</v>
      </c>
      <c r="C12" s="25">
        <v>0.4838041587275288</v>
      </c>
      <c r="D12" s="25">
        <v>0.42932197056696142</v>
      </c>
      <c r="E12" s="25">
        <v>0.45378405512081749</v>
      </c>
      <c r="F12" s="25">
        <v>0.40039353748375972</v>
      </c>
      <c r="G12" s="25">
        <v>0.45286432917955088</v>
      </c>
      <c r="H12" s="25">
        <v>0.41870380800022111</v>
      </c>
    </row>
    <row r="13" spans="1:8" x14ac:dyDescent="0.25">
      <c r="A13" s="36">
        <v>44102</v>
      </c>
      <c r="B13" s="25">
        <v>0.46652998674618951</v>
      </c>
      <c r="C13" s="25">
        <v>0.48678760768721002</v>
      </c>
      <c r="D13" s="25">
        <v>0.42471307710238732</v>
      </c>
      <c r="E13" s="25">
        <v>0.45075361681060561</v>
      </c>
      <c r="F13" s="25">
        <v>0.39538455209861639</v>
      </c>
      <c r="G13" s="25">
        <v>0.44846006862402671</v>
      </c>
      <c r="H13" s="25">
        <v>0.4136205967302829</v>
      </c>
    </row>
    <row r="14" spans="1:8" x14ac:dyDescent="0.25">
      <c r="A14" s="36">
        <v>44103</v>
      </c>
      <c r="B14" s="25">
        <v>0.46359444459784083</v>
      </c>
      <c r="C14" s="25">
        <v>0.47871165474777039</v>
      </c>
      <c r="D14" s="25">
        <v>0.41840550944922639</v>
      </c>
      <c r="E14" s="25">
        <v>0.44843846693345429</v>
      </c>
      <c r="F14" s="25">
        <v>0.39077873418415793</v>
      </c>
      <c r="G14" s="25">
        <v>0.44465888428124789</v>
      </c>
      <c r="H14" s="25">
        <v>0.40251094305465818</v>
      </c>
    </row>
    <row r="15" spans="1:8" x14ac:dyDescent="0.25">
      <c r="A15" s="36">
        <v>44104</v>
      </c>
      <c r="B15" s="25">
        <v>0.46217074382903528</v>
      </c>
      <c r="C15" s="25">
        <v>0.48272958197581312</v>
      </c>
      <c r="D15" s="25">
        <v>0.42440987529052032</v>
      </c>
      <c r="E15" s="25">
        <v>0.44772958552215408</v>
      </c>
      <c r="F15" s="25">
        <v>0.3905772012697194</v>
      </c>
      <c r="G15" s="25">
        <v>0.44705713150793758</v>
      </c>
      <c r="H15" s="25">
        <v>0.41097207923665291</v>
      </c>
    </row>
    <row r="16" spans="1:8" x14ac:dyDescent="0.25">
      <c r="A16" s="36">
        <v>44105</v>
      </c>
      <c r="B16" s="25">
        <v>0.46608824097849189</v>
      </c>
      <c r="C16" s="25">
        <v>0.48694883900715102</v>
      </c>
      <c r="D16" s="25">
        <v>0.42941323671067022</v>
      </c>
      <c r="E16" s="25">
        <v>0.44872729272954798</v>
      </c>
      <c r="F16" s="25">
        <v>0.39838337578285948</v>
      </c>
      <c r="G16" s="25">
        <v>0.4439559084885405</v>
      </c>
      <c r="H16" s="25">
        <v>0.41156454359849509</v>
      </c>
    </row>
    <row r="17" spans="1:8" x14ac:dyDescent="0.25">
      <c r="A17" s="36">
        <v>44106</v>
      </c>
      <c r="B17" s="25">
        <v>0.45801352843732751</v>
      </c>
      <c r="C17" s="25">
        <v>0.47685808945334068</v>
      </c>
      <c r="D17" s="25">
        <v>0.42190456602221299</v>
      </c>
      <c r="E17" s="25">
        <v>0.44470572057205721</v>
      </c>
      <c r="F17" s="25">
        <v>0.40038392979569448</v>
      </c>
      <c r="G17" s="25">
        <v>0.43985480943738658</v>
      </c>
      <c r="H17" s="25">
        <v>0.40398645847726949</v>
      </c>
    </row>
    <row r="18" spans="1:8" x14ac:dyDescent="0.25">
      <c r="A18" s="36">
        <v>44109</v>
      </c>
      <c r="B18" s="25">
        <v>0.45737100737100739</v>
      </c>
      <c r="C18" s="25">
        <v>0.48356983132264031</v>
      </c>
      <c r="D18" s="25">
        <v>0.41689547961593698</v>
      </c>
      <c r="E18" s="25">
        <v>0.44569118435708088</v>
      </c>
      <c r="F18" s="25">
        <v>0.40037981235624198</v>
      </c>
      <c r="G18" s="25">
        <v>0.43445090109679391</v>
      </c>
      <c r="H18" s="25">
        <v>0.39840142034562198</v>
      </c>
    </row>
    <row r="19" spans="1:8" x14ac:dyDescent="0.25">
      <c r="A19" s="36">
        <v>44110</v>
      </c>
      <c r="B19" s="25">
        <v>0.4564515238515901</v>
      </c>
      <c r="C19" s="25">
        <v>0.47962676678445232</v>
      </c>
      <c r="D19" s="25">
        <v>0.41439168529157688</v>
      </c>
      <c r="E19" s="25">
        <v>0.4461869534129036</v>
      </c>
      <c r="F19" s="25">
        <v>0.40027834528526968</v>
      </c>
      <c r="G19" s="25">
        <v>0.43994877308806513</v>
      </c>
      <c r="H19" s="25">
        <v>0.40302850274250818</v>
      </c>
    </row>
    <row r="20" spans="1:8" x14ac:dyDescent="0.25">
      <c r="A20" s="36">
        <v>44111</v>
      </c>
      <c r="B20" s="25">
        <v>0.4578495514147688</v>
      </c>
      <c r="C20" s="25">
        <v>0.48062111801242241</v>
      </c>
      <c r="D20" s="25">
        <v>0.4163921501414003</v>
      </c>
      <c r="E20" s="25">
        <v>0.44969405293915432</v>
      </c>
      <c r="F20" s="25">
        <v>0.39937612477504503</v>
      </c>
      <c r="G20" s="25">
        <v>0.44494666735151611</v>
      </c>
      <c r="H20" s="25">
        <v>0.40442794231931611</v>
      </c>
    </row>
    <row r="21" spans="1:8" x14ac:dyDescent="0.25">
      <c r="A21" s="36">
        <v>44112</v>
      </c>
      <c r="B21" s="25">
        <v>0.45662783636062498</v>
      </c>
      <c r="C21" s="25">
        <v>0.49118726881245522</v>
      </c>
      <c r="D21" s="25">
        <v>0.41478922002152702</v>
      </c>
      <c r="E21" s="25">
        <v>0.44868410197178449</v>
      </c>
      <c r="F21" s="25">
        <v>0.39537099881395549</v>
      </c>
      <c r="G21" s="25">
        <v>0.44794477393198101</v>
      </c>
      <c r="H21" s="25">
        <v>0.40219663321060739</v>
      </c>
    </row>
    <row r="22" spans="1:8" x14ac:dyDescent="0.25">
      <c r="A22" s="36">
        <v>44113</v>
      </c>
      <c r="B22" s="25">
        <v>0.45973859276230439</v>
      </c>
      <c r="C22" s="25">
        <v>0.48966240649239517</v>
      </c>
      <c r="D22" s="25">
        <v>0.41598892114888242</v>
      </c>
      <c r="E22" s="25">
        <v>0.44897905867146998</v>
      </c>
      <c r="F22" s="25">
        <v>0.39536964353659421</v>
      </c>
      <c r="G22" s="25">
        <v>0.45014296133709092</v>
      </c>
      <c r="H22" s="25">
        <v>0.40339431448869417</v>
      </c>
    </row>
    <row r="23" spans="1:8" x14ac:dyDescent="0.25">
      <c r="A23" s="36">
        <v>44117</v>
      </c>
      <c r="B23" s="25">
        <v>0.45787447213712018</v>
      </c>
      <c r="C23" s="25">
        <v>0.48759349728133372</v>
      </c>
      <c r="D23" s="25">
        <v>0.41598321741604433</v>
      </c>
      <c r="E23" s="25">
        <v>0.44905473594478279</v>
      </c>
      <c r="F23" s="25">
        <v>0.39286191731423808</v>
      </c>
      <c r="G23" s="25">
        <v>0.4500368098999798</v>
      </c>
      <c r="H23" s="25">
        <v>0.40031908391147147</v>
      </c>
    </row>
    <row r="24" spans="1:8" x14ac:dyDescent="0.25">
      <c r="A24" s="36">
        <v>44118</v>
      </c>
      <c r="B24" s="25">
        <v>0.45232115257231181</v>
      </c>
      <c r="C24" s="25">
        <v>0.48758003974387282</v>
      </c>
      <c r="D24" s="25">
        <v>0.41117738198072201</v>
      </c>
      <c r="E24" s="25">
        <v>0.44613787603805749</v>
      </c>
      <c r="F24" s="25">
        <v>0.38235092482141148</v>
      </c>
      <c r="G24" s="25">
        <v>0.45493456420651818</v>
      </c>
      <c r="H24" s="25">
        <v>0.39707998950232748</v>
      </c>
    </row>
    <row r="25" spans="1:8" x14ac:dyDescent="0.25">
      <c r="A25" s="36">
        <v>44119</v>
      </c>
      <c r="B25" s="25">
        <v>0.448883614384677</v>
      </c>
      <c r="C25" s="25">
        <v>0.46802362487235388</v>
      </c>
      <c r="D25" s="25">
        <v>0.40426965752931621</v>
      </c>
      <c r="E25" s="25">
        <v>0.44562990664485169</v>
      </c>
      <c r="F25" s="25">
        <v>0.36533405545481662</v>
      </c>
      <c r="G25" s="25">
        <v>0.44493447882674808</v>
      </c>
      <c r="H25" s="25">
        <v>0.38315314039855392</v>
      </c>
    </row>
    <row r="26" spans="1:8" x14ac:dyDescent="0.25">
      <c r="A26" s="36">
        <v>44120</v>
      </c>
      <c r="B26" s="25">
        <v>0.44625213887508969</v>
      </c>
      <c r="C26" s="25">
        <v>0.47345035049953083</v>
      </c>
      <c r="D26" s="25">
        <v>0.39836289222373811</v>
      </c>
      <c r="E26" s="25">
        <v>0.44351609976077211</v>
      </c>
      <c r="F26" s="25">
        <v>0.35832642064346287</v>
      </c>
      <c r="G26" s="25">
        <v>0.44293325663256222</v>
      </c>
      <c r="H26" s="25">
        <v>0.37981395413078461</v>
      </c>
    </row>
    <row r="27" spans="1:8" x14ac:dyDescent="0.25">
      <c r="A27" s="36">
        <v>44123</v>
      </c>
      <c r="B27" s="25">
        <v>0.43825785799045169</v>
      </c>
      <c r="C27" s="25">
        <v>0.4542732566161658</v>
      </c>
      <c r="D27" s="25">
        <v>0.38885023154416481</v>
      </c>
      <c r="E27" s="25">
        <v>0.43506743473060477</v>
      </c>
      <c r="F27" s="25">
        <v>0.35832273588883129</v>
      </c>
      <c r="G27" s="25">
        <v>0.43792951134577651</v>
      </c>
      <c r="H27" s="25">
        <v>0.36243798185980192</v>
      </c>
    </row>
    <row r="28" spans="1:8" x14ac:dyDescent="0.25">
      <c r="A28" s="36">
        <v>44124</v>
      </c>
      <c r="B28" s="25">
        <v>0.42001490148462939</v>
      </c>
      <c r="C28" s="25">
        <v>0.44821734091285392</v>
      </c>
      <c r="D28" s="25">
        <v>0.37833946897558768</v>
      </c>
      <c r="E28" s="25">
        <v>0.41529049465203888</v>
      </c>
      <c r="F28" s="25">
        <v>0.34831252699339821</v>
      </c>
      <c r="G28" s="25">
        <v>0.41693146332109787</v>
      </c>
      <c r="H28" s="25">
        <v>0.36333404685784521</v>
      </c>
    </row>
    <row r="29" spans="1:8" x14ac:dyDescent="0.25">
      <c r="A29" s="36">
        <v>44125</v>
      </c>
      <c r="B29" s="25">
        <v>0.41476585998509891</v>
      </c>
      <c r="C29" s="25">
        <v>0.44619056817241087</v>
      </c>
      <c r="D29" s="25">
        <v>0.36782877846294121</v>
      </c>
      <c r="E29" s="25">
        <v>0.40444603307716631</v>
      </c>
      <c r="F29" s="25">
        <v>0.33980372867528857</v>
      </c>
      <c r="G29" s="25">
        <v>0.4054319651839246</v>
      </c>
      <c r="H29" s="25">
        <v>0.34779786708832361</v>
      </c>
    </row>
    <row r="30" spans="1:8" x14ac:dyDescent="0.25">
      <c r="A30" s="36">
        <v>44126</v>
      </c>
      <c r="B30" s="25">
        <v>0.42402041942604862</v>
      </c>
      <c r="C30" s="25">
        <v>0.48344370860927149</v>
      </c>
      <c r="D30" s="25">
        <v>0.37773634057722633</v>
      </c>
      <c r="E30" s="25">
        <v>0.40243332416827049</v>
      </c>
      <c r="F30" s="25">
        <v>0.34630835675601562</v>
      </c>
      <c r="G30" s="25">
        <v>0.41492895052217088</v>
      </c>
      <c r="H30" s="25">
        <v>0.35282745287578537</v>
      </c>
    </row>
    <row r="31" spans="1:8" x14ac:dyDescent="0.25">
      <c r="A31" s="36">
        <v>44127</v>
      </c>
      <c r="B31" s="25">
        <v>0.43972020639607068</v>
      </c>
      <c r="C31" s="25">
        <v>0.4935018349383295</v>
      </c>
      <c r="D31" s="25">
        <v>0.37313096205195712</v>
      </c>
      <c r="E31" s="25">
        <v>0.40292957204327678</v>
      </c>
      <c r="F31" s="25">
        <v>0.34180317473375349</v>
      </c>
      <c r="G31" s="25">
        <v>0.42492578351041432</v>
      </c>
      <c r="H31" s="25">
        <v>0.35735270256741319</v>
      </c>
    </row>
    <row r="32" spans="1:8" x14ac:dyDescent="0.25">
      <c r="A32" s="36">
        <v>44130</v>
      </c>
      <c r="B32" s="25">
        <v>0.40846484935437588</v>
      </c>
      <c r="C32" s="25">
        <v>0.47331972188500171</v>
      </c>
      <c r="D32" s="25">
        <v>0.36031589338598219</v>
      </c>
      <c r="E32" s="25">
        <v>0.38364538656109087</v>
      </c>
      <c r="F32" s="25">
        <v>0.33429307886366127</v>
      </c>
      <c r="G32" s="25">
        <v>0.40492511658802832</v>
      </c>
      <c r="H32" s="25">
        <v>0.34471998232630069</v>
      </c>
    </row>
    <row r="33" spans="1:8" x14ac:dyDescent="0.25">
      <c r="A33" s="36">
        <v>44131</v>
      </c>
      <c r="B33" s="25">
        <v>0.43302524486136018</v>
      </c>
      <c r="C33" s="25">
        <v>0.45316595392467929</v>
      </c>
      <c r="D33" s="25">
        <v>0.36631990265471559</v>
      </c>
      <c r="E33" s="25">
        <v>0.39357481613856621</v>
      </c>
      <c r="F33" s="25">
        <v>0.3402971773295172</v>
      </c>
      <c r="G33" s="25">
        <v>0.40492373011932692</v>
      </c>
      <c r="H33" s="25">
        <v>0.35478849174159932</v>
      </c>
    </row>
    <row r="34" spans="1:8" x14ac:dyDescent="0.25">
      <c r="A34" s="36">
        <v>44132</v>
      </c>
      <c r="B34" s="25">
        <v>0.44509739005683391</v>
      </c>
      <c r="C34" s="25">
        <v>0.48336368150968378</v>
      </c>
      <c r="D34" s="25">
        <v>0.36131429394061959</v>
      </c>
      <c r="E34" s="25">
        <v>0.38935474115415281</v>
      </c>
      <c r="F34" s="25">
        <v>0.33819418261090117</v>
      </c>
      <c r="G34" s="25">
        <v>0.40492234366011998</v>
      </c>
      <c r="H34" s="25">
        <v>0.35276168911409178</v>
      </c>
    </row>
    <row r="35" spans="1:8" x14ac:dyDescent="0.25">
      <c r="A35" s="36">
        <v>44133</v>
      </c>
      <c r="B35" s="25">
        <v>0.45767235909178688</v>
      </c>
      <c r="C35" s="25">
        <v>0.47025960769167108</v>
      </c>
      <c r="D35" s="25">
        <v>0.36121296877088721</v>
      </c>
      <c r="E35" s="25">
        <v>0.38874730229425269</v>
      </c>
      <c r="F35" s="25">
        <v>0.33679180934165559</v>
      </c>
      <c r="G35" s="25">
        <v>0.39572275275031932</v>
      </c>
      <c r="H35" s="25">
        <v>0.35285151679362697</v>
      </c>
    </row>
    <row r="36" spans="1:8" x14ac:dyDescent="0.25">
      <c r="A36" s="36">
        <v>44134</v>
      </c>
      <c r="B36" s="25">
        <v>0.45212149635841969</v>
      </c>
      <c r="C36" s="25">
        <v>0.46823273008165972</v>
      </c>
      <c r="D36" s="25">
        <v>0.36011078053662748</v>
      </c>
      <c r="E36" s="25">
        <v>0.38181805685379672</v>
      </c>
      <c r="F36" s="25">
        <v>0.33528935931008952</v>
      </c>
      <c r="G36" s="25">
        <v>0.39842086160968032</v>
      </c>
      <c r="H36" s="25">
        <v>0.35374760123148291</v>
      </c>
    </row>
    <row r="37" spans="1:8" x14ac:dyDescent="0.25">
      <c r="A37" s="36">
        <v>44137</v>
      </c>
      <c r="B37" s="25">
        <v>0.44010234200435849</v>
      </c>
      <c r="C37" s="25">
        <v>0.45137927229593672</v>
      </c>
      <c r="D37" s="25">
        <v>0.36280938197298379</v>
      </c>
      <c r="E37" s="25">
        <v>0.38772250553256998</v>
      </c>
      <c r="F37" s="25">
        <v>0.3362867650839243</v>
      </c>
      <c r="G37" s="25">
        <v>0.40461547416464372</v>
      </c>
      <c r="H37" s="25">
        <v>0.35331154511162732</v>
      </c>
    </row>
    <row r="38" spans="1:8" x14ac:dyDescent="0.25">
      <c r="A38" s="36">
        <v>44138</v>
      </c>
      <c r="B38" s="25">
        <v>0.4510647688403398</v>
      </c>
      <c r="C38" s="25">
        <v>0.45066203243958952</v>
      </c>
      <c r="D38" s="25">
        <v>0.3688132386410376</v>
      </c>
      <c r="E38" s="25">
        <v>0.38510831317352101</v>
      </c>
      <c r="F38" s="25">
        <v>0.34048918259343552</v>
      </c>
      <c r="G38" s="25">
        <v>0.41141264526025301</v>
      </c>
      <c r="H38" s="25">
        <v>0.35773446343281518</v>
      </c>
    </row>
    <row r="39" spans="1:8" x14ac:dyDescent="0.25">
      <c r="A39" s="36">
        <v>44139</v>
      </c>
      <c r="B39" s="25">
        <v>0.45205913993324692</v>
      </c>
      <c r="C39" s="25">
        <v>0.45759661269412188</v>
      </c>
      <c r="D39" s="25">
        <v>0.37281536093887641</v>
      </c>
      <c r="E39" s="25">
        <v>0.38520335931164351</v>
      </c>
      <c r="F39" s="25">
        <v>0.34028784622608849</v>
      </c>
      <c r="G39" s="25">
        <v>0.40911173274259321</v>
      </c>
      <c r="H39" s="25">
        <v>0.35873102420136871</v>
      </c>
    </row>
    <row r="40" spans="1:8" x14ac:dyDescent="0.25">
      <c r="A40" s="36">
        <v>44140</v>
      </c>
      <c r="B40" s="25">
        <v>0.45808738346113531</v>
      </c>
      <c r="C40" s="25">
        <v>0.46815523804269882</v>
      </c>
      <c r="D40" s="25">
        <v>0.37431534786155463</v>
      </c>
      <c r="E40" s="25">
        <v>0.38118453968166699</v>
      </c>
      <c r="F40" s="25">
        <v>0.34639182324835299</v>
      </c>
      <c r="G40" s="25">
        <v>0.40641092363317632</v>
      </c>
      <c r="H40" s="25">
        <v>0.36526954373227138</v>
      </c>
    </row>
    <row r="41" spans="1:8" x14ac:dyDescent="0.25">
      <c r="A41" s="36">
        <v>44141</v>
      </c>
      <c r="B41" s="25">
        <v>0.45716866639084258</v>
      </c>
      <c r="C41" s="25">
        <v>0.45908150599917252</v>
      </c>
      <c r="D41" s="25">
        <v>0.37411389693407138</v>
      </c>
      <c r="E41" s="25">
        <v>0.38127963713834101</v>
      </c>
      <c r="F41" s="25">
        <v>0.34619046802968251</v>
      </c>
      <c r="G41" s="25">
        <v>0.40490986595449641</v>
      </c>
      <c r="H41" s="25">
        <v>0.36072396004071838</v>
      </c>
    </row>
    <row r="42" spans="1:8" x14ac:dyDescent="0.25">
      <c r="A42" s="36">
        <v>44144</v>
      </c>
      <c r="B42" s="25">
        <v>0.46005019581885381</v>
      </c>
      <c r="C42" s="25">
        <v>0.4630702189861548</v>
      </c>
      <c r="D42" s="25">
        <v>0.37931436327367202</v>
      </c>
      <c r="E42" s="25">
        <v>0.38477555732702928</v>
      </c>
      <c r="F42" s="25">
        <v>0.34778823545541171</v>
      </c>
      <c r="G42" s="25">
        <v>0.41630305271375162</v>
      </c>
      <c r="H42" s="25">
        <v>0.37529932165260049</v>
      </c>
    </row>
    <row r="43" spans="1:8" x14ac:dyDescent="0.25">
      <c r="A43" s="36">
        <v>44145</v>
      </c>
      <c r="B43" s="25">
        <v>0.45450095148790642</v>
      </c>
      <c r="C43" s="25">
        <v>0.46799001627182218</v>
      </c>
      <c r="D43" s="25">
        <v>0.38531801932416831</v>
      </c>
      <c r="E43" s="25">
        <v>0.38527192512266523</v>
      </c>
      <c r="F43" s="25">
        <v>0.35229076052495378</v>
      </c>
      <c r="G43" s="25">
        <v>0.41490195809894242</v>
      </c>
      <c r="H43" s="25">
        <v>0.37377644213351918</v>
      </c>
    </row>
    <row r="44" spans="1:8" x14ac:dyDescent="0.25">
      <c r="A44" s="36">
        <v>44146</v>
      </c>
      <c r="B44" s="25">
        <v>0.45096525096525092</v>
      </c>
      <c r="C44" s="25">
        <v>0.46505791505791511</v>
      </c>
      <c r="D44" s="25">
        <v>0.38481628735947349</v>
      </c>
      <c r="E44" s="25">
        <v>0.3932930181418362</v>
      </c>
      <c r="F44" s="25">
        <v>0.35419111598574171</v>
      </c>
      <c r="G44" s="25">
        <v>0.41889957886807949</v>
      </c>
      <c r="H44" s="25">
        <v>0.37577974054650842</v>
      </c>
    </row>
    <row r="45" spans="1:8" x14ac:dyDescent="0.25">
      <c r="A45" s="36">
        <v>44147</v>
      </c>
      <c r="B45" s="25">
        <v>0.44290008549129922</v>
      </c>
      <c r="C45" s="25">
        <v>0.46554838531755882</v>
      </c>
      <c r="D45" s="25">
        <v>0.39031947381589732</v>
      </c>
      <c r="E45" s="25">
        <v>0.3959964816316433</v>
      </c>
      <c r="F45" s="25">
        <v>0.35679203183427532</v>
      </c>
      <c r="G45" s="25">
        <v>0.42239729380869723</v>
      </c>
      <c r="H45" s="25">
        <v>0.36871612460281039</v>
      </c>
    </row>
    <row r="46" spans="1:8" x14ac:dyDescent="0.25">
      <c r="A46" s="36">
        <v>44148</v>
      </c>
      <c r="B46" s="25">
        <v>0.45295350504660531</v>
      </c>
      <c r="C46" s="25">
        <v>0.46553554685345538</v>
      </c>
      <c r="D46" s="25">
        <v>0.39702360142856158</v>
      </c>
      <c r="E46" s="25">
        <v>0.40030510431269067</v>
      </c>
      <c r="F46" s="25">
        <v>0.35919276670711059</v>
      </c>
      <c r="G46" s="25">
        <v>0.42489523131282703</v>
      </c>
      <c r="H46" s="25">
        <v>0.37102167268110592</v>
      </c>
    </row>
    <row r="47" spans="1:8" x14ac:dyDescent="0.25">
      <c r="A47" s="36">
        <v>44151</v>
      </c>
      <c r="B47" s="25">
        <v>0.45291603474424369</v>
      </c>
      <c r="C47" s="25">
        <v>0.46308148352405898</v>
      </c>
      <c r="D47" s="25">
        <v>0.39832056620910661</v>
      </c>
      <c r="E47" s="25">
        <v>0.40390022675736958</v>
      </c>
      <c r="F47" s="25">
        <v>0.36209140918204719</v>
      </c>
      <c r="G47" s="25">
        <v>0.4282899940083883</v>
      </c>
      <c r="H47" s="25">
        <v>0.37521775876640739</v>
      </c>
    </row>
    <row r="48" spans="1:8" x14ac:dyDescent="0.25">
      <c r="A48" s="36">
        <v>44152</v>
      </c>
      <c r="B48" s="25">
        <v>0.44334224893839957</v>
      </c>
      <c r="C48" s="25">
        <v>0.45994871229250539</v>
      </c>
      <c r="D48" s="25">
        <v>0.39681799798468642</v>
      </c>
      <c r="E48" s="25">
        <v>0.40309210345491031</v>
      </c>
      <c r="F48" s="25">
        <v>0.35828712050067518</v>
      </c>
      <c r="G48" s="25">
        <v>0.41679152001533842</v>
      </c>
      <c r="H48" s="25">
        <v>0.37470247745727753</v>
      </c>
    </row>
    <row r="49" spans="1:8" x14ac:dyDescent="0.25">
      <c r="A49" s="36">
        <v>44153</v>
      </c>
      <c r="B49" s="25">
        <v>0.43779468938704608</v>
      </c>
      <c r="C49" s="25">
        <v>0.44785893512008162</v>
      </c>
      <c r="D49" s="25">
        <v>0.39431464147761741</v>
      </c>
      <c r="E49" s="25">
        <v>0.39867247516044357</v>
      </c>
      <c r="F49" s="25">
        <v>0.35678469463647361</v>
      </c>
      <c r="G49" s="25">
        <v>0.41399083118492719</v>
      </c>
      <c r="H49" s="25">
        <v>0.37771254523064612</v>
      </c>
    </row>
    <row r="50" spans="1:8" x14ac:dyDescent="0.25">
      <c r="A50" s="36">
        <v>44154</v>
      </c>
      <c r="B50" s="25">
        <v>0.4257058564023381</v>
      </c>
      <c r="C50" s="25">
        <v>0.44784658652255432</v>
      </c>
      <c r="D50" s="25">
        <v>0.39031010940199062</v>
      </c>
      <c r="E50" s="25">
        <v>0.39555711301671059</v>
      </c>
      <c r="F50" s="25">
        <v>0.35278029119026078</v>
      </c>
      <c r="G50" s="25">
        <v>0.40889077575168281</v>
      </c>
      <c r="H50" s="25">
        <v>0.3715568862275449</v>
      </c>
    </row>
    <row r="51" spans="1:8" x14ac:dyDescent="0.25">
      <c r="A51" s="36">
        <v>44155</v>
      </c>
      <c r="B51" s="25">
        <v>0.42468774986903418</v>
      </c>
      <c r="C51" s="25">
        <v>0.44290303013592869</v>
      </c>
      <c r="D51" s="25">
        <v>0.38820710904859668</v>
      </c>
      <c r="E51" s="25">
        <v>0.39173961439624011</v>
      </c>
      <c r="F51" s="25">
        <v>0.35227868622094882</v>
      </c>
      <c r="G51" s="25">
        <v>0.4083895110569401</v>
      </c>
      <c r="H51" s="25">
        <v>0.37013531272312111</v>
      </c>
    </row>
    <row r="52" spans="1:8" x14ac:dyDescent="0.25">
      <c r="A52" s="36">
        <v>44159</v>
      </c>
      <c r="B52" s="25">
        <v>0.42916907892923112</v>
      </c>
      <c r="C52" s="25">
        <v>0.44587296336117782</v>
      </c>
      <c r="D52" s="25">
        <v>0.38079602979028221</v>
      </c>
      <c r="E52" s="25">
        <v>0.38971184367828732</v>
      </c>
      <c r="F52" s="25">
        <v>0.35027230072693499</v>
      </c>
      <c r="G52" s="25">
        <v>0.41188292368949919</v>
      </c>
      <c r="H52" s="25">
        <v>0.36434919660501391</v>
      </c>
    </row>
    <row r="53" spans="1:8" x14ac:dyDescent="0.25">
      <c r="A53" s="36">
        <v>44160</v>
      </c>
      <c r="B53" s="25">
        <v>0.43660335226332908</v>
      </c>
      <c r="C53" s="25">
        <v>0.45280366102442521</v>
      </c>
      <c r="D53" s="25">
        <v>0.38029433739812318</v>
      </c>
      <c r="E53" s="25">
        <v>0.39321735784758288</v>
      </c>
      <c r="F53" s="25">
        <v>0.35426569927445578</v>
      </c>
      <c r="G53" s="25">
        <v>0.41588036318319388</v>
      </c>
      <c r="H53" s="25">
        <v>0.36655332004441898</v>
      </c>
    </row>
    <row r="54" spans="1:8" x14ac:dyDescent="0.25">
      <c r="A54" s="36">
        <v>44161</v>
      </c>
      <c r="B54" s="25">
        <v>0.43467953135768439</v>
      </c>
      <c r="C54" s="25">
        <v>0.45379738111647139</v>
      </c>
      <c r="D54" s="25">
        <v>0.37538925541941559</v>
      </c>
      <c r="E54" s="25">
        <v>0.39120577121264172</v>
      </c>
      <c r="F54" s="25">
        <v>0.34926912860937359</v>
      </c>
      <c r="G54" s="25">
        <v>0.41188010339455983</v>
      </c>
      <c r="H54" s="25">
        <v>0.35959375808259342</v>
      </c>
    </row>
    <row r="55" spans="1:8" x14ac:dyDescent="0.25">
      <c r="A55" s="36">
        <v>44162</v>
      </c>
      <c r="B55" s="25">
        <v>0.43235334656522217</v>
      </c>
      <c r="C55" s="25">
        <v>0.45378487154041242</v>
      </c>
      <c r="D55" s="25">
        <v>0.37528789208159691</v>
      </c>
      <c r="E55" s="25">
        <v>0.39130070352863577</v>
      </c>
      <c r="F55" s="25">
        <v>0.35026869927615711</v>
      </c>
      <c r="G55" s="25">
        <v>0.41477783940346341</v>
      </c>
      <c r="H55" s="25">
        <v>0.36481874862061348</v>
      </c>
    </row>
    <row r="56" spans="1:8" x14ac:dyDescent="0.25">
      <c r="A56" s="36">
        <v>44165</v>
      </c>
      <c r="B56" s="25">
        <v>0.42457068827696459</v>
      </c>
      <c r="C56" s="25">
        <v>0.4442900851732407</v>
      </c>
      <c r="D56" s="25">
        <v>0.37178138248468873</v>
      </c>
      <c r="E56" s="25">
        <v>0.38727242748595059</v>
      </c>
      <c r="F56" s="25">
        <v>0.35026509789943761</v>
      </c>
      <c r="G56" s="25">
        <v>0.40687598642879402</v>
      </c>
      <c r="H56" s="25">
        <v>0.36236832396012569</v>
      </c>
    </row>
    <row r="57" spans="1:8" x14ac:dyDescent="0.25">
      <c r="A57" s="36">
        <v>44166</v>
      </c>
      <c r="B57" s="25">
        <v>0.42113836824696799</v>
      </c>
      <c r="C57" s="25">
        <v>0.44488147739801542</v>
      </c>
      <c r="D57" s="25">
        <v>0.36977860031530613</v>
      </c>
      <c r="E57" s="25">
        <v>0.38596317669689473</v>
      </c>
      <c r="F57" s="25">
        <v>0.34626088148605122</v>
      </c>
      <c r="G57" s="25">
        <v>0.40667465507206679</v>
      </c>
      <c r="H57" s="25">
        <v>0.35601406799531071</v>
      </c>
    </row>
    <row r="58" spans="1:8" x14ac:dyDescent="0.25">
      <c r="A58" s="36">
        <v>44167</v>
      </c>
      <c r="B58" s="25">
        <v>0.42012072434607639</v>
      </c>
      <c r="C58" s="25">
        <v>0.44265593561368211</v>
      </c>
      <c r="D58" s="25">
        <v>0.38008506379784829</v>
      </c>
      <c r="E58" s="25">
        <v>0.38766298896690071</v>
      </c>
      <c r="F58" s="25">
        <v>0.34726044533400052</v>
      </c>
      <c r="G58" s="25">
        <v>0.40597348086726398</v>
      </c>
      <c r="H58" s="25">
        <v>0.35841933048074498</v>
      </c>
    </row>
    <row r="59" spans="1:8" x14ac:dyDescent="0.25">
      <c r="A59" s="36">
        <v>44168</v>
      </c>
      <c r="B59" s="25">
        <v>0.42051154842621691</v>
      </c>
      <c r="C59" s="25">
        <v>0.44264373518549138</v>
      </c>
      <c r="D59" s="25">
        <v>0.37417935307866829</v>
      </c>
      <c r="E59" s="25">
        <v>0.38956335357643379</v>
      </c>
      <c r="F59" s="25">
        <v>0.34725925519737338</v>
      </c>
      <c r="G59" s="25">
        <v>0.40487243745121398</v>
      </c>
      <c r="H59" s="25">
        <v>0.35921362028423859</v>
      </c>
    </row>
    <row r="60" spans="1:8" x14ac:dyDescent="0.25">
      <c r="A60" s="36">
        <v>44169</v>
      </c>
      <c r="B60" s="25">
        <v>0.42009756635338857</v>
      </c>
      <c r="C60" s="25">
        <v>0.43961359314279419</v>
      </c>
      <c r="D60" s="25">
        <v>0.37157613706076092</v>
      </c>
      <c r="E60" s="25">
        <v>0.38715084566450958</v>
      </c>
      <c r="F60" s="25">
        <v>0.34495635455115609</v>
      </c>
      <c r="G60" s="25">
        <v>0.39927283433700911</v>
      </c>
      <c r="H60" s="25">
        <v>0.35537688719414429</v>
      </c>
    </row>
    <row r="61" spans="1:8" x14ac:dyDescent="0.25">
      <c r="A61" s="36">
        <v>44174</v>
      </c>
      <c r="B61" s="25">
        <v>0.41943617724867732</v>
      </c>
      <c r="C61" s="25">
        <v>0.43754133597883599</v>
      </c>
      <c r="D61" s="25">
        <v>0.37156976983289242</v>
      </c>
      <c r="E61" s="25">
        <v>0.39233939660383582</v>
      </c>
      <c r="F61" s="25">
        <v>0.34495044347265819</v>
      </c>
      <c r="G61" s="25">
        <v>0.39986579846489878</v>
      </c>
      <c r="H61" s="25">
        <v>0.35129545109827232</v>
      </c>
    </row>
    <row r="62" spans="1:8" x14ac:dyDescent="0.25">
      <c r="A62" s="36">
        <v>44175</v>
      </c>
      <c r="B62" s="25">
        <v>0.42364903965388961</v>
      </c>
      <c r="C62" s="25">
        <v>0.43752927884482901</v>
      </c>
      <c r="D62" s="25">
        <v>0.37377008728910283</v>
      </c>
      <c r="E62" s="25">
        <v>0.39784994985506061</v>
      </c>
      <c r="F62" s="25">
        <v>0.34775128603202998</v>
      </c>
      <c r="G62" s="25">
        <v>0.40586239596849022</v>
      </c>
      <c r="H62" s="25">
        <v>0.3574244831972313</v>
      </c>
    </row>
    <row r="63" spans="1:8" x14ac:dyDescent="0.25">
      <c r="A63" s="36">
        <v>44176</v>
      </c>
      <c r="B63" s="25">
        <v>0.42162579222926427</v>
      </c>
      <c r="C63" s="25">
        <v>0.43942821713970792</v>
      </c>
      <c r="D63" s="25">
        <v>0.37346859042462038</v>
      </c>
      <c r="E63" s="25">
        <v>0.39964967715345517</v>
      </c>
      <c r="F63" s="25">
        <v>0.34945131772850341</v>
      </c>
      <c r="G63" s="25">
        <v>0.4077603560424512</v>
      </c>
      <c r="H63" s="25">
        <v>0.35831925821240218</v>
      </c>
    </row>
    <row r="64" spans="1:8" x14ac:dyDescent="0.25">
      <c r="A64" s="36">
        <v>44179</v>
      </c>
      <c r="B64" s="25">
        <v>0.42340120684429511</v>
      </c>
      <c r="C64" s="25">
        <v>0.44552668558675218</v>
      </c>
      <c r="D64" s="25">
        <v>0.37446546010356663</v>
      </c>
      <c r="E64" s="25">
        <v>0.40444685615375098</v>
      </c>
      <c r="F64" s="25">
        <v>0.34824687363987478</v>
      </c>
      <c r="G64" s="25">
        <v>0.41485366463199619</v>
      </c>
      <c r="H64" s="25">
        <v>0.3582859132065197</v>
      </c>
    </row>
    <row r="65" spans="1:8" x14ac:dyDescent="0.25">
      <c r="A65" s="36">
        <v>44180</v>
      </c>
      <c r="B65" s="25">
        <v>0.4198696754284455</v>
      </c>
      <c r="C65" s="25">
        <v>0.44149170661817377</v>
      </c>
      <c r="D65" s="25">
        <v>0.37026121167673082</v>
      </c>
      <c r="E65" s="25">
        <v>0.40143281039646128</v>
      </c>
      <c r="F65" s="25">
        <v>0.34824568017162788</v>
      </c>
      <c r="G65" s="25">
        <v>0.40645523512173742</v>
      </c>
      <c r="H65" s="25">
        <v>0.35324285015130308</v>
      </c>
    </row>
    <row r="66" spans="1:8" x14ac:dyDescent="0.25">
      <c r="A66" s="36">
        <v>44181</v>
      </c>
      <c r="B66" s="25">
        <v>0.41784681085548969</v>
      </c>
      <c r="C66" s="25">
        <v>0.43725582036093119</v>
      </c>
      <c r="D66" s="25">
        <v>0.37306190990249999</v>
      </c>
      <c r="E66" s="25">
        <v>0.3989202555120544</v>
      </c>
      <c r="F66" s="25">
        <v>0.34824448671156122</v>
      </c>
      <c r="G66" s="25">
        <v>0.40785334040841481</v>
      </c>
      <c r="H66" s="25">
        <v>0.35323189329840948</v>
      </c>
    </row>
    <row r="67" spans="1:8" x14ac:dyDescent="0.25">
      <c r="A67" s="36">
        <v>44182</v>
      </c>
      <c r="B67" s="25">
        <v>0.41803642274630809</v>
      </c>
      <c r="C67" s="25">
        <v>0.43714321137315398</v>
      </c>
      <c r="D67" s="25">
        <v>0.37926496593510528</v>
      </c>
      <c r="E67" s="25">
        <v>0.399516456948184</v>
      </c>
      <c r="F67" s="25">
        <v>0.35074504105608018</v>
      </c>
      <c r="G67" s="25">
        <v>0.40995118210512621</v>
      </c>
      <c r="H67" s="25">
        <v>0.36076839304669078</v>
      </c>
    </row>
    <row r="68" spans="1:8" x14ac:dyDescent="0.25">
      <c r="A68" s="36">
        <v>44183</v>
      </c>
      <c r="B68" s="25">
        <v>0.41983497258726621</v>
      </c>
      <c r="C68" s="25">
        <v>0.4374328456897264</v>
      </c>
      <c r="D68" s="25">
        <v>0.38286617065973938</v>
      </c>
      <c r="E68" s="25">
        <v>0.40332156544912562</v>
      </c>
      <c r="F68" s="25">
        <v>0.35524696963985242</v>
      </c>
      <c r="G68" s="25">
        <v>0.41384835009089133</v>
      </c>
      <c r="H68" s="25">
        <v>0.36407798106646722</v>
      </c>
    </row>
    <row r="69" spans="1:8" x14ac:dyDescent="0.25">
      <c r="A69" s="36">
        <v>44186</v>
      </c>
      <c r="B69" s="25">
        <v>0.42442561983471078</v>
      </c>
      <c r="C69" s="25">
        <v>0.44624517906336092</v>
      </c>
      <c r="D69" s="25">
        <v>0.38636463331048659</v>
      </c>
      <c r="E69" s="25">
        <v>0.4085192307692308</v>
      </c>
      <c r="F69" s="25">
        <v>0.35574366004112401</v>
      </c>
      <c r="G69" s="25">
        <v>0.41134504125158328</v>
      </c>
      <c r="H69" s="25">
        <v>0.37229496898690562</v>
      </c>
    </row>
    <row r="70" spans="1:8" x14ac:dyDescent="0.25">
      <c r="A70" s="36">
        <v>44187</v>
      </c>
      <c r="B70" s="25">
        <v>0.42531886173934602</v>
      </c>
      <c r="C70" s="25">
        <v>0.43748519324536511</v>
      </c>
      <c r="D70" s="25">
        <v>0.38676358203021921</v>
      </c>
      <c r="E70" s="25">
        <v>0.40821279927473519</v>
      </c>
      <c r="F70" s="25">
        <v>0.35974516879654289</v>
      </c>
      <c r="G70" s="25">
        <v>0.41234325307845299</v>
      </c>
      <c r="H70" s="25">
        <v>0.36725256625397562</v>
      </c>
    </row>
    <row r="71" spans="1:8" x14ac:dyDescent="0.25">
      <c r="A71" s="36">
        <v>44188</v>
      </c>
      <c r="B71" s="25">
        <v>0.42500550933832848</v>
      </c>
      <c r="C71" s="25">
        <v>0.44239986777588008</v>
      </c>
      <c r="D71" s="25">
        <v>0.38606178161904298</v>
      </c>
      <c r="E71" s="25">
        <v>0.40730474437515451</v>
      </c>
      <c r="F71" s="25">
        <v>0.35724223960082518</v>
      </c>
      <c r="G71" s="25">
        <v>0.41284164977816717</v>
      </c>
      <c r="H71" s="25">
        <v>0.36522889689819382</v>
      </c>
    </row>
    <row r="72" spans="1:8" x14ac:dyDescent="0.25">
      <c r="A72" s="36">
        <v>44193</v>
      </c>
      <c r="B72" s="25">
        <v>0.42464538518742939</v>
      </c>
      <c r="C72" s="25">
        <v>0.44233894290357229</v>
      </c>
      <c r="D72" s="25">
        <v>0.39025794446329248</v>
      </c>
      <c r="E72" s="25">
        <v>0.41008419520101091</v>
      </c>
      <c r="F72" s="25">
        <v>0.35723611839332159</v>
      </c>
      <c r="G72" s="25">
        <v>0.41873222030898583</v>
      </c>
      <c r="H72" s="25">
        <v>0.3696992038254962</v>
      </c>
    </row>
    <row r="73" spans="1:8" x14ac:dyDescent="0.25">
      <c r="A73" s="36">
        <v>44194</v>
      </c>
      <c r="B73" s="25">
        <v>0.42573950644486058</v>
      </c>
      <c r="C73" s="25">
        <v>0.45016800705078769</v>
      </c>
      <c r="D73" s="25">
        <v>0.38825529115034541</v>
      </c>
      <c r="E73" s="25">
        <v>0.41037935391715202</v>
      </c>
      <c r="F73" s="25">
        <v>0.35773522316043432</v>
      </c>
      <c r="G73" s="25">
        <v>0.41173361449825069</v>
      </c>
      <c r="H73" s="25">
        <v>0.36817881159739829</v>
      </c>
    </row>
    <row r="74" spans="1:8" x14ac:dyDescent="0.25">
      <c r="A74" s="36">
        <v>44195</v>
      </c>
      <c r="B74" s="25">
        <v>0.42572778099093889</v>
      </c>
      <c r="C74" s="25">
        <v>0.4513619212867333</v>
      </c>
      <c r="D74" s="25">
        <v>0.38225003341226632</v>
      </c>
      <c r="E74" s="25">
        <v>0.41047397986512651</v>
      </c>
      <c r="F74" s="25">
        <v>0.35923497904451202</v>
      </c>
      <c r="G74" s="25">
        <v>0.41573057555311371</v>
      </c>
      <c r="H74" s="25">
        <v>0.36716147457119142</v>
      </c>
    </row>
    <row r="75" spans="1:8" x14ac:dyDescent="0.25">
      <c r="A75" s="36">
        <v>44200</v>
      </c>
      <c r="B75" s="25">
        <v>0.4157184556920196</v>
      </c>
      <c r="C75" s="25">
        <v>0.43330809054359198</v>
      </c>
      <c r="D75" s="25">
        <v>0.37253730115758671</v>
      </c>
      <c r="E75" s="25">
        <v>0.40653583102150681</v>
      </c>
      <c r="F75" s="25">
        <v>0.3482218125244162</v>
      </c>
      <c r="G75" s="25">
        <v>0.40482808670290699</v>
      </c>
      <c r="H75" s="25">
        <v>0.36308150148453811</v>
      </c>
    </row>
    <row r="76" spans="1:8" x14ac:dyDescent="0.25">
      <c r="A76" s="36">
        <v>44201</v>
      </c>
      <c r="B76" s="25">
        <v>0.41460140437835608</v>
      </c>
      <c r="C76" s="25">
        <v>0.43018036623984579</v>
      </c>
      <c r="D76" s="25">
        <v>0.36923393245720748</v>
      </c>
      <c r="E76" s="25">
        <v>0.40352262583258952</v>
      </c>
      <c r="F76" s="25">
        <v>0.34521871733803949</v>
      </c>
      <c r="G76" s="25">
        <v>0.40252768506632441</v>
      </c>
      <c r="H76" s="25">
        <v>0.35844386656793009</v>
      </c>
    </row>
    <row r="77" spans="1:8" x14ac:dyDescent="0.25">
      <c r="A77" s="36">
        <v>44202</v>
      </c>
      <c r="B77" s="25">
        <v>0.41710265447736528</v>
      </c>
      <c r="C77" s="25">
        <v>0.44072172045379449</v>
      </c>
      <c r="D77" s="25">
        <v>0.37403569372481288</v>
      </c>
      <c r="E77" s="25">
        <v>0.40201329378158651</v>
      </c>
      <c r="F77" s="25">
        <v>0.34621816487101459</v>
      </c>
      <c r="G77" s="25">
        <v>0.40932337416046499</v>
      </c>
      <c r="H77" s="25">
        <v>0.35953902956492989</v>
      </c>
    </row>
    <row r="78" spans="1:8" x14ac:dyDescent="0.25">
      <c r="A78" s="36">
        <v>44203</v>
      </c>
      <c r="B78" s="25">
        <v>0.41437756422611999</v>
      </c>
      <c r="C78" s="25">
        <v>0.43216675386182779</v>
      </c>
      <c r="D78" s="25">
        <v>0.37133271879294222</v>
      </c>
      <c r="E78" s="25">
        <v>0.39649395058846137</v>
      </c>
      <c r="F78" s="25">
        <v>0.34871854621218101</v>
      </c>
      <c r="G78" s="25">
        <v>0.40582349457598921</v>
      </c>
      <c r="H78" s="25">
        <v>0.35309158162650289</v>
      </c>
    </row>
    <row r="79" spans="1:8" x14ac:dyDescent="0.25">
      <c r="A79" s="36">
        <v>44204</v>
      </c>
      <c r="B79" s="25">
        <v>0.4105471116250895</v>
      </c>
      <c r="C79" s="25">
        <v>0.43215485434219952</v>
      </c>
      <c r="D79" s="25">
        <v>0.37023076026838653</v>
      </c>
      <c r="E79" s="25">
        <v>0.39598725589826689</v>
      </c>
      <c r="F79" s="25">
        <v>0.34621579203476138</v>
      </c>
      <c r="G79" s="25">
        <v>0.40442271880819369</v>
      </c>
      <c r="H79" s="25">
        <v>0.35197443191602212</v>
      </c>
    </row>
    <row r="80" spans="1:8" x14ac:dyDescent="0.25">
      <c r="A80" s="36">
        <v>44207</v>
      </c>
      <c r="B80" s="25">
        <v>0.40970925910630218</v>
      </c>
      <c r="C80" s="25">
        <v>0.43312408799317198</v>
      </c>
      <c r="D80" s="25">
        <v>0.36412321251726232</v>
      </c>
      <c r="E80" s="25">
        <v>0.39135963527004569</v>
      </c>
      <c r="F80" s="25">
        <v>0.34521161945165008</v>
      </c>
      <c r="G80" s="25">
        <v>0.40251941765851618</v>
      </c>
      <c r="H80" s="25">
        <v>0.35194170578086642</v>
      </c>
    </row>
    <row r="81" spans="1:8" x14ac:dyDescent="0.25">
      <c r="A81" s="36">
        <v>44208</v>
      </c>
      <c r="B81" s="25">
        <v>0.41150680028632791</v>
      </c>
      <c r="C81" s="25">
        <v>0.43220775287704422</v>
      </c>
      <c r="D81" s="25">
        <v>0.36372172077499298</v>
      </c>
      <c r="E81" s="25">
        <v>0.39135426107494992</v>
      </c>
      <c r="F81" s="25">
        <v>0.34721165642069479</v>
      </c>
      <c r="G81" s="25">
        <v>0.40331767830980519</v>
      </c>
      <c r="H81" s="25">
        <v>0.34991976528763968</v>
      </c>
    </row>
    <row r="82" spans="1:8" x14ac:dyDescent="0.25">
      <c r="A82" s="36">
        <v>44209</v>
      </c>
      <c r="B82" s="25">
        <v>0.40737549211243562</v>
      </c>
      <c r="C82" s="25">
        <v>0.42405638300801152</v>
      </c>
      <c r="D82" s="25">
        <v>0.3624196859054975</v>
      </c>
      <c r="E82" s="25">
        <v>0.39074742869697759</v>
      </c>
      <c r="F82" s="25">
        <v>0.34270773722427628</v>
      </c>
      <c r="G82" s="25">
        <v>0.39342080490735382</v>
      </c>
      <c r="H82" s="25">
        <v>0.34588697930835</v>
      </c>
    </row>
    <row r="83" spans="1:8" x14ac:dyDescent="0.25">
      <c r="A83" s="36">
        <v>44210</v>
      </c>
      <c r="B83" s="25">
        <v>0.40424925668979178</v>
      </c>
      <c r="C83" s="25">
        <v>0.41861854421319228</v>
      </c>
      <c r="D83" s="25">
        <v>0.35711524754646629</v>
      </c>
      <c r="E83" s="25">
        <v>0.38843650444908268</v>
      </c>
      <c r="F83" s="25">
        <v>0.33820384889522448</v>
      </c>
      <c r="G83" s="25">
        <v>0.38982110949085008</v>
      </c>
      <c r="H83" s="25">
        <v>0.34577571483664821</v>
      </c>
    </row>
    <row r="84" spans="1:8" x14ac:dyDescent="0.25">
      <c r="A84" s="36">
        <v>44211</v>
      </c>
      <c r="B84" s="25">
        <v>0.40273090158293179</v>
      </c>
      <c r="C84" s="25">
        <v>0.42202339986235382</v>
      </c>
      <c r="D84" s="25">
        <v>0.35721408378308922</v>
      </c>
      <c r="E84" s="25">
        <v>0.3878297288019224</v>
      </c>
      <c r="F84" s="25">
        <v>0.33670179045660931</v>
      </c>
      <c r="G84" s="25">
        <v>0.39071935920036971</v>
      </c>
      <c r="H84" s="25">
        <v>0.34435740724799863</v>
      </c>
    </row>
    <row r="85" spans="1:8" x14ac:dyDescent="0.25">
      <c r="A85" s="36">
        <v>44214</v>
      </c>
      <c r="B85" s="25">
        <v>0.40289859061880651</v>
      </c>
      <c r="C85" s="25">
        <v>0.42198854877780217</v>
      </c>
      <c r="D85" s="25">
        <v>0.35821100100058928</v>
      </c>
      <c r="E85" s="25">
        <v>0.38891635085406712</v>
      </c>
      <c r="F85" s="25">
        <v>0.33819921323519331</v>
      </c>
      <c r="G85" s="25">
        <v>0.39661255981762039</v>
      </c>
      <c r="H85" s="25">
        <v>0.34432539627890318</v>
      </c>
    </row>
    <row r="86" spans="1:8" x14ac:dyDescent="0.25">
      <c r="A86" s="36">
        <v>44215</v>
      </c>
      <c r="B86" s="25">
        <v>0.40389220732747938</v>
      </c>
      <c r="C86" s="25">
        <v>0.43302870984612851</v>
      </c>
      <c r="D86" s="25">
        <v>0.35871006651155302</v>
      </c>
      <c r="E86" s="25">
        <v>0.38881077592717178</v>
      </c>
      <c r="F86" s="25">
        <v>0.33869834731983461</v>
      </c>
      <c r="G86" s="25">
        <v>0.3993099175392536</v>
      </c>
      <c r="H86" s="25">
        <v>0.3458226749890691</v>
      </c>
    </row>
    <row r="87" spans="1:8" x14ac:dyDescent="0.25">
      <c r="A87" s="36">
        <v>44216</v>
      </c>
      <c r="B87" s="25">
        <v>0.40157032755298649</v>
      </c>
      <c r="C87" s="25">
        <v>0.43070602807597019</v>
      </c>
      <c r="D87" s="25">
        <v>0.36381180824452591</v>
      </c>
      <c r="E87" s="25">
        <v>0.38830427021831659</v>
      </c>
      <c r="F87" s="25">
        <v>0.33889730322447997</v>
      </c>
      <c r="G87" s="25">
        <v>0.40100773601697809</v>
      </c>
      <c r="H87" s="25">
        <v>0.34279615795090718</v>
      </c>
    </row>
    <row r="88" spans="1:8" x14ac:dyDescent="0.25">
      <c r="A88" s="36">
        <v>44217</v>
      </c>
      <c r="B88" s="25">
        <v>0.40085601827640299</v>
      </c>
      <c r="C88" s="25">
        <v>0.43250254603506638</v>
      </c>
      <c r="D88" s="25">
        <v>0.36030853473414398</v>
      </c>
      <c r="E88" s="25">
        <v>0.38779777841853053</v>
      </c>
      <c r="F88" s="25">
        <v>0.33419342016441023</v>
      </c>
      <c r="G88" s="25">
        <v>0.39880742518167589</v>
      </c>
      <c r="H88" s="25">
        <v>0.33876459227689443</v>
      </c>
    </row>
    <row r="89" spans="1:8" x14ac:dyDescent="0.25">
      <c r="A89" s="36">
        <v>44218</v>
      </c>
      <c r="B89" s="25">
        <v>0.40184960915996909</v>
      </c>
      <c r="C89" s="25">
        <v>0.43701144996146651</v>
      </c>
      <c r="D89" s="25">
        <v>0.36220839387044612</v>
      </c>
      <c r="E89" s="25">
        <v>0.3877924538664323</v>
      </c>
      <c r="F89" s="25">
        <v>0.33719400202856442</v>
      </c>
      <c r="G89" s="25">
        <v>0.40480314367670522</v>
      </c>
      <c r="H89" s="25">
        <v>0.34217179367133932</v>
      </c>
    </row>
    <row r="90" spans="1:8" x14ac:dyDescent="0.25">
      <c r="A90" s="36">
        <v>44221</v>
      </c>
      <c r="B90" s="25">
        <v>0.40071143525526348</v>
      </c>
      <c r="C90" s="25">
        <v>0.43566946470345402</v>
      </c>
      <c r="D90" s="25">
        <v>0.36520636661127009</v>
      </c>
      <c r="E90" s="25">
        <v>0.3867742156930048</v>
      </c>
      <c r="F90" s="25">
        <v>0.33618997035996367</v>
      </c>
      <c r="G90" s="25">
        <v>0.40379948313337549</v>
      </c>
      <c r="H90" s="25">
        <v>0.34374817135087687</v>
      </c>
    </row>
    <row r="91" spans="1:8" x14ac:dyDescent="0.25">
      <c r="A91" s="36">
        <v>44222</v>
      </c>
      <c r="B91" s="25">
        <v>0.40029860193747252</v>
      </c>
      <c r="C91" s="25">
        <v>0.43344754513430211</v>
      </c>
      <c r="D91" s="25">
        <v>0.36400444085034062</v>
      </c>
      <c r="E91" s="25">
        <v>0.38666868032291718</v>
      </c>
      <c r="F91" s="25">
        <v>0.33618881837744491</v>
      </c>
      <c r="G91" s="25">
        <v>0.40379810094952517</v>
      </c>
      <c r="H91" s="25">
        <v>0.34222990183255081</v>
      </c>
    </row>
    <row r="92" spans="1:8" x14ac:dyDescent="0.25">
      <c r="A92" s="36">
        <v>44223</v>
      </c>
      <c r="B92" s="25">
        <v>0.40018713707790959</v>
      </c>
      <c r="C92" s="25">
        <v>0.43192888791039441</v>
      </c>
      <c r="D92" s="25">
        <v>0.36690481330331659</v>
      </c>
      <c r="E92" s="25">
        <v>0.38516001482762879</v>
      </c>
      <c r="F92" s="25">
        <v>0.33908928614260703</v>
      </c>
      <c r="G92" s="25">
        <v>0.40279722194648582</v>
      </c>
      <c r="H92" s="25">
        <v>0.34171677571910941</v>
      </c>
    </row>
    <row r="93" spans="1:8" x14ac:dyDescent="0.25">
      <c r="A93" s="36">
        <v>44224</v>
      </c>
      <c r="B93" s="25">
        <v>0.396258737409874</v>
      </c>
      <c r="C93" s="25">
        <v>0.43191700148604772</v>
      </c>
      <c r="D93" s="25">
        <v>0.3677040001644748</v>
      </c>
      <c r="E93" s="25">
        <v>0.38355116834619302</v>
      </c>
      <c r="F93" s="25">
        <v>0.33718706953857958</v>
      </c>
      <c r="G93" s="25">
        <v>0.40019716034338759</v>
      </c>
      <c r="H93" s="25">
        <v>0.3407011722917857</v>
      </c>
    </row>
    <row r="94" spans="1:8" x14ac:dyDescent="0.25">
      <c r="A94" s="36">
        <v>44225</v>
      </c>
      <c r="B94" s="25">
        <v>0.39725226340845921</v>
      </c>
      <c r="C94" s="25">
        <v>0.43190511571589751</v>
      </c>
      <c r="D94" s="25">
        <v>0.36720246437247939</v>
      </c>
      <c r="E94" s="25">
        <v>0.38224302914647368</v>
      </c>
      <c r="F94" s="25">
        <v>0.33508475563581291</v>
      </c>
      <c r="G94" s="25">
        <v>0.40019579050416049</v>
      </c>
      <c r="H94" s="25">
        <v>0.33797715375269749</v>
      </c>
    </row>
    <row r="95" spans="1:8" x14ac:dyDescent="0.25">
      <c r="A95" s="36">
        <v>44228</v>
      </c>
      <c r="B95" s="25">
        <v>0.39952947003467071</v>
      </c>
      <c r="C95" s="25">
        <v>0.43186946233008638</v>
      </c>
      <c r="D95" s="25">
        <v>0.36769896039637878</v>
      </c>
      <c r="E95" s="25">
        <v>0.38172620191647683</v>
      </c>
      <c r="F95" s="25">
        <v>0.33618190664811781</v>
      </c>
      <c r="G95" s="25">
        <v>0.40378980804512721</v>
      </c>
      <c r="H95" s="25">
        <v>0.33965406878703819</v>
      </c>
    </row>
    <row r="96" spans="1:8" x14ac:dyDescent="0.25">
      <c r="A96" s="36">
        <v>44229</v>
      </c>
      <c r="B96" s="25">
        <v>0.40022150070164819</v>
      </c>
      <c r="C96" s="25">
        <v>0.42934677929725118</v>
      </c>
      <c r="D96" s="25">
        <v>0.36669716251546208</v>
      </c>
      <c r="E96" s="25">
        <v>0.38051837513556552</v>
      </c>
      <c r="F96" s="25">
        <v>0.33568048574062082</v>
      </c>
      <c r="G96" s="25">
        <v>0.39919083493922702</v>
      </c>
      <c r="H96" s="25">
        <v>0.33964354909201028</v>
      </c>
    </row>
    <row r="97" spans="1:8" x14ac:dyDescent="0.25">
      <c r="A97" s="36">
        <v>44230</v>
      </c>
      <c r="B97" s="25">
        <v>0.39769975786924938</v>
      </c>
      <c r="C97" s="25">
        <v>0.42431350429231779</v>
      </c>
      <c r="D97" s="25">
        <v>0.36569537149984233</v>
      </c>
      <c r="E97" s="25">
        <v>0.37860908242271157</v>
      </c>
      <c r="F97" s="25">
        <v>0.33367826647112842</v>
      </c>
      <c r="G97" s="25">
        <v>0.3958912080615018</v>
      </c>
      <c r="H97" s="25">
        <v>0.34063786149843772</v>
      </c>
    </row>
    <row r="98" spans="1:8" x14ac:dyDescent="0.25">
      <c r="A98" s="36">
        <v>44231</v>
      </c>
      <c r="B98" s="25">
        <v>0.39648369789517118</v>
      </c>
      <c r="C98" s="25">
        <v>0.42932315311597191</v>
      </c>
      <c r="D98" s="25">
        <v>0.36299268447292232</v>
      </c>
      <c r="E98" s="25">
        <v>0.37720090603335849</v>
      </c>
      <c r="F98" s="25">
        <v>0.33707892888348262</v>
      </c>
      <c r="G98" s="25">
        <v>0.39698926939467061</v>
      </c>
      <c r="H98" s="25">
        <v>0.34263691264775209</v>
      </c>
    </row>
    <row r="99" spans="1:8" x14ac:dyDescent="0.25">
      <c r="A99" s="36">
        <v>44232</v>
      </c>
      <c r="B99" s="25">
        <v>0.39647278930281182</v>
      </c>
      <c r="C99" s="25">
        <v>0.43704396632366699</v>
      </c>
      <c r="D99" s="25">
        <v>0.36018996319976981</v>
      </c>
      <c r="E99" s="25">
        <v>0.37699530516431923</v>
      </c>
      <c r="F99" s="25">
        <v>0.33767809049978409</v>
      </c>
      <c r="G99" s="25">
        <v>0.39958652226892483</v>
      </c>
      <c r="H99" s="25">
        <v>0.34272677847591648</v>
      </c>
    </row>
    <row r="100" spans="1:8" x14ac:dyDescent="0.25">
      <c r="A100" s="36">
        <v>44235</v>
      </c>
      <c r="B100" s="25">
        <v>0.39714297504745649</v>
      </c>
      <c r="C100" s="25">
        <v>0.43299127898979339</v>
      </c>
      <c r="D100" s="25">
        <v>0.36018626070330889</v>
      </c>
      <c r="E100" s="25">
        <v>0.37728040192727419</v>
      </c>
      <c r="F100" s="25">
        <v>0.33717436071393092</v>
      </c>
      <c r="G100" s="25">
        <v>0.39958241916216852</v>
      </c>
      <c r="H100" s="25">
        <v>0.34269493980546439</v>
      </c>
    </row>
    <row r="101" spans="1:8" x14ac:dyDescent="0.25">
      <c r="A101" s="36">
        <v>44236</v>
      </c>
      <c r="B101" s="25">
        <v>0.39632874828060521</v>
      </c>
      <c r="C101" s="25">
        <v>0.42976616231086662</v>
      </c>
      <c r="D101" s="25">
        <v>0.3581839986294329</v>
      </c>
      <c r="E101" s="25">
        <v>0.37597254632807142</v>
      </c>
      <c r="F101" s="25">
        <v>0.3369731026212095</v>
      </c>
      <c r="G101" s="25">
        <v>0.39868154435925518</v>
      </c>
      <c r="H101" s="25">
        <v>0.33967039394460702</v>
      </c>
    </row>
    <row r="102" spans="1:8" x14ac:dyDescent="0.25">
      <c r="A102" s="36">
        <v>44237</v>
      </c>
      <c r="B102" s="25">
        <v>0.39571538609666862</v>
      </c>
      <c r="C102" s="25">
        <v>0.42975433963302251</v>
      </c>
      <c r="D102" s="25">
        <v>0.35518123974219717</v>
      </c>
      <c r="E102" s="25">
        <v>0.37526595379610439</v>
      </c>
      <c r="F102" s="25">
        <v>0.33447067167835642</v>
      </c>
      <c r="G102" s="25">
        <v>0.39638144721574747</v>
      </c>
      <c r="H102" s="25">
        <v>0.34046356727298999</v>
      </c>
    </row>
    <row r="103" spans="1:8" x14ac:dyDescent="0.25">
      <c r="A103" s="36">
        <v>44238</v>
      </c>
      <c r="B103" s="25">
        <v>0.39259187940140838</v>
      </c>
      <c r="C103" s="25">
        <v>0.42723233934859151</v>
      </c>
      <c r="D103" s="25">
        <v>0.35518002275125748</v>
      </c>
      <c r="E103" s="25">
        <v>0.37085186405314879</v>
      </c>
      <c r="F103" s="25">
        <v>0.33526993133506022</v>
      </c>
      <c r="G103" s="25">
        <v>0.39558053408725302</v>
      </c>
      <c r="H103" s="25">
        <v>0.33954890115182962</v>
      </c>
    </row>
    <row r="104" spans="1:8" x14ac:dyDescent="0.25">
      <c r="A104" s="36">
        <v>44239</v>
      </c>
      <c r="B104" s="25">
        <v>0.3915770362831128</v>
      </c>
      <c r="C104" s="25">
        <v>0.43374687095975578</v>
      </c>
      <c r="D104" s="25">
        <v>0.35317779841221442</v>
      </c>
      <c r="E104" s="25">
        <v>0.36523547417402169</v>
      </c>
      <c r="F104" s="25">
        <v>0.33416822852600447</v>
      </c>
      <c r="G104" s="25">
        <v>0.3977779527181744</v>
      </c>
      <c r="H104" s="25">
        <v>0.33702700936090568</v>
      </c>
    </row>
    <row r="105" spans="1:8" x14ac:dyDescent="0.25">
      <c r="A105" s="36">
        <v>44244</v>
      </c>
      <c r="B105" s="25">
        <v>0.38841107871720121</v>
      </c>
      <c r="C105" s="25">
        <v>0.42565597667638477</v>
      </c>
      <c r="D105" s="25">
        <v>0.34706878002316188</v>
      </c>
      <c r="E105" s="25">
        <v>0.36210436739959923</v>
      </c>
      <c r="F105" s="25">
        <v>0.32865982772444141</v>
      </c>
      <c r="G105" s="25">
        <v>0.39207442293474981</v>
      </c>
      <c r="H105" s="25">
        <v>0.33044626825627232</v>
      </c>
    </row>
    <row r="106" spans="1:8" x14ac:dyDescent="0.25">
      <c r="A106" s="36">
        <v>44245</v>
      </c>
      <c r="B106" s="25">
        <v>0.39101047883605161</v>
      </c>
      <c r="C106" s="25">
        <v>0.4236365136554911</v>
      </c>
      <c r="D106" s="25">
        <v>0.34796802565622442</v>
      </c>
      <c r="E106" s="25">
        <v>0.36821120245954508</v>
      </c>
      <c r="F106" s="25">
        <v>0.32875874994432241</v>
      </c>
      <c r="G106" s="25">
        <v>0.39027412216901858</v>
      </c>
      <c r="H106" s="25">
        <v>0.33154084015808433</v>
      </c>
    </row>
    <row r="107" spans="1:8" x14ac:dyDescent="0.25">
      <c r="A107" s="36">
        <v>44246</v>
      </c>
      <c r="B107" s="25">
        <v>0.38698432343234318</v>
      </c>
      <c r="C107" s="25">
        <v>0.42372524752475249</v>
      </c>
      <c r="D107" s="25">
        <v>0.34816692934968818</v>
      </c>
      <c r="E107" s="25">
        <v>0.36259538841614047</v>
      </c>
      <c r="F107" s="25">
        <v>0.33015829507298022</v>
      </c>
      <c r="G107" s="25">
        <v>0.3857754047301229</v>
      </c>
      <c r="H107" s="25">
        <v>0.32640847492605068</v>
      </c>
    </row>
    <row r="108" spans="1:8" x14ac:dyDescent="0.25">
      <c r="A108" s="36">
        <v>44249</v>
      </c>
      <c r="B108" s="25">
        <v>0.38394109396914439</v>
      </c>
      <c r="C108" s="25">
        <v>0.42559744795533921</v>
      </c>
      <c r="D108" s="25">
        <v>0.34416147301987582</v>
      </c>
      <c r="E108" s="25">
        <v>0.36418346760358478</v>
      </c>
      <c r="F108" s="25">
        <v>0.32755368100787008</v>
      </c>
      <c r="G108" s="25">
        <v>0.38397250943790151</v>
      </c>
      <c r="H108" s="25">
        <v>0.32386756406332218</v>
      </c>
    </row>
    <row r="109" spans="1:8" x14ac:dyDescent="0.25">
      <c r="A109" s="36">
        <v>44250</v>
      </c>
      <c r="B109" s="25">
        <v>0.37830959190408092</v>
      </c>
      <c r="C109" s="25">
        <v>0.41956330436695632</v>
      </c>
      <c r="D109" s="25">
        <v>0.34115889592412912</v>
      </c>
      <c r="E109" s="25">
        <v>0.35816727053140102</v>
      </c>
      <c r="F109" s="25">
        <v>0.32755255872598199</v>
      </c>
      <c r="G109" s="25">
        <v>0.37767494712055139</v>
      </c>
      <c r="H109" s="25">
        <v>0.32245164662833248</v>
      </c>
    </row>
    <row r="110" spans="1:8" x14ac:dyDescent="0.25">
      <c r="A110" s="36">
        <v>44251</v>
      </c>
      <c r="B110" s="25">
        <v>0.38040698473807227</v>
      </c>
      <c r="C110" s="25">
        <v>0.41654062972638528</v>
      </c>
      <c r="D110" s="25">
        <v>0.34315865211656071</v>
      </c>
      <c r="E110" s="25">
        <v>0.36146846908666708</v>
      </c>
      <c r="F110" s="25">
        <v>0.33115310160519418</v>
      </c>
      <c r="G110" s="25">
        <v>0.38087173782835632</v>
      </c>
      <c r="H110" s="25">
        <v>0.32635796206819467</v>
      </c>
    </row>
    <row r="111" spans="1:8" x14ac:dyDescent="0.25">
      <c r="A111" s="36">
        <v>44252</v>
      </c>
      <c r="B111" s="25">
        <v>0.38059726117802339</v>
      </c>
      <c r="C111" s="25">
        <v>0.42154759940603859</v>
      </c>
      <c r="D111" s="25">
        <v>0.346158853720543</v>
      </c>
      <c r="E111" s="25">
        <v>0.36537068042708531</v>
      </c>
      <c r="F111" s="25">
        <v>0.33215242611335338</v>
      </c>
      <c r="G111" s="25">
        <v>0.37987103663545257</v>
      </c>
      <c r="H111" s="25">
        <v>0.33036445043570362</v>
      </c>
    </row>
    <row r="112" spans="1:8" x14ac:dyDescent="0.25">
      <c r="A112" s="36">
        <v>44253</v>
      </c>
      <c r="B112" s="25">
        <v>0.38189155003162212</v>
      </c>
      <c r="C112" s="25">
        <v>0.41651772211070481</v>
      </c>
      <c r="D112" s="25">
        <v>0.34865880692233109</v>
      </c>
      <c r="E112" s="25">
        <v>0.36847132446786612</v>
      </c>
      <c r="F112" s="25">
        <v>0.3311508323996889</v>
      </c>
      <c r="G112" s="25">
        <v>0.37607203852459298</v>
      </c>
      <c r="H112" s="25">
        <v>0.33135834224543759</v>
      </c>
    </row>
    <row r="113" spans="1:8" x14ac:dyDescent="0.25">
      <c r="A113" s="36">
        <v>44256</v>
      </c>
      <c r="B113" s="25">
        <v>0.38326505361561719</v>
      </c>
      <c r="C113" s="25">
        <v>0.41648336541105307</v>
      </c>
      <c r="D113" s="25">
        <v>0.35065611402336649</v>
      </c>
      <c r="E113" s="25">
        <v>0.36845615479621252</v>
      </c>
      <c r="F113" s="25">
        <v>0.33214787405351698</v>
      </c>
      <c r="G113" s="25">
        <v>0.37766719145732081</v>
      </c>
      <c r="H113" s="25">
        <v>0.33142798198260148</v>
      </c>
    </row>
    <row r="114" spans="1:8" x14ac:dyDescent="0.25">
      <c r="A114" s="36">
        <v>44257</v>
      </c>
      <c r="B114" s="25">
        <v>0.37823678205163452</v>
      </c>
      <c r="C114" s="25">
        <v>0.41145418052844301</v>
      </c>
      <c r="D114" s="25">
        <v>0.34465226075903399</v>
      </c>
      <c r="E114" s="25">
        <v>0.36354242428400868</v>
      </c>
      <c r="F114" s="25">
        <v>0.32264253728530762</v>
      </c>
      <c r="G114" s="25">
        <v>0.36937104055362951</v>
      </c>
      <c r="H114" s="25">
        <v>0.32338579076396218</v>
      </c>
    </row>
    <row r="115" spans="1:8" x14ac:dyDescent="0.25">
      <c r="A115" s="36">
        <v>44258</v>
      </c>
      <c r="B115" s="25">
        <v>0.37631969646981189</v>
      </c>
      <c r="C115" s="25">
        <v>0.4089340701638623</v>
      </c>
      <c r="D115" s="25">
        <v>0.3356471329898037</v>
      </c>
      <c r="E115" s="25">
        <v>0.3628362059501592</v>
      </c>
      <c r="F115" s="25">
        <v>0.32054051090889157</v>
      </c>
      <c r="G115" s="25">
        <v>0.36976952721249079</v>
      </c>
      <c r="H115" s="25">
        <v>0.31976152492023319</v>
      </c>
    </row>
    <row r="116" spans="1:8" x14ac:dyDescent="0.25">
      <c r="A116" s="36">
        <v>44259</v>
      </c>
      <c r="B116" s="25">
        <v>0.3793198251450251</v>
      </c>
      <c r="C116" s="25">
        <v>0.40541060676875701</v>
      </c>
      <c r="D116" s="25">
        <v>0.33814707081504619</v>
      </c>
      <c r="E116" s="25">
        <v>0.36443401534175901</v>
      </c>
      <c r="F116" s="25">
        <v>0.3231405440037276</v>
      </c>
      <c r="G116" s="25">
        <v>0.36956838693558491</v>
      </c>
      <c r="H116" s="25">
        <v>0.3268795318661748</v>
      </c>
    </row>
    <row r="117" spans="1:8" x14ac:dyDescent="0.25">
      <c r="A117" s="36">
        <v>44260</v>
      </c>
      <c r="B117" s="25">
        <v>0.3763993511849123</v>
      </c>
      <c r="C117" s="25">
        <v>0.38633364491120031</v>
      </c>
      <c r="D117" s="25">
        <v>0.33514461719783201</v>
      </c>
      <c r="E117" s="25">
        <v>0.35811812168949148</v>
      </c>
      <c r="F117" s="25">
        <v>0.32273926420304649</v>
      </c>
      <c r="G117" s="25">
        <v>0.36057278974892532</v>
      </c>
      <c r="H117" s="25">
        <v>0.31773393933976468</v>
      </c>
    </row>
    <row r="118" spans="1:8" x14ac:dyDescent="0.25">
      <c r="A118" s="36">
        <v>44263</v>
      </c>
      <c r="B118" s="25">
        <v>0.37014734585039999</v>
      </c>
      <c r="C118" s="25">
        <v>0.39934574044038812</v>
      </c>
      <c r="D118" s="25">
        <v>0.33063927613343969</v>
      </c>
      <c r="E118" s="25">
        <v>0.35760253577946399</v>
      </c>
      <c r="F118" s="25">
        <v>0.32013485132435932</v>
      </c>
      <c r="G118" s="25">
        <v>0.36056908760485579</v>
      </c>
      <c r="H118" s="25">
        <v>0.31770444802728148</v>
      </c>
    </row>
    <row r="119" spans="1:8" x14ac:dyDescent="0.25">
      <c r="A119" s="36">
        <v>44264</v>
      </c>
      <c r="B119" s="25">
        <v>0.36371570729561831</v>
      </c>
      <c r="C119" s="25">
        <v>0.38428445763923252</v>
      </c>
      <c r="D119" s="25">
        <v>0.32613626241100729</v>
      </c>
      <c r="E119" s="25">
        <v>0.3519882543428744</v>
      </c>
      <c r="F119" s="25">
        <v>0.31993367091730113</v>
      </c>
      <c r="G119" s="25">
        <v>0.35237312962886908</v>
      </c>
      <c r="H119" s="25">
        <v>0.30635196732920372</v>
      </c>
    </row>
    <row r="120" spans="1:8" x14ac:dyDescent="0.25">
      <c r="A120" s="36">
        <v>44265</v>
      </c>
      <c r="B120" s="25">
        <v>0.35116413315374262</v>
      </c>
      <c r="C120" s="25">
        <v>0.3712306550482421</v>
      </c>
      <c r="D120" s="25">
        <v>0.32113307226624732</v>
      </c>
      <c r="E120" s="25">
        <v>0.3356563619149549</v>
      </c>
      <c r="F120" s="25">
        <v>0.31433025328989073</v>
      </c>
      <c r="G120" s="25">
        <v>0.34367755117406878</v>
      </c>
      <c r="H120" s="25">
        <v>0.29911553705428812</v>
      </c>
    </row>
    <row r="121" spans="1:8" x14ac:dyDescent="0.25">
      <c r="A121" s="36">
        <v>44266</v>
      </c>
      <c r="B121" s="25">
        <v>0.35065283122594842</v>
      </c>
      <c r="C121" s="25">
        <v>0.37322704782847721</v>
      </c>
      <c r="D121" s="25">
        <v>0.32063176647937508</v>
      </c>
      <c r="E121" s="25">
        <v>0.33565175631174532</v>
      </c>
      <c r="F121" s="25">
        <v>0.31512950527614092</v>
      </c>
      <c r="G121" s="25">
        <v>0.34627468428077618</v>
      </c>
      <c r="H121" s="25">
        <v>0.30372336037398601</v>
      </c>
    </row>
    <row r="122" spans="1:8" x14ac:dyDescent="0.25">
      <c r="A122" s="36">
        <v>44267</v>
      </c>
      <c r="B122" s="25">
        <v>0.35626151012891338</v>
      </c>
      <c r="C122" s="25">
        <v>0.37923641461202268</v>
      </c>
      <c r="D122" s="25">
        <v>0.32763352188049238</v>
      </c>
      <c r="E122" s="25">
        <v>0.34446151946323461</v>
      </c>
      <c r="F122" s="25">
        <v>0.32513250262949628</v>
      </c>
      <c r="G122" s="25">
        <v>0.35286918488249119</v>
      </c>
      <c r="H122" s="25">
        <v>0.30612279972089412</v>
      </c>
    </row>
    <row r="123" spans="1:8" x14ac:dyDescent="0.25">
      <c r="A123" s="36">
        <v>44270</v>
      </c>
      <c r="B123" s="25">
        <v>0.36596306068601581</v>
      </c>
      <c r="C123" s="25">
        <v>0.38823383905013198</v>
      </c>
      <c r="D123" s="25">
        <v>0.33663373120828821</v>
      </c>
      <c r="E123" s="25">
        <v>0.35015641293013561</v>
      </c>
      <c r="F123" s="25">
        <v>0.33463293637198338</v>
      </c>
      <c r="G123" s="25">
        <v>0.35926131268951461</v>
      </c>
      <c r="H123" s="25">
        <v>0.31061053905057812</v>
      </c>
    </row>
    <row r="124" spans="1:8" x14ac:dyDescent="0.25">
      <c r="A124" s="36">
        <v>44271</v>
      </c>
      <c r="B124" s="25">
        <v>0.36765837570427368</v>
      </c>
      <c r="C124" s="25">
        <v>0.40116394118455412</v>
      </c>
      <c r="D124" s="25">
        <v>0.34263494184353432</v>
      </c>
      <c r="E124" s="25">
        <v>0.3545585511422103</v>
      </c>
      <c r="F124" s="25">
        <v>0.33503194751357562</v>
      </c>
      <c r="G124" s="25">
        <v>0.36275774739471928</v>
      </c>
      <c r="H124" s="25">
        <v>0.31401302562163841</v>
      </c>
    </row>
    <row r="125" spans="1:8" x14ac:dyDescent="0.25">
      <c r="A125" s="36">
        <v>44272</v>
      </c>
      <c r="B125" s="25">
        <v>0.36955422415214639</v>
      </c>
      <c r="C125" s="25">
        <v>0.39974852965426272</v>
      </c>
      <c r="D125" s="25">
        <v>0.34063298685103077</v>
      </c>
      <c r="E125" s="25">
        <v>0.35855994292456711</v>
      </c>
      <c r="F125" s="25">
        <v>0.33763181516071339</v>
      </c>
      <c r="G125" s="25">
        <v>0.36855261536776679</v>
      </c>
      <c r="H125" s="25">
        <v>0.31771635953727823</v>
      </c>
    </row>
    <row r="126" spans="1:8" x14ac:dyDescent="0.25">
      <c r="A126" s="36">
        <v>44273</v>
      </c>
      <c r="B126" s="25">
        <v>0.36834034133069499</v>
      </c>
      <c r="C126" s="25">
        <v>0.39913568032539087</v>
      </c>
      <c r="D126" s="25">
        <v>0.33933131657113891</v>
      </c>
      <c r="E126" s="25">
        <v>0.35875533359858408</v>
      </c>
      <c r="F126" s="25">
        <v>0.33963143271197421</v>
      </c>
      <c r="G126" s="25">
        <v>0.36585317439946341</v>
      </c>
      <c r="H126" s="25">
        <v>0.31710443565431662</v>
      </c>
    </row>
    <row r="127" spans="1:8" x14ac:dyDescent="0.25">
      <c r="A127" s="36">
        <v>44274</v>
      </c>
      <c r="B127" s="25">
        <v>0.3711388369792239</v>
      </c>
      <c r="C127" s="25">
        <v>0.39721886336154782</v>
      </c>
      <c r="D127" s="25">
        <v>0.34463218768842852</v>
      </c>
      <c r="E127" s="25">
        <v>0.35975194819449019</v>
      </c>
      <c r="F127" s="25">
        <v>0.3426314202707888</v>
      </c>
      <c r="G127" s="25">
        <v>0.36924961840943471</v>
      </c>
      <c r="H127" s="25">
        <v>0.32271402650244679</v>
      </c>
    </row>
    <row r="128" spans="1:8" x14ac:dyDescent="0.25">
      <c r="A128" s="36">
        <v>44277</v>
      </c>
      <c r="B128" s="25">
        <v>0.3766247149020362</v>
      </c>
      <c r="C128" s="25">
        <v>0.40119809843093068</v>
      </c>
      <c r="D128" s="25">
        <v>0.35313181975463442</v>
      </c>
      <c r="E128" s="25">
        <v>0.36464446913885112</v>
      </c>
      <c r="F128" s="25">
        <v>0.34863013933283321</v>
      </c>
      <c r="G128" s="25">
        <v>0.37524170006262808</v>
      </c>
      <c r="H128" s="25">
        <v>0.32860397431095562</v>
      </c>
    </row>
    <row r="129" spans="1:8" x14ac:dyDescent="0.25">
      <c r="A129" s="36">
        <v>44278</v>
      </c>
      <c r="B129" s="25">
        <v>0.37360546273906348</v>
      </c>
      <c r="C129" s="25">
        <v>0.40118707408221588</v>
      </c>
      <c r="D129" s="25">
        <v>0.35333068395159861</v>
      </c>
      <c r="E129" s="25">
        <v>0.36053339186742028</v>
      </c>
      <c r="F129" s="25">
        <v>0.35263042495169439</v>
      </c>
      <c r="G129" s="25">
        <v>0.37054366499887059</v>
      </c>
      <c r="H129" s="25">
        <v>0.32849347829074871</v>
      </c>
    </row>
    <row r="130" spans="1:8" x14ac:dyDescent="0.25">
      <c r="A130" s="36">
        <v>44280</v>
      </c>
      <c r="B130" s="25">
        <v>0.36506017475408031</v>
      </c>
      <c r="C130" s="25">
        <v>0.3892303676430181</v>
      </c>
      <c r="D130" s="25">
        <v>0.34812637464284979</v>
      </c>
      <c r="E130" s="25">
        <v>0.35381375696216422</v>
      </c>
      <c r="F130" s="25">
        <v>0.34612564835179888</v>
      </c>
      <c r="G130" s="25">
        <v>0.36274657431109769</v>
      </c>
      <c r="H130" s="25">
        <v>0.31613284497983141</v>
      </c>
    </row>
    <row r="131" spans="1:8" x14ac:dyDescent="0.25">
      <c r="A131" s="36">
        <v>44281</v>
      </c>
      <c r="B131" s="25">
        <v>0.3660530292622613</v>
      </c>
      <c r="C131" s="25">
        <v>0.39212803956587439</v>
      </c>
      <c r="D131" s="25">
        <v>0.34752496616934181</v>
      </c>
      <c r="E131" s="25">
        <v>0.35370875917415462</v>
      </c>
      <c r="F131" s="25">
        <v>0.34362356326761329</v>
      </c>
      <c r="G131" s="25">
        <v>0.36184596430588117</v>
      </c>
      <c r="H131" s="25">
        <v>0.3130130044149731</v>
      </c>
    </row>
    <row r="132" spans="1:8" x14ac:dyDescent="0.25">
      <c r="A132" s="36">
        <v>44284</v>
      </c>
      <c r="B132" s="25">
        <v>0.36281389087312488</v>
      </c>
      <c r="C132" s="25">
        <v>0.38216797626243199</v>
      </c>
      <c r="D132" s="25">
        <v>0.34321989188004032</v>
      </c>
      <c r="E132" s="25">
        <v>0.3471851079590661</v>
      </c>
      <c r="F132" s="25">
        <v>0.33811810975066631</v>
      </c>
      <c r="G132" s="25">
        <v>0.35624623555823248</v>
      </c>
      <c r="H132" s="25">
        <v>0.30907167052583118</v>
      </c>
    </row>
    <row r="133" spans="1:8" x14ac:dyDescent="0.25">
      <c r="A133" s="36">
        <v>44285</v>
      </c>
      <c r="B133" s="25">
        <v>0.35899337893898181</v>
      </c>
      <c r="C133" s="25">
        <v>0.38205719937360921</v>
      </c>
      <c r="D133" s="25">
        <v>0.34011764343146089</v>
      </c>
      <c r="E133" s="25">
        <v>0.34337508059095462</v>
      </c>
      <c r="F133" s="25">
        <v>0.33911729742136831</v>
      </c>
      <c r="G133" s="25">
        <v>0.35064902176182122</v>
      </c>
      <c r="H133" s="25">
        <v>0.30785836731468852</v>
      </c>
    </row>
    <row r="134" spans="1:8" x14ac:dyDescent="0.25">
      <c r="A134" s="36">
        <v>44286</v>
      </c>
      <c r="B134" s="25">
        <v>0.36098901098901098</v>
      </c>
      <c r="C134" s="25">
        <v>0.38956730769230768</v>
      </c>
      <c r="D134" s="25">
        <v>0.33911613566289822</v>
      </c>
      <c r="E134" s="25">
        <v>0.34096707818930039</v>
      </c>
      <c r="F134" s="25">
        <v>0.33561493662213082</v>
      </c>
      <c r="G134" s="25">
        <v>0.34984839670100271</v>
      </c>
      <c r="H134" s="25">
        <v>0.30584266575060121</v>
      </c>
    </row>
    <row r="135" spans="1:8" x14ac:dyDescent="0.25">
      <c r="A135" s="36">
        <v>44291</v>
      </c>
      <c r="B135" s="25">
        <v>0.36254360664743851</v>
      </c>
      <c r="C135" s="25">
        <v>0.38941354209586598</v>
      </c>
      <c r="D135" s="25">
        <v>0.33911032698994542</v>
      </c>
      <c r="E135" s="25">
        <v>0.34895411837322537</v>
      </c>
      <c r="F135" s="25">
        <v>0.33260821157568388</v>
      </c>
      <c r="G135" s="25">
        <v>0.35323990897113428</v>
      </c>
      <c r="H135" s="25">
        <v>0.30689862439677817</v>
      </c>
    </row>
    <row r="136" spans="1:8" x14ac:dyDescent="0.25">
      <c r="A136" s="36">
        <v>44292</v>
      </c>
      <c r="B136" s="25">
        <v>0.35992693512058449</v>
      </c>
      <c r="C136" s="25">
        <v>0.38799923089600619</v>
      </c>
      <c r="D136" s="25">
        <v>0.33710852123628843</v>
      </c>
      <c r="E136" s="25">
        <v>0.34674649548733988</v>
      </c>
      <c r="F136" s="25">
        <v>0.33010626708597968</v>
      </c>
      <c r="G136" s="25">
        <v>0.35373833055000409</v>
      </c>
      <c r="H136" s="25">
        <v>0.30588623202841109</v>
      </c>
    </row>
    <row r="137" spans="1:8" x14ac:dyDescent="0.25">
      <c r="A137" s="36">
        <v>44293</v>
      </c>
      <c r="B137" s="25">
        <v>0.35881423901996867</v>
      </c>
      <c r="C137" s="25">
        <v>0.37996813799544038</v>
      </c>
      <c r="D137" s="25">
        <v>0.3243032883760924</v>
      </c>
      <c r="E137" s="25">
        <v>0.34614097411771161</v>
      </c>
      <c r="F137" s="25">
        <v>0.33210577341413527</v>
      </c>
      <c r="G137" s="25">
        <v>0.35263793687567802</v>
      </c>
      <c r="H137" s="25">
        <v>0.304472752375817</v>
      </c>
    </row>
    <row r="138" spans="1:8" x14ac:dyDescent="0.25">
      <c r="A138" s="36">
        <v>44294</v>
      </c>
      <c r="B138" s="25">
        <v>0.35970665787738959</v>
      </c>
      <c r="C138" s="25">
        <v>0.37604784662711488</v>
      </c>
      <c r="D138" s="25">
        <v>0.33320498239171248</v>
      </c>
      <c r="E138" s="25">
        <v>0.34433395512152298</v>
      </c>
      <c r="F138" s="25">
        <v>0.33110432053934802</v>
      </c>
      <c r="G138" s="25">
        <v>0.35353605869590521</v>
      </c>
      <c r="H138" s="25">
        <v>0.30486447872735012</v>
      </c>
    </row>
    <row r="139" spans="1:8" x14ac:dyDescent="0.25">
      <c r="A139" s="36">
        <v>44295</v>
      </c>
      <c r="B139" s="25">
        <v>0.35709027987585479</v>
      </c>
      <c r="C139" s="25">
        <v>0.37864401658930491</v>
      </c>
      <c r="D139" s="25">
        <v>0.33110318626695312</v>
      </c>
      <c r="E139" s="25">
        <v>0.34222661125512632</v>
      </c>
      <c r="F139" s="25">
        <v>0.33140327978924938</v>
      </c>
      <c r="G139" s="25">
        <v>0.35123657257057211</v>
      </c>
      <c r="H139" s="25">
        <v>0.30274914915464951</v>
      </c>
    </row>
    <row r="140" spans="1:8" x14ac:dyDescent="0.25">
      <c r="A140" s="36">
        <v>44298</v>
      </c>
      <c r="B140" s="25">
        <v>0.3633760848072064</v>
      </c>
      <c r="C140" s="25">
        <v>0.38693287927057007</v>
      </c>
      <c r="D140" s="25">
        <v>0.33710159226068132</v>
      </c>
      <c r="E140" s="25">
        <v>0.34691820276497692</v>
      </c>
      <c r="F140" s="25">
        <v>0.33510098933925292</v>
      </c>
      <c r="G140" s="25">
        <v>0.35892711705484193</v>
      </c>
      <c r="H140" s="25">
        <v>0.30683222988379438</v>
      </c>
    </row>
    <row r="141" spans="1:8" x14ac:dyDescent="0.25">
      <c r="A141" s="36">
        <v>44299</v>
      </c>
      <c r="B141" s="25">
        <v>0.36486968939664399</v>
      </c>
      <c r="C141" s="25">
        <v>0.39995331337709061</v>
      </c>
      <c r="D141" s="25">
        <v>0.3385008547067106</v>
      </c>
      <c r="E141" s="25">
        <v>0.34861547323522563</v>
      </c>
      <c r="F141" s="25">
        <v>0.33509984139109938</v>
      </c>
      <c r="G141" s="25">
        <v>0.36362230214596392</v>
      </c>
      <c r="H141" s="25">
        <v>0.30932946909005998</v>
      </c>
    </row>
    <row r="142" spans="1:8" x14ac:dyDescent="0.25">
      <c r="A142" s="36">
        <v>44300</v>
      </c>
      <c r="B142" s="25">
        <v>0.36455896083923761</v>
      </c>
      <c r="C142" s="25">
        <v>0.39292579777008851</v>
      </c>
      <c r="D142" s="25">
        <v>0.3365991353617846</v>
      </c>
      <c r="E142" s="25">
        <v>0.34610774336890038</v>
      </c>
      <c r="F142" s="25">
        <v>0.33489863452934759</v>
      </c>
      <c r="G142" s="25">
        <v>0.36072328077091548</v>
      </c>
      <c r="H142" s="25">
        <v>0.30801645457479759</v>
      </c>
    </row>
    <row r="143" spans="1:8" x14ac:dyDescent="0.25">
      <c r="A143" s="36">
        <v>44301</v>
      </c>
      <c r="B143" s="25">
        <v>0.36184264726074422</v>
      </c>
      <c r="C143" s="25">
        <v>0.39091033914595641</v>
      </c>
      <c r="D143" s="25">
        <v>0.33509754551838722</v>
      </c>
      <c r="E143" s="25">
        <v>0.34289926626894329</v>
      </c>
      <c r="F143" s="25">
        <v>0.33109638079577958</v>
      </c>
      <c r="G143" s="25">
        <v>0.35952297031397029</v>
      </c>
      <c r="H143" s="25">
        <v>0.30860851202637052</v>
      </c>
    </row>
    <row r="144" spans="1:8" x14ac:dyDescent="0.25">
      <c r="A144" s="36">
        <v>44302</v>
      </c>
      <c r="B144" s="25">
        <v>0.3628350175746925</v>
      </c>
      <c r="C144" s="25">
        <v>0.38999752855887521</v>
      </c>
      <c r="D144" s="25">
        <v>0.33609668534783982</v>
      </c>
      <c r="E144" s="25">
        <v>0.34239398760217238</v>
      </c>
      <c r="F144" s="25">
        <v>0.33159539045478842</v>
      </c>
      <c r="G144" s="25">
        <v>0.36371849185219662</v>
      </c>
      <c r="H144" s="25">
        <v>0.31080468610512152</v>
      </c>
    </row>
    <row r="145" spans="1:8" x14ac:dyDescent="0.25">
      <c r="A145" s="36">
        <v>44305</v>
      </c>
      <c r="B145" s="25">
        <v>0.36280512919080699</v>
      </c>
      <c r="C145" s="25">
        <v>0.39397429912957532</v>
      </c>
      <c r="D145" s="25">
        <v>0.33509295386733989</v>
      </c>
      <c r="E145" s="25">
        <v>0.3440817893827397</v>
      </c>
      <c r="F145" s="25">
        <v>0.33159198270753187</v>
      </c>
      <c r="G145" s="25">
        <v>0.36461405267786567</v>
      </c>
      <c r="H145" s="25">
        <v>0.30877086973986428</v>
      </c>
    </row>
    <row r="146" spans="1:8" x14ac:dyDescent="0.25">
      <c r="A146" s="36">
        <v>44306</v>
      </c>
      <c r="B146" s="25">
        <v>0.3622940691927512</v>
      </c>
      <c r="C146" s="25">
        <v>0.39436436024162552</v>
      </c>
      <c r="D146" s="25">
        <v>0.33659221704576597</v>
      </c>
      <c r="E146" s="25">
        <v>0.34297586396050472</v>
      </c>
      <c r="F146" s="25">
        <v>0.33009043573581798</v>
      </c>
      <c r="G146" s="25">
        <v>0.36171508743113312</v>
      </c>
      <c r="H146" s="25">
        <v>0.30936281241417191</v>
      </c>
    </row>
    <row r="147" spans="1:8" x14ac:dyDescent="0.25">
      <c r="A147" s="36">
        <v>44307</v>
      </c>
      <c r="B147" s="25">
        <v>0.36478954449356138</v>
      </c>
      <c r="C147" s="25">
        <v>0.39084594052881583</v>
      </c>
      <c r="D147" s="25">
        <v>0.33809146995248712</v>
      </c>
      <c r="E147" s="25">
        <v>0.3438721355987987</v>
      </c>
      <c r="F147" s="25">
        <v>0.3300893049831975</v>
      </c>
      <c r="G147" s="25">
        <v>0.36601045063665388</v>
      </c>
      <c r="H147" s="25">
        <v>0.31025545077225708</v>
      </c>
    </row>
    <row r="148" spans="1:8" x14ac:dyDescent="0.25">
      <c r="A148" s="36">
        <v>44308</v>
      </c>
      <c r="B148" s="25">
        <v>0.36678381198176929</v>
      </c>
      <c r="C148" s="25">
        <v>0.39885234199110431</v>
      </c>
      <c r="D148" s="25">
        <v>0.34209138057426303</v>
      </c>
      <c r="E148" s="25">
        <v>0.34406763391020539</v>
      </c>
      <c r="F148" s="25">
        <v>0.3345893766143011</v>
      </c>
      <c r="G148" s="25">
        <v>0.36670864244846563</v>
      </c>
      <c r="H148" s="25">
        <v>0.31235092585599628</v>
      </c>
    </row>
    <row r="149" spans="1:8" x14ac:dyDescent="0.25">
      <c r="A149" s="36">
        <v>44309</v>
      </c>
      <c r="B149" s="25">
        <v>0.36627268484199538</v>
      </c>
      <c r="C149" s="25">
        <v>0.39834033440408528</v>
      </c>
      <c r="D149" s="25">
        <v>0.3387893382844106</v>
      </c>
      <c r="E149" s="25">
        <v>0.34256133181575082</v>
      </c>
      <c r="F149" s="25">
        <v>0.3280865159648263</v>
      </c>
      <c r="G149" s="25">
        <v>0.36630770652185068</v>
      </c>
      <c r="H149" s="25">
        <v>0.31574936407295401</v>
      </c>
    </row>
    <row r="150" spans="1:8" x14ac:dyDescent="0.25">
      <c r="A150" s="36">
        <v>44312</v>
      </c>
      <c r="B150" s="25">
        <v>0.36914841047603358</v>
      </c>
      <c r="C150" s="25">
        <v>0.39580244880030752</v>
      </c>
      <c r="D150" s="25">
        <v>0.33758555250303163</v>
      </c>
      <c r="E150" s="25">
        <v>0.34905383539478368</v>
      </c>
      <c r="F150" s="25">
        <v>0.32808314435850178</v>
      </c>
      <c r="G150" s="25">
        <v>0.36820241174940799</v>
      </c>
      <c r="H150" s="25">
        <v>0.31572010132699918</v>
      </c>
    </row>
    <row r="151" spans="1:8" x14ac:dyDescent="0.25">
      <c r="A151" s="36">
        <v>44313</v>
      </c>
      <c r="B151" s="25">
        <v>0.37054108216432857</v>
      </c>
      <c r="C151" s="25">
        <v>0.39478957915831658</v>
      </c>
      <c r="D151" s="25">
        <v>0.33908477119279817</v>
      </c>
      <c r="E151" s="25">
        <v>0.35285285285285278</v>
      </c>
      <c r="F151" s="25">
        <v>0.32958239559889968</v>
      </c>
      <c r="G151" s="25">
        <v>0.37109879994661871</v>
      </c>
      <c r="H151" s="25">
        <v>0.32122275119017779</v>
      </c>
    </row>
    <row r="152" spans="1:8" x14ac:dyDescent="0.25">
      <c r="A152" s="36">
        <v>44314</v>
      </c>
      <c r="B152" s="25">
        <v>0.37323624684308782</v>
      </c>
      <c r="C152" s="25">
        <v>0.39327577687493143</v>
      </c>
      <c r="D152" s="25">
        <v>0.34308459620180309</v>
      </c>
      <c r="E152" s="25">
        <v>0.35384900175515582</v>
      </c>
      <c r="F152" s="25">
        <v>0.33158175988599919</v>
      </c>
      <c r="G152" s="25">
        <v>0.36929899602378891</v>
      </c>
      <c r="H152" s="25">
        <v>0.32271616463933661</v>
      </c>
    </row>
    <row r="153" spans="1:8" x14ac:dyDescent="0.25">
      <c r="A153" s="36">
        <v>44315</v>
      </c>
      <c r="B153" s="25">
        <v>0.3687172307776771</v>
      </c>
      <c r="C153" s="25">
        <v>0.39777375168135282</v>
      </c>
      <c r="D153" s="25">
        <v>0.33908244812951088</v>
      </c>
      <c r="E153" s="25">
        <v>0.35264298152998119</v>
      </c>
      <c r="F153" s="25">
        <v>0.32757965121656291</v>
      </c>
      <c r="G153" s="25">
        <v>0.36719944976543167</v>
      </c>
      <c r="H153" s="25">
        <v>0.31819632689344152</v>
      </c>
    </row>
    <row r="154" spans="1:8" x14ac:dyDescent="0.25">
      <c r="A154" s="36">
        <v>44316</v>
      </c>
      <c r="B154" s="25">
        <v>0.36920807027175412</v>
      </c>
      <c r="C154" s="25">
        <v>0.39074938237716172</v>
      </c>
      <c r="D154" s="25">
        <v>0.34068167026341928</v>
      </c>
      <c r="E154" s="25">
        <v>0.35193747429041539</v>
      </c>
      <c r="F154" s="25">
        <v>0.32957900866646123</v>
      </c>
      <c r="G154" s="25">
        <v>0.37179441554886389</v>
      </c>
      <c r="H154" s="25">
        <v>0.32069190376497242</v>
      </c>
    </row>
    <row r="155" spans="1:8" x14ac:dyDescent="0.25">
      <c r="A155" s="36">
        <v>44319</v>
      </c>
      <c r="B155" s="25">
        <v>0.36837619740345301</v>
      </c>
      <c r="C155" s="25">
        <v>0.39632750528367139</v>
      </c>
      <c r="D155" s="25">
        <v>0.33657722833663889</v>
      </c>
      <c r="E155" s="25">
        <v>0.3521231815501899</v>
      </c>
      <c r="F155" s="25">
        <v>0.32557470378477249</v>
      </c>
      <c r="G155" s="25">
        <v>0.37039176301913129</v>
      </c>
      <c r="H155" s="25">
        <v>0.32066218938424212</v>
      </c>
    </row>
    <row r="156" spans="1:8" x14ac:dyDescent="0.25">
      <c r="A156" s="36">
        <v>44320</v>
      </c>
      <c r="B156" s="25">
        <v>0.36816572432343408</v>
      </c>
      <c r="C156" s="25">
        <v>0.36676318823077347</v>
      </c>
      <c r="D156" s="25">
        <v>0.33657607541430601</v>
      </c>
      <c r="E156" s="25">
        <v>0.35151781062330317</v>
      </c>
      <c r="F156" s="25">
        <v>0.32837422157062901</v>
      </c>
      <c r="G156" s="25">
        <v>0.37019066259700789</v>
      </c>
      <c r="H156" s="25">
        <v>0.32075248965361042</v>
      </c>
    </row>
    <row r="157" spans="1:8" x14ac:dyDescent="0.25">
      <c r="A157" s="36">
        <v>44321</v>
      </c>
      <c r="B157" s="25">
        <v>0.36665294359818862</v>
      </c>
      <c r="C157" s="25">
        <v>0.38819129957458492</v>
      </c>
      <c r="D157" s="25">
        <v>0.33877541233493752</v>
      </c>
      <c r="E157" s="25">
        <v>0.35071227805580307</v>
      </c>
      <c r="F157" s="25">
        <v>0.32807302995529819</v>
      </c>
      <c r="G157" s="25">
        <v>0.3678913240602919</v>
      </c>
      <c r="H157" s="25">
        <v>0.31863836796321399</v>
      </c>
    </row>
    <row r="158" spans="1:8" x14ac:dyDescent="0.25">
      <c r="A158" s="36">
        <v>44322</v>
      </c>
      <c r="B158" s="25">
        <v>0.36604182676473818</v>
      </c>
      <c r="C158" s="25">
        <v>0.39268854978592599</v>
      </c>
      <c r="D158" s="25">
        <v>0.33527348459936429</v>
      </c>
      <c r="E158" s="25">
        <v>0.34800510036196119</v>
      </c>
      <c r="F158" s="25">
        <v>0.32497122657020722</v>
      </c>
      <c r="G158" s="25">
        <v>0.36499250631317448</v>
      </c>
      <c r="H158" s="25">
        <v>0.31622378390249262</v>
      </c>
    </row>
    <row r="159" spans="1:8" x14ac:dyDescent="0.25">
      <c r="A159" s="36">
        <v>44323</v>
      </c>
      <c r="B159" s="25">
        <v>0.36362763125394509</v>
      </c>
      <c r="C159" s="25">
        <v>0.38867085654691658</v>
      </c>
      <c r="D159" s="25">
        <v>0.33457218509472941</v>
      </c>
      <c r="E159" s="25">
        <v>0.34329626938316632</v>
      </c>
      <c r="F159" s="25">
        <v>0.32306970339491048</v>
      </c>
      <c r="G159" s="25">
        <v>0.36289303226380432</v>
      </c>
      <c r="H159" s="25">
        <v>0.31410993264318038</v>
      </c>
    </row>
    <row r="160" spans="1:8" x14ac:dyDescent="0.25">
      <c r="A160" s="36">
        <v>44326</v>
      </c>
      <c r="B160" s="25">
        <v>0.36459934138309552</v>
      </c>
      <c r="C160" s="25">
        <v>0.39565038419319432</v>
      </c>
      <c r="D160" s="25">
        <v>0.33546893197232308</v>
      </c>
      <c r="E160" s="25">
        <v>0.34428297230600491</v>
      </c>
      <c r="F160" s="25">
        <v>0.32256628074261828</v>
      </c>
      <c r="G160" s="25">
        <v>0.36448793840889648</v>
      </c>
      <c r="H160" s="25">
        <v>0.31458176079050298</v>
      </c>
    </row>
    <row r="161" spans="1:8" x14ac:dyDescent="0.25">
      <c r="A161" s="36">
        <v>44327</v>
      </c>
      <c r="B161" s="25">
        <v>0.36048269805987759</v>
      </c>
      <c r="C161" s="25">
        <v>0.38882851732938167</v>
      </c>
      <c r="D161" s="25">
        <v>0.33156699470098411</v>
      </c>
      <c r="E161" s="25">
        <v>0.33847356082313101</v>
      </c>
      <c r="F161" s="25">
        <v>0.3200646706012516</v>
      </c>
      <c r="G161" s="25">
        <v>0.35869167256912721</v>
      </c>
      <c r="H161" s="25">
        <v>0.310664942069311</v>
      </c>
    </row>
    <row r="162" spans="1:8" x14ac:dyDescent="0.25">
      <c r="A162" s="36">
        <v>44328</v>
      </c>
      <c r="B162" s="25">
        <v>0.36367789912738052</v>
      </c>
      <c r="C162" s="25">
        <v>0.39252373634816973</v>
      </c>
      <c r="D162" s="25">
        <v>0.33406635564598453</v>
      </c>
      <c r="E162" s="25">
        <v>0.34137122645389489</v>
      </c>
      <c r="F162" s="25">
        <v>0.3225640709455988</v>
      </c>
      <c r="G162" s="25">
        <v>0.36368613388445592</v>
      </c>
      <c r="H162" s="25">
        <v>0.31376090133732221</v>
      </c>
    </row>
    <row r="163" spans="1:8" x14ac:dyDescent="0.25">
      <c r="A163" s="36">
        <v>44329</v>
      </c>
      <c r="B163" s="25">
        <v>0.36507010948604668</v>
      </c>
      <c r="C163" s="25">
        <v>0.38770545783826799</v>
      </c>
      <c r="D163" s="25">
        <v>0.33536546517642152</v>
      </c>
      <c r="E163" s="25">
        <v>0.34246740605678411</v>
      </c>
      <c r="F163" s="25">
        <v>0.32216288796100612</v>
      </c>
      <c r="G163" s="25">
        <v>0.36418445661806731</v>
      </c>
      <c r="H163" s="25">
        <v>0.31254910167520328</v>
      </c>
    </row>
    <row r="164" spans="1:8" x14ac:dyDescent="0.25">
      <c r="A164" s="36">
        <v>44330</v>
      </c>
      <c r="B164" s="25">
        <v>0.37477499725606411</v>
      </c>
      <c r="C164" s="25">
        <v>0.39560695862144662</v>
      </c>
      <c r="D164" s="25">
        <v>0.34506617707505549</v>
      </c>
      <c r="E164" s="25">
        <v>0.35116939021715288</v>
      </c>
      <c r="F164" s="25">
        <v>0.33056339571972698</v>
      </c>
      <c r="G164" s="25">
        <v>0.37417451942488389</v>
      </c>
      <c r="H164" s="25">
        <v>0.32506106430276921</v>
      </c>
    </row>
    <row r="165" spans="1:8" x14ac:dyDescent="0.25">
      <c r="A165" s="36">
        <v>44333</v>
      </c>
      <c r="B165" s="25">
        <v>0.38105331028616901</v>
      </c>
      <c r="C165" s="25">
        <v>0.40759184569374712</v>
      </c>
      <c r="D165" s="25">
        <v>0.35206390200961141</v>
      </c>
      <c r="E165" s="25">
        <v>0.35725938009787928</v>
      </c>
      <c r="F165" s="25">
        <v>0.33796134229843089</v>
      </c>
      <c r="G165" s="25">
        <v>0.38346250047047642</v>
      </c>
      <c r="H165" s="25">
        <v>0.32953832116162363</v>
      </c>
    </row>
    <row r="166" spans="1:8" x14ac:dyDescent="0.25">
      <c r="A166" s="36">
        <v>44334</v>
      </c>
      <c r="B166" s="25">
        <v>0.38054214223002641</v>
      </c>
      <c r="C166" s="25">
        <v>0.4030742427568042</v>
      </c>
      <c r="D166" s="25">
        <v>0.35506323043829718</v>
      </c>
      <c r="E166" s="25">
        <v>0.35725448264517201</v>
      </c>
      <c r="F166" s="25">
        <v>0.33505966816008331</v>
      </c>
      <c r="G166" s="25">
        <v>0.38346118840202842</v>
      </c>
      <c r="H166" s="25">
        <v>0.32952814785340889</v>
      </c>
    </row>
    <row r="167" spans="1:8" x14ac:dyDescent="0.25">
      <c r="A167" s="36">
        <v>44335</v>
      </c>
      <c r="B167" s="25">
        <v>0.3750240061455733</v>
      </c>
      <c r="C167" s="25">
        <v>0.40156108535213592</v>
      </c>
      <c r="D167" s="25">
        <v>0.35156140284775772</v>
      </c>
      <c r="E167" s="25">
        <v>0.35094518087979282</v>
      </c>
      <c r="F167" s="25">
        <v>0.33605869518306281</v>
      </c>
      <c r="G167" s="25">
        <v>0.37866413010377781</v>
      </c>
      <c r="H167" s="25">
        <v>0.32951797517330322</v>
      </c>
    </row>
    <row r="168" spans="1:8" x14ac:dyDescent="0.25">
      <c r="A168" s="36">
        <v>44336</v>
      </c>
      <c r="B168" s="25">
        <v>0.37341152263374477</v>
      </c>
      <c r="C168" s="25">
        <v>0.40355281207133048</v>
      </c>
      <c r="D168" s="25">
        <v>0.35256036992635731</v>
      </c>
      <c r="E168" s="25">
        <v>0.34803838245373547</v>
      </c>
      <c r="F168" s="25">
        <v>0.33005651652680251</v>
      </c>
      <c r="G168" s="25">
        <v>0.37956203380551568</v>
      </c>
      <c r="H168" s="25">
        <v>0.32850625964671581</v>
      </c>
    </row>
    <row r="169" spans="1:8" x14ac:dyDescent="0.25">
      <c r="A169" s="36">
        <v>44337</v>
      </c>
      <c r="B169" s="25">
        <v>0.36979643905517001</v>
      </c>
      <c r="C169" s="25">
        <v>0.40354174096732598</v>
      </c>
      <c r="D169" s="25">
        <v>0.35075886021969438</v>
      </c>
      <c r="E169" s="25">
        <v>0.34423105920412328</v>
      </c>
      <c r="F169" s="25">
        <v>0.3336559902175365</v>
      </c>
      <c r="G169" s="25">
        <v>0.37466511097956962</v>
      </c>
      <c r="H169" s="25">
        <v>0.32298780006791078</v>
      </c>
    </row>
    <row r="170" spans="1:8" x14ac:dyDescent="0.25">
      <c r="A170" s="36">
        <v>44342</v>
      </c>
      <c r="B170" s="25">
        <v>0.37815585911784072</v>
      </c>
      <c r="C170" s="25">
        <v>0.40649001536098311</v>
      </c>
      <c r="D170" s="25">
        <v>0.36655523435038162</v>
      </c>
      <c r="E170" s="25">
        <v>0.35471380009868958</v>
      </c>
      <c r="F170" s="25">
        <v>0.3470522955513845</v>
      </c>
      <c r="G170" s="25">
        <v>0.38714732469736468</v>
      </c>
      <c r="H170" s="25">
        <v>0.33495425302807919</v>
      </c>
    </row>
    <row r="171" spans="1:8" x14ac:dyDescent="0.25">
      <c r="A171" s="36">
        <v>44343</v>
      </c>
      <c r="B171" s="25">
        <v>0.38144937872013612</v>
      </c>
      <c r="C171" s="25">
        <v>0.41048358339962149</v>
      </c>
      <c r="D171" s="25">
        <v>0.36655397883934959</v>
      </c>
      <c r="E171" s="25">
        <v>0.35681017585701158</v>
      </c>
      <c r="F171" s="25">
        <v>0.35255191689187099</v>
      </c>
      <c r="G171" s="25">
        <v>0.38674636548087882</v>
      </c>
      <c r="H171" s="25">
        <v>0.33844856024937159</v>
      </c>
    </row>
    <row r="172" spans="1:8" x14ac:dyDescent="0.25">
      <c r="A172" s="36">
        <v>44344</v>
      </c>
      <c r="B172" s="25">
        <v>0.37683361676449612</v>
      </c>
      <c r="C172" s="25">
        <v>0.40056091941412042</v>
      </c>
      <c r="D172" s="25">
        <v>0.36325224861110161</v>
      </c>
      <c r="E172" s="25">
        <v>0.35370350064420619</v>
      </c>
      <c r="F172" s="25">
        <v>0.34604977428260231</v>
      </c>
      <c r="G172" s="25">
        <v>0.38514650936811418</v>
      </c>
      <c r="H172" s="25">
        <v>0.33543422649868659</v>
      </c>
    </row>
    <row r="173" spans="1:8" x14ac:dyDescent="0.25">
      <c r="A173" s="36">
        <v>44347</v>
      </c>
      <c r="B173" s="25">
        <v>0.37640218315460361</v>
      </c>
      <c r="C173" s="25">
        <v>0.4054332026000384</v>
      </c>
      <c r="D173" s="25">
        <v>0.36254842256328762</v>
      </c>
      <c r="E173" s="25">
        <v>0.35318868984800089</v>
      </c>
      <c r="F173" s="25">
        <v>0.34404595134281629</v>
      </c>
      <c r="G173" s="25">
        <v>0.3854422778859346</v>
      </c>
      <c r="H173" s="25">
        <v>0.33440196949072343</v>
      </c>
    </row>
    <row r="174" spans="1:8" x14ac:dyDescent="0.25">
      <c r="A174" s="36">
        <v>44348</v>
      </c>
      <c r="B174" s="25">
        <v>0.37889446547090122</v>
      </c>
      <c r="C174" s="25">
        <v>0.40842520980747082</v>
      </c>
      <c r="D174" s="25">
        <v>0.36804789664408383</v>
      </c>
      <c r="E174" s="25">
        <v>0.35618541158411232</v>
      </c>
      <c r="F174" s="25">
        <v>0.34904542371952513</v>
      </c>
      <c r="G174" s="25">
        <v>0.38763891169869158</v>
      </c>
      <c r="H174" s="25">
        <v>0.33749528557419989</v>
      </c>
    </row>
    <row r="175" spans="1:8" x14ac:dyDescent="0.25">
      <c r="A175" s="36">
        <v>44349</v>
      </c>
      <c r="B175" s="25">
        <v>0.3838891479033541</v>
      </c>
      <c r="C175" s="25">
        <v>0.41942517072100483</v>
      </c>
      <c r="D175" s="25">
        <v>0.37604764987344291</v>
      </c>
      <c r="E175" s="25">
        <v>0.36318407960199001</v>
      </c>
      <c r="F175" s="25">
        <v>0.35364481115757818</v>
      </c>
      <c r="G175" s="25">
        <v>0.39473095359475557</v>
      </c>
      <c r="H175" s="25">
        <v>0.34239046583946758</v>
      </c>
    </row>
    <row r="176" spans="1:8" x14ac:dyDescent="0.25">
      <c r="A176" s="36">
        <v>44350</v>
      </c>
      <c r="B176" s="25">
        <v>0.38237713909609478</v>
      </c>
      <c r="C176" s="25">
        <v>0.41841268100043882</v>
      </c>
      <c r="D176" s="25">
        <v>0.3696455727418449</v>
      </c>
      <c r="E176" s="25">
        <v>0.36067786853790912</v>
      </c>
      <c r="F176" s="25">
        <v>0.34504253949117009</v>
      </c>
      <c r="G176" s="25">
        <v>0.38823569664082341</v>
      </c>
      <c r="H176" s="25">
        <v>0.33306957034517748</v>
      </c>
    </row>
    <row r="177" spans="1:8" x14ac:dyDescent="0.25">
      <c r="A177" s="36">
        <v>44351</v>
      </c>
      <c r="B177" s="25">
        <v>0.38086521321815442</v>
      </c>
      <c r="C177" s="25">
        <v>0.41770053475935831</v>
      </c>
      <c r="D177" s="25">
        <v>0.37014436661928651</v>
      </c>
      <c r="E177" s="25">
        <v>0.35867196601110118</v>
      </c>
      <c r="F177" s="25">
        <v>0.34614148956210511</v>
      </c>
      <c r="G177" s="25">
        <v>0.39083192199127531</v>
      </c>
      <c r="H177" s="25">
        <v>0.3357622092325625</v>
      </c>
    </row>
    <row r="178" spans="1:8" x14ac:dyDescent="0.25">
      <c r="A178" s="36">
        <v>44354</v>
      </c>
      <c r="B178" s="25">
        <v>0.38203493473730388</v>
      </c>
      <c r="C178" s="25">
        <v>0.42387161346934299</v>
      </c>
      <c r="D178" s="25">
        <v>0.37304088119245937</v>
      </c>
      <c r="E178" s="25">
        <v>0.36516007016774482</v>
      </c>
      <c r="F178" s="25">
        <v>0.35353874397194213</v>
      </c>
      <c r="G178" s="25">
        <v>0.39492401070213978</v>
      </c>
      <c r="H178" s="25">
        <v>0.33833369899078541</v>
      </c>
    </row>
    <row r="179" spans="1:8" x14ac:dyDescent="0.25">
      <c r="A179" s="36">
        <v>44355</v>
      </c>
      <c r="B179" s="25">
        <v>0.38782938934437472</v>
      </c>
      <c r="C179" s="25">
        <v>0.42536126573254002</v>
      </c>
      <c r="D179" s="25">
        <v>0.37553986895869079</v>
      </c>
      <c r="E179" s="25">
        <v>0.37035727500719479</v>
      </c>
      <c r="F179" s="25">
        <v>0.35903811706037281</v>
      </c>
      <c r="G179" s="25">
        <v>0.39921855487393892</v>
      </c>
      <c r="H179" s="25">
        <v>0.34122603446443689</v>
      </c>
    </row>
    <row r="180" spans="1:8" x14ac:dyDescent="0.25">
      <c r="A180" s="36">
        <v>44356</v>
      </c>
      <c r="B180" s="25">
        <v>0.39332327940773237</v>
      </c>
      <c r="C180" s="25">
        <v>0.4403619413216342</v>
      </c>
      <c r="D180" s="25">
        <v>0.38153919923279789</v>
      </c>
      <c r="E180" s="25">
        <v>0.37665478963957788</v>
      </c>
      <c r="F180" s="25">
        <v>0.36403740110285299</v>
      </c>
      <c r="G180" s="25">
        <v>0.40431230327083623</v>
      </c>
      <c r="H180" s="25">
        <v>0.34772152332636341</v>
      </c>
    </row>
    <row r="181" spans="1:8" x14ac:dyDescent="0.25">
      <c r="A181" s="36">
        <v>44357</v>
      </c>
      <c r="B181" s="25">
        <v>0.3953140851635546</v>
      </c>
      <c r="C181" s="25">
        <v>0.44034986701763051</v>
      </c>
      <c r="D181" s="25">
        <v>0.38333807124680191</v>
      </c>
      <c r="E181" s="25">
        <v>0.3798508996724726</v>
      </c>
      <c r="F181" s="25">
        <v>0.37003675022519361</v>
      </c>
      <c r="G181" s="25">
        <v>0.40421101611120808</v>
      </c>
      <c r="H181" s="25">
        <v>0.35081356966329491</v>
      </c>
    </row>
    <row r="182" spans="1:8" x14ac:dyDescent="0.25">
      <c r="A182" s="36">
        <v>44358</v>
      </c>
      <c r="B182" s="25">
        <v>0.39930631717481901</v>
      </c>
      <c r="C182" s="25">
        <v>0.4493447027856986</v>
      </c>
      <c r="D182" s="25">
        <v>0.38663707478799342</v>
      </c>
      <c r="E182" s="25">
        <v>0.38314696047799152</v>
      </c>
      <c r="F182" s="25">
        <v>0.377036154151768</v>
      </c>
      <c r="G182" s="25">
        <v>0.40560828241219099</v>
      </c>
      <c r="H182" s="25">
        <v>0.35180361133581028</v>
      </c>
    </row>
    <row r="183" spans="1:8" x14ac:dyDescent="0.25">
      <c r="A183" s="36">
        <v>44361</v>
      </c>
      <c r="B183" s="25">
        <v>0.3987731322823852</v>
      </c>
      <c r="C183" s="25">
        <v>0.45281014393420149</v>
      </c>
      <c r="D183" s="25">
        <v>0.38703313639866432</v>
      </c>
      <c r="E183" s="25">
        <v>0.38313120931825972</v>
      </c>
      <c r="F183" s="25">
        <v>0.38003253703228018</v>
      </c>
      <c r="G183" s="25">
        <v>0.40580392425201428</v>
      </c>
      <c r="H183" s="25">
        <v>0.35117059377945342</v>
      </c>
    </row>
    <row r="184" spans="1:8" x14ac:dyDescent="0.25">
      <c r="A184" s="36">
        <v>44362</v>
      </c>
      <c r="B184" s="25">
        <v>0.39726121285228638</v>
      </c>
      <c r="C184" s="25">
        <v>0.44028950542822681</v>
      </c>
      <c r="D184" s="25">
        <v>0.38253144094035119</v>
      </c>
      <c r="E184" s="25">
        <v>0.38072516991887739</v>
      </c>
      <c r="F184" s="25">
        <v>0.38283146559991232</v>
      </c>
      <c r="G184" s="25">
        <v>0.40290537350403371</v>
      </c>
      <c r="H184" s="25">
        <v>0.34755709703068022</v>
      </c>
    </row>
    <row r="185" spans="1:8" x14ac:dyDescent="0.25">
      <c r="A185" s="36">
        <v>44363</v>
      </c>
      <c r="B185" s="25">
        <v>0.39514899799873893</v>
      </c>
      <c r="C185" s="25">
        <v>0.43527428242454153</v>
      </c>
      <c r="D185" s="25">
        <v>0.38543035924062508</v>
      </c>
      <c r="E185" s="25">
        <v>0.37971963769406802</v>
      </c>
      <c r="F185" s="25">
        <v>0.37202930367802939</v>
      </c>
      <c r="G185" s="25">
        <v>0.40040644982500068</v>
      </c>
      <c r="H185" s="25">
        <v>0.34464431977463472</v>
      </c>
    </row>
    <row r="186" spans="1:8" x14ac:dyDescent="0.25">
      <c r="A186" s="36">
        <v>44364</v>
      </c>
      <c r="B186" s="25">
        <v>0.3934371401940896</v>
      </c>
      <c r="C186" s="25">
        <v>0.43125993749657332</v>
      </c>
      <c r="D186" s="25">
        <v>0.37982861722458539</v>
      </c>
      <c r="E186" s="25">
        <v>0.37541313820603472</v>
      </c>
      <c r="F186" s="25">
        <v>0.37002787881278731</v>
      </c>
      <c r="G186" s="25">
        <v>0.39640902123932559</v>
      </c>
      <c r="H186" s="25">
        <v>0.34163165434095721</v>
      </c>
    </row>
    <row r="187" spans="1:8" x14ac:dyDescent="0.25">
      <c r="A187" s="36">
        <v>44365</v>
      </c>
      <c r="B187" s="25">
        <v>0.3923257216480715</v>
      </c>
      <c r="C187" s="25">
        <v>0.43224869102771463</v>
      </c>
      <c r="D187" s="25">
        <v>0.37902725880970889</v>
      </c>
      <c r="E187" s="25">
        <v>0.37310733224626258</v>
      </c>
      <c r="F187" s="25">
        <v>0.36902653957990128</v>
      </c>
      <c r="G187" s="25">
        <v>0.39670736839224191</v>
      </c>
      <c r="H187" s="25">
        <v>0.33831898043596709</v>
      </c>
    </row>
    <row r="188" spans="1:8" x14ac:dyDescent="0.25">
      <c r="A188" s="36">
        <v>44369</v>
      </c>
      <c r="B188" s="25">
        <v>0.38617986459446868</v>
      </c>
      <c r="C188" s="25">
        <v>0.42169640654551432</v>
      </c>
      <c r="D188" s="25">
        <v>0.37322172866228509</v>
      </c>
      <c r="E188" s="25">
        <v>0.36658536919556611</v>
      </c>
      <c r="F188" s="25">
        <v>0.36202107656952631</v>
      </c>
      <c r="G188" s="25">
        <v>0.38711156271275737</v>
      </c>
      <c r="H188" s="25">
        <v>0.33367483647253532</v>
      </c>
    </row>
    <row r="189" spans="1:8" x14ac:dyDescent="0.25">
      <c r="A189" s="36">
        <v>44370</v>
      </c>
      <c r="B189" s="25">
        <v>0.38566906041004267</v>
      </c>
      <c r="C189" s="25">
        <v>0.41618243613638861</v>
      </c>
      <c r="D189" s="25">
        <v>0.37352046687489732</v>
      </c>
      <c r="E189" s="25">
        <v>0.36548010522854318</v>
      </c>
      <c r="F189" s="25">
        <v>0.36001972710833469</v>
      </c>
      <c r="G189" s="25">
        <v>0.38880852839948821</v>
      </c>
      <c r="H189" s="25">
        <v>0.33316430020283971</v>
      </c>
    </row>
    <row r="190" spans="1:8" x14ac:dyDescent="0.25">
      <c r="A190" s="36">
        <v>44371</v>
      </c>
      <c r="B190" s="25">
        <v>0.38175688639166783</v>
      </c>
      <c r="C190" s="25">
        <v>0.40716732903933128</v>
      </c>
      <c r="D190" s="25">
        <v>0.37111906433549668</v>
      </c>
      <c r="E190" s="25">
        <v>0.36007398780571348</v>
      </c>
      <c r="F190" s="25">
        <v>0.35751836566946932</v>
      </c>
      <c r="G190" s="25">
        <v>0.38411194170273188</v>
      </c>
      <c r="H190" s="25">
        <v>0.32965240779127342</v>
      </c>
    </row>
    <row r="191" spans="1:8" x14ac:dyDescent="0.25">
      <c r="A191" s="36">
        <v>44372</v>
      </c>
      <c r="B191" s="25">
        <v>0.37464369895302307</v>
      </c>
      <c r="C191" s="25">
        <v>0.40015348352792851</v>
      </c>
      <c r="D191" s="25">
        <v>0.36201735699656828</v>
      </c>
      <c r="E191" s="25">
        <v>0.34996711698133892</v>
      </c>
      <c r="F191" s="25">
        <v>0.34751666175775547</v>
      </c>
      <c r="G191" s="25">
        <v>0.37472014670060477</v>
      </c>
      <c r="H191" s="25">
        <v>0.32073840081679078</v>
      </c>
    </row>
    <row r="192" spans="1:8" x14ac:dyDescent="0.25">
      <c r="A192" s="36">
        <v>44375</v>
      </c>
      <c r="B192" s="25">
        <v>0.37251226396996362</v>
      </c>
      <c r="C192" s="25">
        <v>0.40512209158924611</v>
      </c>
      <c r="D192" s="25">
        <v>0.36001356215473868</v>
      </c>
      <c r="E192" s="25">
        <v>0.34855252161284578</v>
      </c>
      <c r="F192" s="25">
        <v>0.34501299706495792</v>
      </c>
      <c r="G192" s="25">
        <v>0.37491609618917621</v>
      </c>
      <c r="H192" s="25">
        <v>0.320108529946797</v>
      </c>
    </row>
    <row r="193" spans="1:8" x14ac:dyDescent="0.25">
      <c r="A193" s="36">
        <v>44376</v>
      </c>
      <c r="B193" s="25">
        <v>0.36730063030967391</v>
      </c>
      <c r="C193" s="25">
        <v>0.39510824883529733</v>
      </c>
      <c r="D193" s="25">
        <v>0.35351210657899251</v>
      </c>
      <c r="E193" s="25">
        <v>0.34154678723112752</v>
      </c>
      <c r="F193" s="25">
        <v>0.34101167848213981</v>
      </c>
      <c r="G193" s="25">
        <v>0.373616147793363</v>
      </c>
      <c r="H193" s="25">
        <v>0.31409681066082012</v>
      </c>
    </row>
    <row r="194" spans="1:8" x14ac:dyDescent="0.25">
      <c r="A194" s="36">
        <v>44377</v>
      </c>
      <c r="B194" s="25">
        <v>0.36368967690663451</v>
      </c>
      <c r="C194" s="25">
        <v>0.39559754460003832</v>
      </c>
      <c r="D194" s="25">
        <v>0.35011079108602661</v>
      </c>
      <c r="E194" s="25">
        <v>0.33934183666479428</v>
      </c>
      <c r="F194" s="25">
        <v>0.33901044895219368</v>
      </c>
      <c r="G194" s="25">
        <v>0.37551291305879902</v>
      </c>
      <c r="H194" s="25">
        <v>0.31308684943426091</v>
      </c>
    </row>
    <row r="195" spans="1:8" x14ac:dyDescent="0.25">
      <c r="A195" s="36">
        <v>44378</v>
      </c>
      <c r="B195" s="25">
        <v>0.36257946947276121</v>
      </c>
      <c r="C195" s="25">
        <v>0.40008769045270198</v>
      </c>
      <c r="D195" s="25">
        <v>0.3525096577988438</v>
      </c>
      <c r="E195" s="25">
        <v>0.33803704515563349</v>
      </c>
      <c r="F195" s="25">
        <v>0.34350941121674572</v>
      </c>
      <c r="G195" s="25">
        <v>0.37501214497334939</v>
      </c>
      <c r="H195" s="25">
        <v>0.31357732043517578</v>
      </c>
    </row>
    <row r="196" spans="1:8" x14ac:dyDescent="0.25">
      <c r="A196" s="36">
        <v>44379</v>
      </c>
      <c r="B196" s="25">
        <v>0.36507001342723261</v>
      </c>
      <c r="C196" s="25">
        <v>0.39707615159071608</v>
      </c>
      <c r="D196" s="25">
        <v>0.35730856561629898</v>
      </c>
      <c r="E196" s="25">
        <v>0.34063266340608012</v>
      </c>
      <c r="F196" s="25">
        <v>0.34750833067916009</v>
      </c>
      <c r="G196" s="25">
        <v>0.37181417912234899</v>
      </c>
      <c r="H196" s="25">
        <v>0.31756851649499718</v>
      </c>
    </row>
    <row r="197" spans="1:8" x14ac:dyDescent="0.25">
      <c r="A197" s="36">
        <v>44382</v>
      </c>
      <c r="B197" s="25">
        <v>0.36403989478298993</v>
      </c>
      <c r="C197" s="25">
        <v>0.39554334721613332</v>
      </c>
      <c r="D197" s="25">
        <v>0.35660488499842458</v>
      </c>
      <c r="E197" s="25">
        <v>0.33801852156282541</v>
      </c>
      <c r="F197" s="25">
        <v>0.34900478088740938</v>
      </c>
      <c r="G197" s="25">
        <v>0.37410795536184688</v>
      </c>
      <c r="H197" s="25">
        <v>0.31503884040498142</v>
      </c>
    </row>
    <row r="198" spans="1:8" x14ac:dyDescent="0.25">
      <c r="A198" s="36">
        <v>44383</v>
      </c>
      <c r="B198" s="25">
        <v>0.36302983806888228</v>
      </c>
      <c r="C198" s="25">
        <v>0.39803271501767268</v>
      </c>
      <c r="D198" s="25">
        <v>0.35400363702366799</v>
      </c>
      <c r="E198" s="25">
        <v>0.33771387865254737</v>
      </c>
      <c r="F198" s="25">
        <v>0.34600355483104278</v>
      </c>
      <c r="G198" s="25">
        <v>0.36981119165808551</v>
      </c>
      <c r="H198" s="25">
        <v>0.31082874101372387</v>
      </c>
    </row>
    <row r="199" spans="1:8" x14ac:dyDescent="0.25">
      <c r="A199" s="36">
        <v>44384</v>
      </c>
      <c r="B199" s="25">
        <v>0.35601950791824211</v>
      </c>
      <c r="C199" s="25">
        <v>0.3890213162365061</v>
      </c>
      <c r="D199" s="25">
        <v>0.35700244522222763</v>
      </c>
      <c r="E199" s="25">
        <v>0.33760924956848132</v>
      </c>
      <c r="F199" s="25">
        <v>0.34700237672860768</v>
      </c>
      <c r="G199" s="25">
        <v>0.36971003188417689</v>
      </c>
      <c r="H199" s="25">
        <v>0.31261927105095522</v>
      </c>
    </row>
    <row r="200" spans="1:8" x14ac:dyDescent="0.25">
      <c r="A200" s="36">
        <v>44385</v>
      </c>
      <c r="B200" s="25">
        <v>0.3554097372530754</v>
      </c>
      <c r="C200" s="25">
        <v>0.39041069618345708</v>
      </c>
      <c r="D200" s="25">
        <v>0.35660122123705901</v>
      </c>
      <c r="E200" s="25">
        <v>0.3386046384197044</v>
      </c>
      <c r="F200" s="25">
        <v>0.3505012003465765</v>
      </c>
      <c r="G200" s="25">
        <v>0.36811045845321222</v>
      </c>
      <c r="H200" s="25">
        <v>0.31500970920336591</v>
      </c>
    </row>
    <row r="201" spans="1:8" x14ac:dyDescent="0.25">
      <c r="A201" s="36">
        <v>44389</v>
      </c>
      <c r="B201" s="25">
        <v>0.35797057776073199</v>
      </c>
      <c r="C201" s="25">
        <v>0.39146782456236467</v>
      </c>
      <c r="D201" s="25">
        <v>0.35959630551740912</v>
      </c>
      <c r="E201" s="25">
        <v>0.34288590879826858</v>
      </c>
      <c r="F201" s="25">
        <v>0.3524963784618651</v>
      </c>
      <c r="G201" s="25">
        <v>0.37060274431859003</v>
      </c>
      <c r="H201" s="25">
        <v>0.31897050615182843</v>
      </c>
    </row>
    <row r="202" spans="1:8" x14ac:dyDescent="0.25">
      <c r="A202" s="36">
        <v>44390</v>
      </c>
      <c r="B202" s="25">
        <v>0.36046049747972819</v>
      </c>
      <c r="C202" s="25">
        <v>0.39305692526846381</v>
      </c>
      <c r="D202" s="25">
        <v>0.36499500006849223</v>
      </c>
      <c r="E202" s="25">
        <v>0.34748095994740008</v>
      </c>
      <c r="F202" s="25">
        <v>0.35999506856070462</v>
      </c>
      <c r="G202" s="25">
        <v>0.37369814651368038</v>
      </c>
      <c r="H202" s="25">
        <v>0.32745962826500841</v>
      </c>
    </row>
    <row r="203" spans="1:8" x14ac:dyDescent="0.25">
      <c r="A203" s="36">
        <v>44391</v>
      </c>
      <c r="B203" s="25">
        <v>0.36395014381591562</v>
      </c>
      <c r="C203" s="25">
        <v>0.39494589782221612</v>
      </c>
      <c r="D203" s="25">
        <v>0.36819369531343638</v>
      </c>
      <c r="E203" s="25">
        <v>0.35087596739949323</v>
      </c>
      <c r="F203" s="25">
        <v>0.36279378777760662</v>
      </c>
      <c r="G203" s="25">
        <v>0.37659374305116061</v>
      </c>
      <c r="H203" s="25">
        <v>0.32594976801520309</v>
      </c>
    </row>
    <row r="204" spans="1:8" x14ac:dyDescent="0.25">
      <c r="A204" s="36">
        <v>44392</v>
      </c>
      <c r="B204" s="25">
        <v>0.3636402235249</v>
      </c>
      <c r="C204" s="25">
        <v>0.39493507916506881</v>
      </c>
      <c r="D204" s="25">
        <v>0.36999239741649143</v>
      </c>
      <c r="E204" s="25">
        <v>0.35287099690436402</v>
      </c>
      <c r="F204" s="25">
        <v>0.36349253097539092</v>
      </c>
      <c r="G204" s="25">
        <v>0.37509407627362168</v>
      </c>
      <c r="H204" s="25">
        <v>0.32713950159901928</v>
      </c>
    </row>
    <row r="205" spans="1:8" x14ac:dyDescent="0.25">
      <c r="A205" s="36">
        <v>44393</v>
      </c>
      <c r="B205" s="25">
        <v>0.3639302051661325</v>
      </c>
      <c r="C205" s="25">
        <v>0.39702385843810778</v>
      </c>
      <c r="D205" s="25">
        <v>0.37199108240555878</v>
      </c>
      <c r="E205" s="25">
        <v>0.35566589505115948</v>
      </c>
      <c r="F205" s="25">
        <v>0.36749119027968508</v>
      </c>
      <c r="G205" s="25">
        <v>0.37749019044393578</v>
      </c>
      <c r="H205" s="25">
        <v>0.32642957170199582</v>
      </c>
    </row>
    <row r="206" spans="1:8" x14ac:dyDescent="0.25">
      <c r="A206" s="36">
        <v>44396</v>
      </c>
      <c r="B206" s="25">
        <v>0.36589975349219389</v>
      </c>
      <c r="C206" s="25">
        <v>0.39889071487263761</v>
      </c>
      <c r="D206" s="25">
        <v>0.37648710660593809</v>
      </c>
      <c r="E206" s="25">
        <v>0.35835091083413229</v>
      </c>
      <c r="F206" s="25">
        <v>0.36598746618266498</v>
      </c>
      <c r="G206" s="25">
        <v>0.37988368910782699</v>
      </c>
      <c r="H206" s="25">
        <v>0.32929850388578857</v>
      </c>
    </row>
    <row r="207" spans="1:8" x14ac:dyDescent="0.25">
      <c r="A207" s="36">
        <v>44397</v>
      </c>
      <c r="B207" s="25">
        <v>0.36988852674536438</v>
      </c>
      <c r="C207" s="25">
        <v>0.40887677686176771</v>
      </c>
      <c r="D207" s="25">
        <v>0.38198561013112531</v>
      </c>
      <c r="E207" s="25">
        <v>0.36184547533933242</v>
      </c>
      <c r="F207" s="25">
        <v>0.37598583615000808</v>
      </c>
      <c r="G207" s="25">
        <v>0.38188019334909218</v>
      </c>
      <c r="H207" s="25">
        <v>0.33108774764720178</v>
      </c>
    </row>
    <row r="208" spans="1:8" x14ac:dyDescent="0.25">
      <c r="A208" s="36">
        <v>44398</v>
      </c>
      <c r="B208" s="25">
        <v>0.37187773882559161</v>
      </c>
      <c r="C208" s="25">
        <v>0.40036837204206832</v>
      </c>
      <c r="D208" s="25">
        <v>0.38148432256208648</v>
      </c>
      <c r="E208" s="25">
        <v>0.36314030570317207</v>
      </c>
      <c r="F208" s="25">
        <v>0.37848444584469132</v>
      </c>
      <c r="G208" s="25">
        <v>0.38347712454074617</v>
      </c>
      <c r="H208" s="25">
        <v>0.33247702904405219</v>
      </c>
    </row>
    <row r="209" spans="1:8" x14ac:dyDescent="0.25">
      <c r="A209" s="36">
        <v>44399</v>
      </c>
      <c r="B209" s="25">
        <v>0.37186755402185528</v>
      </c>
      <c r="C209" s="25">
        <v>0.40585544874428292</v>
      </c>
      <c r="D209" s="25">
        <v>0.38548283809282458</v>
      </c>
      <c r="E209" s="25">
        <v>0.36293536767424978</v>
      </c>
      <c r="F209" s="25">
        <v>0.38208298945594887</v>
      </c>
      <c r="G209" s="25">
        <v>0.38537371332396009</v>
      </c>
      <c r="H209" s="25">
        <v>0.33286662535901712</v>
      </c>
    </row>
    <row r="210" spans="1:8" x14ac:dyDescent="0.25">
      <c r="A210" s="36">
        <v>44400</v>
      </c>
      <c r="B210" s="25">
        <v>0.36985813660513778</v>
      </c>
      <c r="C210" s="25">
        <v>0.40534452538752258</v>
      </c>
      <c r="D210" s="25">
        <v>0.38588149883224782</v>
      </c>
      <c r="E210" s="25">
        <v>0.36273043525899151</v>
      </c>
      <c r="F210" s="25">
        <v>0.38498154198086387</v>
      </c>
      <c r="G210" s="25">
        <v>0.38906829408464583</v>
      </c>
      <c r="H210" s="25">
        <v>0.33325619766812947</v>
      </c>
    </row>
    <row r="211" spans="1:8" x14ac:dyDescent="0.25">
      <c r="A211" s="36">
        <v>44403</v>
      </c>
      <c r="B211" s="25">
        <v>0.37042747213626531</v>
      </c>
      <c r="C211" s="25">
        <v>0.4053112249089465</v>
      </c>
      <c r="D211" s="25">
        <v>0.38447761602920377</v>
      </c>
      <c r="E211" s="25">
        <v>0.36211567169289338</v>
      </c>
      <c r="F211" s="25">
        <v>0.38297770335288689</v>
      </c>
      <c r="G211" s="25">
        <v>0.38556821641517891</v>
      </c>
      <c r="H211" s="25">
        <v>0.33482456110325748</v>
      </c>
    </row>
    <row r="212" spans="1:8" x14ac:dyDescent="0.25">
      <c r="A212" s="36">
        <v>44404</v>
      </c>
      <c r="B212" s="25">
        <v>0.37031737773152962</v>
      </c>
      <c r="C212" s="25">
        <v>0.40280135823429541</v>
      </c>
      <c r="D212" s="25">
        <v>0.38397633022621891</v>
      </c>
      <c r="E212" s="25">
        <v>0.36111095894163081</v>
      </c>
      <c r="F212" s="25">
        <v>0.38297639186625482</v>
      </c>
      <c r="G212" s="25">
        <v>0.38576667305218793</v>
      </c>
      <c r="H212" s="25">
        <v>0.33431452413387103</v>
      </c>
    </row>
    <row r="213" spans="1:8" x14ac:dyDescent="0.25">
      <c r="A213" s="36">
        <v>44405</v>
      </c>
      <c r="B213" s="25">
        <v>0.36960760152249511</v>
      </c>
      <c r="C213" s="25">
        <v>0.40279032832224321</v>
      </c>
      <c r="D213" s="25">
        <v>0.38447498279221559</v>
      </c>
      <c r="E213" s="25">
        <v>0.3600062997302072</v>
      </c>
      <c r="F213" s="25">
        <v>0.37997527558138339</v>
      </c>
      <c r="G213" s="25">
        <v>0.38646456560929637</v>
      </c>
      <c r="H213" s="25">
        <v>0.33690270423827151</v>
      </c>
    </row>
    <row r="214" spans="1:8" x14ac:dyDescent="0.25">
      <c r="A214" s="36">
        <v>44406</v>
      </c>
      <c r="B214" s="25">
        <v>0.36839813800657167</v>
      </c>
      <c r="C214" s="25">
        <v>0.40977546549835708</v>
      </c>
      <c r="D214" s="25">
        <v>0.38447366618724749</v>
      </c>
      <c r="E214" s="25">
        <v>0.35900164338537383</v>
      </c>
      <c r="F214" s="25">
        <v>0.38147387165262647</v>
      </c>
      <c r="G214" s="25">
        <v>0.38636335648068959</v>
      </c>
      <c r="H214" s="25">
        <v>0.33479362037100419</v>
      </c>
    </row>
    <row r="215" spans="1:8" x14ac:dyDescent="0.25">
      <c r="A215" s="36">
        <v>44407</v>
      </c>
      <c r="B215" s="25">
        <v>0.36778839571753241</v>
      </c>
      <c r="C215" s="25">
        <v>0.40876482024040961</v>
      </c>
      <c r="D215" s="25">
        <v>0.38477232801750549</v>
      </c>
      <c r="E215" s="25">
        <v>0.35859684200435488</v>
      </c>
      <c r="F215" s="25">
        <v>0.38097260128552402</v>
      </c>
      <c r="G215" s="25">
        <v>0.38776044962730599</v>
      </c>
      <c r="H215" s="25">
        <v>0.33558279059102147</v>
      </c>
    </row>
    <row r="216" spans="1:8" x14ac:dyDescent="0.25">
      <c r="A216" s="36">
        <v>44409</v>
      </c>
      <c r="B216" s="25">
        <v>0.36726857048982831</v>
      </c>
      <c r="C216" s="25">
        <v>0.40474495523368842</v>
      </c>
      <c r="D216" s="25">
        <v>0.38296983456782507</v>
      </c>
      <c r="E216" s="25">
        <v>0.35768730400010962</v>
      </c>
      <c r="F216" s="25">
        <v>0.38047003147012393</v>
      </c>
      <c r="G216" s="25">
        <v>0.38955574635774948</v>
      </c>
      <c r="H216" s="25">
        <v>0.33576197695469312</v>
      </c>
    </row>
    <row r="217" spans="1:8" x14ac:dyDescent="0.25">
      <c r="A217" s="36">
        <v>44410</v>
      </c>
      <c r="B217" s="25">
        <v>0.36625917205125402</v>
      </c>
      <c r="C217" s="25">
        <v>0.39983709341802648</v>
      </c>
      <c r="D217" s="25">
        <v>0.3822685806646029</v>
      </c>
      <c r="E217" s="25">
        <v>0.35578303023663449</v>
      </c>
      <c r="F217" s="25">
        <v>0.37896885187518831</v>
      </c>
      <c r="G217" s="25">
        <v>0.38915487079847028</v>
      </c>
      <c r="H217" s="25">
        <v>0.33675089659703777</v>
      </c>
    </row>
    <row r="218" spans="1:8" x14ac:dyDescent="0.25">
      <c r="A218" s="36">
        <v>44411</v>
      </c>
      <c r="B218" s="25">
        <v>0.36405065023956201</v>
      </c>
      <c r="C218" s="25">
        <v>0.40472279260780292</v>
      </c>
      <c r="D218" s="25">
        <v>0.38146734012498928</v>
      </c>
      <c r="E218" s="25">
        <v>0.35397877439233139</v>
      </c>
      <c r="F218" s="25">
        <v>0.37596781097508769</v>
      </c>
      <c r="G218" s="25">
        <v>0.38745548771101651</v>
      </c>
      <c r="H218" s="25">
        <v>0.33404260415775522</v>
      </c>
    </row>
    <row r="219" spans="1:8" x14ac:dyDescent="0.25">
      <c r="A219" s="36">
        <v>44412</v>
      </c>
      <c r="B219" s="25">
        <v>0.36274160871707822</v>
      </c>
      <c r="C219" s="25">
        <v>0.40970815309642439</v>
      </c>
      <c r="D219" s="25">
        <v>0.37696643449555872</v>
      </c>
      <c r="E219" s="25">
        <v>0.35177471037712588</v>
      </c>
      <c r="F219" s="25">
        <v>0.37146692417798421</v>
      </c>
      <c r="G219" s="25">
        <v>0.38655519675989269</v>
      </c>
      <c r="H219" s="25">
        <v>0.32993559955378232</v>
      </c>
    </row>
    <row r="220" spans="1:8" x14ac:dyDescent="0.25">
      <c r="A220" s="36">
        <v>44413</v>
      </c>
      <c r="B220" s="25">
        <v>0.36223204752648719</v>
      </c>
      <c r="C220" s="25">
        <v>0.40370137158814029</v>
      </c>
      <c r="D220" s="25">
        <v>0.37396542100559188</v>
      </c>
      <c r="E220" s="25">
        <v>0.34957070672490997</v>
      </c>
      <c r="F220" s="25">
        <v>0.36996579083440922</v>
      </c>
      <c r="G220" s="25">
        <v>0.38355733280426357</v>
      </c>
      <c r="H220" s="25">
        <v>0.32722768381107498</v>
      </c>
    </row>
    <row r="221" spans="1:8" x14ac:dyDescent="0.25">
      <c r="A221" s="36">
        <v>44417</v>
      </c>
      <c r="B221" s="25">
        <v>0.36089348772275598</v>
      </c>
      <c r="C221" s="25">
        <v>0.40016013796501598</v>
      </c>
      <c r="D221" s="25">
        <v>0.3739602987354082</v>
      </c>
      <c r="E221" s="25">
        <v>0.35085100847585271</v>
      </c>
      <c r="F221" s="25">
        <v>0.37076063842537271</v>
      </c>
      <c r="G221" s="25">
        <v>0.38285290123520133</v>
      </c>
      <c r="H221" s="25">
        <v>0.32668785646591098</v>
      </c>
    </row>
    <row r="222" spans="1:8" x14ac:dyDescent="0.25">
      <c r="A222" s="36">
        <v>44418</v>
      </c>
      <c r="B222" s="25">
        <v>0.36468028030220079</v>
      </c>
      <c r="C222" s="25">
        <v>0.40464524252709949</v>
      </c>
      <c r="D222" s="25">
        <v>0.37735864562787641</v>
      </c>
      <c r="E222" s="25">
        <v>0.353345108993318</v>
      </c>
      <c r="F222" s="25">
        <v>0.37495890861275483</v>
      </c>
      <c r="G222" s="25">
        <v>0.38644738012328023</v>
      </c>
      <c r="H222" s="25">
        <v>0.32877572804904748</v>
      </c>
    </row>
    <row r="223" spans="1:8" x14ac:dyDescent="0.25">
      <c r="A223" s="36">
        <v>44419</v>
      </c>
      <c r="B223" s="25">
        <v>0.36616894314729148</v>
      </c>
      <c r="C223" s="25">
        <v>0.40463416637013111</v>
      </c>
      <c r="D223" s="25">
        <v>0.37805727434913178</v>
      </c>
      <c r="E223" s="25">
        <v>0.35513945750551118</v>
      </c>
      <c r="F223" s="25">
        <v>0.37545756815154452</v>
      </c>
      <c r="G223" s="25">
        <v>0.38654594089819161</v>
      </c>
      <c r="H223" s="25">
        <v>0.3299643855393658</v>
      </c>
    </row>
    <row r="224" spans="1:8" x14ac:dyDescent="0.25">
      <c r="A224" s="36">
        <v>44420</v>
      </c>
      <c r="B224" s="25">
        <v>0.36985547708983418</v>
      </c>
      <c r="C224" s="25">
        <v>0.40662122953960689</v>
      </c>
      <c r="D224" s="25">
        <v>0.38395529287685681</v>
      </c>
      <c r="E224" s="25">
        <v>0.35663389654133693</v>
      </c>
      <c r="F224" s="25">
        <v>0.37895587500085598</v>
      </c>
      <c r="G224" s="25">
        <v>0.39093944120625018</v>
      </c>
      <c r="H224" s="25">
        <v>0.33764616531990438</v>
      </c>
    </row>
    <row r="225" spans="1:8" x14ac:dyDescent="0.25">
      <c r="A225" s="36">
        <v>44421</v>
      </c>
      <c r="B225" s="25">
        <v>0.36115368824414951</v>
      </c>
      <c r="C225" s="25">
        <v>0.40561105788969481</v>
      </c>
      <c r="D225" s="25">
        <v>0.37745475713527488</v>
      </c>
      <c r="E225" s="25">
        <v>0.35103169713151228</v>
      </c>
      <c r="F225" s="25">
        <v>0.37395517660554378</v>
      </c>
      <c r="G225" s="25">
        <v>0.38754211633515201</v>
      </c>
      <c r="H225" s="25">
        <v>0.33214169645758862</v>
      </c>
    </row>
    <row r="226" spans="1:8" x14ac:dyDescent="0.25">
      <c r="A226" s="36">
        <v>44425</v>
      </c>
      <c r="B226" s="25">
        <v>0.36051479241358553</v>
      </c>
      <c r="C226" s="25">
        <v>0.39767508689345632</v>
      </c>
      <c r="D226" s="25">
        <v>0.3774495872126668</v>
      </c>
      <c r="E226" s="25">
        <v>0.35251167184654769</v>
      </c>
      <c r="F226" s="25">
        <v>0.36395139005406812</v>
      </c>
      <c r="G226" s="25">
        <v>0.38354158899123991</v>
      </c>
      <c r="H226" s="25">
        <v>0.32660740000889338</v>
      </c>
    </row>
    <row r="227" spans="1:8" x14ac:dyDescent="0.25">
      <c r="A227" s="36">
        <v>44426</v>
      </c>
      <c r="B227" s="25">
        <v>0.35960591133004932</v>
      </c>
      <c r="C227" s="25">
        <v>0.39956212370005473</v>
      </c>
      <c r="D227" s="25">
        <v>0.37644843172168202</v>
      </c>
      <c r="E227" s="25">
        <v>0.350907721796276</v>
      </c>
      <c r="F227" s="25">
        <v>0.36654978770031499</v>
      </c>
      <c r="G227" s="25">
        <v>0.38204207285787578</v>
      </c>
      <c r="H227" s="25">
        <v>0.33139143521685588</v>
      </c>
    </row>
    <row r="228" spans="1:8" x14ac:dyDescent="0.25">
      <c r="A228" s="36">
        <v>44427</v>
      </c>
      <c r="B228" s="25">
        <v>0.3610943871267891</v>
      </c>
      <c r="C228" s="25">
        <v>0.39955118907528531</v>
      </c>
      <c r="D228" s="25">
        <v>0.37244770426070312</v>
      </c>
      <c r="E228" s="25">
        <v>0.35240207554661079</v>
      </c>
      <c r="F228" s="25">
        <v>0.36694847641255862</v>
      </c>
      <c r="G228" s="25">
        <v>0.37864484814486687</v>
      </c>
      <c r="H228" s="25">
        <v>0.33158098156781329</v>
      </c>
    </row>
    <row r="229" spans="1:8" x14ac:dyDescent="0.25">
      <c r="A229" s="36">
        <v>44428</v>
      </c>
      <c r="B229" s="25">
        <v>0.36168381588309351</v>
      </c>
      <c r="C229" s="25">
        <v>0.3895517486727601</v>
      </c>
      <c r="D229" s="25">
        <v>0.3719465008457688</v>
      </c>
      <c r="E229" s="25">
        <v>0.35249719339558072</v>
      </c>
      <c r="F229" s="25">
        <v>0.36594736373535308</v>
      </c>
      <c r="G229" s="25">
        <v>0.37944258975481621</v>
      </c>
      <c r="H229" s="25">
        <v>0.32657723905355401</v>
      </c>
    </row>
    <row r="230" spans="1:8" x14ac:dyDescent="0.25">
      <c r="A230" s="36">
        <v>44431</v>
      </c>
      <c r="B230" s="25">
        <v>0.36405116979066909</v>
      </c>
      <c r="C230" s="25">
        <v>0.39950745656040498</v>
      </c>
      <c r="D230" s="25">
        <v>0.37394237189474222</v>
      </c>
      <c r="E230" s="25">
        <v>0.35238277773974952</v>
      </c>
      <c r="F230" s="25">
        <v>0.369942988238114</v>
      </c>
      <c r="G230" s="25">
        <v>0.38702946759932272</v>
      </c>
      <c r="H230" s="25">
        <v>0.32854431353773023</v>
      </c>
    </row>
    <row r="231" spans="1:8" x14ac:dyDescent="0.25">
      <c r="A231" s="36">
        <v>44432</v>
      </c>
      <c r="B231" s="25">
        <v>0.36653806162097091</v>
      </c>
      <c r="C231" s="25">
        <v>0.40948393805067579</v>
      </c>
      <c r="D231" s="25">
        <v>0.37744054018887441</v>
      </c>
      <c r="E231" s="25">
        <v>0.35367713495605507</v>
      </c>
      <c r="F231" s="25">
        <v>0.37144148524547499</v>
      </c>
      <c r="G231" s="25">
        <v>0.39541791514454983</v>
      </c>
      <c r="H231" s="25">
        <v>0.33752145930085431</v>
      </c>
    </row>
    <row r="232" spans="1:8" x14ac:dyDescent="0.25">
      <c r="A232" s="36">
        <v>44433</v>
      </c>
      <c r="B232" s="25">
        <v>0.36652803239663989</v>
      </c>
      <c r="C232" s="25">
        <v>0.4134675896790434</v>
      </c>
      <c r="D232" s="25">
        <v>0.37663937653870783</v>
      </c>
      <c r="E232" s="25">
        <v>0.35347242186537431</v>
      </c>
      <c r="F232" s="25">
        <v>0.37144021339031053</v>
      </c>
      <c r="G232" s="25">
        <v>0.39441778373700648</v>
      </c>
      <c r="H232" s="25">
        <v>0.33451541089449188</v>
      </c>
    </row>
    <row r="233" spans="1:8" x14ac:dyDescent="0.25">
      <c r="A233" s="36">
        <v>44434</v>
      </c>
      <c r="B233" s="25">
        <v>0.36531957973076501</v>
      </c>
      <c r="C233" s="25">
        <v>0.41645233665316839</v>
      </c>
      <c r="D233" s="25">
        <v>0.37493836629595129</v>
      </c>
      <c r="E233" s="25">
        <v>0.35396725440806048</v>
      </c>
      <c r="F233" s="25">
        <v>0.37093902372212789</v>
      </c>
      <c r="G233" s="25">
        <v>0.39251876124477519</v>
      </c>
      <c r="H233" s="25">
        <v>0.33949772938666078</v>
      </c>
    </row>
    <row r="234" spans="1:8" x14ac:dyDescent="0.25">
      <c r="A234" s="36">
        <v>44435</v>
      </c>
      <c r="B234" s="25">
        <v>0.36650797559440751</v>
      </c>
      <c r="C234" s="25">
        <v>0.42043557963282169</v>
      </c>
      <c r="D234" s="25">
        <v>0.37793657913569301</v>
      </c>
      <c r="E234" s="25">
        <v>0.3560610001505839</v>
      </c>
      <c r="F234" s="25">
        <v>0.37373728381196308</v>
      </c>
      <c r="G234" s="25">
        <v>0.3955137348260187</v>
      </c>
      <c r="H234" s="25">
        <v>0.3407853207997511</v>
      </c>
    </row>
    <row r="235" spans="1:8" x14ac:dyDescent="0.25">
      <c r="A235" s="36">
        <v>44438</v>
      </c>
      <c r="B235" s="25">
        <v>0.37206992777413</v>
      </c>
      <c r="C235" s="25">
        <v>0.42439538192164589</v>
      </c>
      <c r="D235" s="25">
        <v>0.38393162861408242</v>
      </c>
      <c r="E235" s="25">
        <v>0.35984367300005471</v>
      </c>
      <c r="F235" s="25">
        <v>0.3819319847150508</v>
      </c>
      <c r="G235" s="25">
        <v>0.40150224721407018</v>
      </c>
      <c r="H235" s="25">
        <v>0.34943993872833951</v>
      </c>
    </row>
    <row r="236" spans="1:8" x14ac:dyDescent="0.25">
      <c r="A236" s="36">
        <v>44439</v>
      </c>
      <c r="B236" s="25">
        <v>0.37515525401471828</v>
      </c>
      <c r="C236" s="25">
        <v>0.42038957130741672</v>
      </c>
      <c r="D236" s="25">
        <v>0.38443022328139081</v>
      </c>
      <c r="E236" s="25">
        <v>0.36283657070893738</v>
      </c>
      <c r="F236" s="25">
        <v>0.38393031401834599</v>
      </c>
      <c r="G236" s="25">
        <v>0.40269938398497762</v>
      </c>
      <c r="H236" s="25">
        <v>0.34942918588470212</v>
      </c>
    </row>
    <row r="237" spans="1:8" x14ac:dyDescent="0.25">
      <c r="A237" s="36">
        <v>44440</v>
      </c>
      <c r="B237" s="25">
        <v>0.37883952508617391</v>
      </c>
      <c r="C237" s="25">
        <v>0.42437216173332598</v>
      </c>
      <c r="D237" s="25">
        <v>0.38692844473967147</v>
      </c>
      <c r="E237" s="25">
        <v>0.36852739069729251</v>
      </c>
      <c r="F237" s="25">
        <v>0.38592862963698488</v>
      </c>
      <c r="G237" s="25">
        <v>0.40629352451054163</v>
      </c>
      <c r="H237" s="25">
        <v>0.35540846399485793</v>
      </c>
    </row>
    <row r="238" spans="1:8" x14ac:dyDescent="0.25">
      <c r="A238" s="36">
        <v>44441</v>
      </c>
      <c r="B238" s="25">
        <v>0.38342224045958151</v>
      </c>
      <c r="C238" s="25">
        <v>0.43334701135275611</v>
      </c>
      <c r="D238" s="25">
        <v>0.39392580164695012</v>
      </c>
      <c r="E238" s="25">
        <v>0.37431797960440771</v>
      </c>
      <c r="F238" s="25">
        <v>0.39192617828833609</v>
      </c>
      <c r="G238" s="25">
        <v>0.40898876404494378</v>
      </c>
      <c r="H238" s="25">
        <v>0.35739414348963228</v>
      </c>
    </row>
    <row r="239" spans="1:8" x14ac:dyDescent="0.25">
      <c r="A239" s="36">
        <v>44442</v>
      </c>
      <c r="B239" s="25">
        <v>0.38441021993653568</v>
      </c>
      <c r="C239" s="25">
        <v>0.42185277382645803</v>
      </c>
      <c r="D239" s="25">
        <v>0.39242474046073361</v>
      </c>
      <c r="E239" s="25">
        <v>0.37591162943495399</v>
      </c>
      <c r="F239" s="25">
        <v>0.39242474046073361</v>
      </c>
      <c r="G239" s="25">
        <v>0.40868774070856401</v>
      </c>
      <c r="H239" s="25">
        <v>0.35638486995049651</v>
      </c>
    </row>
    <row r="240" spans="1:8" x14ac:dyDescent="0.25">
      <c r="A240" s="36">
        <v>44445</v>
      </c>
      <c r="B240" s="25">
        <v>0.38537706173582431</v>
      </c>
      <c r="C240" s="25">
        <v>0.42681008780327689</v>
      </c>
      <c r="D240" s="25">
        <v>0.39592000246525533</v>
      </c>
      <c r="E240" s="25">
        <v>0.37729506289437298</v>
      </c>
      <c r="F240" s="25">
        <v>0.39342050750019691</v>
      </c>
      <c r="G240" s="25">
        <v>0.41337761527384909</v>
      </c>
      <c r="H240" s="25">
        <v>0.35884743839114491</v>
      </c>
    </row>
    <row r="241" spans="1:8" x14ac:dyDescent="0.25">
      <c r="A241" s="36">
        <v>44446</v>
      </c>
      <c r="B241" s="25">
        <v>0.38935995623632391</v>
      </c>
      <c r="C241" s="25">
        <v>0.42929431072210072</v>
      </c>
      <c r="D241" s="25">
        <v>0.39691844141614741</v>
      </c>
      <c r="E241" s="25">
        <v>0.37818915959485361</v>
      </c>
      <c r="F241" s="25">
        <v>0.39391905772786412</v>
      </c>
      <c r="G241" s="25">
        <v>0.41167835277217218</v>
      </c>
      <c r="H241" s="25">
        <v>0.36282901483557811</v>
      </c>
    </row>
    <row r="242" spans="1:8" x14ac:dyDescent="0.25">
      <c r="A242" s="36">
        <v>44447</v>
      </c>
      <c r="B242" s="25">
        <v>0.38735264352725579</v>
      </c>
      <c r="C242" s="25">
        <v>0.42429091108011269</v>
      </c>
      <c r="D242" s="25">
        <v>0.39141823112295032</v>
      </c>
      <c r="E242" s="25">
        <v>0.37758448419813578</v>
      </c>
      <c r="F242" s="25">
        <v>0.39041843998342812</v>
      </c>
      <c r="G242" s="25">
        <v>0.40298798444442158</v>
      </c>
      <c r="H242" s="25">
        <v>0.35802686045756432</v>
      </c>
    </row>
    <row r="243" spans="1:8" x14ac:dyDescent="0.25">
      <c r="A243" s="36">
        <v>44448</v>
      </c>
      <c r="B243" s="25">
        <v>0.38634374487172479</v>
      </c>
      <c r="C243" s="25">
        <v>0.41679202450631803</v>
      </c>
      <c r="D243" s="25">
        <v>0.38891742164334969</v>
      </c>
      <c r="E243" s="25">
        <v>0.37707974049437459</v>
      </c>
      <c r="F243" s="25">
        <v>0.38791763392704293</v>
      </c>
      <c r="G243" s="25">
        <v>0.40048978698370569</v>
      </c>
      <c r="H243" s="25">
        <v>0.35532099617853558</v>
      </c>
    </row>
    <row r="244" spans="1:8" x14ac:dyDescent="0.25">
      <c r="A244" s="36">
        <v>44449</v>
      </c>
      <c r="B244" s="25">
        <v>0.38832973224297779</v>
      </c>
      <c r="C244" s="25">
        <v>0.4167806252222192</v>
      </c>
      <c r="D244" s="25">
        <v>0.38591673714232888</v>
      </c>
      <c r="E244" s="25">
        <v>0.37647509683423902</v>
      </c>
      <c r="F244" s="25">
        <v>0.38941598216823092</v>
      </c>
      <c r="G244" s="25">
        <v>0.3944960717986955</v>
      </c>
      <c r="H244" s="25">
        <v>0.34443119012055362</v>
      </c>
    </row>
    <row r="245" spans="1:8" x14ac:dyDescent="0.25">
      <c r="A245" s="36">
        <v>44452</v>
      </c>
      <c r="B245" s="25">
        <v>0.39528523765246398</v>
      </c>
      <c r="C245" s="25">
        <v>0.43321664934638732</v>
      </c>
      <c r="D245" s="25">
        <v>0.39641040038895309</v>
      </c>
      <c r="E245" s="25">
        <v>0.38395286453343552</v>
      </c>
      <c r="F245" s="25">
        <v>0.39491073935343379</v>
      </c>
      <c r="G245" s="25">
        <v>0.41516540345308778</v>
      </c>
      <c r="H245" s="25">
        <v>0.35537707540140939</v>
      </c>
    </row>
    <row r="246" spans="1:8" x14ac:dyDescent="0.25">
      <c r="A246" s="36">
        <v>44453</v>
      </c>
      <c r="B246" s="25">
        <v>0.39277900839554791</v>
      </c>
      <c r="C246" s="25">
        <v>0.42921213115650719</v>
      </c>
      <c r="D246" s="25">
        <v>0.3939096166290611</v>
      </c>
      <c r="E246" s="25">
        <v>0.38234907687464931</v>
      </c>
      <c r="F246" s="25">
        <v>0.3939096166290611</v>
      </c>
      <c r="G246" s="25">
        <v>0.41047004381329588</v>
      </c>
      <c r="H246" s="25">
        <v>0.35546593849003588</v>
      </c>
    </row>
    <row r="247" spans="1:8" x14ac:dyDescent="0.25">
      <c r="A247" s="36">
        <v>44454</v>
      </c>
      <c r="B247" s="25">
        <v>0.39725989936556549</v>
      </c>
      <c r="C247" s="25">
        <v>0.4341910960402538</v>
      </c>
      <c r="D247" s="25">
        <v>0.39440815152635689</v>
      </c>
      <c r="E247" s="25">
        <v>0.38124486779438332</v>
      </c>
      <c r="F247" s="25">
        <v>0.39290850076009692</v>
      </c>
      <c r="G247" s="25">
        <v>0.41356463208586142</v>
      </c>
      <c r="H247" s="25">
        <v>0.35525542356431039</v>
      </c>
    </row>
    <row r="248" spans="1:8" x14ac:dyDescent="0.25">
      <c r="A248" s="36">
        <v>44455</v>
      </c>
      <c r="B248" s="25">
        <v>0.40124148869260851</v>
      </c>
      <c r="C248" s="25">
        <v>0.42918865705925779</v>
      </c>
      <c r="D248" s="25">
        <v>0.39490668300983672</v>
      </c>
      <c r="E248" s="25">
        <v>0.38143946133107071</v>
      </c>
      <c r="F248" s="25">
        <v>0.39240727362369848</v>
      </c>
      <c r="G248" s="25">
        <v>0.4123647731198205</v>
      </c>
      <c r="H248" s="25">
        <v>0.35724025275014443</v>
      </c>
    </row>
    <row r="249" spans="1:8" x14ac:dyDescent="0.25">
      <c r="A249" s="36">
        <v>44456</v>
      </c>
      <c r="B249" s="25">
        <v>0.4002324309543342</v>
      </c>
      <c r="C249" s="25">
        <v>0.43416735028712061</v>
      </c>
      <c r="D249" s="25">
        <v>0.39190604991953992</v>
      </c>
      <c r="E249" s="25">
        <v>0.38063500752702889</v>
      </c>
      <c r="F249" s="25">
        <v>0.39140616975382608</v>
      </c>
      <c r="G249" s="25">
        <v>0.40796908133251247</v>
      </c>
      <c r="H249" s="25">
        <v>0.35722926562553392</v>
      </c>
    </row>
    <row r="250" spans="1:8" x14ac:dyDescent="0.25">
      <c r="A250" s="36">
        <v>44459</v>
      </c>
      <c r="B250" s="25">
        <v>0.39920159680638723</v>
      </c>
      <c r="C250" s="25">
        <v>0.43413173652694609</v>
      </c>
      <c r="D250" s="25">
        <v>0.38610347413146712</v>
      </c>
      <c r="E250" s="25">
        <v>0.37842157842157842</v>
      </c>
      <c r="F250" s="25">
        <v>0.3849037740564859</v>
      </c>
      <c r="G250" s="25">
        <v>0.39987550575785868</v>
      </c>
      <c r="H250" s="25">
        <v>0.35071090047393372</v>
      </c>
    </row>
    <row r="251" spans="1:8" x14ac:dyDescent="0.25">
      <c r="A251" s="36">
        <v>44460</v>
      </c>
      <c r="B251" s="25">
        <v>0.39719472849565263</v>
      </c>
      <c r="C251" s="25">
        <v>0.41116640236233393</v>
      </c>
      <c r="D251" s="25">
        <v>0.38730184816176733</v>
      </c>
      <c r="E251" s="25">
        <v>0.37721761502039031</v>
      </c>
      <c r="F251" s="25">
        <v>0.3849024562268466</v>
      </c>
      <c r="G251" s="25">
        <v>0.39587939148517021</v>
      </c>
      <c r="H251" s="25">
        <v>0.34920352893742362</v>
      </c>
    </row>
    <row r="252" spans="1:8" x14ac:dyDescent="0.25">
      <c r="A252" s="36">
        <v>44461</v>
      </c>
      <c r="B252" s="25">
        <v>0.39518796992481198</v>
      </c>
      <c r="C252" s="25">
        <v>0.41414900888585099</v>
      </c>
      <c r="D252" s="25">
        <v>0.38350149790293592</v>
      </c>
      <c r="E252" s="25">
        <v>0.37651317139924728</v>
      </c>
      <c r="F252" s="25">
        <v>0.38190190875631258</v>
      </c>
      <c r="G252" s="25">
        <v>0.39348119773586188</v>
      </c>
      <c r="H252" s="25">
        <v>0.3417100879815495</v>
      </c>
    </row>
    <row r="253" spans="1:8" x14ac:dyDescent="0.25">
      <c r="A253" s="36">
        <v>44462</v>
      </c>
      <c r="B253" s="25">
        <v>0.39218339895013121</v>
      </c>
      <c r="C253" s="25">
        <v>0.41323955599300077</v>
      </c>
      <c r="D253" s="25">
        <v>0.37990112162587819</v>
      </c>
      <c r="E253" s="25">
        <v>0.37600853905523018</v>
      </c>
      <c r="F253" s="25">
        <v>0.37890138183212579</v>
      </c>
      <c r="G253" s="25">
        <v>0.39048381249444231</v>
      </c>
      <c r="H253" s="25">
        <v>0.34469256946057858</v>
      </c>
    </row>
    <row r="254" spans="1:8" x14ac:dyDescent="0.25">
      <c r="A254" s="36">
        <v>44463</v>
      </c>
      <c r="B254" s="25">
        <v>0.38478825491429042</v>
      </c>
      <c r="C254" s="25">
        <v>0.40813899445006419</v>
      </c>
      <c r="D254" s="25">
        <v>0.37340153452685432</v>
      </c>
      <c r="E254" s="25">
        <v>0.37320634399332209</v>
      </c>
      <c r="F254" s="25">
        <v>0.37939995275218519</v>
      </c>
      <c r="G254" s="25">
        <v>0.38548909493240119</v>
      </c>
      <c r="H254" s="25">
        <v>0.34358457496421158</v>
      </c>
    </row>
    <row r="255" spans="1:8" x14ac:dyDescent="0.25">
      <c r="A255" s="36">
        <v>44466</v>
      </c>
      <c r="B255" s="25">
        <v>0.38365910333515579</v>
      </c>
      <c r="C255" s="25">
        <v>0.40610989611809728</v>
      </c>
      <c r="D255" s="25">
        <v>0.37789646672144622</v>
      </c>
      <c r="E255" s="25">
        <v>0.37159277504105093</v>
      </c>
      <c r="F255" s="25">
        <v>0.37389756231169541</v>
      </c>
      <c r="G255" s="25">
        <v>0.39047847053592799</v>
      </c>
      <c r="H255" s="25">
        <v>0.34016124624214272</v>
      </c>
    </row>
    <row r="256" spans="1:8" x14ac:dyDescent="0.25">
      <c r="A256" s="36">
        <v>44467</v>
      </c>
      <c r="B256" s="25">
        <v>0.38364861540143791</v>
      </c>
      <c r="C256" s="25">
        <v>0.41108772313496078</v>
      </c>
      <c r="D256" s="25">
        <v>0.37889489559403039</v>
      </c>
      <c r="E256" s="25">
        <v>0.37078857705833251</v>
      </c>
      <c r="F256" s="25">
        <v>0.37889489559403039</v>
      </c>
      <c r="G256" s="25">
        <v>0.39497111744205532</v>
      </c>
      <c r="H256" s="25">
        <v>0.34414082649822869</v>
      </c>
    </row>
    <row r="257" spans="1:8" x14ac:dyDescent="0.25">
      <c r="A257" s="36">
        <v>44468</v>
      </c>
      <c r="B257" s="25">
        <v>0.38812804111311572</v>
      </c>
      <c r="C257" s="25">
        <v>0.41656415723579898</v>
      </c>
      <c r="D257" s="25">
        <v>0.38189275614382268</v>
      </c>
      <c r="E257" s="25">
        <v>0.37188226923182183</v>
      </c>
      <c r="F257" s="25">
        <v>0.37789387911613859</v>
      </c>
      <c r="G257" s="25">
        <v>0.40096172261894991</v>
      </c>
      <c r="H257" s="25">
        <v>0.34662394359461363</v>
      </c>
    </row>
    <row r="258" spans="1:8" x14ac:dyDescent="0.25">
      <c r="A258" s="36">
        <v>44469</v>
      </c>
      <c r="B258" s="25">
        <v>0.38911516278052649</v>
      </c>
      <c r="C258" s="25">
        <v>0.41306071125932808</v>
      </c>
      <c r="D258" s="25">
        <v>0.37989201699516922</v>
      </c>
      <c r="E258" s="25">
        <v>0.37077843000424171</v>
      </c>
      <c r="F258" s="25">
        <v>0.37489343782418011</v>
      </c>
      <c r="G258" s="25">
        <v>0.39946236743013691</v>
      </c>
      <c r="H258" s="25">
        <v>0.34411966646968201</v>
      </c>
    </row>
    <row r="259" spans="1:8" x14ac:dyDescent="0.25">
      <c r="A259" s="36">
        <v>44470</v>
      </c>
      <c r="B259" s="25">
        <v>0.38112289525475618</v>
      </c>
      <c r="C259" s="25">
        <v>0.41983380712879947</v>
      </c>
      <c r="D259" s="25">
        <v>0.37989071636926358</v>
      </c>
      <c r="E259" s="25">
        <v>0.36937496579278628</v>
      </c>
      <c r="F259" s="25">
        <v>0.37089330466578108</v>
      </c>
      <c r="G259" s="25">
        <v>0.39936113600142281</v>
      </c>
      <c r="H259" s="25">
        <v>0.34311166978644331</v>
      </c>
    </row>
    <row r="260" spans="1:8" x14ac:dyDescent="0.25">
      <c r="A260" s="36">
        <v>44473</v>
      </c>
      <c r="B260" s="25">
        <v>0.38059283352010281</v>
      </c>
      <c r="C260" s="25">
        <v>0.41401317407822452</v>
      </c>
      <c r="D260" s="25">
        <v>0.37788741025790262</v>
      </c>
      <c r="E260" s="25">
        <v>0.36826111346751128</v>
      </c>
      <c r="F260" s="25">
        <v>0.37088949525312659</v>
      </c>
      <c r="G260" s="25">
        <v>0.3968604329045784</v>
      </c>
      <c r="H260" s="25">
        <v>0.34278083085425037</v>
      </c>
    </row>
    <row r="261" spans="1:8" x14ac:dyDescent="0.25">
      <c r="A261" s="36">
        <v>44474</v>
      </c>
      <c r="B261" s="25">
        <v>0.38407401333770641</v>
      </c>
      <c r="C261" s="25">
        <v>0.41599704821252881</v>
      </c>
      <c r="D261" s="25">
        <v>0.37988551395469861</v>
      </c>
      <c r="E261" s="25">
        <v>0.36645824211908928</v>
      </c>
      <c r="F261" s="25">
        <v>0.37368738188491141</v>
      </c>
      <c r="G261" s="25">
        <v>0.39945553663157751</v>
      </c>
      <c r="H261" s="25">
        <v>0.34356813027678362</v>
      </c>
    </row>
    <row r="262" spans="1:8" x14ac:dyDescent="0.25">
      <c r="A262" s="36">
        <v>44475</v>
      </c>
      <c r="B262" s="25">
        <v>0.37907567848260398</v>
      </c>
      <c r="C262" s="25">
        <v>0.41598567875591019</v>
      </c>
      <c r="D262" s="25">
        <v>0.37338619393404071</v>
      </c>
      <c r="E262" s="25">
        <v>0.36335700310580249</v>
      </c>
      <c r="F262" s="25">
        <v>0.36888756509146181</v>
      </c>
      <c r="G262" s="25">
        <v>0.39446099336865043</v>
      </c>
      <c r="H262" s="25">
        <v>0.33009450104337079</v>
      </c>
    </row>
    <row r="263" spans="1:8" x14ac:dyDescent="0.25">
      <c r="A263" s="36">
        <v>44476</v>
      </c>
      <c r="B263" s="25">
        <v>0.37357884667942071</v>
      </c>
      <c r="C263" s="25">
        <v>0.40899152773981962</v>
      </c>
      <c r="D263" s="25">
        <v>0.37238522373241117</v>
      </c>
      <c r="E263" s="25">
        <v>0.36345190860582838</v>
      </c>
      <c r="F263" s="25">
        <v>0.3678866102913485</v>
      </c>
      <c r="G263" s="25">
        <v>0.3909644322845417</v>
      </c>
      <c r="H263" s="25">
        <v>0.33905945835183232</v>
      </c>
    </row>
    <row r="264" spans="1:8" x14ac:dyDescent="0.25">
      <c r="A264" s="36">
        <v>44481</v>
      </c>
      <c r="B264" s="25">
        <v>0.37552261237874018</v>
      </c>
      <c r="C264" s="25">
        <v>0.40394862686159311</v>
      </c>
      <c r="D264" s="25">
        <v>0.38387510912545569</v>
      </c>
      <c r="E264" s="25">
        <v>0.36122990628633972</v>
      </c>
      <c r="F264" s="25">
        <v>0.36878002019890788</v>
      </c>
      <c r="G264" s="25">
        <v>0.38686342572801419</v>
      </c>
      <c r="H264" s="25">
        <v>0.33501903672465899</v>
      </c>
    </row>
    <row r="265" spans="1:8" x14ac:dyDescent="0.25">
      <c r="A265" s="36">
        <v>44482</v>
      </c>
      <c r="B265" s="25">
        <v>0.36902940212045032</v>
      </c>
      <c r="C265" s="25">
        <v>0.40453601486501262</v>
      </c>
      <c r="D265" s="25">
        <v>0.37487675284837862</v>
      </c>
      <c r="E265" s="25">
        <v>0.36062575243515382</v>
      </c>
      <c r="F265" s="25">
        <v>0.36587971078001752</v>
      </c>
      <c r="G265" s="25">
        <v>0.3805708501193546</v>
      </c>
      <c r="H265" s="25">
        <v>0.33700284090909088</v>
      </c>
    </row>
    <row r="266" spans="1:8" x14ac:dyDescent="0.25">
      <c r="A266" s="36">
        <v>44483</v>
      </c>
      <c r="B266" s="25">
        <v>0.37300871656146678</v>
      </c>
      <c r="C266" s="25">
        <v>0.40392655135666861</v>
      </c>
      <c r="D266" s="25">
        <v>0.36987712985754728</v>
      </c>
      <c r="E266" s="25">
        <v>0.36022134971339448</v>
      </c>
      <c r="F266" s="25">
        <v>0.37087679777608118</v>
      </c>
      <c r="G266" s="25">
        <v>0.38146829590262887</v>
      </c>
      <c r="H266" s="25">
        <v>0.3240312353818891</v>
      </c>
    </row>
    <row r="267" spans="1:8" x14ac:dyDescent="0.25">
      <c r="A267" s="36">
        <v>44484</v>
      </c>
      <c r="B267" s="25">
        <v>0.37399584676758291</v>
      </c>
      <c r="C267" s="25">
        <v>0.40501256899284122</v>
      </c>
      <c r="D267" s="25">
        <v>0.36987586358003138</v>
      </c>
      <c r="E267" s="25">
        <v>0.35921776245588122</v>
      </c>
      <c r="F267" s="25">
        <v>0.37187519257235591</v>
      </c>
      <c r="G267" s="25">
        <v>0.37697327022516491</v>
      </c>
      <c r="H267" s="25">
        <v>0.33349266940269462</v>
      </c>
    </row>
    <row r="268" spans="1:8" x14ac:dyDescent="0.25">
      <c r="A268" s="36">
        <v>44487</v>
      </c>
      <c r="B268" s="25">
        <v>0.36917843774760262</v>
      </c>
      <c r="C268" s="25">
        <v>0.39391000245894919</v>
      </c>
      <c r="D268" s="25">
        <v>0.3728710274870678</v>
      </c>
      <c r="E268" s="25">
        <v>0.35800467845857098</v>
      </c>
      <c r="F268" s="25">
        <v>0.36387413942437719</v>
      </c>
      <c r="G268" s="25">
        <v>0.37347432210142573</v>
      </c>
      <c r="H268" s="25">
        <v>0.32997279018398212</v>
      </c>
    </row>
    <row r="269" spans="1:8" x14ac:dyDescent="0.25">
      <c r="A269" s="43" t="s">
        <v>36</v>
      </c>
      <c r="B269" s="25"/>
      <c r="C269" s="25"/>
      <c r="D269" s="25"/>
      <c r="E269" s="25"/>
      <c r="F269" s="25"/>
      <c r="G269" s="25"/>
      <c r="H269" s="25"/>
    </row>
    <row r="270" spans="1:8" x14ac:dyDescent="0.25">
      <c r="A270" s="36">
        <v>44517</v>
      </c>
      <c r="B270" s="25">
        <v>0.34625726843384019</v>
      </c>
      <c r="C270" s="25">
        <v>0.39109633916627989</v>
      </c>
      <c r="D270" s="25">
        <v>0.35883901400399132</v>
      </c>
      <c r="E270" s="25">
        <v>0.32511657163172941</v>
      </c>
      <c r="F270" s="25">
        <v>0.35384125614878248</v>
      </c>
      <c r="G270" s="25">
        <v>0.36335124007919539</v>
      </c>
      <c r="H270" s="25">
        <v>0.31074531259060162</v>
      </c>
    </row>
    <row r="271" spans="1:8" x14ac:dyDescent="0.25">
      <c r="A271" s="36">
        <v>44516</v>
      </c>
      <c r="B271" s="25">
        <v>0.36868686868686867</v>
      </c>
      <c r="C271" s="25">
        <v>0.39110701610701609</v>
      </c>
      <c r="D271" s="25">
        <v>0.36083935234313491</v>
      </c>
      <c r="E271" s="25">
        <v>0.32791603992889379</v>
      </c>
      <c r="F271" s="25">
        <v>0.35934001985417452</v>
      </c>
      <c r="G271" s="25">
        <v>0.36944330460949248</v>
      </c>
      <c r="H271" s="25">
        <v>0.32071494354811197</v>
      </c>
    </row>
    <row r="272" spans="1:8" x14ac:dyDescent="0.25">
      <c r="A272" s="36">
        <v>44515</v>
      </c>
      <c r="B272" s="25">
        <v>0.38065467252723262</v>
      </c>
      <c r="C272" s="25">
        <v>0.38663354172923092</v>
      </c>
      <c r="D272" s="25">
        <v>0.37633374296971539</v>
      </c>
      <c r="E272" s="25">
        <v>0.35127924626345219</v>
      </c>
      <c r="F272" s="25">
        <v>0.36483882120570021</v>
      </c>
      <c r="G272" s="25">
        <v>0.37493631150427947</v>
      </c>
      <c r="H272" s="25">
        <v>0.33566538523200568</v>
      </c>
    </row>
    <row r="273" spans="1:8" x14ac:dyDescent="0.25">
      <c r="A273" s="36">
        <v>44512</v>
      </c>
      <c r="B273" s="25">
        <v>0.38546933872112699</v>
      </c>
      <c r="C273" s="25">
        <v>0.38367553104352098</v>
      </c>
      <c r="D273" s="25">
        <v>0.38093562366923861</v>
      </c>
      <c r="E273" s="25">
        <v>0.35758280228646439</v>
      </c>
      <c r="F273" s="25">
        <v>0.37143972121618751</v>
      </c>
      <c r="G273" s="25">
        <v>0.37194463062003308</v>
      </c>
      <c r="H273" s="25">
        <v>0.33868469710098448</v>
      </c>
    </row>
    <row r="274" spans="1:8" x14ac:dyDescent="0.25">
      <c r="A274" s="36">
        <v>44511</v>
      </c>
      <c r="B274" s="25">
        <v>0.37969965870307171</v>
      </c>
      <c r="C274" s="25">
        <v>0.38866894197952218</v>
      </c>
      <c r="D274" s="25">
        <v>0.38533504492939658</v>
      </c>
      <c r="E274" s="25">
        <v>0.35838632478632482</v>
      </c>
      <c r="F274" s="25">
        <v>0.36484381685922118</v>
      </c>
      <c r="G274" s="25">
        <v>0.37194590250824972</v>
      </c>
      <c r="H274" s="25">
        <v>0.33969125799573557</v>
      </c>
    </row>
    <row r="275" spans="1:8" x14ac:dyDescent="0.25">
      <c r="A275" s="36">
        <v>44510</v>
      </c>
      <c r="B275" s="25">
        <v>0.38100562472695498</v>
      </c>
      <c r="C275" s="25">
        <v>0.38867955439056362</v>
      </c>
      <c r="D275" s="25">
        <v>0.3858361517711657</v>
      </c>
      <c r="E275" s="25">
        <v>0.3580917345878234</v>
      </c>
      <c r="F275" s="25">
        <v>0.36984294340759399</v>
      </c>
      <c r="G275" s="25">
        <v>0.36545682102628291</v>
      </c>
      <c r="H275" s="25">
        <v>0.34169407333615359</v>
      </c>
    </row>
    <row r="276" spans="1:8" x14ac:dyDescent="0.25">
      <c r="A276" s="36">
        <v>44509</v>
      </c>
      <c r="B276" s="25">
        <v>0.38011905086967213</v>
      </c>
      <c r="C276" s="25">
        <v>0.37274390410397829</v>
      </c>
      <c r="D276" s="25">
        <v>0.38683705151597098</v>
      </c>
      <c r="E276" s="25">
        <v>0.35849595886383212</v>
      </c>
      <c r="F276" s="25">
        <v>0.37414239892100237</v>
      </c>
      <c r="G276" s="25">
        <v>0.3659573303970482</v>
      </c>
      <c r="H276" s="25">
        <v>0.34409550096040009</v>
      </c>
    </row>
    <row r="277" spans="1:8" x14ac:dyDescent="0.25">
      <c r="A277" s="36">
        <v>44508</v>
      </c>
      <c r="B277" s="25">
        <v>0.37873409426028071</v>
      </c>
      <c r="C277" s="25">
        <v>0.37823575992572772</v>
      </c>
      <c r="D277" s="25">
        <v>0.38533900219771189</v>
      </c>
      <c r="E277" s="25">
        <v>0.35929952681819433</v>
      </c>
      <c r="F277" s="25">
        <v>0.37484338735185979</v>
      </c>
      <c r="G277" s="25">
        <v>0.36895415002462112</v>
      </c>
      <c r="H277" s="25">
        <v>0.34868883445127569</v>
      </c>
    </row>
    <row r="278" spans="1:8" x14ac:dyDescent="0.25">
      <c r="A278" s="36">
        <v>44505</v>
      </c>
      <c r="B278" s="25">
        <v>0.3808582976050684</v>
      </c>
      <c r="C278" s="25">
        <v>0.37278462000600782</v>
      </c>
      <c r="D278" s="25">
        <v>0.38514304102095381</v>
      </c>
      <c r="E278" s="25">
        <v>0.3579165469987281</v>
      </c>
      <c r="F278" s="25">
        <v>0.37484723691372351</v>
      </c>
      <c r="G278" s="25">
        <v>0.36276703062965709</v>
      </c>
      <c r="H278" s="25">
        <v>0.34324105762767387</v>
      </c>
    </row>
    <row r="279" spans="1:8" x14ac:dyDescent="0.25">
      <c r="A279" s="36">
        <v>44504</v>
      </c>
      <c r="B279" s="25">
        <v>0.37428996668305198</v>
      </c>
      <c r="C279" s="25">
        <v>0.37678191053580201</v>
      </c>
      <c r="D279" s="25">
        <v>0.38384488460142818</v>
      </c>
      <c r="E279" s="25">
        <v>0.35642386279712251</v>
      </c>
      <c r="F279" s="25">
        <v>0.37214961077372838</v>
      </c>
      <c r="G279" s="25">
        <v>0.36576388033977603</v>
      </c>
      <c r="H279" s="25">
        <v>0.33976428196081382</v>
      </c>
    </row>
    <row r="280" spans="1:8" x14ac:dyDescent="0.25">
      <c r="A280" s="36">
        <v>44503</v>
      </c>
      <c r="B280" s="25">
        <v>0.36981456700439691</v>
      </c>
      <c r="C280" s="25">
        <v>0.37729060272551002</v>
      </c>
      <c r="D280" s="25">
        <v>0.37884820123443691</v>
      </c>
      <c r="E280" s="25">
        <v>0.35523065771298062</v>
      </c>
      <c r="F280" s="25">
        <v>0.36135521041226631</v>
      </c>
      <c r="G280" s="25">
        <v>0.35647871092614569</v>
      </c>
      <c r="H280" s="25">
        <v>0.3357890893456133</v>
      </c>
    </row>
    <row r="281" spans="1:8" x14ac:dyDescent="0.25">
      <c r="A281" s="36">
        <v>44502</v>
      </c>
      <c r="B281" s="25">
        <v>0.37012371640812758</v>
      </c>
      <c r="C281" s="25">
        <v>0.37381199475639071</v>
      </c>
      <c r="D281" s="25">
        <v>0.38034890249079129</v>
      </c>
      <c r="E281" s="25">
        <v>0.35633377099403679</v>
      </c>
      <c r="F281" s="25">
        <v>0.35985704309247007</v>
      </c>
      <c r="G281" s="25">
        <v>0.35727876454214058</v>
      </c>
      <c r="H281" s="25">
        <v>0.33380652734742899</v>
      </c>
    </row>
    <row r="282" spans="1:8" x14ac:dyDescent="0.25">
      <c r="A282" s="36">
        <v>44501</v>
      </c>
      <c r="B282" s="25">
        <v>0.36046429059128771</v>
      </c>
      <c r="C282" s="25">
        <v>0.37980335927898401</v>
      </c>
      <c r="D282" s="25">
        <v>0.37885079506358788</v>
      </c>
      <c r="E282" s="25">
        <v>0.35603911646037062</v>
      </c>
      <c r="F282" s="25">
        <v>0.36885473186929801</v>
      </c>
      <c r="G282" s="25">
        <v>0.35897751560229119</v>
      </c>
      <c r="H282" s="25">
        <v>0.33381677956558092</v>
      </c>
    </row>
    <row r="283" spans="1:8" x14ac:dyDescent="0.25">
      <c r="A283" s="36">
        <v>44498</v>
      </c>
      <c r="B283" s="25">
        <v>0.36488036709275651</v>
      </c>
      <c r="C283" s="25">
        <v>0.38083142139189341</v>
      </c>
      <c r="D283" s="25">
        <v>0.3768554527030728</v>
      </c>
      <c r="E283" s="25">
        <v>0.35645311303206051</v>
      </c>
      <c r="F283" s="25">
        <v>0.36585967026346061</v>
      </c>
      <c r="G283" s="25">
        <v>0.36527210674983412</v>
      </c>
      <c r="H283" s="25">
        <v>0.33733549937203078</v>
      </c>
    </row>
    <row r="284" spans="1:8" x14ac:dyDescent="0.25">
      <c r="A284" s="36">
        <v>44497</v>
      </c>
      <c r="B284" s="25">
        <v>0.36887820600366011</v>
      </c>
      <c r="C284" s="25">
        <v>0.38482969599300759</v>
      </c>
      <c r="D284" s="25">
        <v>0.37385788279113069</v>
      </c>
      <c r="E284" s="25">
        <v>0.35765616665070921</v>
      </c>
      <c r="F284" s="25">
        <v>0.36286206270903859</v>
      </c>
      <c r="G284" s="25">
        <v>0.36946730911938608</v>
      </c>
      <c r="H284" s="25">
        <v>0.33535268038457472</v>
      </c>
    </row>
    <row r="285" spans="1:8" x14ac:dyDescent="0.25">
      <c r="A285" s="36">
        <v>44496</v>
      </c>
      <c r="B285" s="25">
        <v>0.36819038514067193</v>
      </c>
      <c r="C285" s="25">
        <v>0.38882818901939359</v>
      </c>
      <c r="D285" s="25">
        <v>0.37285953921467929</v>
      </c>
      <c r="E285" s="25">
        <v>0.35816030638763502</v>
      </c>
      <c r="F285" s="25">
        <v>0.36116394508917882</v>
      </c>
      <c r="G285" s="25">
        <v>0.36956842897202652</v>
      </c>
      <c r="H285" s="25">
        <v>0.33336973958155569</v>
      </c>
    </row>
    <row r="286" spans="1:8" x14ac:dyDescent="0.25">
      <c r="A286" s="36">
        <v>44495</v>
      </c>
      <c r="B286" s="25">
        <v>0.37009478543527552</v>
      </c>
      <c r="C286" s="25">
        <v>0.3888388101286569</v>
      </c>
      <c r="D286" s="25">
        <v>0.37236100222862012</v>
      </c>
      <c r="E286" s="25">
        <v>0.35826505628581978</v>
      </c>
      <c r="F286" s="25">
        <v>0.35836622630593368</v>
      </c>
      <c r="G286" s="25">
        <v>0.37246553746507582</v>
      </c>
      <c r="H286" s="25">
        <v>0.33487495776176612</v>
      </c>
    </row>
    <row r="287" spans="1:8" x14ac:dyDescent="0.25">
      <c r="A287" s="36">
        <v>44494</v>
      </c>
      <c r="B287" s="25">
        <v>0.36791138548951052</v>
      </c>
      <c r="C287" s="25">
        <v>0.38685533216783208</v>
      </c>
      <c r="D287" s="25">
        <v>0.36986320128171768</v>
      </c>
      <c r="E287" s="25">
        <v>0.35817010450292708</v>
      </c>
      <c r="F287" s="25">
        <v>0.35706793377791768</v>
      </c>
      <c r="G287" s="25">
        <v>0.37396466701776232</v>
      </c>
      <c r="H287" s="25">
        <v>0.32890515134552112</v>
      </c>
    </row>
    <row r="288" spans="1:8" x14ac:dyDescent="0.25">
      <c r="A288" s="36">
        <v>44491</v>
      </c>
      <c r="B288" s="25">
        <v>0.36704411965578482</v>
      </c>
      <c r="C288" s="25">
        <v>0.38888130036880209</v>
      </c>
      <c r="D288" s="25">
        <v>0.3673678985296383</v>
      </c>
      <c r="E288" s="25">
        <v>0.35768552082620891</v>
      </c>
      <c r="F288" s="25">
        <v>0.35597199637116789</v>
      </c>
      <c r="G288" s="25">
        <v>0.37646495562813131</v>
      </c>
      <c r="H288" s="25">
        <v>0.33092901397873331</v>
      </c>
    </row>
    <row r="289" spans="1:8" x14ac:dyDescent="0.25">
      <c r="A289" s="36">
        <v>44490</v>
      </c>
      <c r="B289" s="25">
        <v>0.36775215823407281</v>
      </c>
      <c r="C289" s="25">
        <v>0.38889192437984921</v>
      </c>
      <c r="D289" s="25">
        <v>0.36736915619094568</v>
      </c>
      <c r="E289" s="25">
        <v>0.35798998686802358</v>
      </c>
      <c r="F289" s="25">
        <v>0.3558732506230658</v>
      </c>
      <c r="G289" s="25">
        <v>0.37596695096678001</v>
      </c>
      <c r="H289" s="25">
        <v>0.33093918125460853</v>
      </c>
    </row>
    <row r="290" spans="1:8" x14ac:dyDescent="0.25">
      <c r="A290" s="36">
        <v>44489</v>
      </c>
      <c r="B290" s="25">
        <v>0.37195038658033491</v>
      </c>
      <c r="C290" s="25">
        <v>0.39388847908641372</v>
      </c>
      <c r="D290" s="25">
        <v>0.36737041386086422</v>
      </c>
      <c r="E290" s="25">
        <v>0.35789502482798252</v>
      </c>
      <c r="F290" s="25">
        <v>0.3578737637066377</v>
      </c>
      <c r="G290" s="25">
        <v>0.37696682432039608</v>
      </c>
      <c r="H290" s="25">
        <v>0.33094934915525032</v>
      </c>
    </row>
    <row r="291" spans="1:8" x14ac:dyDescent="0.25">
      <c r="A291" s="36">
        <v>44488</v>
      </c>
      <c r="B291" s="25">
        <v>0.36956723676301839</v>
      </c>
      <c r="C291" s="25">
        <v>0.39389924047866243</v>
      </c>
      <c r="D291" s="25">
        <v>0.36987079855666849</v>
      </c>
      <c r="E291" s="25">
        <v>0.35770019972093792</v>
      </c>
      <c r="F291" s="25">
        <v>0.3599742555682604</v>
      </c>
      <c r="G291" s="25">
        <v>0.37297374936733102</v>
      </c>
      <c r="H291" s="25">
        <v>0.33395011573204791</v>
      </c>
    </row>
    <row r="292" spans="1:8" x14ac:dyDescent="0.25">
      <c r="A292" s="43" t="s">
        <v>27</v>
      </c>
      <c r="B292">
        <v>113.6130689699972</v>
      </c>
      <c r="C292">
        <v>121.40348418158131</v>
      </c>
      <c r="D292">
        <v>107.0287474550654</v>
      </c>
      <c r="E292">
        <v>108.11652297385589</v>
      </c>
      <c r="F292">
        <v>102.5840624037579</v>
      </c>
      <c r="G292">
        <v>113.24215803588081</v>
      </c>
      <c r="H292">
        <v>98.871672167098779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P559"/>
  <sheetViews>
    <sheetView tabSelected="1" zoomScaleNormal="100" workbookViewId="0">
      <pane ySplit="1" topLeftCell="A2" activePane="bottomLeft" state="frozen"/>
      <selection pane="bottomLeft" activeCell="H2" sqref="H2"/>
    </sheetView>
  </sheetViews>
  <sheetFormatPr baseColWidth="10" defaultRowHeight="15" x14ac:dyDescent="0.25"/>
  <cols>
    <col min="1" max="1" width="14.7109375" style="66" bestFit="1" customWidth="1"/>
    <col min="3" max="3" width="11.5703125" style="66" bestFit="1" customWidth="1"/>
    <col min="7" max="8" width="11.85546875" style="66" bestFit="1" customWidth="1"/>
    <col min="9" max="11" width="11.85546875" style="66" customWidth="1"/>
    <col min="13" max="14" width="11.42578125" style="66"/>
  </cols>
  <sheetData>
    <row r="1" spans="1:16" ht="19.5" customHeight="1" thickBot="1" x14ac:dyDescent="0.35">
      <c r="A1" s="33" t="s">
        <v>37</v>
      </c>
      <c r="B1" s="33" t="s">
        <v>38</v>
      </c>
      <c r="C1" s="34" t="s">
        <v>39</v>
      </c>
      <c r="D1" s="33" t="s">
        <v>40</v>
      </c>
      <c r="E1" s="34" t="s">
        <v>41</v>
      </c>
      <c r="F1" s="33" t="s">
        <v>42</v>
      </c>
      <c r="G1" s="34" t="s">
        <v>43</v>
      </c>
      <c r="H1" s="81" t="s">
        <v>54</v>
      </c>
      <c r="I1" s="81" t="s">
        <v>58</v>
      </c>
      <c r="J1" s="81" t="s">
        <v>59</v>
      </c>
      <c r="K1" s="81" t="s">
        <v>57</v>
      </c>
      <c r="L1" s="81" t="s">
        <v>55</v>
      </c>
      <c r="M1" s="81"/>
      <c r="N1" s="81"/>
      <c r="O1" s="81" t="s">
        <v>56</v>
      </c>
    </row>
    <row r="2" spans="1:16" s="60" customFormat="1" x14ac:dyDescent="0.25">
      <c r="A2" s="57">
        <v>44918</v>
      </c>
      <c r="B2" s="58">
        <v>25.43</v>
      </c>
      <c r="C2" s="70">
        <f>myParidad('Flujo de Fondos'!$N$5,$A2,B2,'Flujo de Fondos'!$N$7,'Flujo de Fondos'!$N$6)</f>
        <v>0.25371957303155795</v>
      </c>
      <c r="D2" s="59">
        <v>29.75</v>
      </c>
      <c r="E2" s="70">
        <f>myParidad('Flujo de Fondos'!$T$5,$A2,D2,'Flujo de Fondos'!$T$7,'Flujo de Fondos'!$T$6)</f>
        <v>0.29732995170570253</v>
      </c>
      <c r="F2" s="58">
        <v>33.299999999999997</v>
      </c>
      <c r="G2" s="70">
        <f>myParidad('Flujo de Fondos'!$H$34,'Paridad usd'!$A2,'Paridad usd'!F2,'Flujo de Fondos'!$H$36,'Flujo de Fondos'!$H$35)</f>
        <v>0.33280966022856789</v>
      </c>
      <c r="H2" s="65">
        <f>LN(B2/B3)</f>
        <v>1.1804054095374561E-3</v>
      </c>
      <c r="I2" s="65">
        <f>STDEVA(H2:H21)*SQRT(260)</f>
        <v>0.35103080973814665</v>
      </c>
      <c r="J2" s="65">
        <f>STDEVA(H2:H6)*SQRT(260)</f>
        <v>0.56629085277886715</v>
      </c>
      <c r="K2" s="82">
        <f>_xlfn.PERCENTRANK.INC(I2:I22,I2,20)</f>
        <v>0.15</v>
      </c>
      <c r="L2" s="60">
        <f t="shared" ref="L2" si="0">LN(C2/C3)</f>
        <v>1.1667379524358881E-3</v>
      </c>
      <c r="M2" s="60">
        <f>STDEVA(L2:L21)*SQRT(260)</f>
        <v>0.35098780311391481</v>
      </c>
      <c r="O2" s="60">
        <f>LN(D2/D3)</f>
        <v>4.468097141929895E-2</v>
      </c>
      <c r="P2" s="60">
        <f>STDEVA(O2:O21)*SQRT(260)</f>
        <v>0.43345438449535517</v>
      </c>
    </row>
    <row r="3" spans="1:16" s="60" customFormat="1" x14ac:dyDescent="0.25">
      <c r="A3" s="57">
        <v>44917</v>
      </c>
      <c r="B3" s="58">
        <v>25.4</v>
      </c>
      <c r="C3" s="70">
        <f>myParidad('Flujo de Fondos'!$N$5,$A3,B3,'Flujo de Fondos'!$N$7,'Flujo de Fondos'!$N$6)</f>
        <v>0.25342372140065056</v>
      </c>
      <c r="D3" s="59">
        <v>28.45</v>
      </c>
      <c r="E3" s="70">
        <f>myParidad('Flujo de Fondos'!$T$5,$A3,D3,'Flujo de Fondos'!$T$7,'Flujo de Fondos'!$T$6)</f>
        <v>0.2843383555923687</v>
      </c>
      <c r="F3" s="58">
        <v>33.5</v>
      </c>
      <c r="G3" s="70">
        <f>myParidad('Flujo de Fondos'!$H$34,'Paridad usd'!$A3,'Paridad usd'!F3,'Flujo de Fondos'!$H$36,'Flujo de Fondos'!$H$35)</f>
        <v>0.33480966299980147</v>
      </c>
      <c r="H3" s="65">
        <f t="shared" ref="H3:H66" si="1">LN(B3/B4)</f>
        <v>-4.9914391381712955E-2</v>
      </c>
      <c r="I3" s="65">
        <f t="shared" ref="I3:I66" si="2">STDEVA(H3:H22)*SQRT(260)</f>
        <v>0.35174502945658104</v>
      </c>
      <c r="J3" s="65">
        <f t="shared" ref="J3:J66" si="3">STDEVA(H3:H7)*SQRT(260)</f>
        <v>0.57550444506242249</v>
      </c>
      <c r="K3" s="82">
        <f t="shared" ref="K3:K66" si="4">_xlfn.PERCENTRANK.INC(I3:I23,I3,20)</f>
        <v>0.15</v>
      </c>
      <c r="L3" s="60">
        <f t="shared" ref="L3:L66" si="5">LN(C3/C4)</f>
        <v>-4.9928059025616423E-2</v>
      </c>
      <c r="O3" s="60">
        <f t="shared" ref="O3:O66" si="6">LN(D3/D4)</f>
        <v>-6.2999551942983553E-2</v>
      </c>
    </row>
    <row r="4" spans="1:16" s="60" customFormat="1" x14ac:dyDescent="0.25">
      <c r="A4" s="57">
        <v>44916</v>
      </c>
      <c r="B4" s="58">
        <v>26.7</v>
      </c>
      <c r="C4" s="70">
        <f>myParidad('Flujo de Fondos'!$N$5,$A4,B4,'Flujo de Fondos'!$N$7,'Flujo de Fondos'!$N$6)</f>
        <v>0.26639786783298025</v>
      </c>
      <c r="D4" s="59">
        <v>30.3</v>
      </c>
      <c r="E4" s="70">
        <f>myParidad('Flujo de Fondos'!$T$5,$A4,D4,'Flujo de Fondos'!$T$7,'Flujo de Fondos'!$T$6)</f>
        <v>0.30282888094056443</v>
      </c>
      <c r="F4" s="58">
        <v>34.49</v>
      </c>
      <c r="G4" s="70">
        <f>myParidad('Flujo de Fondos'!$H$34,'Paridad usd'!$A4,'Paridad usd'!F4,'Flujo de Fondos'!$H$36,'Flujo de Fondos'!$H$35)</f>
        <v>0.34470521794191639</v>
      </c>
      <c r="H4" s="65">
        <f t="shared" si="1"/>
        <v>3.8561754284411602E-2</v>
      </c>
      <c r="I4" s="65">
        <f t="shared" si="2"/>
        <v>0.28011577155135309</v>
      </c>
      <c r="J4" s="65">
        <f t="shared" si="3"/>
        <v>0.24004921914473243</v>
      </c>
      <c r="K4" s="82">
        <f t="shared" si="4"/>
        <v>0</v>
      </c>
      <c r="L4" s="60">
        <f t="shared" si="5"/>
        <v>3.8548086453700961E-2</v>
      </c>
      <c r="O4" s="60">
        <f t="shared" si="6"/>
        <v>1.0650575967561608E-2</v>
      </c>
    </row>
    <row r="5" spans="1:16" s="60" customFormat="1" x14ac:dyDescent="0.25">
      <c r="A5" s="57">
        <v>44915</v>
      </c>
      <c r="B5" s="58">
        <v>25.69</v>
      </c>
      <c r="C5" s="70">
        <f>myParidad('Flujo de Fondos'!$N$5,$A5,B5,'Flujo de Fondos'!$N$7,'Flujo de Fondos'!$N$6)</f>
        <v>0.25632414848832763</v>
      </c>
      <c r="D5" s="59">
        <v>29.978999999999999</v>
      </c>
      <c r="E5" s="70">
        <f>myParidad('Flujo de Fondos'!$T$5,$A5,D5,'Flujo de Fondos'!$T$7,'Flujo de Fondos'!$T$6)</f>
        <v>0.29962171930833364</v>
      </c>
      <c r="F5" s="58">
        <v>33.299999999999997</v>
      </c>
      <c r="G5" s="70">
        <f>myParidad('Flujo de Fondos'!$H$34,'Paridad usd'!$A5,'Paridad usd'!F5,'Flujo de Fondos'!$H$36,'Flujo de Fondos'!$H$35)</f>
        <v>0.33281307758656092</v>
      </c>
      <c r="H5" s="65">
        <f t="shared" si="1"/>
        <v>-3.8918077938179319E-4</v>
      </c>
      <c r="I5" s="65">
        <f t="shared" si="2"/>
        <v>0.32666345472370067</v>
      </c>
      <c r="J5" s="65">
        <f t="shared" si="3"/>
        <v>0.26684772373214127</v>
      </c>
      <c r="K5" s="82">
        <f t="shared" si="4"/>
        <v>0</v>
      </c>
      <c r="L5" s="60">
        <f t="shared" si="5"/>
        <v>-4.0284879690435303E-4</v>
      </c>
      <c r="O5" s="60">
        <f t="shared" si="6"/>
        <v>-1.229938095774538E-2</v>
      </c>
    </row>
    <row r="6" spans="1:16" s="60" customFormat="1" x14ac:dyDescent="0.25">
      <c r="A6" s="57">
        <v>44914</v>
      </c>
      <c r="B6" s="58">
        <v>25.7</v>
      </c>
      <c r="C6" s="70">
        <f>myParidad('Flujo de Fondos'!$N$5,$A6,B6,'Flujo de Fondos'!$N$7,'Flujo de Fondos'!$N$6)</f>
        <v>0.2564274291650151</v>
      </c>
      <c r="D6" s="59">
        <v>30.35</v>
      </c>
      <c r="E6" s="70">
        <f>myParidad('Flujo de Fondos'!$T$5,$A6,D6,'Flujo de Fondos'!$T$7,'Flujo de Fondos'!$T$6)</f>
        <v>0.30333067499991445</v>
      </c>
      <c r="F6" s="58">
        <v>33.299999999999997</v>
      </c>
      <c r="G6" s="70">
        <f>myParidad('Flujo de Fondos'!$H$34,'Paridad usd'!$A6,'Paridad usd'!F6,'Flujo de Fondos'!$H$36,'Flujo de Fondos'!$H$35)</f>
        <v>0.33281421672148764</v>
      </c>
      <c r="H6" s="65">
        <f t="shared" si="1"/>
        <v>3.2386531911864413E-2</v>
      </c>
      <c r="I6" s="65">
        <f t="shared" si="2"/>
        <v>0.35276624772397219</v>
      </c>
      <c r="J6" s="65">
        <f t="shared" si="3"/>
        <v>0.2395160716667977</v>
      </c>
      <c r="K6" s="82">
        <f t="shared" si="4"/>
        <v>0.1</v>
      </c>
      <c r="L6" s="60">
        <f t="shared" si="5"/>
        <v>3.2345526738372515E-2</v>
      </c>
      <c r="O6" s="60">
        <f t="shared" si="6"/>
        <v>2.502215617549268E-2</v>
      </c>
    </row>
    <row r="7" spans="1:16" s="60" customFormat="1" x14ac:dyDescent="0.25">
      <c r="A7" s="57">
        <v>44911</v>
      </c>
      <c r="B7" s="58">
        <v>24.881</v>
      </c>
      <c r="C7" s="70">
        <f>myParidad('Flujo de Fondos'!$N$5,$A7,B7,'Flujo de Fondos'!$N$7,'Flujo de Fondos'!$N$6)</f>
        <v>0.24826585565882997</v>
      </c>
      <c r="D7" s="59">
        <v>29.6</v>
      </c>
      <c r="E7" s="70">
        <f>myParidad('Flujo de Fondos'!$T$5,$A7,D7,'Flujo de Fondos'!$T$7,'Flujo de Fondos'!$T$6)</f>
        <v>0.29583789704271635</v>
      </c>
      <c r="F7" s="58">
        <v>32.299999999999997</v>
      </c>
      <c r="G7" s="70">
        <f>myParidad('Flujo de Fondos'!$H$34,'Paridad usd'!$A7,'Paridad usd'!F7,'Flujo de Fondos'!$H$36,'Flujo de Fondos'!$H$35)</f>
        <v>0.3228231106243154</v>
      </c>
      <c r="H7" s="65">
        <f t="shared" si="1"/>
        <v>1.9931247761480846E-2</v>
      </c>
      <c r="I7" s="65">
        <f t="shared" si="2"/>
        <v>0.34352905747251894</v>
      </c>
      <c r="J7" s="65">
        <f t="shared" si="3"/>
        <v>0.20952615151235257</v>
      </c>
      <c r="K7" s="82">
        <f t="shared" si="4"/>
        <v>0.05</v>
      </c>
      <c r="L7" s="60">
        <f t="shared" si="5"/>
        <v>1.9917578996658448E-2</v>
      </c>
      <c r="O7" s="60">
        <f t="shared" si="6"/>
        <v>2.0478531343540701E-2</v>
      </c>
    </row>
    <row r="8" spans="1:16" s="60" customFormat="1" x14ac:dyDescent="0.25">
      <c r="A8" s="57">
        <v>44910</v>
      </c>
      <c r="B8" s="58">
        <v>24.39</v>
      </c>
      <c r="C8" s="70">
        <f>myParidad('Flujo de Fondos'!$N$5,$A8,B8,'Flujo de Fondos'!$N$7,'Flujo de Fondos'!$N$6)</f>
        <v>0.24336992031055646</v>
      </c>
      <c r="D8" s="59">
        <v>29</v>
      </c>
      <c r="E8" s="70">
        <f>myParidad('Flujo de Fondos'!$T$5,$A8,D8,'Flujo de Fondos'!$T$7,'Flujo de Fondos'!$T$6)</f>
        <v>0.28984217498006221</v>
      </c>
      <c r="F8" s="58">
        <v>31.64</v>
      </c>
      <c r="G8" s="70">
        <f>myParidad('Flujo de Fondos'!$H$34,'Paridad usd'!$A8,'Paridad usd'!F8,'Flujo de Fondos'!$H$36,'Flujo de Fondos'!$H$35)</f>
        <v>0.31622780746100582</v>
      </c>
      <c r="H8" s="65">
        <f t="shared" si="1"/>
        <v>2.1969795558058922E-2</v>
      </c>
      <c r="I8" s="65">
        <f t="shared" si="2"/>
        <v>0.3837009606940886</v>
      </c>
      <c r="J8" s="65">
        <f t="shared" si="3"/>
        <v>0.20373963621341934</v>
      </c>
      <c r="K8" s="82">
        <f t="shared" si="4"/>
        <v>0.35</v>
      </c>
      <c r="L8" s="60">
        <f t="shared" si="5"/>
        <v>2.1956126606398993E-2</v>
      </c>
      <c r="O8" s="60">
        <f t="shared" si="6"/>
        <v>2.7973852042406162E-2</v>
      </c>
    </row>
    <row r="9" spans="1:16" s="60" customFormat="1" x14ac:dyDescent="0.25">
      <c r="A9" s="57">
        <v>44909</v>
      </c>
      <c r="B9" s="58">
        <v>23.86</v>
      </c>
      <c r="C9" s="70">
        <f>myParidad('Flujo de Fondos'!$N$5,$A9,B9,'Flujo de Fondos'!$N$7,'Flujo de Fondos'!$N$6)</f>
        <v>0.23808469340331884</v>
      </c>
      <c r="D9" s="59">
        <v>28.2</v>
      </c>
      <c r="E9" s="70">
        <f>myParidad('Flujo de Fondos'!$T$5,$A9,D9,'Flujo de Fondos'!$T$7,'Flujo de Fondos'!$T$6)</f>
        <v>0.28184749347955557</v>
      </c>
      <c r="F9" s="58">
        <v>31.5</v>
      </c>
      <c r="G9" s="70">
        <f>myParidad('Flujo de Fondos'!$H$34,'Paridad usd'!$A9,'Paridad usd'!F9,'Flujo de Fondos'!$H$36,'Flujo de Fondos'!$H$35)</f>
        <v>0.31482964697184401</v>
      </c>
      <c r="H9" s="65">
        <f t="shared" si="1"/>
        <v>-7.3076846761540208E-3</v>
      </c>
      <c r="I9" s="65">
        <f t="shared" si="2"/>
        <v>0.38571967237819793</v>
      </c>
      <c r="J9" s="65">
        <f t="shared" si="3"/>
        <v>0.30146368741383228</v>
      </c>
      <c r="K9" s="82">
        <f t="shared" si="4"/>
        <v>0.55000000000000004</v>
      </c>
      <c r="L9" s="60">
        <f t="shared" si="5"/>
        <v>-7.3213538146568394E-3</v>
      </c>
      <c r="O9" s="60">
        <f t="shared" si="6"/>
        <v>4.264398786457518E-3</v>
      </c>
    </row>
    <row r="10" spans="1:16" s="60" customFormat="1" x14ac:dyDescent="0.25">
      <c r="A10" s="57">
        <v>44908</v>
      </c>
      <c r="B10" s="58">
        <v>24.035</v>
      </c>
      <c r="C10" s="70">
        <f>myParidad('Flujo de Fondos'!$N$5,$A10,B10,'Flujo de Fondos'!$N$7,'Flujo de Fondos'!$N$6)</f>
        <v>0.23983419221673935</v>
      </c>
      <c r="D10" s="59">
        <v>28.08</v>
      </c>
      <c r="E10" s="70">
        <f>myParidad('Flujo de Fondos'!$T$5,$A10,D10,'Flujo de Fondos'!$T$7,'Flujo de Fondos'!$T$6)</f>
        <v>0.28064910305075697</v>
      </c>
      <c r="F10" s="58">
        <v>31.5</v>
      </c>
      <c r="G10" s="70">
        <f>myParidad('Flujo de Fondos'!$H$34,'Paridad usd'!$A10,'Paridad usd'!F10,'Flujo de Fondos'!$H$36,'Flujo de Fondos'!$H$35)</f>
        <v>0.31483072457616967</v>
      </c>
      <c r="H10" s="65">
        <f t="shared" si="1"/>
        <v>1.1507606851479725E-2</v>
      </c>
      <c r="I10" s="65">
        <f t="shared" si="2"/>
        <v>0.38363108211499419</v>
      </c>
      <c r="J10" s="65">
        <f t="shared" si="3"/>
        <v>0.32787371194685178</v>
      </c>
      <c r="K10" s="82">
        <f t="shared" si="4"/>
        <v>0.4</v>
      </c>
      <c r="L10" s="60">
        <f t="shared" si="5"/>
        <v>1.1493937526129266E-2</v>
      </c>
      <c r="O10" s="60">
        <f t="shared" si="6"/>
        <v>1.0057530331020442E-2</v>
      </c>
    </row>
    <row r="11" spans="1:16" s="60" customFormat="1" x14ac:dyDescent="0.25">
      <c r="A11" s="57">
        <v>44907</v>
      </c>
      <c r="B11" s="58">
        <v>23.76</v>
      </c>
      <c r="C11" s="70">
        <f>myParidad('Flujo de Fondos'!$N$5,$A11,B11,'Flujo de Fondos'!$N$7,'Flujo de Fondos'!$N$6)</f>
        <v>0.23709333479140468</v>
      </c>
      <c r="D11" s="59">
        <v>27.798999999999999</v>
      </c>
      <c r="E11" s="70">
        <f>myParidad('Flujo de Fondos'!$T$5,$A11,D11,'Flujo de Fondos'!$T$7,'Flujo de Fondos'!$T$6)</f>
        <v>0.27784156409589394</v>
      </c>
      <c r="F11" s="58">
        <v>31</v>
      </c>
      <c r="G11" s="70">
        <f>myParidad('Flujo de Fondos'!$H$34,'Paridad usd'!$A11,'Paridad usd'!F11,'Flujo de Fondos'!$H$36,'Flujo de Fondos'!$H$35)</f>
        <v>0.30983447199441394</v>
      </c>
      <c r="H11" s="65">
        <f t="shared" si="1"/>
        <v>2.4799941582244918E-2</v>
      </c>
      <c r="I11" s="65">
        <f t="shared" si="2"/>
        <v>0.38585743301245629</v>
      </c>
      <c r="J11" s="65">
        <f t="shared" si="3"/>
        <v>0.34445735890737134</v>
      </c>
      <c r="K11" s="82">
        <f t="shared" si="4"/>
        <v>0.6</v>
      </c>
      <c r="L11" s="60">
        <f t="shared" si="5"/>
        <v>2.4731592152594323E-2</v>
      </c>
      <c r="O11" s="60">
        <f t="shared" si="6"/>
        <v>2.7313043534099364E-2</v>
      </c>
    </row>
    <row r="12" spans="1:16" s="60" customFormat="1" x14ac:dyDescent="0.25">
      <c r="A12" s="57">
        <v>44902</v>
      </c>
      <c r="B12" s="58">
        <v>23.178000000000001</v>
      </c>
      <c r="C12" s="70">
        <f>myParidad('Flujo de Fondos'!$N$5,$A12,B12,'Flujo de Fondos'!$N$7,'Flujo de Fondos'!$N$6)</f>
        <v>0.23130155431914806</v>
      </c>
      <c r="D12" s="59">
        <v>27.05</v>
      </c>
      <c r="E12" s="70">
        <f>myParidad('Flujo de Fondos'!$T$5,$A12,D12,'Flujo de Fondos'!$T$7,'Flujo de Fondos'!$T$6)</f>
        <v>0.27036019044945936</v>
      </c>
      <c r="F12" s="58">
        <v>30.349</v>
      </c>
      <c r="G12" s="70">
        <f>myParidad('Flujo de Fondos'!$H$34,'Paridad usd'!$A12,'Paridad usd'!F12,'Flujo de Fondos'!$H$36,'Flujo de Fondos'!$H$35)</f>
        <v>0.30333313936970951</v>
      </c>
      <c r="H12" s="65">
        <f t="shared" si="1"/>
        <v>1.5128092370495285E-2</v>
      </c>
      <c r="I12" s="65">
        <f t="shared" si="2"/>
        <v>0.3900298056161805</v>
      </c>
      <c r="J12" s="65">
        <f t="shared" si="3"/>
        <v>0.29013655644445441</v>
      </c>
      <c r="K12" s="82">
        <f t="shared" si="4"/>
        <v>0.8</v>
      </c>
      <c r="L12" s="60">
        <f t="shared" si="5"/>
        <v>1.5114421923949729E-2</v>
      </c>
      <c r="O12" s="60">
        <f t="shared" si="6"/>
        <v>2.1674989053480739E-2</v>
      </c>
    </row>
    <row r="13" spans="1:16" s="60" customFormat="1" x14ac:dyDescent="0.25">
      <c r="A13" s="57">
        <v>44901</v>
      </c>
      <c r="B13" s="58">
        <v>22.83</v>
      </c>
      <c r="C13" s="70">
        <f>myParidad('Flujo de Fondos'!$N$5,$A13,B13,'Flujo de Fondos'!$N$7,'Flujo de Fondos'!$N$6)</f>
        <v>0.22783185235816814</v>
      </c>
      <c r="D13" s="59">
        <v>26.47</v>
      </c>
      <c r="E13" s="70">
        <f>myParidad('Flujo de Fondos'!$T$5,$A13,D13,'Flujo de Fondos'!$T$7,'Flujo de Fondos'!$T$6)</f>
        <v>0.26456409378743795</v>
      </c>
      <c r="F13" s="58">
        <v>29.35</v>
      </c>
      <c r="G13" s="70">
        <f>myParidad('Flujo de Fondos'!$H$34,'Paridad usd'!$A13,'Paridad usd'!F13,'Flujo de Fondos'!$H$36,'Flujo de Fondos'!$H$35)</f>
        <v>0.29334930686291288</v>
      </c>
      <c r="H13" s="65">
        <f t="shared" si="1"/>
        <v>-2.1664625491634441E-2</v>
      </c>
      <c r="I13" s="65">
        <f t="shared" si="2"/>
        <v>0.3887155717428547</v>
      </c>
      <c r="J13" s="65">
        <f t="shared" si="3"/>
        <v>0.35219455391053001</v>
      </c>
      <c r="K13" s="82">
        <f t="shared" si="4"/>
        <v>0.8</v>
      </c>
      <c r="L13" s="60">
        <f t="shared" si="5"/>
        <v>-2.1678296125063397E-2</v>
      </c>
      <c r="O13" s="60">
        <f t="shared" si="6"/>
        <v>-3.5260657895158538E-2</v>
      </c>
    </row>
    <row r="14" spans="1:16" s="60" customFormat="1" x14ac:dyDescent="0.25">
      <c r="A14" s="57">
        <v>44900</v>
      </c>
      <c r="B14" s="58">
        <v>23.33</v>
      </c>
      <c r="C14" s="70">
        <f>myParidad('Flujo de Fondos'!$N$5,$A14,B14,'Flujo de Fondos'!$N$7,'Flujo de Fondos'!$N$6)</f>
        <v>0.23282478229367454</v>
      </c>
      <c r="D14" s="59">
        <v>27.42</v>
      </c>
      <c r="E14" s="70">
        <f>myParidad('Flujo de Fondos'!$T$5,$A14,D14,'Flujo de Fondos'!$T$7,'Flujo de Fondos'!$T$6)</f>
        <v>0.27406015423636571</v>
      </c>
      <c r="F14" s="58">
        <v>30</v>
      </c>
      <c r="G14" s="70">
        <f>myParidad('Flujo de Fondos'!$H$34,'Paridad usd'!$A14,'Paridad usd'!F14,'Flujo de Fondos'!$H$36,'Flujo de Fondos'!$H$35)</f>
        <v>0.29984699588223818</v>
      </c>
      <c r="H14" s="65">
        <f t="shared" si="1"/>
        <v>-1.573496210774691E-2</v>
      </c>
      <c r="I14" s="65">
        <f t="shared" si="2"/>
        <v>0.39062508363247594</v>
      </c>
      <c r="J14" s="65">
        <f t="shared" si="3"/>
        <v>0.36535260942653558</v>
      </c>
      <c r="K14" s="82">
        <f t="shared" si="4"/>
        <v>0.85</v>
      </c>
      <c r="L14" s="60">
        <f t="shared" si="5"/>
        <v>-1.5775975129387096E-2</v>
      </c>
      <c r="O14" s="60">
        <f t="shared" si="6"/>
        <v>-1.1963166058275174E-2</v>
      </c>
    </row>
    <row r="15" spans="1:16" s="60" customFormat="1" x14ac:dyDescent="0.25">
      <c r="A15" s="57">
        <v>44897</v>
      </c>
      <c r="B15" s="58">
        <v>23.7</v>
      </c>
      <c r="C15" s="70">
        <f>myParidad('Flujo de Fondos'!$N$5,$A15,B15,'Flujo de Fondos'!$N$7,'Flujo de Fondos'!$N$6)</f>
        <v>0.23652694610778444</v>
      </c>
      <c r="D15" s="59">
        <v>27.75</v>
      </c>
      <c r="E15" s="70">
        <f>myParidad('Flujo de Fondos'!$T$5,$A15,D15,'Flujo de Fondos'!$T$7,'Flujo de Fondos'!$T$6)</f>
        <v>0.27736131934032981</v>
      </c>
      <c r="F15" s="58">
        <v>30.6</v>
      </c>
      <c r="G15" s="70">
        <f>myParidad('Flujo de Fondos'!$H$34,'Paridad usd'!$A15,'Paridad usd'!F15,'Flujo de Fondos'!$H$36,'Flujo de Fondos'!$H$35)</f>
        <v>0.30584707646176912</v>
      </c>
      <c r="H15" s="65">
        <f t="shared" si="1"/>
        <v>-1.7607782228300808E-2</v>
      </c>
      <c r="I15" s="65">
        <f t="shared" si="2"/>
        <v>0.38477720383474706</v>
      </c>
      <c r="J15" s="65">
        <f t="shared" si="3"/>
        <v>0.30238055952328147</v>
      </c>
      <c r="K15" s="82">
        <f t="shared" si="4"/>
        <v>0.7</v>
      </c>
      <c r="L15" s="60">
        <f t="shared" si="5"/>
        <v>-1.7621453609315576E-2</v>
      </c>
      <c r="O15" s="60">
        <f t="shared" si="6"/>
        <v>-1.4347037740979845E-2</v>
      </c>
    </row>
    <row r="16" spans="1:16" s="60" customFormat="1" x14ac:dyDescent="0.25">
      <c r="A16" s="57">
        <v>44896</v>
      </c>
      <c r="B16" s="58">
        <v>24.120999999999999</v>
      </c>
      <c r="C16" s="70">
        <f>myParidad('Flujo de Fondos'!$N$5,$A16,B16,'Flujo de Fondos'!$N$7,'Flujo de Fondos'!$N$6)</f>
        <v>0.24073183402829995</v>
      </c>
      <c r="D16" s="59">
        <v>28.151</v>
      </c>
      <c r="E16" s="70">
        <f>myParidad('Flujo de Fondos'!$T$5,$A16,D16,'Flujo de Fondos'!$T$7,'Flujo de Fondos'!$T$6)</f>
        <v>0.2813702784576152</v>
      </c>
      <c r="F16" s="58">
        <v>30.6</v>
      </c>
      <c r="G16" s="70">
        <f>myParidad('Flujo de Fondos'!$H$34,'Paridad usd'!$A16,'Paridad usd'!F16,'Flujo de Fondos'!$H$36,'Flujo de Fondos'!$H$35)</f>
        <v>0.30584812336339834</v>
      </c>
      <c r="H16" s="65">
        <f t="shared" si="1"/>
        <v>1.3397249691957163E-2</v>
      </c>
      <c r="I16" s="65">
        <f t="shared" si="2"/>
        <v>0.37371865645843466</v>
      </c>
      <c r="J16" s="65">
        <f t="shared" si="3"/>
        <v>0.22259620264517843</v>
      </c>
      <c r="K16" s="82">
        <f t="shared" si="4"/>
        <v>0.6</v>
      </c>
      <c r="L16" s="60">
        <f t="shared" si="5"/>
        <v>1.3383578124033351E-2</v>
      </c>
      <c r="O16" s="60">
        <f t="shared" si="6"/>
        <v>2.5609119455668747E-3</v>
      </c>
    </row>
    <row r="17" spans="1:15" s="60" customFormat="1" x14ac:dyDescent="0.25">
      <c r="A17" s="57">
        <v>44895</v>
      </c>
      <c r="B17" s="58">
        <v>23.8</v>
      </c>
      <c r="C17" s="70">
        <f>myParidad('Flujo de Fondos'!$N$5,$A17,B17,'Flujo de Fondos'!$N$7,'Flujo de Fondos'!$N$6)</f>
        <v>0.23753144482117466</v>
      </c>
      <c r="D17" s="59">
        <v>28.079000000000001</v>
      </c>
      <c r="E17" s="70">
        <f>myParidad('Flujo de Fondos'!$T$5,$A17,D17,'Flujo de Fondos'!$T$7,'Flujo de Fondos'!$T$6)</f>
        <v>0.28065159647297222</v>
      </c>
      <c r="F17" s="58">
        <v>30.2</v>
      </c>
      <c r="G17" s="70">
        <f>myParidad('Flujo de Fondos'!$H$34,'Paridad usd'!$A17,'Paridad usd'!F17,'Flujo de Fondos'!$H$36,'Flujo de Fondos'!$H$35)</f>
        <v>0.30185114190262335</v>
      </c>
      <c r="H17" s="65">
        <f t="shared" si="1"/>
        <v>2.7258927972634468E-2</v>
      </c>
      <c r="I17" s="65">
        <f t="shared" si="2"/>
        <v>0.3848449957764194</v>
      </c>
      <c r="J17" s="65">
        <f t="shared" si="3"/>
        <v>0.22330561269200988</v>
      </c>
      <c r="K17" s="82">
        <f t="shared" si="4"/>
        <v>0.75</v>
      </c>
      <c r="L17" s="60">
        <f t="shared" si="5"/>
        <v>2.7245256217796159E-2</v>
      </c>
      <c r="O17" s="60">
        <f t="shared" si="6"/>
        <v>4.4309317500973097E-2</v>
      </c>
    </row>
    <row r="18" spans="1:15" s="60" customFormat="1" x14ac:dyDescent="0.25">
      <c r="A18" s="57">
        <v>44894</v>
      </c>
      <c r="B18" s="58">
        <v>23.16</v>
      </c>
      <c r="C18" s="70">
        <f>myParidad('Flujo de Fondos'!$N$5,$A18,B18,'Flujo de Fondos'!$N$7,'Flujo de Fondos'!$N$6)</f>
        <v>0.23114720479061565</v>
      </c>
      <c r="D18" s="59">
        <v>26.861999999999998</v>
      </c>
      <c r="E18" s="70">
        <f>myParidad('Flujo de Fondos'!$T$5,$A18,D18,'Flujo de Fondos'!$T$7,'Flujo de Fondos'!$T$6)</f>
        <v>0.26848851418654562</v>
      </c>
      <c r="F18" s="58">
        <v>29.69</v>
      </c>
      <c r="G18" s="70">
        <f>myParidad('Flujo de Fondos'!$H$34,'Paridad usd'!$A18,'Paridad usd'!F18,'Flujo de Fondos'!$H$36,'Flujo de Fondos'!$H$35)</f>
        <v>0.29675467151360807</v>
      </c>
      <c r="H18" s="65">
        <f t="shared" si="1"/>
        <v>2.8911343494420143E-2</v>
      </c>
      <c r="I18" s="65">
        <f t="shared" si="2"/>
        <v>0.38770010075103162</v>
      </c>
      <c r="J18" s="65">
        <f t="shared" si="3"/>
        <v>0.19449483162965897</v>
      </c>
      <c r="K18" s="82">
        <f t="shared" si="4"/>
        <v>0.85</v>
      </c>
      <c r="L18" s="60">
        <f t="shared" si="5"/>
        <v>2.8897671552662312E-2</v>
      </c>
      <c r="O18" s="60">
        <f t="shared" si="6"/>
        <v>3.6855854723437075E-2</v>
      </c>
    </row>
    <row r="19" spans="1:15" s="60" customFormat="1" x14ac:dyDescent="0.25">
      <c r="A19" s="57">
        <v>44893</v>
      </c>
      <c r="B19" s="58">
        <v>22.5</v>
      </c>
      <c r="C19" s="70">
        <f>myParidad('Flujo de Fondos'!$N$5,$A19,B19,'Flujo de Fondos'!$N$7,'Flujo de Fondos'!$N$6)</f>
        <v>0.22456317847474774</v>
      </c>
      <c r="D19" s="59">
        <v>25.89</v>
      </c>
      <c r="E19" s="70">
        <f>myParidad('Flujo de Fondos'!$T$5,$A19,D19,'Flujo de Fondos'!$T$7,'Flujo de Fondos'!$T$6)</f>
        <v>0.25877415777259005</v>
      </c>
      <c r="F19" s="58">
        <v>28.998000000000001</v>
      </c>
      <c r="G19" s="70">
        <f>myParidad('Flujo de Fondos'!$H$34,'Paridad usd'!$A19,'Paridad usd'!F19,'Flujo de Fondos'!$H$36,'Flujo de Fondos'!$H$35)</f>
        <v>0.28983905087252093</v>
      </c>
      <c r="H19" s="65">
        <f t="shared" si="1"/>
        <v>8.9286307443013982E-3</v>
      </c>
      <c r="I19" s="65">
        <f t="shared" si="2"/>
        <v>0.38099762664733505</v>
      </c>
      <c r="J19" s="65">
        <f t="shared" si="3"/>
        <v>0.17210028556478982</v>
      </c>
      <c r="K19" s="82">
        <f t="shared" si="4"/>
        <v>0.7</v>
      </c>
      <c r="L19" s="60">
        <f t="shared" si="5"/>
        <v>8.8876137974602913E-3</v>
      </c>
      <c r="O19" s="60">
        <f t="shared" si="6"/>
        <v>3.863241307464729E-4</v>
      </c>
    </row>
    <row r="20" spans="1:15" s="60" customFormat="1" x14ac:dyDescent="0.25">
      <c r="A20" s="57">
        <v>44890</v>
      </c>
      <c r="B20" s="58">
        <v>22.3</v>
      </c>
      <c r="C20" s="70">
        <f>myParidad('Flujo de Fondos'!$N$5,$A20,B20,'Flujo de Fondos'!$N$7,'Flujo de Fondos'!$N$6)</f>
        <v>0.2225761905412981</v>
      </c>
      <c r="D20" s="59">
        <v>25.88</v>
      </c>
      <c r="E20" s="70">
        <f>myParidad('Flujo de Fondos'!$T$5,$A20,D20,'Flujo de Fondos'!$T$7,'Flujo de Fondos'!$T$6)</f>
        <v>0.25867686272630491</v>
      </c>
      <c r="F20" s="58">
        <v>29.6</v>
      </c>
      <c r="G20" s="70">
        <f>myParidad('Flujo de Fondos'!$H$34,'Paridad usd'!$A20,'Paridad usd'!F20,'Flujo de Fondos'!$H$36,'Flujo de Fondos'!$H$35)</f>
        <v>0.29585916293271353</v>
      </c>
      <c r="H20" s="65">
        <f t="shared" si="1"/>
        <v>-4.4742803949209663E-3</v>
      </c>
      <c r="I20" s="65">
        <f t="shared" si="2"/>
        <v>0.38413332192615057</v>
      </c>
      <c r="J20" s="65">
        <f t="shared" si="3"/>
        <v>0.44338201975827429</v>
      </c>
      <c r="K20" s="82">
        <f t="shared" si="4"/>
        <v>0.7</v>
      </c>
      <c r="L20" s="60">
        <f t="shared" si="5"/>
        <v>-4.4879530844076209E-3</v>
      </c>
      <c r="O20" s="60">
        <f t="shared" si="6"/>
        <v>-7.7276766778624085E-5</v>
      </c>
    </row>
    <row r="21" spans="1:15" s="60" customFormat="1" x14ac:dyDescent="0.25">
      <c r="A21" s="57">
        <v>44889</v>
      </c>
      <c r="B21" s="58">
        <v>22.4</v>
      </c>
      <c r="C21" s="70">
        <f>myParidad('Flujo de Fondos'!$N$5,$A21,B21,'Flujo de Fondos'!$N$7,'Flujo de Fondos'!$N$6)</f>
        <v>0.22357734693319478</v>
      </c>
      <c r="D21" s="59">
        <v>25.882000000000001</v>
      </c>
      <c r="E21" s="70">
        <f>myParidad('Flujo de Fondos'!$T$5,$A21,D21,'Flujo de Fondos'!$T$7,'Flujo de Fondos'!$T$6)</f>
        <v>0.25869773873991059</v>
      </c>
      <c r="F21" s="58">
        <v>29.3</v>
      </c>
      <c r="G21" s="70">
        <f>myParidad('Flujo de Fondos'!$H$34,'Paridad usd'!$A21,'Paridad usd'!F21,'Flujo de Fondos'!$H$36,'Flujo de Fondos'!$H$35)</f>
        <v>0.29286159280887802</v>
      </c>
      <c r="H21" s="65">
        <f t="shared" si="1"/>
        <v>1.2126804798035878E-2</v>
      </c>
      <c r="I21" s="65">
        <f t="shared" si="2"/>
        <v>0.3872624062611017</v>
      </c>
      <c r="J21" s="65">
        <f t="shared" si="3"/>
        <v>0.49817888454361242</v>
      </c>
      <c r="K21" s="82">
        <f t="shared" si="4"/>
        <v>0.75</v>
      </c>
      <c r="L21" s="60">
        <f t="shared" si="5"/>
        <v>1.2113131921604231E-2</v>
      </c>
      <c r="O21" s="60">
        <f t="shared" si="6"/>
        <v>-1.411824263815438E-2</v>
      </c>
    </row>
    <row r="22" spans="1:15" s="60" customFormat="1" x14ac:dyDescent="0.25">
      <c r="A22" s="57">
        <v>44888</v>
      </c>
      <c r="B22" s="58">
        <v>22.13</v>
      </c>
      <c r="C22" s="70">
        <f>myParidad('Flujo de Fondos'!$N$5,$A22,B22,'Flujo de Fondos'!$N$7,'Flujo de Fondos'!$N$6)</f>
        <v>0.22088546153109917</v>
      </c>
      <c r="D22" s="59">
        <v>26.25</v>
      </c>
      <c r="E22" s="70">
        <f>myParidad('Flujo de Fondos'!$T$5,$A22,D22,'Flujo de Fondos'!$T$7,'Flujo de Fondos'!$T$6)</f>
        <v>0.26237689850994567</v>
      </c>
      <c r="F22" s="58">
        <v>28.5</v>
      </c>
      <c r="G22" s="70">
        <f>myParidad('Flujo de Fondos'!$H$34,'Paridad usd'!$A22,'Paridad usd'!F22,'Flujo de Fondos'!$H$36,'Flujo de Fondos'!$H$35)</f>
        <v>0.28486634695365531</v>
      </c>
      <c r="H22" s="65">
        <f t="shared" si="1"/>
        <v>1.5942036558143691E-2</v>
      </c>
      <c r="I22" s="65">
        <f t="shared" si="2"/>
        <v>0.39464848116330398</v>
      </c>
      <c r="J22" s="65">
        <f t="shared" si="3"/>
        <v>0.52212620484692995</v>
      </c>
      <c r="K22" s="82">
        <f t="shared" si="4"/>
        <v>0.75</v>
      </c>
      <c r="L22" s="60">
        <f t="shared" si="5"/>
        <v>1.5928363494762197E-2</v>
      </c>
      <c r="O22" s="60">
        <f t="shared" si="6"/>
        <v>5.7306747089850745E-3</v>
      </c>
    </row>
    <row r="23" spans="1:15" s="60" customFormat="1" x14ac:dyDescent="0.25">
      <c r="A23" s="57">
        <v>44887</v>
      </c>
      <c r="B23" s="58">
        <v>21.78</v>
      </c>
      <c r="C23" s="70">
        <f>myParidad('Flujo de Fondos'!$N$5,$A23,B23,'Flujo de Fondos'!$N$7,'Flujo de Fondos'!$N$6)</f>
        <v>0.21739499015532707</v>
      </c>
      <c r="D23" s="59">
        <v>26.1</v>
      </c>
      <c r="E23" s="70">
        <f>myParidad('Flujo de Fondos'!$T$5,$A23,D23,'Flujo de Fondos'!$T$7,'Flujo de Fondos'!$T$6)</f>
        <v>0.26087849494755866</v>
      </c>
      <c r="F23" s="58">
        <v>28.65</v>
      </c>
      <c r="G23" s="70">
        <f>myParidad('Flujo de Fondos'!$H$34,'Paridad usd'!$A23,'Paridad usd'!F23,'Flujo de Fondos'!$H$36,'Flujo de Fondos'!$H$35)</f>
        <v>0.28636662376427419</v>
      </c>
      <c r="H23" s="65">
        <f t="shared" si="1"/>
        <v>2.4682282065219253E-2</v>
      </c>
      <c r="I23" s="65">
        <f t="shared" si="2"/>
        <v>0.39996057449040212</v>
      </c>
      <c r="J23" s="65">
        <f t="shared" si="3"/>
        <v>0.66443884516035068</v>
      </c>
      <c r="K23" s="82">
        <f t="shared" si="4"/>
        <v>0.75</v>
      </c>
      <c r="L23" s="60">
        <f t="shared" si="5"/>
        <v>2.4627587942089156E-2</v>
      </c>
      <c r="O23" s="60">
        <f t="shared" si="6"/>
        <v>3.5885285712446598E-2</v>
      </c>
    </row>
    <row r="24" spans="1:15" s="60" customFormat="1" x14ac:dyDescent="0.25">
      <c r="A24" s="57">
        <v>44883</v>
      </c>
      <c r="B24" s="58">
        <v>21.248999999999999</v>
      </c>
      <c r="C24" s="70">
        <f>myParidad('Flujo de Fondos'!$N$5,$A24,B24,'Flujo de Fondos'!$N$7,'Flujo de Fondos'!$N$6)</f>
        <v>0.21210646502215172</v>
      </c>
      <c r="D24" s="59">
        <v>25.18</v>
      </c>
      <c r="E24" s="70">
        <f>myParidad('Flujo de Fondos'!$T$5,$A24,D24,'Flujo de Fondos'!$T$7,'Flujo de Fondos'!$T$6)</f>
        <v>0.25168622403570989</v>
      </c>
      <c r="F24" s="58">
        <v>27.9</v>
      </c>
      <c r="G24" s="70">
        <f>myParidad('Flujo de Fondos'!$H$34,'Paridad usd'!$A24,'Paridad usd'!F24,'Flujo de Fondos'!$H$36,'Flujo de Fondos'!$H$35)</f>
        <v>0.27887393370120356</v>
      </c>
      <c r="H24" s="65">
        <f t="shared" si="1"/>
        <v>-4.4682948771888741E-2</v>
      </c>
      <c r="I24" s="65">
        <f t="shared" si="2"/>
        <v>0.41236436534330573</v>
      </c>
      <c r="J24" s="65">
        <f t="shared" si="3"/>
        <v>0.66578852817427669</v>
      </c>
      <c r="K24" s="82">
        <f t="shared" si="4"/>
        <v>0.75</v>
      </c>
      <c r="L24" s="60">
        <f t="shared" si="5"/>
        <v>-4.4696622770097685E-2</v>
      </c>
      <c r="O24" s="60">
        <f t="shared" si="6"/>
        <v>-3.3199690390272901E-2</v>
      </c>
    </row>
    <row r="25" spans="1:15" s="60" customFormat="1" x14ac:dyDescent="0.25">
      <c r="A25" s="57">
        <v>44882</v>
      </c>
      <c r="B25" s="58">
        <v>22.22</v>
      </c>
      <c r="C25" s="70">
        <f>myParidad('Flujo de Fondos'!$N$5,$A25,B25,'Flujo de Fondos'!$N$7,'Flujo de Fondos'!$N$6)</f>
        <v>0.22180197180402292</v>
      </c>
      <c r="D25" s="59">
        <v>26.03</v>
      </c>
      <c r="E25" s="70">
        <f>myParidad('Flujo de Fondos'!$T$5,$A25,D25,'Flujo de Fondos'!$T$7,'Flujo de Fondos'!$T$6)</f>
        <v>0.26018327394216978</v>
      </c>
      <c r="F25" s="58">
        <v>29</v>
      </c>
      <c r="G25" s="70">
        <f>myParidad('Flujo de Fondos'!$H$34,'Paridad usd'!$A25,'Paridad usd'!F25,'Flujo de Fondos'!$H$36,'Flujo de Fondos'!$H$35)</f>
        <v>0.28986995560210999</v>
      </c>
      <c r="H25" s="65">
        <f t="shared" si="1"/>
        <v>-3.014412634871003E-2</v>
      </c>
      <c r="I25" s="65">
        <f t="shared" si="2"/>
        <v>0.37323696390393146</v>
      </c>
      <c r="J25" s="65">
        <f t="shared" si="3"/>
        <v>0.51173697409830077</v>
      </c>
      <c r="K25" s="82">
        <f t="shared" si="4"/>
        <v>0.65</v>
      </c>
      <c r="L25" s="60">
        <f t="shared" si="5"/>
        <v>-3.0157800533899735E-2</v>
      </c>
      <c r="O25" s="60">
        <f t="shared" si="6"/>
        <v>-2.1661496781179419E-2</v>
      </c>
    </row>
    <row r="26" spans="1:15" s="60" customFormat="1" x14ac:dyDescent="0.25">
      <c r="A26" s="57">
        <v>44881</v>
      </c>
      <c r="B26" s="58">
        <v>22.9</v>
      </c>
      <c r="C26" s="70">
        <f>myParidad('Flujo de Fondos'!$N$5,$A26,B26,'Flujo de Fondos'!$N$7,'Flujo de Fondos'!$N$6)</f>
        <v>0.22859291672364282</v>
      </c>
      <c r="D26" s="59">
        <v>26.6</v>
      </c>
      <c r="E26" s="70">
        <f>myParidad('Flujo de Fondos'!$T$5,$A26,D26,'Flujo de Fondos'!$T$7,'Flujo de Fondos'!$T$6)</f>
        <v>0.26588162804230997</v>
      </c>
      <c r="F26" s="58">
        <v>28.7</v>
      </c>
      <c r="G26" s="70">
        <f>myParidad('Flujo de Fondos'!$H$34,'Paridad usd'!$A26,'Paridad usd'!F26,'Flujo de Fondos'!$H$36,'Flujo de Fondos'!$H$35)</f>
        <v>0.28687228288775546</v>
      </c>
      <c r="H26" s="65">
        <f t="shared" si="1"/>
        <v>2.1406532952791088E-2</v>
      </c>
      <c r="I26" s="65">
        <f t="shared" si="2"/>
        <v>0.34260877624583952</v>
      </c>
      <c r="J26" s="65">
        <f t="shared" si="3"/>
        <v>0.32729796583859816</v>
      </c>
      <c r="K26" s="82">
        <f t="shared" si="4"/>
        <v>0.45</v>
      </c>
      <c r="L26" s="60">
        <f t="shared" si="5"/>
        <v>2.1392858580615459E-2</v>
      </c>
      <c r="O26" s="60">
        <f t="shared" si="6"/>
        <v>1.4388737452099671E-2</v>
      </c>
    </row>
    <row r="27" spans="1:15" s="60" customFormat="1" x14ac:dyDescent="0.25">
      <c r="A27" s="57">
        <v>44880</v>
      </c>
      <c r="B27" s="58">
        <v>22.414999999999999</v>
      </c>
      <c r="C27" s="70">
        <f>myParidad('Flujo de Fondos'!$N$5,$A27,B27,'Flujo de Fondos'!$N$7,'Flujo de Fondos'!$N$6)</f>
        <v>0.22375459803908163</v>
      </c>
      <c r="D27" s="59">
        <v>26.22</v>
      </c>
      <c r="E27" s="70">
        <f>myParidad('Flujo de Fondos'!$T$5,$A27,D27,'Flujo de Fondos'!$T$7,'Flujo de Fondos'!$T$6)</f>
        <v>0.26208421621954681</v>
      </c>
      <c r="F27" s="58">
        <v>28.7</v>
      </c>
      <c r="G27" s="70">
        <f>myParidad('Flujo de Fondos'!$H$34,'Paridad usd'!$A27,'Paridad usd'!F27,'Flujo de Fondos'!$H$36,'Flujo de Fondos'!$H$35)</f>
        <v>0.28687326489324921</v>
      </c>
      <c r="H27" s="65">
        <f t="shared" si="1"/>
        <v>5.4315101892238087E-2</v>
      </c>
      <c r="I27" s="65">
        <f t="shared" si="2"/>
        <v>0.34432452153390003</v>
      </c>
      <c r="J27" s="65">
        <f t="shared" si="3"/>
        <v>0.44165695463918969</v>
      </c>
      <c r="K27" s="82">
        <f t="shared" si="4"/>
        <v>0.45</v>
      </c>
      <c r="L27" s="60">
        <f t="shared" si="5"/>
        <v>5.4301427333071424E-2</v>
      </c>
      <c r="O27" s="60">
        <f t="shared" si="6"/>
        <v>7.3990628806954895E-2</v>
      </c>
    </row>
    <row r="28" spans="1:15" s="60" customFormat="1" x14ac:dyDescent="0.25">
      <c r="A28" s="57">
        <v>44879</v>
      </c>
      <c r="B28" s="58">
        <v>21.23</v>
      </c>
      <c r="C28" s="70">
        <f>myParidad('Flujo de Fondos'!$N$5,$A28,B28,'Flujo de Fondos'!$N$7,'Flujo de Fondos'!$N$6)</f>
        <v>0.21192839951865222</v>
      </c>
      <c r="D28" s="59">
        <v>24.35</v>
      </c>
      <c r="E28" s="70">
        <f>myParidad('Flujo de Fondos'!$T$5,$A28,D28,'Flujo de Fondos'!$T$7,'Flujo de Fondos'!$T$6)</f>
        <v>0.2433933070434878</v>
      </c>
      <c r="F28" s="58">
        <v>28</v>
      </c>
      <c r="G28" s="70">
        <f>myParidad('Flujo de Fondos'!$H$34,'Paridad usd'!$A28,'Paridad usd'!F28,'Flujo de Fondos'!$H$36,'Flujo de Fondos'!$H$35)</f>
        <v>0.27987731405411326</v>
      </c>
      <c r="H28" s="65">
        <f t="shared" si="1"/>
        <v>2.5378198469183509E-2</v>
      </c>
      <c r="I28" s="65">
        <f t="shared" si="2"/>
        <v>0.29967869747245274</v>
      </c>
      <c r="J28" s="65">
        <f t="shared" si="3"/>
        <v>0.2754565555791309</v>
      </c>
      <c r="K28" s="82">
        <f t="shared" si="4"/>
        <v>0.2</v>
      </c>
      <c r="L28" s="60">
        <f t="shared" si="5"/>
        <v>2.5337173669686398E-2</v>
      </c>
      <c r="O28" s="60">
        <f t="shared" si="6"/>
        <v>9.9051573355191606E-3</v>
      </c>
    </row>
    <row r="29" spans="1:15" s="60" customFormat="1" x14ac:dyDescent="0.25">
      <c r="A29" s="57">
        <v>44876</v>
      </c>
      <c r="B29" s="58">
        <v>20.698</v>
      </c>
      <c r="C29" s="70">
        <f>myParidad('Flujo de Fondos'!$N$5,$A29,B29,'Flujo de Fondos'!$N$7,'Flujo de Fondos'!$N$6)</f>
        <v>0.20662618803418803</v>
      </c>
      <c r="D29" s="59">
        <v>24.11</v>
      </c>
      <c r="E29" s="70">
        <f>myParidad('Flujo de Fondos'!$T$5,$A29,D29,'Flujo de Fondos'!$T$7,'Flujo de Fondos'!$T$6)</f>
        <v>0.24099683354728282</v>
      </c>
      <c r="F29" s="58">
        <v>27.2</v>
      </c>
      <c r="G29" s="70">
        <f>myParidad('Flujo de Fondos'!$H$34,'Paridad usd'!$A29,'Paridad usd'!F29,'Flujo de Fondos'!$H$36,'Flujo de Fondos'!$H$35)</f>
        <v>0.27188361146769363</v>
      </c>
      <c r="H29" s="65">
        <f t="shared" si="1"/>
        <v>-2.4609754983326761E-3</v>
      </c>
      <c r="I29" s="65">
        <f t="shared" si="2"/>
        <v>0.29161022889529059</v>
      </c>
      <c r="J29" s="65">
        <f t="shared" si="3"/>
        <v>0.33386514239979176</v>
      </c>
      <c r="K29" s="82">
        <f t="shared" si="4"/>
        <v>0.15</v>
      </c>
      <c r="L29" s="60">
        <f t="shared" si="5"/>
        <v>-2.4746508055145597E-3</v>
      </c>
      <c r="O29" s="60">
        <f t="shared" si="6"/>
        <v>7.493790272797749E-3</v>
      </c>
    </row>
    <row r="30" spans="1:15" s="60" customFormat="1" x14ac:dyDescent="0.25">
      <c r="A30" s="57">
        <v>44875</v>
      </c>
      <c r="B30" s="58">
        <v>20.748999999999999</v>
      </c>
      <c r="C30" s="70">
        <f>myParidad('Flujo de Fondos'!$N$5,$A30,B30,'Flujo de Fondos'!$N$7,'Flujo de Fondos'!$N$6)</f>
        <v>0.20713814889776269</v>
      </c>
      <c r="D30" s="59">
        <v>23.93</v>
      </c>
      <c r="E30" s="70">
        <f>myParidad('Flujo de Fondos'!$T$5,$A30,D30,'Flujo de Fondos'!$T$7,'Flujo de Fondos'!$T$6)</f>
        <v>0.23919842258766824</v>
      </c>
      <c r="F30" s="58">
        <v>27</v>
      </c>
      <c r="G30" s="70">
        <f>myParidad('Flujo de Fondos'!$H$34,'Paridad usd'!$A30,'Paridad usd'!F30,'Flujo de Fondos'!$H$36,'Flujo de Fondos'!$H$35)</f>
        <v>0.26988539113527132</v>
      </c>
      <c r="H30" s="65">
        <f t="shared" si="1"/>
        <v>1.941714085571003E-2</v>
      </c>
      <c r="I30" s="65">
        <f t="shared" si="2"/>
        <v>0.31316821472713985</v>
      </c>
      <c r="J30" s="65">
        <f t="shared" si="3"/>
        <v>0.34722675464239289</v>
      </c>
      <c r="K30" s="82">
        <f t="shared" si="4"/>
        <v>0.3</v>
      </c>
      <c r="L30" s="60">
        <f t="shared" si="5"/>
        <v>1.9403465361511486E-2</v>
      </c>
      <c r="O30" s="60">
        <f t="shared" si="6"/>
        <v>2.7366472510792998E-2</v>
      </c>
    </row>
    <row r="31" spans="1:15" s="60" customFormat="1" x14ac:dyDescent="0.25">
      <c r="A31" s="57">
        <v>44874</v>
      </c>
      <c r="B31" s="58">
        <v>20.350000000000001</v>
      </c>
      <c r="C31" s="70">
        <f>myParidad('Flujo de Fondos'!$N$5,$A31,B31,'Flujo de Fondos'!$N$7,'Flujo de Fondos'!$N$6)</f>
        <v>0.20315769320186536</v>
      </c>
      <c r="D31" s="59">
        <v>23.283999999999999</v>
      </c>
      <c r="E31" s="70">
        <f>myParidad('Flujo de Fondos'!$T$5,$A31,D31,'Flujo de Fondos'!$T$7,'Flujo de Fondos'!$T$6)</f>
        <v>0.23274196143405346</v>
      </c>
      <c r="F31" s="58">
        <v>26.7</v>
      </c>
      <c r="G31" s="70">
        <f>myParidad('Flujo de Fondos'!$H$34,'Paridad usd'!$A31,'Paridad usd'!F31,'Flujo de Fondos'!$H$36,'Flujo de Fondos'!$H$35)</f>
        <v>0.26688757817768544</v>
      </c>
      <c r="H31" s="65">
        <f t="shared" si="1"/>
        <v>-1.7052788382719244E-2</v>
      </c>
      <c r="I31" s="65">
        <f t="shared" si="2"/>
        <v>0.31040777927422658</v>
      </c>
      <c r="J31" s="65">
        <f t="shared" si="3"/>
        <v>0.33598591530168515</v>
      </c>
      <c r="K31" s="82">
        <f t="shared" si="4"/>
        <v>0.25</v>
      </c>
      <c r="L31" s="60">
        <f t="shared" si="5"/>
        <v>-1.7066464063939385E-2</v>
      </c>
      <c r="O31" s="60">
        <f t="shared" si="6"/>
        <v>-1.7286588761205129E-2</v>
      </c>
    </row>
    <row r="32" spans="1:15" s="60" customFormat="1" x14ac:dyDescent="0.25">
      <c r="A32" s="57">
        <v>44873</v>
      </c>
      <c r="B32" s="58">
        <v>20.7</v>
      </c>
      <c r="C32" s="70">
        <f>myParidad('Flujo de Fondos'!$N$5,$A32,B32,'Flujo de Fondos'!$N$7,'Flujo de Fondos'!$N$6)</f>
        <v>0.20665463198490194</v>
      </c>
      <c r="D32" s="59">
        <v>23.69</v>
      </c>
      <c r="E32" s="70">
        <f>myParidad('Flujo de Fondos'!$T$5,$A32,D32,'Flujo de Fondos'!$T$7,'Flujo de Fondos'!$T$6)</f>
        <v>0.23680106256974826</v>
      </c>
      <c r="F32" s="58">
        <v>27</v>
      </c>
      <c r="G32" s="70">
        <f>myParidad('Flujo de Fondos'!$H$34,'Paridad usd'!$A32,'Paridad usd'!F32,'Flujo de Fondos'!$H$36,'Flujo de Fondos'!$H$35)</f>
        <v>0.2698872388933391</v>
      </c>
      <c r="H32" s="65">
        <f t="shared" si="1"/>
        <v>9.7088141269609032E-3</v>
      </c>
      <c r="I32" s="65">
        <f t="shared" si="2"/>
        <v>0.30028545579974342</v>
      </c>
      <c r="J32" s="65">
        <f t="shared" si="3"/>
        <v>0.33343922411605559</v>
      </c>
      <c r="K32" s="82">
        <f t="shared" si="4"/>
        <v>0.15</v>
      </c>
      <c r="L32" s="60">
        <f t="shared" si="5"/>
        <v>9.6951382587140943E-3</v>
      </c>
      <c r="O32" s="60">
        <f t="shared" si="6"/>
        <v>1.2316995807038525E-2</v>
      </c>
    </row>
    <row r="33" spans="1:15" s="60" customFormat="1" x14ac:dyDescent="0.25">
      <c r="A33" s="57">
        <v>44872</v>
      </c>
      <c r="B33" s="58">
        <v>20.5</v>
      </c>
      <c r="C33" s="70">
        <f>myParidad('Flujo de Fondos'!$N$5,$A33,B33,'Flujo de Fondos'!$N$7,'Flujo de Fondos'!$N$6)</f>
        <v>0.20466076776849332</v>
      </c>
      <c r="D33" s="59">
        <v>23.4</v>
      </c>
      <c r="E33" s="70">
        <f>myParidad('Flujo de Fondos'!$T$5,$A33,D33,'Flujo de Fondos'!$T$7,'Flujo de Fondos'!$T$6)</f>
        <v>0.23390307441094613</v>
      </c>
      <c r="F33" s="58">
        <v>26.37</v>
      </c>
      <c r="G33" s="70">
        <f>myParidad('Flujo de Fondos'!$H$34,'Paridad usd'!$A33,'Paridad usd'!F33,'Flujo de Fondos'!$H$36,'Flujo de Fondos'!$H$35)</f>
        <v>0.26359077231695088</v>
      </c>
      <c r="H33" s="65">
        <f t="shared" si="1"/>
        <v>3.7220763167641668E-2</v>
      </c>
      <c r="I33" s="65">
        <f t="shared" si="2"/>
        <v>0.30395633837173075</v>
      </c>
      <c r="J33" s="65">
        <f t="shared" si="3"/>
        <v>0.38696060033457108</v>
      </c>
      <c r="K33" s="82">
        <f t="shared" si="4"/>
        <v>0.15</v>
      </c>
      <c r="L33" s="60">
        <f t="shared" si="5"/>
        <v>3.7179734440688929E-2</v>
      </c>
      <c r="O33" s="60">
        <f t="shared" si="6"/>
        <v>3.4786116085415389E-2</v>
      </c>
    </row>
    <row r="34" spans="1:15" s="60" customFormat="1" x14ac:dyDescent="0.25">
      <c r="A34" s="57">
        <v>44869</v>
      </c>
      <c r="B34" s="58">
        <v>19.751000000000001</v>
      </c>
      <c r="C34" s="70">
        <f>myParidad('Flujo de Fondos'!$N$5,$A34,B34,'Flujo de Fondos'!$N$7,'Flujo de Fondos'!$N$6)</f>
        <v>0.19719125249596545</v>
      </c>
      <c r="D34" s="59">
        <v>22.6</v>
      </c>
      <c r="E34" s="70">
        <f>myParidad('Flujo de Fondos'!$T$5,$A34,D34,'Flujo de Fondos'!$T$7,'Flujo de Fondos'!$T$6)</f>
        <v>0.22590870812479891</v>
      </c>
      <c r="F34" s="58">
        <v>25.9</v>
      </c>
      <c r="G34" s="70">
        <f>myParidad('Flujo de Fondos'!$H$34,'Paridad usd'!$A34,'Paridad usd'!F34,'Flujo de Fondos'!$H$36,'Flujo de Fondos'!$H$35)</f>
        <v>0.25889537789523409</v>
      </c>
      <c r="H34" s="65">
        <f t="shared" si="1"/>
        <v>-7.5156087537258517E-3</v>
      </c>
      <c r="I34" s="65">
        <f t="shared" si="2"/>
        <v>0.27936529815698186</v>
      </c>
      <c r="J34" s="65">
        <f t="shared" si="3"/>
        <v>0.28984582924229396</v>
      </c>
      <c r="K34" s="82">
        <f t="shared" si="4"/>
        <v>0</v>
      </c>
      <c r="L34" s="60">
        <f t="shared" si="5"/>
        <v>-7.5292853701311863E-3</v>
      </c>
      <c r="O34" s="60">
        <f t="shared" si="6"/>
        <v>0</v>
      </c>
    </row>
    <row r="35" spans="1:15" s="60" customFormat="1" x14ac:dyDescent="0.25">
      <c r="A35" s="57">
        <v>44868</v>
      </c>
      <c r="B35" s="58">
        <v>19.899999999999999</v>
      </c>
      <c r="C35" s="70">
        <f>myParidad('Flujo de Fondos'!$N$5,$A35,B35,'Flujo de Fondos'!$N$7,'Flujo de Fondos'!$N$6)</f>
        <v>0.19868156516268445</v>
      </c>
      <c r="D35" s="59">
        <v>22.6</v>
      </c>
      <c r="E35" s="70">
        <f>myParidad('Flujo de Fondos'!$T$5,$A35,D35,'Flujo de Fondos'!$T$7,'Flujo de Fondos'!$T$6)</f>
        <v>0.22590948147488851</v>
      </c>
      <c r="F35" s="58">
        <v>26</v>
      </c>
      <c r="G35" s="70">
        <f>myParidad('Flujo de Fondos'!$H$34,'Paridad usd'!$A35,'Paridad usd'!F35,'Flujo de Fondos'!$H$36,'Flujo de Fondos'!$H$35)</f>
        <v>0.25989586364367701</v>
      </c>
      <c r="H35" s="65">
        <f t="shared" si="1"/>
        <v>-1.0045204260055874E-3</v>
      </c>
      <c r="I35" s="65">
        <f t="shared" si="2"/>
        <v>0.2817541433220378</v>
      </c>
      <c r="J35" s="65">
        <f t="shared" si="3"/>
        <v>0.28915836080910412</v>
      </c>
      <c r="K35" s="82">
        <f t="shared" si="4"/>
        <v>0.05</v>
      </c>
      <c r="L35" s="60">
        <f t="shared" si="5"/>
        <v>-1.0181972294633073E-3</v>
      </c>
      <c r="O35" s="60">
        <f t="shared" si="6"/>
        <v>3.102151834087046E-3</v>
      </c>
    </row>
    <row r="36" spans="1:15" s="60" customFormat="1" x14ac:dyDescent="0.25">
      <c r="A36" s="57">
        <v>44867</v>
      </c>
      <c r="B36" s="58">
        <v>19.920000000000002</v>
      </c>
      <c r="C36" s="70">
        <f>myParidad('Flujo de Fondos'!$N$5,$A36,B36,'Flujo de Fondos'!$N$7,'Flujo de Fondos'!$N$6)</f>
        <v>0.19888396520597409</v>
      </c>
      <c r="D36" s="59">
        <v>22.53</v>
      </c>
      <c r="E36" s="70">
        <f>myParidad('Flujo de Fondos'!$T$5,$A36,D36,'Flujo de Fondos'!$T$7,'Flujo de Fondos'!$T$6)</f>
        <v>0.22521053280203757</v>
      </c>
      <c r="F36" s="58">
        <v>26.1</v>
      </c>
      <c r="G36" s="70">
        <f>myParidad('Flujo de Fondos'!$H$34,'Paridad usd'!$A36,'Paridad usd'!F36,'Flujo de Fondos'!$H$36,'Flujo de Fondos'!$H$35)</f>
        <v>0.26089635624204083</v>
      </c>
      <c r="H36" s="65">
        <f t="shared" si="1"/>
        <v>-1.6430541396095927E-2</v>
      </c>
      <c r="I36" s="65">
        <f t="shared" si="2"/>
        <v>0.28170556432193106</v>
      </c>
      <c r="J36" s="65">
        <f t="shared" si="3"/>
        <v>0.30233819687914659</v>
      </c>
      <c r="K36" s="82">
        <f t="shared" si="4"/>
        <v>0</v>
      </c>
      <c r="L36" s="60">
        <f t="shared" si="5"/>
        <v>-1.6444218386611042E-2</v>
      </c>
      <c r="O36" s="60">
        <f t="shared" si="6"/>
        <v>-1.4190886418062954E-2</v>
      </c>
    </row>
    <row r="37" spans="1:15" s="60" customFormat="1" x14ac:dyDescent="0.25">
      <c r="A37" s="57">
        <v>44866</v>
      </c>
      <c r="B37" s="58">
        <v>20.25</v>
      </c>
      <c r="C37" s="70">
        <f>myParidad('Flujo de Fondos'!$N$5,$A37,B37,'Flujo de Fondos'!$N$7,'Flujo de Fondos'!$N$6)</f>
        <v>0.2021814949052862</v>
      </c>
      <c r="D37" s="59">
        <v>22.852</v>
      </c>
      <c r="E37" s="70">
        <f>myParidad('Flujo de Fondos'!$T$5,$A37,D37,'Flujo de Fondos'!$T$7,'Flujo de Fondos'!$T$6)</f>
        <v>0.22843003611591325</v>
      </c>
      <c r="F37" s="58">
        <v>26.2</v>
      </c>
      <c r="G37" s="70">
        <f>myParidad('Flujo de Fondos'!$H$34,'Paridad usd'!$A37,'Paridad usd'!F37,'Flujo de Fondos'!$H$36,'Flujo de Fondos'!$H$35)</f>
        <v>0.26189685569039589</v>
      </c>
      <c r="H37" s="65">
        <f t="shared" si="1"/>
        <v>3.1095785264178607E-2</v>
      </c>
      <c r="I37" s="65">
        <f t="shared" si="2"/>
        <v>0.35358787850715362</v>
      </c>
      <c r="J37" s="65">
        <f t="shared" si="3"/>
        <v>0.30387492999939214</v>
      </c>
      <c r="K37" s="82">
        <f t="shared" si="4"/>
        <v>0</v>
      </c>
      <c r="L37" s="60">
        <f t="shared" si="5"/>
        <v>3.1082108086600623E-2</v>
      </c>
      <c r="O37" s="60">
        <f t="shared" si="6"/>
        <v>1.6457100811932836E-2</v>
      </c>
    </row>
    <row r="38" spans="1:15" s="60" customFormat="1" x14ac:dyDescent="0.25">
      <c r="A38" s="57">
        <v>44865</v>
      </c>
      <c r="B38" s="58">
        <v>19.63</v>
      </c>
      <c r="C38" s="70">
        <f>myParidad('Flujo de Fondos'!$N$5,$A38,B38,'Flujo de Fondos'!$N$7,'Flujo de Fondos'!$N$6)</f>
        <v>0.19599392729162676</v>
      </c>
      <c r="D38" s="59">
        <v>22.478999999999999</v>
      </c>
      <c r="E38" s="70">
        <f>myParidad('Flujo de Fondos'!$T$5,$A38,D38,'Flujo de Fondos'!$T$7,'Flujo de Fondos'!$T$6)</f>
        <v>0.22470227376982957</v>
      </c>
      <c r="F38" s="58">
        <v>25.25</v>
      </c>
      <c r="G38" s="70">
        <f>myParidad('Flujo de Fondos'!$H$34,'Paridad usd'!$A38,'Paridad usd'!F38,'Flujo de Fondos'!$H$36,'Flujo de Fondos'!$H$35)</f>
        <v>0.25240145970408812</v>
      </c>
      <c r="H38" s="65">
        <f t="shared" si="1"/>
        <v>-1.5271064306508172E-3</v>
      </c>
      <c r="I38" s="65">
        <f t="shared" si="2"/>
        <v>0.37161160856994502</v>
      </c>
      <c r="J38" s="65">
        <f t="shared" si="3"/>
        <v>0.26505591226224051</v>
      </c>
      <c r="K38" s="82">
        <f t="shared" si="4"/>
        <v>0</v>
      </c>
      <c r="L38" s="60">
        <f t="shared" si="5"/>
        <v>-1.5681390858112833E-3</v>
      </c>
      <c r="O38" s="60">
        <f t="shared" si="6"/>
        <v>-9.3376916009109325E-4</v>
      </c>
    </row>
    <row r="39" spans="1:15" s="60" customFormat="1" x14ac:dyDescent="0.25">
      <c r="A39" s="57">
        <v>44862</v>
      </c>
      <c r="B39" s="58">
        <v>19.66</v>
      </c>
      <c r="C39" s="70">
        <f>myParidad('Flujo de Fondos'!$N$5,$A39,B39,'Flujo de Fondos'!$N$7,'Flujo de Fondos'!$N$6)</f>
        <v>0.19630151413603972</v>
      </c>
      <c r="D39" s="59">
        <v>22.5</v>
      </c>
      <c r="E39" s="70">
        <f>myParidad('Flujo de Fondos'!$T$5,$A39,D39,'Flujo de Fondos'!$T$7,'Flujo de Fondos'!$T$6)</f>
        <v>0.22491450167915622</v>
      </c>
      <c r="F39" s="58">
        <v>25.4</v>
      </c>
      <c r="G39" s="70">
        <f>myParidad('Flujo de Fondos'!$H$34,'Paridad usd'!$A39,'Paridad usd'!F39,'Flujo de Fondos'!$H$36,'Flujo de Fondos'!$H$35)</f>
        <v>0.25390348189558076</v>
      </c>
      <c r="H39" s="65">
        <f t="shared" si="1"/>
        <v>-7.1463267566368536E-3</v>
      </c>
      <c r="I39" s="65">
        <f t="shared" si="2"/>
        <v>0.38455175617380083</v>
      </c>
      <c r="J39" s="65">
        <f t="shared" si="3"/>
        <v>0.39659354397808544</v>
      </c>
      <c r="K39" s="82">
        <f t="shared" si="4"/>
        <v>0</v>
      </c>
      <c r="L39" s="60">
        <f t="shared" si="5"/>
        <v>-7.1600046825165461E-3</v>
      </c>
      <c r="O39" s="60">
        <f t="shared" si="6"/>
        <v>-4.4345970678658642E-3</v>
      </c>
    </row>
    <row r="40" spans="1:15" s="60" customFormat="1" x14ac:dyDescent="0.25">
      <c r="A40" s="57">
        <v>44861</v>
      </c>
      <c r="B40" s="58">
        <v>19.800999999999998</v>
      </c>
      <c r="C40" s="70">
        <f>myParidad('Flujo de Fondos'!$N$5,$A40,B40,'Flujo de Fondos'!$N$7,'Flujo de Fondos'!$N$6)</f>
        <v>0.19771207769115032</v>
      </c>
      <c r="D40" s="59">
        <v>22.6</v>
      </c>
      <c r="E40" s="70">
        <f>myParidad('Flujo de Fondos'!$T$5,$A40,D40,'Flujo de Fondos'!$T$7,'Flujo de Fondos'!$T$6)</f>
        <v>0.2259148950737736</v>
      </c>
      <c r="F40" s="58">
        <v>25.2</v>
      </c>
      <c r="G40" s="70">
        <f>myParidad('Flujo de Fondos'!$H$34,'Paridad usd'!$A40,'Paridad usd'!F40,'Flujo de Fondos'!$H$36,'Flujo de Fondos'!$H$35)</f>
        <v>0.25190510424155282</v>
      </c>
      <c r="H40" s="65">
        <f t="shared" si="1"/>
        <v>-1.099933241141716E-2</v>
      </c>
      <c r="I40" s="65">
        <f t="shared" si="2"/>
        <v>0.42072108875144848</v>
      </c>
      <c r="J40" s="65">
        <f t="shared" si="3"/>
        <v>0.40341162758626065</v>
      </c>
      <c r="K40" s="82">
        <f t="shared" si="4"/>
        <v>0.2</v>
      </c>
      <c r="L40" s="60">
        <f t="shared" si="5"/>
        <v>-1.1013010524384786E-2</v>
      </c>
      <c r="O40" s="60">
        <f t="shared" si="6"/>
        <v>-8.810629682154807E-3</v>
      </c>
    </row>
    <row r="41" spans="1:15" s="60" customFormat="1" x14ac:dyDescent="0.25">
      <c r="A41" s="57">
        <v>44860</v>
      </c>
      <c r="B41" s="58">
        <v>20.02</v>
      </c>
      <c r="C41" s="70">
        <f>myParidad('Flujo de Fondos'!$N$5,$A41,B41,'Flujo de Fondos'!$N$7,'Flujo de Fondos'!$N$6)</f>
        <v>0.19990151691310235</v>
      </c>
      <c r="D41" s="59">
        <v>22.8</v>
      </c>
      <c r="E41" s="70">
        <f>myParidad('Flujo de Fondos'!$T$5,$A41,D41,'Flujo de Fondos'!$T$7,'Flujo de Fondos'!$T$6)</f>
        <v>0.22791492216946416</v>
      </c>
      <c r="F41" s="58">
        <v>25.4</v>
      </c>
      <c r="G41" s="70">
        <f>myParidad('Flujo de Fondos'!$H$34,'Paridad usd'!$A41,'Paridad usd'!F41,'Flujo de Fondos'!$H$36,'Flujo de Fondos'!$H$35)</f>
        <v>0.25390522031159601</v>
      </c>
      <c r="H41" s="65">
        <f t="shared" si="1"/>
        <v>-1.6889532502656512E-2</v>
      </c>
      <c r="I41" s="65">
        <f t="shared" si="2"/>
        <v>0.48618473539001922</v>
      </c>
      <c r="J41" s="65">
        <f t="shared" si="3"/>
        <v>0.35010732611812551</v>
      </c>
      <c r="K41" s="82">
        <f t="shared" si="4"/>
        <v>0.9</v>
      </c>
      <c r="L41" s="60">
        <f t="shared" si="5"/>
        <v>-1.6903210802717623E-2</v>
      </c>
      <c r="O41" s="60">
        <f t="shared" si="6"/>
        <v>-2.5120420083527207E-2</v>
      </c>
    </row>
    <row r="42" spans="1:15" s="60" customFormat="1" x14ac:dyDescent="0.25">
      <c r="A42" s="57">
        <v>44859</v>
      </c>
      <c r="B42" s="58">
        <v>20.361000000000001</v>
      </c>
      <c r="C42" s="70">
        <f>myParidad('Flujo de Fondos'!$N$5,$A42,B42,'Flujo de Fondos'!$N$7,'Flujo de Fondos'!$N$6)</f>
        <v>0.20330921376593533</v>
      </c>
      <c r="D42" s="59">
        <v>23.38</v>
      </c>
      <c r="E42" s="70">
        <f>myParidad('Flujo de Fondos'!$T$5,$A42,D42,'Flujo de Fondos'!$T$7,'Flujo de Fondos'!$T$6)</f>
        <v>0.23371355799909621</v>
      </c>
      <c r="F42" s="58">
        <v>25.98</v>
      </c>
      <c r="G42" s="70">
        <f>myParidad('Flujo de Fondos'!$H$34,'Paridad usd'!$A42,'Paridad usd'!F42,'Flujo de Fondos'!$H$36,'Flujo de Fondos'!$H$35)</f>
        <v>0.25970394511618988</v>
      </c>
      <c r="H42" s="65">
        <f t="shared" si="1"/>
        <v>2.5417299256531582E-2</v>
      </c>
      <c r="I42" s="65">
        <f t="shared" si="2"/>
        <v>0.49493556234574049</v>
      </c>
      <c r="J42" s="65">
        <f t="shared" si="3"/>
        <v>0.27543634663607036</v>
      </c>
      <c r="K42" s="82">
        <f t="shared" si="4"/>
        <v>0.95</v>
      </c>
      <c r="L42" s="60">
        <f t="shared" si="5"/>
        <v>2.5403620769371991E-2</v>
      </c>
      <c r="O42" s="60">
        <f t="shared" si="6"/>
        <v>7.7286773716580704E-3</v>
      </c>
    </row>
    <row r="43" spans="1:15" s="60" customFormat="1" x14ac:dyDescent="0.25">
      <c r="A43" s="57">
        <v>44858</v>
      </c>
      <c r="B43" s="58">
        <v>19.850000000000001</v>
      </c>
      <c r="C43" s="70">
        <f>myParidad('Flujo de Fondos'!$N$5,$A43,B43,'Flujo de Fondos'!$N$7,'Flujo de Fondos'!$N$6)</f>
        <v>0.19820947378500009</v>
      </c>
      <c r="D43" s="59">
        <v>23.2</v>
      </c>
      <c r="E43" s="70">
        <f>myParidad('Flujo de Fondos'!$T$5,$A43,D43,'Flujo de Fondos'!$T$7,'Flujo de Fondos'!$T$6)</f>
        <v>0.23191501744223864</v>
      </c>
      <c r="F43" s="58">
        <v>25</v>
      </c>
      <c r="G43" s="70">
        <f>myParidad('Flujo de Fondos'!$H$34,'Paridad usd'!$A43,'Paridad usd'!F43,'Flujo de Fondos'!$H$36,'Flujo de Fondos'!$H$35)</f>
        <v>0.24990842396792956</v>
      </c>
      <c r="H43" s="65">
        <f t="shared" si="1"/>
        <v>3.8515672080615189E-2</v>
      </c>
      <c r="I43" s="65">
        <f t="shared" si="2"/>
        <v>0.49968405141156325</v>
      </c>
      <c r="J43" s="65">
        <f t="shared" si="3"/>
        <v>0.28394898819521597</v>
      </c>
      <c r="K43" s="82">
        <f t="shared" si="4"/>
        <v>1</v>
      </c>
      <c r="L43" s="60">
        <f t="shared" si="5"/>
        <v>3.847463549649472E-2</v>
      </c>
      <c r="O43" s="60">
        <f t="shared" si="6"/>
        <v>4.8574670148556973E-2</v>
      </c>
    </row>
    <row r="44" spans="1:15" x14ac:dyDescent="0.25">
      <c r="A44" s="57">
        <v>44855</v>
      </c>
      <c r="B44" s="58">
        <v>19.100000000000001</v>
      </c>
      <c r="C44" s="70">
        <f>myParidad('Flujo de Fondos'!$N$5,$A44,B44,'Flujo de Fondos'!$N$7,'Flujo de Fondos'!$N$6)</f>
        <v>0.19072827752243382</v>
      </c>
      <c r="D44" s="59">
        <v>22.1</v>
      </c>
      <c r="E44" s="70">
        <f>myParidad('Flujo de Fondos'!$T$5,$A44,D44,'Flujo de Fondos'!$T$7,'Flujo de Fondos'!$T$6)</f>
        <v>0.22092131569577961</v>
      </c>
      <c r="F44" s="58">
        <v>24</v>
      </c>
      <c r="G44" s="70">
        <f>myParidad('Flujo de Fondos'!$H$34,'Paridad usd'!$A44,'Paridad usd'!F44,'Flujo de Fondos'!$H$36,'Flujo de Fondos'!$H$35)</f>
        <v>0.23991455098184208</v>
      </c>
      <c r="H44" s="65">
        <f t="shared" si="1"/>
        <v>2.8140959687969924E-2</v>
      </c>
      <c r="I44" s="65">
        <f t="shared" si="2"/>
        <v>0.47624331127161212</v>
      </c>
      <c r="J44" s="65">
        <f t="shared" si="3"/>
        <v>0.19281155562802352</v>
      </c>
      <c r="K44" s="82">
        <f t="shared" si="4"/>
        <v>1</v>
      </c>
      <c r="L44" s="60">
        <f t="shared" si="5"/>
        <v>2.8127280452365223E-2</v>
      </c>
      <c r="M44" s="60"/>
      <c r="N44" s="60"/>
      <c r="O44" s="60">
        <f t="shared" si="6"/>
        <v>3.4525868849073611E-2</v>
      </c>
    </row>
    <row r="45" spans="1:15" x14ac:dyDescent="0.25">
      <c r="A45" s="57">
        <v>44854</v>
      </c>
      <c r="B45" s="58">
        <v>18.57</v>
      </c>
      <c r="C45" s="70">
        <f>myParidad('Flujo de Fondos'!$N$5,$A45,B45,'Flujo de Fondos'!$N$7,'Flujo de Fondos'!$N$6)</f>
        <v>0.18543835410311479</v>
      </c>
      <c r="D45" s="59">
        <v>21.35</v>
      </c>
      <c r="E45" s="70">
        <f>myParidad('Flujo de Fondos'!$T$5,$A45,D45,'Flujo de Fondos'!$T$7,'Flujo de Fondos'!$T$6)</f>
        <v>0.21342471662393062</v>
      </c>
      <c r="F45" s="58">
        <v>23.5</v>
      </c>
      <c r="G45" s="70">
        <f>myParidad('Flujo de Fondos'!$H$34,'Paridad usd'!$A45,'Paridad usd'!F45,'Flujo de Fondos'!$H$36,'Flujo de Fondos'!$H$35)</f>
        <v>0.23491713539402198</v>
      </c>
      <c r="H45" s="65">
        <f t="shared" si="1"/>
        <v>8.0560571945343523E-3</v>
      </c>
      <c r="I45" s="65">
        <f t="shared" si="2"/>
        <v>0.4589990653420532</v>
      </c>
      <c r="J45" s="65">
        <f t="shared" si="3"/>
        <v>0.22806973609568118</v>
      </c>
      <c r="K45" s="82">
        <f t="shared" si="4"/>
        <v>0.8</v>
      </c>
      <c r="L45" s="60">
        <f t="shared" si="5"/>
        <v>8.0423777718057754E-3</v>
      </c>
      <c r="M45" s="60"/>
      <c r="N45" s="60"/>
      <c r="O45" s="60">
        <f t="shared" si="6"/>
        <v>1.743447340006982E-2</v>
      </c>
    </row>
    <row r="46" spans="1:15" x14ac:dyDescent="0.25">
      <c r="A46" s="57">
        <v>44853</v>
      </c>
      <c r="B46" s="58">
        <v>18.420999999999999</v>
      </c>
      <c r="C46" s="70">
        <f>myParidad('Flujo de Fondos'!$N$5,$A46,B46,'Flujo de Fondos'!$N$7,'Flujo de Fondos'!$N$6)</f>
        <v>0.18395296982298706</v>
      </c>
      <c r="D46" s="59">
        <v>20.981000000000002</v>
      </c>
      <c r="E46" s="70">
        <f>myParidad('Flujo de Fondos'!$T$5,$A46,D46,'Flujo de Fondos'!$T$7,'Flujo de Fondos'!$T$6)</f>
        <v>0.2097367357977693</v>
      </c>
      <c r="F46" s="58">
        <v>23.15</v>
      </c>
      <c r="G46" s="70">
        <f>myParidad('Flujo de Fondos'!$H$34,'Paridad usd'!$A46,'Paridad usd'!F46,'Flujo de Fondos'!$H$36,'Flujo de Fondos'!$H$35)</f>
        <v>0.23141916179964531</v>
      </c>
      <c r="H46" s="65">
        <f t="shared" si="1"/>
        <v>-4.2794139141990152E-3</v>
      </c>
      <c r="I46" s="65">
        <f t="shared" si="2"/>
        <v>0.45516787642025253</v>
      </c>
      <c r="J46" s="65">
        <f t="shared" si="3"/>
        <v>0.20749941161727561</v>
      </c>
      <c r="K46" s="82">
        <f t="shared" si="4"/>
        <v>0.6</v>
      </c>
      <c r="L46" s="60">
        <f t="shared" si="5"/>
        <v>-4.2930935240568097E-3</v>
      </c>
      <c r="M46" s="60"/>
      <c r="N46" s="60"/>
      <c r="O46" s="60">
        <f t="shared" si="6"/>
        <v>4.7663306412742348E-5</v>
      </c>
    </row>
    <row r="47" spans="1:15" x14ac:dyDescent="0.25">
      <c r="A47" s="57">
        <v>44852</v>
      </c>
      <c r="B47" s="58">
        <v>18.5</v>
      </c>
      <c r="C47" s="70">
        <f>myParidad('Flujo de Fondos'!$N$5,$A47,B47,'Flujo de Fondos'!$N$7,'Flujo de Fondos'!$N$6)</f>
        <v>0.18474439474152202</v>
      </c>
      <c r="D47" s="59">
        <v>20.98</v>
      </c>
      <c r="E47" s="70">
        <f>myParidad('Flujo de Fondos'!$T$5,$A47,D47,'Flujo de Fondos'!$T$7,'Flujo de Fondos'!$T$6)</f>
        <v>0.20972745728361081</v>
      </c>
      <c r="F47" s="58">
        <v>23.3</v>
      </c>
      <c r="G47" s="70">
        <f>myParidad('Flujo de Fondos'!$H$34,'Paridad usd'!$A47,'Paridad usd'!F47,'Flujo de Fondos'!$H$36,'Flujo de Fondos'!$H$35)</f>
        <v>0.23291943540076893</v>
      </c>
      <c r="H47" s="65">
        <f t="shared" si="1"/>
        <v>5.2570372812218045E-3</v>
      </c>
      <c r="I47" s="65">
        <f t="shared" si="2"/>
        <v>0.45966636620676193</v>
      </c>
      <c r="J47" s="65">
        <f t="shared" si="3"/>
        <v>0.22141914511569599</v>
      </c>
      <c r="K47" s="82">
        <f t="shared" si="4"/>
        <v>0.85</v>
      </c>
      <c r="L47" s="60">
        <f t="shared" si="5"/>
        <v>5.2433574842299093E-3</v>
      </c>
      <c r="M47" s="60"/>
      <c r="N47" s="60"/>
      <c r="O47" s="60">
        <f t="shared" si="6"/>
        <v>4.2990273996765908E-3</v>
      </c>
    </row>
    <row r="48" spans="1:15" x14ac:dyDescent="0.25">
      <c r="A48" s="57">
        <v>44851</v>
      </c>
      <c r="B48" s="58">
        <v>18.402999999999999</v>
      </c>
      <c r="C48" s="70">
        <f>myParidad('Flujo de Fondos'!$N$5,$A48,B48,'Flujo de Fondos'!$N$7,'Flujo de Fondos'!$N$6)</f>
        <v>0.18377824897400818</v>
      </c>
      <c r="D48" s="59">
        <v>20.89</v>
      </c>
      <c r="E48" s="70">
        <f>myParidad('Flujo de Fondos'!$T$5,$A48,D48,'Flujo de Fondos'!$T$7,'Flujo de Fondos'!$T$6)</f>
        <v>0.20882848339609722</v>
      </c>
      <c r="F48" s="58">
        <v>23.23</v>
      </c>
      <c r="G48" s="70">
        <f>myParidad('Flujo de Fondos'!$H$34,'Paridad usd'!$A48,'Paridad usd'!F48,'Flujo de Fondos'!$H$36,'Flujo de Fondos'!$H$35)</f>
        <v>0.23222047244094488</v>
      </c>
      <c r="H48" s="65">
        <f t="shared" si="1"/>
        <v>5.011722643480725E-3</v>
      </c>
      <c r="I48" s="65">
        <f t="shared" si="2"/>
        <v>0.45999485581968236</v>
      </c>
      <c r="J48" s="65">
        <f t="shared" si="3"/>
        <v>0.20952169269013515</v>
      </c>
      <c r="K48" s="82">
        <f t="shared" si="4"/>
        <v>0.95</v>
      </c>
      <c r="L48" s="60">
        <f t="shared" si="5"/>
        <v>4.9706821296476543E-3</v>
      </c>
      <c r="M48" s="60"/>
      <c r="N48" s="60"/>
      <c r="O48" s="60">
        <f t="shared" si="6"/>
        <v>1.4028044640542504E-2</v>
      </c>
    </row>
    <row r="49" spans="1:15" x14ac:dyDescent="0.25">
      <c r="A49" s="57">
        <v>44848</v>
      </c>
      <c r="B49" s="58">
        <v>18.311</v>
      </c>
      <c r="C49" s="70">
        <f>myParidad('Flujo de Fondos'!$N$5,$A49,B49,'Flujo de Fondos'!$N$7,'Flujo de Fondos'!$N$6)</f>
        <v>0.18286701232608726</v>
      </c>
      <c r="D49" s="59">
        <v>20.599</v>
      </c>
      <c r="E49" s="70">
        <f>myParidad('Flujo de Fondos'!$T$5,$A49,D49,'Flujo de Fondos'!$T$7,'Flujo de Fondos'!$T$6)</f>
        <v>0.20592159453880046</v>
      </c>
      <c r="F49" s="58">
        <v>23.1</v>
      </c>
      <c r="G49" s="70">
        <f>myParidad('Flujo de Fondos'!$H$34,'Paridad usd'!$A49,'Paridad usd'!F49,'Flujo de Fondos'!$H$36,'Flujo de Fondos'!$H$35)</f>
        <v>0.23092328918133362</v>
      </c>
      <c r="H49" s="65">
        <f t="shared" si="1"/>
        <v>-2.6354897676326865E-2</v>
      </c>
      <c r="I49" s="65">
        <f t="shared" si="2"/>
        <v>0.45695793969795651</v>
      </c>
      <c r="J49" s="65">
        <f t="shared" si="3"/>
        <v>0.18315529213710038</v>
      </c>
      <c r="K49" s="82">
        <f t="shared" si="4"/>
        <v>0.8</v>
      </c>
      <c r="L49" s="60">
        <f t="shared" si="5"/>
        <v>-2.6368578221907139E-2</v>
      </c>
      <c r="M49" s="60"/>
      <c r="N49" s="60"/>
      <c r="O49" s="60">
        <f t="shared" si="6"/>
        <v>-3.1490764183457899E-2</v>
      </c>
    </row>
    <row r="50" spans="1:15" x14ac:dyDescent="0.25">
      <c r="A50" s="57">
        <v>44847</v>
      </c>
      <c r="B50" s="58">
        <v>18.8</v>
      </c>
      <c r="C50" s="70">
        <f>myParidad('Flujo de Fondos'!$N$5,$A50,B50,'Flujo de Fondos'!$N$7,'Flujo de Fondos'!$N$6)</f>
        <v>0.18775309182445005</v>
      </c>
      <c r="D50" s="59">
        <v>21.257999999999999</v>
      </c>
      <c r="E50" s="70">
        <f>myParidad('Flujo de Fondos'!$T$5,$A50,D50,'Flujo de Fondos'!$T$7,'Flujo de Fondos'!$T$6)</f>
        <v>0.21251013365468885</v>
      </c>
      <c r="F50" s="58">
        <v>23.5</v>
      </c>
      <c r="G50" s="70">
        <f>myParidad('Flujo de Fondos'!$H$34,'Paridad usd'!$A50,'Paridad usd'!F50,'Flujo de Fondos'!$H$36,'Flujo de Fondos'!$H$35)</f>
        <v>0.23492276511831728</v>
      </c>
      <c r="H50" s="65">
        <f t="shared" si="1"/>
        <v>-5.8340128344625429E-3</v>
      </c>
      <c r="I50" s="65">
        <f t="shared" si="2"/>
        <v>0.45272868252043141</v>
      </c>
      <c r="J50" s="65">
        <f t="shared" si="3"/>
        <v>0.1101615024854932</v>
      </c>
      <c r="K50" s="82">
        <f t="shared" si="4"/>
        <v>0.7</v>
      </c>
      <c r="L50" s="60">
        <f t="shared" si="5"/>
        <v>-5.8476935672028907E-3</v>
      </c>
      <c r="M50" s="60"/>
      <c r="N50" s="60"/>
      <c r="O50" s="60">
        <f t="shared" si="6"/>
        <v>2.7321134334232478E-3</v>
      </c>
    </row>
    <row r="51" spans="1:15" x14ac:dyDescent="0.25">
      <c r="A51" s="57">
        <v>44846</v>
      </c>
      <c r="B51" s="58">
        <v>18.91</v>
      </c>
      <c r="C51" s="70">
        <f>myParidad('Flujo de Fondos'!$N$5,$A51,B51,'Flujo de Fondos'!$N$7,'Flujo de Fondos'!$N$6)</f>
        <v>0.18885423079554006</v>
      </c>
      <c r="D51" s="59">
        <v>21.2</v>
      </c>
      <c r="E51" s="70">
        <f>myParidad('Flujo de Fondos'!$T$5,$A51,D51,'Flujo de Fondos'!$T$7,'Flujo de Fondos'!$T$6)</f>
        <v>0.2119310498296787</v>
      </c>
      <c r="F51" s="58">
        <v>23.4</v>
      </c>
      <c r="G51" s="70">
        <f>myParidad('Flujo de Fondos'!$H$34,'Paridad usd'!$A51,'Paridad usd'!F51,'Flujo de Fondos'!$H$36,'Flujo de Fondos'!$H$35)</f>
        <v>0.23392389462332458</v>
      </c>
      <c r="H51" s="65">
        <f t="shared" si="1"/>
        <v>5.3022393574272582E-3</v>
      </c>
      <c r="I51" s="65">
        <f t="shared" si="2"/>
        <v>0.45373895232467631</v>
      </c>
      <c r="J51" s="65">
        <f t="shared" si="3"/>
        <v>0.11797101399869935</v>
      </c>
      <c r="K51" s="82">
        <f t="shared" si="4"/>
        <v>0.75</v>
      </c>
      <c r="L51" s="60">
        <f t="shared" si="5"/>
        <v>5.2885584375220139E-3</v>
      </c>
      <c r="M51" s="60"/>
      <c r="N51" s="60"/>
      <c r="O51" s="60">
        <f t="shared" si="6"/>
        <v>4.7281411959458957E-3</v>
      </c>
    </row>
    <row r="52" spans="1:15" x14ac:dyDescent="0.25">
      <c r="A52" s="57">
        <v>44845</v>
      </c>
      <c r="B52" s="58">
        <v>18.809999999999999</v>
      </c>
      <c r="C52" s="70">
        <f>myParidad('Flujo de Fondos'!$N$5,$A52,B52,'Flujo de Fondos'!$N$7,'Flujo de Fondos'!$N$6)</f>
        <v>0.1878581005280871</v>
      </c>
      <c r="D52" s="59">
        <v>21.1</v>
      </c>
      <c r="E52" s="70">
        <f>myParidad('Flujo de Fondos'!$T$5,$A52,D52,'Flujo de Fondos'!$T$7,'Flujo de Fondos'!$T$6)</f>
        <v>0.21093209720158582</v>
      </c>
      <c r="F52" s="58">
        <v>23.7</v>
      </c>
      <c r="G52" s="70">
        <f>myParidad('Flujo de Fondos'!$H$34,'Paridad usd'!$A52,'Paridad usd'!F52,'Flujo de Fondos'!$H$36,'Flujo de Fondos'!$H$35)</f>
        <v>0.23692373003211295</v>
      </c>
      <c r="H52" s="65">
        <f t="shared" si="1"/>
        <v>-9.5238815112554786E-3</v>
      </c>
      <c r="I52" s="65">
        <f t="shared" si="2"/>
        <v>0.45546622692171412</v>
      </c>
      <c r="J52" s="65">
        <f t="shared" si="3"/>
        <v>0.52546704477410833</v>
      </c>
      <c r="K52" s="82">
        <f t="shared" si="4"/>
        <v>0.8</v>
      </c>
      <c r="L52" s="60">
        <f t="shared" si="5"/>
        <v>-9.5922889184363053E-3</v>
      </c>
      <c r="M52" s="60"/>
      <c r="N52" s="60"/>
      <c r="O52" s="60">
        <f t="shared" si="6"/>
        <v>-1.7383571408668735E-2</v>
      </c>
    </row>
    <row r="53" spans="1:15" x14ac:dyDescent="0.25">
      <c r="A53" s="57">
        <v>44840</v>
      </c>
      <c r="B53" s="58">
        <v>18.989999999999998</v>
      </c>
      <c r="C53" s="70">
        <f>myParidad('Flujo de Fondos'!$N$5,$A53,B53,'Flujo de Fondos'!$N$7,'Flujo de Fondos'!$N$6)</f>
        <v>0.1896687600049255</v>
      </c>
      <c r="D53" s="59">
        <v>21.47</v>
      </c>
      <c r="E53" s="70">
        <f>myParidad('Flujo de Fondos'!$T$5,$A53,D53,'Flujo de Fondos'!$T$7,'Flujo de Fondos'!$T$6)</f>
        <v>0.21463458055592644</v>
      </c>
      <c r="F53" s="58">
        <v>23.9</v>
      </c>
      <c r="G53" s="70">
        <f>myParidad('Flujo de Fondos'!$H$34,'Paridad usd'!$A53,'Paridad usd'!F53,'Flujo de Fondos'!$H$36,'Flujo de Fondos'!$H$35)</f>
        <v>0.23892717630585197</v>
      </c>
      <c r="H53" s="65">
        <f t="shared" si="1"/>
        <v>-9.4340322333587544E-3</v>
      </c>
      <c r="I53" s="65">
        <f t="shared" si="2"/>
        <v>0.45717098378324633</v>
      </c>
      <c r="J53" s="65">
        <f t="shared" si="3"/>
        <v>0.61370741642196813</v>
      </c>
      <c r="K53" s="82">
        <f t="shared" si="4"/>
        <v>0.85</v>
      </c>
      <c r="L53" s="60">
        <f t="shared" si="5"/>
        <v>-9.4477142763616344E-3</v>
      </c>
      <c r="M53" s="60"/>
      <c r="N53" s="60"/>
      <c r="O53" s="60">
        <f t="shared" si="6"/>
        <v>-7.4246280742776977E-3</v>
      </c>
    </row>
    <row r="54" spans="1:15" x14ac:dyDescent="0.25">
      <c r="A54" s="57">
        <v>44839</v>
      </c>
      <c r="B54" s="58">
        <v>19.170000000000002</v>
      </c>
      <c r="C54" s="70">
        <f>myParidad('Flujo de Fondos'!$N$5,$A54,B54,'Flujo de Fondos'!$N$7,'Flujo de Fondos'!$N$6)</f>
        <v>0.1914691878283713</v>
      </c>
      <c r="D54" s="59">
        <v>21.63</v>
      </c>
      <c r="E54" s="70">
        <f>myParidad('Flujo de Fondos'!$T$5,$A54,D54,'Flujo de Fondos'!$T$7,'Flujo de Fondos'!$T$6)</f>
        <v>0.21623483333789817</v>
      </c>
      <c r="F54" s="58">
        <v>23.9</v>
      </c>
      <c r="G54" s="70">
        <f>myParidad('Flujo de Fondos'!$H$34,'Paridad usd'!$A54,'Paridad usd'!F54,'Flujo de Fondos'!$H$36,'Flujo de Fondos'!$H$35)</f>
        <v>0.23892799430308673</v>
      </c>
      <c r="H54" s="65">
        <f t="shared" si="1"/>
        <v>-1.1926509011729165E-2</v>
      </c>
      <c r="I54" s="65">
        <f t="shared" si="2"/>
        <v>0.4577557339436798</v>
      </c>
      <c r="J54" s="65">
        <f t="shared" si="3"/>
        <v>0.64190029105423607</v>
      </c>
      <c r="K54" s="82">
        <f t="shared" si="4"/>
        <v>0.9</v>
      </c>
      <c r="L54" s="60">
        <f t="shared" si="5"/>
        <v>-1.1940191241932843E-2</v>
      </c>
      <c r="M54" s="60"/>
      <c r="N54" s="60"/>
      <c r="O54" s="60">
        <f t="shared" si="6"/>
        <v>-1.4685899556212965E-2</v>
      </c>
    </row>
    <row r="55" spans="1:15" x14ac:dyDescent="0.25">
      <c r="A55" s="57">
        <v>44838</v>
      </c>
      <c r="B55" s="58">
        <v>19.399999999999999</v>
      </c>
      <c r="C55" s="70">
        <f>myParidad('Flujo de Fondos'!$N$5,$A55,B55,'Flujo de Fondos'!$N$7,'Flujo de Fondos'!$N$6)</f>
        <v>0.19376906973880442</v>
      </c>
      <c r="D55" s="59">
        <v>21.95</v>
      </c>
      <c r="E55" s="70">
        <f>myParidad('Flujo de Fondos'!$T$5,$A55,D55,'Flujo de Fondos'!$T$7,'Flujo de Fondos'!$T$6)</f>
        <v>0.21943462050690377</v>
      </c>
      <c r="F55" s="58">
        <v>24.9</v>
      </c>
      <c r="G55" s="70">
        <f>myParidad('Flujo de Fondos'!$H$34,'Paridad usd'!$A55,'Paridad usd'!F55,'Flujo de Fondos'!$H$36,'Flujo de Fondos'!$H$35)</f>
        <v>0.2489258337413168</v>
      </c>
      <c r="H55" s="65">
        <f t="shared" si="1"/>
        <v>-5.1533111163654067E-4</v>
      </c>
      <c r="I55" s="65">
        <f t="shared" si="2"/>
        <v>0.46066303619162646</v>
      </c>
      <c r="J55" s="65">
        <f t="shared" si="3"/>
        <v>0.72762940438646795</v>
      </c>
      <c r="K55" s="82">
        <f t="shared" si="4"/>
        <v>1</v>
      </c>
      <c r="L55" s="60">
        <f t="shared" si="5"/>
        <v>-5.2901352904625629E-4</v>
      </c>
      <c r="M55" s="60"/>
      <c r="N55" s="60"/>
      <c r="O55" s="60">
        <f t="shared" si="6"/>
        <v>-9.0703569699642651E-3</v>
      </c>
    </row>
    <row r="56" spans="1:15" x14ac:dyDescent="0.25">
      <c r="A56" s="57">
        <v>44837</v>
      </c>
      <c r="B56" s="58">
        <v>19.41</v>
      </c>
      <c r="C56" s="70">
        <f>myParidad('Flujo de Fondos'!$N$5,$A56,B56,'Flujo de Fondos'!$N$7,'Flujo de Fondos'!$N$6)</f>
        <v>0.19387160331664066</v>
      </c>
      <c r="D56" s="59">
        <v>22.15</v>
      </c>
      <c r="E56" s="70">
        <f>myParidad('Flujo de Fondos'!$T$5,$A56,D56,'Flujo de Fondos'!$T$7,'Flujo de Fondos'!$T$6)</f>
        <v>0.22143478290640425</v>
      </c>
      <c r="F56" s="58">
        <v>24.79</v>
      </c>
      <c r="G56" s="70">
        <f>myParidad('Flujo de Fondos'!$H$34,'Paridad usd'!$A56,'Paridad usd'!F56,'Flujo de Fondos'!$H$36,'Flujo de Fondos'!$H$35)</f>
        <v>0.24782700985326239</v>
      </c>
      <c r="H56" s="65">
        <f t="shared" si="1"/>
        <v>6.4366803098169209E-2</v>
      </c>
      <c r="I56" s="65">
        <f t="shared" si="2"/>
        <v>0.45993689405273253</v>
      </c>
      <c r="J56" s="65">
        <f t="shared" si="3"/>
        <v>0.91288898452313649</v>
      </c>
      <c r="K56" s="82">
        <f t="shared" si="4"/>
        <v>1</v>
      </c>
      <c r="L56" s="60">
        <f t="shared" si="5"/>
        <v>6.4325754722652992E-2</v>
      </c>
      <c r="M56" s="60"/>
      <c r="N56" s="60"/>
      <c r="O56" s="60">
        <f t="shared" si="6"/>
        <v>7.5950265460302355E-2</v>
      </c>
    </row>
    <row r="57" spans="1:15" x14ac:dyDescent="0.25">
      <c r="A57" s="57">
        <v>44834</v>
      </c>
      <c r="B57" s="58">
        <v>18.2</v>
      </c>
      <c r="C57" s="70">
        <f>myParidad('Flujo de Fondos'!$N$5,$A57,B57,'Flujo de Fondos'!$N$7,'Flujo de Fondos'!$N$6)</f>
        <v>0.18179330350423489</v>
      </c>
      <c r="D57" s="59">
        <v>20.53</v>
      </c>
      <c r="E57" s="70">
        <f>myParidad('Flujo de Fondos'!$T$5,$A57,D57,'Flujo de Fondos'!$T$7,'Flujo de Fondos'!$T$6)</f>
        <v>0.20524166076081116</v>
      </c>
      <c r="F57" s="58">
        <v>23.2</v>
      </c>
      <c r="G57" s="70">
        <f>myParidad('Flujo de Fondos'!$H$34,'Paridad usd'!$A57,'Paridad usd'!F57,'Flujo de Fondos'!$H$36,'Flujo de Fondos'!$H$35)</f>
        <v>0.23193407353389275</v>
      </c>
      <c r="H57" s="65">
        <f t="shared" si="1"/>
        <v>-3.7740327982846968E-2</v>
      </c>
      <c r="I57" s="65">
        <f t="shared" si="2"/>
        <v>0.40757865745154659</v>
      </c>
      <c r="J57" s="65">
        <f t="shared" si="3"/>
        <v>0.68586834402813579</v>
      </c>
      <c r="K57" s="82">
        <f t="shared" si="4"/>
        <v>1</v>
      </c>
      <c r="L57" s="60">
        <f t="shared" si="5"/>
        <v>-3.7754011149132009E-2</v>
      </c>
      <c r="M57" s="60"/>
      <c r="N57" s="60"/>
      <c r="O57" s="60">
        <f t="shared" si="6"/>
        <v>-5.0806083659277128E-2</v>
      </c>
    </row>
    <row r="58" spans="1:15" x14ac:dyDescent="0.25">
      <c r="A58" s="57">
        <v>44833</v>
      </c>
      <c r="B58" s="58">
        <v>18.899999999999999</v>
      </c>
      <c r="C58" s="70">
        <f>myParidad('Flujo de Fondos'!$N$5,$A58,B58,'Flujo de Fondos'!$N$7,'Flujo de Fondos'!$N$6)</f>
        <v>0.1887879368380723</v>
      </c>
      <c r="D58" s="59">
        <v>21.6</v>
      </c>
      <c r="E58" s="70">
        <f>myParidad('Flujo de Fondos'!$T$5,$A58,D58,'Flujo de Fondos'!$T$7,'Flujo de Fondos'!$T$6)</f>
        <v>0.21593935949493637</v>
      </c>
      <c r="F58" s="58">
        <v>24.05</v>
      </c>
      <c r="G58" s="70">
        <f>myParidad('Flujo de Fondos'!$H$34,'Paridad usd'!$A58,'Paridad usd'!F58,'Flujo de Fondos'!$H$36,'Flujo de Fondos'!$H$35)</f>
        <v>0.2404324812895009</v>
      </c>
      <c r="H58" s="65">
        <f t="shared" si="1"/>
        <v>-2.5595547188963882E-2</v>
      </c>
      <c r="I58" s="65">
        <f t="shared" si="2"/>
        <v>0.39415237501357209</v>
      </c>
      <c r="J58" s="65">
        <f t="shared" si="3"/>
        <v>0.68062227626807204</v>
      </c>
      <c r="K58" s="82">
        <f t="shared" si="4"/>
        <v>1</v>
      </c>
      <c r="L58" s="60">
        <f t="shared" si="5"/>
        <v>-2.5609230542480273E-2</v>
      </c>
      <c r="M58" s="60"/>
      <c r="N58" s="60"/>
      <c r="O58" s="60">
        <f t="shared" si="6"/>
        <v>-3.4133006369458471E-2</v>
      </c>
    </row>
    <row r="59" spans="1:15" x14ac:dyDescent="0.25">
      <c r="A59" s="57">
        <v>44832</v>
      </c>
      <c r="B59" s="58">
        <v>19.39</v>
      </c>
      <c r="C59" s="70">
        <f>myParidad('Flujo de Fondos'!$N$5,$A59,B59,'Flujo de Fondos'!$N$7,'Flujo de Fondos'!$N$6)</f>
        <v>0.19368508914765808</v>
      </c>
      <c r="D59" s="59">
        <v>22.35</v>
      </c>
      <c r="E59" s="70">
        <f>myParidad('Flujo de Fondos'!$T$5,$A59,D59,'Flujo de Fondos'!$T$7,'Flujo de Fondos'!$T$6)</f>
        <v>0.22343801890571452</v>
      </c>
      <c r="F59" s="58">
        <v>24.3</v>
      </c>
      <c r="G59" s="70">
        <f>myParidad('Flujo de Fondos'!$H$34,'Paridad usd'!$A59,'Paridad usd'!F59,'Flujo de Fondos'!$H$36,'Flujo de Fondos'!$H$35)</f>
        <v>0.24293261115923323</v>
      </c>
      <c r="H59" s="65">
        <f t="shared" si="1"/>
        <v>4.9151240179854387E-2</v>
      </c>
      <c r="I59" s="65">
        <f t="shared" si="2"/>
        <v>0.39056854767209526</v>
      </c>
      <c r="J59" s="65">
        <f t="shared" si="3"/>
        <v>0.67984522634540545</v>
      </c>
      <c r="K59" s="82">
        <f t="shared" si="4"/>
        <v>1</v>
      </c>
      <c r="L59" s="60">
        <f t="shared" si="5"/>
        <v>4.9137556639101063E-2</v>
      </c>
      <c r="M59" s="60"/>
      <c r="N59" s="60"/>
      <c r="O59" s="60">
        <f t="shared" si="6"/>
        <v>4.343539903177223E-2</v>
      </c>
    </row>
    <row r="60" spans="1:15" x14ac:dyDescent="0.25">
      <c r="A60" s="57">
        <v>44831</v>
      </c>
      <c r="B60" s="58">
        <v>18.46</v>
      </c>
      <c r="C60" s="70">
        <f>myParidad('Flujo de Fondos'!$N$5,$A60,B60,'Flujo de Fondos'!$N$7,'Flujo de Fondos'!$N$6)</f>
        <v>0.18439792008757527</v>
      </c>
      <c r="D60" s="59">
        <v>21.4</v>
      </c>
      <c r="E60" s="70">
        <f>myParidad('Flujo de Fondos'!$T$5,$A60,D60,'Flujo de Fondos'!$T$7,'Flujo de Fondos'!$T$6)</f>
        <v>0.21394138592166528</v>
      </c>
      <c r="F60" s="58">
        <v>23.4</v>
      </c>
      <c r="G60" s="70">
        <f>myParidad('Flujo de Fondos'!$H$34,'Paridad usd'!$A60,'Paridad usd'!F60,'Flujo de Fondos'!$H$36,'Flujo de Fondos'!$H$35)</f>
        <v>0.23393590797041905</v>
      </c>
      <c r="H60" s="65">
        <f t="shared" si="1"/>
        <v>-6.5012406669236592E-2</v>
      </c>
      <c r="I60" s="65">
        <f t="shared" si="2"/>
        <v>0.33649696176440685</v>
      </c>
      <c r="J60" s="65">
        <f t="shared" si="3"/>
        <v>0.33722380574602084</v>
      </c>
      <c r="K60" s="82">
        <f t="shared" si="4"/>
        <v>1</v>
      </c>
      <c r="L60" s="60">
        <f t="shared" si="5"/>
        <v>-6.5026090397231617E-2</v>
      </c>
      <c r="M60" s="60"/>
      <c r="N60" s="60"/>
      <c r="O60" s="60">
        <f t="shared" si="6"/>
        <v>-6.1174223369153638E-2</v>
      </c>
    </row>
    <row r="61" spans="1:15" x14ac:dyDescent="0.25">
      <c r="A61" s="57">
        <v>44830</v>
      </c>
      <c r="B61" s="58">
        <v>19.7</v>
      </c>
      <c r="C61" s="70">
        <f>myParidad('Flujo de Fondos'!$N$5,$A61,B61,'Flujo de Fondos'!$N$7,'Flujo de Fondos'!$N$6)</f>
        <v>0.1967870386841637</v>
      </c>
      <c r="D61" s="59">
        <v>22.75</v>
      </c>
      <c r="E61" s="70">
        <f>myParidad('Flujo de Fondos'!$T$5,$A61,D61,'Flujo de Fondos'!$T$7,'Flujo de Fondos'!$T$6)</f>
        <v>0.22743846699009515</v>
      </c>
      <c r="F61" s="58">
        <v>24.65</v>
      </c>
      <c r="G61" s="70">
        <f>myParidad('Flujo de Fondos'!$H$34,'Paridad usd'!$A61,'Paridad usd'!F61,'Flujo de Fondos'!$H$36,'Flujo de Fondos'!$H$35)</f>
        <v>0.24643332796948769</v>
      </c>
      <c r="H61" s="65">
        <f t="shared" si="1"/>
        <v>-3.0002250303798904E-2</v>
      </c>
      <c r="I61" s="65">
        <f t="shared" si="2"/>
        <v>0.25917923443087781</v>
      </c>
      <c r="J61" s="65">
        <f t="shared" si="3"/>
        <v>0.17867574488562413</v>
      </c>
      <c r="K61" s="82">
        <f t="shared" si="4"/>
        <v>0.1</v>
      </c>
      <c r="L61" s="60">
        <f t="shared" si="5"/>
        <v>-3.0043302611286449E-2</v>
      </c>
      <c r="M61" s="60"/>
      <c r="N61" s="60"/>
      <c r="O61" s="60">
        <f t="shared" si="6"/>
        <v>-4.0487872773734696E-2</v>
      </c>
    </row>
    <row r="62" spans="1:15" x14ac:dyDescent="0.25">
      <c r="A62" s="57">
        <v>44827</v>
      </c>
      <c r="B62" s="58">
        <v>20.3</v>
      </c>
      <c r="C62" s="70">
        <f>myParidad('Flujo de Fondos'!$N$5,$A62,B62,'Flujo de Fondos'!$N$7,'Flujo de Fondos'!$N$6)</f>
        <v>0.20278887733318737</v>
      </c>
      <c r="D62" s="59">
        <v>23.69</v>
      </c>
      <c r="E62" s="70">
        <f>myParidad('Flujo de Fondos'!$T$5,$A62,D62,'Flujo de Fondos'!$T$7,'Flujo de Fondos'!$T$6)</f>
        <v>0.23683835713992249</v>
      </c>
      <c r="F62" s="58">
        <v>25.8</v>
      </c>
      <c r="G62" s="70">
        <f>myParidad('Flujo de Fondos'!$H$34,'Paridad usd'!$A62,'Paridad usd'!F62,'Flujo de Fondos'!$H$36,'Flujo de Fondos'!$H$35)</f>
        <v>0.25793286678809624</v>
      </c>
      <c r="H62" s="65">
        <f t="shared" si="1"/>
        <v>-3.3901551675681339E-2</v>
      </c>
      <c r="I62" s="65">
        <f t="shared" si="2"/>
        <v>0.24872518745434596</v>
      </c>
      <c r="J62" s="65">
        <f t="shared" si="3"/>
        <v>0.25207425989304388</v>
      </c>
      <c r="K62" s="82">
        <f t="shared" si="4"/>
        <v>0.05</v>
      </c>
      <c r="L62" s="60">
        <f t="shared" si="5"/>
        <v>-3.3915236152695108E-2</v>
      </c>
      <c r="M62" s="60"/>
      <c r="N62" s="60"/>
      <c r="O62" s="60">
        <f t="shared" si="6"/>
        <v>-2.8669087813966463E-2</v>
      </c>
    </row>
    <row r="63" spans="1:15" x14ac:dyDescent="0.25">
      <c r="A63" s="57">
        <v>44826</v>
      </c>
      <c r="B63" s="58">
        <v>21</v>
      </c>
      <c r="C63" s="70">
        <f>myParidad('Flujo de Fondos'!$N$5,$A63,B63,'Flujo de Fondos'!$N$7,'Flujo de Fondos'!$N$6)</f>
        <v>0.20978446801231612</v>
      </c>
      <c r="D63" s="59">
        <v>24.379000000000001</v>
      </c>
      <c r="E63" s="70">
        <f>myParidad('Flujo de Fondos'!$T$5,$A63,D63,'Flujo de Fondos'!$T$7,'Flujo de Fondos'!$T$6)</f>
        <v>0.24372739878455876</v>
      </c>
      <c r="F63" s="58">
        <v>26</v>
      </c>
      <c r="G63" s="70">
        <f>myParidad('Flujo de Fondos'!$H$34,'Paridad usd'!$A63,'Paridad usd'!F63,'Flujo de Fondos'!$H$36,'Flujo de Fondos'!$H$35)</f>
        <v>0.25993323632628607</v>
      </c>
      <c r="H63" s="65">
        <f t="shared" si="1"/>
        <v>-1.6529301951210582E-2</v>
      </c>
      <c r="I63" s="65">
        <f t="shared" si="2"/>
        <v>0.22370308515500523</v>
      </c>
      <c r="J63" s="65">
        <f t="shared" si="3"/>
        <v>0.19739105995915143</v>
      </c>
      <c r="K63" s="82">
        <f t="shared" si="4"/>
        <v>0</v>
      </c>
      <c r="L63" s="60">
        <f t="shared" si="5"/>
        <v>-1.6542986615491743E-2</v>
      </c>
      <c r="M63" s="60"/>
      <c r="N63" s="60"/>
      <c r="O63" s="60">
        <f t="shared" si="6"/>
        <v>-2.1145697486001279E-2</v>
      </c>
    </row>
    <row r="64" spans="1:15" x14ac:dyDescent="0.25">
      <c r="A64" s="57">
        <v>44825</v>
      </c>
      <c r="B64" s="58">
        <v>21.35</v>
      </c>
      <c r="C64" s="70">
        <f>myParidad('Flujo de Fondos'!$N$5,$A64,B64,'Flujo de Fondos'!$N$7,'Flujo de Fondos'!$N$6)</f>
        <v>0.21328379450967513</v>
      </c>
      <c r="D64" s="59">
        <v>24.9</v>
      </c>
      <c r="E64" s="70">
        <f>myParidad('Flujo de Fondos'!$T$5,$A64,D64,'Flujo de Fondos'!$T$7,'Flujo de Fondos'!$T$6)</f>
        <v>0.24893691324801248</v>
      </c>
      <c r="F64" s="58">
        <v>25.771000000000001</v>
      </c>
      <c r="G64" s="70">
        <f>myParidad('Flujo de Fondos'!$H$34,'Paridad usd'!$A64,'Paridad usd'!F64,'Flujo de Fondos'!$H$36,'Flujo de Fondos'!$H$35)</f>
        <v>0.25764470647849519</v>
      </c>
      <c r="H64" s="65">
        <f t="shared" si="1"/>
        <v>-1.1641575015485755E-2</v>
      </c>
      <c r="I64" s="65">
        <f t="shared" si="2"/>
        <v>0.26232387309817728</v>
      </c>
      <c r="J64" s="65">
        <f t="shared" si="3"/>
        <v>0.19102516360635216</v>
      </c>
      <c r="K64" s="82">
        <f t="shared" si="4"/>
        <v>0.05</v>
      </c>
      <c r="L64" s="60">
        <f t="shared" si="5"/>
        <v>-1.1655259867039627E-2</v>
      </c>
      <c r="M64" s="60"/>
      <c r="N64" s="60"/>
      <c r="O64" s="60">
        <f t="shared" si="6"/>
        <v>4.0168709116131295E-4</v>
      </c>
    </row>
    <row r="65" spans="1:15" x14ac:dyDescent="0.25">
      <c r="A65" s="57">
        <v>44824</v>
      </c>
      <c r="B65" s="58">
        <v>21.6</v>
      </c>
      <c r="C65" s="70">
        <f>myParidad('Flujo de Fondos'!$N$5,$A65,B65,'Flujo de Fondos'!$N$7,'Flujo de Fondos'!$N$6)</f>
        <v>0.2157842157842158</v>
      </c>
      <c r="D65" s="59">
        <v>24.89</v>
      </c>
      <c r="E65" s="70">
        <f>myParidad('Flujo de Fondos'!$T$5,$A65,D65,'Flujo de Fondos'!$T$7,'Flujo de Fondos'!$T$6)</f>
        <v>0.24883779055236191</v>
      </c>
      <c r="F65" s="58">
        <v>26.3</v>
      </c>
      <c r="G65" s="70">
        <f>myParidad('Flujo de Fondos'!$H$34,'Paridad usd'!$A65,'Paridad usd'!F65,'Flujo de Fondos'!$H$36,'Flujo de Fondos'!$H$35)</f>
        <v>0.26293426643339168</v>
      </c>
      <c r="H65" s="65">
        <f t="shared" si="1"/>
        <v>-9.2166551049239522E-3</v>
      </c>
      <c r="I65" s="65">
        <f t="shared" si="2"/>
        <v>0.2689153579219658</v>
      </c>
      <c r="J65" s="65">
        <f t="shared" si="3"/>
        <v>0.18993631847998715</v>
      </c>
      <c r="K65" s="82">
        <f t="shared" si="4"/>
        <v>0.05</v>
      </c>
      <c r="L65" s="60">
        <f t="shared" si="5"/>
        <v>-9.2303401437553965E-3</v>
      </c>
      <c r="M65" s="60"/>
      <c r="N65" s="60"/>
      <c r="O65" s="60">
        <f t="shared" si="6"/>
        <v>-4.9295733355512704E-3</v>
      </c>
    </row>
    <row r="66" spans="1:15" x14ac:dyDescent="0.25">
      <c r="A66" s="57">
        <v>44823</v>
      </c>
      <c r="B66" s="58">
        <v>21.8</v>
      </c>
      <c r="C66" s="70">
        <f>myParidad('Flujo de Fondos'!$N$5,$A66,B66,'Flujo de Fondos'!$N$7,'Flujo de Fondos'!$N$6)</f>
        <v>0.2177851981607182</v>
      </c>
      <c r="D66" s="59">
        <v>25.013000000000002</v>
      </c>
      <c r="E66" s="70">
        <f>myParidad('Flujo de Fondos'!$T$5,$A66,D66,'Flujo de Fondos'!$T$7,'Flujo de Fondos'!$T$6)</f>
        <v>0.2500683393135939</v>
      </c>
      <c r="F66" s="58">
        <v>26.38</v>
      </c>
      <c r="G66" s="70">
        <f>myParidad('Flujo de Fondos'!$H$34,'Paridad usd'!$A66,'Paridad usd'!F66,'Flujo de Fondos'!$H$36,'Flujo de Fondos'!$H$35)</f>
        <v>0.2637349694595853</v>
      </c>
      <c r="H66" s="65">
        <f t="shared" si="1"/>
        <v>9.679725268327272E-3</v>
      </c>
      <c r="I66" s="65">
        <f t="shared" si="2"/>
        <v>0.27517375964215401</v>
      </c>
      <c r="J66" s="65">
        <f t="shared" si="3"/>
        <v>0.20223657180111668</v>
      </c>
      <c r="K66" s="82">
        <f t="shared" si="4"/>
        <v>0.15</v>
      </c>
      <c r="L66" s="60">
        <f t="shared" si="5"/>
        <v>9.6386690281151308E-3</v>
      </c>
      <c r="M66" s="60"/>
      <c r="N66" s="60"/>
      <c r="O66" s="60">
        <f t="shared" si="6"/>
        <v>2.5218675175242814E-3</v>
      </c>
    </row>
    <row r="67" spans="1:15" x14ac:dyDescent="0.25">
      <c r="A67" s="57">
        <v>44820</v>
      </c>
      <c r="B67" s="58">
        <v>21.59</v>
      </c>
      <c r="C67" s="70">
        <f>myParidad('Flujo de Fondos'!$N$5,$A67,B67,'Flujo de Fondos'!$N$7,'Flujo de Fondos'!$N$6)</f>
        <v>0.21569612284279244</v>
      </c>
      <c r="D67" s="59">
        <v>24.95</v>
      </c>
      <c r="E67" s="70">
        <f>myParidad('Flujo de Fondos'!$T$5,$A67,D67,'Flujo de Fondos'!$T$7,'Flujo de Fondos'!$T$6)</f>
        <v>0.24944105673659306</v>
      </c>
      <c r="F67" s="58">
        <v>25.8</v>
      </c>
      <c r="G67" s="70">
        <f>myParidad('Flujo de Fondos'!$H$34,'Paridad usd'!$A67,'Paridad usd'!F67,'Flujo de Fondos'!$H$36,'Flujo de Fondos'!$H$35)</f>
        <v>0.25793904864946299</v>
      </c>
      <c r="H67" s="65">
        <f t="shared" ref="H67:H130" si="7">LN(B67/B68)</f>
        <v>-2.2894772905309776E-2</v>
      </c>
      <c r="I67" s="65">
        <f t="shared" ref="I67:I130" si="8">STDEVA(H67:H86)*SQRT(260)</f>
        <v>0.27466549594091327</v>
      </c>
      <c r="J67" s="65">
        <f t="shared" ref="J67:J130" si="9">STDEVA(H67:H71)*SQRT(260)</f>
        <v>0.1960552988751405</v>
      </c>
      <c r="K67" s="82">
        <f t="shared" ref="K67:K130" si="10">_xlfn.PERCENTRANK.INC(I67:I87,I67,20)</f>
        <v>0.05</v>
      </c>
      <c r="L67" s="60">
        <f t="shared" ref="L67:L130" si="11">LN(C67/C68)</f>
        <v>-2.2908458693303411E-2</v>
      </c>
      <c r="M67" s="60"/>
      <c r="N67" s="60"/>
      <c r="O67" s="60">
        <f t="shared" ref="O67:O130" si="12">LN(D67/D68)</f>
        <v>-1.5510352695465289E-2</v>
      </c>
    </row>
    <row r="68" spans="1:15" x14ac:dyDescent="0.25">
      <c r="A68" s="57">
        <v>44819</v>
      </c>
      <c r="B68" s="58">
        <v>22.09</v>
      </c>
      <c r="C68" s="70">
        <f>myParidad('Flujo de Fondos'!$N$5,$A68,B68,'Flujo de Fondos'!$N$7,'Flujo de Fondos'!$N$6)</f>
        <v>0.2206944216346417</v>
      </c>
      <c r="D68" s="59">
        <v>25.34</v>
      </c>
      <c r="E68" s="70">
        <f>myParidad('Flujo de Fondos'!$T$5,$A68,D68,'Flujo de Fondos'!$T$7,'Flujo de Fondos'!$T$6)</f>
        <v>0.25334100278017446</v>
      </c>
      <c r="F68" s="58">
        <v>26.2</v>
      </c>
      <c r="G68" s="70">
        <f>myParidad('Flujo de Fondos'!$H$34,'Paridad usd'!$A68,'Paridad usd'!F68,'Flujo de Fondos'!$H$36,'Flujo de Fondos'!$H$35)</f>
        <v>0.2619390005067313</v>
      </c>
      <c r="H68" s="65">
        <f t="shared" si="7"/>
        <v>-1.2595758070012472E-2</v>
      </c>
      <c r="I68" s="65">
        <f t="shared" si="8"/>
        <v>0.26228263251464334</v>
      </c>
      <c r="J68" s="65">
        <f t="shared" si="9"/>
        <v>0.17659394851631513</v>
      </c>
      <c r="K68" s="82">
        <f t="shared" si="10"/>
        <v>0</v>
      </c>
      <c r="L68" s="60">
        <f t="shared" si="11"/>
        <v>-1.2609444045309616E-2</v>
      </c>
      <c r="M68" s="60"/>
      <c r="N68" s="60"/>
      <c r="O68" s="60">
        <f t="shared" si="12"/>
        <v>-1.5933940575165506E-2</v>
      </c>
    </row>
    <row r="69" spans="1:15" x14ac:dyDescent="0.25">
      <c r="A69" s="57">
        <v>44818</v>
      </c>
      <c r="B69" s="58">
        <v>22.37</v>
      </c>
      <c r="C69" s="70">
        <f>myParidad('Flujo de Fondos'!$N$5,$A69,B69,'Flujo de Fondos'!$N$7,'Flujo de Fondos'!$N$6)</f>
        <v>0.22349487456717809</v>
      </c>
      <c r="D69" s="59">
        <v>25.747</v>
      </c>
      <c r="E69" s="70">
        <f>myParidad('Flujo de Fondos'!$T$5,$A69,D69,'Flujo de Fondos'!$T$7,'Flujo de Fondos'!$T$6)</f>
        <v>0.25741093653168623</v>
      </c>
      <c r="F69" s="58">
        <v>26.5</v>
      </c>
      <c r="G69" s="70">
        <f>myParidad('Flujo de Fondos'!$H$34,'Paridad usd'!$A69,'Paridad usd'!F69,'Flujo de Fondos'!$H$36,'Flujo de Fondos'!$H$35)</f>
        <v>0.26493920915406394</v>
      </c>
      <c r="H69" s="65">
        <f t="shared" si="7"/>
        <v>-9.3437832194776492E-3</v>
      </c>
      <c r="I69" s="65">
        <f t="shared" si="8"/>
        <v>0.27517057586041382</v>
      </c>
      <c r="J69" s="65">
        <f t="shared" si="9"/>
        <v>0.16699422673914724</v>
      </c>
      <c r="K69" s="82">
        <f t="shared" si="10"/>
        <v>0</v>
      </c>
      <c r="L69" s="60">
        <f t="shared" si="11"/>
        <v>-9.3574693820830841E-3</v>
      </c>
      <c r="M69" s="60"/>
      <c r="N69" s="60"/>
      <c r="O69" s="60">
        <f t="shared" si="12"/>
        <v>-1.0162963992401738E-2</v>
      </c>
    </row>
    <row r="70" spans="1:15" x14ac:dyDescent="0.25">
      <c r="A70" s="57">
        <v>44817</v>
      </c>
      <c r="B70" s="58">
        <v>22.58</v>
      </c>
      <c r="C70" s="70">
        <f>myParidad('Flujo de Fondos'!$N$5,$A70,B70,'Flujo de Fondos'!$N$7,'Flujo de Fondos'!$N$6)</f>
        <v>0.22559603646018667</v>
      </c>
      <c r="D70" s="59">
        <v>26.01</v>
      </c>
      <c r="E70" s="70">
        <f>myParidad('Flujo de Fondos'!$T$5,$A70,D70,'Flujo de Fondos'!$T$7,'Flujo de Fondos'!$T$6)</f>
        <v>0.26004122355905857</v>
      </c>
      <c r="F70" s="58">
        <v>27.1</v>
      </c>
      <c r="G70" s="70">
        <f>myParidad('Flujo de Fondos'!$H$34,'Paridad usd'!$A70,'Paridad usd'!F70,'Flujo de Fondos'!$H$36,'Flujo de Fondos'!$H$35)</f>
        <v>0.27093876041716602</v>
      </c>
      <c r="H70" s="65">
        <f t="shared" si="7"/>
        <v>-1.8429657207633784E-2</v>
      </c>
      <c r="I70" s="65">
        <f t="shared" si="8"/>
        <v>0.28363360107805674</v>
      </c>
      <c r="J70" s="65">
        <f t="shared" si="9"/>
        <v>0.17248363498976382</v>
      </c>
      <c r="K70" s="82">
        <f t="shared" si="10"/>
        <v>0.1</v>
      </c>
      <c r="L70" s="60">
        <f t="shared" si="11"/>
        <v>-1.8443343557552942E-2</v>
      </c>
      <c r="M70" s="60"/>
      <c r="N70" s="60"/>
      <c r="O70" s="60">
        <f t="shared" si="12"/>
        <v>-7.2783313064908777E-3</v>
      </c>
    </row>
    <row r="71" spans="1:15" x14ac:dyDescent="0.25">
      <c r="A71" s="57">
        <v>44816</v>
      </c>
      <c r="B71" s="58">
        <v>23</v>
      </c>
      <c r="C71" s="70">
        <f>myParidad('Flujo de Fondos'!$N$5,$A71,B71,'Flujo de Fondos'!$N$7,'Flujo de Fondos'!$N$6)</f>
        <v>0.22979538766851434</v>
      </c>
      <c r="D71" s="59">
        <v>26.2</v>
      </c>
      <c r="E71" s="70">
        <f>myParidad('Flujo de Fondos'!$T$5,$A71,D71,'Flujo de Fondos'!$T$7,'Flujo de Fondos'!$T$6)</f>
        <v>0.26194169106192117</v>
      </c>
      <c r="F71" s="58">
        <v>27.75</v>
      </c>
      <c r="G71" s="70">
        <f>myParidad('Flujo de Fondos'!$H$34,'Paridad usd'!$A71,'Paridad usd'!F71,'Flujo de Fondos'!$H$36,'Flujo de Fondos'!$H$35)</f>
        <v>0.27743824148734014</v>
      </c>
      <c r="H71" s="65">
        <f t="shared" si="7"/>
        <v>8.7336799687546315E-3</v>
      </c>
      <c r="I71" s="65">
        <f t="shared" si="8"/>
        <v>0.28202446531398417</v>
      </c>
      <c r="J71" s="65">
        <f t="shared" si="9"/>
        <v>9.4940129751744928E-2</v>
      </c>
      <c r="K71" s="82">
        <f t="shared" si="10"/>
        <v>0</v>
      </c>
      <c r="L71" s="60">
        <f t="shared" si="11"/>
        <v>8.6926197950643932E-3</v>
      </c>
      <c r="M71" s="60"/>
      <c r="N71" s="60"/>
      <c r="O71" s="60">
        <f t="shared" si="12"/>
        <v>5.7416425676751828E-3</v>
      </c>
    </row>
    <row r="72" spans="1:15" x14ac:dyDescent="0.25">
      <c r="A72" s="57">
        <v>44813</v>
      </c>
      <c r="B72" s="58">
        <v>22.8</v>
      </c>
      <c r="C72" s="70">
        <f>myParidad('Flujo de Fondos'!$N$5,$A72,B72,'Flujo de Fondos'!$N$7,'Flujo de Fondos'!$N$6)</f>
        <v>0.22780652048944733</v>
      </c>
      <c r="D72" s="59">
        <v>26.05</v>
      </c>
      <c r="E72" s="70">
        <f>myParidad('Flujo de Fondos'!$T$5,$A72,D72,'Flujo de Fondos'!$T$7,'Flujo de Fondos'!$T$6)</f>
        <v>0.26044470009792442</v>
      </c>
      <c r="F72" s="58">
        <v>27.498999999999999</v>
      </c>
      <c r="G72" s="70">
        <f>myParidad('Flujo de Fondos'!$H$34,'Paridad usd'!$A72,'Paridad usd'!F72,'Flujo de Fondos'!$H$36,'Flujo de Fondos'!$H$35)</f>
        <v>0.27493162410721012</v>
      </c>
      <c r="H72" s="65">
        <f t="shared" si="7"/>
        <v>1.3166558847469028E-3</v>
      </c>
      <c r="I72" s="65">
        <f t="shared" si="8"/>
        <v>0.28248409682567965</v>
      </c>
      <c r="J72" s="65">
        <f t="shared" si="9"/>
        <v>0.27190168633414058</v>
      </c>
      <c r="K72" s="82">
        <f t="shared" si="10"/>
        <v>0</v>
      </c>
      <c r="L72" s="60">
        <f t="shared" si="11"/>
        <v>1.3029687855220979E-3</v>
      </c>
      <c r="M72" s="60"/>
      <c r="N72" s="60"/>
      <c r="O72" s="60">
        <f t="shared" si="12"/>
        <v>9.6432762718042016E-3</v>
      </c>
    </row>
    <row r="73" spans="1:15" x14ac:dyDescent="0.25">
      <c r="A73" s="57">
        <v>44812</v>
      </c>
      <c r="B73" s="58">
        <v>22.77</v>
      </c>
      <c r="C73" s="70">
        <f>myParidad('Flujo de Fondos'!$N$5,$A73,B73,'Flujo de Fondos'!$N$7,'Flujo de Fondos'!$N$6)</f>
        <v>0.22750988899686564</v>
      </c>
      <c r="D73" s="59">
        <v>25.8</v>
      </c>
      <c r="E73" s="70">
        <f>myParidad('Flujo de Fondos'!$T$5,$A73,D73,'Flujo de Fondos'!$T$7,'Flujo de Fondos'!$T$6)</f>
        <v>0.25794611399673356</v>
      </c>
      <c r="F73" s="58">
        <v>27.3</v>
      </c>
      <c r="G73" s="70">
        <f>myParidad('Flujo de Fondos'!$H$34,'Paridad usd'!$A73,'Paridad usd'!F73,'Flujo de Fondos'!$H$36,'Flujo de Fondos'!$H$35)</f>
        <v>0.27294298108956694</v>
      </c>
      <c r="H73" s="65">
        <f t="shared" si="7"/>
        <v>-2.6315804660558204E-3</v>
      </c>
      <c r="I73" s="65">
        <f t="shared" si="8"/>
        <v>0.29660340222871817</v>
      </c>
      <c r="J73" s="65">
        <f t="shared" si="9"/>
        <v>0.2746547932542463</v>
      </c>
      <c r="K73" s="82">
        <f t="shared" si="10"/>
        <v>0</v>
      </c>
      <c r="L73" s="60">
        <f t="shared" si="11"/>
        <v>-2.6452677526199583E-3</v>
      </c>
      <c r="M73" s="60"/>
      <c r="N73" s="60"/>
      <c r="O73" s="60">
        <f t="shared" si="12"/>
        <v>-7.7489349092468775E-4</v>
      </c>
    </row>
    <row r="74" spans="1:15" x14ac:dyDescent="0.25">
      <c r="A74" s="57">
        <v>44811</v>
      </c>
      <c r="B74" s="58">
        <v>22.83</v>
      </c>
      <c r="C74" s="70">
        <f>myParidad('Flujo de Fondos'!$N$5,$A74,B74,'Flujo de Fondos'!$N$7,'Flujo de Fondos'!$N$6)</f>
        <v>0.22811251026553517</v>
      </c>
      <c r="D74" s="59">
        <v>25.82</v>
      </c>
      <c r="E74" s="70">
        <f>myParidad('Flujo de Fondos'!$T$5,$A74,D74,'Flujo de Fondos'!$T$7,'Flujo de Fondos'!$T$6)</f>
        <v>0.25814695610490995</v>
      </c>
      <c r="F74" s="58">
        <v>27.3</v>
      </c>
      <c r="G74" s="70">
        <f>myParidad('Flujo de Fondos'!$H$34,'Paridad usd'!$A74,'Paridad usd'!F74,'Flujo de Fondos'!$H$36,'Flujo de Fondos'!$H$35)</f>
        <v>0.2729439156337739</v>
      </c>
      <c r="H74" s="65">
        <f t="shared" si="7"/>
        <v>6.1511617499537142E-3</v>
      </c>
      <c r="I74" s="65">
        <f t="shared" si="8"/>
        <v>0.31682027963920589</v>
      </c>
      <c r="J74" s="65">
        <f t="shared" si="9"/>
        <v>0.26271144038649413</v>
      </c>
      <c r="K74" s="82">
        <f t="shared" si="10"/>
        <v>0.1</v>
      </c>
      <c r="L74" s="60">
        <f t="shared" si="11"/>
        <v>6.1374742760452357E-3</v>
      </c>
      <c r="M74" s="60"/>
      <c r="N74" s="60"/>
      <c r="O74" s="60">
        <f t="shared" si="12"/>
        <v>-1.6897483456153727E-2</v>
      </c>
    </row>
    <row r="75" spans="1:15" x14ac:dyDescent="0.25">
      <c r="A75" s="57">
        <v>44810</v>
      </c>
      <c r="B75" s="58">
        <v>22.69</v>
      </c>
      <c r="C75" s="70">
        <f>myParidad('Flujo de Fondos'!$N$5,$A75,B75,'Flujo de Fondos'!$N$7,'Flujo de Fondos'!$N$6)</f>
        <v>0.22671676316401815</v>
      </c>
      <c r="D75" s="59">
        <v>26.26</v>
      </c>
      <c r="E75" s="70">
        <f>myParidad('Flujo de Fondos'!$T$5,$A75,D75,'Flujo de Fondos'!$T$7,'Flujo de Fondos'!$T$6)</f>
        <v>0.26254695112973753</v>
      </c>
      <c r="F75" s="58">
        <v>27.25</v>
      </c>
      <c r="G75" s="70">
        <f>myParidad('Flujo de Fondos'!$H$34,'Paridad usd'!$A75,'Paridad usd'!F75,'Flujo de Fondos'!$H$36,'Flujo de Fondos'!$H$35)</f>
        <v>0.27244495119136886</v>
      </c>
      <c r="H75" s="65">
        <f t="shared" si="7"/>
        <v>-5.4062501189873205E-3</v>
      </c>
      <c r="I75" s="65">
        <f t="shared" si="8"/>
        <v>0.32718431917380769</v>
      </c>
      <c r="J75" s="65">
        <f t="shared" si="9"/>
        <v>0.26204339838074225</v>
      </c>
      <c r="K75" s="82">
        <f t="shared" si="10"/>
        <v>0.1</v>
      </c>
      <c r="L75" s="60">
        <f t="shared" si="11"/>
        <v>-5.4199377802451624E-3</v>
      </c>
      <c r="M75" s="60"/>
      <c r="N75" s="60"/>
      <c r="O75" s="60">
        <f t="shared" si="12"/>
        <v>-1.0982878813297625E-2</v>
      </c>
    </row>
    <row r="76" spans="1:15" x14ac:dyDescent="0.25">
      <c r="A76" s="57">
        <v>44809</v>
      </c>
      <c r="B76" s="58">
        <v>22.812999999999999</v>
      </c>
      <c r="C76" s="70">
        <f>myParidad('Flujo de Fondos'!$N$5,$A76,B76,'Flujo de Fondos'!$N$7,'Flujo de Fondos'!$N$6)</f>
        <v>0.2279488899230748</v>
      </c>
      <c r="D76" s="59">
        <v>26.55</v>
      </c>
      <c r="E76" s="70">
        <f>myParidad('Flujo de Fondos'!$T$5,$A76,D76,'Flujo de Fondos'!$T$7,'Flujo de Fondos'!$T$6)</f>
        <v>0.26544727417156866</v>
      </c>
      <c r="F76" s="58">
        <v>27.2</v>
      </c>
      <c r="G76" s="70">
        <f>myParidad('Flujo de Fondos'!$H$34,'Paridad usd'!$A76,'Paridad usd'!F76,'Flujo de Fondos'!$H$36,'Flujo de Fondos'!$H$35)</f>
        <v>0.27194598333207787</v>
      </c>
      <c r="H76" s="65">
        <f t="shared" si="7"/>
        <v>3.6288095552421948E-2</v>
      </c>
      <c r="I76" s="65">
        <f t="shared" si="8"/>
        <v>0.32818211835499039</v>
      </c>
      <c r="J76" s="65">
        <f t="shared" si="9"/>
        <v>0.290422292424728</v>
      </c>
      <c r="K76" s="82">
        <f t="shared" si="10"/>
        <v>0.1</v>
      </c>
      <c r="L76" s="60">
        <f t="shared" si="11"/>
        <v>3.6233343033792373E-2</v>
      </c>
      <c r="M76" s="60"/>
      <c r="N76" s="60"/>
      <c r="O76" s="60">
        <f t="shared" si="12"/>
        <v>4.4674351971360812E-2</v>
      </c>
    </row>
    <row r="77" spans="1:15" x14ac:dyDescent="0.25">
      <c r="A77" s="57">
        <v>44805</v>
      </c>
      <c r="B77" s="58">
        <v>22</v>
      </c>
      <c r="C77" s="70">
        <f>myParidad('Flujo de Fondos'!$N$5,$A77,B77,'Flujo de Fondos'!$N$7,'Flujo de Fondos'!$N$6)</f>
        <v>0.21983738056779917</v>
      </c>
      <c r="D77" s="59">
        <v>25.39</v>
      </c>
      <c r="E77" s="70">
        <f>myParidad('Flujo de Fondos'!$T$5,$A77,D77,'Flujo de Fondos'!$T$7,'Flujo de Fondos'!$T$6)</f>
        <v>0.25385305457209967</v>
      </c>
      <c r="F77" s="58">
        <v>26.79</v>
      </c>
      <c r="G77" s="70">
        <f>myParidad('Flujo de Fondos'!$H$34,'Paridad usd'!$A77,'Paridad usd'!F77,'Flujo de Fondos'!$H$36,'Flujo de Fondos'!$H$35)</f>
        <v>0.26785046600971052</v>
      </c>
      <c r="H77" s="65">
        <f t="shared" si="7"/>
        <v>-4.5444218005454543E-4</v>
      </c>
      <c r="I77" s="65">
        <f t="shared" si="8"/>
        <v>0.30524023988702953</v>
      </c>
      <c r="J77" s="65">
        <f t="shared" si="9"/>
        <v>0.2015764807118724</v>
      </c>
      <c r="K77" s="82">
        <f t="shared" si="10"/>
        <v>0</v>
      </c>
      <c r="L77" s="60">
        <f t="shared" si="11"/>
        <v>-4.6813077813690981E-4</v>
      </c>
      <c r="M77" s="60"/>
      <c r="N77" s="60"/>
      <c r="O77" s="60">
        <f t="shared" si="12"/>
        <v>7.0749885045760363E-3</v>
      </c>
    </row>
    <row r="78" spans="1:15" x14ac:dyDescent="0.25">
      <c r="A78" s="57">
        <v>44804</v>
      </c>
      <c r="B78" s="58">
        <v>22.01</v>
      </c>
      <c r="C78" s="70">
        <f>myParidad('Flujo de Fondos'!$N$5,$A78,B78,'Flujo de Fondos'!$N$7,'Flujo de Fondos'!$N$6)</f>
        <v>0.21994031730387528</v>
      </c>
      <c r="D78" s="59">
        <v>25.210999999999999</v>
      </c>
      <c r="E78" s="70">
        <f>myParidad('Flujo de Fondos'!$T$5,$A78,D78,'Flujo de Fondos'!$T$7,'Flujo de Fondos'!$T$6)</f>
        <v>0.25206424861240939</v>
      </c>
      <c r="F78" s="58">
        <v>26.72</v>
      </c>
      <c r="G78" s="70">
        <f>myParidad('Flujo de Fondos'!$H$34,'Paridad usd'!$A78,'Paridad usd'!F78,'Flujo de Fondos'!$H$36,'Flujo de Fondos'!$H$35)</f>
        <v>0.26715151017109906</v>
      </c>
      <c r="H78" s="65">
        <f t="shared" si="7"/>
        <v>5.238595285008754E-3</v>
      </c>
      <c r="I78" s="65">
        <f t="shared" si="8"/>
        <v>0.31452443517509587</v>
      </c>
      <c r="J78" s="65">
        <f t="shared" si="9"/>
        <v>0.20126075981678093</v>
      </c>
      <c r="K78" s="82">
        <f t="shared" si="10"/>
        <v>0</v>
      </c>
      <c r="L78" s="60">
        <f t="shared" si="11"/>
        <v>5.2249064995458921E-3</v>
      </c>
      <c r="M78" s="60"/>
      <c r="N78" s="60"/>
      <c r="O78" s="60">
        <f t="shared" si="12"/>
        <v>8.8046623651501406E-3</v>
      </c>
    </row>
    <row r="79" spans="1:15" x14ac:dyDescent="0.25">
      <c r="A79" s="57">
        <v>44803</v>
      </c>
      <c r="B79" s="58">
        <v>21.895</v>
      </c>
      <c r="C79" s="70">
        <f>myParidad('Flujo de Fondos'!$N$5,$A79,B79,'Flujo de Fondos'!$N$7,'Flujo de Fondos'!$N$6)</f>
        <v>0.2187941466352735</v>
      </c>
      <c r="D79" s="59">
        <v>24.99</v>
      </c>
      <c r="E79" s="70">
        <f>myParidad('Flujo de Fondos'!$T$5,$A79,D79,'Flujo de Fondos'!$T$7,'Flujo de Fondos'!$T$6)</f>
        <v>0.24985550518400831</v>
      </c>
      <c r="F79" s="58">
        <v>26.899000000000001</v>
      </c>
      <c r="G79" s="70">
        <f>myParidad('Flujo de Fondos'!$H$34,'Paridad usd'!$A79,'Paridad usd'!F79,'Flujo de Fondos'!$H$36,'Flujo de Fondos'!$H$35)</f>
        <v>0.26894210620026571</v>
      </c>
      <c r="H79" s="65">
        <f t="shared" si="7"/>
        <v>9.868123681916318E-3</v>
      </c>
      <c r="I79" s="65">
        <f t="shared" si="8"/>
        <v>0.33356110474612571</v>
      </c>
      <c r="J79" s="65">
        <f t="shared" si="9"/>
        <v>0.37094083641888137</v>
      </c>
      <c r="K79" s="82">
        <f t="shared" si="10"/>
        <v>0.05</v>
      </c>
      <c r="L79" s="60">
        <f t="shared" si="11"/>
        <v>9.8544347090681085E-3</v>
      </c>
      <c r="M79" s="60"/>
      <c r="N79" s="60"/>
      <c r="O79" s="60">
        <f t="shared" si="12"/>
        <v>1.1672501212929403E-2</v>
      </c>
    </row>
    <row r="80" spans="1:15" x14ac:dyDescent="0.25">
      <c r="A80" s="57">
        <v>44802</v>
      </c>
      <c r="B80" s="58">
        <v>21.68</v>
      </c>
      <c r="C80" s="70">
        <f>myParidad('Flujo de Fondos'!$N$5,$A80,B80,'Flujo de Fondos'!$N$7,'Flujo de Fondos'!$N$6)</f>
        <v>0.21664864272905229</v>
      </c>
      <c r="D80" s="59">
        <v>24.7</v>
      </c>
      <c r="E80" s="70">
        <f>myParidad('Flujo de Fondos'!$T$5,$A80,D80,'Flujo de Fondos'!$T$7,'Flujo de Fondos'!$T$6)</f>
        <v>0.24695686712252313</v>
      </c>
      <c r="F80" s="58">
        <v>26.65</v>
      </c>
      <c r="G80" s="70">
        <f>myParidad('Flujo de Fondos'!$H$34,'Paridad usd'!$A80,'Paridad usd'!F80,'Flujo de Fondos'!$H$36,'Flujo de Fondos'!$H$35)</f>
        <v>0.2664534618953539</v>
      </c>
      <c r="H80" s="65">
        <f t="shared" si="7"/>
        <v>-1.2376962949734907E-2</v>
      </c>
      <c r="I80" s="65">
        <f t="shared" si="8"/>
        <v>0.33143770592859623</v>
      </c>
      <c r="J80" s="65">
        <f t="shared" si="9"/>
        <v>0.39143423286538753</v>
      </c>
      <c r="K80" s="82">
        <f t="shared" si="10"/>
        <v>0</v>
      </c>
      <c r="L80" s="60">
        <f t="shared" si="11"/>
        <v>-1.2418030992643133E-2</v>
      </c>
      <c r="M80" s="60"/>
      <c r="N80" s="60"/>
      <c r="O80" s="60">
        <f t="shared" si="12"/>
        <v>-1.007057856359617E-2</v>
      </c>
    </row>
    <row r="81" spans="1:15" x14ac:dyDescent="0.25">
      <c r="A81" s="57">
        <v>44799</v>
      </c>
      <c r="B81" s="58">
        <v>21.95</v>
      </c>
      <c r="C81" s="70">
        <f>myParidad('Flujo de Fondos'!$N$5,$A81,B81,'Flujo de Fondos'!$N$7,'Flujo de Fondos'!$N$6)</f>
        <v>0.21935576607162413</v>
      </c>
      <c r="D81" s="59">
        <v>24.95</v>
      </c>
      <c r="E81" s="70">
        <f>myParidad('Flujo de Fondos'!$T$5,$A81,D81,'Flujo de Fondos'!$T$7,'Flujo de Fondos'!$T$6)</f>
        <v>0.24945899304223962</v>
      </c>
      <c r="F81" s="58">
        <v>27.1</v>
      </c>
      <c r="G81" s="70">
        <f>myParidad('Flujo de Fondos'!$H$34,'Paridad usd'!$A81,'Paridad usd'!F81,'Flujo de Fondos'!$H$36,'Flujo de Fondos'!$H$35)</f>
        <v>0.27095545937654086</v>
      </c>
      <c r="H81" s="65">
        <f t="shared" si="7"/>
        <v>-2.0293819339813796E-2</v>
      </c>
      <c r="I81" s="65">
        <f t="shared" si="8"/>
        <v>0.39822652809985731</v>
      </c>
      <c r="J81" s="65">
        <f t="shared" si="9"/>
        <v>0.37739879786503028</v>
      </c>
      <c r="K81" s="82">
        <f t="shared" si="10"/>
        <v>0</v>
      </c>
      <c r="L81" s="60">
        <f t="shared" si="11"/>
        <v>-2.0307509062254803E-2</v>
      </c>
      <c r="M81" s="60"/>
      <c r="N81" s="60"/>
      <c r="O81" s="60">
        <f t="shared" si="12"/>
        <v>-1.393057353594691E-2</v>
      </c>
    </row>
    <row r="82" spans="1:15" x14ac:dyDescent="0.25">
      <c r="A82" s="57">
        <v>44798</v>
      </c>
      <c r="B82" s="58">
        <v>22.4</v>
      </c>
      <c r="C82" s="70">
        <f>myParidad('Flujo de Fondos'!$N$5,$A82,B82,'Flujo de Fondos'!$N$7,'Flujo de Fondos'!$N$6)</f>
        <v>0.22385587361561732</v>
      </c>
      <c r="D82" s="59">
        <v>25.3</v>
      </c>
      <c r="E82" s="70">
        <f>myParidad('Flujo de Fondos'!$T$5,$A82,D82,'Flujo de Fondos'!$T$7,'Flujo de Fondos'!$T$6)</f>
        <v>0.25295928395087092</v>
      </c>
      <c r="F82" s="58">
        <v>27.3</v>
      </c>
      <c r="G82" s="70">
        <f>myParidad('Flujo de Fondos'!$H$34,'Paridad usd'!$A82,'Paridad usd'!F82,'Flujo de Fondos'!$H$36,'Flujo de Fondos'!$H$35)</f>
        <v>0.27295606529086075</v>
      </c>
      <c r="H82" s="65">
        <f t="shared" si="7"/>
        <v>-8.0035998605217946E-3</v>
      </c>
      <c r="I82" s="65">
        <f t="shared" si="8"/>
        <v>0.58637797952265247</v>
      </c>
      <c r="J82" s="65">
        <f t="shared" si="9"/>
        <v>0.30696795508401592</v>
      </c>
      <c r="K82" s="82">
        <f t="shared" si="10"/>
        <v>0.05</v>
      </c>
      <c r="L82" s="60">
        <f t="shared" si="11"/>
        <v>-8.0172897703739317E-3</v>
      </c>
      <c r="M82" s="60"/>
      <c r="N82" s="60"/>
      <c r="O82" s="60">
        <f t="shared" si="12"/>
        <v>-1.178795575204224E-2</v>
      </c>
    </row>
    <row r="83" spans="1:15" x14ac:dyDescent="0.25">
      <c r="A83" s="57">
        <v>44797</v>
      </c>
      <c r="B83" s="58">
        <v>22.58</v>
      </c>
      <c r="C83" s="70">
        <f>myParidad('Flujo de Fondos'!$N$5,$A83,B83,'Flujo de Fondos'!$N$7,'Flujo de Fondos'!$N$6)</f>
        <v>0.22565780467102919</v>
      </c>
      <c r="D83" s="59">
        <v>25.6</v>
      </c>
      <c r="E83" s="70">
        <f>myParidad('Flujo de Fondos'!$T$5,$A83,D83,'Flujo de Fondos'!$T$7,'Flujo de Fondos'!$T$6)</f>
        <v>0.25595967758503801</v>
      </c>
      <c r="F83" s="58">
        <v>27.498999999999999</v>
      </c>
      <c r="G83" s="70">
        <f>myParidad('Flujo de Fondos'!$H$34,'Paridad usd'!$A83,'Paridad usd'!F83,'Flujo de Fondos'!$H$36,'Flujo de Fondos'!$H$35)</f>
        <v>0.27494668648089682</v>
      </c>
      <c r="H83" s="65">
        <f t="shared" si="7"/>
        <v>3.7404825232238932E-2</v>
      </c>
      <c r="I83" s="65">
        <f t="shared" si="8"/>
        <v>0.62784913944047926</v>
      </c>
      <c r="J83" s="65">
        <f t="shared" si="9"/>
        <v>0.31253495221787719</v>
      </c>
      <c r="K83" s="82">
        <f t="shared" si="10"/>
        <v>0.65</v>
      </c>
      <c r="L83" s="60">
        <f t="shared" si="11"/>
        <v>3.7391135134970575E-2</v>
      </c>
      <c r="M83" s="60"/>
      <c r="N83" s="60"/>
      <c r="O83" s="60">
        <f t="shared" si="12"/>
        <v>3.174869831458027E-2</v>
      </c>
    </row>
    <row r="84" spans="1:15" x14ac:dyDescent="0.25">
      <c r="A84" s="57">
        <v>44796</v>
      </c>
      <c r="B84" s="58">
        <v>21.751000000000001</v>
      </c>
      <c r="C84" s="70">
        <f>myParidad('Flujo de Fondos'!$N$5,$A84,B84,'Flujo de Fondos'!$N$7,'Flujo de Fondos'!$N$6)</f>
        <v>0.21737600109521529</v>
      </c>
      <c r="D84" s="59">
        <v>24.8</v>
      </c>
      <c r="E84" s="70">
        <f>myParidad('Flujo de Fondos'!$T$5,$A84,D84,'Flujo de Fondos'!$T$7,'Flujo de Fondos'!$T$6)</f>
        <v>0.24796178671095209</v>
      </c>
      <c r="F84" s="58">
        <v>26.25</v>
      </c>
      <c r="G84" s="70">
        <f>myParidad('Flujo de Fondos'!$H$34,'Paridad usd'!$A84,'Paridad usd'!F84,'Flujo de Fondos'!$H$36,'Flujo de Fondos'!$H$35)</f>
        <v>0.26245955246622954</v>
      </c>
      <c r="H84" s="65">
        <f t="shared" si="7"/>
        <v>1.9545201006017972E-2</v>
      </c>
      <c r="I84" s="65">
        <f t="shared" si="8"/>
        <v>0.62063308301050268</v>
      </c>
      <c r="J84" s="65">
        <f t="shared" si="9"/>
        <v>0.3149672527721149</v>
      </c>
      <c r="K84" s="82">
        <f t="shared" si="10"/>
        <v>0.4</v>
      </c>
      <c r="L84" s="60">
        <f t="shared" si="11"/>
        <v>1.9531510721328166E-2</v>
      </c>
      <c r="M84" s="60"/>
      <c r="N84" s="60"/>
      <c r="O84" s="60">
        <f t="shared" si="12"/>
        <v>2.863181267432708E-2</v>
      </c>
    </row>
    <row r="85" spans="1:15" x14ac:dyDescent="0.25">
      <c r="A85" s="57">
        <v>44795</v>
      </c>
      <c r="B85" s="58">
        <v>21.33</v>
      </c>
      <c r="C85" s="70">
        <f>myParidad('Flujo de Fondos'!$N$5,$A85,B85,'Flujo de Fondos'!$N$7,'Flujo de Fondos'!$N$6)</f>
        <v>0.21317151306062099</v>
      </c>
      <c r="D85" s="59">
        <v>24.1</v>
      </c>
      <c r="E85" s="70">
        <f>myParidad('Flujo de Fondos'!$T$5,$A85,D85,'Flujo de Fondos'!$T$7,'Flujo de Fondos'!$T$6)</f>
        <v>0.24096369040281604</v>
      </c>
      <c r="F85" s="58">
        <v>26</v>
      </c>
      <c r="G85" s="70">
        <f>myParidad('Flujo de Fondos'!$H$34,'Paridad usd'!$A85,'Paridad usd'!F85,'Flujo de Fondos'!$H$36,'Flujo de Fondos'!$H$35)</f>
        <v>0.25996082782046542</v>
      </c>
      <c r="H85" s="65">
        <f t="shared" si="7"/>
        <v>2.0365373512493845E-2</v>
      </c>
      <c r="I85" s="65">
        <f t="shared" si="8"/>
        <v>0.61980268598772625</v>
      </c>
      <c r="J85" s="65">
        <f t="shared" si="9"/>
        <v>0.33482013757876572</v>
      </c>
      <c r="K85" s="82">
        <f t="shared" si="10"/>
        <v>0.35</v>
      </c>
      <c r="L85" s="60">
        <f t="shared" si="11"/>
        <v>2.0324301533845662E-2</v>
      </c>
      <c r="M85" s="60"/>
      <c r="N85" s="60"/>
      <c r="O85" s="60">
        <f t="shared" si="12"/>
        <v>2.7341345604321079E-2</v>
      </c>
    </row>
    <row r="86" spans="1:15" x14ac:dyDescent="0.25">
      <c r="A86" s="57">
        <v>44792</v>
      </c>
      <c r="B86" s="58">
        <v>20.9</v>
      </c>
      <c r="C86" s="70">
        <f>myParidad('Flujo de Fondos'!$N$5,$A86,B86,'Flujo de Fondos'!$N$7,'Flujo de Fondos'!$N$6)</f>
        <v>0.20888268232910281</v>
      </c>
      <c r="D86" s="59">
        <v>23.45</v>
      </c>
      <c r="E86" s="70">
        <f>myParidad('Flujo de Fondos'!$T$5,$A86,D86,'Flujo de Fondos'!$T$7,'Flujo de Fondos'!$T$6)</f>
        <v>0.2344670782527111</v>
      </c>
      <c r="F86" s="58">
        <v>25.3</v>
      </c>
      <c r="G86" s="70">
        <f>myParidad('Flujo de Fondos'!$H$34,'Paridad usd'!$A86,'Paridad usd'!F86,'Flujo de Fondos'!$H$36,'Flujo de Fondos'!$H$35)</f>
        <v>0.25296448101465208</v>
      </c>
      <c r="H86" s="65">
        <f t="shared" si="7"/>
        <v>-4.7732787526577709E-3</v>
      </c>
      <c r="I86" s="65">
        <f t="shared" si="8"/>
        <v>0.62542458018900904</v>
      </c>
      <c r="J86" s="65">
        <f t="shared" si="9"/>
        <v>0.30170944716454778</v>
      </c>
      <c r="K86" s="82">
        <f t="shared" si="10"/>
        <v>0.65</v>
      </c>
      <c r="L86" s="60">
        <f t="shared" si="11"/>
        <v>-4.7869697870841039E-3</v>
      </c>
      <c r="M86" s="60"/>
      <c r="N86" s="60"/>
      <c r="O86" s="60">
        <f t="shared" si="12"/>
        <v>-9.3379286336042495E-3</v>
      </c>
    </row>
    <row r="87" spans="1:15" x14ac:dyDescent="0.25">
      <c r="A87" s="57">
        <v>44791</v>
      </c>
      <c r="B87" s="58">
        <v>21</v>
      </c>
      <c r="C87" s="70">
        <f>myParidad('Flujo de Fondos'!$N$5,$A87,B87,'Flujo de Fondos'!$N$7,'Flujo de Fondos'!$N$6)</f>
        <v>0.20988499452354875</v>
      </c>
      <c r="D87" s="59">
        <v>23.67</v>
      </c>
      <c r="E87" s="70">
        <f>myParidad('Flujo de Fondos'!$T$5,$A87,D87,'Flujo de Fondos'!$T$7,'Flujo de Fondos'!$T$6)</f>
        <v>0.23666757978359132</v>
      </c>
      <c r="F87" s="58">
        <v>25.55</v>
      </c>
      <c r="G87" s="70">
        <f>myParidad('Flujo de Fondos'!$H$34,'Paridad usd'!$A87,'Paridad usd'!F87,'Flujo de Fondos'!$H$36,'Flujo de Fondos'!$H$35)</f>
        <v>0.25546500479386386</v>
      </c>
      <c r="H87" s="65">
        <f t="shared" si="7"/>
        <v>-9.2428670811774191E-3</v>
      </c>
      <c r="I87" s="65">
        <f t="shared" si="8"/>
        <v>0.63695844078201069</v>
      </c>
      <c r="J87" s="65">
        <f t="shared" si="9"/>
        <v>0.32522438903064621</v>
      </c>
      <c r="K87" s="82">
        <f t="shared" si="10"/>
        <v>0.8</v>
      </c>
      <c r="L87" s="60">
        <f t="shared" si="11"/>
        <v>-9.2565583030507371E-3</v>
      </c>
      <c r="M87" s="60"/>
      <c r="N87" s="60"/>
      <c r="O87" s="60">
        <f t="shared" si="12"/>
        <v>-2.5316469217796195E-3</v>
      </c>
    </row>
    <row r="88" spans="1:15" x14ac:dyDescent="0.25">
      <c r="A88" s="57">
        <v>44790</v>
      </c>
      <c r="B88" s="58">
        <v>21.195</v>
      </c>
      <c r="C88" s="70">
        <f>myParidad('Flujo de Fondos'!$N$5,$A88,B88,'Flujo de Fondos'!$N$7,'Flujo de Fondos'!$N$6)</f>
        <v>0.21183682690069688</v>
      </c>
      <c r="D88" s="59">
        <v>23.73</v>
      </c>
      <c r="E88" s="70">
        <f>myParidad('Flujo de Fondos'!$T$5,$A88,D88,'Flujo de Fondos'!$T$7,'Flujo de Fondos'!$T$6)</f>
        <v>0.23726831005447904</v>
      </c>
      <c r="F88" s="58">
        <v>25.75</v>
      </c>
      <c r="G88" s="70">
        <f>myParidad('Flujo de Fondos'!$H$34,'Paridad usd'!$A88,'Paridad usd'!F88,'Flujo de Fondos'!$H$36,'Flujo de Fondos'!$H$35)</f>
        <v>0.2574656124695674</v>
      </c>
      <c r="H88" s="65">
        <f t="shared" si="7"/>
        <v>-2.4928489463737831E-2</v>
      </c>
      <c r="I88" s="65">
        <f t="shared" si="8"/>
        <v>0.6360826286394442</v>
      </c>
      <c r="J88" s="65">
        <f t="shared" si="9"/>
        <v>0.35158308501692837</v>
      </c>
      <c r="K88" s="82">
        <f t="shared" si="10"/>
        <v>0.8</v>
      </c>
      <c r="L88" s="60">
        <f t="shared" si="11"/>
        <v>-2.4942180873063262E-2</v>
      </c>
      <c r="M88" s="60"/>
      <c r="N88" s="60"/>
      <c r="O88" s="60">
        <f t="shared" si="12"/>
        <v>-2.3736279898830592E-2</v>
      </c>
    </row>
    <row r="89" spans="1:15" x14ac:dyDescent="0.25">
      <c r="A89" s="57">
        <v>44789</v>
      </c>
      <c r="B89" s="58">
        <v>21.73</v>
      </c>
      <c r="C89" s="70">
        <f>myParidad('Flujo de Fondos'!$N$5,$A89,B89,'Flujo de Fondos'!$N$7,'Flujo de Fondos'!$N$6)</f>
        <v>0.21718694378268846</v>
      </c>
      <c r="D89" s="59">
        <v>24.3</v>
      </c>
      <c r="E89" s="70">
        <f>myParidad('Flujo de Fondos'!$T$5,$A89,D89,'Flujo de Fondos'!$T$7,'Flujo de Fondos'!$T$6)</f>
        <v>0.24296838082715264</v>
      </c>
      <c r="F89" s="58">
        <v>26.1</v>
      </c>
      <c r="G89" s="70">
        <f>myParidad('Flujo de Fondos'!$H$34,'Paridad usd'!$A89,'Paridad usd'!F89,'Flujo de Fondos'!$H$36,'Flujo de Fondos'!$H$35)</f>
        <v>0.26096603866620099</v>
      </c>
      <c r="H89" s="65">
        <f t="shared" si="7"/>
        <v>2.4221025691747076E-2</v>
      </c>
      <c r="I89" s="65">
        <f t="shared" si="8"/>
        <v>0.62508035971287235</v>
      </c>
      <c r="J89" s="65">
        <f t="shared" si="9"/>
        <v>0.36650573617654136</v>
      </c>
      <c r="K89" s="82">
        <f t="shared" si="10"/>
        <v>0.75</v>
      </c>
      <c r="L89" s="60">
        <f t="shared" si="11"/>
        <v>2.416625817982157E-2</v>
      </c>
      <c r="M89" s="60"/>
      <c r="N89" s="60"/>
      <c r="O89" s="60">
        <f t="shared" si="12"/>
        <v>1.0757240679495933E-2</v>
      </c>
    </row>
    <row r="90" spans="1:15" x14ac:dyDescent="0.25">
      <c r="A90" s="57">
        <v>44785</v>
      </c>
      <c r="B90" s="58">
        <v>21.21</v>
      </c>
      <c r="C90" s="70">
        <f>myParidad('Flujo de Fondos'!$N$5,$A90,B90,'Flujo de Fondos'!$N$7,'Flujo de Fondos'!$N$6)</f>
        <v>0.21200125968726896</v>
      </c>
      <c r="D90" s="59">
        <v>24.04</v>
      </c>
      <c r="E90" s="70">
        <f>myParidad('Flujo de Fondos'!$T$5,$A90,D90,'Flujo de Fondos'!$T$7,'Flujo de Fondos'!$T$6)</f>
        <v>0.24037201147811554</v>
      </c>
      <c r="F90" s="58">
        <v>26</v>
      </c>
      <c r="G90" s="70">
        <f>myParidad('Flujo de Fondos'!$H$34,'Paridad usd'!$A90,'Paridad usd'!F90,'Flujo de Fondos'!$H$36,'Flujo de Fondos'!$H$35)</f>
        <v>0.25996972955203845</v>
      </c>
      <c r="H90" s="65">
        <f t="shared" si="7"/>
        <v>-1.6830691824473935E-2</v>
      </c>
      <c r="I90" s="65">
        <f t="shared" si="8"/>
        <v>0.62290618423216038</v>
      </c>
      <c r="J90" s="65">
        <f t="shared" si="9"/>
        <v>0.36464676911673177</v>
      </c>
      <c r="K90" s="82">
        <f t="shared" si="10"/>
        <v>0.65</v>
      </c>
      <c r="L90" s="60">
        <f t="shared" si="11"/>
        <v>-1.6844384171136914E-2</v>
      </c>
      <c r="M90" s="60"/>
      <c r="N90" s="60"/>
      <c r="O90" s="60">
        <f t="shared" si="12"/>
        <v>2.4989600676385689E-3</v>
      </c>
    </row>
    <row r="91" spans="1:15" x14ac:dyDescent="0.25">
      <c r="A91" s="57">
        <v>44784</v>
      </c>
      <c r="B91" s="58">
        <v>21.57</v>
      </c>
      <c r="C91" s="70">
        <f>myParidad('Flujo de Fondos'!$N$5,$A91,B91,'Flujo de Fondos'!$N$7,'Flujo de Fondos'!$N$6)</f>
        <v>0.21560253583996275</v>
      </c>
      <c r="D91" s="59">
        <v>23.98</v>
      </c>
      <c r="E91" s="70">
        <f>myParidad('Flujo de Fondos'!$T$5,$A91,D91,'Flujo de Fondos'!$T$7,'Flujo de Fondos'!$T$6)</f>
        <v>0.23977290237747104</v>
      </c>
      <c r="F91" s="58">
        <v>26.55</v>
      </c>
      <c r="G91" s="70">
        <f>myParidad('Flujo de Fondos'!$H$34,'Paridad usd'!$A91,'Paridad usd'!F91,'Flujo de Fondos'!$H$36,'Flujo de Fondos'!$H$35)</f>
        <v>0.26546999825362205</v>
      </c>
      <c r="H91" s="65">
        <f t="shared" si="7"/>
        <v>1.0251720726431419E-2</v>
      </c>
      <c r="I91" s="65">
        <f t="shared" si="8"/>
        <v>0.62030272941654074</v>
      </c>
      <c r="J91" s="65">
        <f t="shared" si="9"/>
        <v>0.37254813945897686</v>
      </c>
      <c r="K91" s="82">
        <f t="shared" si="10"/>
        <v>0.65</v>
      </c>
      <c r="L91" s="60">
        <f t="shared" si="11"/>
        <v>1.0238028192285517E-2</v>
      </c>
      <c r="M91" s="60"/>
      <c r="N91" s="60"/>
      <c r="O91" s="60">
        <f t="shared" si="12"/>
        <v>2.3629791429796914E-2</v>
      </c>
    </row>
    <row r="92" spans="1:15" x14ac:dyDescent="0.25">
      <c r="A92" s="57">
        <v>44783</v>
      </c>
      <c r="B92" s="58">
        <v>21.35</v>
      </c>
      <c r="C92" s="70">
        <f>myParidad('Flujo de Fondos'!$N$5,$A92,B92,'Flujo de Fondos'!$N$7,'Flujo de Fondos'!$N$6)</f>
        <v>0.21340645196626137</v>
      </c>
      <c r="D92" s="59">
        <v>23.42</v>
      </c>
      <c r="E92" s="70">
        <f>myParidad('Flujo de Fondos'!$T$5,$A92,D92,'Flujo de Fondos'!$T$7,'Flujo de Fondos'!$T$6)</f>
        <v>0.23417433705895246</v>
      </c>
      <c r="F92" s="58">
        <v>26.3</v>
      </c>
      <c r="G92" s="70">
        <f>myParidad('Flujo de Fondos'!$H$34,'Paridad usd'!$A92,'Paridad usd'!F92,'Flujo de Fondos'!$H$36,'Flujo de Fondos'!$H$35)</f>
        <v>0.26297118124041202</v>
      </c>
      <c r="H92" s="65">
        <f t="shared" si="7"/>
        <v>-2.1775240730291134E-2</v>
      </c>
      <c r="I92" s="65">
        <f t="shared" si="8"/>
        <v>0.62329991395643214</v>
      </c>
      <c r="J92" s="65">
        <f t="shared" si="9"/>
        <v>0.3628619026044505</v>
      </c>
      <c r="K92" s="82">
        <f t="shared" si="10"/>
        <v>0.7</v>
      </c>
      <c r="L92" s="60">
        <f t="shared" si="11"/>
        <v>-2.1788933451925185E-2</v>
      </c>
      <c r="M92" s="60"/>
      <c r="N92" s="60"/>
      <c r="O92" s="60">
        <f t="shared" si="12"/>
        <v>-3.3258019859869391E-2</v>
      </c>
    </row>
    <row r="93" spans="1:15" x14ac:dyDescent="0.25">
      <c r="A93" s="57">
        <v>44782</v>
      </c>
      <c r="B93" s="58">
        <v>21.82</v>
      </c>
      <c r="C93" s="70">
        <f>myParidad('Flujo de Fondos'!$N$5,$A93,B93,'Flujo de Fondos'!$N$7,'Flujo de Fondos'!$N$6)</f>
        <v>0.21810737905820815</v>
      </c>
      <c r="D93" s="59">
        <v>24.212</v>
      </c>
      <c r="E93" s="70">
        <f>myParidad('Flujo de Fondos'!$T$5,$A93,D93,'Flujo de Fondos'!$T$7,'Flujo de Fondos'!$T$6)</f>
        <v>0.24209429820806694</v>
      </c>
      <c r="F93" s="58">
        <v>26.5</v>
      </c>
      <c r="G93" s="70">
        <f>myParidad('Flujo de Fondos'!$H$34,'Paridad usd'!$A93,'Paridad usd'!F93,'Flujo de Fondos'!$H$36,'Flujo de Fondos'!$H$35)</f>
        <v>0.26497186942482132</v>
      </c>
      <c r="H93" s="65">
        <f t="shared" si="7"/>
        <v>-2.890896890537243E-2</v>
      </c>
      <c r="I93" s="65">
        <f t="shared" si="8"/>
        <v>0.61275761695747388</v>
      </c>
      <c r="J93" s="65">
        <f t="shared" si="9"/>
        <v>0.35996611749194574</v>
      </c>
      <c r="K93" s="82">
        <f t="shared" si="10"/>
        <v>0.65</v>
      </c>
      <c r="L93" s="60">
        <f t="shared" si="11"/>
        <v>-2.8922661814499671E-2</v>
      </c>
      <c r="M93" s="60"/>
      <c r="N93" s="60"/>
      <c r="O93" s="60">
        <f t="shared" si="12"/>
        <v>-2.8942693876835641E-2</v>
      </c>
    </row>
    <row r="94" spans="1:15" x14ac:dyDescent="0.25">
      <c r="A94" s="57">
        <v>44781</v>
      </c>
      <c r="B94" s="58">
        <v>22.46</v>
      </c>
      <c r="C94" s="70">
        <f>myParidad('Flujo de Fondos'!$N$5,$A94,B94,'Flujo de Fondos'!$N$7,'Flujo de Fondos'!$N$6)</f>
        <v>0.22450773654662468</v>
      </c>
      <c r="D94" s="59">
        <v>24.922999999999998</v>
      </c>
      <c r="E94" s="70">
        <f>myParidad('Flujo de Fondos'!$T$5,$A94,D94,'Flujo de Fondos'!$T$7,'Flujo de Fondos'!$T$6)</f>
        <v>0.24920439680854706</v>
      </c>
      <c r="F94" s="58">
        <v>27.5</v>
      </c>
      <c r="G94" s="70">
        <f>myParidad('Flujo de Fondos'!$H$34,'Paridad usd'!$A94,'Paridad usd'!F94,'Flujo de Fondos'!$H$36,'Flujo de Fondos'!$H$35)</f>
        <v>0.2749717494777934</v>
      </c>
      <c r="H94" s="65">
        <f t="shared" si="7"/>
        <v>2.3880386880500364E-2</v>
      </c>
      <c r="I94" s="65">
        <f t="shared" si="8"/>
        <v>0.6134386297789155</v>
      </c>
      <c r="J94" s="65">
        <f t="shared" si="9"/>
        <v>0.3763850340817459</v>
      </c>
      <c r="K94" s="82">
        <f t="shared" si="10"/>
        <v>0.7</v>
      </c>
      <c r="L94" s="60">
        <f t="shared" si="11"/>
        <v>2.383930702810811E-2</v>
      </c>
      <c r="M94" s="60"/>
      <c r="N94" s="60"/>
      <c r="O94" s="60">
        <f t="shared" si="12"/>
        <v>1.7117954355595089E-2</v>
      </c>
    </row>
    <row r="95" spans="1:15" x14ac:dyDescent="0.25">
      <c r="A95" s="57">
        <v>44778</v>
      </c>
      <c r="B95" s="58">
        <v>21.93</v>
      </c>
      <c r="C95" s="70">
        <f>myParidad('Flujo de Fondos'!$N$5,$A95,B95,'Flujo de Fondos'!$N$7,'Flujo de Fondos'!$N$6)</f>
        <v>0.21921891902994783</v>
      </c>
      <c r="D95" s="59">
        <v>24.5</v>
      </c>
      <c r="E95" s="70">
        <f>myParidad('Flujo de Fondos'!$T$5,$A95,D95,'Flujo de Fondos'!$T$7,'Flujo de Fondos'!$T$6)</f>
        <v>0.24497734798494661</v>
      </c>
      <c r="F95" s="58">
        <v>26.77</v>
      </c>
      <c r="G95" s="70">
        <f>myParidad('Flujo de Fondos'!$H$34,'Paridad usd'!$A95,'Paridad usd'!F95,'Flujo de Fondos'!$H$36,'Flujo de Fondos'!$H$35)</f>
        <v>0.267675249206409</v>
      </c>
      <c r="H95" s="65">
        <f t="shared" si="7"/>
        <v>1.2388320856952266E-2</v>
      </c>
      <c r="I95" s="65">
        <f t="shared" si="8"/>
        <v>0.61258054681604202</v>
      </c>
      <c r="J95" s="65">
        <f t="shared" si="9"/>
        <v>0.2955924062287385</v>
      </c>
      <c r="K95" s="82">
        <f t="shared" si="10"/>
        <v>0.7</v>
      </c>
      <c r="L95" s="60">
        <f t="shared" si="11"/>
        <v>1.2374627197800855E-2</v>
      </c>
      <c r="M95" s="60"/>
      <c r="N95" s="60"/>
      <c r="O95" s="60">
        <f t="shared" si="12"/>
        <v>9.0201513593837438E-3</v>
      </c>
    </row>
    <row r="96" spans="1:15" x14ac:dyDescent="0.25">
      <c r="A96" s="57">
        <v>44777</v>
      </c>
      <c r="B96" s="58">
        <v>21.66</v>
      </c>
      <c r="C96" s="70">
        <f>myParidad('Flujo de Fondos'!$N$5,$A96,B96,'Flujo de Fondos'!$N$7,'Flujo de Fondos'!$N$6)</f>
        <v>0.21652288226111249</v>
      </c>
      <c r="D96" s="59">
        <v>24.28</v>
      </c>
      <c r="E96" s="70">
        <f>myParidad('Flujo de Fondos'!$T$5,$A96,D96,'Flujo de Fondos'!$T$7,'Flujo de Fondos'!$T$6)</f>
        <v>0.24277838274674174</v>
      </c>
      <c r="F96" s="58">
        <v>26.35</v>
      </c>
      <c r="G96" s="70">
        <f>myParidad('Flujo de Fondos'!$H$34,'Paridad usd'!$A96,'Paridad usd'!F96,'Flujo de Fondos'!$H$36,'Flujo de Fondos'!$H$35)</f>
        <v>0.26347653976015833</v>
      </c>
      <c r="H96" s="65">
        <f t="shared" si="7"/>
        <v>-1.1019395249610538E-2</v>
      </c>
      <c r="I96" s="65">
        <f t="shared" si="8"/>
        <v>0.62409137635013145</v>
      </c>
      <c r="J96" s="65">
        <f t="shared" si="9"/>
        <v>0.58068495436974299</v>
      </c>
      <c r="K96" s="82">
        <f t="shared" si="10"/>
        <v>0.75</v>
      </c>
      <c r="L96" s="60">
        <f t="shared" si="11"/>
        <v>-1.1033089096280755E-2</v>
      </c>
      <c r="M96" s="60"/>
      <c r="N96" s="60"/>
      <c r="O96" s="60">
        <f t="shared" si="12"/>
        <v>-1.5529531544900632E-2</v>
      </c>
    </row>
    <row r="97" spans="1:15" x14ac:dyDescent="0.25">
      <c r="A97" s="57">
        <v>44776</v>
      </c>
      <c r="B97" s="58">
        <v>21.9</v>
      </c>
      <c r="C97" s="70">
        <f>myParidad('Flujo de Fondos'!$N$5,$A97,B97,'Flujo de Fondos'!$N$7,'Flujo de Fondos'!$N$6)</f>
        <v>0.21892502567613831</v>
      </c>
      <c r="D97" s="59">
        <v>24.66</v>
      </c>
      <c r="E97" s="70">
        <f>myParidad('Flujo de Fondos'!$T$5,$A97,D97,'Flujo de Fondos'!$T$7,'Flujo de Fondos'!$T$6)</f>
        <v>0.24657888879376766</v>
      </c>
      <c r="F97" s="58">
        <v>26.45</v>
      </c>
      <c r="G97" s="70">
        <f>myParidad('Flujo de Fondos'!$H$34,'Paridad usd'!$A97,'Paridad usd'!F97,'Flujo de Fondos'!$H$36,'Flujo de Fondos'!$H$35)</f>
        <v>0.26447735639071995</v>
      </c>
      <c r="H97" s="65">
        <f t="shared" si="7"/>
        <v>-2.0787011464443356E-2</v>
      </c>
      <c r="I97" s="65">
        <f t="shared" si="8"/>
        <v>0.63288514344209301</v>
      </c>
      <c r="J97" s="65">
        <f t="shared" si="9"/>
        <v>1.0398319887013003</v>
      </c>
      <c r="K97" s="82">
        <f t="shared" si="10"/>
        <v>0.8</v>
      </c>
      <c r="L97" s="60">
        <f t="shared" si="11"/>
        <v>-2.0800705498637561E-2</v>
      </c>
      <c r="M97" s="60"/>
      <c r="N97" s="60"/>
      <c r="O97" s="60">
        <f t="shared" si="12"/>
        <v>-1.1290442515692181E-2</v>
      </c>
    </row>
    <row r="98" spans="1:15" x14ac:dyDescent="0.25">
      <c r="A98" s="57">
        <v>44775</v>
      </c>
      <c r="B98" s="58">
        <v>22.36</v>
      </c>
      <c r="C98" s="70">
        <f>myParidad('Flujo de Fondos'!$N$5,$A98,B98,'Flujo de Fondos'!$N$7,'Flujo de Fondos'!$N$6)</f>
        <v>0.22352651183172656</v>
      </c>
      <c r="D98" s="59">
        <v>24.94</v>
      </c>
      <c r="E98" s="70">
        <f>myParidad('Flujo de Fondos'!$T$5,$A98,D98,'Flujo de Fondos'!$T$7,'Flujo de Fondos'!$T$6)</f>
        <v>0.24937950305454348</v>
      </c>
      <c r="F98" s="58">
        <v>26.9</v>
      </c>
      <c r="G98" s="70">
        <f>myParidad('Flujo de Fondos'!$H$34,'Paridad usd'!$A98,'Paridad usd'!F98,'Flujo de Fondos'!$H$36,'Flujo de Fondos'!$H$35)</f>
        <v>0.26897789222803603</v>
      </c>
      <c r="H98" s="65">
        <f t="shared" si="7"/>
        <v>-3.2558969240849493E-2</v>
      </c>
      <c r="I98" s="65">
        <f t="shared" si="8"/>
        <v>0.64413802666716991</v>
      </c>
      <c r="J98" s="65">
        <f t="shared" si="9"/>
        <v>0.97896404855025465</v>
      </c>
      <c r="K98" s="82">
        <f t="shared" si="10"/>
        <v>0.85</v>
      </c>
      <c r="L98" s="60">
        <f t="shared" si="11"/>
        <v>-3.2572663462572773E-2</v>
      </c>
      <c r="M98" s="60"/>
      <c r="N98" s="60"/>
      <c r="O98" s="60">
        <f t="shared" si="12"/>
        <v>-2.4028846163103149E-3</v>
      </c>
    </row>
    <row r="99" spans="1:15" x14ac:dyDescent="0.25">
      <c r="A99" s="57">
        <v>44774</v>
      </c>
      <c r="B99" s="58">
        <v>23.1</v>
      </c>
      <c r="C99" s="70">
        <f>myParidad('Flujo de Fondos'!$N$5,$A99,B99,'Flujo de Fondos'!$N$7,'Flujo de Fondos'!$N$6)</f>
        <v>0.23092724210180354</v>
      </c>
      <c r="D99" s="59">
        <v>25</v>
      </c>
      <c r="E99" s="70">
        <f>myParidad('Flujo de Fondos'!$T$5,$A99,D99,'Flujo de Fondos'!$T$7,'Flujo de Fondos'!$T$6)</f>
        <v>0.24998030977012084</v>
      </c>
      <c r="F99" s="58">
        <v>27.8</v>
      </c>
      <c r="G99" s="70">
        <f>myParidad('Flujo de Fondos'!$H$34,'Paridad usd'!$A99,'Paridad usd'!F99,'Flujo de Fondos'!$H$36,'Flujo de Fondos'!$H$35)</f>
        <v>0.27797810446437438</v>
      </c>
      <c r="H99" s="65">
        <f t="shared" si="7"/>
        <v>4.7732787526578117E-3</v>
      </c>
      <c r="I99" s="65">
        <f t="shared" si="8"/>
        <v>0.68045416169684514</v>
      </c>
      <c r="J99" s="65">
        <f t="shared" si="9"/>
        <v>0.76696761913253408</v>
      </c>
      <c r="K99" s="82">
        <f t="shared" si="10"/>
        <v>0.95</v>
      </c>
      <c r="L99" s="60">
        <f t="shared" si="11"/>
        <v>4.7321949622614609E-3</v>
      </c>
      <c r="M99" s="60"/>
      <c r="N99" s="60"/>
      <c r="O99" s="60">
        <f t="shared" si="12"/>
        <v>4.0080213975388678E-3</v>
      </c>
    </row>
    <row r="100" spans="1:15" x14ac:dyDescent="0.25">
      <c r="A100" s="57">
        <v>44771</v>
      </c>
      <c r="B100" s="58">
        <v>22.99</v>
      </c>
      <c r="C100" s="70">
        <f>myParidad('Flujo de Fondos'!$N$5,$A100,B100,'Flujo de Fondos'!$N$7,'Flujo de Fondos'!$N$6)</f>
        <v>0.22983703095042451</v>
      </c>
      <c r="D100" s="59">
        <v>24.9</v>
      </c>
      <c r="E100" s="70">
        <f>myParidad('Flujo de Fondos'!$T$5,$A100,D100,'Flujo de Fondos'!$T$7,'Flujo de Fondos'!$T$6)</f>
        <v>0.24898294637353605</v>
      </c>
      <c r="F100" s="58">
        <v>27.99</v>
      </c>
      <c r="G100" s="70">
        <f>myParidad('Flujo de Fondos'!$H$34,'Paridad usd'!$A100,'Paridad usd'!F100,'Flujo de Fondos'!$H$36,'Flujo de Fondos'!$H$35)</f>
        <v>0.27988083008013148</v>
      </c>
      <c r="H100" s="65">
        <f t="shared" si="7"/>
        <v>5.9592097202245599E-2</v>
      </c>
      <c r="I100" s="65">
        <f t="shared" si="8"/>
        <v>0.68046460888314164</v>
      </c>
      <c r="J100" s="65">
        <f t="shared" si="9"/>
        <v>0.73471545261852766</v>
      </c>
      <c r="K100" s="82">
        <f t="shared" si="10"/>
        <v>1</v>
      </c>
      <c r="L100" s="60">
        <f t="shared" si="11"/>
        <v>5.9578402230354099E-2</v>
      </c>
      <c r="M100" s="60"/>
      <c r="N100" s="60"/>
      <c r="O100" s="60">
        <f t="shared" si="12"/>
        <v>2.0284671171505717E-2</v>
      </c>
    </row>
    <row r="101" spans="1:15" x14ac:dyDescent="0.25">
      <c r="A101" s="57">
        <v>44770</v>
      </c>
      <c r="B101" s="58">
        <v>21.66</v>
      </c>
      <c r="C101" s="70">
        <f>myParidad('Flujo de Fondos'!$N$5,$A101,B101,'Flujo de Fondos'!$N$7,'Flujo de Fondos'!$N$6)</f>
        <v>0.21654363932675058</v>
      </c>
      <c r="D101" s="59">
        <v>24.4</v>
      </c>
      <c r="E101" s="70">
        <f>myParidad('Flujo de Fondos'!$T$5,$A101,D101,'Flujo de Fondos'!$T$7,'Flujo de Fondos'!$T$6)</f>
        <v>0.24398412432067776</v>
      </c>
      <c r="F101" s="58">
        <v>26.75</v>
      </c>
      <c r="G101" s="70">
        <f>myParidad('Flujo de Fondos'!$H$34,'Paridad usd'!$A101,'Paridad usd'!F101,'Flujo de Fondos'!$H$36,'Flujo de Fondos'!$H$35)</f>
        <v>0.26748259531057911</v>
      </c>
      <c r="H101" s="65">
        <f t="shared" si="7"/>
        <v>0.12316452594618957</v>
      </c>
      <c r="I101" s="65">
        <f t="shared" si="8"/>
        <v>0.64850475215979386</v>
      </c>
      <c r="J101" s="65">
        <f t="shared" si="9"/>
        <v>0.89797367045306697</v>
      </c>
      <c r="K101" s="82">
        <f t="shared" si="10"/>
        <v>1</v>
      </c>
      <c r="L101" s="60">
        <f t="shared" si="11"/>
        <v>0.12315083078674358</v>
      </c>
      <c r="M101" s="60"/>
      <c r="N101" s="60"/>
      <c r="O101" s="60">
        <f t="shared" si="12"/>
        <v>0.12653019716553901</v>
      </c>
    </row>
    <row r="102" spans="1:15" x14ac:dyDescent="0.25">
      <c r="A102" s="57">
        <v>44769</v>
      </c>
      <c r="B102" s="58">
        <v>19.149999999999999</v>
      </c>
      <c r="C102" s="70">
        <f>myParidad('Flujo de Fondos'!$N$5,$A102,B102,'Flujo de Fondos'!$N$7,'Flujo de Fondos'!$N$6)</f>
        <v>0.19145279246213262</v>
      </c>
      <c r="D102" s="59">
        <v>21.5</v>
      </c>
      <c r="E102" s="70">
        <f>myParidad('Flujo de Fondos'!$T$5,$A102,D102,'Flujo de Fondos'!$T$7,'Flujo de Fondos'!$T$6)</f>
        <v>0.21498674739228404</v>
      </c>
      <c r="F102" s="58">
        <v>24.79</v>
      </c>
      <c r="G102" s="70">
        <f>myParidad('Flujo de Fondos'!$H$34,'Paridad usd'!$A102,'Paridad usd'!F102,'Flujo de Fondos'!$H$36,'Flujo de Fondos'!$H$35)</f>
        <v>0.24788471943510332</v>
      </c>
      <c r="H102" s="65">
        <f t="shared" si="7"/>
        <v>7.3104258328615446E-2</v>
      </c>
      <c r="I102" s="65">
        <f t="shared" si="8"/>
        <v>0.48368629488455528</v>
      </c>
      <c r="J102" s="65">
        <f t="shared" si="9"/>
        <v>0.6256269878524775</v>
      </c>
      <c r="K102" s="82">
        <f t="shared" si="10"/>
        <v>1</v>
      </c>
      <c r="L102" s="60">
        <f t="shared" si="11"/>
        <v>7.3090562981609361E-2</v>
      </c>
      <c r="M102" s="60"/>
      <c r="N102" s="60"/>
      <c r="O102" s="60">
        <f t="shared" si="12"/>
        <v>6.7333120068586952E-2</v>
      </c>
    </row>
    <row r="103" spans="1:15" x14ac:dyDescent="0.25">
      <c r="A103" s="57">
        <v>44768</v>
      </c>
      <c r="B103" s="58">
        <v>17.8</v>
      </c>
      <c r="C103" s="70">
        <f>myParidad('Flujo de Fondos'!$N$5,$A103,B103,'Flujo de Fondos'!$N$7,'Flujo de Fondos'!$N$6)</f>
        <v>0.17795855759617624</v>
      </c>
      <c r="D103" s="59">
        <v>20.100000000000001</v>
      </c>
      <c r="E103" s="70">
        <f>myParidad('Flujo de Fondos'!$T$5,$A103,D103,'Flujo de Fondos'!$T$7,'Flujo de Fondos'!$T$6)</f>
        <v>0.20098829862644985</v>
      </c>
      <c r="F103" s="58">
        <v>22.8</v>
      </c>
      <c r="G103" s="70">
        <f>myParidad('Flujo de Fondos'!$H$34,'Paridad usd'!$A103,'Paridad usd'!F103,'Flujo de Fondos'!$H$36,'Flujo de Fondos'!$H$35)</f>
        <v>0.22798672680015206</v>
      </c>
      <c r="H103" s="65">
        <f t="shared" si="7"/>
        <v>1.585537178979422E-2</v>
      </c>
      <c r="I103" s="65">
        <f t="shared" si="8"/>
        <v>0.40920412253244959</v>
      </c>
      <c r="J103" s="65">
        <f t="shared" si="9"/>
        <v>0.29475359581144778</v>
      </c>
      <c r="K103" s="82">
        <f t="shared" si="10"/>
        <v>0.25</v>
      </c>
      <c r="L103" s="60">
        <f t="shared" si="11"/>
        <v>1.5841676255223008E-2</v>
      </c>
      <c r="M103" s="60"/>
      <c r="N103" s="60"/>
      <c r="O103" s="60">
        <f t="shared" si="12"/>
        <v>1.8579495030506113E-2</v>
      </c>
    </row>
    <row r="104" spans="1:15" x14ac:dyDescent="0.25">
      <c r="A104" s="57">
        <v>44767</v>
      </c>
      <c r="B104" s="58">
        <v>17.52</v>
      </c>
      <c r="C104" s="70">
        <f>myParidad('Flujo de Fondos'!$N$5,$A104,B104,'Flujo de Fondos'!$N$7,'Flujo de Fondos'!$N$6)</f>
        <v>0.17516160841459405</v>
      </c>
      <c r="D104" s="59">
        <v>19.73</v>
      </c>
      <c r="E104" s="70">
        <f>myParidad('Flujo de Fondos'!$T$5,$A104,D104,'Flujo de Fondos'!$T$7,'Flujo de Fondos'!$T$6)</f>
        <v>0.19728918963344474</v>
      </c>
      <c r="F104" s="58">
        <v>22.58</v>
      </c>
      <c r="G104" s="70">
        <f>myParidad('Flujo de Fondos'!$H$34,'Paridad usd'!$A104,'Paridad usd'!F104,'Flujo de Fondos'!$H$36,'Flujo de Fondos'!$H$35)</f>
        <v>0.22578762807517394</v>
      </c>
      <c r="H104" s="65">
        <f t="shared" si="7"/>
        <v>1.2636584004512057E-2</v>
      </c>
      <c r="I104" s="65">
        <f t="shared" si="8"/>
        <v>0.40999659704694574</v>
      </c>
      <c r="J104" s="65">
        <f t="shared" si="9"/>
        <v>0.31395623529231542</v>
      </c>
      <c r="K104" s="82">
        <f t="shared" si="10"/>
        <v>0.3</v>
      </c>
      <c r="L104" s="60">
        <f t="shared" si="11"/>
        <v>1.259549627535651E-2</v>
      </c>
      <c r="M104" s="60"/>
      <c r="N104" s="60"/>
      <c r="O104" s="60">
        <f t="shared" si="12"/>
        <v>1.9447900558733012E-2</v>
      </c>
    </row>
    <row r="105" spans="1:15" x14ac:dyDescent="0.25">
      <c r="A105" s="57">
        <v>44764</v>
      </c>
      <c r="B105" s="58">
        <v>17.3</v>
      </c>
      <c r="C105" s="70">
        <f>myParidad('Flujo de Fondos'!$N$5,$A105,B105,'Flujo de Fondos'!$N$7,'Flujo de Fondos'!$N$6)</f>
        <v>0.17296919726624027</v>
      </c>
      <c r="D105" s="59">
        <v>19.350000000000001</v>
      </c>
      <c r="E105" s="70">
        <f>myParidad('Flujo de Fondos'!$T$5,$A105,D105,'Flujo de Fondos'!$T$7,'Flujo de Fondos'!$T$6)</f>
        <v>0.19349138565748786</v>
      </c>
      <c r="F105" s="58">
        <v>22.45</v>
      </c>
      <c r="G105" s="70">
        <f>myParidad('Flujo de Fondos'!$H$34,'Paridad usd'!$A105,'Paridad usd'!F105,'Flujo de Fondos'!$H$36,'Flujo de Fondos'!$H$35)</f>
        <v>0.22449000558194326</v>
      </c>
      <c r="H105" s="65">
        <f t="shared" si="7"/>
        <v>-1.5486400695272498E-2</v>
      </c>
      <c r="I105" s="65">
        <f t="shared" si="8"/>
        <v>0.41781839565811335</v>
      </c>
      <c r="J105" s="65">
        <f t="shared" si="9"/>
        <v>0.29305453434673628</v>
      </c>
      <c r="K105" s="82">
        <f t="shared" si="10"/>
        <v>0.35</v>
      </c>
      <c r="L105" s="60">
        <f t="shared" si="11"/>
        <v>-1.5500096980155373E-2</v>
      </c>
      <c r="M105" s="60"/>
      <c r="N105" s="60"/>
      <c r="O105" s="60">
        <f t="shared" si="12"/>
        <v>-6.1823999083174281E-3</v>
      </c>
    </row>
    <row r="106" spans="1:15" x14ac:dyDescent="0.25">
      <c r="A106" s="57">
        <v>44763</v>
      </c>
      <c r="B106" s="58">
        <v>17.57</v>
      </c>
      <c r="C106" s="70">
        <f>myParidad('Flujo de Fondos'!$N$5,$A106,B106,'Flujo de Fondos'!$N$7,'Flujo de Fondos'!$N$6)</f>
        <v>0.1756711225551964</v>
      </c>
      <c r="D106" s="59">
        <v>19.47</v>
      </c>
      <c r="E106" s="70">
        <f>myParidad('Flujo de Fondos'!$T$5,$A106,D106,'Flujo de Fondos'!$T$7,'Flujo de Fondos'!$T$6)</f>
        <v>0.19469199895894687</v>
      </c>
      <c r="F106" s="58">
        <v>22.95</v>
      </c>
      <c r="G106" s="70">
        <f>myParidad('Flujo de Fondos'!$H$34,'Paridad usd'!$A106,'Paridad usd'!F106,'Flujo de Fondos'!$H$36,'Flujo de Fondos'!$H$35)</f>
        <v>0.22949056888073091</v>
      </c>
      <c r="H106" s="65">
        <f t="shared" si="7"/>
        <v>-2.6952782579884114E-2</v>
      </c>
      <c r="I106" s="65">
        <f t="shared" si="8"/>
        <v>0.42060938684231947</v>
      </c>
      <c r="J106" s="65">
        <f t="shared" si="9"/>
        <v>0.28538814350536157</v>
      </c>
      <c r="K106" s="82">
        <f t="shared" si="10"/>
        <v>0.45</v>
      </c>
      <c r="L106" s="60">
        <f t="shared" si="11"/>
        <v>-2.696647905235787E-2</v>
      </c>
      <c r="M106" s="60"/>
      <c r="N106" s="60"/>
      <c r="O106" s="60">
        <f t="shared" si="12"/>
        <v>-4.4206092504495795E-2</v>
      </c>
    </row>
    <row r="107" spans="1:15" x14ac:dyDescent="0.25">
      <c r="A107" s="57">
        <v>44762</v>
      </c>
      <c r="B107" s="58">
        <v>18.05</v>
      </c>
      <c r="C107" s="70">
        <f>myParidad('Flujo de Fondos'!$N$5,$A107,B107,'Flujo de Fondos'!$N$7,'Flujo de Fondos'!$N$6)</f>
        <v>0.18047280546766925</v>
      </c>
      <c r="D107" s="59">
        <v>20.350000000000001</v>
      </c>
      <c r="E107" s="70">
        <f>myParidad('Flujo de Fondos'!$T$5,$A107,D107,'Flujo de Fondos'!$T$7,'Flujo de Fondos'!$T$6)</f>
        <v>0.20349233419289001</v>
      </c>
      <c r="F107" s="58">
        <v>22.95</v>
      </c>
      <c r="G107" s="70">
        <f>myParidad('Flujo de Fondos'!$H$34,'Paridad usd'!$A107,'Paridad usd'!F107,'Flujo de Fondos'!$H$36,'Flujo de Fondos'!$H$35)</f>
        <v>0.22949135477773097</v>
      </c>
      <c r="H107" s="65">
        <f t="shared" si="7"/>
        <v>-6.6261976291899019E-3</v>
      </c>
      <c r="I107" s="65">
        <f t="shared" si="8"/>
        <v>0.4179551253496433</v>
      </c>
      <c r="J107" s="65">
        <f t="shared" si="9"/>
        <v>0.20854508679548439</v>
      </c>
      <c r="K107" s="82">
        <f t="shared" si="10"/>
        <v>0.45</v>
      </c>
      <c r="L107" s="60">
        <f t="shared" si="11"/>
        <v>-6.6398942892597181E-3</v>
      </c>
      <c r="M107" s="60"/>
      <c r="N107" s="60"/>
      <c r="O107" s="60">
        <f t="shared" si="12"/>
        <v>-2.4539889615665914E-3</v>
      </c>
    </row>
    <row r="108" spans="1:15" x14ac:dyDescent="0.25">
      <c r="A108" s="57">
        <v>44761</v>
      </c>
      <c r="B108" s="58">
        <v>18.170000000000002</v>
      </c>
      <c r="C108" s="70">
        <f>myParidad('Flujo de Fondos'!$N$5,$A108,B108,'Flujo de Fondos'!$N$7,'Flujo de Fondos'!$N$6)</f>
        <v>0.18167511299821945</v>
      </c>
      <c r="D108" s="59">
        <v>20.399999999999999</v>
      </c>
      <c r="E108" s="70">
        <f>myParidad('Flujo de Fondos'!$T$5,$A108,D108,'Flujo de Fondos'!$T$7,'Flujo de Fondos'!$T$6)</f>
        <v>0.20399301393787883</v>
      </c>
      <c r="F108" s="58">
        <v>22.9</v>
      </c>
      <c r="G108" s="70">
        <f>myParidad('Flujo de Fondos'!$H$34,'Paridad usd'!$A108,'Paridad usd'!F108,'Flujo de Fondos'!$H$36,'Flujo de Fondos'!$H$35)</f>
        <v>0.22899215780281496</v>
      </c>
      <c r="H108" s="65">
        <f t="shared" si="7"/>
        <v>2.0011785106509694E-2</v>
      </c>
      <c r="I108" s="65">
        <f t="shared" si="8"/>
        <v>0.42258757035562822</v>
      </c>
      <c r="J108" s="65">
        <f t="shared" si="9"/>
        <v>0.20657739413613263</v>
      </c>
      <c r="K108" s="82">
        <f t="shared" si="10"/>
        <v>0.55000000000000004</v>
      </c>
      <c r="L108" s="60">
        <f t="shared" si="11"/>
        <v>1.9998088258839076E-2</v>
      </c>
      <c r="M108" s="60"/>
      <c r="N108" s="60"/>
      <c r="O108" s="60">
        <f t="shared" si="12"/>
        <v>2.1303753422446923E-2</v>
      </c>
    </row>
    <row r="109" spans="1:15" x14ac:dyDescent="0.25">
      <c r="A109" s="57">
        <v>44760</v>
      </c>
      <c r="B109" s="58">
        <v>17.809999999999999</v>
      </c>
      <c r="C109" s="70">
        <f>myParidad('Flujo de Fondos'!$N$5,$A109,B109,'Flujo de Fondos'!$N$7,'Flujo de Fondos'!$N$6)</f>
        <v>0.17807804517251297</v>
      </c>
      <c r="D109" s="59">
        <v>19.97</v>
      </c>
      <c r="E109" s="70">
        <f>myParidad('Flujo de Fondos'!$T$5,$A109,D109,'Flujo de Fondos'!$T$7,'Flujo de Fondos'!$T$6)</f>
        <v>0.19969384505272098</v>
      </c>
      <c r="F109" s="58">
        <v>22.55</v>
      </c>
      <c r="G109" s="70">
        <f>myParidad('Flujo de Fondos'!$H$34,'Paridad usd'!$A109,'Paridad usd'!F109,'Flujo de Fondos'!$H$36,'Flujo de Fondos'!$H$35)</f>
        <v>0.22549304987175053</v>
      </c>
      <c r="H109" s="65">
        <f t="shared" si="7"/>
        <v>5.0661521246353749E-3</v>
      </c>
      <c r="I109" s="65">
        <f t="shared" si="8"/>
        <v>0.42127153557361013</v>
      </c>
      <c r="J109" s="65">
        <f t="shared" si="9"/>
        <v>0.24439166217893182</v>
      </c>
      <c r="K109" s="82">
        <f t="shared" si="10"/>
        <v>0.55000000000000004</v>
      </c>
      <c r="L109" s="60">
        <f t="shared" si="11"/>
        <v>5.0250604559654915E-3</v>
      </c>
      <c r="M109" s="60"/>
      <c r="N109" s="60"/>
      <c r="O109" s="60">
        <f t="shared" si="12"/>
        <v>-7.4831978038147331E-3</v>
      </c>
    </row>
    <row r="110" spans="1:15" x14ac:dyDescent="0.25">
      <c r="A110" s="57">
        <v>44757</v>
      </c>
      <c r="B110" s="58">
        <v>17.72</v>
      </c>
      <c r="C110" s="70">
        <f>myParidad('Flujo de Fondos'!$N$5,$A110,B110,'Flujo de Fondos'!$N$7,'Flujo de Fondos'!$N$6)</f>
        <v>0.17718543681341259</v>
      </c>
      <c r="D110" s="59">
        <v>20.12</v>
      </c>
      <c r="E110" s="70">
        <f>myParidad('Flujo de Fondos'!$T$5,$A110,D110,'Flujo de Fondos'!$T$7,'Flujo de Fondos'!$T$6)</f>
        <v>0.20119586583837321</v>
      </c>
      <c r="F110" s="58">
        <v>22.7</v>
      </c>
      <c r="G110" s="70">
        <f>myParidad('Flujo de Fondos'!$H$34,'Paridad usd'!$A110,'Paridad usd'!F110,'Flujo de Fondos'!$H$36,'Flujo de Fondos'!$H$35)</f>
        <v>0.22699533571227987</v>
      </c>
      <c r="H110" s="65">
        <f t="shared" si="7"/>
        <v>-1.1781342440106665E-2</v>
      </c>
      <c r="I110" s="65">
        <f t="shared" si="8"/>
        <v>0.44083403531423976</v>
      </c>
      <c r="J110" s="65">
        <f t="shared" si="9"/>
        <v>0.22473739839680168</v>
      </c>
      <c r="K110" s="82">
        <f t="shared" si="10"/>
        <v>0.7</v>
      </c>
      <c r="L110" s="60">
        <f t="shared" si="11"/>
        <v>-1.1795040038232955E-2</v>
      </c>
      <c r="M110" s="60"/>
      <c r="N110" s="60"/>
      <c r="O110" s="60">
        <f t="shared" si="12"/>
        <v>-1.7734454939768579E-2</v>
      </c>
    </row>
    <row r="111" spans="1:15" x14ac:dyDescent="0.25">
      <c r="A111" s="57">
        <v>44756</v>
      </c>
      <c r="B111" s="58">
        <v>17.93</v>
      </c>
      <c r="C111" s="70">
        <f>myParidad('Flujo de Fondos'!$N$5,$A111,B111,'Flujo de Fondos'!$N$7,'Flujo de Fondos'!$N$6)</f>
        <v>0.17928772001917676</v>
      </c>
      <c r="D111" s="59">
        <v>20.48</v>
      </c>
      <c r="E111" s="70">
        <f>myParidad('Flujo de Fondos'!$T$5,$A111,D111,'Flujo de Fondos'!$T$7,'Flujo de Fondos'!$T$6)</f>
        <v>0.20479649321073271</v>
      </c>
      <c r="F111" s="58">
        <v>23.08</v>
      </c>
      <c r="G111" s="70">
        <f>myParidad('Flujo de Fondos'!$H$34,'Paridad usd'!$A111,'Paridad usd'!F111,'Flujo de Fondos'!$H$36,'Flujo de Fondos'!$H$35)</f>
        <v>0.23079604801287648</v>
      </c>
      <c r="H111" s="65">
        <f t="shared" si="7"/>
        <v>-7.7778169870956265E-3</v>
      </c>
      <c r="I111" s="65">
        <f t="shared" si="8"/>
        <v>0.44389921860701725</v>
      </c>
      <c r="J111" s="65">
        <f t="shared" si="9"/>
        <v>0.25491255842545629</v>
      </c>
      <c r="K111" s="82">
        <f t="shared" si="10"/>
        <v>0.85</v>
      </c>
      <c r="L111" s="60">
        <f t="shared" si="11"/>
        <v>-7.7915147728488546E-3</v>
      </c>
      <c r="M111" s="60"/>
      <c r="N111" s="60"/>
      <c r="O111" s="60">
        <f t="shared" si="12"/>
        <v>-1.1167875236185796E-2</v>
      </c>
    </row>
    <row r="112" spans="1:15" x14ac:dyDescent="0.25">
      <c r="A112" s="57">
        <v>44755</v>
      </c>
      <c r="B112" s="58">
        <v>18.07</v>
      </c>
      <c r="C112" s="70">
        <f>myParidad('Flujo de Fondos'!$N$5,$A112,B112,'Flujo de Fondos'!$N$7,'Flujo de Fondos'!$N$6)</f>
        <v>0.18069009917264808</v>
      </c>
      <c r="D112" s="59">
        <v>20.71</v>
      </c>
      <c r="E112" s="70">
        <f>myParidad('Flujo de Fondos'!$T$5,$A112,D112,'Flujo de Fondos'!$T$7,'Flujo de Fondos'!$T$6)</f>
        <v>0.20709716305256093</v>
      </c>
      <c r="F112" s="58">
        <v>23.25</v>
      </c>
      <c r="G112" s="70">
        <f>myParidad('Flujo de Fondos'!$H$34,'Paridad usd'!$A112,'Paridad usd'!F112,'Flujo de Fondos'!$H$36,'Flujo de Fondos'!$H$35)</f>
        <v>0.23249681511212175</v>
      </c>
      <c r="H112" s="65">
        <f t="shared" si="7"/>
        <v>8.3356970573525875E-3</v>
      </c>
      <c r="I112" s="65">
        <f t="shared" si="8"/>
        <v>0.44337009891604878</v>
      </c>
      <c r="J112" s="65">
        <f t="shared" si="9"/>
        <v>0.27428316237890815</v>
      </c>
      <c r="K112" s="82">
        <f t="shared" si="10"/>
        <v>0.85</v>
      </c>
      <c r="L112" s="60">
        <f t="shared" si="11"/>
        <v>8.3219990839675604E-3</v>
      </c>
      <c r="M112" s="60"/>
      <c r="N112" s="60"/>
      <c r="O112" s="60">
        <f t="shared" si="12"/>
        <v>6.296945001589456E-3</v>
      </c>
    </row>
    <row r="113" spans="1:15" x14ac:dyDescent="0.25">
      <c r="A113" s="57">
        <v>44754</v>
      </c>
      <c r="B113" s="58">
        <v>17.920000000000002</v>
      </c>
      <c r="C113" s="70">
        <f>myParidad('Flujo de Fondos'!$N$5,$A113,B113,'Flujo de Fondos'!$N$7,'Flujo de Fondos'!$N$6)</f>
        <v>0.17919263591907184</v>
      </c>
      <c r="D113" s="59">
        <v>20.58</v>
      </c>
      <c r="E113" s="70">
        <f>myParidad('Flujo de Fondos'!$T$5,$A113,D113,'Flujo de Fondos'!$T$7,'Flujo de Fondos'!$T$6)</f>
        <v>0.20579788563816123</v>
      </c>
      <c r="F113" s="58">
        <v>23.25</v>
      </c>
      <c r="G113" s="70">
        <f>myParidad('Flujo de Fondos'!$H$34,'Paridad usd'!$A113,'Paridad usd'!F113,'Flujo de Fondos'!$H$36,'Flujo de Fondos'!$H$35)</f>
        <v>0.23249761132591104</v>
      </c>
      <c r="H113" s="65">
        <f t="shared" si="7"/>
        <v>-2.9688821527921655E-2</v>
      </c>
      <c r="I113" s="65">
        <f t="shared" si="8"/>
        <v>0.43976706555242795</v>
      </c>
      <c r="J113" s="65">
        <f t="shared" si="9"/>
        <v>0.20496382252384004</v>
      </c>
      <c r="K113" s="82">
        <f t="shared" si="10"/>
        <v>0.8</v>
      </c>
      <c r="L113" s="60">
        <f t="shared" si="11"/>
        <v>-2.9702519688943815E-2</v>
      </c>
      <c r="M113" s="60"/>
      <c r="N113" s="60"/>
      <c r="O113" s="60">
        <f t="shared" si="12"/>
        <v>-1.6863806052004916E-2</v>
      </c>
    </row>
    <row r="114" spans="1:15" x14ac:dyDescent="0.25">
      <c r="A114" s="57">
        <v>44753</v>
      </c>
      <c r="B114" s="58">
        <v>18.46</v>
      </c>
      <c r="C114" s="70">
        <f>myParidad('Flujo de Fondos'!$N$5,$A114,B114,'Flujo de Fondos'!$N$7,'Flujo de Fondos'!$N$6)</f>
        <v>0.18459494260431222</v>
      </c>
      <c r="D114" s="59">
        <v>20.93</v>
      </c>
      <c r="E114" s="70">
        <f>myParidad('Flujo de Fondos'!$T$5,$A114,D114,'Flujo de Fondos'!$T$7,'Flujo de Fondos'!$T$6)</f>
        <v>0.20929856644817502</v>
      </c>
      <c r="F114" s="58">
        <v>23.6</v>
      </c>
      <c r="G114" s="70">
        <f>myParidad('Flujo de Fondos'!$H$34,'Paridad usd'!$A114,'Paridad usd'!F114,'Flujo de Fondos'!$H$36,'Flujo de Fondos'!$H$35)</f>
        <v>0.23599838357271527</v>
      </c>
      <c r="H114" s="65">
        <f t="shared" si="7"/>
        <v>-2.7048975107001063E-3</v>
      </c>
      <c r="I114" s="65">
        <f t="shared" si="8"/>
        <v>0.4442131253671221</v>
      </c>
      <c r="J114" s="65">
        <f t="shared" si="9"/>
        <v>0.36706457929067404</v>
      </c>
      <c r="K114" s="82">
        <f t="shared" si="10"/>
        <v>0.95</v>
      </c>
      <c r="L114" s="60">
        <f t="shared" si="11"/>
        <v>-2.6957595300648051E-4</v>
      </c>
      <c r="M114" s="60"/>
      <c r="N114" s="60"/>
      <c r="O114" s="60">
        <f t="shared" si="12"/>
        <v>-3.3389012655145986E-3</v>
      </c>
    </row>
    <row r="115" spans="1:15" x14ac:dyDescent="0.25">
      <c r="A115" s="74">
        <v>44750</v>
      </c>
      <c r="B115" s="75">
        <v>18.510000000000002</v>
      </c>
      <c r="C115" s="76">
        <v>0.18464471166985519</v>
      </c>
      <c r="D115" s="77">
        <v>21</v>
      </c>
      <c r="E115" s="76">
        <v>0.20987062769525641</v>
      </c>
      <c r="F115" s="75">
        <v>23.61</v>
      </c>
      <c r="G115" s="76">
        <v>0.23595454856595249</v>
      </c>
      <c r="H115" s="65">
        <f t="shared" si="7"/>
        <v>-2.5074666596375587E-2</v>
      </c>
      <c r="I115" s="65">
        <f t="shared" si="8"/>
        <v>0.442106231688766</v>
      </c>
      <c r="J115" s="65">
        <f t="shared" si="9"/>
        <v>0.40863065623320693</v>
      </c>
      <c r="K115" s="82">
        <f t="shared" si="10"/>
        <v>0.9</v>
      </c>
      <c r="L115" s="60">
        <f t="shared" si="11"/>
        <v>-2.5088331625516266E-2</v>
      </c>
      <c r="M115" s="60"/>
      <c r="N115" s="60"/>
      <c r="O115" s="60">
        <f t="shared" si="12"/>
        <v>-2.3781224049674358E-3</v>
      </c>
    </row>
    <row r="116" spans="1:15" x14ac:dyDescent="0.25">
      <c r="A116" s="74">
        <v>44749</v>
      </c>
      <c r="B116" s="75">
        <v>18.98</v>
      </c>
      <c r="C116" s="76">
        <v>0.1893357383948947</v>
      </c>
      <c r="D116" s="77">
        <v>21.05</v>
      </c>
      <c r="E116" s="76">
        <v>0.21037103967088669</v>
      </c>
      <c r="F116" s="75">
        <v>24</v>
      </c>
      <c r="G116" s="76">
        <v>0.23985296684566651</v>
      </c>
      <c r="H116" s="65">
        <f t="shared" si="7"/>
        <v>-2.7028672387919259E-2</v>
      </c>
      <c r="I116" s="65">
        <f t="shared" si="8"/>
        <v>0.44564270050926463</v>
      </c>
      <c r="J116" s="65">
        <f t="shared" si="9"/>
        <v>0.42278888775350265</v>
      </c>
      <c r="K116" s="82">
        <f t="shared" si="10"/>
        <v>1</v>
      </c>
      <c r="L116" s="60">
        <f t="shared" si="11"/>
        <v>-2.7056003006413067E-2</v>
      </c>
      <c r="M116" s="60"/>
      <c r="N116" s="60"/>
      <c r="O116" s="60">
        <f t="shared" si="12"/>
        <v>-2.5792754561728953E-2</v>
      </c>
    </row>
    <row r="117" spans="1:15" x14ac:dyDescent="0.25">
      <c r="A117" s="74">
        <v>44747</v>
      </c>
      <c r="B117" s="75">
        <v>19.5</v>
      </c>
      <c r="C117" s="76">
        <v>0.19452833540593359</v>
      </c>
      <c r="D117" s="77">
        <v>21.6</v>
      </c>
      <c r="E117" s="76">
        <v>0.2158691478110871</v>
      </c>
      <c r="F117" s="75">
        <v>25.6</v>
      </c>
      <c r="G117" s="76">
        <v>0.2558449159242514</v>
      </c>
      <c r="H117" s="65">
        <f t="shared" si="7"/>
        <v>-3.6257748022624131E-2</v>
      </c>
      <c r="I117" s="65">
        <f t="shared" si="8"/>
        <v>0.44412999153150878</v>
      </c>
      <c r="J117" s="65">
        <f t="shared" si="9"/>
        <v>0.66658504595892987</v>
      </c>
      <c r="K117" s="82">
        <f t="shared" si="10"/>
        <v>1</v>
      </c>
      <c r="L117" s="60">
        <f t="shared" si="11"/>
        <v>-3.6271413611986963E-2</v>
      </c>
      <c r="M117" s="60"/>
      <c r="N117" s="60"/>
      <c r="O117" s="60">
        <f t="shared" si="12"/>
        <v>-5.0112041427347709E-2</v>
      </c>
    </row>
    <row r="118" spans="1:15" x14ac:dyDescent="0.25">
      <c r="A118" s="74">
        <v>44746</v>
      </c>
      <c r="B118" s="75">
        <v>20.22</v>
      </c>
      <c r="C118" s="76">
        <v>0.20171367661528369</v>
      </c>
      <c r="D118" s="77">
        <v>22.71</v>
      </c>
      <c r="E118" s="76">
        <v>0.2269632002628553</v>
      </c>
      <c r="F118" s="75">
        <v>26.1</v>
      </c>
      <c r="G118" s="76">
        <v>0.26084277969443082</v>
      </c>
      <c r="H118" s="65">
        <f t="shared" si="7"/>
        <v>-6.5558030934390735E-2</v>
      </c>
      <c r="I118" s="65">
        <f t="shared" si="8"/>
        <v>0.43933605493924766</v>
      </c>
      <c r="J118" s="65">
        <f t="shared" si="9"/>
        <v>0.69272976629344507</v>
      </c>
      <c r="K118" s="82">
        <f t="shared" si="10"/>
        <v>1</v>
      </c>
      <c r="L118" s="60">
        <f t="shared" si="11"/>
        <v>-6.5599028823005237E-2</v>
      </c>
      <c r="M118" s="60"/>
      <c r="N118" s="60"/>
      <c r="O118" s="60">
        <f t="shared" si="12"/>
        <v>-7.8720830415620599E-2</v>
      </c>
    </row>
    <row r="119" spans="1:15" x14ac:dyDescent="0.25">
      <c r="A119" s="74">
        <v>44743</v>
      </c>
      <c r="B119" s="75">
        <v>21.59</v>
      </c>
      <c r="C119" s="76">
        <v>0.21538955625708939</v>
      </c>
      <c r="D119" s="77">
        <v>24.57</v>
      </c>
      <c r="E119" s="76">
        <v>0.24555451735786671</v>
      </c>
      <c r="F119" s="75">
        <v>27.74</v>
      </c>
      <c r="G119" s="76">
        <v>0.27723574731409129</v>
      </c>
      <c r="H119" s="65">
        <f t="shared" si="7"/>
        <v>5.1079748860519449E-3</v>
      </c>
      <c r="I119" s="65">
        <f t="shared" si="8"/>
        <v>0.39294601947639934</v>
      </c>
      <c r="J119" s="65">
        <f t="shared" si="9"/>
        <v>0.50372537800344719</v>
      </c>
      <c r="K119" s="82">
        <f t="shared" si="10"/>
        <v>0.95</v>
      </c>
      <c r="L119" s="60">
        <f t="shared" si="11"/>
        <v>5.0943085496546478E-3</v>
      </c>
      <c r="M119" s="60"/>
      <c r="N119" s="60"/>
      <c r="O119" s="60">
        <f t="shared" si="12"/>
        <v>1.1049836186584935E-2</v>
      </c>
    </row>
    <row r="120" spans="1:15" x14ac:dyDescent="0.25">
      <c r="A120" s="74">
        <v>44742</v>
      </c>
      <c r="B120" s="75">
        <v>21.48</v>
      </c>
      <c r="C120" s="76">
        <v>0.21429508555185051</v>
      </c>
      <c r="D120" s="77">
        <v>24.3</v>
      </c>
      <c r="E120" s="76">
        <v>0.24285694727763099</v>
      </c>
      <c r="F120" s="75">
        <v>27.4</v>
      </c>
      <c r="G120" s="76">
        <v>0.27383869775337821</v>
      </c>
      <c r="H120" s="65">
        <f t="shared" si="7"/>
        <v>-1.4787700154379389E-2</v>
      </c>
      <c r="I120" s="65">
        <f t="shared" si="8"/>
        <v>0.3890126153084455</v>
      </c>
      <c r="J120" s="65">
        <f t="shared" si="9"/>
        <v>0.61329283927447187</v>
      </c>
      <c r="K120" s="82">
        <f t="shared" si="10"/>
        <v>0.95</v>
      </c>
      <c r="L120" s="60">
        <f t="shared" si="11"/>
        <v>-1.4801366677547669E-2</v>
      </c>
      <c r="M120" s="60"/>
      <c r="N120" s="60"/>
      <c r="O120" s="60">
        <f t="shared" si="12"/>
        <v>-2.8765172906121202E-3</v>
      </c>
    </row>
    <row r="121" spans="1:15" x14ac:dyDescent="0.25">
      <c r="A121" s="74">
        <v>44741</v>
      </c>
      <c r="B121" s="75">
        <v>21.8</v>
      </c>
      <c r="C121" s="76">
        <v>0.21749053586803521</v>
      </c>
      <c r="D121" s="77">
        <v>24.37</v>
      </c>
      <c r="E121" s="76">
        <v>0.24355736880114731</v>
      </c>
      <c r="F121" s="75">
        <v>26.5</v>
      </c>
      <c r="G121" s="76">
        <v>0.26484490247149778</v>
      </c>
      <c r="H121" s="65">
        <f t="shared" si="7"/>
        <v>4.3597248705933921E-2</v>
      </c>
      <c r="I121" s="65">
        <f t="shared" si="8"/>
        <v>0.39774032999335163</v>
      </c>
      <c r="J121" s="65">
        <f t="shared" si="9"/>
        <v>0.63116243472977362</v>
      </c>
      <c r="K121" s="82">
        <f t="shared" si="10"/>
        <v>1</v>
      </c>
      <c r="L121" s="60">
        <f t="shared" si="11"/>
        <v>4.3583581995989357E-2</v>
      </c>
      <c r="M121" s="60"/>
      <c r="N121" s="60"/>
      <c r="O121" s="60">
        <f t="shared" si="12"/>
        <v>3.8482372744826542E-2</v>
      </c>
    </row>
    <row r="122" spans="1:15" x14ac:dyDescent="0.25">
      <c r="A122" s="74">
        <v>44740</v>
      </c>
      <c r="B122" s="75">
        <v>20.87</v>
      </c>
      <c r="C122" s="76">
        <v>0.20821511548448821</v>
      </c>
      <c r="D122" s="77">
        <v>23.45</v>
      </c>
      <c r="E122" s="76">
        <v>0.2343635554642845</v>
      </c>
      <c r="F122" s="75">
        <v>26.65</v>
      </c>
      <c r="G122" s="76">
        <v>0.26634493616729987</v>
      </c>
      <c r="H122" s="65">
        <f t="shared" si="7"/>
        <v>3.0651876669844789E-2</v>
      </c>
      <c r="I122" s="65">
        <f t="shared" si="8"/>
        <v>0.34465328301984571</v>
      </c>
      <c r="J122" s="65">
        <f t="shared" si="9"/>
        <v>0.45499446673652721</v>
      </c>
      <c r="K122" s="82">
        <f t="shared" si="10"/>
        <v>1</v>
      </c>
      <c r="L122" s="60">
        <f t="shared" si="11"/>
        <v>3.0638209773118551E-2</v>
      </c>
      <c r="M122" s="60"/>
      <c r="N122" s="60"/>
      <c r="O122" s="60">
        <f t="shared" si="12"/>
        <v>3.0305349495328843E-2</v>
      </c>
    </row>
    <row r="123" spans="1:15" x14ac:dyDescent="0.25">
      <c r="A123" s="74">
        <v>44739</v>
      </c>
      <c r="B123" s="75">
        <v>20.239999999999998</v>
      </c>
      <c r="C123" s="76">
        <v>0.2019325124027935</v>
      </c>
      <c r="D123" s="77">
        <v>22.75</v>
      </c>
      <c r="E123" s="76">
        <v>0.22736840664136171</v>
      </c>
      <c r="F123" s="75">
        <v>26.78</v>
      </c>
      <c r="G123" s="76">
        <v>0.26764509581783152</v>
      </c>
      <c r="H123" s="65">
        <f t="shared" si="7"/>
        <v>-3.2088314551500512E-2</v>
      </c>
      <c r="I123" s="65">
        <f t="shared" si="8"/>
        <v>0.32061947554033138</v>
      </c>
      <c r="J123" s="65">
        <f t="shared" si="9"/>
        <v>0.29033281833016705</v>
      </c>
      <c r="K123" s="82">
        <f t="shared" si="10"/>
        <v>1</v>
      </c>
      <c r="L123" s="60">
        <f t="shared" si="11"/>
        <v>-3.2129316362419627E-2</v>
      </c>
      <c r="M123" s="60"/>
      <c r="N123" s="60"/>
      <c r="O123" s="60">
        <f t="shared" si="12"/>
        <v>-3.8797969540982538E-2</v>
      </c>
    </row>
    <row r="124" spans="1:15" x14ac:dyDescent="0.25">
      <c r="A124" s="74">
        <v>44736</v>
      </c>
      <c r="B124" s="75">
        <v>20.9</v>
      </c>
      <c r="C124" s="76">
        <v>0.20852581800289749</v>
      </c>
      <c r="D124" s="77">
        <v>23.65</v>
      </c>
      <c r="E124" s="76">
        <v>0.2363656277595613</v>
      </c>
      <c r="F124" s="75">
        <v>27.3</v>
      </c>
      <c r="G124" s="76">
        <v>0.27284488954909197</v>
      </c>
      <c r="H124" s="65">
        <f t="shared" si="7"/>
        <v>-4.1701989985763244E-2</v>
      </c>
      <c r="I124" s="65">
        <f t="shared" si="8"/>
        <v>0.31172483735543427</v>
      </c>
      <c r="J124" s="65">
        <f t="shared" si="9"/>
        <v>0.32627562606409394</v>
      </c>
      <c r="K124" s="82">
        <f t="shared" si="10"/>
        <v>1</v>
      </c>
      <c r="L124" s="60">
        <f t="shared" si="11"/>
        <v>-4.1715657629666718E-2</v>
      </c>
      <c r="M124" s="60"/>
      <c r="N124" s="60"/>
      <c r="O124" s="60">
        <f t="shared" si="12"/>
        <v>-4.3440128695989552E-2</v>
      </c>
    </row>
    <row r="125" spans="1:15" x14ac:dyDescent="0.25">
      <c r="A125" s="74">
        <v>44735</v>
      </c>
      <c r="B125" s="75">
        <v>21.79</v>
      </c>
      <c r="C125" s="76">
        <v>0.21740859700676551</v>
      </c>
      <c r="D125" s="77">
        <v>24.7</v>
      </c>
      <c r="E125" s="76">
        <v>0.24686050690534461</v>
      </c>
      <c r="F125" s="75">
        <v>27.65</v>
      </c>
      <c r="G125" s="76">
        <v>0.2763438467988979</v>
      </c>
      <c r="H125" s="65">
        <f t="shared" si="7"/>
        <v>-2.53751721030494E-2</v>
      </c>
      <c r="I125" s="65">
        <f t="shared" si="8"/>
        <v>0.29701477150197769</v>
      </c>
      <c r="J125" s="65">
        <f t="shared" si="9"/>
        <v>0.44505075158927149</v>
      </c>
      <c r="K125" s="82">
        <f t="shared" si="10"/>
        <v>1</v>
      </c>
      <c r="L125" s="60">
        <f t="shared" si="11"/>
        <v>-2.538883993376001E-2</v>
      </c>
      <c r="M125" s="60"/>
      <c r="N125" s="60"/>
      <c r="O125" s="60">
        <f t="shared" si="12"/>
        <v>-2.9912499362600209E-2</v>
      </c>
    </row>
    <row r="126" spans="1:15" x14ac:dyDescent="0.25">
      <c r="A126" s="74">
        <v>44734</v>
      </c>
      <c r="B126" s="75">
        <v>22.35</v>
      </c>
      <c r="C126" s="76">
        <v>0.22299901590946369</v>
      </c>
      <c r="D126" s="77">
        <v>25.45</v>
      </c>
      <c r="E126" s="76">
        <v>0.25435714187921848</v>
      </c>
      <c r="F126" s="75">
        <v>28.12</v>
      </c>
      <c r="G126" s="76">
        <v>0.28104215440642932</v>
      </c>
      <c r="H126" s="65">
        <f t="shared" si="7"/>
        <v>-1.9934214900817253E-2</v>
      </c>
      <c r="I126" s="65">
        <f t="shared" si="8"/>
        <v>0.29171154020882867</v>
      </c>
      <c r="J126" s="65">
        <f t="shared" si="9"/>
        <v>0.4502734302849728</v>
      </c>
      <c r="K126" s="82">
        <f t="shared" si="10"/>
        <v>1</v>
      </c>
      <c r="L126" s="60">
        <f t="shared" si="11"/>
        <v>-1.994788291833996E-2</v>
      </c>
      <c r="M126" s="60"/>
      <c r="N126" s="60"/>
      <c r="O126" s="60">
        <f t="shared" si="12"/>
        <v>-9.7752489046423301E-3</v>
      </c>
    </row>
    <row r="127" spans="1:15" x14ac:dyDescent="0.25">
      <c r="A127" s="74">
        <v>44733</v>
      </c>
      <c r="B127" s="75">
        <v>22.8</v>
      </c>
      <c r="C127" s="76">
        <v>0.22749203832538309</v>
      </c>
      <c r="D127" s="77">
        <v>25.7</v>
      </c>
      <c r="E127" s="76">
        <v>0.25685661770997698</v>
      </c>
      <c r="F127" s="75">
        <v>28.4</v>
      </c>
      <c r="G127" s="76">
        <v>0.2838415542009084</v>
      </c>
      <c r="H127" s="65">
        <f t="shared" si="7"/>
        <v>6.1592803605348672E-3</v>
      </c>
      <c r="I127" s="65">
        <f t="shared" si="8"/>
        <v>0.29018615177507368</v>
      </c>
      <c r="J127" s="65">
        <f t="shared" si="9"/>
        <v>0.44460849870794922</v>
      </c>
      <c r="K127" s="82">
        <f t="shared" si="10"/>
        <v>1</v>
      </c>
      <c r="L127" s="60">
        <f t="shared" si="11"/>
        <v>6.0909374705609464E-3</v>
      </c>
      <c r="M127" s="60"/>
      <c r="N127" s="60"/>
      <c r="O127" s="60">
        <f t="shared" si="12"/>
        <v>-2.3319093349788251E-3</v>
      </c>
    </row>
    <row r="128" spans="1:15" x14ac:dyDescent="0.25">
      <c r="A128" s="74">
        <v>44728</v>
      </c>
      <c r="B128" s="75">
        <v>22.66</v>
      </c>
      <c r="C128" s="76">
        <v>0.2261106099127915</v>
      </c>
      <c r="D128" s="77">
        <v>25.76</v>
      </c>
      <c r="E128" s="76">
        <v>0.25746068907919689</v>
      </c>
      <c r="F128" s="75">
        <v>28.68</v>
      </c>
      <c r="G128" s="76">
        <v>0.28664489762388851</v>
      </c>
      <c r="H128" s="65">
        <f t="shared" si="7"/>
        <v>-4.4029554415944694E-2</v>
      </c>
      <c r="I128" s="65">
        <f t="shared" si="8"/>
        <v>0.28612555397678746</v>
      </c>
      <c r="J128" s="65">
        <f t="shared" si="9"/>
        <v>0.44069617696885494</v>
      </c>
      <c r="K128" s="82">
        <f t="shared" si="10"/>
        <v>1</v>
      </c>
      <c r="L128" s="60">
        <f t="shared" si="11"/>
        <v>-4.4043223554447355E-2</v>
      </c>
      <c r="M128" s="60"/>
      <c r="N128" s="60"/>
      <c r="O128" s="60">
        <f t="shared" si="12"/>
        <v>-5.6230619873100136E-2</v>
      </c>
    </row>
    <row r="129" spans="1:15" x14ac:dyDescent="0.25">
      <c r="A129" s="74">
        <v>44727</v>
      </c>
      <c r="B129" s="75">
        <v>23.68</v>
      </c>
      <c r="C129" s="76">
        <v>0.2362918107631532</v>
      </c>
      <c r="D129" s="77">
        <v>27.25</v>
      </c>
      <c r="E129" s="76">
        <v>0.27235356332382932</v>
      </c>
      <c r="F129" s="75">
        <v>29</v>
      </c>
      <c r="G129" s="76">
        <v>0.2898441591336165</v>
      </c>
      <c r="H129" s="65">
        <f t="shared" si="7"/>
        <v>2.6097737830142666E-2</v>
      </c>
      <c r="I129" s="65">
        <f t="shared" si="8"/>
        <v>0.25076405247857375</v>
      </c>
      <c r="J129" s="65">
        <f t="shared" si="9"/>
        <v>0.41917036803684998</v>
      </c>
      <c r="K129" s="82">
        <f t="shared" si="10"/>
        <v>1</v>
      </c>
      <c r="L129" s="60">
        <f t="shared" si="11"/>
        <v>2.6070398992588343E-2</v>
      </c>
      <c r="M129" s="60"/>
      <c r="N129" s="60"/>
      <c r="O129" s="60">
        <f t="shared" si="12"/>
        <v>-1.4668136109940405E-3</v>
      </c>
    </row>
    <row r="130" spans="1:15" x14ac:dyDescent="0.25">
      <c r="A130" s="74">
        <v>44725</v>
      </c>
      <c r="B130" s="75">
        <v>23.07</v>
      </c>
      <c r="C130" s="76">
        <v>0.23021119540701249</v>
      </c>
      <c r="D130" s="77">
        <v>27.29</v>
      </c>
      <c r="E130" s="76">
        <v>0.27275521555338778</v>
      </c>
      <c r="F130" s="75">
        <v>28</v>
      </c>
      <c r="G130" s="76">
        <v>0.27985144871729051</v>
      </c>
      <c r="H130" s="65">
        <f t="shared" si="7"/>
        <v>-2.7785501943862312E-2</v>
      </c>
      <c r="I130" s="65">
        <f t="shared" si="8"/>
        <v>0.22307286182899833</v>
      </c>
      <c r="J130" s="65">
        <f t="shared" si="9"/>
        <v>0.20910236670161644</v>
      </c>
      <c r="K130" s="82">
        <f t="shared" si="10"/>
        <v>0.7</v>
      </c>
      <c r="L130" s="60">
        <f t="shared" si="11"/>
        <v>-2.7826511601642439E-2</v>
      </c>
      <c r="M130" s="60"/>
      <c r="N130" s="60"/>
      <c r="O130" s="60">
        <f t="shared" si="12"/>
        <v>-2.1747866919150542E-2</v>
      </c>
    </row>
    <row r="131" spans="1:15" x14ac:dyDescent="0.25">
      <c r="A131" s="74">
        <v>44722</v>
      </c>
      <c r="B131" s="75">
        <v>23.72</v>
      </c>
      <c r="C131" s="76">
        <v>0.23670713035870511</v>
      </c>
      <c r="D131" s="77">
        <v>27.89</v>
      </c>
      <c r="E131" s="76">
        <v>0.27875489471234149</v>
      </c>
      <c r="F131" s="75">
        <v>29.2</v>
      </c>
      <c r="G131" s="76">
        <v>0.29184807908212163</v>
      </c>
      <c r="H131" s="65">
        <f t="shared" ref="H131:H194" si="13">LN(B131/B132)</f>
        <v>-1.1735256218420965E-2</v>
      </c>
      <c r="I131" s="65">
        <f t="shared" ref="I131:I194" si="14">STDEVA(H131:H150)*SQRT(260)</f>
        <v>0.21296463624939799</v>
      </c>
      <c r="J131" s="65">
        <f t="shared" ref="J131:J194" si="15">STDEVA(H131:H135)*SQRT(260)</f>
        <v>0.26963824208967396</v>
      </c>
      <c r="K131" s="82">
        <f t="shared" ref="K131:K194" si="16">_xlfn.PERCENTRANK.INC(I131:I151,I131,20)</f>
        <v>0.35</v>
      </c>
      <c r="L131" s="60">
        <f t="shared" ref="L131:L194" si="17">LN(C131/C132)</f>
        <v>-1.1748926478088001E-2</v>
      </c>
      <c r="M131" s="60"/>
      <c r="N131" s="60"/>
      <c r="O131" s="60">
        <f t="shared" ref="O131:O194" si="18">LN(D131/D132)</f>
        <v>-3.9363085358063024E-3</v>
      </c>
    </row>
    <row r="132" spans="1:15" x14ac:dyDescent="0.25">
      <c r="A132" s="74">
        <v>44721</v>
      </c>
      <c r="B132" s="75">
        <v>24</v>
      </c>
      <c r="C132" s="76">
        <v>0.23950458640346681</v>
      </c>
      <c r="D132" s="77">
        <v>28</v>
      </c>
      <c r="E132" s="76">
        <v>0.27985528031737011</v>
      </c>
      <c r="F132" s="75">
        <v>29.99</v>
      </c>
      <c r="G132" s="76">
        <v>0.29974499488278322</v>
      </c>
      <c r="H132" s="65">
        <f t="shared" si="13"/>
        <v>-3.3192967355763971E-2</v>
      </c>
      <c r="I132" s="65">
        <f t="shared" si="14"/>
        <v>0.22363175769789576</v>
      </c>
      <c r="J132" s="65">
        <f t="shared" si="15"/>
        <v>0.27490210806436666</v>
      </c>
      <c r="K132" s="82">
        <f t="shared" si="16"/>
        <v>0.7</v>
      </c>
      <c r="L132" s="60">
        <f t="shared" si="17"/>
        <v>-3.3206637802309077E-2</v>
      </c>
      <c r="M132" s="60"/>
      <c r="N132" s="60"/>
      <c r="O132" s="60">
        <f t="shared" si="18"/>
        <v>-3.0252043170520909E-2</v>
      </c>
    </row>
    <row r="133" spans="1:15" x14ac:dyDescent="0.25">
      <c r="A133" s="74">
        <v>44720</v>
      </c>
      <c r="B133" s="75">
        <v>24.81</v>
      </c>
      <c r="C133" s="76">
        <v>0.2475912508544087</v>
      </c>
      <c r="D133" s="77">
        <v>28.86</v>
      </c>
      <c r="E133" s="76">
        <v>0.28845182269382158</v>
      </c>
      <c r="F133" s="75">
        <v>30.8</v>
      </c>
      <c r="G133" s="76">
        <v>0.30784186205716241</v>
      </c>
      <c r="H133" s="65">
        <f t="shared" si="13"/>
        <v>-3.7964226960564069E-2</v>
      </c>
      <c r="I133" s="65">
        <f t="shared" si="14"/>
        <v>0.19851141144331805</v>
      </c>
      <c r="J133" s="65">
        <f t="shared" si="15"/>
        <v>0.25558616706218956</v>
      </c>
      <c r="K133" s="82">
        <f t="shared" si="16"/>
        <v>0.2</v>
      </c>
      <c r="L133" s="60">
        <f t="shared" si="17"/>
        <v>-3.7977897593993316E-2</v>
      </c>
      <c r="M133" s="60"/>
      <c r="N133" s="60"/>
      <c r="O133" s="60">
        <f t="shared" si="18"/>
        <v>-2.902713612879149E-2</v>
      </c>
    </row>
    <row r="134" spans="1:15" x14ac:dyDescent="0.25">
      <c r="A134" s="74">
        <v>44719</v>
      </c>
      <c r="B134" s="75">
        <v>25.77</v>
      </c>
      <c r="C134" s="76">
        <v>0.25717508099905673</v>
      </c>
      <c r="D134" s="77">
        <v>29.71</v>
      </c>
      <c r="E134" s="76">
        <v>0.29694847492204318</v>
      </c>
      <c r="F134" s="75">
        <v>32</v>
      </c>
      <c r="G134" s="76">
        <v>0.31983679560772071</v>
      </c>
      <c r="H134" s="65">
        <f t="shared" si="13"/>
        <v>-8.8855133572083422E-3</v>
      </c>
      <c r="I134" s="65">
        <f t="shared" si="14"/>
        <v>0.15324712201053403</v>
      </c>
      <c r="J134" s="65">
        <f t="shared" si="15"/>
        <v>8.096538929938156E-2</v>
      </c>
      <c r="K134" s="82">
        <f t="shared" si="16"/>
        <v>0</v>
      </c>
      <c r="L134" s="60">
        <f t="shared" si="17"/>
        <v>-8.8991841775258769E-3</v>
      </c>
      <c r="M134" s="60"/>
      <c r="N134" s="60"/>
      <c r="O134" s="60">
        <f t="shared" si="18"/>
        <v>-5.7056707901002425E-3</v>
      </c>
    </row>
    <row r="135" spans="1:15" x14ac:dyDescent="0.25">
      <c r="A135" s="74">
        <v>44718</v>
      </c>
      <c r="B135" s="75">
        <v>26</v>
      </c>
      <c r="C135" s="76">
        <v>0.25947394323836598</v>
      </c>
      <c r="D135" s="77">
        <v>29.88</v>
      </c>
      <c r="E135" s="76">
        <v>0.29864863014636422</v>
      </c>
      <c r="F135" s="75">
        <v>32</v>
      </c>
      <c r="G135" s="76">
        <v>0.31983789038432581</v>
      </c>
      <c r="H135" s="65">
        <f t="shared" si="13"/>
        <v>1.1545123468251002E-3</v>
      </c>
      <c r="I135" s="65">
        <f t="shared" si="14"/>
        <v>0.1756926500774913</v>
      </c>
      <c r="J135" s="65">
        <f t="shared" si="15"/>
        <v>7.7141570298324663E-2</v>
      </c>
      <c r="K135" s="82">
        <f t="shared" si="16"/>
        <v>0</v>
      </c>
      <c r="L135" s="60">
        <f t="shared" si="17"/>
        <v>1.1134987644876788E-3</v>
      </c>
      <c r="M135" s="60"/>
      <c r="N135" s="60"/>
      <c r="O135" s="60">
        <f t="shared" si="18"/>
        <v>2.0100509280241E-3</v>
      </c>
    </row>
    <row r="136" spans="1:15" x14ac:dyDescent="0.25">
      <c r="A136" s="74">
        <v>44715</v>
      </c>
      <c r="B136" s="75">
        <v>25.97</v>
      </c>
      <c r="C136" s="76">
        <v>0.25918518012167607</v>
      </c>
      <c r="D136" s="77">
        <v>29.82</v>
      </c>
      <c r="E136" s="76">
        <v>0.29805199472864502</v>
      </c>
      <c r="F136" s="75">
        <v>32.25</v>
      </c>
      <c r="G136" s="76">
        <v>0.3223399339369149</v>
      </c>
      <c r="H136" s="65">
        <f t="shared" si="13"/>
        <v>-8.8173850923941588E-3</v>
      </c>
      <c r="I136" s="65">
        <f t="shared" si="14"/>
        <v>0.18382072874609748</v>
      </c>
      <c r="J136" s="65">
        <f t="shared" si="15"/>
        <v>0.14342517549909167</v>
      </c>
      <c r="K136" s="82">
        <f t="shared" si="16"/>
        <v>0</v>
      </c>
      <c r="L136" s="60">
        <f t="shared" si="17"/>
        <v>-8.8310566603183142E-3</v>
      </c>
      <c r="M136" s="60"/>
      <c r="N136" s="60"/>
      <c r="O136" s="60">
        <f t="shared" si="18"/>
        <v>-1.4647399023617596E-2</v>
      </c>
    </row>
    <row r="137" spans="1:15" x14ac:dyDescent="0.25">
      <c r="A137" s="74">
        <v>44714</v>
      </c>
      <c r="B137" s="75">
        <v>26.2</v>
      </c>
      <c r="C137" s="76">
        <v>0.26148419555944441</v>
      </c>
      <c r="D137" s="77">
        <v>30.26</v>
      </c>
      <c r="E137" s="76">
        <v>0.30245084615805912</v>
      </c>
      <c r="F137" s="75">
        <v>32.4</v>
      </c>
      <c r="G137" s="76">
        <v>0.32384029793526481</v>
      </c>
      <c r="H137" s="65">
        <f t="shared" si="13"/>
        <v>0</v>
      </c>
      <c r="I137" s="65">
        <f t="shared" si="14"/>
        <v>0.1847314811086305</v>
      </c>
      <c r="J137" s="65">
        <f t="shared" si="15"/>
        <v>0.13573893100609738</v>
      </c>
      <c r="K137" s="82">
        <f t="shared" si="16"/>
        <v>0</v>
      </c>
      <c r="L137" s="60">
        <f t="shared" si="17"/>
        <v>-1.3671754838235512E-5</v>
      </c>
      <c r="M137" s="60"/>
      <c r="N137" s="60"/>
      <c r="O137" s="60">
        <f t="shared" si="18"/>
        <v>1.1299555253933466E-2</v>
      </c>
    </row>
    <row r="138" spans="1:15" x14ac:dyDescent="0.25">
      <c r="A138" s="74">
        <v>44713</v>
      </c>
      <c r="B138" s="75">
        <v>26.2</v>
      </c>
      <c r="C138" s="76">
        <v>0.26148777053169819</v>
      </c>
      <c r="D138" s="77">
        <v>29.92</v>
      </c>
      <c r="E138" s="76">
        <v>0.29905354569508769</v>
      </c>
      <c r="F138" s="75">
        <v>32</v>
      </c>
      <c r="G138" s="76">
        <v>0.3198433643797729</v>
      </c>
      <c r="H138" s="65">
        <f t="shared" si="13"/>
        <v>-3.81606568263887E-4</v>
      </c>
      <c r="I138" s="65">
        <f t="shared" si="14"/>
        <v>0.21686786187170012</v>
      </c>
      <c r="J138" s="65">
        <f t="shared" si="15"/>
        <v>0.16832735052421369</v>
      </c>
      <c r="K138" s="82">
        <f t="shared" si="16"/>
        <v>0.4</v>
      </c>
      <c r="L138" s="60">
        <f t="shared" si="17"/>
        <v>-3.9527851002162199E-4</v>
      </c>
      <c r="M138" s="60"/>
      <c r="N138" s="60"/>
      <c r="O138" s="60">
        <f t="shared" si="18"/>
        <v>-1.0021714551818129E-3</v>
      </c>
    </row>
    <row r="139" spans="1:15" x14ac:dyDescent="0.25">
      <c r="A139" s="74">
        <v>44712</v>
      </c>
      <c r="B139" s="75">
        <v>26.21</v>
      </c>
      <c r="C139" s="76">
        <v>0.26159115145880618</v>
      </c>
      <c r="D139" s="77">
        <v>29.95</v>
      </c>
      <c r="E139" s="76">
        <v>0.29935442353376102</v>
      </c>
      <c r="F139" s="75">
        <v>32.119999999999997</v>
      </c>
      <c r="G139" s="76">
        <v>0.32104387592335232</v>
      </c>
      <c r="H139" s="65">
        <f t="shared" si="13"/>
        <v>-7.9802817588642931E-3</v>
      </c>
      <c r="I139" s="65">
        <f t="shared" si="14"/>
        <v>0.21816589201109943</v>
      </c>
      <c r="J139" s="65">
        <f t="shared" si="15"/>
        <v>0.19265318958293423</v>
      </c>
      <c r="K139" s="82">
        <f t="shared" si="16"/>
        <v>0.45</v>
      </c>
      <c r="L139" s="60">
        <f t="shared" si="17"/>
        <v>-7.9939538875464441E-3</v>
      </c>
      <c r="M139" s="60"/>
      <c r="N139" s="60"/>
      <c r="O139" s="60">
        <f t="shared" si="18"/>
        <v>-1.5570962269688559E-2</v>
      </c>
    </row>
    <row r="140" spans="1:15" x14ac:dyDescent="0.25">
      <c r="A140" s="74">
        <v>44711</v>
      </c>
      <c r="B140" s="75">
        <v>26.42</v>
      </c>
      <c r="C140" s="76">
        <v>0.26369067964616288</v>
      </c>
      <c r="D140" s="77">
        <v>30.42</v>
      </c>
      <c r="E140" s="76">
        <v>0.304053179800165</v>
      </c>
      <c r="F140" s="75">
        <v>32.299999999999997</v>
      </c>
      <c r="G140" s="76">
        <v>0.32284410609945202</v>
      </c>
      <c r="H140" s="65">
        <f t="shared" si="13"/>
        <v>1.3336071148768856E-2</v>
      </c>
      <c r="I140" s="65">
        <f t="shared" si="14"/>
        <v>0.22044495246646731</v>
      </c>
      <c r="J140" s="65">
        <f t="shared" si="15"/>
        <v>0.18312874210114802</v>
      </c>
      <c r="K140" s="82">
        <f t="shared" si="16"/>
        <v>0.55000000000000004</v>
      </c>
      <c r="L140" s="60">
        <f t="shared" si="17"/>
        <v>1.3295053641123395E-2</v>
      </c>
      <c r="M140" s="60"/>
      <c r="N140" s="60"/>
      <c r="O140" s="60">
        <f t="shared" si="18"/>
        <v>1.5570962269688423E-2</v>
      </c>
    </row>
    <row r="141" spans="1:15" x14ac:dyDescent="0.25">
      <c r="A141" s="74">
        <v>44708</v>
      </c>
      <c r="B141" s="75">
        <v>26.07</v>
      </c>
      <c r="C141" s="76">
        <v>0.26020809975662451</v>
      </c>
      <c r="D141" s="77">
        <v>29.95</v>
      </c>
      <c r="E141" s="76">
        <v>0.29935852234218069</v>
      </c>
      <c r="F141" s="75">
        <v>31.9</v>
      </c>
      <c r="G141" s="76">
        <v>0.31884931094208901</v>
      </c>
      <c r="H141" s="65">
        <f t="shared" si="13"/>
        <v>-6.4997361304778107E-3</v>
      </c>
      <c r="I141" s="65">
        <f t="shared" si="14"/>
        <v>0.21228815728751055</v>
      </c>
      <c r="J141" s="65">
        <f t="shared" si="15"/>
        <v>0.20452207574046188</v>
      </c>
      <c r="K141" s="82">
        <f t="shared" si="16"/>
        <v>0.3</v>
      </c>
      <c r="L141" s="60">
        <f t="shared" si="17"/>
        <v>-6.5134090069092739E-3</v>
      </c>
      <c r="M141" s="60"/>
      <c r="N141" s="60"/>
      <c r="O141" s="60">
        <f t="shared" si="18"/>
        <v>-3.6660597633700618E-3</v>
      </c>
    </row>
    <row r="142" spans="1:15" x14ac:dyDescent="0.25">
      <c r="A142" s="74">
        <v>44707</v>
      </c>
      <c r="B142" s="75">
        <v>26.24</v>
      </c>
      <c r="C142" s="76">
        <v>0.26190847313945059</v>
      </c>
      <c r="D142" s="77">
        <v>30.06</v>
      </c>
      <c r="E142" s="76">
        <v>0.30045903120796058</v>
      </c>
      <c r="F142" s="75">
        <v>31.7</v>
      </c>
      <c r="G142" s="76">
        <v>0.31685134029582013</v>
      </c>
      <c r="H142" s="65">
        <f t="shared" si="13"/>
        <v>1.3428170312441982E-2</v>
      </c>
      <c r="I142" s="65">
        <f t="shared" si="14"/>
        <v>0.21346533314922386</v>
      </c>
      <c r="J142" s="65">
        <f t="shared" si="15"/>
        <v>0.20155558819455649</v>
      </c>
      <c r="K142" s="82">
        <f t="shared" si="16"/>
        <v>0.4</v>
      </c>
      <c r="L142" s="60">
        <f t="shared" si="17"/>
        <v>1.340082399872302E-2</v>
      </c>
      <c r="M142" s="60"/>
      <c r="N142" s="60"/>
      <c r="O142" s="60">
        <f t="shared" si="18"/>
        <v>1.2385095549159919E-2</v>
      </c>
    </row>
    <row r="143" spans="1:15" x14ac:dyDescent="0.25">
      <c r="A143" s="74">
        <v>44705</v>
      </c>
      <c r="B143" s="75">
        <v>25.89</v>
      </c>
      <c r="C143" s="76">
        <v>0.25842209612360711</v>
      </c>
      <c r="D143" s="77">
        <v>29.69</v>
      </c>
      <c r="E143" s="76">
        <v>0.29676279802146271</v>
      </c>
      <c r="F143" s="75">
        <v>31.21</v>
      </c>
      <c r="G143" s="76">
        <v>0.31195577387166901</v>
      </c>
      <c r="H143" s="65">
        <f t="shared" si="13"/>
        <v>-1.0374732825551704E-2</v>
      </c>
      <c r="I143" s="65">
        <f t="shared" si="14"/>
        <v>0.20247266465498431</v>
      </c>
      <c r="J143" s="65">
        <f t="shared" si="15"/>
        <v>0.15745158618495009</v>
      </c>
      <c r="K143" s="82">
        <f t="shared" si="16"/>
        <v>0.2</v>
      </c>
      <c r="L143" s="60">
        <f t="shared" si="17"/>
        <v>-1.0388406262848688E-2</v>
      </c>
      <c r="M143" s="60"/>
      <c r="N143" s="60"/>
      <c r="O143" s="60">
        <f t="shared" si="18"/>
        <v>-3.3675703298546492E-4</v>
      </c>
    </row>
    <row r="144" spans="1:15" x14ac:dyDescent="0.25">
      <c r="A144" s="74">
        <v>44704</v>
      </c>
      <c r="B144" s="75">
        <v>26.16</v>
      </c>
      <c r="C144" s="76">
        <v>0.26112068258265653</v>
      </c>
      <c r="D144" s="77">
        <v>29.7</v>
      </c>
      <c r="E144" s="76">
        <v>0.29686376799687808</v>
      </c>
      <c r="F144" s="75">
        <v>31.54</v>
      </c>
      <c r="G144" s="76">
        <v>0.31525532803439521</v>
      </c>
      <c r="H144" s="65">
        <f t="shared" si="13"/>
        <v>8.830927038424986E-3</v>
      </c>
      <c r="I144" s="65">
        <f t="shared" si="14"/>
        <v>0.21461217596731375</v>
      </c>
      <c r="J144" s="65">
        <f t="shared" si="15"/>
        <v>0.1466973118584643</v>
      </c>
      <c r="K144" s="82">
        <f t="shared" si="16"/>
        <v>0.35</v>
      </c>
      <c r="L144" s="60">
        <f t="shared" si="17"/>
        <v>8.7899056047199622E-3</v>
      </c>
      <c r="M144" s="60"/>
      <c r="N144" s="60"/>
      <c r="O144" s="60">
        <f t="shared" si="18"/>
        <v>1.3559529785632294E-2</v>
      </c>
    </row>
    <row r="145" spans="1:15" x14ac:dyDescent="0.25">
      <c r="A145" s="74">
        <v>44701</v>
      </c>
      <c r="B145" s="75">
        <v>25.93</v>
      </c>
      <c r="C145" s="76">
        <v>0.25883551435095931</v>
      </c>
      <c r="D145" s="77">
        <v>29.3</v>
      </c>
      <c r="E145" s="76">
        <v>0.29286861031523531</v>
      </c>
      <c r="F145" s="75">
        <v>31.5</v>
      </c>
      <c r="G145" s="76">
        <v>0.31485874487815402</v>
      </c>
      <c r="H145" s="65">
        <f t="shared" si="13"/>
        <v>-1.6067675436798365E-2</v>
      </c>
      <c r="I145" s="65">
        <f t="shared" si="14"/>
        <v>0.21881236348923788</v>
      </c>
      <c r="J145" s="65">
        <f t="shared" si="15"/>
        <v>0.13639999863210281</v>
      </c>
      <c r="K145" s="82">
        <f t="shared" si="16"/>
        <v>0.4</v>
      </c>
      <c r="L145" s="60">
        <f t="shared" si="17"/>
        <v>-1.6081349621987536E-2</v>
      </c>
      <c r="M145" s="60"/>
      <c r="N145" s="60"/>
      <c r="O145" s="60">
        <f t="shared" si="18"/>
        <v>-2.2275642625997152E-2</v>
      </c>
    </row>
    <row r="146" spans="1:15" x14ac:dyDescent="0.25">
      <c r="A146" s="74">
        <v>44700</v>
      </c>
      <c r="B146" s="75">
        <v>26.35</v>
      </c>
      <c r="C146" s="76">
        <v>0.26303158758375489</v>
      </c>
      <c r="D146" s="77">
        <v>29.96</v>
      </c>
      <c r="E146" s="76">
        <v>0.29946667579502279</v>
      </c>
      <c r="F146" s="75">
        <v>31.8</v>
      </c>
      <c r="G146" s="76">
        <v>0.31785848765960362</v>
      </c>
      <c r="H146" s="65">
        <f t="shared" si="13"/>
        <v>1.5191799351701308E-3</v>
      </c>
      <c r="I146" s="65">
        <f t="shared" si="14"/>
        <v>0.22560454267103522</v>
      </c>
      <c r="J146" s="65">
        <f t="shared" si="15"/>
        <v>0.13979476763744986</v>
      </c>
      <c r="K146" s="82">
        <f t="shared" si="16"/>
        <v>0.65</v>
      </c>
      <c r="L146" s="60">
        <f t="shared" si="17"/>
        <v>1.4918310038274972E-3</v>
      </c>
      <c r="M146" s="60"/>
      <c r="N146" s="60"/>
      <c r="O146" s="60">
        <f t="shared" si="18"/>
        <v>8.7161128403647776E-3</v>
      </c>
    </row>
    <row r="147" spans="1:15" x14ac:dyDescent="0.25">
      <c r="A147" s="74">
        <v>44698</v>
      </c>
      <c r="B147" s="75">
        <v>26.31</v>
      </c>
      <c r="C147" s="76">
        <v>0.26263948145717098</v>
      </c>
      <c r="D147" s="77">
        <v>29.7</v>
      </c>
      <c r="E147" s="76">
        <v>0.29686986526454162</v>
      </c>
      <c r="F147" s="75">
        <v>31.6</v>
      </c>
      <c r="G147" s="76">
        <v>0.31586154014678502</v>
      </c>
      <c r="H147" s="65">
        <f t="shared" si="13"/>
        <v>-3.7936312568395032E-3</v>
      </c>
      <c r="I147" s="65">
        <f t="shared" si="14"/>
        <v>0.22382921929752353</v>
      </c>
      <c r="J147" s="65">
        <f t="shared" si="15"/>
        <v>0.19845513740629678</v>
      </c>
      <c r="K147" s="82">
        <f t="shared" si="16"/>
        <v>0.6</v>
      </c>
      <c r="L147" s="60">
        <f t="shared" si="17"/>
        <v>-3.8073060030023166E-3</v>
      </c>
      <c r="M147" s="60"/>
      <c r="N147" s="60"/>
      <c r="O147" s="60">
        <f t="shared" si="18"/>
        <v>-1.1049836186585046E-2</v>
      </c>
    </row>
    <row r="148" spans="1:15" x14ac:dyDescent="0.25">
      <c r="A148" s="74">
        <v>44697</v>
      </c>
      <c r="B148" s="75">
        <v>26.41</v>
      </c>
      <c r="C148" s="76">
        <v>0.26364133630533182</v>
      </c>
      <c r="D148" s="77">
        <v>30.03</v>
      </c>
      <c r="E148" s="76">
        <v>0.30016944685017127</v>
      </c>
      <c r="F148" s="75">
        <v>31.7</v>
      </c>
      <c r="G148" s="76">
        <v>0.31686218665169602</v>
      </c>
      <c r="H148" s="65">
        <f t="shared" si="13"/>
        <v>-3.40200668313563E-3</v>
      </c>
      <c r="I148" s="65">
        <f t="shared" si="14"/>
        <v>0.22369498945260055</v>
      </c>
      <c r="J148" s="65">
        <f t="shared" si="15"/>
        <v>0.19778307606008586</v>
      </c>
      <c r="K148" s="82">
        <f t="shared" si="16"/>
        <v>0.6</v>
      </c>
      <c r="L148" s="60">
        <f t="shared" si="17"/>
        <v>-3.4430320436518265E-3</v>
      </c>
      <c r="M148" s="60"/>
      <c r="N148" s="60"/>
      <c r="O148" s="60">
        <f t="shared" si="18"/>
        <v>-3.6563112031104319E-3</v>
      </c>
    </row>
    <row r="149" spans="1:15" x14ac:dyDescent="0.25">
      <c r="A149" s="74">
        <v>44694</v>
      </c>
      <c r="B149" s="75">
        <v>26.5</v>
      </c>
      <c r="C149" s="76">
        <v>0.26455062633335158</v>
      </c>
      <c r="D149" s="77">
        <v>30.14</v>
      </c>
      <c r="E149" s="76">
        <v>0.30127206254878058</v>
      </c>
      <c r="F149" s="75">
        <v>32.049999999999997</v>
      </c>
      <c r="G149" s="76">
        <v>0.32036395503279419</v>
      </c>
      <c r="H149" s="65">
        <f t="shared" si="13"/>
        <v>-1.7580404159462021E-2</v>
      </c>
      <c r="I149" s="65">
        <f t="shared" si="14"/>
        <v>0.23051880249303366</v>
      </c>
      <c r="J149" s="65">
        <f t="shared" si="15"/>
        <v>0.20107025174582266</v>
      </c>
      <c r="K149" s="82">
        <f t="shared" si="16"/>
        <v>0.85</v>
      </c>
      <c r="L149" s="60">
        <f t="shared" si="17"/>
        <v>-1.7594079653660527E-2</v>
      </c>
      <c r="M149" s="60"/>
      <c r="N149" s="60"/>
      <c r="O149" s="60">
        <f t="shared" si="18"/>
        <v>-1.1873490415016548E-2</v>
      </c>
    </row>
    <row r="150" spans="1:15" x14ac:dyDescent="0.25">
      <c r="A150" s="74">
        <v>44693</v>
      </c>
      <c r="B150" s="75">
        <v>26.97</v>
      </c>
      <c r="C150" s="76">
        <v>0.26924633836139111</v>
      </c>
      <c r="D150" s="77">
        <v>30.5</v>
      </c>
      <c r="E150" s="76">
        <v>0.30487157806814252</v>
      </c>
      <c r="F150" s="75">
        <v>32.6</v>
      </c>
      <c r="G150" s="76">
        <v>0.32586273590234249</v>
      </c>
      <c r="H150" s="65">
        <f t="shared" si="13"/>
        <v>-1.6912167797873242E-2</v>
      </c>
      <c r="I150" s="65">
        <f t="shared" si="14"/>
        <v>0.2340290467402161</v>
      </c>
      <c r="J150" s="65">
        <f t="shared" si="15"/>
        <v>0.24519517044051375</v>
      </c>
      <c r="K150" s="82">
        <f t="shared" si="16"/>
        <v>1</v>
      </c>
      <c r="L150" s="60">
        <f t="shared" si="17"/>
        <v>-1.6925843479093469E-2</v>
      </c>
      <c r="M150" s="60"/>
      <c r="N150" s="60"/>
      <c r="O150" s="60">
        <f t="shared" si="18"/>
        <v>-1.8516039791590114E-2</v>
      </c>
    </row>
    <row r="151" spans="1:15" x14ac:dyDescent="0.25">
      <c r="A151" s="74">
        <v>44692</v>
      </c>
      <c r="B151" s="75">
        <v>27.43</v>
      </c>
      <c r="C151" s="76">
        <v>0.27384234566888221</v>
      </c>
      <c r="D151" s="77">
        <v>31.07</v>
      </c>
      <c r="E151" s="76">
        <v>0.31057024120059429</v>
      </c>
      <c r="F151" s="75">
        <v>32.799999999999997</v>
      </c>
      <c r="G151" s="76">
        <v>0.3278630161370934</v>
      </c>
      <c r="H151" s="65">
        <f t="shared" si="13"/>
        <v>1.2472648852508154E-2</v>
      </c>
      <c r="I151" s="65">
        <f t="shared" si="14"/>
        <v>0.22931807311018274</v>
      </c>
      <c r="J151" s="65">
        <f t="shared" si="15"/>
        <v>0.25316670941893954</v>
      </c>
      <c r="K151" s="82">
        <f t="shared" si="16"/>
        <v>0.9</v>
      </c>
      <c r="L151" s="60">
        <f t="shared" si="17"/>
        <v>1.2458972984261489E-2</v>
      </c>
      <c r="M151" s="60"/>
      <c r="N151" s="60"/>
      <c r="O151" s="60">
        <f t="shared" si="18"/>
        <v>8.7280334254272399E-3</v>
      </c>
    </row>
    <row r="152" spans="1:15" x14ac:dyDescent="0.25">
      <c r="A152" s="74">
        <v>44691</v>
      </c>
      <c r="B152" s="75">
        <v>27.09</v>
      </c>
      <c r="C152" s="76">
        <v>0.27045171701699922</v>
      </c>
      <c r="D152" s="77">
        <v>30.8</v>
      </c>
      <c r="E152" s="76">
        <v>0.30787242272893772</v>
      </c>
      <c r="F152" s="75">
        <v>32.5</v>
      </c>
      <c r="G152" s="76">
        <v>0.32485295476874299</v>
      </c>
      <c r="H152" s="65">
        <f t="shared" si="13"/>
        <v>-5.1546505886645375E-3</v>
      </c>
      <c r="I152" s="65">
        <f t="shared" si="14"/>
        <v>0.22103152423748507</v>
      </c>
      <c r="J152" s="65">
        <f t="shared" si="15"/>
        <v>0.20490741464533047</v>
      </c>
      <c r="K152" s="82">
        <f t="shared" si="16"/>
        <v>0.75</v>
      </c>
      <c r="L152" s="60">
        <f t="shared" si="17"/>
        <v>-5.1683266439432963E-3</v>
      </c>
      <c r="M152" s="60"/>
      <c r="N152" s="60"/>
      <c r="O152" s="60">
        <f t="shared" si="18"/>
        <v>-6.4913991244087597E-4</v>
      </c>
    </row>
    <row r="153" spans="1:15" x14ac:dyDescent="0.25">
      <c r="A153" s="74">
        <v>44690</v>
      </c>
      <c r="B153" s="75">
        <v>27.23</v>
      </c>
      <c r="C153" s="76">
        <v>0.27185311816192559</v>
      </c>
      <c r="D153" s="77">
        <v>30.82</v>
      </c>
      <c r="E153" s="76">
        <v>0.30807339449541282</v>
      </c>
      <c r="F153" s="75">
        <v>32.700000000000003</v>
      </c>
      <c r="G153" s="76">
        <v>0.32686567164179109</v>
      </c>
      <c r="H153" s="65">
        <f t="shared" si="13"/>
        <v>-7.3421442358478505E-4</v>
      </c>
      <c r="I153" s="65">
        <f t="shared" si="14"/>
        <v>0.22844316408470797</v>
      </c>
      <c r="J153" s="65">
        <f t="shared" si="15"/>
        <v>0.34378097679270947</v>
      </c>
      <c r="K153" s="82">
        <f t="shared" si="16"/>
        <v>0.9</v>
      </c>
      <c r="L153" s="60">
        <f t="shared" si="17"/>
        <v>-7.7524371166385556E-4</v>
      </c>
      <c r="M153" s="60"/>
      <c r="N153" s="60"/>
      <c r="O153" s="60">
        <f t="shared" si="18"/>
        <v>-9.729204594271175E-4</v>
      </c>
    </row>
    <row r="154" spans="1:15" x14ac:dyDescent="0.25">
      <c r="A154" s="74">
        <v>44687</v>
      </c>
      <c r="B154" s="75">
        <v>27.25</v>
      </c>
      <c r="C154" s="76">
        <v>0.27206395229563568</v>
      </c>
      <c r="D154" s="77">
        <v>30.85</v>
      </c>
      <c r="E154" s="76">
        <v>0.30837643820797828</v>
      </c>
      <c r="F154" s="75">
        <v>32.6</v>
      </c>
      <c r="G154" s="76">
        <v>0.32586942903014893</v>
      </c>
      <c r="H154" s="65">
        <f t="shared" si="13"/>
        <v>-2.715098906595086E-2</v>
      </c>
      <c r="I154" s="65">
        <f t="shared" si="14"/>
        <v>0.22774893987486383</v>
      </c>
      <c r="J154" s="65">
        <f t="shared" si="15"/>
        <v>0.34522196801972305</v>
      </c>
      <c r="K154" s="82">
        <f t="shared" si="16"/>
        <v>0.9</v>
      </c>
      <c r="L154" s="60">
        <f t="shared" si="17"/>
        <v>-2.7164665869408747E-2</v>
      </c>
      <c r="M154" s="60"/>
      <c r="N154" s="60"/>
      <c r="O154" s="60">
        <f t="shared" si="18"/>
        <v>-3.4722392435469596E-2</v>
      </c>
    </row>
    <row r="155" spans="1:15" x14ac:dyDescent="0.25">
      <c r="A155" s="74">
        <v>44686</v>
      </c>
      <c r="B155" s="75">
        <v>28</v>
      </c>
      <c r="C155" s="76">
        <v>0.27955577438590729</v>
      </c>
      <c r="D155" s="77">
        <v>31.94</v>
      </c>
      <c r="E155" s="76">
        <v>0.31927316545481932</v>
      </c>
      <c r="F155" s="75">
        <v>33.119999999999997</v>
      </c>
      <c r="G155" s="76">
        <v>0.33106847964507252</v>
      </c>
      <c r="H155" s="65">
        <f t="shared" si="13"/>
        <v>-1.9802627296179643E-2</v>
      </c>
      <c r="I155" s="65">
        <f t="shared" si="14"/>
        <v>0.21268331521135841</v>
      </c>
      <c r="J155" s="65">
        <f t="shared" si="15"/>
        <v>0.29988410353436218</v>
      </c>
      <c r="K155" s="82">
        <f t="shared" si="16"/>
        <v>0.35</v>
      </c>
      <c r="L155" s="60">
        <f t="shared" si="17"/>
        <v>-1.9816304286694918E-2</v>
      </c>
      <c r="M155" s="60"/>
      <c r="N155" s="60"/>
      <c r="O155" s="60">
        <f t="shared" si="18"/>
        <v>-1.7380946548825355E-2</v>
      </c>
    </row>
    <row r="156" spans="1:15" x14ac:dyDescent="0.25">
      <c r="A156" s="74">
        <v>44685</v>
      </c>
      <c r="B156" s="75">
        <v>28.56</v>
      </c>
      <c r="C156" s="76">
        <v>0.28515078985160358</v>
      </c>
      <c r="D156" s="77">
        <v>32.5</v>
      </c>
      <c r="E156" s="76">
        <v>0.32487205381442241</v>
      </c>
      <c r="F156" s="75">
        <v>33.229999999999997</v>
      </c>
      <c r="G156" s="76">
        <v>0.332169179946254</v>
      </c>
      <c r="H156" s="65">
        <f t="shared" si="13"/>
        <v>2.1030501967786684E-3</v>
      </c>
      <c r="I156" s="65">
        <f t="shared" si="14"/>
        <v>0.20665338133083269</v>
      </c>
      <c r="J156" s="65">
        <f t="shared" si="15"/>
        <v>0.27324766717734617</v>
      </c>
      <c r="K156" s="82">
        <f t="shared" si="16"/>
        <v>0.3</v>
      </c>
      <c r="L156" s="60">
        <f t="shared" si="17"/>
        <v>2.0893730192008174E-3</v>
      </c>
      <c r="M156" s="60"/>
      <c r="N156" s="60"/>
      <c r="O156" s="60">
        <f t="shared" si="18"/>
        <v>1.8007316754083826E-2</v>
      </c>
    </row>
    <row r="157" spans="1:15" x14ac:dyDescent="0.25">
      <c r="A157" s="74">
        <v>44684</v>
      </c>
      <c r="B157" s="75">
        <v>28.5</v>
      </c>
      <c r="C157" s="76">
        <v>0.2845556254616079</v>
      </c>
      <c r="D157" s="77">
        <v>31.92</v>
      </c>
      <c r="E157" s="76">
        <v>0.3190754294556235</v>
      </c>
      <c r="F157" s="75">
        <v>33.35</v>
      </c>
      <c r="G157" s="76">
        <v>0.33336984875767678</v>
      </c>
      <c r="H157" s="65">
        <f t="shared" si="13"/>
        <v>2.738922764691815E-2</v>
      </c>
      <c r="I157" s="65">
        <f t="shared" si="14"/>
        <v>0.21307619694713206</v>
      </c>
      <c r="J157" s="65">
        <f t="shared" si="15"/>
        <v>0.27299645119036564</v>
      </c>
      <c r="K157" s="82">
        <f t="shared" si="16"/>
        <v>0.3</v>
      </c>
      <c r="L157" s="60">
        <f t="shared" si="17"/>
        <v>2.7375550282272541E-2</v>
      </c>
      <c r="M157" s="60"/>
      <c r="N157" s="60"/>
      <c r="O157" s="60">
        <f t="shared" si="18"/>
        <v>1.007565198874164E-2</v>
      </c>
    </row>
    <row r="158" spans="1:15" x14ac:dyDescent="0.25">
      <c r="A158" s="74">
        <v>44683</v>
      </c>
      <c r="B158" s="75">
        <v>27.73</v>
      </c>
      <c r="C158" s="76">
        <v>0.27687141821563882</v>
      </c>
      <c r="D158" s="77">
        <v>31.6</v>
      </c>
      <c r="E158" s="76">
        <v>0.31587775963411419</v>
      </c>
      <c r="F158" s="75">
        <v>32.89</v>
      </c>
      <c r="G158" s="76">
        <v>0.32877276944196249</v>
      </c>
      <c r="H158" s="65">
        <f t="shared" si="13"/>
        <v>-1.0046729644330501E-2</v>
      </c>
      <c r="I158" s="65">
        <f t="shared" si="14"/>
        <v>0.18221188867921365</v>
      </c>
      <c r="J158" s="65">
        <f t="shared" si="15"/>
        <v>9.6822701150048235E-2</v>
      </c>
      <c r="K158" s="82">
        <f t="shared" si="16"/>
        <v>0</v>
      </c>
      <c r="L158" s="60">
        <f t="shared" si="17"/>
        <v>-1.0087762860724809E-2</v>
      </c>
      <c r="M158" s="60"/>
      <c r="N158" s="60"/>
      <c r="O158" s="60">
        <f t="shared" si="18"/>
        <v>-9.4488891979323964E-3</v>
      </c>
    </row>
    <row r="159" spans="1:15" x14ac:dyDescent="0.25">
      <c r="A159" s="74">
        <v>44680</v>
      </c>
      <c r="B159" s="75">
        <v>28.01</v>
      </c>
      <c r="C159" s="76">
        <v>0.27967856654356449</v>
      </c>
      <c r="D159" s="77">
        <v>31.9</v>
      </c>
      <c r="E159" s="76">
        <v>0.3188798740200609</v>
      </c>
      <c r="F159" s="75">
        <v>33.15</v>
      </c>
      <c r="G159" s="76">
        <v>0.33137516688918561</v>
      </c>
      <c r="H159" s="65">
        <f t="shared" si="13"/>
        <v>-1.3123082459879407E-2</v>
      </c>
      <c r="I159" s="65">
        <f t="shared" si="14"/>
        <v>0.18496428103286805</v>
      </c>
      <c r="J159" s="65">
        <f t="shared" si="15"/>
        <v>0.1860994062998369</v>
      </c>
      <c r="K159" s="82">
        <f t="shared" si="16"/>
        <v>0</v>
      </c>
      <c r="L159" s="60">
        <f t="shared" si="17"/>
        <v>-1.3136760572847361E-2</v>
      </c>
      <c r="M159" s="60"/>
      <c r="N159" s="60"/>
      <c r="O159" s="60">
        <f t="shared" si="18"/>
        <v>-1.3389581946542875E-2</v>
      </c>
    </row>
    <row r="160" spans="1:15" x14ac:dyDescent="0.25">
      <c r="A160" s="74">
        <v>44679</v>
      </c>
      <c r="B160" s="75">
        <v>28.38</v>
      </c>
      <c r="C160" s="76">
        <v>0.28337687562406821</v>
      </c>
      <c r="D160" s="77">
        <v>32.33</v>
      </c>
      <c r="E160" s="76">
        <v>0.32317936112889373</v>
      </c>
      <c r="F160" s="75">
        <v>33.200000000000003</v>
      </c>
      <c r="G160" s="76">
        <v>0.33187611473799172</v>
      </c>
      <c r="H160" s="65">
        <f t="shared" si="13"/>
        <v>-1.1212451033678867E-2</v>
      </c>
      <c r="I160" s="65">
        <f t="shared" si="14"/>
        <v>0.18898950256407065</v>
      </c>
      <c r="J160" s="65">
        <f t="shared" si="15"/>
        <v>0.22948150606376475</v>
      </c>
      <c r="K160" s="82">
        <f t="shared" si="16"/>
        <v>0</v>
      </c>
      <c r="L160" s="60">
        <f t="shared" si="17"/>
        <v>-1.1226129333739548E-2</v>
      </c>
      <c r="M160" s="60"/>
      <c r="N160" s="60"/>
      <c r="O160" s="60">
        <f t="shared" si="18"/>
        <v>-9.5429383585645677E-3</v>
      </c>
    </row>
    <row r="161" spans="1:15" x14ac:dyDescent="0.25">
      <c r="A161" s="74">
        <v>44678</v>
      </c>
      <c r="B161" s="75">
        <v>28.7</v>
      </c>
      <c r="C161" s="76">
        <v>0.28657602451168129</v>
      </c>
      <c r="D161" s="77">
        <v>32.64</v>
      </c>
      <c r="E161" s="76">
        <v>0.32627932134689908</v>
      </c>
      <c r="F161" s="75">
        <v>33.35</v>
      </c>
      <c r="G161" s="76">
        <v>0.33337669629041322</v>
      </c>
      <c r="H161" s="65">
        <f t="shared" si="13"/>
        <v>1.7436796048268374E-3</v>
      </c>
      <c r="I161" s="65">
        <f t="shared" si="14"/>
        <v>0.20223906392607652</v>
      </c>
      <c r="J161" s="65">
        <f t="shared" si="15"/>
        <v>0.26886624782704438</v>
      </c>
      <c r="K161" s="82">
        <f t="shared" si="16"/>
        <v>0</v>
      </c>
      <c r="L161" s="60">
        <f t="shared" si="17"/>
        <v>1.7300011176672075E-3</v>
      </c>
      <c r="M161" s="60"/>
      <c r="N161" s="60"/>
      <c r="O161" s="60">
        <f t="shared" si="18"/>
        <v>2.4539889615665658E-3</v>
      </c>
    </row>
    <row r="162" spans="1:15" x14ac:dyDescent="0.25">
      <c r="A162" s="74">
        <v>44677</v>
      </c>
      <c r="B162" s="75">
        <v>28.65</v>
      </c>
      <c r="C162" s="76">
        <v>0.28608067626903028</v>
      </c>
      <c r="D162" s="77">
        <v>32.56</v>
      </c>
      <c r="E162" s="76">
        <v>0.3254807313758315</v>
      </c>
      <c r="F162" s="75">
        <v>33.409999999999997</v>
      </c>
      <c r="G162" s="76">
        <v>0.33397761779074098</v>
      </c>
      <c r="H162" s="65">
        <f t="shared" si="13"/>
        <v>-4.8746614633359076E-3</v>
      </c>
      <c r="I162" s="65">
        <f t="shared" si="14"/>
        <v>0.21560148003709445</v>
      </c>
      <c r="J162" s="65">
        <f t="shared" si="15"/>
        <v>0.25773017215342953</v>
      </c>
      <c r="K162" s="82">
        <f t="shared" si="16"/>
        <v>0.25</v>
      </c>
      <c r="L162" s="60">
        <f t="shared" si="17"/>
        <v>-4.8883401375994602E-3</v>
      </c>
      <c r="M162" s="60"/>
      <c r="N162" s="60"/>
      <c r="O162" s="60">
        <f t="shared" si="18"/>
        <v>-1.0388116636986498E-2</v>
      </c>
    </row>
    <row r="163" spans="1:15" x14ac:dyDescent="0.25">
      <c r="A163" s="74">
        <v>44676</v>
      </c>
      <c r="B163" s="75">
        <v>28.79</v>
      </c>
      <c r="C163" s="76">
        <v>0.28748255957103391</v>
      </c>
      <c r="D163" s="77">
        <v>32.9</v>
      </c>
      <c r="E163" s="76">
        <v>0.32888061183269091</v>
      </c>
      <c r="F163" s="75">
        <v>33.4</v>
      </c>
      <c r="G163" s="76">
        <v>0.33387879742285331</v>
      </c>
      <c r="H163" s="65">
        <f t="shared" si="13"/>
        <v>1.5401074450323252E-2</v>
      </c>
      <c r="I163" s="65">
        <f t="shared" si="14"/>
        <v>0.23259869634723918</v>
      </c>
      <c r="J163" s="65">
        <f t="shared" si="15"/>
        <v>0.25561679295109513</v>
      </c>
      <c r="K163" s="82">
        <f t="shared" si="16"/>
        <v>0.55000000000000004</v>
      </c>
      <c r="L163" s="60">
        <f t="shared" si="17"/>
        <v>1.5360037304861624E-2</v>
      </c>
      <c r="M163" s="60"/>
      <c r="N163" s="60"/>
      <c r="O163" s="60">
        <f t="shared" si="18"/>
        <v>2.2438316520391202E-2</v>
      </c>
    </row>
    <row r="164" spans="1:15" x14ac:dyDescent="0.25">
      <c r="A164" s="74">
        <v>44673</v>
      </c>
      <c r="B164" s="75">
        <v>28.35</v>
      </c>
      <c r="C164" s="76">
        <v>0.28310055674869711</v>
      </c>
      <c r="D164" s="77">
        <v>32.17</v>
      </c>
      <c r="E164" s="76">
        <v>0.32158656364364618</v>
      </c>
      <c r="F164" s="75">
        <v>32.9</v>
      </c>
      <c r="G164" s="76">
        <v>0.32888398955163067</v>
      </c>
      <c r="H164" s="65">
        <f t="shared" si="13"/>
        <v>-2.2668799812712939E-2</v>
      </c>
      <c r="I164" s="65">
        <f t="shared" si="14"/>
        <v>0.2336476962300327</v>
      </c>
      <c r="J164" s="65">
        <f t="shared" si="15"/>
        <v>0.21641618397330253</v>
      </c>
      <c r="K164" s="82">
        <f t="shared" si="16"/>
        <v>0.6</v>
      </c>
      <c r="L164" s="60">
        <f t="shared" si="17"/>
        <v>-2.2682479235441512E-2</v>
      </c>
      <c r="M164" s="60"/>
      <c r="N164" s="60"/>
      <c r="O164" s="60">
        <f t="shared" si="18"/>
        <v>-2.5473220215545253E-2</v>
      </c>
    </row>
    <row r="165" spans="1:15" x14ac:dyDescent="0.25">
      <c r="A165" s="74">
        <v>44672</v>
      </c>
      <c r="B165" s="75">
        <v>29</v>
      </c>
      <c r="C165" s="76">
        <v>0.28959535990807372</v>
      </c>
      <c r="D165" s="77">
        <v>33</v>
      </c>
      <c r="E165" s="76">
        <v>0.32988476628027202</v>
      </c>
      <c r="F165" s="75">
        <v>33.96</v>
      </c>
      <c r="G165" s="76">
        <v>0.33948141402660709</v>
      </c>
      <c r="H165" s="65">
        <f t="shared" si="13"/>
        <v>-2.3851215822179909E-2</v>
      </c>
      <c r="I165" s="65">
        <f t="shared" si="14"/>
        <v>0.22416914648133326</v>
      </c>
      <c r="J165" s="65">
        <f t="shared" si="15"/>
        <v>0.23097935793975546</v>
      </c>
      <c r="K165" s="82">
        <f t="shared" si="16"/>
        <v>0.4</v>
      </c>
      <c r="L165" s="60">
        <f t="shared" si="17"/>
        <v>-2.3864895432037545E-2</v>
      </c>
      <c r="M165" s="60"/>
      <c r="N165" s="60"/>
      <c r="O165" s="60">
        <f t="shared" si="18"/>
        <v>-1.8018505502678365E-2</v>
      </c>
    </row>
    <row r="166" spans="1:15" x14ac:dyDescent="0.25">
      <c r="A166" s="74">
        <v>44671</v>
      </c>
      <c r="B166" s="75">
        <v>29.7</v>
      </c>
      <c r="C166" s="76">
        <v>0.29658964993638942</v>
      </c>
      <c r="D166" s="77">
        <v>33.6</v>
      </c>
      <c r="E166" s="76">
        <v>0.33588382100711739</v>
      </c>
      <c r="F166" s="75">
        <v>34.5</v>
      </c>
      <c r="G166" s="76">
        <v>0.34488070906980811</v>
      </c>
      <c r="H166" s="65">
        <f t="shared" si="13"/>
        <v>-7.3801072976226456E-3</v>
      </c>
      <c r="I166" s="65">
        <f t="shared" si="14"/>
        <v>0.20541096559701702</v>
      </c>
      <c r="J166" s="65">
        <f t="shared" si="15"/>
        <v>0.14954653416014876</v>
      </c>
      <c r="K166" s="82">
        <f t="shared" si="16"/>
        <v>0</v>
      </c>
      <c r="L166" s="60">
        <f t="shared" si="17"/>
        <v>-7.3937870946145512E-3</v>
      </c>
      <c r="M166" s="60"/>
      <c r="N166" s="60"/>
      <c r="O166" s="60">
        <f t="shared" si="18"/>
        <v>-2.9717703891574817E-3</v>
      </c>
    </row>
    <row r="167" spans="1:15" x14ac:dyDescent="0.25">
      <c r="A167" s="74">
        <v>44670</v>
      </c>
      <c r="B167" s="75">
        <v>29.92</v>
      </c>
      <c r="C167" s="76">
        <v>0.29879069767441863</v>
      </c>
      <c r="D167" s="77">
        <v>33.700000000000003</v>
      </c>
      <c r="E167" s="76">
        <v>0.33688462855186591</v>
      </c>
      <c r="F167" s="75">
        <v>34.01</v>
      </c>
      <c r="G167" s="76">
        <v>0.33998356727148232</v>
      </c>
      <c r="H167" s="65">
        <f t="shared" si="13"/>
        <v>-8.3209000646932568E-3</v>
      </c>
      <c r="I167" s="65">
        <f t="shared" si="14"/>
        <v>0.21963211676566627</v>
      </c>
      <c r="J167" s="65">
        <f t="shared" si="15"/>
        <v>0.13570404750306977</v>
      </c>
      <c r="K167" s="82">
        <f t="shared" si="16"/>
        <v>0.3</v>
      </c>
      <c r="L167" s="60">
        <f t="shared" si="17"/>
        <v>-8.3345800488248915E-3</v>
      </c>
      <c r="M167" s="60"/>
      <c r="N167" s="60"/>
      <c r="O167" s="60">
        <f t="shared" si="18"/>
        <v>-1.1799546931155055E-2</v>
      </c>
    </row>
    <row r="168" spans="1:15" x14ac:dyDescent="0.25">
      <c r="A168" s="74">
        <v>44669</v>
      </c>
      <c r="B168" s="75">
        <v>30.17</v>
      </c>
      <c r="C168" s="76">
        <v>0.30129139933514831</v>
      </c>
      <c r="D168" s="77">
        <v>34.1</v>
      </c>
      <c r="E168" s="76">
        <v>0.34088442617057918</v>
      </c>
      <c r="F168" s="75">
        <v>34.1</v>
      </c>
      <c r="G168" s="76">
        <v>0.34088442617057918</v>
      </c>
      <c r="H168" s="65">
        <f t="shared" si="13"/>
        <v>8.989572774328998E-3</v>
      </c>
      <c r="I168" s="65">
        <f t="shared" si="14"/>
        <v>0.21704668746709715</v>
      </c>
      <c r="J168" s="65">
        <f t="shared" si="15"/>
        <v>0.2041397866871095</v>
      </c>
      <c r="K168" s="82">
        <f t="shared" si="16"/>
        <v>0.25</v>
      </c>
      <c r="L168" s="60">
        <f t="shared" si="17"/>
        <v>8.9211700464018346E-3</v>
      </c>
      <c r="M168" s="60"/>
      <c r="N168" s="60"/>
      <c r="O168" s="60">
        <f t="shared" si="18"/>
        <v>1.5962502690465612E-2</v>
      </c>
    </row>
    <row r="169" spans="1:15" x14ac:dyDescent="0.25">
      <c r="A169" s="74">
        <v>44664</v>
      </c>
      <c r="B169" s="75">
        <v>29.9</v>
      </c>
      <c r="C169" s="76">
        <v>0.29861548143486472</v>
      </c>
      <c r="D169" s="77">
        <v>33.56</v>
      </c>
      <c r="E169" s="76">
        <v>0.33549199915095829</v>
      </c>
      <c r="F169" s="75">
        <v>33.65</v>
      </c>
      <c r="G169" s="76">
        <v>0.33639170951816882</v>
      </c>
      <c r="H169" s="65">
        <f t="shared" si="13"/>
        <v>1.1098146532254874E-2</v>
      </c>
      <c r="I169" s="65">
        <f t="shared" si="14"/>
        <v>0.21575121153982632</v>
      </c>
      <c r="J169" s="65">
        <f t="shared" si="15"/>
        <v>0.18284510332977963</v>
      </c>
      <c r="K169" s="82">
        <f t="shared" si="16"/>
        <v>0.2</v>
      </c>
      <c r="L169" s="60">
        <f t="shared" si="17"/>
        <v>1.1084465425179877E-2</v>
      </c>
      <c r="M169" s="60"/>
      <c r="N169" s="60"/>
      <c r="O169" s="60">
        <f t="shared" si="18"/>
        <v>1.68273201325253E-2</v>
      </c>
    </row>
    <row r="170" spans="1:15" x14ac:dyDescent="0.25">
      <c r="A170" s="74">
        <v>44663</v>
      </c>
      <c r="B170" s="75">
        <v>29.57</v>
      </c>
      <c r="C170" s="76">
        <v>0.29532376561367019</v>
      </c>
      <c r="D170" s="77">
        <v>33</v>
      </c>
      <c r="E170" s="76">
        <v>0.32989493072411868</v>
      </c>
      <c r="F170" s="75">
        <v>33.69</v>
      </c>
      <c r="G170" s="76">
        <v>0.33679273382107749</v>
      </c>
      <c r="H170" s="65">
        <f t="shared" si="13"/>
        <v>-4.0499549112825951E-3</v>
      </c>
      <c r="I170" s="65">
        <f t="shared" si="14"/>
        <v>0.21504535032777097</v>
      </c>
      <c r="J170" s="65">
        <f t="shared" si="15"/>
        <v>0.12223156525688179</v>
      </c>
      <c r="K170" s="82">
        <f t="shared" si="16"/>
        <v>0.15</v>
      </c>
      <c r="L170" s="60">
        <f t="shared" si="17"/>
        <v>-4.063636205533276E-3</v>
      </c>
      <c r="M170" s="60"/>
      <c r="N170" s="60"/>
      <c r="O170" s="60">
        <f t="shared" si="18"/>
        <v>-1.2113871862970932E-3</v>
      </c>
    </row>
    <row r="171" spans="1:15" x14ac:dyDescent="0.25">
      <c r="A171" s="74">
        <v>44662</v>
      </c>
      <c r="B171" s="75">
        <v>29.69</v>
      </c>
      <c r="C171" s="76">
        <v>0.29652629562742838</v>
      </c>
      <c r="D171" s="77">
        <v>33.04</v>
      </c>
      <c r="E171" s="76">
        <v>0.33029593415773112</v>
      </c>
      <c r="F171" s="75">
        <v>33.9</v>
      </c>
      <c r="G171" s="76">
        <v>0.33889322542212719</v>
      </c>
      <c r="H171" s="65">
        <f t="shared" si="13"/>
        <v>-1.3463482343378814E-3</v>
      </c>
      <c r="I171" s="65">
        <f t="shared" si="14"/>
        <v>0.21483934836324295</v>
      </c>
      <c r="J171" s="65">
        <f t="shared" si="15"/>
        <v>0.12084516347611624</v>
      </c>
      <c r="K171" s="82">
        <f t="shared" si="16"/>
        <v>0.1</v>
      </c>
      <c r="L171" s="60">
        <f t="shared" si="17"/>
        <v>-1.3873932401928951E-3</v>
      </c>
      <c r="M171" s="60"/>
      <c r="N171" s="60"/>
      <c r="O171" s="60">
        <f t="shared" si="18"/>
        <v>1.2113871862970882E-3</v>
      </c>
    </row>
    <row r="172" spans="1:15" x14ac:dyDescent="0.25">
      <c r="A172" s="74">
        <v>44659</v>
      </c>
      <c r="B172" s="75">
        <v>29.73</v>
      </c>
      <c r="C172" s="76">
        <v>0.29693797972335101</v>
      </c>
      <c r="D172" s="77">
        <v>33</v>
      </c>
      <c r="E172" s="76">
        <v>0.3298994484557789</v>
      </c>
      <c r="F172" s="75">
        <v>33.770000000000003</v>
      </c>
      <c r="G172" s="76">
        <v>0.33759710225308043</v>
      </c>
      <c r="H172" s="65">
        <f t="shared" si="13"/>
        <v>-2.0639880495500983E-2</v>
      </c>
      <c r="I172" s="65">
        <f t="shared" si="14"/>
        <v>0.21480278303943348</v>
      </c>
      <c r="J172" s="65">
        <f t="shared" si="15"/>
        <v>0.18845841060910523</v>
      </c>
      <c r="K172" s="82">
        <f t="shared" si="16"/>
        <v>0.05</v>
      </c>
      <c r="L172" s="60">
        <f t="shared" si="17"/>
        <v>-2.0653562538503763E-2</v>
      </c>
      <c r="M172" s="60"/>
      <c r="N172" s="60"/>
      <c r="O172" s="60">
        <f t="shared" si="18"/>
        <v>-1.3843134092197675E-2</v>
      </c>
    </row>
    <row r="173" spans="1:15" x14ac:dyDescent="0.25">
      <c r="A173" s="74">
        <v>44658</v>
      </c>
      <c r="B173" s="75">
        <v>30.35</v>
      </c>
      <c r="C173" s="76">
        <v>0.30313457749562173</v>
      </c>
      <c r="D173" s="77">
        <v>33.46</v>
      </c>
      <c r="E173" s="76">
        <v>0.33449919202432138</v>
      </c>
      <c r="F173" s="75">
        <v>33.81</v>
      </c>
      <c r="G173" s="76">
        <v>0.3379981375475884</v>
      </c>
      <c r="H173" s="65">
        <f t="shared" si="13"/>
        <v>-5.5856889107489781E-3</v>
      </c>
      <c r="I173" s="65">
        <f t="shared" si="14"/>
        <v>0.20611623310344598</v>
      </c>
      <c r="J173" s="65">
        <f t="shared" si="15"/>
        <v>0.15288033592967268</v>
      </c>
      <c r="K173" s="82">
        <f t="shared" si="16"/>
        <v>0</v>
      </c>
      <c r="L173" s="60">
        <f t="shared" si="17"/>
        <v>-5.5993711409527353E-3</v>
      </c>
      <c r="M173" s="60"/>
      <c r="N173" s="60"/>
      <c r="O173" s="60">
        <f t="shared" si="18"/>
        <v>-8.9619124743531482E-4</v>
      </c>
    </row>
    <row r="174" spans="1:15" x14ac:dyDescent="0.25">
      <c r="A174" s="74">
        <v>44657</v>
      </c>
      <c r="B174" s="75">
        <v>30.52</v>
      </c>
      <c r="C174" s="76">
        <v>0.30483670146537689</v>
      </c>
      <c r="D174" s="77">
        <v>33.49</v>
      </c>
      <c r="E174" s="76">
        <v>0.33480024787135337</v>
      </c>
      <c r="F174" s="75">
        <v>33.950000000000003</v>
      </c>
      <c r="G174" s="76">
        <v>0.3393988777316348</v>
      </c>
      <c r="H174" s="65">
        <f t="shared" si="13"/>
        <v>-5.5546622153885804E-3</v>
      </c>
      <c r="I174" s="65">
        <f t="shared" si="14"/>
        <v>0.2271990557149085</v>
      </c>
      <c r="J174" s="65">
        <f t="shared" si="15"/>
        <v>0.15320792209236753</v>
      </c>
      <c r="K174" s="82">
        <f t="shared" si="16"/>
        <v>0.1</v>
      </c>
      <c r="L174" s="60">
        <f t="shared" si="17"/>
        <v>-5.5683446327982524E-3</v>
      </c>
      <c r="M174" s="60"/>
      <c r="N174" s="60"/>
      <c r="O174" s="60">
        <f t="shared" si="18"/>
        <v>-8.9538880776916026E-4</v>
      </c>
    </row>
    <row r="175" spans="1:15" x14ac:dyDescent="0.25">
      <c r="A175" s="74">
        <v>44656</v>
      </c>
      <c r="B175" s="75">
        <v>30.69</v>
      </c>
      <c r="C175" s="76">
        <v>0.30653887201379199</v>
      </c>
      <c r="D175" s="77">
        <v>33.520000000000003</v>
      </c>
      <c r="E175" s="76">
        <v>0.33510130577980463</v>
      </c>
      <c r="F175" s="75">
        <v>34.549999999999997</v>
      </c>
      <c r="G175" s="76">
        <v>0.34539827311134391</v>
      </c>
      <c r="H175" s="65">
        <f t="shared" si="13"/>
        <v>-1.1661939747842975E-2</v>
      </c>
      <c r="I175" s="65">
        <f t="shared" si="14"/>
        <v>0.22423888978091083</v>
      </c>
      <c r="J175" s="65">
        <f t="shared" si="15"/>
        <v>0.15176091242663126</v>
      </c>
      <c r="K175" s="82">
        <f t="shared" si="16"/>
        <v>0.05</v>
      </c>
      <c r="L175" s="60">
        <f t="shared" si="17"/>
        <v>-1.1675622352463767E-2</v>
      </c>
      <c r="M175" s="60"/>
      <c r="N175" s="60"/>
      <c r="O175" s="60">
        <f t="shared" si="18"/>
        <v>-1.7155108675588778E-2</v>
      </c>
    </row>
    <row r="176" spans="1:15" x14ac:dyDescent="0.25">
      <c r="A176" s="74">
        <v>44655</v>
      </c>
      <c r="B176" s="75">
        <v>31.05</v>
      </c>
      <c r="C176" s="76">
        <v>0.31013887938701512</v>
      </c>
      <c r="D176" s="77">
        <v>34.1</v>
      </c>
      <c r="E176" s="76">
        <v>0.34090076518821583</v>
      </c>
      <c r="F176" s="75">
        <v>35</v>
      </c>
      <c r="G176" s="76">
        <v>0.34989814608761149</v>
      </c>
      <c r="H176" s="65">
        <f t="shared" si="13"/>
        <v>1.1336153786336307E-2</v>
      </c>
      <c r="I176" s="65">
        <f t="shared" si="14"/>
        <v>0.23706422989338496</v>
      </c>
      <c r="J176" s="65">
        <f t="shared" si="15"/>
        <v>8.8801220061100111E-2</v>
      </c>
      <c r="K176" s="82">
        <f t="shared" si="16"/>
        <v>0.15</v>
      </c>
      <c r="L176" s="60">
        <f t="shared" si="17"/>
        <v>1.1295104849155675E-2</v>
      </c>
      <c r="M176" s="60"/>
      <c r="N176" s="60"/>
      <c r="O176" s="60">
        <f t="shared" si="18"/>
        <v>1.0316966970932269E-2</v>
      </c>
    </row>
    <row r="177" spans="1:15" x14ac:dyDescent="0.25">
      <c r="A177" s="74">
        <v>44652</v>
      </c>
      <c r="B177" s="75">
        <v>30.7</v>
      </c>
      <c r="C177" s="76">
        <v>0.30665553761528153</v>
      </c>
      <c r="D177" s="77">
        <v>33.75</v>
      </c>
      <c r="E177" s="76">
        <v>0.33740524921083798</v>
      </c>
      <c r="F177" s="75">
        <v>34.5</v>
      </c>
      <c r="G177" s="76">
        <v>0.34490314363774549</v>
      </c>
      <c r="H177" s="65">
        <f t="shared" si="13"/>
        <v>6.2081558645731231E-3</v>
      </c>
      <c r="I177" s="65">
        <f t="shared" si="14"/>
        <v>0.26655624652269089</v>
      </c>
      <c r="J177" s="65">
        <f t="shared" si="15"/>
        <v>0.10952768211809408</v>
      </c>
      <c r="K177" s="82">
        <f t="shared" si="16"/>
        <v>0.85</v>
      </c>
      <c r="L177" s="60">
        <f t="shared" si="17"/>
        <v>6.1944725110567858E-3</v>
      </c>
      <c r="M177" s="60"/>
      <c r="N177" s="60"/>
      <c r="O177" s="60">
        <f t="shared" si="18"/>
        <v>-1.4803851704342195E-3</v>
      </c>
    </row>
    <row r="178" spans="1:15" x14ac:dyDescent="0.25">
      <c r="A178" s="74">
        <v>44651</v>
      </c>
      <c r="B178" s="75">
        <v>30.51</v>
      </c>
      <c r="C178" s="76">
        <v>0.3047618396026327</v>
      </c>
      <c r="D178" s="77">
        <v>33.799999999999997</v>
      </c>
      <c r="E178" s="76">
        <v>0.3379062657276577</v>
      </c>
      <c r="F178" s="75">
        <v>34.700000000000003</v>
      </c>
      <c r="G178" s="76">
        <v>0.34690376984466642</v>
      </c>
      <c r="H178" s="65">
        <f t="shared" si="13"/>
        <v>5.9171770280887388E-3</v>
      </c>
      <c r="I178" s="65">
        <f t="shared" si="14"/>
        <v>0.26620153589954981</v>
      </c>
      <c r="J178" s="65">
        <f t="shared" si="15"/>
        <v>0.12110876770422169</v>
      </c>
      <c r="K178" s="82">
        <f t="shared" si="16"/>
        <v>0.85</v>
      </c>
      <c r="L178" s="60">
        <f t="shared" si="17"/>
        <v>5.903493487335403E-3</v>
      </c>
      <c r="M178" s="60"/>
      <c r="N178" s="60"/>
      <c r="O178" s="60">
        <f t="shared" si="18"/>
        <v>-1.1827322490496007E-3</v>
      </c>
    </row>
    <row r="179" spans="1:15" x14ac:dyDescent="0.25">
      <c r="A179" s="74">
        <v>44650</v>
      </c>
      <c r="B179" s="75">
        <v>30.33</v>
      </c>
      <c r="C179" s="76">
        <v>0.30296798029556649</v>
      </c>
      <c r="D179" s="77">
        <v>33.840000000000003</v>
      </c>
      <c r="E179" s="76">
        <v>0.33830731306491368</v>
      </c>
      <c r="F179" s="75">
        <v>34.6</v>
      </c>
      <c r="G179" s="76">
        <v>0.34590523144344021</v>
      </c>
      <c r="H179" s="65">
        <f t="shared" si="13"/>
        <v>1.0939940038334263E-2</v>
      </c>
      <c r="I179" s="65">
        <f t="shared" si="14"/>
        <v>0.27894247334773581</v>
      </c>
      <c r="J179" s="65">
        <f t="shared" si="15"/>
        <v>0.26107042030087851</v>
      </c>
      <c r="K179" s="82">
        <f t="shared" si="16"/>
        <v>1</v>
      </c>
      <c r="L179" s="60">
        <f t="shared" si="17"/>
        <v>1.092625631033918E-2</v>
      </c>
      <c r="M179" s="60"/>
      <c r="N179" s="60"/>
      <c r="O179" s="60">
        <f t="shared" si="18"/>
        <v>7.1174677688639549E-3</v>
      </c>
    </row>
    <row r="180" spans="1:15" x14ac:dyDescent="0.25">
      <c r="A180" s="74">
        <v>44649</v>
      </c>
      <c r="B180" s="75">
        <v>30</v>
      </c>
      <c r="C180" s="76">
        <v>0.29967569342766048</v>
      </c>
      <c r="D180" s="77">
        <v>33.6</v>
      </c>
      <c r="E180" s="76">
        <v>0.33590912047767901</v>
      </c>
      <c r="F180" s="75">
        <v>34.18</v>
      </c>
      <c r="G180" s="76">
        <v>0.34170755172401979</v>
      </c>
      <c r="H180" s="65">
        <f t="shared" si="13"/>
        <v>1.9522666488863947E-2</v>
      </c>
      <c r="I180" s="65">
        <f t="shared" si="14"/>
        <v>0.27614163767163974</v>
      </c>
      <c r="J180" s="65">
        <f t="shared" si="15"/>
        <v>0.32065088670411618</v>
      </c>
      <c r="K180" s="82">
        <f t="shared" si="16"/>
        <v>0.95</v>
      </c>
      <c r="L180" s="60">
        <f t="shared" si="17"/>
        <v>1.9508982573621856E-2</v>
      </c>
      <c r="M180" s="60"/>
      <c r="N180" s="60"/>
      <c r="O180" s="60">
        <f t="shared" si="18"/>
        <v>1.4892035514678331E-3</v>
      </c>
    </row>
    <row r="181" spans="1:15" x14ac:dyDescent="0.25">
      <c r="A181" s="74">
        <v>44648</v>
      </c>
      <c r="B181" s="75">
        <v>29.42</v>
      </c>
      <c r="C181" s="76">
        <v>0.29388598483811817</v>
      </c>
      <c r="D181" s="77">
        <v>33.549999999999997</v>
      </c>
      <c r="E181" s="76">
        <v>0.33541040407014561</v>
      </c>
      <c r="F181" s="75">
        <v>34.24</v>
      </c>
      <c r="G181" s="76">
        <v>0.3423085614116777</v>
      </c>
      <c r="H181" s="65">
        <f t="shared" si="13"/>
        <v>1.9564722219182814E-2</v>
      </c>
      <c r="I181" s="65">
        <f t="shared" si="14"/>
        <v>0.26960783990799519</v>
      </c>
      <c r="J181" s="65">
        <f t="shared" si="15"/>
        <v>0.29944375785109789</v>
      </c>
      <c r="K181" s="82">
        <f t="shared" si="16"/>
        <v>0.9</v>
      </c>
      <c r="L181" s="60">
        <f t="shared" si="17"/>
        <v>1.9523669349923636E-2</v>
      </c>
      <c r="M181" s="60"/>
      <c r="N181" s="60"/>
      <c r="O181" s="60">
        <f t="shared" si="18"/>
        <v>2.7192007695250649E-2</v>
      </c>
    </row>
    <row r="182" spans="1:15" x14ac:dyDescent="0.25">
      <c r="A182" s="74">
        <v>44645</v>
      </c>
      <c r="B182" s="75">
        <v>28.85</v>
      </c>
      <c r="C182" s="76">
        <v>0.2882039001026343</v>
      </c>
      <c r="D182" s="77">
        <v>32.65</v>
      </c>
      <c r="E182" s="76">
        <v>0.32641616023281689</v>
      </c>
      <c r="F182" s="75">
        <v>32.9</v>
      </c>
      <c r="G182" s="76">
        <v>0.32891551827441579</v>
      </c>
      <c r="H182" s="65">
        <f t="shared" si="13"/>
        <v>2.4562638368409346E-2</v>
      </c>
      <c r="I182" s="65">
        <f t="shared" si="14"/>
        <v>0.2580383615827968</v>
      </c>
      <c r="J182" s="65">
        <f t="shared" si="15"/>
        <v>0.30537377635318791</v>
      </c>
      <c r="K182" s="82">
        <f t="shared" si="16"/>
        <v>0.85</v>
      </c>
      <c r="L182" s="60">
        <f t="shared" si="17"/>
        <v>2.4535268852574302E-2</v>
      </c>
      <c r="M182" s="60"/>
      <c r="N182" s="60"/>
      <c r="O182" s="60">
        <f t="shared" si="18"/>
        <v>1.9796501740668389E-2</v>
      </c>
    </row>
    <row r="183" spans="1:15" x14ac:dyDescent="0.25">
      <c r="A183" s="74">
        <v>44643</v>
      </c>
      <c r="B183" s="75">
        <v>28.15</v>
      </c>
      <c r="C183" s="76">
        <v>0.28121878121878119</v>
      </c>
      <c r="D183" s="77">
        <v>32.01</v>
      </c>
      <c r="E183" s="76">
        <v>0.32001999500124972</v>
      </c>
      <c r="F183" s="75">
        <v>32.799999999999997</v>
      </c>
      <c r="G183" s="76">
        <v>0.32791802049487617</v>
      </c>
      <c r="H183" s="65">
        <f t="shared" si="13"/>
        <v>-1.5859363240107623E-2</v>
      </c>
      <c r="I183" s="65">
        <f t="shared" si="14"/>
        <v>0.23605581351897356</v>
      </c>
      <c r="J183" s="65">
        <f t="shared" si="15"/>
        <v>0.17653207871443266</v>
      </c>
      <c r="K183" s="82">
        <f t="shared" si="16"/>
        <v>0.2</v>
      </c>
      <c r="L183" s="60">
        <f t="shared" si="17"/>
        <v>-1.5873048278939265E-2</v>
      </c>
      <c r="M183" s="60"/>
      <c r="N183" s="60"/>
      <c r="O183" s="60">
        <f t="shared" si="18"/>
        <v>-1.6114386503488457E-2</v>
      </c>
    </row>
    <row r="184" spans="1:15" x14ac:dyDescent="0.25">
      <c r="A184" s="74">
        <v>44642</v>
      </c>
      <c r="B184" s="75">
        <v>28.6</v>
      </c>
      <c r="C184" s="76">
        <v>0.28571819575213492</v>
      </c>
      <c r="D184" s="77">
        <v>32.53</v>
      </c>
      <c r="E184" s="76">
        <v>0.32521980881426499</v>
      </c>
      <c r="F184" s="75">
        <v>33.25</v>
      </c>
      <c r="G184" s="76">
        <v>0.33241803390944702</v>
      </c>
      <c r="H184" s="65">
        <f t="shared" si="13"/>
        <v>-1.3889112160667037E-2</v>
      </c>
      <c r="I184" s="65">
        <f t="shared" si="14"/>
        <v>0.23354326552461183</v>
      </c>
      <c r="J184" s="65">
        <f t="shared" si="15"/>
        <v>0.19398120409335004</v>
      </c>
      <c r="K184" s="82">
        <f t="shared" si="16"/>
        <v>0.05</v>
      </c>
      <c r="L184" s="60">
        <f t="shared" si="17"/>
        <v>-1.3902797386781398E-2</v>
      </c>
      <c r="M184" s="60"/>
      <c r="N184" s="60"/>
      <c r="O184" s="60">
        <f t="shared" si="18"/>
        <v>-8.2657749048378002E-3</v>
      </c>
    </row>
    <row r="185" spans="1:15" x14ac:dyDescent="0.25">
      <c r="A185" s="74">
        <v>44641</v>
      </c>
      <c r="B185" s="75">
        <v>29</v>
      </c>
      <c r="C185" s="76">
        <v>0.28971821926619318</v>
      </c>
      <c r="D185" s="77">
        <v>32.799999999999997</v>
      </c>
      <c r="E185" s="76">
        <v>0.32792026596272822</v>
      </c>
      <c r="F185" s="75">
        <v>33.65</v>
      </c>
      <c r="G185" s="76">
        <v>0.33641819968432329</v>
      </c>
      <c r="H185" s="65">
        <f t="shared" si="13"/>
        <v>4.492836311630259E-3</v>
      </c>
      <c r="I185" s="65">
        <f t="shared" si="14"/>
        <v>0.24500951339868282</v>
      </c>
      <c r="J185" s="65">
        <f t="shared" si="15"/>
        <v>0.18284949472894085</v>
      </c>
      <c r="K185" s="82">
        <f t="shared" si="16"/>
        <v>0.4</v>
      </c>
      <c r="L185" s="60">
        <f t="shared" si="17"/>
        <v>4.4517795095391048E-3</v>
      </c>
      <c r="M185" s="60"/>
      <c r="N185" s="60"/>
      <c r="O185" s="60">
        <f t="shared" si="18"/>
        <v>-1.0614201241773541E-2</v>
      </c>
    </row>
    <row r="186" spans="1:15" ht="15.75" customHeight="1" x14ac:dyDescent="0.25">
      <c r="A186" s="74">
        <v>44638</v>
      </c>
      <c r="B186" s="75">
        <v>28.87</v>
      </c>
      <c r="C186" s="76">
        <v>0.28843132424590789</v>
      </c>
      <c r="D186" s="77">
        <v>33.15</v>
      </c>
      <c r="E186" s="76">
        <v>0.33142281934344048</v>
      </c>
      <c r="F186" s="75">
        <v>33.549999999999997</v>
      </c>
      <c r="G186" s="76">
        <v>0.33542188805346701</v>
      </c>
      <c r="H186" s="65">
        <f t="shared" si="13"/>
        <v>-2.1587269670930411E-2</v>
      </c>
      <c r="I186" s="65">
        <f t="shared" si="14"/>
        <v>0.24514408962817158</v>
      </c>
      <c r="J186" s="65">
        <f t="shared" si="15"/>
        <v>0.17954982741493133</v>
      </c>
      <c r="K186" s="82">
        <f t="shared" si="16"/>
        <v>0.4</v>
      </c>
      <c r="L186" s="60">
        <f t="shared" si="17"/>
        <v>-2.1600955646227504E-2</v>
      </c>
      <c r="M186" s="60"/>
      <c r="N186" s="60"/>
      <c r="O186" s="60">
        <f t="shared" si="18"/>
        <v>-6.914201601817673E-3</v>
      </c>
    </row>
    <row r="187" spans="1:15" ht="15.75" customHeight="1" x14ac:dyDescent="0.25">
      <c r="A187" s="74">
        <v>44637</v>
      </c>
      <c r="B187" s="75">
        <v>29.5</v>
      </c>
      <c r="C187" s="76">
        <v>0.29472949484719502</v>
      </c>
      <c r="D187" s="77">
        <v>33.380000000000003</v>
      </c>
      <c r="E187" s="76">
        <v>0.3337234264740625</v>
      </c>
      <c r="F187" s="75">
        <v>33.89</v>
      </c>
      <c r="G187" s="76">
        <v>0.33882225653702752</v>
      </c>
      <c r="H187" s="65">
        <f t="shared" si="13"/>
        <v>-6.7773638649758162E-4</v>
      </c>
      <c r="I187" s="65">
        <f t="shared" si="14"/>
        <v>0.23755000925565128</v>
      </c>
      <c r="J187" s="65">
        <f t="shared" si="15"/>
        <v>9.2548940802711033E-2</v>
      </c>
      <c r="K187" s="82">
        <f t="shared" si="16"/>
        <v>0.2</v>
      </c>
      <c r="L187" s="60">
        <f t="shared" si="17"/>
        <v>-6.9142254910329627E-4</v>
      </c>
      <c r="M187" s="60"/>
      <c r="N187" s="60"/>
      <c r="O187" s="60">
        <f t="shared" si="18"/>
        <v>2.699866646755623E-3</v>
      </c>
    </row>
    <row r="188" spans="1:15" ht="15.75" customHeight="1" x14ac:dyDescent="0.25">
      <c r="A188" s="74">
        <v>44636</v>
      </c>
      <c r="B188" s="75">
        <v>29.52</v>
      </c>
      <c r="C188" s="76">
        <v>0.29493334793200671</v>
      </c>
      <c r="D188" s="77">
        <v>33.29</v>
      </c>
      <c r="E188" s="76">
        <v>0.33282477248293191</v>
      </c>
      <c r="F188" s="75">
        <v>33.5</v>
      </c>
      <c r="G188" s="76">
        <v>0.33492429793265899</v>
      </c>
      <c r="H188" s="65">
        <f t="shared" si="13"/>
        <v>5.775453458166319E-3</v>
      </c>
      <c r="I188" s="65">
        <f t="shared" si="14"/>
        <v>0.24226597802181329</v>
      </c>
      <c r="J188" s="65">
        <f t="shared" si="15"/>
        <v>0.14575093140070108</v>
      </c>
      <c r="K188" s="82">
        <f t="shared" si="16"/>
        <v>0.3</v>
      </c>
      <c r="L188" s="60">
        <f t="shared" si="17"/>
        <v>5.7617671082474484E-3</v>
      </c>
      <c r="M188" s="60"/>
      <c r="N188" s="60"/>
      <c r="O188" s="60">
        <f t="shared" si="18"/>
        <v>1.6354089505672728E-2</v>
      </c>
    </row>
    <row r="189" spans="1:15" ht="15.75" customHeight="1" x14ac:dyDescent="0.25">
      <c r="A189" s="74">
        <v>44635</v>
      </c>
      <c r="B189" s="75">
        <v>29.35</v>
      </c>
      <c r="C189" s="76">
        <v>0.29323889687264759</v>
      </c>
      <c r="D189" s="77">
        <v>32.75</v>
      </c>
      <c r="E189" s="76">
        <v>0.32742711382740142</v>
      </c>
      <c r="F189" s="75">
        <v>33.5</v>
      </c>
      <c r="G189" s="76">
        <v>0.33492544467841062</v>
      </c>
      <c r="H189" s="65">
        <f t="shared" si="13"/>
        <v>-9.1572625655472334E-3</v>
      </c>
      <c r="I189" s="65">
        <f t="shared" si="14"/>
        <v>0.24109266649537575</v>
      </c>
      <c r="J189" s="65">
        <f t="shared" si="15"/>
        <v>0.24505774416308795</v>
      </c>
      <c r="K189" s="82">
        <f t="shared" si="16"/>
        <v>0.2</v>
      </c>
      <c r="L189" s="60">
        <f t="shared" si="17"/>
        <v>-9.1709491027852971E-3</v>
      </c>
      <c r="M189" s="60"/>
      <c r="N189" s="60"/>
      <c r="O189" s="60">
        <f t="shared" si="18"/>
        <v>-1.4851007905986579E-2</v>
      </c>
    </row>
    <row r="190" spans="1:15" ht="15.75" customHeight="1" x14ac:dyDescent="0.25">
      <c r="A190" s="74">
        <v>44634</v>
      </c>
      <c r="B190" s="75">
        <v>29.62</v>
      </c>
      <c r="C190" s="76">
        <v>0.295940545275375</v>
      </c>
      <c r="D190" s="77">
        <v>33.24</v>
      </c>
      <c r="E190" s="76">
        <v>0.33232716117015448</v>
      </c>
      <c r="F190" s="75">
        <v>33.9</v>
      </c>
      <c r="G190" s="76">
        <v>0.33892571491180012</v>
      </c>
      <c r="H190" s="65">
        <f t="shared" si="13"/>
        <v>3.3818091073810784E-3</v>
      </c>
      <c r="I190" s="65">
        <f t="shared" si="14"/>
        <v>0.24168325325147944</v>
      </c>
      <c r="J190" s="65">
        <f t="shared" si="15"/>
        <v>0.19571407042718136</v>
      </c>
      <c r="K190" s="82">
        <f t="shared" si="16"/>
        <v>0.2</v>
      </c>
      <c r="L190" s="60">
        <f t="shared" si="17"/>
        <v>3.3407483717036268E-3</v>
      </c>
      <c r="M190" s="60"/>
      <c r="N190" s="60"/>
      <c r="O190" s="60">
        <f t="shared" si="18"/>
        <v>8.7627090387311628E-3</v>
      </c>
    </row>
    <row r="191" spans="1:15" ht="15.75" customHeight="1" x14ac:dyDescent="0.25">
      <c r="A191" s="74">
        <v>44631</v>
      </c>
      <c r="B191" s="75">
        <v>29.52</v>
      </c>
      <c r="C191" s="76">
        <v>0.29495353198012619</v>
      </c>
      <c r="D191" s="77">
        <v>32.950000000000003</v>
      </c>
      <c r="E191" s="76">
        <v>0.32943118047257253</v>
      </c>
      <c r="F191" s="75">
        <v>34.51</v>
      </c>
      <c r="G191" s="76">
        <v>0.34502792224911921</v>
      </c>
      <c r="H191" s="65">
        <f t="shared" si="13"/>
        <v>1.6952029826683662E-3</v>
      </c>
      <c r="I191" s="65">
        <f t="shared" si="14"/>
        <v>0.24589587556428288</v>
      </c>
      <c r="J191" s="65">
        <f t="shared" si="15"/>
        <v>0.31209330256271861</v>
      </c>
      <c r="K191" s="82">
        <f t="shared" si="16"/>
        <v>0.2</v>
      </c>
      <c r="L191" s="60">
        <f t="shared" si="17"/>
        <v>1.6815156961045555E-3</v>
      </c>
      <c r="M191" s="60"/>
      <c r="N191" s="60"/>
      <c r="O191" s="60">
        <f t="shared" si="18"/>
        <v>4.2579139755059637E-3</v>
      </c>
    </row>
    <row r="192" spans="1:15" ht="15.75" customHeight="1" x14ac:dyDescent="0.25">
      <c r="A192" s="74">
        <v>44630</v>
      </c>
      <c r="B192" s="75">
        <v>29.47</v>
      </c>
      <c r="C192" s="76">
        <v>0.29445797974267718</v>
      </c>
      <c r="D192" s="77">
        <v>32.81</v>
      </c>
      <c r="E192" s="76">
        <v>0.32803259604190921</v>
      </c>
      <c r="F192" s="75">
        <v>34.65</v>
      </c>
      <c r="G192" s="76">
        <v>0.34642881599671299</v>
      </c>
      <c r="H192" s="65">
        <f t="shared" si="13"/>
        <v>1.6076966763129325E-2</v>
      </c>
      <c r="I192" s="65">
        <f t="shared" si="14"/>
        <v>0.24608216389735565</v>
      </c>
      <c r="J192" s="65">
        <f t="shared" si="15"/>
        <v>0.41467277966848382</v>
      </c>
      <c r="K192" s="82">
        <f t="shared" si="16"/>
        <v>0.2</v>
      </c>
      <c r="L192" s="60">
        <f t="shared" si="17"/>
        <v>1.6063279289220651E-2</v>
      </c>
      <c r="M192" s="60"/>
      <c r="N192" s="60"/>
      <c r="O192" s="60">
        <f t="shared" si="18"/>
        <v>2.0943173845243173E-2</v>
      </c>
    </row>
    <row r="193" spans="1:15" ht="15.75" customHeight="1" x14ac:dyDescent="0.25">
      <c r="A193" s="74">
        <v>44629</v>
      </c>
      <c r="B193" s="75">
        <v>29</v>
      </c>
      <c r="C193" s="76">
        <v>0.28976580571866573</v>
      </c>
      <c r="D193" s="77">
        <v>32.130000000000003</v>
      </c>
      <c r="E193" s="76">
        <v>0.32123509290930952</v>
      </c>
      <c r="F193" s="75">
        <v>33.5</v>
      </c>
      <c r="G193" s="76">
        <v>0.33493232531782963</v>
      </c>
      <c r="H193" s="65">
        <f t="shared" si="13"/>
        <v>3.0459207484708654E-2</v>
      </c>
      <c r="I193" s="65">
        <f t="shared" si="14"/>
        <v>0.23722770793159514</v>
      </c>
      <c r="J193" s="65">
        <f t="shared" si="15"/>
        <v>0.39221080664985708</v>
      </c>
      <c r="K193" s="82">
        <f t="shared" si="16"/>
        <v>0.15</v>
      </c>
      <c r="L193" s="60">
        <f t="shared" si="17"/>
        <v>3.0445519823450552E-2</v>
      </c>
      <c r="M193" s="60"/>
      <c r="N193" s="60"/>
      <c r="O193" s="60">
        <f t="shared" si="18"/>
        <v>4.2600211191358116E-2</v>
      </c>
    </row>
    <row r="194" spans="1:15" ht="15.75" customHeight="1" x14ac:dyDescent="0.25">
      <c r="A194" s="74">
        <v>44628</v>
      </c>
      <c r="B194" s="75">
        <v>28.13</v>
      </c>
      <c r="C194" s="76">
        <v>0.28107667880314269</v>
      </c>
      <c r="D194" s="77">
        <v>30.79</v>
      </c>
      <c r="E194" s="76">
        <v>0.30783885392627491</v>
      </c>
      <c r="F194" s="75">
        <v>32.1</v>
      </c>
      <c r="G194" s="76">
        <v>0.32093625238822432</v>
      </c>
      <c r="H194" s="65">
        <f t="shared" si="13"/>
        <v>4.6321123265615849E-3</v>
      </c>
      <c r="I194" s="65">
        <f t="shared" si="14"/>
        <v>0.22415970395445109</v>
      </c>
      <c r="J194" s="65">
        <f t="shared" si="15"/>
        <v>0.2652831376417944</v>
      </c>
      <c r="K194" s="82">
        <f t="shared" si="16"/>
        <v>0</v>
      </c>
      <c r="L194" s="60">
        <f t="shared" si="17"/>
        <v>4.6184244779489949E-3</v>
      </c>
      <c r="M194" s="60"/>
      <c r="N194" s="60"/>
      <c r="O194" s="60">
        <f t="shared" si="18"/>
        <v>5.2100410917250359E-3</v>
      </c>
    </row>
    <row r="195" spans="1:15" ht="15.75" customHeight="1" x14ac:dyDescent="0.25">
      <c r="A195" s="74">
        <v>44627</v>
      </c>
      <c r="B195" s="75">
        <v>28</v>
      </c>
      <c r="C195" s="76">
        <v>0.27978154044102549</v>
      </c>
      <c r="D195" s="77">
        <v>30.63</v>
      </c>
      <c r="E195" s="76">
        <v>0.3062402202309823</v>
      </c>
      <c r="F195" s="75">
        <v>32.89</v>
      </c>
      <c r="G195" s="76">
        <v>0.32883580944815571</v>
      </c>
      <c r="H195" s="65">
        <f t="shared" ref="H195:H258" si="19">LN(B195/B196)</f>
        <v>-2.1901263953101009E-2</v>
      </c>
      <c r="I195" s="65">
        <f t="shared" ref="I195:I258" si="20">STDEVA(H195:H214)*SQRT(260)</f>
        <v>0.24833120593213209</v>
      </c>
      <c r="J195" s="65">
        <f t="shared" ref="J195:J258" si="21">STDEVA(H195:H199)*SQRT(260)</f>
        <v>0.25157303895804239</v>
      </c>
      <c r="K195" s="82">
        <f t="shared" ref="K195:K258" si="22">_xlfn.PERCENTRANK.INC(I195:I215,I195,20)</f>
        <v>0.1</v>
      </c>
      <c r="L195" s="60">
        <f t="shared" ref="L195:L258" si="23">LN(C195/C196)</f>
        <v>-2.1942328623118141E-2</v>
      </c>
      <c r="M195" s="60"/>
      <c r="N195" s="60"/>
      <c r="O195" s="60">
        <f t="shared" ref="O195:O258" si="24">LN(D195/D196)</f>
        <v>-2.0039455337726709E-2</v>
      </c>
    </row>
    <row r="196" spans="1:15" ht="15.75" customHeight="1" x14ac:dyDescent="0.25">
      <c r="A196" s="74">
        <v>44624</v>
      </c>
      <c r="B196" s="75">
        <v>28.62</v>
      </c>
      <c r="C196" s="76">
        <v>0.28598844690229153</v>
      </c>
      <c r="D196" s="77">
        <v>31.25</v>
      </c>
      <c r="E196" s="76">
        <v>0.31244221958952789</v>
      </c>
      <c r="F196" s="75">
        <v>34.200000000000003</v>
      </c>
      <c r="G196" s="76">
        <v>0.34193676511877941</v>
      </c>
      <c r="H196" s="65">
        <f t="shared" si="19"/>
        <v>-3.096222560396681E-2</v>
      </c>
      <c r="I196" s="65">
        <f t="shared" si="20"/>
        <v>0.25189450589271062</v>
      </c>
      <c r="J196" s="65">
        <f t="shared" si="21"/>
        <v>0.24112597787629639</v>
      </c>
      <c r="K196" s="82">
        <f t="shared" si="22"/>
        <v>0.15</v>
      </c>
      <c r="L196" s="60">
        <f t="shared" si="23"/>
        <v>-3.0975914202049218E-2</v>
      </c>
      <c r="M196" s="60"/>
      <c r="N196" s="60"/>
      <c r="O196" s="60">
        <f t="shared" si="24"/>
        <v>-3.5830357000827401E-2</v>
      </c>
    </row>
    <row r="197" spans="1:15" ht="15.75" customHeight="1" x14ac:dyDescent="0.25">
      <c r="A197" s="74">
        <v>44623</v>
      </c>
      <c r="B197" s="75">
        <v>29.52</v>
      </c>
      <c r="C197" s="76">
        <v>0.29498583220401631</v>
      </c>
      <c r="D197" s="77">
        <v>32.39</v>
      </c>
      <c r="E197" s="76">
        <v>0.32384122060037052</v>
      </c>
      <c r="F197" s="75">
        <v>35</v>
      </c>
      <c r="G197" s="76">
        <v>0.34993648413130501</v>
      </c>
      <c r="H197" s="65">
        <f t="shared" si="19"/>
        <v>4.0733253876358688E-3</v>
      </c>
      <c r="I197" s="65">
        <f t="shared" si="20"/>
        <v>0.23380015336924007</v>
      </c>
      <c r="J197" s="65">
        <f t="shared" si="21"/>
        <v>0.17136505594328341</v>
      </c>
      <c r="K197" s="82">
        <f t="shared" si="22"/>
        <v>0</v>
      </c>
      <c r="L197" s="60">
        <f t="shared" si="23"/>
        <v>4.0596366021730104E-3</v>
      </c>
      <c r="M197" s="60"/>
      <c r="N197" s="60"/>
      <c r="O197" s="60">
        <f t="shared" si="24"/>
        <v>4.021660486175237E-3</v>
      </c>
    </row>
    <row r="198" spans="1:15" ht="15.75" customHeight="1" x14ac:dyDescent="0.25">
      <c r="A198" s="74">
        <v>44622</v>
      </c>
      <c r="B198" s="75">
        <v>29.4</v>
      </c>
      <c r="C198" s="76">
        <v>0.29379072441548493</v>
      </c>
      <c r="D198" s="77">
        <v>32.26</v>
      </c>
      <c r="E198" s="76">
        <v>0.32254256091380978</v>
      </c>
      <c r="F198" s="75">
        <v>34.31</v>
      </c>
      <c r="G198" s="76">
        <v>0.34303891087888461</v>
      </c>
      <c r="H198" s="65">
        <f t="shared" si="19"/>
        <v>-2.1867986636580752E-2</v>
      </c>
      <c r="I198" s="65">
        <f t="shared" si="20"/>
        <v>0.23381352819628065</v>
      </c>
      <c r="J198" s="65">
        <f t="shared" si="21"/>
        <v>0.13714641377739087</v>
      </c>
      <c r="K198" s="82">
        <f t="shared" si="22"/>
        <v>0</v>
      </c>
      <c r="L198" s="60">
        <f t="shared" si="23"/>
        <v>-2.1936433374777856E-2</v>
      </c>
      <c r="M198" s="60"/>
      <c r="N198" s="60"/>
      <c r="O198" s="60">
        <f t="shared" si="24"/>
        <v>-2.4193493600632502E-2</v>
      </c>
    </row>
    <row r="199" spans="1:15" ht="15.75" customHeight="1" x14ac:dyDescent="0.25">
      <c r="A199" s="74">
        <v>44617</v>
      </c>
      <c r="B199" s="75">
        <v>30.05</v>
      </c>
      <c r="C199" s="76">
        <v>0.30030665188166522</v>
      </c>
      <c r="D199" s="77">
        <v>33.049999999999997</v>
      </c>
      <c r="E199" s="76">
        <v>0.33044681164333128</v>
      </c>
      <c r="F199" s="75">
        <v>35.590000000000003</v>
      </c>
      <c r="G199" s="76">
        <v>0.35584272394511851</v>
      </c>
      <c r="H199" s="65">
        <f t="shared" si="19"/>
        <v>1.3320015289408629E-3</v>
      </c>
      <c r="I199" s="65">
        <f t="shared" si="20"/>
        <v>0.2495987886628693</v>
      </c>
      <c r="J199" s="65">
        <f t="shared" si="21"/>
        <v>0.11023542855225724</v>
      </c>
      <c r="K199" s="82">
        <f t="shared" si="22"/>
        <v>0</v>
      </c>
      <c r="L199" s="60">
        <f t="shared" si="23"/>
        <v>1.3183116190886265E-3</v>
      </c>
      <c r="M199" s="60"/>
      <c r="N199" s="60"/>
      <c r="O199" s="60">
        <f t="shared" si="24"/>
        <v>-1.9772962948274134E-2</v>
      </c>
    </row>
    <row r="200" spans="1:15" ht="15.75" customHeight="1" x14ac:dyDescent="0.25">
      <c r="A200" s="74">
        <v>44616</v>
      </c>
      <c r="B200" s="75">
        <v>30.01</v>
      </c>
      <c r="C200" s="76">
        <v>0.2999110149768639</v>
      </c>
      <c r="D200" s="77">
        <v>33.71</v>
      </c>
      <c r="E200" s="76">
        <v>0.33704690356998562</v>
      </c>
      <c r="F200" s="75">
        <v>35.21</v>
      </c>
      <c r="G200" s="76">
        <v>0.35204454092848392</v>
      </c>
      <c r="H200" s="65">
        <f t="shared" si="19"/>
        <v>-1.3240842236997537E-2</v>
      </c>
      <c r="I200" s="65">
        <f t="shared" si="20"/>
        <v>0.35735840771605637</v>
      </c>
      <c r="J200" s="65">
        <f t="shared" si="21"/>
        <v>0.21326575161126266</v>
      </c>
      <c r="K200" s="82">
        <f t="shared" si="22"/>
        <v>0.05</v>
      </c>
      <c r="L200" s="60">
        <f t="shared" si="23"/>
        <v>-1.3254532334265819E-2</v>
      </c>
      <c r="M200" s="60"/>
      <c r="N200" s="60"/>
      <c r="O200" s="60">
        <f t="shared" si="24"/>
        <v>-2.171446821369831E-2</v>
      </c>
    </row>
    <row r="201" spans="1:15" ht="15.75" customHeight="1" x14ac:dyDescent="0.25">
      <c r="A201" s="74">
        <v>44615</v>
      </c>
      <c r="B201" s="75">
        <v>30.41</v>
      </c>
      <c r="C201" s="76">
        <v>0.3039126565815593</v>
      </c>
      <c r="D201" s="77">
        <v>34.450000000000003</v>
      </c>
      <c r="E201" s="76">
        <v>0.34444691742710892</v>
      </c>
      <c r="F201" s="75">
        <v>36</v>
      </c>
      <c r="G201" s="76">
        <v>0.35994452909654329</v>
      </c>
      <c r="H201" s="65">
        <f t="shared" si="19"/>
        <v>-8.1873717543948163E-3</v>
      </c>
      <c r="I201" s="65">
        <f t="shared" si="20"/>
        <v>0.36427952082857695</v>
      </c>
      <c r="J201" s="65">
        <f t="shared" si="21"/>
        <v>0.20105528957378177</v>
      </c>
      <c r="K201" s="82">
        <f t="shared" si="22"/>
        <v>0.1</v>
      </c>
      <c r="L201" s="60">
        <f t="shared" si="23"/>
        <v>-8.2010620390846108E-3</v>
      </c>
      <c r="M201" s="60"/>
      <c r="N201" s="60"/>
      <c r="O201" s="60">
        <f t="shared" si="24"/>
        <v>-7.5188324140272279E-3</v>
      </c>
    </row>
    <row r="202" spans="1:15" ht="15.75" customHeight="1" x14ac:dyDescent="0.25">
      <c r="A202" s="74">
        <v>44614</v>
      </c>
      <c r="B202" s="75">
        <v>30.66</v>
      </c>
      <c r="C202" s="76">
        <v>0.30641531131920491</v>
      </c>
      <c r="D202" s="77">
        <v>34.71</v>
      </c>
      <c r="E202" s="76">
        <v>0.34704770514032129</v>
      </c>
      <c r="F202" s="75">
        <v>36.450000000000003</v>
      </c>
      <c r="G202" s="76">
        <v>0.36444508361753708</v>
      </c>
      <c r="H202" s="65">
        <f t="shared" si="19"/>
        <v>-7.4736334868222313E-3</v>
      </c>
      <c r="I202" s="65">
        <f t="shared" si="20"/>
        <v>0.38260532448316187</v>
      </c>
      <c r="J202" s="65">
        <f t="shared" si="21"/>
        <v>0.1960580181199785</v>
      </c>
      <c r="K202" s="82">
        <f t="shared" si="22"/>
        <v>0.2</v>
      </c>
      <c r="L202" s="60">
        <f t="shared" si="23"/>
        <v>-7.4873239589385394E-3</v>
      </c>
      <c r="M202" s="60"/>
      <c r="N202" s="60"/>
      <c r="O202" s="60">
        <f t="shared" si="24"/>
        <v>-6.8906388061244156E-3</v>
      </c>
    </row>
    <row r="203" spans="1:15" ht="15.75" customHeight="1" x14ac:dyDescent="0.25">
      <c r="A203" s="74">
        <v>44613</v>
      </c>
      <c r="B203" s="75">
        <v>30.89</v>
      </c>
      <c r="C203" s="76">
        <v>0.30871815232123551</v>
      </c>
      <c r="D203" s="77">
        <v>34.950000000000003</v>
      </c>
      <c r="E203" s="76">
        <v>0.3494485401122438</v>
      </c>
      <c r="F203" s="75">
        <v>36</v>
      </c>
      <c r="G203" s="76">
        <v>0.35994699410703218</v>
      </c>
      <c r="H203" s="65">
        <f t="shared" si="19"/>
        <v>2.9178169509616243E-3</v>
      </c>
      <c r="I203" s="65">
        <f t="shared" si="20"/>
        <v>0.38244393452756487</v>
      </c>
      <c r="J203" s="65">
        <f t="shared" si="21"/>
        <v>0.17816858245114914</v>
      </c>
      <c r="K203" s="82">
        <f t="shared" si="22"/>
        <v>0.2</v>
      </c>
      <c r="L203" s="60">
        <f t="shared" si="23"/>
        <v>2.8767444100034167E-3</v>
      </c>
      <c r="M203" s="60"/>
      <c r="N203" s="60"/>
      <c r="O203" s="60">
        <f t="shared" si="24"/>
        <v>-9.964495259431605E-3</v>
      </c>
    </row>
    <row r="204" spans="1:15" ht="15.75" customHeight="1" x14ac:dyDescent="0.25">
      <c r="A204" s="74">
        <v>44610</v>
      </c>
      <c r="B204" s="75">
        <v>30.8</v>
      </c>
      <c r="C204" s="76">
        <v>0.30783132530120477</v>
      </c>
      <c r="D204" s="77">
        <v>35.299999999999997</v>
      </c>
      <c r="E204" s="76">
        <v>0.35295165045884119</v>
      </c>
      <c r="F204" s="75">
        <v>35.9</v>
      </c>
      <c r="G204" s="76">
        <v>0.35895082865360911</v>
      </c>
      <c r="H204" s="65">
        <f t="shared" si="19"/>
        <v>2.0003946260781332E-2</v>
      </c>
      <c r="I204" s="65">
        <f t="shared" si="20"/>
        <v>0.40909058370688867</v>
      </c>
      <c r="J204" s="65">
        <f t="shared" si="21"/>
        <v>0.18351598741332054</v>
      </c>
      <c r="K204" s="82">
        <f t="shared" si="22"/>
        <v>0.55000000000000004</v>
      </c>
      <c r="L204" s="60">
        <f t="shared" si="23"/>
        <v>1.9990255038907917E-2</v>
      </c>
      <c r="M204" s="60"/>
      <c r="N204" s="60"/>
      <c r="O204" s="60">
        <f t="shared" si="24"/>
        <v>2.6407963984547637E-2</v>
      </c>
    </row>
    <row r="205" spans="1:15" ht="15.75" customHeight="1" x14ac:dyDescent="0.25">
      <c r="A205" s="74">
        <v>44609</v>
      </c>
      <c r="B205" s="75">
        <v>30.19</v>
      </c>
      <c r="C205" s="76">
        <v>0.30173879708101148</v>
      </c>
      <c r="D205" s="77">
        <v>34.380000000000003</v>
      </c>
      <c r="E205" s="76">
        <v>0.34375408763897969</v>
      </c>
      <c r="F205" s="75">
        <v>34.9</v>
      </c>
      <c r="G205" s="76">
        <v>0.34895339321118068</v>
      </c>
      <c r="H205" s="65">
        <f t="shared" si="19"/>
        <v>-9.559987099698037E-3</v>
      </c>
      <c r="I205" s="65">
        <f t="shared" si="20"/>
        <v>0.40418232271625859</v>
      </c>
      <c r="J205" s="65">
        <f t="shared" si="21"/>
        <v>0.16538937805521889</v>
      </c>
      <c r="K205" s="82">
        <f t="shared" si="22"/>
        <v>0.4</v>
      </c>
      <c r="L205" s="60">
        <f t="shared" si="23"/>
        <v>-9.5736785090233794E-3</v>
      </c>
      <c r="M205" s="60"/>
      <c r="N205" s="60"/>
      <c r="O205" s="60">
        <f t="shared" si="24"/>
        <v>-5.5112539788298685E-3</v>
      </c>
    </row>
    <row r="206" spans="1:15" ht="15.75" customHeight="1" x14ac:dyDescent="0.25">
      <c r="A206" s="74">
        <v>44608</v>
      </c>
      <c r="B206" s="75">
        <v>30.48</v>
      </c>
      <c r="C206" s="76">
        <v>0.30464141953503648</v>
      </c>
      <c r="D206" s="77">
        <v>34.57</v>
      </c>
      <c r="E206" s="76">
        <v>0.34565501749772293</v>
      </c>
      <c r="F206" s="75">
        <v>35</v>
      </c>
      <c r="G206" s="76">
        <v>0.34995445798149549</v>
      </c>
      <c r="H206" s="65">
        <f t="shared" si="19"/>
        <v>8.8977354198647891E-3</v>
      </c>
      <c r="I206" s="65">
        <f t="shared" si="20"/>
        <v>0.41064316184499705</v>
      </c>
      <c r="J206" s="65">
        <f t="shared" si="21"/>
        <v>0.18670918281869031</v>
      </c>
      <c r="K206" s="82">
        <f t="shared" si="22"/>
        <v>0.75</v>
      </c>
      <c r="L206" s="60">
        <f t="shared" si="23"/>
        <v>8.8840438230822025E-3</v>
      </c>
      <c r="M206" s="60"/>
      <c r="N206" s="60"/>
      <c r="O206" s="60">
        <f t="shared" si="24"/>
        <v>1.5449950228359866E-2</v>
      </c>
    </row>
    <row r="207" spans="1:15" ht="15.75" customHeight="1" x14ac:dyDescent="0.25">
      <c r="A207" s="74">
        <v>44607</v>
      </c>
      <c r="B207" s="75">
        <v>30.21</v>
      </c>
      <c r="C207" s="76">
        <v>0.30194695839095248</v>
      </c>
      <c r="D207" s="77">
        <v>34.04</v>
      </c>
      <c r="E207" s="76">
        <v>0.34035687258806252</v>
      </c>
      <c r="F207" s="75">
        <v>34.5</v>
      </c>
      <c r="G207" s="76">
        <v>0.34495628978519838</v>
      </c>
      <c r="H207" s="65">
        <f t="shared" si="19"/>
        <v>1.1988155559969401E-2</v>
      </c>
      <c r="I207" s="65">
        <f t="shared" si="20"/>
        <v>0.41023209682563078</v>
      </c>
      <c r="J207" s="65">
        <f t="shared" si="21"/>
        <v>0.16676436434054245</v>
      </c>
      <c r="K207" s="82">
        <f t="shared" si="22"/>
        <v>0.7</v>
      </c>
      <c r="L207" s="60">
        <f t="shared" si="23"/>
        <v>1.1974463775724349E-2</v>
      </c>
      <c r="M207" s="60"/>
      <c r="N207" s="60"/>
      <c r="O207" s="60">
        <f t="shared" si="24"/>
        <v>1.301023673601479E-2</v>
      </c>
    </row>
    <row r="208" spans="1:15" ht="15.75" customHeight="1" x14ac:dyDescent="0.25">
      <c r="A208" s="74">
        <v>44606</v>
      </c>
      <c r="B208" s="75">
        <v>29.85</v>
      </c>
      <c r="C208" s="76">
        <v>0.29835286707924857</v>
      </c>
      <c r="D208" s="77">
        <v>33.6</v>
      </c>
      <c r="E208" s="76">
        <v>0.33595858044898569</v>
      </c>
      <c r="F208" s="75">
        <v>34</v>
      </c>
      <c r="G208" s="76">
        <v>0.33995808735909272</v>
      </c>
      <c r="H208" s="65">
        <f t="shared" si="19"/>
        <v>0</v>
      </c>
      <c r="I208" s="65">
        <f t="shared" si="20"/>
        <v>0.40871676308243893</v>
      </c>
      <c r="J208" s="65">
        <f t="shared" si="21"/>
        <v>0.1173491850155808</v>
      </c>
      <c r="K208" s="82">
        <f t="shared" si="22"/>
        <v>0.6</v>
      </c>
      <c r="L208" s="60">
        <f t="shared" si="23"/>
        <v>-4.1076477560804674E-5</v>
      </c>
      <c r="M208" s="60"/>
      <c r="N208" s="60"/>
      <c r="O208" s="60">
        <f t="shared" si="24"/>
        <v>0</v>
      </c>
    </row>
    <row r="209" spans="1:15" x14ac:dyDescent="0.25">
      <c r="A209" s="74">
        <v>44603</v>
      </c>
      <c r="B209" s="75">
        <v>29.85</v>
      </c>
      <c r="C209" s="76">
        <v>0.29836512261580378</v>
      </c>
      <c r="D209" s="77">
        <v>33.6</v>
      </c>
      <c r="E209" s="76">
        <v>0.33596203168819971</v>
      </c>
      <c r="F209" s="75">
        <v>34.15</v>
      </c>
      <c r="G209" s="76">
        <v>0.34146141018309573</v>
      </c>
      <c r="H209" s="65">
        <f t="shared" si="19"/>
        <v>-1.0331703301144236E-2</v>
      </c>
      <c r="I209" s="65">
        <f t="shared" si="20"/>
        <v>0.40897691133182862</v>
      </c>
      <c r="J209" s="65">
        <f t="shared" si="21"/>
        <v>0.24139877712978447</v>
      </c>
      <c r="K209" s="82">
        <f t="shared" si="22"/>
        <v>0.65</v>
      </c>
      <c r="L209" s="60">
        <f t="shared" si="23"/>
        <v>-1.0345395835290318E-2</v>
      </c>
      <c r="M209" s="60"/>
      <c r="N209" s="60"/>
      <c r="O209" s="60">
        <f t="shared" si="24"/>
        <v>-1.9160497739075744E-2</v>
      </c>
    </row>
    <row r="210" spans="1:15" x14ac:dyDescent="0.25">
      <c r="A210" s="74">
        <v>44602</v>
      </c>
      <c r="B210" s="75">
        <v>30.16</v>
      </c>
      <c r="C210" s="76">
        <v>0.3014678497097163</v>
      </c>
      <c r="D210" s="77">
        <v>34.25</v>
      </c>
      <c r="E210" s="76">
        <v>0.34246246986631601</v>
      </c>
      <c r="F210" s="75">
        <v>34.46</v>
      </c>
      <c r="G210" s="76">
        <v>0.34456223975454747</v>
      </c>
      <c r="H210" s="65">
        <f t="shared" si="19"/>
        <v>-1.4483465818579826E-2</v>
      </c>
      <c r="I210" s="65">
        <f t="shared" si="20"/>
        <v>0.41193732331610333</v>
      </c>
      <c r="J210" s="65">
        <f t="shared" si="21"/>
        <v>0.34291587958718123</v>
      </c>
      <c r="K210" s="82">
        <f t="shared" si="22"/>
        <v>0.9</v>
      </c>
      <c r="L210" s="60">
        <f t="shared" si="23"/>
        <v>-1.4497158540213745E-2</v>
      </c>
      <c r="M210" s="60"/>
      <c r="N210" s="60"/>
      <c r="O210" s="60">
        <f t="shared" si="24"/>
        <v>-1.5643424455616357E-2</v>
      </c>
    </row>
    <row r="211" spans="1:15" x14ac:dyDescent="0.25">
      <c r="A211" s="74">
        <v>44601</v>
      </c>
      <c r="B211" s="75">
        <v>30.6</v>
      </c>
      <c r="C211" s="76">
        <v>0.30587010995330749</v>
      </c>
      <c r="D211" s="77">
        <v>34.79</v>
      </c>
      <c r="E211" s="76">
        <v>0.34786306933168049</v>
      </c>
      <c r="F211" s="75">
        <v>34.89</v>
      </c>
      <c r="G211" s="76">
        <v>0.34886296317856669</v>
      </c>
      <c r="H211" s="65">
        <f t="shared" si="19"/>
        <v>-6.5146810211936419E-3</v>
      </c>
      <c r="I211" s="65">
        <f t="shared" si="20"/>
        <v>0.41025672966264509</v>
      </c>
      <c r="J211" s="65">
        <f t="shared" si="21"/>
        <v>0.36901937121880635</v>
      </c>
      <c r="K211" s="82">
        <f t="shared" si="22"/>
        <v>0.8</v>
      </c>
      <c r="L211" s="60">
        <f t="shared" si="23"/>
        <v>-6.5283739303210412E-3</v>
      </c>
      <c r="M211" s="60"/>
      <c r="N211" s="60"/>
      <c r="O211" s="60">
        <f t="shared" si="24"/>
        <v>3.1668372515096278E-3</v>
      </c>
    </row>
    <row r="212" spans="1:15" x14ac:dyDescent="0.25">
      <c r="A212" s="74">
        <v>44600</v>
      </c>
      <c r="B212" s="75">
        <v>30.8</v>
      </c>
      <c r="C212" s="76">
        <v>0.30787347665343012</v>
      </c>
      <c r="D212" s="77">
        <v>34.68</v>
      </c>
      <c r="E212" s="76">
        <v>0.34676437352326822</v>
      </c>
      <c r="F212" s="75">
        <v>34.200000000000003</v>
      </c>
      <c r="G212" s="76">
        <v>0.34196486662329217</v>
      </c>
      <c r="H212" s="65">
        <f t="shared" si="19"/>
        <v>3.2520353863773159E-3</v>
      </c>
      <c r="I212" s="65">
        <f t="shared" si="20"/>
        <v>0.41012604387340662</v>
      </c>
      <c r="J212" s="65">
        <f t="shared" si="21"/>
        <v>0.37802323188994158</v>
      </c>
      <c r="K212" s="82">
        <f t="shared" si="22"/>
        <v>0.8</v>
      </c>
      <c r="L212" s="60">
        <f t="shared" si="23"/>
        <v>3.2383422897517989E-3</v>
      </c>
      <c r="M212" s="60"/>
      <c r="N212" s="60"/>
      <c r="O212" s="60">
        <f t="shared" si="24"/>
        <v>6.9444723528112153E-3</v>
      </c>
    </row>
    <row r="213" spans="1:15" x14ac:dyDescent="0.25">
      <c r="A213" s="74">
        <v>44599</v>
      </c>
      <c r="B213" s="75">
        <v>30.7</v>
      </c>
      <c r="C213" s="76">
        <v>0.3068780895260787</v>
      </c>
      <c r="D213" s="77">
        <v>34.44</v>
      </c>
      <c r="E213" s="76">
        <v>0.34436579928705707</v>
      </c>
      <c r="F213" s="75">
        <v>34</v>
      </c>
      <c r="G213" s="76">
        <v>0.33996623622996353</v>
      </c>
      <c r="H213" s="65">
        <f t="shared" si="19"/>
        <v>2.3065272930995969E-2</v>
      </c>
      <c r="I213" s="65">
        <f t="shared" si="20"/>
        <v>0.4117802184933384</v>
      </c>
      <c r="J213" s="65">
        <f t="shared" si="21"/>
        <v>0.37943504694921248</v>
      </c>
      <c r="K213" s="82">
        <f t="shared" si="22"/>
        <v>0.9</v>
      </c>
      <c r="L213" s="60">
        <f t="shared" si="23"/>
        <v>2.3024192516078158E-2</v>
      </c>
      <c r="M213" s="60"/>
      <c r="N213" s="60"/>
      <c r="O213" s="60">
        <f t="shared" si="24"/>
        <v>1.02145934097182E-2</v>
      </c>
    </row>
    <row r="214" spans="1:15" x14ac:dyDescent="0.25">
      <c r="A214" s="74">
        <v>44596</v>
      </c>
      <c r="B214" s="75">
        <v>30</v>
      </c>
      <c r="C214" s="76">
        <v>0.29989318872730258</v>
      </c>
      <c r="D214" s="77">
        <v>34.090000000000003</v>
      </c>
      <c r="E214" s="76">
        <v>0.34086964859293362</v>
      </c>
      <c r="F214" s="75">
        <v>33.75</v>
      </c>
      <c r="G214" s="76">
        <v>0.33746995130570567</v>
      </c>
      <c r="H214" s="65">
        <f t="shared" si="19"/>
        <v>-3.4401426717332435E-2</v>
      </c>
      <c r="I214" s="65">
        <f t="shared" si="20"/>
        <v>0.40545088312446964</v>
      </c>
      <c r="J214" s="65">
        <f t="shared" si="21"/>
        <v>0.40594120990914917</v>
      </c>
      <c r="K214" s="82">
        <f t="shared" si="22"/>
        <v>0.85</v>
      </c>
      <c r="L214" s="60">
        <f t="shared" si="23"/>
        <v>-3.4415120564002678E-2</v>
      </c>
      <c r="M214" s="60"/>
      <c r="N214" s="60"/>
      <c r="O214" s="60">
        <f t="shared" si="24"/>
        <v>-2.6343975339601863E-2</v>
      </c>
    </row>
    <row r="215" spans="1:15" x14ac:dyDescent="0.25">
      <c r="A215" s="74">
        <v>44595</v>
      </c>
      <c r="B215" s="75">
        <v>31.05</v>
      </c>
      <c r="C215" s="76">
        <v>0.31039370078740158</v>
      </c>
      <c r="D215" s="77">
        <v>35</v>
      </c>
      <c r="E215" s="76">
        <v>0.3499700368119168</v>
      </c>
      <c r="F215" s="75">
        <v>34.85</v>
      </c>
      <c r="G215" s="76">
        <v>0.34847016522558</v>
      </c>
      <c r="H215" s="65">
        <f t="shared" si="19"/>
        <v>-2.5438573638684635E-2</v>
      </c>
      <c r="I215" s="65">
        <f t="shared" si="20"/>
        <v>0.39394500769018365</v>
      </c>
      <c r="J215" s="65">
        <f t="shared" si="21"/>
        <v>0.57341484899083472</v>
      </c>
      <c r="K215" s="82">
        <f t="shared" si="22"/>
        <v>0.8</v>
      </c>
      <c r="L215" s="60">
        <f t="shared" si="23"/>
        <v>-2.5452267672878882E-2</v>
      </c>
      <c r="M215" s="60"/>
      <c r="N215" s="60"/>
      <c r="O215" s="60">
        <f t="shared" si="24"/>
        <v>-1.6435620748275339E-2</v>
      </c>
    </row>
    <row r="216" spans="1:15" x14ac:dyDescent="0.25">
      <c r="A216" s="74">
        <v>44594</v>
      </c>
      <c r="B216" s="75">
        <v>31.85</v>
      </c>
      <c r="C216" s="76">
        <v>0.31839532208588961</v>
      </c>
      <c r="D216" s="77">
        <v>35.58</v>
      </c>
      <c r="E216" s="76">
        <v>0.35577075856778889</v>
      </c>
      <c r="F216" s="75">
        <v>35.5</v>
      </c>
      <c r="G216" s="76">
        <v>0.35497082431580967</v>
      </c>
      <c r="H216" s="65">
        <f t="shared" si="19"/>
        <v>3.1446566794717814E-3</v>
      </c>
      <c r="I216" s="65">
        <f t="shared" si="20"/>
        <v>0.41127335349193395</v>
      </c>
      <c r="J216" s="65">
        <f t="shared" si="21"/>
        <v>0.5594908478940418</v>
      </c>
      <c r="K216" s="82">
        <f t="shared" si="22"/>
        <v>0.9</v>
      </c>
      <c r="L216" s="60">
        <f t="shared" si="23"/>
        <v>3.1309624577486425E-3</v>
      </c>
      <c r="M216" s="60"/>
      <c r="N216" s="60"/>
      <c r="O216" s="60">
        <f t="shared" si="24"/>
        <v>1.0737599633637631E-2</v>
      </c>
    </row>
    <row r="217" spans="1:15" x14ac:dyDescent="0.25">
      <c r="A217" s="74">
        <v>44593</v>
      </c>
      <c r="B217" s="75">
        <v>31.75</v>
      </c>
      <c r="C217" s="76">
        <v>0.31739999726113688</v>
      </c>
      <c r="D217" s="77">
        <v>35.200000000000003</v>
      </c>
      <c r="E217" s="76">
        <v>0.3519722761563302</v>
      </c>
      <c r="F217" s="75">
        <v>35.450000000000003</v>
      </c>
      <c r="G217" s="76">
        <v>0.3544720792540314</v>
      </c>
      <c r="H217" s="65">
        <f t="shared" si="19"/>
        <v>4.1028935573747304E-3</v>
      </c>
      <c r="I217" s="65">
        <f t="shared" si="20"/>
        <v>0.41516197658358572</v>
      </c>
      <c r="J217" s="65">
        <f t="shared" si="21"/>
        <v>0.55918404550302514</v>
      </c>
      <c r="K217" s="82">
        <f t="shared" si="22"/>
        <v>1</v>
      </c>
      <c r="L217" s="60">
        <f t="shared" si="23"/>
        <v>4.0891991481168278E-3</v>
      </c>
      <c r="M217" s="60"/>
      <c r="N217" s="60"/>
      <c r="O217" s="60">
        <f t="shared" si="24"/>
        <v>-8.4866138773185811E-3</v>
      </c>
    </row>
    <row r="218" spans="1:15" x14ac:dyDescent="0.25">
      <c r="A218" s="74">
        <v>44592</v>
      </c>
      <c r="B218" s="75">
        <v>31.62</v>
      </c>
      <c r="C218" s="76">
        <v>0.31610473555914659</v>
      </c>
      <c r="D218" s="77">
        <v>35.5</v>
      </c>
      <c r="E218" s="76">
        <v>0.35497325543965857</v>
      </c>
      <c r="F218" s="75">
        <v>36.6</v>
      </c>
      <c r="G218" s="76">
        <v>0.36597242673497199</v>
      </c>
      <c r="H218" s="65">
        <f t="shared" si="19"/>
        <v>2.8225093670876143E-2</v>
      </c>
      <c r="I218" s="65">
        <f t="shared" si="20"/>
        <v>0.41512633935112159</v>
      </c>
      <c r="J218" s="65">
        <f t="shared" si="21"/>
        <v>0.53850271866955068</v>
      </c>
      <c r="K218" s="82">
        <f t="shared" si="22"/>
        <v>1</v>
      </c>
      <c r="L218" s="60">
        <f t="shared" si="23"/>
        <v>2.8184009317846353E-2</v>
      </c>
      <c r="M218" s="60"/>
      <c r="N218" s="60"/>
      <c r="O218" s="60">
        <f t="shared" si="24"/>
        <v>2.4234970845457966E-2</v>
      </c>
    </row>
    <row r="219" spans="1:15" x14ac:dyDescent="0.25">
      <c r="A219" s="74">
        <v>44589</v>
      </c>
      <c r="B219" s="75">
        <v>30.74</v>
      </c>
      <c r="C219" s="76">
        <v>0.3073200125994604</v>
      </c>
      <c r="D219" s="77">
        <v>34.65</v>
      </c>
      <c r="E219" s="76">
        <v>0.34647745523407719</v>
      </c>
      <c r="F219" s="75">
        <v>35.9</v>
      </c>
      <c r="G219" s="76">
        <v>0.35897664193083317</v>
      </c>
      <c r="H219" s="65">
        <f t="shared" si="19"/>
        <v>6.9713458215171192E-2</v>
      </c>
      <c r="I219" s="65">
        <f t="shared" si="20"/>
        <v>0.40150227411764722</v>
      </c>
      <c r="J219" s="65">
        <f t="shared" si="21"/>
        <v>0.69050388713856936</v>
      </c>
      <c r="K219" s="82">
        <f t="shared" si="22"/>
        <v>1</v>
      </c>
      <c r="L219" s="60">
        <f t="shared" si="23"/>
        <v>6.9699763055725117E-2</v>
      </c>
      <c r="M219" s="60"/>
      <c r="N219" s="60"/>
      <c r="O219" s="60">
        <f t="shared" si="24"/>
        <v>7.054014086572831E-2</v>
      </c>
    </row>
    <row r="220" spans="1:15" x14ac:dyDescent="0.25">
      <c r="A220" s="74">
        <v>44588</v>
      </c>
      <c r="B220" s="75">
        <v>28.67</v>
      </c>
      <c r="C220" s="76">
        <v>0.28662932427620591</v>
      </c>
      <c r="D220" s="77">
        <v>32.29</v>
      </c>
      <c r="E220" s="76">
        <v>0.32288009643241172</v>
      </c>
      <c r="F220" s="75">
        <v>32.700000000000003</v>
      </c>
      <c r="G220" s="76">
        <v>0.32697984370826461</v>
      </c>
      <c r="H220" s="65">
        <f t="shared" si="19"/>
        <v>-2.2418597123172259E-2</v>
      </c>
      <c r="I220" s="65">
        <f t="shared" si="20"/>
        <v>0.29292609604728481</v>
      </c>
      <c r="J220" s="65">
        <f t="shared" si="21"/>
        <v>0.46526486286672147</v>
      </c>
      <c r="K220" s="82">
        <f t="shared" si="22"/>
        <v>0.75</v>
      </c>
      <c r="L220" s="60">
        <f t="shared" si="23"/>
        <v>-2.2432292470178299E-2</v>
      </c>
      <c r="M220" s="60"/>
      <c r="N220" s="60"/>
      <c r="O220" s="60">
        <f t="shared" si="24"/>
        <v>-1.231163596593535E-2</v>
      </c>
    </row>
    <row r="221" spans="1:15" x14ac:dyDescent="0.25">
      <c r="A221" s="74">
        <v>44587</v>
      </c>
      <c r="B221" s="75">
        <v>29.32</v>
      </c>
      <c r="C221" s="76">
        <v>0.29313173644493751</v>
      </c>
      <c r="D221" s="77">
        <v>32.69</v>
      </c>
      <c r="E221" s="76">
        <v>0.32688096925863902</v>
      </c>
      <c r="F221" s="75">
        <v>33.049999999999997</v>
      </c>
      <c r="G221" s="76">
        <v>0.3304807596817993</v>
      </c>
      <c r="H221" s="65">
        <f t="shared" si="19"/>
        <v>3.646870531295178E-2</v>
      </c>
      <c r="I221" s="65">
        <f t="shared" si="20"/>
        <v>0.28739238012015672</v>
      </c>
      <c r="J221" s="65">
        <f t="shared" si="21"/>
        <v>0.46002895503707153</v>
      </c>
      <c r="K221" s="82">
        <f t="shared" si="22"/>
        <v>0.7</v>
      </c>
      <c r="L221" s="60">
        <f t="shared" si="23"/>
        <v>3.6455009778380745E-2</v>
      </c>
      <c r="M221" s="60"/>
      <c r="N221" s="60"/>
      <c r="O221" s="60">
        <f t="shared" si="24"/>
        <v>2.2897039912575287E-2</v>
      </c>
    </row>
    <row r="222" spans="1:15" x14ac:dyDescent="0.25">
      <c r="A222" s="74">
        <v>44586</v>
      </c>
      <c r="B222" s="75">
        <v>28.27</v>
      </c>
      <c r="C222" s="76">
        <v>0.28263805193382269</v>
      </c>
      <c r="D222" s="77">
        <v>31.95</v>
      </c>
      <c r="E222" s="76">
        <v>0.31948249410991181</v>
      </c>
      <c r="F222" s="75">
        <v>31.99</v>
      </c>
      <c r="G222" s="76">
        <v>0.31988247219330451</v>
      </c>
      <c r="H222" s="65">
        <f t="shared" si="19"/>
        <v>1.6405503459625426E-2</v>
      </c>
      <c r="I222" s="65">
        <f t="shared" si="20"/>
        <v>0.25549542310685164</v>
      </c>
      <c r="J222" s="65">
        <f t="shared" si="21"/>
        <v>0.34139253911042228</v>
      </c>
      <c r="K222" s="82">
        <f t="shared" si="22"/>
        <v>0.15</v>
      </c>
      <c r="L222" s="60">
        <f t="shared" si="23"/>
        <v>1.6391807737483825E-2</v>
      </c>
      <c r="M222" s="60"/>
      <c r="N222" s="60"/>
      <c r="O222" s="60">
        <f t="shared" si="24"/>
        <v>1.1015060230677221E-2</v>
      </c>
    </row>
    <row r="223" spans="1:15" x14ac:dyDescent="0.25">
      <c r="A223" s="74">
        <v>44585</v>
      </c>
      <c r="B223" s="75">
        <v>27.81</v>
      </c>
      <c r="C223" s="76">
        <v>0.27804286790385541</v>
      </c>
      <c r="D223" s="77">
        <v>31.6</v>
      </c>
      <c r="E223" s="76">
        <v>0.31598376795712552</v>
      </c>
      <c r="F223" s="75">
        <v>31.75</v>
      </c>
      <c r="G223" s="76">
        <v>0.31748369090628908</v>
      </c>
      <c r="H223" s="65">
        <f t="shared" si="19"/>
        <v>-3.4979718896026815E-2</v>
      </c>
      <c r="I223" s="65">
        <f t="shared" si="20"/>
        <v>0.27273894391950898</v>
      </c>
      <c r="J223" s="65">
        <f t="shared" si="21"/>
        <v>0.28204429994283181</v>
      </c>
      <c r="K223" s="82">
        <f t="shared" si="22"/>
        <v>0.55000000000000004</v>
      </c>
      <c r="L223" s="60">
        <f t="shared" si="23"/>
        <v>-4.0032523099526832E-2</v>
      </c>
      <c r="M223" s="60"/>
      <c r="N223" s="60"/>
      <c r="O223" s="60">
        <f t="shared" si="24"/>
        <v>-2.3147733556094424E-2</v>
      </c>
    </row>
    <row r="224" spans="1:15" x14ac:dyDescent="0.25">
      <c r="A224" s="74">
        <v>44582</v>
      </c>
      <c r="B224" s="75">
        <v>28.8</v>
      </c>
      <c r="C224" s="76">
        <v>0.28939942461491869</v>
      </c>
      <c r="D224" s="77">
        <v>32.340000000000003</v>
      </c>
      <c r="E224" s="76">
        <v>0.32379143279375411</v>
      </c>
      <c r="F224" s="75">
        <v>32.9</v>
      </c>
      <c r="G224" s="76">
        <v>0.3293982108507888</v>
      </c>
      <c r="H224" s="65">
        <f t="shared" si="19"/>
        <v>2.433514150702087E-3</v>
      </c>
      <c r="I224" s="65">
        <f t="shared" si="20"/>
        <v>0.25125609136355481</v>
      </c>
      <c r="J224" s="65">
        <f t="shared" si="21"/>
        <v>0.16859509830421698</v>
      </c>
      <c r="K224" s="82">
        <f t="shared" si="22"/>
        <v>0.05</v>
      </c>
      <c r="L224" s="60">
        <f t="shared" si="23"/>
        <v>2.4197488626283726E-3</v>
      </c>
      <c r="M224" s="60"/>
      <c r="N224" s="60"/>
      <c r="O224" s="60">
        <f t="shared" si="24"/>
        <v>2.7868109071794377E-3</v>
      </c>
    </row>
    <row r="225" spans="1:15" x14ac:dyDescent="0.25">
      <c r="A225" s="74">
        <v>44581</v>
      </c>
      <c r="B225" s="75">
        <v>28.73</v>
      </c>
      <c r="C225" s="76">
        <v>0.28869999724692352</v>
      </c>
      <c r="D225" s="77">
        <v>32.25</v>
      </c>
      <c r="E225" s="76">
        <v>0.32289145059421348</v>
      </c>
      <c r="F225" s="75">
        <v>32.799999999999997</v>
      </c>
      <c r="G225" s="76">
        <v>0.32839812649582018</v>
      </c>
      <c r="H225" s="65">
        <f t="shared" si="19"/>
        <v>-2.0669009998161368E-2</v>
      </c>
      <c r="I225" s="65">
        <f t="shared" si="20"/>
        <v>0.258175669339193</v>
      </c>
      <c r="J225" s="65">
        <f t="shared" si="21"/>
        <v>0.18036074677951436</v>
      </c>
      <c r="K225" s="82">
        <f t="shared" si="22"/>
        <v>0.1</v>
      </c>
      <c r="L225" s="60">
        <f t="shared" si="23"/>
        <v>-2.0682775475720172E-2</v>
      </c>
      <c r="M225" s="60"/>
      <c r="N225" s="60"/>
      <c r="O225" s="60">
        <f t="shared" si="24"/>
        <v>-1.2326812480658521E-2</v>
      </c>
    </row>
    <row r="226" spans="1:15" x14ac:dyDescent="0.25">
      <c r="A226" s="74">
        <v>44580</v>
      </c>
      <c r="B226" s="75">
        <v>29.33</v>
      </c>
      <c r="C226" s="76">
        <v>0.29473329203661641</v>
      </c>
      <c r="D226" s="77">
        <v>32.65</v>
      </c>
      <c r="E226" s="76">
        <v>0.32689742666598087</v>
      </c>
      <c r="F226" s="75">
        <v>33</v>
      </c>
      <c r="G226" s="76">
        <v>0.33040168698246147</v>
      </c>
      <c r="H226" s="65">
        <f t="shared" si="19"/>
        <v>6.8423120180164708E-3</v>
      </c>
      <c r="I226" s="65">
        <f t="shared" si="20"/>
        <v>0.25176949675004417</v>
      </c>
      <c r="J226" s="65">
        <f t="shared" si="21"/>
        <v>0.14274432844306728</v>
      </c>
      <c r="K226" s="82">
        <f t="shared" si="22"/>
        <v>0.05</v>
      </c>
      <c r="L226" s="60">
        <f t="shared" si="23"/>
        <v>6.8285463509662019E-3</v>
      </c>
      <c r="M226" s="60"/>
      <c r="N226" s="60"/>
      <c r="O226" s="60">
        <f t="shared" si="24"/>
        <v>1.3567892379332511E-2</v>
      </c>
    </row>
    <row r="227" spans="1:15" x14ac:dyDescent="0.25">
      <c r="A227" s="74">
        <v>44579</v>
      </c>
      <c r="B227" s="75">
        <v>29.13</v>
      </c>
      <c r="C227" s="76">
        <v>0.29272754804250872</v>
      </c>
      <c r="D227" s="77">
        <v>32.21</v>
      </c>
      <c r="E227" s="76">
        <v>0.32249317661258248</v>
      </c>
      <c r="F227" s="75">
        <v>33</v>
      </c>
      <c r="G227" s="76">
        <v>0.3304028198762875</v>
      </c>
      <c r="H227" s="65">
        <f t="shared" si="19"/>
        <v>-3.084835351210151E-3</v>
      </c>
      <c r="I227" s="65">
        <f t="shared" si="20"/>
        <v>0.24880745867247828</v>
      </c>
      <c r="J227" s="65">
        <f t="shared" si="21"/>
        <v>9.3083455546721303E-2</v>
      </c>
      <c r="K227" s="82">
        <f t="shared" si="22"/>
        <v>0</v>
      </c>
      <c r="L227" s="60">
        <f t="shared" si="23"/>
        <v>-3.0986012077563567E-3</v>
      </c>
      <c r="M227" s="60"/>
      <c r="N227" s="60"/>
      <c r="O227" s="60">
        <f t="shared" si="24"/>
        <v>-5.881459455176135E-3</v>
      </c>
    </row>
    <row r="228" spans="1:15" x14ac:dyDescent="0.25">
      <c r="A228" s="74">
        <v>44578</v>
      </c>
      <c r="B228" s="75">
        <v>29.22</v>
      </c>
      <c r="C228" s="76">
        <v>0.29363600071582951</v>
      </c>
      <c r="D228" s="77">
        <v>32.4</v>
      </c>
      <c r="E228" s="76">
        <v>0.32439660818192101</v>
      </c>
      <c r="F228" s="75">
        <v>33.06</v>
      </c>
      <c r="G228" s="76">
        <v>0.33100468723747872</v>
      </c>
      <c r="H228" s="65">
        <f t="shared" si="19"/>
        <v>-3.0753484002476487E-3</v>
      </c>
      <c r="I228" s="65">
        <f t="shared" si="20"/>
        <v>0.26707956268366856</v>
      </c>
      <c r="J228" s="65">
        <f t="shared" si="21"/>
        <v>8.2650357779784661E-2</v>
      </c>
      <c r="K228" s="82">
        <f t="shared" si="22"/>
        <v>0.1</v>
      </c>
      <c r="L228" s="60">
        <f t="shared" si="23"/>
        <v>-3.1166471069155057E-3</v>
      </c>
      <c r="M228" s="60"/>
      <c r="N228" s="60"/>
      <c r="O228" s="60">
        <f t="shared" si="24"/>
        <v>-1.0439149144705272E-2</v>
      </c>
    </row>
    <row r="229" spans="1:15" x14ac:dyDescent="0.25">
      <c r="A229" s="74">
        <v>44575</v>
      </c>
      <c r="B229" s="75">
        <v>29.31</v>
      </c>
      <c r="C229" s="76">
        <v>0.29455258810572688</v>
      </c>
      <c r="D229" s="77">
        <v>32.74</v>
      </c>
      <c r="E229" s="76">
        <v>0.32780414209299141</v>
      </c>
      <c r="F229" s="75">
        <v>33.409999999999997</v>
      </c>
      <c r="G229" s="76">
        <v>0.33451241256343428</v>
      </c>
      <c r="H229" s="65">
        <f t="shared" si="19"/>
        <v>-1.6579638788557796E-2</v>
      </c>
      <c r="I229" s="65">
        <f t="shared" si="20"/>
        <v>0.26790768372529328</v>
      </c>
      <c r="J229" s="65">
        <f t="shared" si="21"/>
        <v>0.17859680787633558</v>
      </c>
      <c r="K229" s="82">
        <f t="shared" si="22"/>
        <v>0.15</v>
      </c>
      <c r="L229" s="60">
        <f t="shared" si="23"/>
        <v>-1.1581138913821591E-2</v>
      </c>
      <c r="M229" s="60"/>
      <c r="N229" s="60"/>
      <c r="O229" s="60">
        <f t="shared" si="24"/>
        <v>3.0548342989994122E-4</v>
      </c>
    </row>
    <row r="230" spans="1:15" x14ac:dyDescent="0.25">
      <c r="A230" s="74">
        <v>44574</v>
      </c>
      <c r="B230" s="75">
        <v>29.8</v>
      </c>
      <c r="C230" s="76">
        <v>0.29798367212755472</v>
      </c>
      <c r="D230" s="77">
        <v>32.729999999999997</v>
      </c>
      <c r="E230" s="76">
        <v>0.32729551649977401</v>
      </c>
      <c r="F230" s="75">
        <v>33.83</v>
      </c>
      <c r="G230" s="76">
        <v>0.33829536581690661</v>
      </c>
      <c r="H230" s="65">
        <f t="shared" si="19"/>
        <v>-1.0681009420334052E-2</v>
      </c>
      <c r="I230" s="65">
        <f t="shared" si="20"/>
        <v>0.26757039122226217</v>
      </c>
      <c r="J230" s="65">
        <f t="shared" si="21"/>
        <v>0.20475250474788492</v>
      </c>
      <c r="K230" s="82">
        <f t="shared" si="22"/>
        <v>0.1</v>
      </c>
      <c r="L230" s="60">
        <f t="shared" si="23"/>
        <v>-1.0694707393718856E-2</v>
      </c>
      <c r="M230" s="60"/>
      <c r="N230" s="60"/>
      <c r="O230" s="60">
        <f t="shared" si="24"/>
        <v>-2.3253350317931659E-2</v>
      </c>
    </row>
    <row r="231" spans="1:15" x14ac:dyDescent="0.25">
      <c r="A231" s="74">
        <v>44573</v>
      </c>
      <c r="B231" s="75">
        <v>30.12</v>
      </c>
      <c r="C231" s="76">
        <v>0.30118762242647562</v>
      </c>
      <c r="D231" s="77">
        <v>33.5</v>
      </c>
      <c r="E231" s="76">
        <v>0.3349965582545385</v>
      </c>
      <c r="F231" s="75">
        <v>33.9</v>
      </c>
      <c r="G231" s="76">
        <v>0.33899651715907031</v>
      </c>
      <c r="H231" s="65">
        <f t="shared" si="19"/>
        <v>-5.9583095836306353E-3</v>
      </c>
      <c r="I231" s="65">
        <f t="shared" si="20"/>
        <v>0.2667777514869209</v>
      </c>
      <c r="J231" s="65">
        <f t="shared" si="21"/>
        <v>0.32029334939885373</v>
      </c>
      <c r="K231" s="82">
        <f t="shared" si="22"/>
        <v>0.05</v>
      </c>
      <c r="L231" s="60">
        <f t="shared" si="23"/>
        <v>-5.9720077446529579E-3</v>
      </c>
      <c r="M231" s="60"/>
      <c r="N231" s="60"/>
      <c r="O231" s="60">
        <f t="shared" si="24"/>
        <v>-1.0393560527263307E-2</v>
      </c>
    </row>
    <row r="232" spans="1:15" x14ac:dyDescent="0.25">
      <c r="A232" s="74">
        <v>44572</v>
      </c>
      <c r="B232" s="75">
        <v>30.3</v>
      </c>
      <c r="C232" s="76">
        <v>0.30299169885756561</v>
      </c>
      <c r="D232" s="77">
        <v>33.85</v>
      </c>
      <c r="E232" s="76">
        <v>0.3384976815227293</v>
      </c>
      <c r="F232" s="75">
        <v>34</v>
      </c>
      <c r="G232" s="76">
        <v>0.33999767124882713</v>
      </c>
      <c r="H232" s="65">
        <f t="shared" si="19"/>
        <v>-9.8522964430117071E-3</v>
      </c>
      <c r="I232" s="65">
        <f t="shared" si="20"/>
        <v>0.26819318271869586</v>
      </c>
      <c r="J232" s="65">
        <f t="shared" si="21"/>
        <v>0.31352515858880387</v>
      </c>
      <c r="K232" s="82">
        <f t="shared" si="22"/>
        <v>0.05</v>
      </c>
      <c r="L232" s="60">
        <f t="shared" si="23"/>
        <v>-9.8659947916754677E-3</v>
      </c>
      <c r="M232" s="60"/>
      <c r="N232" s="60"/>
      <c r="O232" s="60">
        <f t="shared" si="24"/>
        <v>2.9585820397452626E-3</v>
      </c>
    </row>
    <row r="233" spans="1:15" x14ac:dyDescent="0.25">
      <c r="A233" s="74">
        <v>44571</v>
      </c>
      <c r="B233" s="75">
        <v>30.6</v>
      </c>
      <c r="C233" s="76">
        <v>0.30599580827659889</v>
      </c>
      <c r="D233" s="77">
        <v>33.75</v>
      </c>
      <c r="E233" s="76">
        <v>0.33749884418204051</v>
      </c>
      <c r="F233" s="75">
        <v>34.299999999999997</v>
      </c>
      <c r="G233" s="76">
        <v>0.34299882534648851</v>
      </c>
      <c r="H233" s="65">
        <f t="shared" si="19"/>
        <v>1.2496052113741643E-2</v>
      </c>
      <c r="I233" s="65">
        <f t="shared" si="20"/>
        <v>0.27243428238604406</v>
      </c>
      <c r="J233" s="65">
        <f t="shared" si="21"/>
        <v>0.31658476864574842</v>
      </c>
      <c r="K233" s="82">
        <f t="shared" si="22"/>
        <v>0.05</v>
      </c>
      <c r="L233" s="60">
        <f t="shared" si="23"/>
        <v>1.4972401518194813E-2</v>
      </c>
      <c r="M233" s="60"/>
      <c r="N233" s="60"/>
      <c r="O233" s="60">
        <f t="shared" si="24"/>
        <v>-1.0023668831272967E-2</v>
      </c>
    </row>
    <row r="234" spans="1:15" x14ac:dyDescent="0.25">
      <c r="A234" s="67">
        <v>44568</v>
      </c>
      <c r="B234" s="68">
        <v>30.22</v>
      </c>
      <c r="C234" s="71">
        <v>0.30144844360635131</v>
      </c>
      <c r="D234" s="69">
        <v>34.090000000000003</v>
      </c>
      <c r="E234" s="71">
        <v>0.34068765358577868</v>
      </c>
      <c r="F234" s="68">
        <v>35</v>
      </c>
      <c r="G234" s="71">
        <v>0.34978198520100479</v>
      </c>
      <c r="H234" s="65">
        <f t="shared" si="19"/>
        <v>-2.2575799299431522E-2</v>
      </c>
      <c r="I234" s="65">
        <f t="shared" si="20"/>
        <v>0.26382353279306525</v>
      </c>
      <c r="J234" s="65">
        <f t="shared" si="21"/>
        <v>0.29790401879835116</v>
      </c>
      <c r="K234" s="82">
        <f t="shared" si="22"/>
        <v>0</v>
      </c>
      <c r="L234" s="60">
        <f t="shared" si="23"/>
        <v>-2.2589463955116351E-2</v>
      </c>
      <c r="M234" s="60"/>
      <c r="N234" s="60"/>
      <c r="O234" s="60">
        <f t="shared" si="24"/>
        <v>-1.2534780065415432E-2</v>
      </c>
    </row>
    <row r="235" spans="1:15" x14ac:dyDescent="0.25">
      <c r="A235" s="67">
        <v>44567</v>
      </c>
      <c r="B235" s="68">
        <v>30.91</v>
      </c>
      <c r="C235" s="71">
        <v>0.30833549691859907</v>
      </c>
      <c r="D235" s="69">
        <v>34.520000000000003</v>
      </c>
      <c r="E235" s="71">
        <v>0.34498615584175568</v>
      </c>
      <c r="F235" s="68">
        <v>35.99</v>
      </c>
      <c r="G235" s="71">
        <v>0.35967704950013862</v>
      </c>
      <c r="H235" s="65">
        <f t="shared" si="19"/>
        <v>-4.0886696406337755E-2</v>
      </c>
      <c r="I235" s="65">
        <f t="shared" si="20"/>
        <v>0.29568361576392516</v>
      </c>
      <c r="J235" s="65">
        <f t="shared" si="21"/>
        <v>0.29170240601652364</v>
      </c>
      <c r="K235" s="82">
        <f t="shared" si="22"/>
        <v>0.05</v>
      </c>
      <c r="L235" s="60">
        <f t="shared" si="23"/>
        <v>-4.090036124874815E-2</v>
      </c>
      <c r="M235" s="60"/>
      <c r="N235" s="60"/>
      <c r="O235" s="60">
        <f t="shared" si="24"/>
        <v>-2.7993830266142786E-2</v>
      </c>
    </row>
    <row r="236" spans="1:15" x14ac:dyDescent="0.25">
      <c r="A236" s="67">
        <v>44566</v>
      </c>
      <c r="B236" s="68">
        <v>32.200000000000003</v>
      </c>
      <c r="C236" s="71">
        <v>0.32120798032249248</v>
      </c>
      <c r="D236" s="69">
        <v>35.5</v>
      </c>
      <c r="E236" s="71">
        <v>0.35478129919912382</v>
      </c>
      <c r="F236" s="68">
        <v>36.799999999999997</v>
      </c>
      <c r="G236" s="71">
        <v>0.36777329043740159</v>
      </c>
      <c r="H236" s="65">
        <f t="shared" si="19"/>
        <v>-1.6936509530898175E-2</v>
      </c>
      <c r="I236" s="65">
        <f t="shared" si="20"/>
        <v>0.27413729500374884</v>
      </c>
      <c r="J236" s="65">
        <f t="shared" si="21"/>
        <v>0.16715847125035882</v>
      </c>
      <c r="K236" s="82">
        <f t="shared" si="22"/>
        <v>0</v>
      </c>
      <c r="L236" s="60">
        <f t="shared" si="23"/>
        <v>-1.6950174560039076E-2</v>
      </c>
      <c r="M236" s="60"/>
      <c r="N236" s="60"/>
      <c r="O236" s="60">
        <f t="shared" si="24"/>
        <v>-1.3708425609569221E-2</v>
      </c>
    </row>
    <row r="237" spans="1:15" x14ac:dyDescent="0.25">
      <c r="A237" s="67">
        <v>44565</v>
      </c>
      <c r="B237" s="68">
        <v>32.75</v>
      </c>
      <c r="C237" s="71">
        <v>0.32669891635578507</v>
      </c>
      <c r="D237" s="69">
        <v>35.99</v>
      </c>
      <c r="E237" s="71">
        <v>0.35967951153231409</v>
      </c>
      <c r="F237" s="68">
        <v>37.1</v>
      </c>
      <c r="G237" s="71">
        <v>0.37077271124892619</v>
      </c>
      <c r="H237" s="65">
        <f t="shared" si="19"/>
        <v>-7.6045993852193036E-3</v>
      </c>
      <c r="I237" s="65">
        <f t="shared" si="20"/>
        <v>0.29640897469280442</v>
      </c>
      <c r="J237" s="65">
        <f t="shared" si="21"/>
        <v>0.22499031288460533</v>
      </c>
      <c r="K237" s="82">
        <f t="shared" si="22"/>
        <v>0</v>
      </c>
      <c r="L237" s="60">
        <f t="shared" si="23"/>
        <v>-7.6182646010958775E-3</v>
      </c>
      <c r="M237" s="60"/>
      <c r="N237" s="60"/>
      <c r="O237" s="60">
        <f t="shared" si="24"/>
        <v>-8.5766191798656161E-3</v>
      </c>
    </row>
    <row r="238" spans="1:15" x14ac:dyDescent="0.25">
      <c r="A238" s="67">
        <v>44564</v>
      </c>
      <c r="B238" s="68">
        <v>33</v>
      </c>
      <c r="C238" s="71">
        <v>0.32919729973489298</v>
      </c>
      <c r="D238" s="69">
        <v>36.299999999999997</v>
      </c>
      <c r="E238" s="71">
        <v>0.36277885398626858</v>
      </c>
      <c r="F238" s="68">
        <v>37.4</v>
      </c>
      <c r="G238" s="71">
        <v>0.37377215259191321</v>
      </c>
      <c r="H238" s="65">
        <f t="shared" si="19"/>
        <v>9.1324835632724723E-3</v>
      </c>
      <c r="I238" s="65">
        <f t="shared" si="20"/>
        <v>0.29957430471815732</v>
      </c>
      <c r="J238" s="65">
        <f t="shared" si="21"/>
        <v>0.29125559329922829</v>
      </c>
      <c r="K238" s="82">
        <f t="shared" si="22"/>
        <v>0</v>
      </c>
      <c r="L238" s="60">
        <f t="shared" si="23"/>
        <v>9.0778208323088107E-3</v>
      </c>
      <c r="M238" s="60"/>
      <c r="N238" s="60"/>
      <c r="O238" s="60">
        <f t="shared" si="24"/>
        <v>-2.7544415543941819E-4</v>
      </c>
    </row>
    <row r="239" spans="1:15" x14ac:dyDescent="0.25">
      <c r="A239" s="67">
        <v>44560</v>
      </c>
      <c r="B239" s="68">
        <v>32.700000000000003</v>
      </c>
      <c r="C239" s="71">
        <v>0.32622242873151669</v>
      </c>
      <c r="D239" s="69">
        <v>36.31</v>
      </c>
      <c r="E239" s="71">
        <v>0.36288376104649972</v>
      </c>
      <c r="F239" s="68">
        <v>37.5</v>
      </c>
      <c r="G239" s="71">
        <v>0.37477667417360888</v>
      </c>
      <c r="H239" s="65">
        <f t="shared" si="19"/>
        <v>-1.5475957485447427E-2</v>
      </c>
      <c r="I239" s="65">
        <f t="shared" si="20"/>
        <v>0.39648097447556191</v>
      </c>
      <c r="J239" s="65">
        <f t="shared" si="21"/>
        <v>0.30191895914715577</v>
      </c>
      <c r="K239" s="82">
        <f t="shared" si="22"/>
        <v>0.05</v>
      </c>
      <c r="L239" s="60">
        <f t="shared" si="23"/>
        <v>-1.5489623635078073E-2</v>
      </c>
      <c r="M239" s="60"/>
      <c r="N239" s="60"/>
      <c r="O239" s="60">
        <f t="shared" si="24"/>
        <v>-7.9550549810761245E-3</v>
      </c>
    </row>
    <row r="240" spans="1:15" x14ac:dyDescent="0.25">
      <c r="A240" s="67">
        <v>44559</v>
      </c>
      <c r="B240" s="68">
        <v>33.21</v>
      </c>
      <c r="C240" s="71">
        <v>0.33131482924029348</v>
      </c>
      <c r="D240" s="69">
        <v>36.6</v>
      </c>
      <c r="E240" s="71">
        <v>0.36578328592991138</v>
      </c>
      <c r="F240" s="68">
        <v>37.9</v>
      </c>
      <c r="G240" s="71">
        <v>0.37877558843561859</v>
      </c>
      <c r="H240" s="65">
        <f t="shared" si="19"/>
        <v>-8.6944034423655382E-3</v>
      </c>
      <c r="I240" s="65">
        <f t="shared" si="20"/>
        <v>0.40567989674993837</v>
      </c>
      <c r="J240" s="65">
        <f t="shared" si="21"/>
        <v>0.2536950828763786</v>
      </c>
      <c r="K240" s="82">
        <f t="shared" si="22"/>
        <v>0.1</v>
      </c>
      <c r="L240" s="60">
        <f t="shared" si="23"/>
        <v>-8.7080697787630338E-3</v>
      </c>
      <c r="M240" s="60"/>
      <c r="N240" s="60"/>
      <c r="O240" s="60">
        <f t="shared" si="24"/>
        <v>-8.7051692273308993E-3</v>
      </c>
    </row>
    <row r="241" spans="1:15" ht="15.75" customHeight="1" x14ac:dyDescent="0.25">
      <c r="A241" s="67">
        <v>44558</v>
      </c>
      <c r="B241" s="68">
        <v>33.5</v>
      </c>
      <c r="C241" s="71">
        <v>0.33421254031596792</v>
      </c>
      <c r="D241" s="69">
        <v>36.92</v>
      </c>
      <c r="E241" s="71">
        <v>0.36898265405309211</v>
      </c>
      <c r="F241" s="68">
        <v>37.47</v>
      </c>
      <c r="G241" s="71">
        <v>0.37447941623427289</v>
      </c>
      <c r="H241" s="65">
        <f t="shared" si="19"/>
        <v>1.80727810596946E-2</v>
      </c>
      <c r="I241" s="65">
        <f t="shared" si="20"/>
        <v>0.41110801284425663</v>
      </c>
      <c r="J241" s="65">
        <f t="shared" si="21"/>
        <v>0.22058479494577421</v>
      </c>
      <c r="K241" s="82">
        <f t="shared" si="22"/>
        <v>0.15</v>
      </c>
      <c r="L241" s="60">
        <f t="shared" si="23"/>
        <v>1.8059114536526193E-2</v>
      </c>
      <c r="M241" s="60"/>
      <c r="N241" s="60"/>
      <c r="O241" s="60">
        <f t="shared" si="24"/>
        <v>4.6151839758058547E-3</v>
      </c>
    </row>
    <row r="242" spans="1:15" x14ac:dyDescent="0.25">
      <c r="A242" s="67">
        <v>44557</v>
      </c>
      <c r="B242" s="68">
        <v>32.9</v>
      </c>
      <c r="C242" s="71">
        <v>0.32823112981919073</v>
      </c>
      <c r="D242" s="69">
        <v>36.75</v>
      </c>
      <c r="E242" s="71">
        <v>0.3672849119180206</v>
      </c>
      <c r="F242" s="68">
        <v>37.200000000000003</v>
      </c>
      <c r="G242" s="71">
        <v>0.37178227818640458</v>
      </c>
      <c r="H242" s="65">
        <f t="shared" si="19"/>
        <v>2.7736754971599619E-2</v>
      </c>
      <c r="I242" s="65">
        <f t="shared" si="20"/>
        <v>0.42129395885202847</v>
      </c>
      <c r="J242" s="65">
        <f t="shared" si="21"/>
        <v>0.24372067066343492</v>
      </c>
      <c r="K242" s="82">
        <f t="shared" si="22"/>
        <v>0.3</v>
      </c>
      <c r="L242" s="60">
        <f t="shared" si="23"/>
        <v>2.7682087011111262E-2</v>
      </c>
      <c r="M242" s="60"/>
      <c r="N242" s="60"/>
      <c r="O242" s="60">
        <f t="shared" si="24"/>
        <v>2.7308275353532373E-2</v>
      </c>
    </row>
    <row r="243" spans="1:15" x14ac:dyDescent="0.25">
      <c r="A243" s="67">
        <v>44553</v>
      </c>
      <c r="B243" s="68">
        <v>32</v>
      </c>
      <c r="C243" s="71">
        <v>0.31926961608375359</v>
      </c>
      <c r="D243" s="69">
        <v>35.76</v>
      </c>
      <c r="E243" s="71">
        <v>0.35739559909230001</v>
      </c>
      <c r="F243" s="68">
        <v>36</v>
      </c>
      <c r="G243" s="71">
        <v>0.35979422727412752</v>
      </c>
      <c r="H243" s="65">
        <f t="shared" si="19"/>
        <v>-6.2305497506361975E-3</v>
      </c>
      <c r="I243" s="65">
        <f t="shared" si="20"/>
        <v>0.41441326355114272</v>
      </c>
      <c r="J243" s="65">
        <f t="shared" si="21"/>
        <v>0.26163655925965401</v>
      </c>
      <c r="K243" s="82">
        <f t="shared" si="22"/>
        <v>0.3</v>
      </c>
      <c r="L243" s="60">
        <f t="shared" si="23"/>
        <v>-6.2442172077378094E-3</v>
      </c>
      <c r="M243" s="60"/>
      <c r="N243" s="60"/>
      <c r="O243" s="60">
        <f t="shared" si="24"/>
        <v>7.2972538239433147E-3</v>
      </c>
    </row>
    <row r="244" spans="1:15" x14ac:dyDescent="0.25">
      <c r="A244" s="67">
        <v>44552</v>
      </c>
      <c r="B244" s="68">
        <v>32.200000000000003</v>
      </c>
      <c r="C244" s="71">
        <v>0.32126944209058861</v>
      </c>
      <c r="D244" s="69">
        <v>35.5</v>
      </c>
      <c r="E244" s="71">
        <v>0.35479829959680448</v>
      </c>
      <c r="F244" s="68">
        <v>36.1</v>
      </c>
      <c r="G244" s="71">
        <v>0.36079489057590552</v>
      </c>
      <c r="H244" s="65">
        <f t="shared" si="19"/>
        <v>1.2500162764231468E-2</v>
      </c>
      <c r="I244" s="65">
        <f t="shared" si="20"/>
        <v>0.41346282408591234</v>
      </c>
      <c r="J244" s="65">
        <f t="shared" si="21"/>
        <v>0.26687919915223618</v>
      </c>
      <c r="K244" s="82">
        <f t="shared" si="22"/>
        <v>0.3</v>
      </c>
      <c r="L244" s="60">
        <f t="shared" si="23"/>
        <v>1.2486495120328489E-2</v>
      </c>
      <c r="M244" s="60"/>
      <c r="N244" s="60"/>
      <c r="O244" s="60">
        <f t="shared" si="24"/>
        <v>-7.0175726586465346E-3</v>
      </c>
    </row>
    <row r="245" spans="1:15" x14ac:dyDescent="0.25">
      <c r="A245" s="67">
        <v>44551</v>
      </c>
      <c r="B245" s="68">
        <v>31.8</v>
      </c>
      <c r="C245" s="71">
        <v>0.31728285382354948</v>
      </c>
      <c r="D245" s="69">
        <v>35.75</v>
      </c>
      <c r="E245" s="71">
        <v>0.35729810209984092</v>
      </c>
      <c r="F245" s="68">
        <v>35.65</v>
      </c>
      <c r="G245" s="71">
        <v>0.35629866684921191</v>
      </c>
      <c r="H245" s="65">
        <f t="shared" si="19"/>
        <v>0</v>
      </c>
      <c r="I245" s="65">
        <f t="shared" si="20"/>
        <v>0.43764902192732164</v>
      </c>
      <c r="J245" s="65">
        <f t="shared" si="21"/>
        <v>0.23724187398679691</v>
      </c>
      <c r="K245" s="82">
        <f t="shared" si="22"/>
        <v>0.35</v>
      </c>
      <c r="L245" s="60">
        <f t="shared" si="23"/>
        <v>-1.3667830710639203E-5</v>
      </c>
      <c r="M245" s="60"/>
      <c r="N245" s="60"/>
      <c r="O245" s="60">
        <f t="shared" si="24"/>
        <v>6.4543510160472673E-3</v>
      </c>
    </row>
    <row r="246" spans="1:15" x14ac:dyDescent="0.25">
      <c r="A246" s="67">
        <v>44550</v>
      </c>
      <c r="B246" s="68">
        <v>31.8</v>
      </c>
      <c r="C246" s="71">
        <v>0.31728719042151882</v>
      </c>
      <c r="D246" s="69">
        <v>35.520000000000003</v>
      </c>
      <c r="E246" s="71">
        <v>0.35500061609233169</v>
      </c>
      <c r="F246" s="68">
        <v>35.71</v>
      </c>
      <c r="G246" s="71">
        <v>0.35689954956805081</v>
      </c>
      <c r="H246" s="65">
        <f t="shared" si="19"/>
        <v>-8.7664932121825512E-3</v>
      </c>
      <c r="I246" s="65">
        <f t="shared" si="20"/>
        <v>0.43807580651745837</v>
      </c>
      <c r="J246" s="65">
        <f t="shared" si="21"/>
        <v>0.2322978057053833</v>
      </c>
      <c r="K246" s="82">
        <f t="shared" si="22"/>
        <v>0.4</v>
      </c>
      <c r="L246" s="60">
        <f t="shared" si="23"/>
        <v>-8.8074978252072438E-3</v>
      </c>
      <c r="M246" s="60"/>
      <c r="N246" s="60"/>
      <c r="O246" s="60">
        <f t="shared" si="24"/>
        <v>-1.8963200707756055E-2</v>
      </c>
    </row>
    <row r="247" spans="1:15" x14ac:dyDescent="0.25">
      <c r="A247" s="67">
        <v>44547</v>
      </c>
      <c r="B247" s="68">
        <v>32.08</v>
      </c>
      <c r="C247" s="71">
        <v>0.3200940391738768</v>
      </c>
      <c r="D247" s="69">
        <v>36.200000000000003</v>
      </c>
      <c r="E247" s="71">
        <v>0.36180051410010239</v>
      </c>
      <c r="F247" s="68">
        <v>36.4</v>
      </c>
      <c r="G247" s="71">
        <v>0.36379941196805871</v>
      </c>
      <c r="H247" s="65">
        <f t="shared" si="19"/>
        <v>-3.1904546518745226E-2</v>
      </c>
      <c r="I247" s="65">
        <f t="shared" si="20"/>
        <v>0.46458257674544307</v>
      </c>
      <c r="J247" s="65">
        <f t="shared" si="21"/>
        <v>0.23475751833844502</v>
      </c>
      <c r="K247" s="82">
        <f t="shared" si="22"/>
        <v>0.6</v>
      </c>
      <c r="L247" s="60">
        <f t="shared" si="23"/>
        <v>-3.191821509673471E-2</v>
      </c>
      <c r="M247" s="60"/>
      <c r="N247" s="60"/>
      <c r="O247" s="60">
        <f t="shared" si="24"/>
        <v>-1.942339821018161E-2</v>
      </c>
    </row>
    <row r="248" spans="1:15" x14ac:dyDescent="0.25">
      <c r="A248" s="67">
        <v>44546</v>
      </c>
      <c r="B248" s="68">
        <v>33.119999999999997</v>
      </c>
      <c r="C248" s="71">
        <v>0.33047566976489878</v>
      </c>
      <c r="D248" s="69">
        <v>36.909999999999997</v>
      </c>
      <c r="E248" s="71">
        <v>0.36889786418400872</v>
      </c>
      <c r="F248" s="68">
        <v>37.5</v>
      </c>
      <c r="G248" s="71">
        <v>0.37479463307776562</v>
      </c>
      <c r="H248" s="65">
        <f t="shared" si="19"/>
        <v>3.0197795790401033E-4</v>
      </c>
      <c r="I248" s="65">
        <f t="shared" si="20"/>
        <v>0.45057952967753429</v>
      </c>
      <c r="J248" s="65">
        <f t="shared" si="21"/>
        <v>0.1558461404528452</v>
      </c>
      <c r="K248" s="82">
        <f t="shared" si="22"/>
        <v>0.5</v>
      </c>
      <c r="L248" s="60">
        <f t="shared" si="23"/>
        <v>2.883091930818406E-4</v>
      </c>
      <c r="M248" s="60"/>
      <c r="N248" s="60"/>
      <c r="O248" s="60">
        <f t="shared" si="24"/>
        <v>-6.481254121860988E-3</v>
      </c>
    </row>
    <row r="249" spans="1:15" ht="15.75" customHeight="1" x14ac:dyDescent="0.25">
      <c r="A249" s="67">
        <v>44545</v>
      </c>
      <c r="B249" s="68">
        <v>33.11</v>
      </c>
      <c r="C249" s="71">
        <v>0.33038040432482668</v>
      </c>
      <c r="D249" s="69">
        <v>37.15</v>
      </c>
      <c r="E249" s="71">
        <v>0.37129782070721762</v>
      </c>
      <c r="F249" s="68">
        <v>37.299999999999997</v>
      </c>
      <c r="G249" s="71">
        <v>0.37279700437090763</v>
      </c>
      <c r="H249" s="65">
        <f t="shared" si="19"/>
        <v>4.8440906106384969E-3</v>
      </c>
      <c r="I249" s="65">
        <f t="shared" si="20"/>
        <v>0.51509153977222777</v>
      </c>
      <c r="J249" s="65">
        <f t="shared" si="21"/>
        <v>0.14611869692308663</v>
      </c>
      <c r="K249" s="82">
        <f t="shared" si="22"/>
        <v>0.85</v>
      </c>
      <c r="L249" s="60">
        <f t="shared" si="23"/>
        <v>4.8304216589782163E-3</v>
      </c>
      <c r="M249" s="60"/>
      <c r="N249" s="60"/>
      <c r="O249" s="60">
        <f t="shared" si="24"/>
        <v>-1.2040279232080712E-2</v>
      </c>
    </row>
    <row r="250" spans="1:15" x14ac:dyDescent="0.25">
      <c r="A250" s="67">
        <v>44544</v>
      </c>
      <c r="B250" s="68">
        <v>32.950000000000003</v>
      </c>
      <c r="C250" s="71">
        <v>0.32878837584406362</v>
      </c>
      <c r="D250" s="69">
        <v>37.6</v>
      </c>
      <c r="E250" s="71">
        <v>0.37579665797274081</v>
      </c>
      <c r="F250" s="68">
        <v>37</v>
      </c>
      <c r="G250" s="71">
        <v>0.36979990279232472</v>
      </c>
      <c r="H250" s="65">
        <f t="shared" si="19"/>
        <v>-3.0303053491788734E-3</v>
      </c>
      <c r="I250" s="65">
        <f t="shared" si="20"/>
        <v>0.51679249474239741</v>
      </c>
      <c r="J250" s="65">
        <f t="shared" si="21"/>
        <v>0.34171698392466843</v>
      </c>
      <c r="K250" s="82">
        <f t="shared" si="22"/>
        <v>0.95</v>
      </c>
      <c r="L250" s="60">
        <f t="shared" si="23"/>
        <v>-3.043974487681522E-3</v>
      </c>
      <c r="M250" s="60"/>
      <c r="N250" s="60"/>
      <c r="O250" s="60">
        <f t="shared" si="24"/>
        <v>1.4735698653752965E-2</v>
      </c>
    </row>
    <row r="251" spans="1:15" x14ac:dyDescent="0.25">
      <c r="A251" s="67">
        <v>44543</v>
      </c>
      <c r="B251" s="68">
        <v>33.049999999999997</v>
      </c>
      <c r="C251" s="71">
        <v>0.32979072405921511</v>
      </c>
      <c r="D251" s="69">
        <v>37.049999999999997</v>
      </c>
      <c r="E251" s="71">
        <v>0.37030089985863762</v>
      </c>
      <c r="F251" s="68">
        <v>37.049999999999997</v>
      </c>
      <c r="G251" s="71">
        <v>0.37030089985863762</v>
      </c>
      <c r="H251" s="65">
        <f t="shared" si="19"/>
        <v>-1.2329129260982763E-2</v>
      </c>
      <c r="I251" s="65">
        <f t="shared" si="20"/>
        <v>0.51682477788239378</v>
      </c>
      <c r="J251" s="65">
        <f t="shared" si="21"/>
        <v>0.3815376125984879</v>
      </c>
      <c r="K251" s="82">
        <f t="shared" si="22"/>
        <v>1</v>
      </c>
      <c r="L251" s="60">
        <f t="shared" si="23"/>
        <v>-1.2370137797598756E-2</v>
      </c>
      <c r="M251" s="60"/>
      <c r="N251" s="60"/>
      <c r="O251" s="60">
        <f t="shared" si="24"/>
        <v>4.0568006956142478E-3</v>
      </c>
    </row>
    <row r="252" spans="1:15" x14ac:dyDescent="0.25">
      <c r="A252" s="67">
        <v>44540</v>
      </c>
      <c r="B252" s="68">
        <v>33.46</v>
      </c>
      <c r="C252" s="71">
        <v>0.33389561746452689</v>
      </c>
      <c r="D252" s="69">
        <v>36.9</v>
      </c>
      <c r="E252" s="71">
        <v>0.36880549299342119</v>
      </c>
      <c r="F252" s="68">
        <v>37.799999999999997</v>
      </c>
      <c r="G252" s="71">
        <v>0.37780074892009008</v>
      </c>
      <c r="H252" s="65">
        <f t="shared" si="19"/>
        <v>-1.8946688730793221E-2</v>
      </c>
      <c r="I252" s="65">
        <f t="shared" si="20"/>
        <v>0.51614812423374856</v>
      </c>
      <c r="J252" s="65">
        <f t="shared" si="21"/>
        <v>0.40516794893693209</v>
      </c>
      <c r="K252" s="82">
        <f t="shared" si="22"/>
        <v>1</v>
      </c>
      <c r="L252" s="60">
        <f t="shared" si="23"/>
        <v>-1.8960358616718229E-2</v>
      </c>
      <c r="M252" s="60"/>
      <c r="N252" s="60"/>
      <c r="O252" s="60">
        <f t="shared" si="24"/>
        <v>-2.963773195467586E-2</v>
      </c>
    </row>
    <row r="253" spans="1:15" x14ac:dyDescent="0.25">
      <c r="A253" s="67">
        <v>44539</v>
      </c>
      <c r="B253" s="68">
        <v>34.1</v>
      </c>
      <c r="C253" s="71">
        <v>0.3402867961669378</v>
      </c>
      <c r="D253" s="69">
        <v>38.01</v>
      </c>
      <c r="E253" s="71">
        <v>0.37990094231447219</v>
      </c>
      <c r="F253" s="68">
        <v>38.5</v>
      </c>
      <c r="G253" s="71">
        <v>0.38479837619329599</v>
      </c>
      <c r="H253" s="65">
        <f t="shared" si="19"/>
        <v>-5.8479698824229886E-3</v>
      </c>
      <c r="I253" s="65">
        <f t="shared" si="20"/>
        <v>0.51282859257706992</v>
      </c>
      <c r="J253" s="65">
        <f t="shared" si="21"/>
        <v>0.37511288351388034</v>
      </c>
      <c r="K253" s="82">
        <f t="shared" si="22"/>
        <v>1</v>
      </c>
      <c r="L253" s="60">
        <f t="shared" si="23"/>
        <v>-5.8753102148832404E-3</v>
      </c>
      <c r="M253" s="60"/>
      <c r="N253" s="60"/>
      <c r="O253" s="60">
        <f t="shared" si="24"/>
        <v>-5.2479784576512862E-3</v>
      </c>
    </row>
    <row r="254" spans="1:15" x14ac:dyDescent="0.25">
      <c r="A254" s="67">
        <v>44537</v>
      </c>
      <c r="B254" s="68">
        <v>34.299999999999997</v>
      </c>
      <c r="C254" s="71">
        <v>0.34229197140162132</v>
      </c>
      <c r="D254" s="69">
        <v>38.21</v>
      </c>
      <c r="E254" s="71">
        <v>0.38190250931881109</v>
      </c>
      <c r="F254" s="68">
        <v>38</v>
      </c>
      <c r="G254" s="71">
        <v>0.37980359471643088</v>
      </c>
      <c r="H254" s="65">
        <f t="shared" si="19"/>
        <v>3.531000261273929E-2</v>
      </c>
      <c r="I254" s="65">
        <f t="shared" si="20"/>
        <v>0.51267958057427743</v>
      </c>
      <c r="J254" s="65">
        <f t="shared" si="21"/>
        <v>0.50459558785365166</v>
      </c>
      <c r="K254" s="82">
        <f t="shared" si="22"/>
        <v>1</v>
      </c>
      <c r="L254" s="60">
        <f t="shared" si="23"/>
        <v>3.5296332166194197E-2</v>
      </c>
      <c r="M254" s="60"/>
      <c r="N254" s="60"/>
      <c r="O254" s="60">
        <f t="shared" si="24"/>
        <v>2.4372067268079112E-2</v>
      </c>
    </row>
    <row r="255" spans="1:15" x14ac:dyDescent="0.25">
      <c r="A255" s="67">
        <v>44536</v>
      </c>
      <c r="B255" s="68">
        <v>33.11</v>
      </c>
      <c r="C255" s="71">
        <v>0.33042105263157889</v>
      </c>
      <c r="D255" s="69">
        <v>37.29</v>
      </c>
      <c r="E255" s="71">
        <v>0.37270854013349308</v>
      </c>
      <c r="F255" s="68">
        <v>36.33</v>
      </c>
      <c r="G255" s="71">
        <v>0.36311346910833481</v>
      </c>
      <c r="H255" s="65">
        <f t="shared" si="19"/>
        <v>2.3221330612245322E-2</v>
      </c>
      <c r="I255" s="65">
        <f t="shared" si="20"/>
        <v>0.4931979803676601</v>
      </c>
      <c r="J255" s="65">
        <f t="shared" si="21"/>
        <v>0.64581678448315438</v>
      </c>
      <c r="K255" s="82">
        <f t="shared" si="22"/>
        <v>1</v>
      </c>
      <c r="L255" s="60">
        <f t="shared" si="23"/>
        <v>2.3180318151286638E-2</v>
      </c>
      <c r="M255" s="60"/>
      <c r="N255" s="60"/>
      <c r="O255" s="60">
        <f t="shared" si="24"/>
        <v>3.7614230269612391E-3</v>
      </c>
    </row>
    <row r="256" spans="1:15" x14ac:dyDescent="0.25">
      <c r="A256" s="67">
        <v>44533</v>
      </c>
      <c r="B256" s="68">
        <v>32.35</v>
      </c>
      <c r="C256" s="71">
        <v>0.32284987764364909</v>
      </c>
      <c r="D256" s="69">
        <v>37.15</v>
      </c>
      <c r="E256" s="71">
        <v>0.37131307184396889</v>
      </c>
      <c r="F256" s="68">
        <v>37</v>
      </c>
      <c r="G256" s="71">
        <v>0.36981382660099199</v>
      </c>
      <c r="H256" s="65">
        <f t="shared" si="19"/>
        <v>3.651649032719774E-2</v>
      </c>
      <c r="I256" s="65">
        <f t="shared" si="20"/>
        <v>0.48351611173897235</v>
      </c>
      <c r="J256" s="65">
        <f t="shared" si="21"/>
        <v>0.64958809286495278</v>
      </c>
      <c r="K256" s="82">
        <f t="shared" si="22"/>
        <v>1</v>
      </c>
      <c r="L256" s="60">
        <f t="shared" si="23"/>
        <v>3.6502819133087179E-2</v>
      </c>
      <c r="M256" s="60"/>
      <c r="N256" s="60"/>
      <c r="O256" s="60">
        <f t="shared" si="24"/>
        <v>4.2618133305783366E-2</v>
      </c>
    </row>
    <row r="257" spans="1:15" x14ac:dyDescent="0.25">
      <c r="A257" s="67">
        <v>44532</v>
      </c>
      <c r="B257" s="68">
        <v>31.19</v>
      </c>
      <c r="C257" s="71">
        <v>0.31127744510978039</v>
      </c>
      <c r="D257" s="69">
        <v>35.6</v>
      </c>
      <c r="E257" s="71">
        <v>0.35582208895552231</v>
      </c>
      <c r="F257" s="68">
        <v>35.799999999999997</v>
      </c>
      <c r="G257" s="71">
        <v>0.35782108945527241</v>
      </c>
      <c r="H257" s="65">
        <f t="shared" si="19"/>
        <v>-1.3059589973154494E-2</v>
      </c>
      <c r="I257" s="65">
        <f t="shared" si="20"/>
        <v>0.45877441368307814</v>
      </c>
      <c r="J257" s="65">
        <f t="shared" si="21"/>
        <v>0.68950175328774255</v>
      </c>
      <c r="K257" s="82">
        <f t="shared" si="22"/>
        <v>1</v>
      </c>
      <c r="L257" s="60">
        <f t="shared" si="23"/>
        <v>-1.3073261354169667E-2</v>
      </c>
      <c r="M257" s="60"/>
      <c r="N257" s="60"/>
      <c r="O257" s="60">
        <f t="shared" si="24"/>
        <v>1.585537178979422E-2</v>
      </c>
    </row>
    <row r="258" spans="1:15" x14ac:dyDescent="0.25">
      <c r="A258" s="67">
        <v>44531</v>
      </c>
      <c r="B258" s="68">
        <v>31.6</v>
      </c>
      <c r="C258" s="71">
        <v>0.31537357303985242</v>
      </c>
      <c r="D258" s="69">
        <v>35.04</v>
      </c>
      <c r="E258" s="71">
        <v>0.35022608636122471</v>
      </c>
      <c r="F258" s="68">
        <v>35</v>
      </c>
      <c r="G258" s="71">
        <v>0.34982628489277579</v>
      </c>
      <c r="H258" s="65">
        <f t="shared" si="19"/>
        <v>7.4205347878030889E-2</v>
      </c>
      <c r="I258" s="65">
        <f t="shared" si="20"/>
        <v>0.45825705962544105</v>
      </c>
      <c r="J258" s="65">
        <f t="shared" si="21"/>
        <v>0.68069369584111716</v>
      </c>
      <c r="K258" s="82">
        <f t="shared" si="22"/>
        <v>1</v>
      </c>
      <c r="L258" s="60">
        <f t="shared" si="23"/>
        <v>7.4191676310106869E-2</v>
      </c>
      <c r="M258" s="60"/>
      <c r="N258" s="60"/>
      <c r="O258" s="60">
        <f t="shared" si="24"/>
        <v>4.9132688577644593E-2</v>
      </c>
    </row>
    <row r="259" spans="1:15" x14ac:dyDescent="0.25">
      <c r="A259" s="67">
        <v>44530</v>
      </c>
      <c r="B259" s="68">
        <v>29.34</v>
      </c>
      <c r="C259" s="71">
        <v>0.29282237777534731</v>
      </c>
      <c r="D259" s="69">
        <v>33.36</v>
      </c>
      <c r="E259" s="71">
        <v>0.33343556602223562</v>
      </c>
      <c r="F259" s="68">
        <v>33.5</v>
      </c>
      <c r="G259" s="71">
        <v>0.33483487595158551</v>
      </c>
      <c r="H259" s="65">
        <f t="shared" ref="H259:H322" si="25">LN(B259/B260)</f>
        <v>-2.5905569778806838E-2</v>
      </c>
      <c r="I259" s="65">
        <f t="shared" ref="I259:I322" si="26">STDEVA(H259:H278)*SQRT(260)</f>
        <v>0.34461011772575595</v>
      </c>
      <c r="J259" s="65">
        <f t="shared" ref="J259:J322" si="27">STDEVA(H259:H263)*SQRT(260)</f>
        <v>0.35086323453743734</v>
      </c>
      <c r="K259" s="82">
        <f t="shared" ref="K259:K322" si="28">_xlfn.PERCENTRANK.INC(I259:I279,I259,20)</f>
        <v>1</v>
      </c>
      <c r="L259" s="60">
        <f t="shared" ref="L259:L322" si="29">LN(C259/C260)</f>
        <v>-2.5919241533644794E-2</v>
      </c>
      <c r="M259" s="60"/>
      <c r="N259" s="60"/>
      <c r="O259" s="60">
        <f t="shared" ref="O259:O322" si="30">LN(D259/D260)</f>
        <v>-1.7825783952600573E-2</v>
      </c>
    </row>
    <row r="260" spans="1:15" x14ac:dyDescent="0.25">
      <c r="A260" s="67">
        <v>44529</v>
      </c>
      <c r="B260" s="68">
        <v>30.11</v>
      </c>
      <c r="C260" s="71">
        <v>0.30051132712631418</v>
      </c>
      <c r="D260" s="69">
        <v>33.96</v>
      </c>
      <c r="E260" s="71">
        <v>0.33943377044803402</v>
      </c>
      <c r="F260" s="68">
        <v>33.450000000000003</v>
      </c>
      <c r="G260" s="71">
        <v>0.33433626682823142</v>
      </c>
      <c r="H260" s="65">
        <f t="shared" si="25"/>
        <v>2.8977768815776947E-2</v>
      </c>
      <c r="I260" s="65">
        <f t="shared" si="26"/>
        <v>0.34027308674703027</v>
      </c>
      <c r="J260" s="65">
        <f t="shared" si="27"/>
        <v>0.40413652441626963</v>
      </c>
      <c r="K260" s="82">
        <f t="shared" si="28"/>
        <v>1</v>
      </c>
      <c r="L260" s="60">
        <f t="shared" si="29"/>
        <v>2.8936752429725071E-2</v>
      </c>
      <c r="M260" s="60"/>
      <c r="N260" s="60"/>
      <c r="O260" s="60">
        <f t="shared" si="30"/>
        <v>-4.11402284632458E-3</v>
      </c>
    </row>
    <row r="261" spans="1:15" x14ac:dyDescent="0.25">
      <c r="A261" s="67">
        <v>44526</v>
      </c>
      <c r="B261" s="68">
        <v>29.25</v>
      </c>
      <c r="C261" s="71">
        <v>0.29194011484823618</v>
      </c>
      <c r="D261" s="69">
        <v>34.1</v>
      </c>
      <c r="E261" s="71">
        <v>0.34083658519887727</v>
      </c>
      <c r="F261" s="68">
        <v>33.15</v>
      </c>
      <c r="G261" s="71">
        <v>0.33134113781063868</v>
      </c>
      <c r="H261" s="65">
        <f t="shared" si="25"/>
        <v>-2.197890671877523E-2</v>
      </c>
      <c r="I261" s="65">
        <f t="shared" si="26"/>
        <v>0.31015964856488454</v>
      </c>
      <c r="J261" s="65">
        <f t="shared" si="27"/>
        <v>0.28165688097467428</v>
      </c>
      <c r="K261" s="82">
        <f t="shared" si="28"/>
        <v>0.95</v>
      </c>
      <c r="L261" s="60">
        <f t="shared" si="29"/>
        <v>-2.1992579221322327E-2</v>
      </c>
      <c r="M261" s="60"/>
      <c r="N261" s="60"/>
      <c r="O261" s="60">
        <f t="shared" si="30"/>
        <v>-1.8594376523487735E-2</v>
      </c>
    </row>
    <row r="262" spans="1:15" x14ac:dyDescent="0.25">
      <c r="A262" s="67">
        <v>44525</v>
      </c>
      <c r="B262" s="68">
        <v>29.9</v>
      </c>
      <c r="C262" s="71">
        <v>0.29843175323698712</v>
      </c>
      <c r="D262" s="69">
        <v>34.74</v>
      </c>
      <c r="E262" s="71">
        <v>0.34723470676629958</v>
      </c>
      <c r="F262" s="68">
        <v>33.5</v>
      </c>
      <c r="G262" s="71">
        <v>0.33484060669749671</v>
      </c>
      <c r="H262" s="65">
        <f t="shared" si="25"/>
        <v>-8.3264427765536685E-3</v>
      </c>
      <c r="I262" s="65">
        <f t="shared" si="26"/>
        <v>0.30827387019548991</v>
      </c>
      <c r="J262" s="65">
        <f t="shared" si="27"/>
        <v>0.35463269659568764</v>
      </c>
      <c r="K262" s="82">
        <f t="shared" si="28"/>
        <v>0.9</v>
      </c>
      <c r="L262" s="60">
        <f t="shared" si="29"/>
        <v>-8.3401154660404028E-3</v>
      </c>
      <c r="M262" s="60"/>
      <c r="N262" s="60"/>
      <c r="O262" s="60">
        <f t="shared" si="30"/>
        <v>4.6162805578146031E-3</v>
      </c>
    </row>
    <row r="263" spans="1:15" x14ac:dyDescent="0.25">
      <c r="A263" s="67">
        <v>44524</v>
      </c>
      <c r="B263" s="68">
        <v>30.15</v>
      </c>
      <c r="C263" s="71">
        <v>0.30093111651945642</v>
      </c>
      <c r="D263" s="69">
        <v>34.58</v>
      </c>
      <c r="E263" s="71">
        <v>0.3456366511717065</v>
      </c>
      <c r="F263" s="68">
        <v>33.5</v>
      </c>
      <c r="G263" s="71">
        <v>0.33484175287021889</v>
      </c>
      <c r="H263" s="65">
        <f t="shared" si="25"/>
        <v>-2.3190336713991033E-3</v>
      </c>
      <c r="I263" s="65">
        <f t="shared" si="26"/>
        <v>0.30991221209159064</v>
      </c>
      <c r="J263" s="65">
        <f t="shared" si="27"/>
        <v>0.35426043788559358</v>
      </c>
      <c r="K263" s="82">
        <f t="shared" si="28"/>
        <v>0.95</v>
      </c>
      <c r="L263" s="60">
        <f t="shared" si="29"/>
        <v>-2.3327065478304138E-3</v>
      </c>
      <c r="M263" s="60"/>
      <c r="N263" s="60"/>
      <c r="O263" s="60">
        <f t="shared" si="30"/>
        <v>-2.8914269393305234E-4</v>
      </c>
    </row>
    <row r="264" spans="1:15" x14ac:dyDescent="0.25">
      <c r="A264" s="67">
        <v>44523</v>
      </c>
      <c r="B264" s="68">
        <v>30.22</v>
      </c>
      <c r="C264" s="71">
        <v>0.30163391990374228</v>
      </c>
      <c r="D264" s="69">
        <v>34.590000000000003</v>
      </c>
      <c r="E264" s="71">
        <v>0.34573778740796268</v>
      </c>
      <c r="F264" s="68">
        <v>33.6</v>
      </c>
      <c r="G264" s="71">
        <v>0.33584243009273052</v>
      </c>
      <c r="H264" s="65">
        <f t="shared" si="25"/>
        <v>-3.8303936069614165E-2</v>
      </c>
      <c r="I264" s="65">
        <f t="shared" si="26"/>
        <v>0.31078442705136267</v>
      </c>
      <c r="J264" s="65">
        <f t="shared" si="27"/>
        <v>0.47662421974228797</v>
      </c>
      <c r="K264" s="82">
        <f t="shared" si="28"/>
        <v>1</v>
      </c>
      <c r="L264" s="60">
        <f t="shared" si="29"/>
        <v>-3.8358629444892552E-2</v>
      </c>
      <c r="M264" s="60"/>
      <c r="N264" s="60"/>
      <c r="O264" s="60">
        <f t="shared" si="30"/>
        <v>-2.4840677696984462E-2</v>
      </c>
    </row>
    <row r="265" spans="1:15" x14ac:dyDescent="0.25">
      <c r="A265" s="67">
        <v>44519</v>
      </c>
      <c r="B265" s="68">
        <v>31.4</v>
      </c>
      <c r="C265" s="71">
        <v>0.31342895819944477</v>
      </c>
      <c r="D265" s="69">
        <v>35.46</v>
      </c>
      <c r="E265" s="71">
        <v>0.3544385605186679</v>
      </c>
      <c r="F265" s="68">
        <v>35.25</v>
      </c>
      <c r="G265" s="71">
        <v>0.35233951659004631</v>
      </c>
      <c r="H265" s="65">
        <f t="shared" si="25"/>
        <v>6.069336631519439E-3</v>
      </c>
      <c r="I265" s="65">
        <f t="shared" si="26"/>
        <v>0.2911512080764006</v>
      </c>
      <c r="J265" s="65">
        <f t="shared" si="27"/>
        <v>0.47766458758645419</v>
      </c>
      <c r="K265" s="82">
        <f t="shared" si="28"/>
        <v>1</v>
      </c>
      <c r="L265" s="60">
        <f t="shared" si="29"/>
        <v>6.0556628202860611E-3</v>
      </c>
      <c r="M265" s="60"/>
      <c r="N265" s="60"/>
      <c r="O265" s="60">
        <f t="shared" si="30"/>
        <v>-3.9403372119229405E-3</v>
      </c>
    </row>
    <row r="266" spans="1:15" x14ac:dyDescent="0.25">
      <c r="A266" s="67">
        <v>44518</v>
      </c>
      <c r="B266" s="68">
        <v>31.21</v>
      </c>
      <c r="C266" s="71">
        <v>0.31153667341245972</v>
      </c>
      <c r="D266" s="69">
        <v>35.6</v>
      </c>
      <c r="E266" s="71">
        <v>0.35583914121013788</v>
      </c>
      <c r="F266" s="68">
        <v>35.25</v>
      </c>
      <c r="G266" s="71">
        <v>0.3523407226870045</v>
      </c>
      <c r="H266" s="65">
        <f t="shared" si="25"/>
        <v>-4.2653063005454094E-2</v>
      </c>
      <c r="I266" s="65">
        <f t="shared" si="26"/>
        <v>0.28809236864263582</v>
      </c>
      <c r="J266" s="65">
        <f t="shared" si="27"/>
        <v>0.44359395624031506</v>
      </c>
      <c r="K266" s="82">
        <f t="shared" si="28"/>
        <v>1</v>
      </c>
      <c r="L266" s="60">
        <f t="shared" si="29"/>
        <v>-4.26667370036629E-2</v>
      </c>
      <c r="M266" s="60"/>
      <c r="N266" s="60"/>
      <c r="O266" s="60">
        <f t="shared" si="30"/>
        <v>-2.1948373766083641E-2</v>
      </c>
    </row>
    <row r="267" spans="1:15" x14ac:dyDescent="0.25">
      <c r="A267" s="67">
        <v>44517</v>
      </c>
      <c r="B267" s="68">
        <v>32.57</v>
      </c>
      <c r="C267" s="71">
        <v>0.32511657163172941</v>
      </c>
      <c r="D267" s="69">
        <v>36.39</v>
      </c>
      <c r="E267" s="71">
        <v>0.36373681670209601</v>
      </c>
      <c r="F267" s="68">
        <v>35.9</v>
      </c>
      <c r="G267" s="71">
        <v>0.35883901400399132</v>
      </c>
      <c r="H267" s="65">
        <f t="shared" si="25"/>
        <v>-8.5601256424774844E-3</v>
      </c>
      <c r="I267" s="65">
        <f t="shared" si="26"/>
        <v>0.25492082495934187</v>
      </c>
      <c r="J267" s="65">
        <f t="shared" si="27"/>
        <v>0.46073796520661775</v>
      </c>
      <c r="K267" s="82">
        <f t="shared" si="28"/>
        <v>0.95</v>
      </c>
      <c r="L267" s="60">
        <f t="shared" si="29"/>
        <v>-8.5737998276670339E-3</v>
      </c>
      <c r="M267" s="60"/>
      <c r="N267" s="60"/>
      <c r="O267" s="60">
        <f t="shared" si="30"/>
        <v>-1.6623901020155932E-2</v>
      </c>
    </row>
    <row r="268" spans="1:15" x14ac:dyDescent="0.25">
      <c r="A268" s="67">
        <v>44516</v>
      </c>
      <c r="B268" s="68">
        <v>32.85</v>
      </c>
      <c r="C268" s="71">
        <v>0.32791603992889379</v>
      </c>
      <c r="D268" s="69">
        <v>37</v>
      </c>
      <c r="E268" s="71">
        <v>0.36983534727689732</v>
      </c>
      <c r="F268" s="68">
        <v>36.1</v>
      </c>
      <c r="G268" s="71">
        <v>0.36083935234313491</v>
      </c>
      <c r="H268" s="65">
        <f t="shared" si="25"/>
        <v>-6.8810206402874191E-2</v>
      </c>
      <c r="I268" s="65">
        <f t="shared" si="26"/>
        <v>0.25519220289111466</v>
      </c>
      <c r="J268" s="65">
        <f t="shared" si="27"/>
        <v>0.47493105964093868</v>
      </c>
      <c r="K268" s="82">
        <f t="shared" si="28"/>
        <v>1</v>
      </c>
      <c r="L268" s="60">
        <f t="shared" si="29"/>
        <v>-6.8823880775049626E-2</v>
      </c>
      <c r="M268" s="60"/>
      <c r="N268" s="60"/>
      <c r="O268" s="60">
        <f t="shared" si="30"/>
        <v>-1.475546556591921E-2</v>
      </c>
    </row>
    <row r="269" spans="1:15" x14ac:dyDescent="0.25">
      <c r="A269" s="67">
        <v>44515</v>
      </c>
      <c r="B269" s="68">
        <v>35.19</v>
      </c>
      <c r="C269" s="71">
        <v>0.35127924626345219</v>
      </c>
      <c r="D269" s="69">
        <v>37.549999999999997</v>
      </c>
      <c r="E269" s="71">
        <v>0.3753341845554532</v>
      </c>
      <c r="F269" s="68">
        <v>37.65</v>
      </c>
      <c r="G269" s="71">
        <v>0.37633374296971539</v>
      </c>
      <c r="H269" s="65">
        <f t="shared" si="25"/>
        <v>-1.7744445299071956E-2</v>
      </c>
      <c r="I269" s="65">
        <f t="shared" si="26"/>
        <v>7.2316703111908923E-2</v>
      </c>
      <c r="J269" s="65">
        <f t="shared" si="27"/>
        <v>0.12111451316847266</v>
      </c>
      <c r="K269" s="82">
        <f t="shared" si="28"/>
        <v>1</v>
      </c>
      <c r="L269" s="60">
        <f t="shared" si="29"/>
        <v>-1.7785469537565202E-2</v>
      </c>
      <c r="M269" s="60"/>
      <c r="N269" s="60"/>
      <c r="O269" s="60">
        <f t="shared" si="30"/>
        <v>8.021433384575085E-3</v>
      </c>
    </row>
    <row r="270" spans="1:15" x14ac:dyDescent="0.25">
      <c r="A270" s="67">
        <v>44512</v>
      </c>
      <c r="B270" s="68">
        <v>35.82</v>
      </c>
      <c r="C270" s="71">
        <v>0.35758280228646439</v>
      </c>
      <c r="D270" s="69">
        <v>37.25</v>
      </c>
      <c r="E270" s="71">
        <v>0.3723393330275292</v>
      </c>
      <c r="F270" s="68">
        <v>38.11</v>
      </c>
      <c r="G270" s="71">
        <v>0.38093562366923861</v>
      </c>
      <c r="H270" s="65">
        <f t="shared" si="25"/>
        <v>-2.2308988616674135E-3</v>
      </c>
      <c r="I270" s="65">
        <f t="shared" si="26"/>
        <v>3.6029510343542223E-2</v>
      </c>
      <c r="J270" s="65">
        <f t="shared" si="27"/>
        <v>4.1831190405556613E-2</v>
      </c>
      <c r="K270" s="82">
        <f t="shared" si="28"/>
        <v>0</v>
      </c>
      <c r="L270" s="60">
        <f t="shared" si="29"/>
        <v>-2.2445739818380966E-3</v>
      </c>
      <c r="M270" s="60"/>
      <c r="N270" s="60"/>
      <c r="O270" s="60">
        <f t="shared" si="30"/>
        <v>0</v>
      </c>
    </row>
    <row r="271" spans="1:15" x14ac:dyDescent="0.25">
      <c r="A271" s="67">
        <v>44511</v>
      </c>
      <c r="B271" s="68">
        <v>35.9</v>
      </c>
      <c r="C271" s="71">
        <v>0.35838632478632482</v>
      </c>
      <c r="D271" s="69">
        <v>37.25</v>
      </c>
      <c r="E271" s="71">
        <v>0.37234060761660248</v>
      </c>
      <c r="F271" s="68">
        <v>38.549999999999997</v>
      </c>
      <c r="G271" s="71">
        <v>0.38533504492939658</v>
      </c>
      <c r="H271" s="65">
        <f t="shared" si="25"/>
        <v>8.3600395004195709E-4</v>
      </c>
      <c r="I271" s="65">
        <f t="shared" si="26"/>
        <v>3.6498897612420422E-2</v>
      </c>
      <c r="J271" s="65">
        <f t="shared" si="27"/>
        <v>4.6609473523559548E-2</v>
      </c>
      <c r="K271" s="82">
        <f t="shared" si="28"/>
        <v>0.05</v>
      </c>
      <c r="L271" s="60">
        <f t="shared" si="29"/>
        <v>8.2232864286028583E-4</v>
      </c>
      <c r="M271" s="60"/>
      <c r="N271" s="60"/>
      <c r="O271" s="60">
        <f t="shared" si="30"/>
        <v>1.7603704418247813E-2</v>
      </c>
    </row>
    <row r="272" spans="1:15" x14ac:dyDescent="0.25">
      <c r="A272" s="67">
        <v>44510</v>
      </c>
      <c r="B272" s="68">
        <v>35.869999999999997</v>
      </c>
      <c r="C272" s="71">
        <v>0.3580917345878234</v>
      </c>
      <c r="D272" s="69">
        <v>36.6</v>
      </c>
      <c r="E272" s="71">
        <v>0.36584464131670108</v>
      </c>
      <c r="F272" s="68">
        <v>38.6</v>
      </c>
      <c r="G272" s="71">
        <v>0.3858361517711657</v>
      </c>
      <c r="H272" s="65">
        <f t="shared" si="25"/>
        <v>-1.1145166938002632E-3</v>
      </c>
      <c r="I272" s="65">
        <f t="shared" si="26"/>
        <v>3.6390373736297686E-2</v>
      </c>
      <c r="J272" s="65">
        <f t="shared" si="27"/>
        <v>4.9122212099720966E-2</v>
      </c>
      <c r="K272" s="82">
        <f t="shared" si="28"/>
        <v>0</v>
      </c>
      <c r="L272" s="60">
        <f t="shared" si="29"/>
        <v>-1.1281921879985814E-3</v>
      </c>
      <c r="M272" s="60"/>
      <c r="N272" s="60"/>
      <c r="O272" s="60">
        <f t="shared" si="30"/>
        <v>-1.3651879253398589E-3</v>
      </c>
    </row>
    <row r="273" spans="1:15" x14ac:dyDescent="0.25">
      <c r="A273" s="67">
        <v>44509</v>
      </c>
      <c r="B273" s="68">
        <v>35.909999999999997</v>
      </c>
      <c r="C273" s="71">
        <v>0.35849595886383212</v>
      </c>
      <c r="D273" s="69">
        <v>36.65</v>
      </c>
      <c r="E273" s="71">
        <v>0.36634568315401389</v>
      </c>
      <c r="F273" s="68">
        <v>38.700000000000003</v>
      </c>
      <c r="G273" s="71">
        <v>0.38683705151597098</v>
      </c>
      <c r="H273" s="65">
        <f t="shared" si="25"/>
        <v>-2.2253138529480512E-3</v>
      </c>
      <c r="I273" s="65">
        <f t="shared" si="26"/>
        <v>3.6603222093613108E-2</v>
      </c>
      <c r="J273" s="65">
        <f t="shared" si="27"/>
        <v>5.7596197867467225E-2</v>
      </c>
      <c r="K273" s="82">
        <f t="shared" si="28"/>
        <v>0</v>
      </c>
      <c r="L273" s="60">
        <f t="shared" si="29"/>
        <v>-2.2389895341682719E-3</v>
      </c>
      <c r="M273" s="60"/>
      <c r="N273" s="60"/>
      <c r="O273" s="60">
        <f t="shared" si="30"/>
        <v>-8.1522190615503833E-3</v>
      </c>
    </row>
    <row r="274" spans="1:15" x14ac:dyDescent="0.25">
      <c r="A274" s="67">
        <v>44508</v>
      </c>
      <c r="B274" s="68">
        <v>35.99</v>
      </c>
      <c r="C274" s="71">
        <v>0.35929952681819433</v>
      </c>
      <c r="D274" s="69">
        <v>36.950000000000003</v>
      </c>
      <c r="E274" s="71">
        <v>0.36934568433736592</v>
      </c>
      <c r="F274" s="68">
        <v>38.549999999999997</v>
      </c>
      <c r="G274" s="71">
        <v>0.38533900219771189</v>
      </c>
      <c r="H274" s="65">
        <f t="shared" si="25"/>
        <v>3.8975550453099546E-3</v>
      </c>
      <c r="I274" s="65">
        <f t="shared" si="26"/>
        <v>4.1560138844440445E-2</v>
      </c>
      <c r="J274" s="65">
        <f t="shared" si="27"/>
        <v>4.9287599028147978E-2</v>
      </c>
      <c r="K274" s="82">
        <f t="shared" si="28"/>
        <v>0.25</v>
      </c>
      <c r="L274" s="60">
        <f t="shared" si="29"/>
        <v>3.8565268794685946E-3</v>
      </c>
      <c r="M274" s="60"/>
      <c r="N274" s="60"/>
      <c r="O274" s="60">
        <f t="shared" si="30"/>
        <v>1.692180116110039E-2</v>
      </c>
    </row>
    <row r="275" spans="1:15" x14ac:dyDescent="0.25">
      <c r="A275" s="67">
        <v>44505</v>
      </c>
      <c r="B275" s="68">
        <v>35.85</v>
      </c>
      <c r="C275" s="71">
        <v>0.3579165469987281</v>
      </c>
      <c r="D275" s="69">
        <v>36.33</v>
      </c>
      <c r="E275" s="71">
        <v>0.36315200312201529</v>
      </c>
      <c r="F275" s="68">
        <v>38.53</v>
      </c>
      <c r="G275" s="71">
        <v>0.38514304102095381</v>
      </c>
      <c r="H275" s="65">
        <f t="shared" si="25"/>
        <v>4.1928782600359578E-3</v>
      </c>
      <c r="I275" s="65">
        <f t="shared" si="26"/>
        <v>3.8165817105352606E-2</v>
      </c>
      <c r="J275" s="65">
        <f t="shared" si="27"/>
        <v>4.8970208084885933E-2</v>
      </c>
      <c r="K275" s="82">
        <f t="shared" si="28"/>
        <v>0</v>
      </c>
      <c r="L275" s="60">
        <f t="shared" si="29"/>
        <v>4.1792018306778264E-3</v>
      </c>
      <c r="M275" s="60"/>
      <c r="N275" s="60"/>
      <c r="O275" s="60">
        <f t="shared" si="30"/>
        <v>-8.2237305576124964E-3</v>
      </c>
    </row>
    <row r="276" spans="1:15" x14ac:dyDescent="0.25">
      <c r="A276" s="67">
        <v>44504</v>
      </c>
      <c r="B276" s="68">
        <v>35.700000000000003</v>
      </c>
      <c r="C276" s="71">
        <v>0.35642386279712251</v>
      </c>
      <c r="D276" s="69">
        <v>36.630000000000003</v>
      </c>
      <c r="E276" s="71">
        <v>0.36615203445183109</v>
      </c>
      <c r="F276" s="68">
        <v>38.4</v>
      </c>
      <c r="G276" s="71">
        <v>0.38384488460142818</v>
      </c>
      <c r="H276" s="65">
        <f t="shared" si="25"/>
        <v>3.3670065479044697E-3</v>
      </c>
      <c r="I276" s="65">
        <f t="shared" si="26"/>
        <v>4.2856668777953216E-2</v>
      </c>
      <c r="J276" s="65">
        <f t="shared" si="27"/>
        <v>4.5491424758035436E-2</v>
      </c>
      <c r="K276" s="82">
        <f t="shared" si="28"/>
        <v>0.25</v>
      </c>
      <c r="L276" s="60">
        <f t="shared" si="29"/>
        <v>3.3533299314990289E-3</v>
      </c>
      <c r="M276" s="60"/>
      <c r="N276" s="60"/>
      <c r="O276" s="60">
        <f t="shared" si="30"/>
        <v>2.5716888005129519E-2</v>
      </c>
    </row>
    <row r="277" spans="1:15" x14ac:dyDescent="0.25">
      <c r="A277" s="67">
        <v>44503</v>
      </c>
      <c r="B277" s="68">
        <v>35.58</v>
      </c>
      <c r="C277" s="71">
        <v>0.35523065771298062</v>
      </c>
      <c r="D277" s="69">
        <v>35.700000000000003</v>
      </c>
      <c r="E277" s="71">
        <v>0.3568570127722796</v>
      </c>
      <c r="F277" s="68">
        <v>37.9</v>
      </c>
      <c r="G277" s="71">
        <v>0.37884820123443691</v>
      </c>
      <c r="H277" s="65">
        <f t="shared" si="25"/>
        <v>-3.0868552643798413E-3</v>
      </c>
      <c r="I277" s="65">
        <f t="shared" si="26"/>
        <v>4.0662006350001861E-2</v>
      </c>
      <c r="J277" s="65">
        <f t="shared" si="27"/>
        <v>2.7364249839652448E-2</v>
      </c>
      <c r="K277" s="82">
        <f t="shared" si="28"/>
        <v>0.15</v>
      </c>
      <c r="L277" s="60">
        <f t="shared" si="29"/>
        <v>-3.1005320678372337E-3</v>
      </c>
      <c r="M277" s="60"/>
      <c r="N277" s="60"/>
      <c r="O277" s="60">
        <f t="shared" si="30"/>
        <v>-2.2383892949796678E-3</v>
      </c>
    </row>
    <row r="278" spans="1:15" x14ac:dyDescent="0.25">
      <c r="A278" s="67">
        <v>44502</v>
      </c>
      <c r="B278" s="68">
        <v>35.69</v>
      </c>
      <c r="C278" s="71">
        <v>0.35633377099403679</v>
      </c>
      <c r="D278" s="69">
        <v>35.78</v>
      </c>
      <c r="E278" s="71">
        <v>0.35765791671801622</v>
      </c>
      <c r="F278" s="68">
        <v>38.049999999999997</v>
      </c>
      <c r="G278" s="71">
        <v>0.38034890249079129</v>
      </c>
      <c r="H278" s="65">
        <f t="shared" si="25"/>
        <v>8.4092506707466328E-4</v>
      </c>
      <c r="I278" s="65">
        <f t="shared" si="26"/>
        <v>4.0616437191960009E-2</v>
      </c>
      <c r="J278" s="65">
        <f t="shared" si="27"/>
        <v>2.4993019653783494E-2</v>
      </c>
      <c r="K278" s="82">
        <f t="shared" si="28"/>
        <v>0.1</v>
      </c>
      <c r="L278" s="60">
        <f t="shared" si="29"/>
        <v>8.2724807655917853E-4</v>
      </c>
      <c r="M278" s="60"/>
      <c r="N278" s="60"/>
      <c r="O278" s="60">
        <f t="shared" si="30"/>
        <v>-4.7400060864826298E-3</v>
      </c>
    </row>
    <row r="279" spans="1:15" x14ac:dyDescent="0.25">
      <c r="A279" s="67">
        <v>44501</v>
      </c>
      <c r="B279" s="68">
        <v>35.659999999999997</v>
      </c>
      <c r="C279" s="71">
        <v>0.35603911646037062</v>
      </c>
      <c r="D279" s="69">
        <v>35.950000000000003</v>
      </c>
      <c r="E279" s="71">
        <v>0.35935847183472258</v>
      </c>
      <c r="F279" s="68">
        <v>37.9</v>
      </c>
      <c r="G279" s="71">
        <v>0.37885079506358788</v>
      </c>
      <c r="H279" s="65">
        <f t="shared" si="25"/>
        <v>-1.1210763505992614E-3</v>
      </c>
      <c r="I279" s="65">
        <f t="shared" si="26"/>
        <v>3.9954320772579155E-2</v>
      </c>
      <c r="J279" s="65">
        <f t="shared" si="27"/>
        <v>2.2405816883581012E-2</v>
      </c>
      <c r="K279" s="82">
        <f t="shared" si="28"/>
        <v>0.05</v>
      </c>
      <c r="L279" s="60">
        <f t="shared" si="29"/>
        <v>-1.1621084445412736E-3</v>
      </c>
      <c r="M279" s="60"/>
      <c r="N279" s="60"/>
      <c r="O279" s="60">
        <f t="shared" si="30"/>
        <v>-1.7372558795663847E-2</v>
      </c>
    </row>
    <row r="280" spans="1:15" x14ac:dyDescent="0.25">
      <c r="A280" s="67">
        <v>44498</v>
      </c>
      <c r="B280" s="68">
        <v>35.700000000000003</v>
      </c>
      <c r="C280" s="71">
        <v>0.35645311303206051</v>
      </c>
      <c r="D280" s="69">
        <v>36.58</v>
      </c>
      <c r="E280" s="71">
        <v>0.36565974694637671</v>
      </c>
      <c r="F280" s="68">
        <v>37.700000000000003</v>
      </c>
      <c r="G280" s="71">
        <v>0.3768554527030728</v>
      </c>
      <c r="H280" s="65">
        <f t="shared" si="25"/>
        <v>-3.3557078469723042E-3</v>
      </c>
      <c r="I280" s="65">
        <f t="shared" si="26"/>
        <v>3.9946618899193993E-2</v>
      </c>
      <c r="J280" s="65">
        <f t="shared" si="27"/>
        <v>2.9130848451475885E-2</v>
      </c>
      <c r="K280" s="82">
        <f t="shared" si="28"/>
        <v>0</v>
      </c>
      <c r="L280" s="60">
        <f t="shared" si="29"/>
        <v>-3.3693855857684476E-3</v>
      </c>
      <c r="M280" s="60"/>
      <c r="N280" s="60"/>
      <c r="O280" s="60">
        <f t="shared" si="30"/>
        <v>-1.1416269681504802E-2</v>
      </c>
    </row>
    <row r="281" spans="1:15" x14ac:dyDescent="0.25">
      <c r="A281" s="67">
        <v>44497</v>
      </c>
      <c r="B281" s="68">
        <v>35.82</v>
      </c>
      <c r="C281" s="71">
        <v>0.35765616665070921</v>
      </c>
      <c r="D281" s="69">
        <v>37</v>
      </c>
      <c r="E281" s="71">
        <v>0.3698594027612791</v>
      </c>
      <c r="F281" s="68">
        <v>37.4</v>
      </c>
      <c r="G281" s="71">
        <v>0.37385788279113069</v>
      </c>
      <c r="H281" s="65">
        <f t="shared" si="25"/>
        <v>-1.3948949116254113E-3</v>
      </c>
      <c r="I281" s="65">
        <f t="shared" si="26"/>
        <v>4.3552111634014214E-2</v>
      </c>
      <c r="J281" s="65">
        <f t="shared" si="27"/>
        <v>1.7305792299380392E-2</v>
      </c>
      <c r="K281" s="82">
        <f t="shared" si="28"/>
        <v>0.2</v>
      </c>
      <c r="L281" s="60">
        <f t="shared" si="29"/>
        <v>-1.4085728375048665E-3</v>
      </c>
      <c r="M281" s="60"/>
      <c r="N281" s="60"/>
      <c r="O281" s="60">
        <f t="shared" si="30"/>
        <v>-2.7023375384007574E-4</v>
      </c>
    </row>
    <row r="282" spans="1:15" x14ac:dyDescent="0.25">
      <c r="A282" s="67">
        <v>44496</v>
      </c>
      <c r="B282" s="68">
        <v>35.869999999999997</v>
      </c>
      <c r="C282" s="71">
        <v>0.35816030638763502</v>
      </c>
      <c r="D282" s="69">
        <v>37.01</v>
      </c>
      <c r="E282" s="71">
        <v>0.36996063126904238</v>
      </c>
      <c r="F282" s="68">
        <v>37.299999999999997</v>
      </c>
      <c r="G282" s="71">
        <v>0.37285953921467929</v>
      </c>
      <c r="H282" s="65">
        <f t="shared" si="25"/>
        <v>-2.787456464042905E-4</v>
      </c>
      <c r="I282" s="65">
        <f t="shared" si="26"/>
        <v>4.3545549933813606E-2</v>
      </c>
      <c r="J282" s="65">
        <f t="shared" si="27"/>
        <v>1.3344921950620658E-2</v>
      </c>
      <c r="K282" s="82">
        <f t="shared" si="28"/>
        <v>0.15</v>
      </c>
      <c r="L282" s="60">
        <f t="shared" si="29"/>
        <v>-2.9242375937200456E-4</v>
      </c>
      <c r="M282" s="60"/>
      <c r="N282" s="60"/>
      <c r="O282" s="60">
        <f t="shared" si="30"/>
        <v>-7.8051802517052106E-3</v>
      </c>
    </row>
    <row r="283" spans="1:15" x14ac:dyDescent="0.25">
      <c r="A283" s="67">
        <v>44495</v>
      </c>
      <c r="B283" s="68">
        <v>35.880000000000003</v>
      </c>
      <c r="C283" s="71">
        <v>0.35826505628581978</v>
      </c>
      <c r="D283" s="69">
        <v>37.299999999999997</v>
      </c>
      <c r="E283" s="71">
        <v>0.37286081565443041</v>
      </c>
      <c r="F283" s="68">
        <v>37.25</v>
      </c>
      <c r="G283" s="71">
        <v>0.37236100222862012</v>
      </c>
      <c r="H283" s="65">
        <f t="shared" si="25"/>
        <v>2.7874564640430107E-4</v>
      </c>
      <c r="I283" s="65">
        <f t="shared" si="26"/>
        <v>4.4002949405584808E-2</v>
      </c>
      <c r="J283" s="65">
        <f t="shared" si="27"/>
        <v>1.288316921447794E-2</v>
      </c>
      <c r="K283" s="82">
        <f t="shared" si="28"/>
        <v>0.2</v>
      </c>
      <c r="L283" s="60">
        <f t="shared" si="29"/>
        <v>2.6506734634338449E-4</v>
      </c>
      <c r="M283" s="60"/>
      <c r="N283" s="60"/>
      <c r="O283" s="60">
        <f t="shared" si="30"/>
        <v>-4.0133833134587873E-3</v>
      </c>
    </row>
    <row r="284" spans="1:15" x14ac:dyDescent="0.25">
      <c r="A284" s="67">
        <v>44494</v>
      </c>
      <c r="B284" s="68">
        <v>35.869999999999997</v>
      </c>
      <c r="C284" s="71">
        <v>0.35817010450292708</v>
      </c>
      <c r="D284" s="69">
        <v>37.450000000000003</v>
      </c>
      <c r="E284" s="71">
        <v>0.37436153751352241</v>
      </c>
      <c r="F284" s="68">
        <v>37</v>
      </c>
      <c r="G284" s="71">
        <v>0.36986320128171768</v>
      </c>
      <c r="H284" s="65">
        <f t="shared" si="25"/>
        <v>1.3948949116254143E-3</v>
      </c>
      <c r="I284" s="65">
        <f t="shared" si="26"/>
        <v>4.7208550095157661E-2</v>
      </c>
      <c r="J284" s="65">
        <f t="shared" si="27"/>
        <v>1.545481620910057E-2</v>
      </c>
      <c r="K284" s="82">
        <f t="shared" si="28"/>
        <v>0.4</v>
      </c>
      <c r="L284" s="60">
        <f t="shared" si="29"/>
        <v>1.353858888830727E-3</v>
      </c>
      <c r="M284" s="60"/>
      <c r="N284" s="60"/>
      <c r="O284" s="60">
        <f t="shared" si="30"/>
        <v>-6.6533844907365478E-3</v>
      </c>
    </row>
    <row r="285" spans="1:15" x14ac:dyDescent="0.25">
      <c r="A285" s="67">
        <v>44491</v>
      </c>
      <c r="B285" s="68">
        <v>35.82</v>
      </c>
      <c r="C285" s="71">
        <v>0.35768552082620891</v>
      </c>
      <c r="D285" s="69">
        <v>37.700000000000003</v>
      </c>
      <c r="E285" s="71">
        <v>0.376864483661697</v>
      </c>
      <c r="F285" s="68">
        <v>36.75</v>
      </c>
      <c r="G285" s="71">
        <v>0.3673678985296383</v>
      </c>
      <c r="H285" s="65">
        <f t="shared" si="25"/>
        <v>-8.3717041306365862E-4</v>
      </c>
      <c r="I285" s="65">
        <f t="shared" si="26"/>
        <v>4.5184387680195073E-2</v>
      </c>
      <c r="J285" s="65">
        <f t="shared" si="27"/>
        <v>2.4804300934066891E-2</v>
      </c>
      <c r="K285" s="82">
        <f t="shared" si="28"/>
        <v>0.35</v>
      </c>
      <c r="L285" s="60">
        <f t="shared" si="29"/>
        <v>-8.5084946154901069E-4</v>
      </c>
      <c r="M285" s="60"/>
      <c r="N285" s="60"/>
      <c r="O285" s="60">
        <f t="shared" si="30"/>
        <v>1.3271402080627156E-3</v>
      </c>
    </row>
    <row r="286" spans="1:15" x14ac:dyDescent="0.25">
      <c r="A286" s="67">
        <v>44490</v>
      </c>
      <c r="B286" s="68">
        <v>35.85</v>
      </c>
      <c r="C286" s="71">
        <v>0.35798998686802358</v>
      </c>
      <c r="D286" s="69">
        <v>37.65</v>
      </c>
      <c r="E286" s="71">
        <v>0.37636595185276478</v>
      </c>
      <c r="F286" s="68">
        <v>36.75</v>
      </c>
      <c r="G286" s="71">
        <v>0.36736915619094568</v>
      </c>
      <c r="H286" s="65">
        <f t="shared" si="25"/>
        <v>2.7897893889957965E-4</v>
      </c>
      <c r="I286" s="65">
        <f t="shared" si="26"/>
        <v>4.4805445576112352E-2</v>
      </c>
      <c r="J286" s="65">
        <f t="shared" si="27"/>
        <v>2.8480252150760658E-2</v>
      </c>
      <c r="K286" s="82">
        <f t="shared" si="28"/>
        <v>0.3</v>
      </c>
      <c r="L286" s="60">
        <f t="shared" si="29"/>
        <v>2.6529970329480719E-4</v>
      </c>
      <c r="M286" s="60"/>
      <c r="N286" s="60"/>
      <c r="O286" s="60">
        <f t="shared" si="30"/>
        <v>-2.652521449131117E-3</v>
      </c>
    </row>
    <row r="287" spans="1:15" x14ac:dyDescent="0.25">
      <c r="A287" s="67">
        <v>44489</v>
      </c>
      <c r="B287" s="68">
        <v>35.840000000000003</v>
      </c>
      <c r="C287" s="71">
        <v>0.35789502482798252</v>
      </c>
      <c r="D287" s="69">
        <v>37.75</v>
      </c>
      <c r="E287" s="71">
        <v>0.37736688770741827</v>
      </c>
      <c r="F287" s="68">
        <v>36.75</v>
      </c>
      <c r="G287" s="71">
        <v>0.36737041386086422</v>
      </c>
      <c r="H287" s="65">
        <f t="shared" si="25"/>
        <v>5.5819147416401695E-4</v>
      </c>
      <c r="I287" s="65">
        <f t="shared" si="26"/>
        <v>4.3484312502397683E-2</v>
      </c>
      <c r="J287" s="65">
        <f t="shared" si="27"/>
        <v>2.5302510475043748E-2</v>
      </c>
      <c r="K287" s="82">
        <f t="shared" si="28"/>
        <v>0.1</v>
      </c>
      <c r="L287" s="60">
        <f t="shared" si="29"/>
        <v>5.4451205143552948E-4</v>
      </c>
      <c r="M287" s="60"/>
      <c r="N287" s="60"/>
      <c r="O287" s="60">
        <f t="shared" si="30"/>
        <v>1.0652564116207309E-2</v>
      </c>
    </row>
    <row r="288" spans="1:15" x14ac:dyDescent="0.25">
      <c r="A288" s="67">
        <v>44488</v>
      </c>
      <c r="B288" s="68">
        <v>35.82</v>
      </c>
      <c r="C288" s="71">
        <v>0.35770019972093792</v>
      </c>
      <c r="D288" s="69">
        <v>37.35</v>
      </c>
      <c r="E288" s="71">
        <v>0.37336957638085327</v>
      </c>
      <c r="F288" s="68">
        <v>37</v>
      </c>
      <c r="G288" s="71">
        <v>0.36987079855666849</v>
      </c>
      <c r="H288" s="65">
        <f t="shared" si="25"/>
        <v>-8.3717041306365862E-4</v>
      </c>
      <c r="I288" s="65">
        <f t="shared" si="26"/>
        <v>4.2859928616471372E-2</v>
      </c>
      <c r="J288" s="65">
        <f t="shared" si="27"/>
        <v>1.7385507679227401E-2</v>
      </c>
      <c r="K288" s="82">
        <f t="shared" si="28"/>
        <v>0.05</v>
      </c>
      <c r="L288" s="60">
        <f t="shared" si="29"/>
        <v>-8.5085002292111488E-4</v>
      </c>
      <c r="M288" s="60"/>
      <c r="N288" s="60"/>
      <c r="O288" s="60">
        <f t="shared" si="30"/>
        <v>-1.337792841659831E-3</v>
      </c>
    </row>
    <row r="289" spans="1:15" x14ac:dyDescent="0.25">
      <c r="A289" s="67">
        <v>44487</v>
      </c>
      <c r="B289" s="68">
        <v>35.85</v>
      </c>
      <c r="C289" s="71">
        <v>0.35800467845857098</v>
      </c>
      <c r="D289" s="69">
        <v>37.4</v>
      </c>
      <c r="E289" s="71">
        <v>0.37387068171625559</v>
      </c>
      <c r="F289" s="68">
        <v>37.299999999999997</v>
      </c>
      <c r="G289" s="71">
        <v>0.3728710274870678</v>
      </c>
      <c r="H289" s="65">
        <f t="shared" si="25"/>
        <v>-3.3416906619031018E-3</v>
      </c>
      <c r="I289" s="65">
        <f t="shared" si="26"/>
        <v>4.2190917683520651E-2</v>
      </c>
      <c r="J289" s="65">
        <f t="shared" si="27"/>
        <v>3.1149572050191074E-2</v>
      </c>
      <c r="K289" s="82">
        <f t="shared" si="28"/>
        <v>0</v>
      </c>
      <c r="L289" s="60">
        <f t="shared" si="29"/>
        <v>-3.3827306143029289E-3</v>
      </c>
      <c r="M289" s="60"/>
      <c r="N289" s="60"/>
      <c r="O289" s="60">
        <f t="shared" si="30"/>
        <v>-9.3147712745474849E-3</v>
      </c>
    </row>
    <row r="290" spans="1:15" x14ac:dyDescent="0.25">
      <c r="A290" s="67">
        <v>44484</v>
      </c>
      <c r="B290" s="68">
        <v>35.97</v>
      </c>
      <c r="C290" s="71">
        <v>0.35921776245588122</v>
      </c>
      <c r="D290" s="69">
        <v>37.75</v>
      </c>
      <c r="E290" s="71">
        <v>0.37737334730124822</v>
      </c>
      <c r="F290" s="68">
        <v>37</v>
      </c>
      <c r="G290" s="71">
        <v>0.36987586358003138</v>
      </c>
      <c r="H290" s="65">
        <f t="shared" si="25"/>
        <v>-2.7762372079150866E-3</v>
      </c>
      <c r="I290" s="65">
        <f t="shared" si="26"/>
        <v>4.4202814056302407E-2</v>
      </c>
      <c r="J290" s="65">
        <f t="shared" si="27"/>
        <v>3.8537169584230702E-2</v>
      </c>
      <c r="K290" s="82">
        <f t="shared" si="28"/>
        <v>0.1</v>
      </c>
      <c r="L290" s="60">
        <f t="shared" si="29"/>
        <v>-2.7899175663403646E-3</v>
      </c>
      <c r="M290" s="60"/>
      <c r="N290" s="60"/>
      <c r="O290" s="60">
        <f t="shared" si="30"/>
        <v>-1.1850039917495843E-2</v>
      </c>
    </row>
    <row r="291" spans="1:15" x14ac:dyDescent="0.25">
      <c r="A291" s="67">
        <v>44483</v>
      </c>
      <c r="B291" s="68">
        <v>36.07</v>
      </c>
      <c r="C291" s="71">
        <v>0.36022134971339448</v>
      </c>
      <c r="D291" s="69">
        <v>38.200000000000003</v>
      </c>
      <c r="E291" s="71">
        <v>0.38187314487995427</v>
      </c>
      <c r="F291" s="68">
        <v>37</v>
      </c>
      <c r="G291" s="71">
        <v>0.36987712985754728</v>
      </c>
      <c r="H291" s="65">
        <f t="shared" si="25"/>
        <v>-1.108340373918774E-3</v>
      </c>
      <c r="I291" s="65">
        <f t="shared" si="26"/>
        <v>4.4198689430618221E-2</v>
      </c>
      <c r="J291" s="65">
        <f t="shared" si="27"/>
        <v>5.9648310601141716E-2</v>
      </c>
      <c r="K291" s="82">
        <f t="shared" si="28"/>
        <v>0.05</v>
      </c>
      <c r="L291" s="60">
        <f t="shared" si="29"/>
        <v>-1.1220209194994085E-3</v>
      </c>
      <c r="M291" s="60"/>
      <c r="N291" s="60"/>
      <c r="O291" s="60">
        <f t="shared" si="30"/>
        <v>2.3588007267608358E-3</v>
      </c>
    </row>
    <row r="292" spans="1:15" x14ac:dyDescent="0.25">
      <c r="A292" s="67">
        <v>44482</v>
      </c>
      <c r="B292" s="68">
        <v>36.11</v>
      </c>
      <c r="C292" s="71">
        <v>0.36062575243515382</v>
      </c>
      <c r="D292" s="69">
        <v>38.11</v>
      </c>
      <c r="E292" s="71">
        <v>0.3809747480280456</v>
      </c>
      <c r="F292" s="68">
        <v>37.5</v>
      </c>
      <c r="G292" s="71">
        <v>0.37487675284837862</v>
      </c>
      <c r="H292" s="65">
        <f t="shared" si="25"/>
        <v>-1.6602106746402589E-3</v>
      </c>
      <c r="I292" s="65">
        <f t="shared" si="26"/>
        <v>4.3820863813940923E-2</v>
      </c>
      <c r="J292" s="65">
        <f t="shared" si="27"/>
        <v>5.6312761556257376E-2</v>
      </c>
      <c r="K292" s="82">
        <f t="shared" si="28"/>
        <v>0</v>
      </c>
      <c r="L292" s="60">
        <f t="shared" si="29"/>
        <v>-1.6738914073803331E-3</v>
      </c>
      <c r="M292" s="60"/>
      <c r="N292" s="60"/>
      <c r="O292" s="60">
        <f t="shared" si="30"/>
        <v>-1.6395943093081011E-2</v>
      </c>
    </row>
    <row r="293" spans="1:15" x14ac:dyDescent="0.25">
      <c r="A293" s="67">
        <v>44481</v>
      </c>
      <c r="B293" s="68">
        <v>36.17</v>
      </c>
      <c r="C293" s="71">
        <v>0.36122990628633972</v>
      </c>
      <c r="D293" s="69">
        <v>38.74</v>
      </c>
      <c r="E293" s="71">
        <v>0.38727400332083739</v>
      </c>
      <c r="F293" s="68">
        <v>38.4</v>
      </c>
      <c r="G293" s="71">
        <v>0.38387510912545569</v>
      </c>
      <c r="H293" s="65">
        <f t="shared" si="25"/>
        <v>-6.0639656600617918E-3</v>
      </c>
      <c r="I293" s="65">
        <f t="shared" si="26"/>
        <v>9.330865196189625E-2</v>
      </c>
      <c r="J293" s="65">
        <f t="shared" si="27"/>
        <v>5.3216724694389185E-2</v>
      </c>
      <c r="K293" s="82">
        <f t="shared" si="28"/>
        <v>0.3</v>
      </c>
      <c r="L293" s="60">
        <f t="shared" si="29"/>
        <v>-6.1323721313405587E-3</v>
      </c>
      <c r="M293" s="60"/>
      <c r="N293" s="60"/>
      <c r="O293" s="60">
        <f t="shared" si="30"/>
        <v>-1.052776445796217E-2</v>
      </c>
    </row>
    <row r="294" spans="1:15" x14ac:dyDescent="0.25">
      <c r="A294" s="67">
        <v>44476</v>
      </c>
      <c r="B294" s="68">
        <v>36.39</v>
      </c>
      <c r="C294" s="71">
        <v>0.36345190860582838</v>
      </c>
      <c r="D294" s="69">
        <v>39.15</v>
      </c>
      <c r="E294" s="71">
        <v>0.39137936937245371</v>
      </c>
      <c r="F294" s="68">
        <v>37.25</v>
      </c>
      <c r="G294" s="71">
        <v>0.37238522373241117</v>
      </c>
      <c r="H294" s="65">
        <f t="shared" si="25"/>
        <v>2.7483853409217106E-4</v>
      </c>
      <c r="I294" s="65">
        <f t="shared" si="26"/>
        <v>9.2057607113833817E-2</v>
      </c>
      <c r="J294" s="65">
        <f t="shared" si="27"/>
        <v>5.116633259252986E-2</v>
      </c>
      <c r="K294" s="82">
        <f t="shared" si="28"/>
        <v>0.25</v>
      </c>
      <c r="L294" s="60">
        <f t="shared" si="29"/>
        <v>2.6115667828496744E-4</v>
      </c>
      <c r="M294" s="60"/>
      <c r="N294" s="60"/>
      <c r="O294" s="60">
        <f t="shared" si="30"/>
        <v>-8.9002494702641252E-3</v>
      </c>
    </row>
    <row r="295" spans="1:15" x14ac:dyDescent="0.25">
      <c r="A295" s="67">
        <v>44475</v>
      </c>
      <c r="B295" s="68">
        <v>36.380000000000003</v>
      </c>
      <c r="C295" s="71">
        <v>0.36335700310580249</v>
      </c>
      <c r="D295" s="69">
        <v>39.5</v>
      </c>
      <c r="E295" s="71">
        <v>0.39487964284858379</v>
      </c>
      <c r="F295" s="68">
        <v>37.35</v>
      </c>
      <c r="G295" s="71">
        <v>0.37338619393404071</v>
      </c>
      <c r="H295" s="65">
        <f t="shared" si="25"/>
        <v>-8.4850652772143383E-3</v>
      </c>
      <c r="I295" s="65">
        <f t="shared" si="26"/>
        <v>9.1739368630470067E-2</v>
      </c>
      <c r="J295" s="65">
        <f t="shared" si="27"/>
        <v>3.7098150468255604E-2</v>
      </c>
      <c r="K295" s="82">
        <f t="shared" si="28"/>
        <v>0.2</v>
      </c>
      <c r="L295" s="60">
        <f t="shared" si="29"/>
        <v>-8.4987473202173883E-3</v>
      </c>
      <c r="M295" s="60"/>
      <c r="N295" s="60"/>
      <c r="O295" s="60">
        <f t="shared" si="30"/>
        <v>-1.2578782206860073E-2</v>
      </c>
    </row>
    <row r="296" spans="1:15" x14ac:dyDescent="0.25">
      <c r="A296" s="67">
        <v>44474</v>
      </c>
      <c r="B296" s="68">
        <v>36.69</v>
      </c>
      <c r="C296" s="71">
        <v>0.36645824211908928</v>
      </c>
      <c r="D296" s="69">
        <v>40</v>
      </c>
      <c r="E296" s="71">
        <v>0.39987948837336701</v>
      </c>
      <c r="F296" s="68">
        <v>38</v>
      </c>
      <c r="G296" s="71">
        <v>0.37988551395469861</v>
      </c>
      <c r="H296" s="65">
        <f t="shared" si="25"/>
        <v>-4.8939738788624457E-3</v>
      </c>
      <c r="I296" s="65">
        <f t="shared" si="26"/>
        <v>8.8270859270657601E-2</v>
      </c>
      <c r="J296" s="65">
        <f t="shared" si="27"/>
        <v>4.9346539887350556E-2</v>
      </c>
      <c r="K296" s="82">
        <f t="shared" si="28"/>
        <v>0</v>
      </c>
      <c r="L296" s="60">
        <f t="shared" si="29"/>
        <v>-4.9076561090661839E-3</v>
      </c>
      <c r="M296" s="60"/>
      <c r="N296" s="60"/>
      <c r="O296" s="60">
        <f t="shared" si="30"/>
        <v>6.5212169902655517E-3</v>
      </c>
    </row>
    <row r="297" spans="1:15" x14ac:dyDescent="0.25">
      <c r="A297" s="67">
        <v>44473</v>
      </c>
      <c r="B297" s="68">
        <v>36.869999999999997</v>
      </c>
      <c r="C297" s="71">
        <v>0.36826111346751128</v>
      </c>
      <c r="D297" s="69">
        <v>39.74</v>
      </c>
      <c r="E297" s="71">
        <v>0.39728163184256748</v>
      </c>
      <c r="F297" s="68">
        <v>37.799999999999997</v>
      </c>
      <c r="G297" s="71">
        <v>0.37788741025790262</v>
      </c>
      <c r="H297" s="65">
        <f t="shared" si="25"/>
        <v>-2.9790137129256516E-3</v>
      </c>
      <c r="I297" s="65">
        <f t="shared" si="26"/>
        <v>8.8403612871660403E-2</v>
      </c>
      <c r="J297" s="65">
        <f t="shared" si="27"/>
        <v>4.3729321644609243E-2</v>
      </c>
      <c r="K297" s="82">
        <f t="shared" si="28"/>
        <v>0</v>
      </c>
      <c r="L297" s="60">
        <f t="shared" si="29"/>
        <v>-3.0200615267931374E-3</v>
      </c>
      <c r="M297" s="60"/>
      <c r="N297" s="60"/>
      <c r="O297" s="60">
        <f t="shared" si="30"/>
        <v>-6.2711857350562289E-3</v>
      </c>
    </row>
    <row r="298" spans="1:15" x14ac:dyDescent="0.25">
      <c r="A298" s="67">
        <v>44470</v>
      </c>
      <c r="B298" s="68">
        <v>36.979999999999997</v>
      </c>
      <c r="C298" s="71">
        <v>0.36937496579278628</v>
      </c>
      <c r="D298" s="69">
        <v>39.99</v>
      </c>
      <c r="E298" s="71">
        <v>0.3997849933580751</v>
      </c>
      <c r="F298" s="68">
        <v>38</v>
      </c>
      <c r="G298" s="71">
        <v>0.37989071636926358</v>
      </c>
      <c r="H298" s="65">
        <f t="shared" si="25"/>
        <v>-3.7786819590210062E-3</v>
      </c>
      <c r="I298" s="65">
        <f t="shared" si="26"/>
        <v>8.9835338400993697E-2</v>
      </c>
      <c r="J298" s="65">
        <f t="shared" si="27"/>
        <v>4.6969695209738913E-2</v>
      </c>
      <c r="K298" s="82">
        <f t="shared" si="28"/>
        <v>0</v>
      </c>
      <c r="L298" s="60">
        <f t="shared" si="29"/>
        <v>-3.7923649380795948E-3</v>
      </c>
      <c r="M298" s="60"/>
      <c r="N298" s="60"/>
      <c r="O298" s="60">
        <f t="shared" si="30"/>
        <v>-2.5003125520928253E-4</v>
      </c>
    </row>
    <row r="299" spans="1:15" x14ac:dyDescent="0.25">
      <c r="A299" s="67">
        <v>44469</v>
      </c>
      <c r="B299" s="68">
        <v>37.119999999999997</v>
      </c>
      <c r="C299" s="71">
        <v>0.37077843000424171</v>
      </c>
      <c r="D299" s="69">
        <v>40</v>
      </c>
      <c r="E299" s="71">
        <v>0.39988633367912552</v>
      </c>
      <c r="F299" s="68">
        <v>38</v>
      </c>
      <c r="G299" s="71">
        <v>0.37989201699516922</v>
      </c>
      <c r="H299" s="65">
        <f t="shared" si="25"/>
        <v>-2.9589799666256454E-3</v>
      </c>
      <c r="I299" s="65">
        <f t="shared" si="26"/>
        <v>9.0929339721755958E-2</v>
      </c>
      <c r="J299" s="65">
        <f t="shared" si="27"/>
        <v>6.1194649079254891E-2</v>
      </c>
      <c r="K299" s="82">
        <f t="shared" si="28"/>
        <v>0</v>
      </c>
      <c r="L299" s="60">
        <f t="shared" si="29"/>
        <v>-2.9726631329107891E-3</v>
      </c>
      <c r="M299" s="60"/>
      <c r="N299" s="60"/>
      <c r="O299" s="60">
        <f t="shared" si="30"/>
        <v>-3.742986278834392E-3</v>
      </c>
    </row>
    <row r="300" spans="1:15" x14ac:dyDescent="0.25">
      <c r="A300" s="67">
        <v>44468</v>
      </c>
      <c r="B300" s="68">
        <v>37.229999999999997</v>
      </c>
      <c r="C300" s="71">
        <v>0.37188226923182183</v>
      </c>
      <c r="D300" s="69">
        <v>40.15</v>
      </c>
      <c r="E300" s="71">
        <v>0.40138728165378212</v>
      </c>
      <c r="F300" s="68">
        <v>38.200000000000003</v>
      </c>
      <c r="G300" s="71">
        <v>0.38189275614382268</v>
      </c>
      <c r="H300" s="65">
        <f t="shared" si="25"/>
        <v>2.9589799666257153E-3</v>
      </c>
      <c r="I300" s="65">
        <f t="shared" si="26"/>
        <v>0.10712700204564488</v>
      </c>
      <c r="J300" s="65">
        <f t="shared" si="27"/>
        <v>6.2013865660410436E-2</v>
      </c>
      <c r="K300" s="82">
        <f t="shared" si="28"/>
        <v>0.05</v>
      </c>
      <c r="L300" s="60">
        <f t="shared" si="29"/>
        <v>2.945296613109355E-3</v>
      </c>
      <c r="M300" s="60"/>
      <c r="N300" s="60"/>
      <c r="O300" s="60">
        <f t="shared" si="30"/>
        <v>1.505674617910773E-2</v>
      </c>
    </row>
    <row r="301" spans="1:15" x14ac:dyDescent="0.25">
      <c r="A301" s="67">
        <v>44467</v>
      </c>
      <c r="B301" s="68">
        <v>37.119999999999997</v>
      </c>
      <c r="C301" s="71">
        <v>0.37078857705833251</v>
      </c>
      <c r="D301" s="69">
        <v>39.549999999999997</v>
      </c>
      <c r="E301" s="71">
        <v>0.39539031980854622</v>
      </c>
      <c r="F301" s="68">
        <v>37.9</v>
      </c>
      <c r="G301" s="71">
        <v>0.37889489559403039</v>
      </c>
      <c r="H301" s="65">
        <f t="shared" si="25"/>
        <v>-2.1528533611012007E-3</v>
      </c>
      <c r="I301" s="65">
        <f t="shared" si="26"/>
        <v>0.1200184055374926</v>
      </c>
      <c r="J301" s="65">
        <f t="shared" si="27"/>
        <v>4.0766424696385632E-2</v>
      </c>
      <c r="K301" s="82">
        <f t="shared" si="28"/>
        <v>0.85</v>
      </c>
      <c r="L301" s="60">
        <f t="shared" si="29"/>
        <v>-2.1665369018543531E-3</v>
      </c>
      <c r="M301" s="60"/>
      <c r="N301" s="60"/>
      <c r="O301" s="60">
        <f t="shared" si="30"/>
        <v>1.1443227222342714E-2</v>
      </c>
    </row>
    <row r="302" spans="1:15" x14ac:dyDescent="0.25">
      <c r="A302" s="67">
        <v>44466</v>
      </c>
      <c r="B302" s="68">
        <v>37.200000000000003</v>
      </c>
      <c r="C302" s="71">
        <v>0.37159277504105093</v>
      </c>
      <c r="D302" s="69">
        <v>39.1</v>
      </c>
      <c r="E302" s="71">
        <v>0.39089290605313609</v>
      </c>
      <c r="F302" s="68">
        <v>37.799999999999997</v>
      </c>
      <c r="G302" s="71">
        <v>0.37789646672144622</v>
      </c>
      <c r="H302" s="65">
        <f t="shared" si="25"/>
        <v>-4.2918520815409204E-3</v>
      </c>
      <c r="I302" s="65">
        <f t="shared" si="26"/>
        <v>0.12203573463983775</v>
      </c>
      <c r="J302" s="65">
        <f t="shared" si="27"/>
        <v>3.9346179677743995E-2</v>
      </c>
      <c r="K302" s="82">
        <f t="shared" si="28"/>
        <v>0.95</v>
      </c>
      <c r="L302" s="60">
        <f t="shared" si="29"/>
        <v>-4.3329038272720806E-3</v>
      </c>
      <c r="M302" s="60"/>
      <c r="N302" s="60"/>
      <c r="O302" s="60">
        <f t="shared" si="30"/>
        <v>1.2870190520534956E-2</v>
      </c>
    </row>
    <row r="303" spans="1:15" x14ac:dyDescent="0.25">
      <c r="A303" s="67">
        <v>44463</v>
      </c>
      <c r="B303" s="68">
        <v>37.36</v>
      </c>
      <c r="C303" s="71">
        <v>0.37320634399332209</v>
      </c>
      <c r="D303" s="69">
        <v>38.6</v>
      </c>
      <c r="E303" s="71">
        <v>0.38589823916296051</v>
      </c>
      <c r="F303" s="68">
        <v>37.35</v>
      </c>
      <c r="G303" s="71">
        <v>0.37340153452685432</v>
      </c>
      <c r="H303" s="65">
        <f t="shared" si="25"/>
        <v>-7.4667013565370786E-3</v>
      </c>
      <c r="I303" s="65">
        <f t="shared" si="26"/>
        <v>0.12395926017446209</v>
      </c>
      <c r="J303" s="65">
        <f t="shared" si="27"/>
        <v>4.2371731199719674E-2</v>
      </c>
      <c r="K303" s="82">
        <f t="shared" si="28"/>
        <v>1</v>
      </c>
      <c r="L303" s="60">
        <f t="shared" si="29"/>
        <v>-7.4803856462884247E-3</v>
      </c>
      <c r="M303" s="60"/>
      <c r="N303" s="60"/>
      <c r="O303" s="60">
        <f t="shared" si="30"/>
        <v>-1.2870190520534907E-2</v>
      </c>
    </row>
    <row r="304" spans="1:15" x14ac:dyDescent="0.25">
      <c r="A304" s="67">
        <v>44462</v>
      </c>
      <c r="B304" s="68">
        <v>37.64</v>
      </c>
      <c r="C304" s="71">
        <v>0.37600853905523018</v>
      </c>
      <c r="D304" s="69">
        <v>39.1</v>
      </c>
      <c r="E304" s="71">
        <v>0.39089825935715361</v>
      </c>
      <c r="F304" s="68">
        <v>38</v>
      </c>
      <c r="G304" s="71">
        <v>0.37990112162587819</v>
      </c>
      <c r="H304" s="65">
        <f t="shared" si="25"/>
        <v>-1.3274925618650783E-3</v>
      </c>
      <c r="I304" s="65">
        <f t="shared" si="26"/>
        <v>0.11870439819630292</v>
      </c>
      <c r="J304" s="65">
        <f t="shared" si="27"/>
        <v>2.8648857632797224E-2</v>
      </c>
      <c r="K304" s="82">
        <f t="shared" si="28"/>
        <v>0.95</v>
      </c>
      <c r="L304" s="60">
        <f t="shared" si="29"/>
        <v>-1.3411770388786289E-3</v>
      </c>
      <c r="M304" s="60"/>
      <c r="N304" s="60"/>
      <c r="O304" s="60">
        <f t="shared" si="30"/>
        <v>-7.6433493125680121E-3</v>
      </c>
    </row>
    <row r="305" spans="1:15" x14ac:dyDescent="0.25">
      <c r="A305" s="67">
        <v>44461</v>
      </c>
      <c r="B305" s="68">
        <v>37.69</v>
      </c>
      <c r="C305" s="71">
        <v>0.37651317139924728</v>
      </c>
      <c r="D305" s="69">
        <v>39.4</v>
      </c>
      <c r="E305" s="71">
        <v>0.3938988273559873</v>
      </c>
      <c r="F305" s="68">
        <v>38.36</v>
      </c>
      <c r="G305" s="71">
        <v>0.38350149790293592</v>
      </c>
      <c r="H305" s="65">
        <f t="shared" si="25"/>
        <v>-1.8555339982558581E-3</v>
      </c>
      <c r="I305" s="65">
        <f t="shared" si="26"/>
        <v>0.11773209436501754</v>
      </c>
      <c r="J305" s="65">
        <f t="shared" si="27"/>
        <v>3.6948574441479802E-2</v>
      </c>
      <c r="K305" s="82">
        <f t="shared" si="28"/>
        <v>0.95</v>
      </c>
      <c r="L305" s="60">
        <f t="shared" si="29"/>
        <v>-1.8692186625373136E-3</v>
      </c>
      <c r="M305" s="60"/>
      <c r="N305" s="60"/>
      <c r="O305" s="60">
        <f t="shared" si="30"/>
        <v>-6.0728931578991202E-3</v>
      </c>
    </row>
    <row r="306" spans="1:15" x14ac:dyDescent="0.25">
      <c r="A306" s="67">
        <v>44460</v>
      </c>
      <c r="B306" s="68">
        <v>37.76</v>
      </c>
      <c r="C306" s="71">
        <v>0.37721761502039031</v>
      </c>
      <c r="D306" s="69">
        <v>39.64</v>
      </c>
      <c r="E306" s="71">
        <v>0.39629956791771948</v>
      </c>
      <c r="F306" s="68">
        <v>38.74</v>
      </c>
      <c r="G306" s="71">
        <v>0.38730184816176733</v>
      </c>
      <c r="H306" s="65">
        <f t="shared" si="25"/>
        <v>-3.1729270405777203E-3</v>
      </c>
      <c r="I306" s="65">
        <f t="shared" si="26"/>
        <v>0.11706748198998315</v>
      </c>
      <c r="J306" s="65">
        <f t="shared" si="27"/>
        <v>3.6561619334230133E-2</v>
      </c>
      <c r="K306" s="82">
        <f t="shared" si="28"/>
        <v>0.95</v>
      </c>
      <c r="L306" s="60">
        <f t="shared" si="29"/>
        <v>-3.1866118921312749E-3</v>
      </c>
      <c r="M306" s="60"/>
      <c r="N306" s="60"/>
      <c r="O306" s="60">
        <f t="shared" si="30"/>
        <v>-1.004024498523259E-2</v>
      </c>
    </row>
    <row r="307" spans="1:15" x14ac:dyDescent="0.25">
      <c r="A307" s="67">
        <v>44459</v>
      </c>
      <c r="B307" s="68">
        <v>37.880000000000003</v>
      </c>
      <c r="C307" s="71">
        <v>0.37842157842157842</v>
      </c>
      <c r="D307" s="69">
        <v>40.04</v>
      </c>
      <c r="E307" s="71">
        <v>0.40029992501874528</v>
      </c>
      <c r="F307" s="68">
        <v>38.619999999999997</v>
      </c>
      <c r="G307" s="71">
        <v>0.38610347413146712</v>
      </c>
      <c r="H307" s="65">
        <f t="shared" si="25"/>
        <v>-5.791013814777716E-3</v>
      </c>
      <c r="I307" s="65">
        <f t="shared" si="26"/>
        <v>0.11450914114673902</v>
      </c>
      <c r="J307" s="65">
        <f t="shared" si="27"/>
        <v>3.8108789563240195E-2</v>
      </c>
      <c r="K307" s="82">
        <f t="shared" si="28"/>
        <v>0.9</v>
      </c>
      <c r="L307" s="60">
        <f t="shared" si="29"/>
        <v>-5.8320694931260578E-3</v>
      </c>
      <c r="M307" s="60"/>
      <c r="N307" s="60"/>
      <c r="O307" s="60">
        <f t="shared" si="30"/>
        <v>-2.002786685899206E-2</v>
      </c>
    </row>
    <row r="308" spans="1:15" x14ac:dyDescent="0.25">
      <c r="A308" s="67">
        <v>44456</v>
      </c>
      <c r="B308" s="68">
        <v>38.1</v>
      </c>
      <c r="C308" s="71">
        <v>0.38063500752702889</v>
      </c>
      <c r="D308" s="69">
        <v>40.85</v>
      </c>
      <c r="E308" s="71">
        <v>0.40840209538809191</v>
      </c>
      <c r="F308" s="68">
        <v>39.200000000000003</v>
      </c>
      <c r="G308" s="71">
        <v>0.39190604991953992</v>
      </c>
      <c r="H308" s="65">
        <f t="shared" si="25"/>
        <v>-2.0975361649462334E-3</v>
      </c>
      <c r="I308" s="65">
        <f t="shared" si="26"/>
        <v>0.10997093522837378</v>
      </c>
      <c r="J308" s="65">
        <f t="shared" si="27"/>
        <v>0.16007883424378413</v>
      </c>
      <c r="K308" s="82">
        <f t="shared" si="28"/>
        <v>0.7</v>
      </c>
      <c r="L308" s="60">
        <f t="shared" si="29"/>
        <v>-2.1112217656418289E-3</v>
      </c>
      <c r="M308" s="60"/>
      <c r="N308" s="60"/>
      <c r="O308" s="60">
        <f t="shared" si="30"/>
        <v>-1.0713518591986953E-2</v>
      </c>
    </row>
    <row r="309" spans="1:15" x14ac:dyDescent="0.25">
      <c r="A309" s="67">
        <v>44455</v>
      </c>
      <c r="B309" s="68">
        <v>38.18</v>
      </c>
      <c r="C309" s="71">
        <v>0.38143946133107071</v>
      </c>
      <c r="D309" s="69">
        <v>41.29</v>
      </c>
      <c r="E309" s="71">
        <v>0.41280245421458628</v>
      </c>
      <c r="F309" s="68">
        <v>39.5</v>
      </c>
      <c r="G309" s="71">
        <v>0.39490668300983672</v>
      </c>
      <c r="H309" s="65">
        <f t="shared" si="25"/>
        <v>5.2397171751575994E-4</v>
      </c>
      <c r="I309" s="65">
        <f t="shared" si="26"/>
        <v>0.10853173379641523</v>
      </c>
      <c r="J309" s="65">
        <f t="shared" si="27"/>
        <v>0.15923100332701173</v>
      </c>
      <c r="K309" s="82">
        <f t="shared" si="28"/>
        <v>0.55000000000000004</v>
      </c>
      <c r="L309" s="60">
        <f t="shared" si="29"/>
        <v>5.1028592952230925E-4</v>
      </c>
      <c r="M309" s="60"/>
      <c r="N309" s="60"/>
      <c r="O309" s="60">
        <f t="shared" si="30"/>
        <v>-2.902057659476911E-3</v>
      </c>
    </row>
    <row r="310" spans="1:15" x14ac:dyDescent="0.25">
      <c r="A310" s="67">
        <v>44454</v>
      </c>
      <c r="B310" s="68">
        <v>38.159999999999997</v>
      </c>
      <c r="C310" s="71">
        <v>0.38124486779438332</v>
      </c>
      <c r="D310" s="69">
        <v>41.41</v>
      </c>
      <c r="E310" s="71">
        <v>0.41400358820548638</v>
      </c>
      <c r="F310" s="68">
        <v>39.450000000000003</v>
      </c>
      <c r="G310" s="71">
        <v>0.39440815152635689</v>
      </c>
      <c r="H310" s="65">
        <f t="shared" si="25"/>
        <v>-2.8784528575252892E-3</v>
      </c>
      <c r="I310" s="65">
        <f t="shared" si="26"/>
        <v>0.10773770623218823</v>
      </c>
      <c r="J310" s="65">
        <f t="shared" si="27"/>
        <v>0.16113080080104447</v>
      </c>
      <c r="K310" s="82">
        <f t="shared" si="28"/>
        <v>0.55000000000000004</v>
      </c>
      <c r="L310" s="60">
        <f t="shared" si="29"/>
        <v>-2.892138832822134E-3</v>
      </c>
      <c r="M310" s="60"/>
      <c r="N310" s="60"/>
      <c r="O310" s="60">
        <f t="shared" si="30"/>
        <v>7.5142760552869437E-3</v>
      </c>
    </row>
    <row r="311" spans="1:15" x14ac:dyDescent="0.25">
      <c r="A311" s="67">
        <v>44453</v>
      </c>
      <c r="B311" s="68">
        <v>38.270000000000003</v>
      </c>
      <c r="C311" s="71">
        <v>0.38234907687464931</v>
      </c>
      <c r="D311" s="69">
        <v>41.1</v>
      </c>
      <c r="E311" s="71">
        <v>0.4109057168389445</v>
      </c>
      <c r="F311" s="68">
        <v>39.4</v>
      </c>
      <c r="G311" s="71">
        <v>0.3939096166290611</v>
      </c>
      <c r="H311" s="65">
        <f t="shared" si="25"/>
        <v>-4.1721051391416051E-3</v>
      </c>
      <c r="I311" s="65">
        <f t="shared" si="26"/>
        <v>0.10938553355918607</v>
      </c>
      <c r="J311" s="65">
        <f t="shared" si="27"/>
        <v>0.15886843174105997</v>
      </c>
      <c r="K311" s="82">
        <f t="shared" si="28"/>
        <v>0.7</v>
      </c>
      <c r="L311" s="60">
        <f t="shared" si="29"/>
        <v>-4.1857913017471354E-3</v>
      </c>
      <c r="M311" s="60"/>
      <c r="N311" s="60"/>
      <c r="O311" s="60">
        <f t="shared" si="30"/>
        <v>-1.1370631762357081E-2</v>
      </c>
    </row>
    <row r="312" spans="1:15" x14ac:dyDescent="0.25">
      <c r="A312" s="67">
        <v>44452</v>
      </c>
      <c r="B312" s="68">
        <v>38.43</v>
      </c>
      <c r="C312" s="71">
        <v>0.38395286453343552</v>
      </c>
      <c r="D312" s="69">
        <v>41.57</v>
      </c>
      <c r="E312" s="71">
        <v>0.41560606164360109</v>
      </c>
      <c r="F312" s="68">
        <v>39.65</v>
      </c>
      <c r="G312" s="71">
        <v>0.39641040038895309</v>
      </c>
      <c r="H312" s="65">
        <f t="shared" si="25"/>
        <v>1.9708954868590173E-2</v>
      </c>
      <c r="I312" s="65">
        <f t="shared" si="26"/>
        <v>0.1048080790667876</v>
      </c>
      <c r="J312" s="65">
        <f t="shared" si="27"/>
        <v>0.14845147430258576</v>
      </c>
      <c r="K312" s="82">
        <f t="shared" si="28"/>
        <v>0.6</v>
      </c>
      <c r="L312" s="60">
        <f t="shared" si="29"/>
        <v>1.9667895256871376E-2</v>
      </c>
      <c r="M312" s="60"/>
      <c r="N312" s="60"/>
      <c r="O312" s="60">
        <f t="shared" si="30"/>
        <v>5.1078081357469898E-2</v>
      </c>
    </row>
    <row r="313" spans="1:15" x14ac:dyDescent="0.25">
      <c r="A313" s="67">
        <v>44449</v>
      </c>
      <c r="B313" s="68">
        <v>37.68</v>
      </c>
      <c r="C313" s="71">
        <v>0.37647509683423902</v>
      </c>
      <c r="D313" s="69">
        <v>39.5</v>
      </c>
      <c r="E313" s="71">
        <v>0.39491479578036248</v>
      </c>
      <c r="F313" s="68">
        <v>38.6</v>
      </c>
      <c r="G313" s="71">
        <v>0.38591673714232888</v>
      </c>
      <c r="H313" s="65">
        <f t="shared" si="25"/>
        <v>-1.5910902322419629E-3</v>
      </c>
      <c r="I313" s="65">
        <f t="shared" si="26"/>
        <v>0.11228989858559166</v>
      </c>
      <c r="J313" s="65">
        <f t="shared" si="27"/>
        <v>4.0918240646673203E-2</v>
      </c>
      <c r="K313" s="82">
        <f t="shared" si="28"/>
        <v>0.85</v>
      </c>
      <c r="L313" s="60">
        <f t="shared" si="29"/>
        <v>-1.6047771441322026E-3</v>
      </c>
      <c r="M313" s="60"/>
      <c r="N313" s="60"/>
      <c r="O313" s="60">
        <f t="shared" si="30"/>
        <v>-1.5075662405447386E-2</v>
      </c>
    </row>
    <row r="314" spans="1:15" x14ac:dyDescent="0.25">
      <c r="A314" s="67">
        <v>44448</v>
      </c>
      <c r="B314" s="68">
        <v>37.74</v>
      </c>
      <c r="C314" s="71">
        <v>0.37707974049437459</v>
      </c>
      <c r="D314" s="69">
        <v>40.1</v>
      </c>
      <c r="E314" s="71">
        <v>0.40091487423903138</v>
      </c>
      <c r="F314" s="68">
        <v>38.9</v>
      </c>
      <c r="G314" s="71">
        <v>0.38891742164334969</v>
      </c>
      <c r="H314" s="65">
        <f t="shared" si="25"/>
        <v>-1.3239774209933255E-3</v>
      </c>
      <c r="I314" s="65">
        <f t="shared" si="26"/>
        <v>0.11118020699136572</v>
      </c>
      <c r="J314" s="65">
        <f t="shared" si="27"/>
        <v>4.4750607768552129E-2</v>
      </c>
      <c r="K314" s="82">
        <f t="shared" si="28"/>
        <v>0.85</v>
      </c>
      <c r="L314" s="60">
        <f t="shared" si="29"/>
        <v>-1.3376645202182965E-3</v>
      </c>
      <c r="M314" s="60"/>
      <c r="N314" s="60"/>
      <c r="O314" s="60">
        <f t="shared" si="30"/>
        <v>-6.2150604034342848E-3</v>
      </c>
    </row>
    <row r="315" spans="1:15" x14ac:dyDescent="0.25">
      <c r="A315" s="67">
        <v>44447</v>
      </c>
      <c r="B315" s="68">
        <v>37.79</v>
      </c>
      <c r="C315" s="71">
        <v>0.37758448419813578</v>
      </c>
      <c r="D315" s="69">
        <v>40.35</v>
      </c>
      <c r="E315" s="71">
        <v>0.40341572479721699</v>
      </c>
      <c r="F315" s="68">
        <v>39.15</v>
      </c>
      <c r="G315" s="71">
        <v>0.39141823112295032</v>
      </c>
      <c r="H315" s="65">
        <f t="shared" si="25"/>
        <v>-1.5864625220602167E-3</v>
      </c>
      <c r="I315" s="65">
        <f t="shared" si="26"/>
        <v>0.1101511561587382</v>
      </c>
      <c r="J315" s="65">
        <f t="shared" si="27"/>
        <v>0.10350272132145516</v>
      </c>
      <c r="K315" s="82">
        <f t="shared" si="28"/>
        <v>0.85</v>
      </c>
      <c r="L315" s="60">
        <f t="shared" si="29"/>
        <v>-1.6001498086245093E-3</v>
      </c>
      <c r="M315" s="60"/>
      <c r="N315" s="60"/>
      <c r="O315" s="60">
        <f t="shared" si="30"/>
        <v>-2.1332180746355088E-2</v>
      </c>
    </row>
    <row r="316" spans="1:15" x14ac:dyDescent="0.25">
      <c r="A316" s="67">
        <v>44446</v>
      </c>
      <c r="B316" s="68">
        <v>37.85</v>
      </c>
      <c r="C316" s="71">
        <v>0.37818915959485361</v>
      </c>
      <c r="D316" s="69">
        <v>41.22</v>
      </c>
      <c r="E316" s="71">
        <v>0.4121153187701157</v>
      </c>
      <c r="F316" s="68">
        <v>39.700000000000003</v>
      </c>
      <c r="G316" s="71">
        <v>0.39691844141614741</v>
      </c>
      <c r="H316" s="65">
        <f t="shared" si="25"/>
        <v>2.3806386061578514E-3</v>
      </c>
      <c r="I316" s="65">
        <f t="shared" si="26"/>
        <v>0.10928580455424944</v>
      </c>
      <c r="J316" s="65">
        <f t="shared" si="27"/>
        <v>0.10776487842916399</v>
      </c>
      <c r="K316" s="82">
        <f t="shared" si="28"/>
        <v>0.85</v>
      </c>
      <c r="L316" s="60">
        <f t="shared" si="29"/>
        <v>2.3669511322496253E-3</v>
      </c>
      <c r="M316" s="60"/>
      <c r="N316" s="60"/>
      <c r="O316" s="60">
        <f t="shared" si="30"/>
        <v>-4.1157302983281423E-3</v>
      </c>
    </row>
    <row r="317" spans="1:15" x14ac:dyDescent="0.25">
      <c r="A317" s="67">
        <v>44445</v>
      </c>
      <c r="B317" s="68">
        <v>37.76</v>
      </c>
      <c r="C317" s="71">
        <v>0.37729506289437298</v>
      </c>
      <c r="D317" s="69">
        <v>41.39</v>
      </c>
      <c r="E317" s="71">
        <v>0.41381638641507368</v>
      </c>
      <c r="F317" s="68">
        <v>39.6</v>
      </c>
      <c r="G317" s="71">
        <v>0.39592000246525533</v>
      </c>
      <c r="H317" s="65">
        <f t="shared" si="25"/>
        <v>3.7145174044157163E-3</v>
      </c>
      <c r="I317" s="65">
        <f t="shared" si="26"/>
        <v>0.1091593143200513</v>
      </c>
      <c r="J317" s="65">
        <f t="shared" si="27"/>
        <v>9.4207029429203643E-2</v>
      </c>
      <c r="K317" s="82">
        <f t="shared" si="28"/>
        <v>0.85</v>
      </c>
      <c r="L317" s="60">
        <f t="shared" si="29"/>
        <v>3.6734538585725088E-3</v>
      </c>
      <c r="M317" s="60"/>
      <c r="N317" s="60"/>
      <c r="O317" s="60">
        <f t="shared" si="30"/>
        <v>1.1420364677215295E-2</v>
      </c>
    </row>
    <row r="318" spans="1:15" x14ac:dyDescent="0.25">
      <c r="A318" s="67">
        <v>44442</v>
      </c>
      <c r="B318" s="68">
        <v>37.619999999999997</v>
      </c>
      <c r="C318" s="71">
        <v>0.37591162943495399</v>
      </c>
      <c r="D318" s="69">
        <v>40.92</v>
      </c>
      <c r="E318" s="71">
        <v>0.40912153833511378</v>
      </c>
      <c r="F318" s="68">
        <v>39.25</v>
      </c>
      <c r="G318" s="71">
        <v>0.39242474046073361</v>
      </c>
      <c r="H318" s="65">
        <f t="shared" si="25"/>
        <v>4.2621268569418159E-3</v>
      </c>
      <c r="I318" s="65">
        <f t="shared" si="26"/>
        <v>0.11509058107152867</v>
      </c>
      <c r="J318" s="65">
        <f t="shared" si="27"/>
        <v>7.8546895833317476E-2</v>
      </c>
      <c r="K318" s="82">
        <f t="shared" si="28"/>
        <v>0.95</v>
      </c>
      <c r="L318" s="60">
        <f t="shared" si="29"/>
        <v>4.2484386336043237E-3</v>
      </c>
      <c r="M318" s="60"/>
      <c r="N318" s="60"/>
      <c r="O318" s="60">
        <f t="shared" si="30"/>
        <v>-7.3286921565269571E-4</v>
      </c>
    </row>
    <row r="319" spans="1:15" x14ac:dyDescent="0.25">
      <c r="A319" s="67">
        <v>44441</v>
      </c>
      <c r="B319" s="68">
        <v>37.46</v>
      </c>
      <c r="C319" s="71">
        <v>0.37431797960440771</v>
      </c>
      <c r="D319" s="69">
        <v>40.950000000000003</v>
      </c>
      <c r="E319" s="71">
        <v>0.4094228826762083</v>
      </c>
      <c r="F319" s="68">
        <v>39.4</v>
      </c>
      <c r="G319" s="71">
        <v>0.39392580164695012</v>
      </c>
      <c r="H319" s="65">
        <f t="shared" si="25"/>
        <v>1.560429832754932E-2</v>
      </c>
      <c r="I319" s="65">
        <f t="shared" si="26"/>
        <v>0.12005144626044166</v>
      </c>
      <c r="J319" s="65">
        <f t="shared" si="27"/>
        <v>6.996016321014531E-2</v>
      </c>
      <c r="K319" s="82">
        <f t="shared" si="28"/>
        <v>1</v>
      </c>
      <c r="L319" s="60">
        <f t="shared" si="29"/>
        <v>1.5590609916841953E-2</v>
      </c>
      <c r="M319" s="60"/>
      <c r="N319" s="60"/>
      <c r="O319" s="60">
        <f t="shared" si="30"/>
        <v>6.6152391187194043E-3</v>
      </c>
    </row>
    <row r="320" spans="1:15" x14ac:dyDescent="0.25">
      <c r="A320" s="67">
        <v>44440</v>
      </c>
      <c r="B320" s="68">
        <v>36.880000000000003</v>
      </c>
      <c r="C320" s="71">
        <v>0.36852739069729251</v>
      </c>
      <c r="D320" s="69">
        <v>40.68</v>
      </c>
      <c r="E320" s="71">
        <v>0.40672478377286392</v>
      </c>
      <c r="F320" s="68">
        <v>38.700000000000003</v>
      </c>
      <c r="G320" s="71">
        <v>0.38692844473967147</v>
      </c>
      <c r="H320" s="65">
        <f t="shared" si="25"/>
        <v>1.5576213262148619E-2</v>
      </c>
      <c r="I320" s="65">
        <f t="shared" si="26"/>
        <v>0.1128357972461369</v>
      </c>
      <c r="J320" s="65">
        <f t="shared" si="27"/>
        <v>8.5092638811131063E-2</v>
      </c>
      <c r="K320" s="82">
        <f t="shared" si="28"/>
        <v>1</v>
      </c>
      <c r="L320" s="60">
        <f t="shared" si="29"/>
        <v>1.5562524664066475E-2</v>
      </c>
      <c r="M320" s="60"/>
      <c r="N320" s="60"/>
      <c r="O320" s="60">
        <f t="shared" si="30"/>
        <v>8.8889474172459942E-3</v>
      </c>
    </row>
    <row r="321" spans="1:15" x14ac:dyDescent="0.25">
      <c r="A321" s="67">
        <v>44439</v>
      </c>
      <c r="B321" s="68">
        <v>36.31</v>
      </c>
      <c r="C321" s="71">
        <v>0.36283657070893738</v>
      </c>
      <c r="D321" s="69">
        <v>40.32</v>
      </c>
      <c r="E321" s="71">
        <v>0.40312682971926328</v>
      </c>
      <c r="F321" s="68">
        <v>38.450000000000003</v>
      </c>
      <c r="G321" s="71">
        <v>0.38443022328139081</v>
      </c>
      <c r="H321" s="65">
        <f t="shared" si="25"/>
        <v>8.2965077654606322E-3</v>
      </c>
      <c r="I321" s="65">
        <f t="shared" si="26"/>
        <v>0.10256337403816751</v>
      </c>
      <c r="J321" s="65">
        <f t="shared" si="27"/>
        <v>7.5160203135464024E-2</v>
      </c>
      <c r="K321" s="82">
        <f t="shared" si="28"/>
        <v>0.95</v>
      </c>
      <c r="L321" s="60">
        <f t="shared" si="29"/>
        <v>8.2828189799981425E-3</v>
      </c>
      <c r="M321" s="60"/>
      <c r="N321" s="60"/>
      <c r="O321" s="60">
        <f t="shared" si="30"/>
        <v>2.9806281381377199E-3</v>
      </c>
    </row>
    <row r="322" spans="1:15" x14ac:dyDescent="0.25">
      <c r="A322" s="67">
        <v>44438</v>
      </c>
      <c r="B322" s="68">
        <v>36.01</v>
      </c>
      <c r="C322" s="71">
        <v>0.35984367300005471</v>
      </c>
      <c r="D322" s="69">
        <v>40.200000000000003</v>
      </c>
      <c r="E322" s="71">
        <v>0.40192842370536758</v>
      </c>
      <c r="F322" s="68">
        <v>38.4</v>
      </c>
      <c r="G322" s="71">
        <v>0.38393162861408242</v>
      </c>
      <c r="H322" s="65">
        <f t="shared" si="25"/>
        <v>1.0608698043039091E-2</v>
      </c>
      <c r="I322" s="65">
        <f t="shared" si="26"/>
        <v>9.9001257675580004E-2</v>
      </c>
      <c r="J322" s="65">
        <f t="shared" si="27"/>
        <v>6.9703514084802756E-2</v>
      </c>
      <c r="K322" s="82">
        <f t="shared" si="28"/>
        <v>0.9</v>
      </c>
      <c r="L322" s="60">
        <f t="shared" si="29"/>
        <v>1.0567630562317703E-2</v>
      </c>
      <c r="M322" s="60"/>
      <c r="N322" s="60"/>
      <c r="O322" s="60">
        <f t="shared" si="30"/>
        <v>1.5037877364540502E-2</v>
      </c>
    </row>
    <row r="323" spans="1:15" x14ac:dyDescent="0.25">
      <c r="A323" s="67">
        <v>44435</v>
      </c>
      <c r="B323" s="68">
        <v>35.630000000000003</v>
      </c>
      <c r="C323" s="71">
        <v>0.3560610001505839</v>
      </c>
      <c r="D323" s="69">
        <v>39.6</v>
      </c>
      <c r="E323" s="71">
        <v>0.39593355909453548</v>
      </c>
      <c r="F323" s="68">
        <v>37.799999999999997</v>
      </c>
      <c r="G323" s="71">
        <v>0.37793657913569301</v>
      </c>
      <c r="H323" s="65">
        <f t="shared" ref="H323:H386" si="31">LN(B323/B324)</f>
        <v>5.9113472630571645E-3</v>
      </c>
      <c r="I323" s="65">
        <f t="shared" ref="I323:I386" si="32">STDEVA(H323:H342)*SQRT(260)</f>
        <v>9.0810912623505685E-2</v>
      </c>
      <c r="J323" s="65">
        <f t="shared" ref="J323:J386" si="33">STDEVA(H323:H327)*SQRT(260)</f>
        <v>4.4347558782045472E-2</v>
      </c>
      <c r="K323" s="82">
        <f t="shared" ref="K323:K386" si="34">_xlfn.PERCENTRANK.INC(I323:I343,I323,20)</f>
        <v>0.5</v>
      </c>
      <c r="L323" s="60">
        <f t="shared" ref="L323:L386" si="35">LN(C323/C324)</f>
        <v>5.8976577280220452E-3</v>
      </c>
      <c r="M323" s="60"/>
      <c r="N323" s="60"/>
      <c r="O323" s="60">
        <f t="shared" ref="O323:O386" si="36">LN(D323/D324)</f>
        <v>7.6045993852194328E-3</v>
      </c>
    </row>
    <row r="324" spans="1:15" x14ac:dyDescent="0.25">
      <c r="A324" s="67">
        <v>44434</v>
      </c>
      <c r="B324" s="68">
        <v>35.42</v>
      </c>
      <c r="C324" s="71">
        <v>0.35396725440806048</v>
      </c>
      <c r="D324" s="69">
        <v>39.299999999999997</v>
      </c>
      <c r="E324" s="71">
        <v>0.39293540787815701</v>
      </c>
      <c r="F324" s="68">
        <v>37.5</v>
      </c>
      <c r="G324" s="71">
        <v>0.37493836629595129</v>
      </c>
      <c r="H324" s="65">
        <f t="shared" si="31"/>
        <v>1.4126291372984099E-3</v>
      </c>
      <c r="I324" s="65">
        <f t="shared" si="32"/>
        <v>8.791734407176581E-2</v>
      </c>
      <c r="J324" s="65">
        <f t="shared" si="33"/>
        <v>2.7834750166088371E-2</v>
      </c>
      <c r="K324" s="82">
        <f t="shared" si="34"/>
        <v>0.35</v>
      </c>
      <c r="L324" s="60">
        <f t="shared" si="35"/>
        <v>1.3989394148574044E-3</v>
      </c>
      <c r="M324" s="60"/>
      <c r="N324" s="60"/>
      <c r="O324" s="60">
        <f t="shared" si="36"/>
        <v>-4.8229564233426168E-3</v>
      </c>
    </row>
    <row r="325" spans="1:15" x14ac:dyDescent="0.25">
      <c r="A325" s="67">
        <v>44433</v>
      </c>
      <c r="B325" s="68">
        <v>35.369999999999997</v>
      </c>
      <c r="C325" s="71">
        <v>0.35347242186537431</v>
      </c>
      <c r="D325" s="69">
        <v>39.49</v>
      </c>
      <c r="E325" s="71">
        <v>0.39483644755809849</v>
      </c>
      <c r="F325" s="68">
        <v>37.67</v>
      </c>
      <c r="G325" s="71">
        <v>0.37663937653870783</v>
      </c>
      <c r="H325" s="65">
        <f t="shared" si="31"/>
        <v>-5.6529113998280138E-4</v>
      </c>
      <c r="I325" s="65">
        <f t="shared" si="32"/>
        <v>8.7834745061983133E-2</v>
      </c>
      <c r="J325" s="65">
        <f t="shared" si="33"/>
        <v>3.7218812947998385E-2</v>
      </c>
      <c r="K325" s="82">
        <f t="shared" si="34"/>
        <v>0.3</v>
      </c>
      <c r="L325" s="60">
        <f t="shared" si="35"/>
        <v>-5.7898104983501047E-4</v>
      </c>
      <c r="M325" s="60"/>
      <c r="N325" s="60"/>
      <c r="O325" s="60">
        <f t="shared" si="36"/>
        <v>-2.5290858194812879E-3</v>
      </c>
    </row>
    <row r="326" spans="1:15" x14ac:dyDescent="0.25">
      <c r="A326" s="67">
        <v>44432</v>
      </c>
      <c r="B326" s="68">
        <v>35.39</v>
      </c>
      <c r="C326" s="71">
        <v>0.35367713495605507</v>
      </c>
      <c r="D326" s="69">
        <v>39.590000000000003</v>
      </c>
      <c r="E326" s="71">
        <v>0.39583764201529897</v>
      </c>
      <c r="F326" s="68">
        <v>37.75</v>
      </c>
      <c r="G326" s="71">
        <v>0.37744054018887441</v>
      </c>
      <c r="H326" s="65">
        <f t="shared" si="31"/>
        <v>3.680117387648001E-3</v>
      </c>
      <c r="I326" s="65">
        <f t="shared" si="32"/>
        <v>8.8026728555324632E-2</v>
      </c>
      <c r="J326" s="65">
        <f t="shared" si="33"/>
        <v>5.7147992500501892E-2</v>
      </c>
      <c r="K326" s="82">
        <f t="shared" si="34"/>
        <v>0.3</v>
      </c>
      <c r="L326" s="60">
        <f t="shared" si="35"/>
        <v>3.6664272903792982E-3</v>
      </c>
      <c r="M326" s="60"/>
      <c r="N326" s="60"/>
      <c r="O326" s="60">
        <f t="shared" si="36"/>
        <v>2.1445805318683338E-2</v>
      </c>
    </row>
    <row r="327" spans="1:15" x14ac:dyDescent="0.25">
      <c r="A327" s="67">
        <v>44431</v>
      </c>
      <c r="B327" s="68">
        <v>35.26</v>
      </c>
      <c r="C327" s="71">
        <v>0.35238277773974952</v>
      </c>
      <c r="D327" s="69">
        <v>38.75</v>
      </c>
      <c r="E327" s="71">
        <v>0.38744029173586259</v>
      </c>
      <c r="F327" s="68">
        <v>37.4</v>
      </c>
      <c r="G327" s="71">
        <v>0.37394237189474222</v>
      </c>
      <c r="H327" s="65">
        <f t="shared" si="31"/>
        <v>-2.8356727823660718E-4</v>
      </c>
      <c r="I327" s="65">
        <f t="shared" si="32"/>
        <v>8.6093773602854223E-2</v>
      </c>
      <c r="J327" s="65">
        <f t="shared" si="33"/>
        <v>5.9249336142999695E-2</v>
      </c>
      <c r="K327" s="82">
        <f t="shared" si="34"/>
        <v>0.25</v>
      </c>
      <c r="L327" s="60">
        <f t="shared" si="35"/>
        <v>-3.2463869459013224E-4</v>
      </c>
      <c r="M327" s="60"/>
      <c r="N327" s="60"/>
      <c r="O327" s="60">
        <f t="shared" si="36"/>
        <v>1.98077885998218E-2</v>
      </c>
    </row>
    <row r="328" spans="1:15" x14ac:dyDescent="0.25">
      <c r="A328" s="67">
        <v>44428</v>
      </c>
      <c r="B328" s="68">
        <v>35.270000000000003</v>
      </c>
      <c r="C328" s="71">
        <v>0.35249719339558072</v>
      </c>
      <c r="D328" s="69">
        <v>37.99</v>
      </c>
      <c r="E328" s="71">
        <v>0.37984536470781599</v>
      </c>
      <c r="F328" s="68">
        <v>37.200000000000003</v>
      </c>
      <c r="G328" s="71">
        <v>0.3719465008457688</v>
      </c>
      <c r="H328" s="65">
        <f t="shared" si="31"/>
        <v>2.835672782366744E-4</v>
      </c>
      <c r="I328" s="65">
        <f t="shared" si="32"/>
        <v>8.6050589908077096E-2</v>
      </c>
      <c r="J328" s="65">
        <f t="shared" si="33"/>
        <v>0.13506024924855273</v>
      </c>
      <c r="K328" s="82">
        <f t="shared" si="34"/>
        <v>0.2</v>
      </c>
      <c r="L328" s="60">
        <f t="shared" si="35"/>
        <v>2.6987643125221287E-4</v>
      </c>
      <c r="M328" s="60"/>
      <c r="N328" s="60"/>
      <c r="O328" s="60">
        <f t="shared" si="36"/>
        <v>2.1080376712907774E-3</v>
      </c>
    </row>
    <row r="329" spans="1:15" x14ac:dyDescent="0.25">
      <c r="A329" s="67">
        <v>44427</v>
      </c>
      <c r="B329" s="68">
        <v>35.26</v>
      </c>
      <c r="C329" s="71">
        <v>0.35240207554661079</v>
      </c>
      <c r="D329" s="69">
        <v>37.909999999999997</v>
      </c>
      <c r="E329" s="71">
        <v>0.37904677767847661</v>
      </c>
      <c r="F329" s="68">
        <v>37.25</v>
      </c>
      <c r="G329" s="71">
        <v>0.37244770426070312</v>
      </c>
      <c r="H329" s="65">
        <f t="shared" si="31"/>
        <v>4.2631867893833351E-3</v>
      </c>
      <c r="I329" s="65">
        <f t="shared" si="32"/>
        <v>8.5874401472624914E-2</v>
      </c>
      <c r="J329" s="65">
        <f t="shared" si="33"/>
        <v>0.14272257191006799</v>
      </c>
      <c r="K329" s="82">
        <f t="shared" si="34"/>
        <v>0.15</v>
      </c>
      <c r="L329" s="60">
        <f t="shared" si="35"/>
        <v>4.2494957549570906E-3</v>
      </c>
      <c r="M329" s="60"/>
      <c r="N329" s="60"/>
      <c r="O329" s="60">
        <f t="shared" si="36"/>
        <v>-8.9286307443014312E-3</v>
      </c>
    </row>
    <row r="330" spans="1:15" x14ac:dyDescent="0.25">
      <c r="A330" s="67">
        <v>44426</v>
      </c>
      <c r="B330" s="68">
        <v>35.11</v>
      </c>
      <c r="C330" s="71">
        <v>0.350907721796276</v>
      </c>
      <c r="D330" s="69">
        <v>38.25</v>
      </c>
      <c r="E330" s="71">
        <v>0.38244760991644983</v>
      </c>
      <c r="F330" s="68">
        <v>37.65</v>
      </c>
      <c r="G330" s="71">
        <v>0.37644843172168202</v>
      </c>
      <c r="H330" s="65">
        <f t="shared" si="31"/>
        <v>-4.5467540676198178E-3</v>
      </c>
      <c r="I330" s="65">
        <f t="shared" si="32"/>
        <v>8.5287017012191893E-2</v>
      </c>
      <c r="J330" s="65">
        <f t="shared" si="33"/>
        <v>0.14497687707970527</v>
      </c>
      <c r="K330" s="82">
        <f t="shared" si="34"/>
        <v>0.1</v>
      </c>
      <c r="L330" s="60">
        <f t="shared" si="35"/>
        <v>-4.5604452894930144E-3</v>
      </c>
      <c r="M330" s="60"/>
      <c r="N330" s="60"/>
      <c r="O330" s="60">
        <f t="shared" si="36"/>
        <v>-3.9138993211363287E-3</v>
      </c>
    </row>
    <row r="331" spans="1:15" x14ac:dyDescent="0.25">
      <c r="A331" s="67">
        <v>44425</v>
      </c>
      <c r="B331" s="68">
        <v>35.270000000000003</v>
      </c>
      <c r="C331" s="71">
        <v>0.35251167184654769</v>
      </c>
      <c r="D331" s="69">
        <v>38.4</v>
      </c>
      <c r="E331" s="71">
        <v>0.38394871917791801</v>
      </c>
      <c r="F331" s="68">
        <v>37.75</v>
      </c>
      <c r="G331" s="71">
        <v>0.3774495872126668</v>
      </c>
      <c r="H331" s="65">
        <f t="shared" si="31"/>
        <v>4.2619754810449464E-3</v>
      </c>
      <c r="I331" s="65">
        <f t="shared" si="32"/>
        <v>9.3464212254456502E-2</v>
      </c>
      <c r="J331" s="65">
        <f t="shared" si="33"/>
        <v>0.15247462469532688</v>
      </c>
      <c r="K331" s="82">
        <f t="shared" si="34"/>
        <v>0.2</v>
      </c>
      <c r="L331" s="60">
        <f t="shared" si="35"/>
        <v>4.2072087189788136E-3</v>
      </c>
      <c r="M331" s="60"/>
      <c r="N331" s="60"/>
      <c r="O331" s="60">
        <f t="shared" si="36"/>
        <v>-1.0362787035546547E-2</v>
      </c>
    </row>
    <row r="332" spans="1:15" x14ac:dyDescent="0.25">
      <c r="A332" s="67">
        <v>44421</v>
      </c>
      <c r="B332" s="68">
        <v>35.119999999999997</v>
      </c>
      <c r="C332" s="71">
        <v>0.35103169713151228</v>
      </c>
      <c r="D332" s="69">
        <v>38.799999999999997</v>
      </c>
      <c r="E332" s="71">
        <v>0.38795349872446788</v>
      </c>
      <c r="F332" s="68">
        <v>37.75</v>
      </c>
      <c r="G332" s="71">
        <v>0.37745475713527488</v>
      </c>
      <c r="H332" s="65">
        <f t="shared" si="31"/>
        <v>-1.5819538944892766E-2</v>
      </c>
      <c r="I332" s="65">
        <f t="shared" si="32"/>
        <v>9.6614983659879056E-2</v>
      </c>
      <c r="J332" s="65">
        <f t="shared" si="33"/>
        <v>0.15175007028731868</v>
      </c>
      <c r="K332" s="82">
        <f t="shared" si="34"/>
        <v>0.35</v>
      </c>
      <c r="L332" s="60">
        <f t="shared" si="35"/>
        <v>-1.5833231104078097E-2</v>
      </c>
      <c r="M332" s="60"/>
      <c r="N332" s="60"/>
      <c r="O332" s="60">
        <f t="shared" si="36"/>
        <v>-8.7247153387024767E-3</v>
      </c>
    </row>
    <row r="333" spans="1:15" x14ac:dyDescent="0.25">
      <c r="A333" s="67">
        <v>44420</v>
      </c>
      <c r="B333" s="68">
        <v>35.68</v>
      </c>
      <c r="C333" s="71">
        <v>0.35663389654133693</v>
      </c>
      <c r="D333" s="69">
        <v>39.14</v>
      </c>
      <c r="E333" s="71">
        <v>0.39135443133333792</v>
      </c>
      <c r="F333" s="68">
        <v>38.4</v>
      </c>
      <c r="G333" s="71">
        <v>0.38395529287685681</v>
      </c>
      <c r="H333" s="65">
        <f t="shared" si="31"/>
        <v>4.2128976788729407E-3</v>
      </c>
      <c r="I333" s="65">
        <f t="shared" si="32"/>
        <v>8.2418471760065351E-2</v>
      </c>
      <c r="J333" s="65">
        <f t="shared" si="33"/>
        <v>8.4083676810323291E-2</v>
      </c>
      <c r="K333" s="82">
        <f t="shared" si="34"/>
        <v>0</v>
      </c>
      <c r="L333" s="60">
        <f t="shared" si="35"/>
        <v>4.1992053322100868E-3</v>
      </c>
      <c r="M333" s="60"/>
      <c r="N333" s="60"/>
      <c r="O333" s="60">
        <f t="shared" si="36"/>
        <v>1.1305361932194041E-2</v>
      </c>
    </row>
    <row r="334" spans="1:15" x14ac:dyDescent="0.25">
      <c r="A334" s="67">
        <v>44419</v>
      </c>
      <c r="B334" s="68">
        <v>35.53</v>
      </c>
      <c r="C334" s="71">
        <v>0.35513945750551118</v>
      </c>
      <c r="D334" s="69">
        <v>38.700000000000003</v>
      </c>
      <c r="E334" s="71">
        <v>0.38695626864087279</v>
      </c>
      <c r="F334" s="68">
        <v>37.81</v>
      </c>
      <c r="G334" s="71">
        <v>0.37805727434913178</v>
      </c>
      <c r="H334" s="65">
        <f t="shared" si="31"/>
        <v>5.0790176903538634E-3</v>
      </c>
      <c r="I334" s="65">
        <f t="shared" si="32"/>
        <v>8.3476675411864432E-2</v>
      </c>
      <c r="J334" s="65">
        <f t="shared" si="33"/>
        <v>0.1038182857876776</v>
      </c>
      <c r="K334" s="82">
        <f t="shared" si="34"/>
        <v>0</v>
      </c>
      <c r="L334" s="60">
        <f t="shared" si="35"/>
        <v>5.0653251562079483E-3</v>
      </c>
      <c r="M334" s="60"/>
      <c r="N334" s="60"/>
      <c r="O334" s="60">
        <f t="shared" si="36"/>
        <v>2.5843132331455741E-4</v>
      </c>
    </row>
    <row r="335" spans="1:15" x14ac:dyDescent="0.25">
      <c r="A335" s="67">
        <v>44418</v>
      </c>
      <c r="B335" s="68">
        <v>35.35</v>
      </c>
      <c r="C335" s="71">
        <v>0.353345108993318</v>
      </c>
      <c r="D335" s="69">
        <v>38.69</v>
      </c>
      <c r="E335" s="71">
        <v>0.38685760464606622</v>
      </c>
      <c r="F335" s="68">
        <v>37.74</v>
      </c>
      <c r="G335" s="71">
        <v>0.37735864562787641</v>
      </c>
      <c r="H335" s="65">
        <f t="shared" si="31"/>
        <v>7.0972618707616847E-3</v>
      </c>
      <c r="I335" s="65">
        <f t="shared" si="32"/>
        <v>8.8421566141890257E-2</v>
      </c>
      <c r="J335" s="65">
        <f t="shared" si="33"/>
        <v>0.10161785783853201</v>
      </c>
      <c r="K335" s="82">
        <f t="shared" si="34"/>
        <v>0</v>
      </c>
      <c r="L335" s="60">
        <f t="shared" si="35"/>
        <v>7.0835691491277549E-3</v>
      </c>
      <c r="M335" s="60"/>
      <c r="N335" s="60"/>
      <c r="O335" s="60">
        <f t="shared" si="36"/>
        <v>9.3482893199578442E-3</v>
      </c>
    </row>
    <row r="336" spans="1:15" x14ac:dyDescent="0.25">
      <c r="A336" s="67">
        <v>44417</v>
      </c>
      <c r="B336" s="68">
        <v>35.1</v>
      </c>
      <c r="C336" s="71">
        <v>0.35085100847585271</v>
      </c>
      <c r="D336" s="69">
        <v>38.33</v>
      </c>
      <c r="E336" s="71">
        <v>0.3832593115114491</v>
      </c>
      <c r="F336" s="68">
        <v>37.4</v>
      </c>
      <c r="G336" s="71">
        <v>0.3739602987354082</v>
      </c>
      <c r="H336" s="65">
        <f t="shared" si="31"/>
        <v>3.7105793965357746E-3</v>
      </c>
      <c r="I336" s="65">
        <f t="shared" si="32"/>
        <v>9.6884645223959204E-2</v>
      </c>
      <c r="J336" s="65">
        <f t="shared" si="33"/>
        <v>6.8582970387723652E-2</v>
      </c>
      <c r="K336" s="82">
        <f t="shared" si="34"/>
        <v>0.2</v>
      </c>
      <c r="L336" s="60">
        <f t="shared" si="35"/>
        <v>3.6558066350162997E-3</v>
      </c>
      <c r="M336" s="60"/>
      <c r="N336" s="60"/>
      <c r="O336" s="60">
        <f t="shared" si="36"/>
        <v>-1.8245802012174599E-3</v>
      </c>
    </row>
    <row r="337" spans="1:15" x14ac:dyDescent="0.25">
      <c r="A337" s="67">
        <v>44413</v>
      </c>
      <c r="B337" s="68">
        <v>34.97</v>
      </c>
      <c r="C337" s="71">
        <v>0.34957070672490997</v>
      </c>
      <c r="D337" s="69">
        <v>38.4</v>
      </c>
      <c r="E337" s="71">
        <v>0.38396449643354902</v>
      </c>
      <c r="F337" s="68">
        <v>37.4</v>
      </c>
      <c r="G337" s="71">
        <v>0.37396542100559188</v>
      </c>
      <c r="H337" s="65">
        <f t="shared" si="31"/>
        <v>-6.2714002582093331E-3</v>
      </c>
      <c r="I337" s="65">
        <f t="shared" si="32"/>
        <v>0.10506421917205219</v>
      </c>
      <c r="J337" s="65">
        <f t="shared" si="33"/>
        <v>2.4719178049240606E-2</v>
      </c>
      <c r="K337" s="82">
        <f t="shared" si="34"/>
        <v>0.35</v>
      </c>
      <c r="L337" s="60">
        <f t="shared" si="35"/>
        <v>-6.2850939173604405E-3</v>
      </c>
      <c r="M337" s="60"/>
      <c r="N337" s="60"/>
      <c r="O337" s="60">
        <f t="shared" si="36"/>
        <v>-7.7821404420550747E-3</v>
      </c>
    </row>
    <row r="338" spans="1:15" x14ac:dyDescent="0.25">
      <c r="A338" s="67">
        <v>44412</v>
      </c>
      <c r="B338" s="68">
        <v>35.19</v>
      </c>
      <c r="C338" s="71">
        <v>0.35177471037712588</v>
      </c>
      <c r="D338" s="69">
        <v>38.700000000000003</v>
      </c>
      <c r="E338" s="71">
        <v>0.38696554416387591</v>
      </c>
      <c r="F338" s="68">
        <v>37.700000000000003</v>
      </c>
      <c r="G338" s="71">
        <v>0.37696643449555872</v>
      </c>
      <c r="H338" s="65">
        <f t="shared" si="31"/>
        <v>-6.2323147903185E-3</v>
      </c>
      <c r="I338" s="65">
        <f t="shared" si="32"/>
        <v>0.10076875545041694</v>
      </c>
      <c r="J338" s="65">
        <f t="shared" si="33"/>
        <v>3.4592318832068258E-2</v>
      </c>
      <c r="K338" s="82">
        <f t="shared" si="34"/>
        <v>0.25</v>
      </c>
      <c r="L338" s="60">
        <f t="shared" si="35"/>
        <v>-6.2460086369889433E-3</v>
      </c>
      <c r="M338" s="60"/>
      <c r="N338" s="60"/>
      <c r="O338" s="60">
        <f t="shared" si="36"/>
        <v>-2.3228814161396385E-3</v>
      </c>
    </row>
    <row r="339" spans="1:15" x14ac:dyDescent="0.25">
      <c r="A339" s="67">
        <v>44411</v>
      </c>
      <c r="B339" s="68">
        <v>35.409999999999997</v>
      </c>
      <c r="C339" s="71">
        <v>0.35397877439233139</v>
      </c>
      <c r="D339" s="69">
        <v>38.79</v>
      </c>
      <c r="E339" s="71">
        <v>0.3878667922266929</v>
      </c>
      <c r="F339" s="68">
        <v>38.15</v>
      </c>
      <c r="G339" s="71">
        <v>0.38146734012498928</v>
      </c>
      <c r="H339" s="65">
        <f t="shared" si="31"/>
        <v>-5.0704333982891734E-3</v>
      </c>
      <c r="I339" s="65">
        <f t="shared" si="32"/>
        <v>9.6244076725123515E-2</v>
      </c>
      <c r="J339" s="65">
        <f t="shared" si="33"/>
        <v>2.8935187961992934E-2</v>
      </c>
      <c r="K339" s="82">
        <f t="shared" si="34"/>
        <v>0.15</v>
      </c>
      <c r="L339" s="60">
        <f t="shared" si="35"/>
        <v>-5.0841274324830744E-3</v>
      </c>
      <c r="M339" s="60"/>
      <c r="N339" s="60"/>
      <c r="O339" s="60">
        <f t="shared" si="36"/>
        <v>-4.3729973224586344E-3</v>
      </c>
    </row>
    <row r="340" spans="1:15" x14ac:dyDescent="0.25">
      <c r="A340" s="67">
        <v>44410</v>
      </c>
      <c r="B340" s="68">
        <v>35.590000000000003</v>
      </c>
      <c r="C340" s="71">
        <v>0.35578303023663449</v>
      </c>
      <c r="D340" s="69">
        <v>38.96</v>
      </c>
      <c r="E340" s="71">
        <v>0.38956798071391391</v>
      </c>
      <c r="F340" s="68">
        <v>38.229999999999997</v>
      </c>
      <c r="G340" s="71">
        <v>0.3822685806646029</v>
      </c>
      <c r="H340" s="65">
        <f t="shared" si="31"/>
        <v>-5.3243785584716962E-3</v>
      </c>
      <c r="I340" s="65">
        <f t="shared" si="32"/>
        <v>9.2943645576647846E-2</v>
      </c>
      <c r="J340" s="65">
        <f t="shared" si="33"/>
        <v>2.4502817831660802E-2</v>
      </c>
      <c r="K340" s="82">
        <f t="shared" si="34"/>
        <v>0</v>
      </c>
      <c r="L340" s="60">
        <f t="shared" si="35"/>
        <v>-5.3380727801954986E-3</v>
      </c>
      <c r="M340" s="60"/>
      <c r="N340" s="60"/>
      <c r="O340" s="60">
        <f t="shared" si="36"/>
        <v>-1.0261673553120061E-3</v>
      </c>
    </row>
    <row r="341" spans="1:15" x14ac:dyDescent="0.25">
      <c r="A341" s="67">
        <v>44409</v>
      </c>
      <c r="B341" s="68">
        <v>35.78</v>
      </c>
      <c r="C341" s="71">
        <v>0.35768730400010962</v>
      </c>
      <c r="D341" s="69">
        <v>39</v>
      </c>
      <c r="E341" s="71">
        <v>0.38996928324138852</v>
      </c>
      <c r="F341" s="68">
        <v>38.299999999999997</v>
      </c>
      <c r="G341" s="71">
        <v>0.38296983456782507</v>
      </c>
      <c r="H341" s="65">
        <f t="shared" si="31"/>
        <v>-2.5122134636180343E-3</v>
      </c>
      <c r="I341" s="65">
        <f t="shared" si="32"/>
        <v>9.5997459498734658E-2</v>
      </c>
      <c r="J341" s="65">
        <f t="shared" si="33"/>
        <v>1.2374502854822394E-2</v>
      </c>
      <c r="K341" s="82">
        <f t="shared" si="34"/>
        <v>0.05</v>
      </c>
      <c r="L341" s="60">
        <f t="shared" si="35"/>
        <v>-2.5396024696725198E-3</v>
      </c>
      <c r="M341" s="60"/>
      <c r="N341" s="60"/>
      <c r="O341" s="60">
        <f t="shared" si="36"/>
        <v>4.6260683887822431E-3</v>
      </c>
    </row>
    <row r="342" spans="1:15" x14ac:dyDescent="0.25">
      <c r="A342" s="67">
        <v>44407</v>
      </c>
      <c r="B342" s="68">
        <v>35.869999999999997</v>
      </c>
      <c r="C342" s="71">
        <v>0.35859684200435488</v>
      </c>
      <c r="D342" s="69">
        <v>38.82</v>
      </c>
      <c r="E342" s="71">
        <v>0.38817208351454169</v>
      </c>
      <c r="F342" s="68">
        <v>38.479999999999997</v>
      </c>
      <c r="G342" s="71">
        <v>0.38477232801750549</v>
      </c>
      <c r="H342" s="65">
        <f t="shared" si="31"/>
        <v>-1.1145166938002632E-3</v>
      </c>
      <c r="I342" s="65">
        <f t="shared" si="32"/>
        <v>9.5790814655040649E-2</v>
      </c>
      <c r="J342" s="65">
        <f t="shared" si="33"/>
        <v>1.3556407329264251E-2</v>
      </c>
      <c r="K342" s="82">
        <f t="shared" si="34"/>
        <v>0</v>
      </c>
      <c r="L342" s="60">
        <f t="shared" si="35"/>
        <v>-1.1282114781418105E-3</v>
      </c>
      <c r="M342" s="60"/>
      <c r="N342" s="60"/>
      <c r="O342" s="60">
        <f t="shared" si="36"/>
        <v>3.6129071557706258E-3</v>
      </c>
    </row>
    <row r="343" spans="1:15" x14ac:dyDescent="0.25">
      <c r="A343" s="67">
        <v>44406</v>
      </c>
      <c r="B343" s="68">
        <v>35.909999999999997</v>
      </c>
      <c r="C343" s="71">
        <v>0.35900164338537383</v>
      </c>
      <c r="D343" s="69">
        <v>38.68</v>
      </c>
      <c r="E343" s="71">
        <v>0.38677350866379012</v>
      </c>
      <c r="F343" s="68">
        <v>38.450000000000003</v>
      </c>
      <c r="G343" s="71">
        <v>0.38447366618724749</v>
      </c>
      <c r="H343" s="65">
        <f t="shared" si="31"/>
        <v>-2.7808694227924617E-3</v>
      </c>
      <c r="I343" s="65">
        <f t="shared" si="32"/>
        <v>9.7862393076418697E-2</v>
      </c>
      <c r="J343" s="65">
        <f t="shared" si="33"/>
        <v>1.688599003534997E-2</v>
      </c>
      <c r="K343" s="82">
        <f t="shared" si="34"/>
        <v>0</v>
      </c>
      <c r="L343" s="60">
        <f t="shared" si="35"/>
        <v>-2.794564394683821E-3</v>
      </c>
      <c r="M343" s="60"/>
      <c r="N343" s="60"/>
      <c r="O343" s="60">
        <f t="shared" si="36"/>
        <v>-2.5849812732793798E-4</v>
      </c>
    </row>
    <row r="344" spans="1:15" x14ac:dyDescent="0.25">
      <c r="A344" s="67">
        <v>44405</v>
      </c>
      <c r="B344" s="68">
        <v>36.01</v>
      </c>
      <c r="C344" s="71">
        <v>0.3600062997302072</v>
      </c>
      <c r="D344" s="69">
        <v>38.69</v>
      </c>
      <c r="E344" s="71">
        <v>0.38687482663799272</v>
      </c>
      <c r="F344" s="68">
        <v>38.450000000000003</v>
      </c>
      <c r="G344" s="71">
        <v>0.38447498279221559</v>
      </c>
      <c r="H344" s="65">
        <f t="shared" si="31"/>
        <v>-3.0500508880007765E-3</v>
      </c>
      <c r="I344" s="65">
        <f t="shared" si="32"/>
        <v>0.10158405807372738</v>
      </c>
      <c r="J344" s="65">
        <f t="shared" si="33"/>
        <v>1.9075065056404689E-2</v>
      </c>
      <c r="K344" s="82">
        <f t="shared" si="34"/>
        <v>0</v>
      </c>
      <c r="L344" s="60">
        <f t="shared" si="35"/>
        <v>-3.063746047446878E-3</v>
      </c>
      <c r="M344" s="60"/>
      <c r="N344" s="60"/>
      <c r="O344" s="60">
        <f t="shared" si="36"/>
        <v>1.810891712053163E-3</v>
      </c>
    </row>
    <row r="345" spans="1:15" x14ac:dyDescent="0.25">
      <c r="A345" s="67">
        <v>44404</v>
      </c>
      <c r="B345" s="68">
        <v>36.119999999999997</v>
      </c>
      <c r="C345" s="71">
        <v>0.36111095894163081</v>
      </c>
      <c r="D345" s="69">
        <v>38.619999999999997</v>
      </c>
      <c r="E345" s="71">
        <v>0.38617619461814001</v>
      </c>
      <c r="F345" s="68">
        <v>38.4</v>
      </c>
      <c r="G345" s="71">
        <v>0.38397633022621891</v>
      </c>
      <c r="H345" s="65">
        <f t="shared" si="31"/>
        <v>-2.7647239064827363E-3</v>
      </c>
      <c r="I345" s="65">
        <f t="shared" si="32"/>
        <v>0.12989888479356754</v>
      </c>
      <c r="J345" s="65">
        <f t="shared" si="33"/>
        <v>3.8747579140054535E-2</v>
      </c>
      <c r="K345" s="82">
        <f t="shared" si="34"/>
        <v>0</v>
      </c>
      <c r="L345" s="60">
        <f t="shared" si="35"/>
        <v>-2.778419253488634E-3</v>
      </c>
      <c r="M345" s="60"/>
      <c r="N345" s="60"/>
      <c r="O345" s="60">
        <f t="shared" si="36"/>
        <v>5.1800052958311891E-4</v>
      </c>
    </row>
    <row r="346" spans="1:15" x14ac:dyDescent="0.25">
      <c r="A346" s="67">
        <v>44403</v>
      </c>
      <c r="B346" s="68">
        <v>36.22</v>
      </c>
      <c r="C346" s="71">
        <v>0.36211567169289338</v>
      </c>
      <c r="D346" s="69">
        <v>38.6</v>
      </c>
      <c r="E346" s="71">
        <v>0.3859775287055206</v>
      </c>
      <c r="F346" s="68">
        <v>38.450000000000003</v>
      </c>
      <c r="G346" s="71">
        <v>0.38447761602920377</v>
      </c>
      <c r="H346" s="65">
        <f t="shared" si="31"/>
        <v>-1.6551727916685962E-3</v>
      </c>
      <c r="I346" s="65">
        <f t="shared" si="32"/>
        <v>0.13057169985435443</v>
      </c>
      <c r="J346" s="65">
        <f t="shared" si="33"/>
        <v>7.5802882179333064E-2</v>
      </c>
      <c r="K346" s="82">
        <f t="shared" si="34"/>
        <v>0</v>
      </c>
      <c r="L346" s="60">
        <f t="shared" si="35"/>
        <v>-1.6962599580982712E-3</v>
      </c>
      <c r="M346" s="60"/>
      <c r="N346" s="60"/>
      <c r="O346" s="60">
        <f t="shared" si="36"/>
        <v>-9.0264958459720778E-3</v>
      </c>
    </row>
    <row r="347" spans="1:15" x14ac:dyDescent="0.25">
      <c r="A347" s="67">
        <v>44400</v>
      </c>
      <c r="B347" s="68">
        <v>36.28</v>
      </c>
      <c r="C347" s="71">
        <v>0.36273043525899151</v>
      </c>
      <c r="D347" s="69">
        <v>38.950000000000003</v>
      </c>
      <c r="E347" s="71">
        <v>0.38948132623778309</v>
      </c>
      <c r="F347" s="68">
        <v>38.590000000000003</v>
      </c>
      <c r="G347" s="71">
        <v>0.38588149883224782</v>
      </c>
      <c r="H347" s="65">
        <f t="shared" si="31"/>
        <v>-5.5111602386911408E-4</v>
      </c>
      <c r="I347" s="65">
        <f t="shared" si="32"/>
        <v>0.16990677124594508</v>
      </c>
      <c r="J347" s="65">
        <f t="shared" si="33"/>
        <v>7.5186457532465334E-2</v>
      </c>
      <c r="K347" s="82">
        <f t="shared" si="34"/>
        <v>0.15</v>
      </c>
      <c r="L347" s="60">
        <f t="shared" si="35"/>
        <v>-5.6481212116627399E-4</v>
      </c>
      <c r="M347" s="60"/>
      <c r="N347" s="60"/>
      <c r="O347" s="60">
        <f t="shared" si="36"/>
        <v>9.5447648391744529E-3</v>
      </c>
    </row>
    <row r="348" spans="1:15" x14ac:dyDescent="0.25">
      <c r="A348" s="67">
        <v>44399</v>
      </c>
      <c r="B348" s="68">
        <v>36.299999999999997</v>
      </c>
      <c r="C348" s="71">
        <v>0.36293536767424978</v>
      </c>
      <c r="D348" s="69">
        <v>38.58</v>
      </c>
      <c r="E348" s="71">
        <v>0.38578282473725478</v>
      </c>
      <c r="F348" s="68">
        <v>38.549999999999997</v>
      </c>
      <c r="G348" s="71">
        <v>0.38548283809282458</v>
      </c>
      <c r="H348" s="65">
        <f t="shared" si="31"/>
        <v>-5.5081246228753673E-4</v>
      </c>
      <c r="I348" s="65">
        <f t="shared" si="32"/>
        <v>0.17863063257175896</v>
      </c>
      <c r="J348" s="65">
        <f t="shared" si="33"/>
        <v>6.6479815651231636E-2</v>
      </c>
      <c r="K348" s="82">
        <f t="shared" si="34"/>
        <v>0.3</v>
      </c>
      <c r="L348" s="60">
        <f t="shared" si="35"/>
        <v>-5.6450874717042234E-4</v>
      </c>
      <c r="M348" s="60"/>
      <c r="N348" s="60"/>
      <c r="O348" s="60">
        <f t="shared" si="36"/>
        <v>4.9369984648765502E-3</v>
      </c>
    </row>
    <row r="349" spans="1:15" x14ac:dyDescent="0.25">
      <c r="A349" s="67">
        <v>44398</v>
      </c>
      <c r="B349" s="68">
        <v>36.32</v>
      </c>
      <c r="C349" s="71">
        <v>0.36314030570317207</v>
      </c>
      <c r="D349" s="69">
        <v>38.39</v>
      </c>
      <c r="E349" s="71">
        <v>0.38388422393600258</v>
      </c>
      <c r="F349" s="68">
        <v>38.15</v>
      </c>
      <c r="G349" s="71">
        <v>0.38148432256208648</v>
      </c>
      <c r="H349" s="65">
        <f t="shared" si="31"/>
        <v>3.5857161574416358E-3</v>
      </c>
      <c r="I349" s="65">
        <f t="shared" si="32"/>
        <v>0.17889138957030765</v>
      </c>
      <c r="J349" s="65">
        <f t="shared" si="33"/>
        <v>3.7686811700332133E-2</v>
      </c>
      <c r="K349" s="82">
        <f t="shared" si="34"/>
        <v>0.3</v>
      </c>
      <c r="L349" s="60">
        <f t="shared" si="35"/>
        <v>3.5720196849676508E-3</v>
      </c>
      <c r="M349" s="60"/>
      <c r="N349" s="60"/>
      <c r="O349" s="60">
        <f t="shared" si="36"/>
        <v>4.1764613043850339E-3</v>
      </c>
    </row>
    <row r="350" spans="1:15" x14ac:dyDescent="0.25">
      <c r="A350" s="67">
        <v>44397</v>
      </c>
      <c r="B350" s="68">
        <v>36.19</v>
      </c>
      <c r="C350" s="71">
        <v>0.36184547533933242</v>
      </c>
      <c r="D350" s="69">
        <v>38.229999999999997</v>
      </c>
      <c r="E350" s="71">
        <v>0.38228559883018098</v>
      </c>
      <c r="F350" s="68">
        <v>38.200000000000003</v>
      </c>
      <c r="G350" s="71">
        <v>0.38198561013112531</v>
      </c>
      <c r="H350" s="65">
        <f t="shared" si="31"/>
        <v>9.7182494689211259E-3</v>
      </c>
      <c r="I350" s="65">
        <f t="shared" si="32"/>
        <v>0.18837952259556928</v>
      </c>
      <c r="J350" s="65">
        <f t="shared" si="33"/>
        <v>2.7296559191439612E-2</v>
      </c>
      <c r="K350" s="82">
        <f t="shared" si="34"/>
        <v>0.5</v>
      </c>
      <c r="L350" s="60">
        <f t="shared" si="35"/>
        <v>9.704552808851824E-3</v>
      </c>
      <c r="M350" s="60"/>
      <c r="N350" s="60"/>
      <c r="O350" s="60">
        <f t="shared" si="36"/>
        <v>5.2452257681529658E-3</v>
      </c>
    </row>
    <row r="351" spans="1:15" x14ac:dyDescent="0.25">
      <c r="A351" s="67">
        <v>44396</v>
      </c>
      <c r="B351" s="68">
        <v>35.840000000000003</v>
      </c>
      <c r="C351" s="71">
        <v>0.35835091083413229</v>
      </c>
      <c r="D351" s="69">
        <v>38.03</v>
      </c>
      <c r="E351" s="71">
        <v>0.38028697647340848</v>
      </c>
      <c r="F351" s="68">
        <v>37.65</v>
      </c>
      <c r="G351" s="71">
        <v>0.37648710660593809</v>
      </c>
      <c r="H351" s="65">
        <f t="shared" si="31"/>
        <v>7.5620021463659792E-3</v>
      </c>
      <c r="I351" s="65">
        <f t="shared" si="32"/>
        <v>0.18407456151172344</v>
      </c>
      <c r="J351" s="65">
        <f t="shared" si="33"/>
        <v>4.6595048015328509E-2</v>
      </c>
      <c r="K351" s="82">
        <f t="shared" si="34"/>
        <v>0.4</v>
      </c>
      <c r="L351" s="60">
        <f t="shared" si="35"/>
        <v>7.5209110405299838E-3</v>
      </c>
      <c r="M351" s="60"/>
      <c r="N351" s="60"/>
      <c r="O351" s="60">
        <f t="shared" si="36"/>
        <v>6.3308045787707533E-3</v>
      </c>
    </row>
    <row r="352" spans="1:15" x14ac:dyDescent="0.25">
      <c r="A352" s="67">
        <v>44393</v>
      </c>
      <c r="B352" s="68">
        <v>35.57</v>
      </c>
      <c r="C352" s="71">
        <v>0.35566589505115948</v>
      </c>
      <c r="D352" s="69">
        <v>37.79</v>
      </c>
      <c r="E352" s="71">
        <v>0.37789094097059323</v>
      </c>
      <c r="F352" s="68">
        <v>37.200000000000003</v>
      </c>
      <c r="G352" s="71">
        <v>0.37199108240555878</v>
      </c>
      <c r="H352" s="65">
        <f t="shared" si="31"/>
        <v>7.9029482731850995E-3</v>
      </c>
      <c r="I352" s="65">
        <f t="shared" si="32"/>
        <v>0.18285521945391317</v>
      </c>
      <c r="J352" s="65">
        <f t="shared" si="33"/>
        <v>5.1569907794377666E-2</v>
      </c>
      <c r="K352" s="82">
        <f t="shared" si="34"/>
        <v>0.35</v>
      </c>
      <c r="L352" s="60">
        <f t="shared" si="35"/>
        <v>7.8892508626803581E-3</v>
      </c>
      <c r="M352" s="60"/>
      <c r="N352" s="60"/>
      <c r="O352" s="60">
        <f t="shared" si="36"/>
        <v>6.3711391512539794E-3</v>
      </c>
    </row>
    <row r="353" spans="1:15" x14ac:dyDescent="0.25">
      <c r="A353" s="67">
        <v>44392</v>
      </c>
      <c r="B353" s="68">
        <v>35.29</v>
      </c>
      <c r="C353" s="71">
        <v>0.35287099690436402</v>
      </c>
      <c r="D353" s="69">
        <v>37.549999999999997</v>
      </c>
      <c r="E353" s="71">
        <v>0.37549228440511501</v>
      </c>
      <c r="F353" s="68">
        <v>37</v>
      </c>
      <c r="G353" s="71">
        <v>0.36999239741649143</v>
      </c>
      <c r="H353" s="65">
        <f t="shared" si="31"/>
        <v>5.6834480920547803E-3</v>
      </c>
      <c r="I353" s="65">
        <f t="shared" si="32"/>
        <v>0.17794033314803567</v>
      </c>
      <c r="J353" s="65">
        <f t="shared" si="33"/>
        <v>7.2008342179620308E-2</v>
      </c>
      <c r="K353" s="82">
        <f t="shared" si="34"/>
        <v>0.25</v>
      </c>
      <c r="L353" s="60">
        <f t="shared" si="35"/>
        <v>5.6697504939284141E-3</v>
      </c>
      <c r="M353" s="60"/>
      <c r="N353" s="60"/>
      <c r="O353" s="60">
        <f t="shared" si="36"/>
        <v>-3.9867162438214565E-3</v>
      </c>
    </row>
    <row r="354" spans="1:15" x14ac:dyDescent="0.25">
      <c r="A354" s="67">
        <v>44391</v>
      </c>
      <c r="B354" s="68">
        <v>35.090000000000003</v>
      </c>
      <c r="C354" s="71">
        <v>0.35087596739949323</v>
      </c>
      <c r="D354" s="69">
        <v>37.700000000000003</v>
      </c>
      <c r="E354" s="71">
        <v>0.37699354463108509</v>
      </c>
      <c r="F354" s="68">
        <v>36.82</v>
      </c>
      <c r="G354" s="71">
        <v>0.36819369531343638</v>
      </c>
      <c r="H354" s="65">
        <f t="shared" si="31"/>
        <v>9.7366175843226974E-3</v>
      </c>
      <c r="I354" s="65">
        <f t="shared" si="32"/>
        <v>0.17442977734100329</v>
      </c>
      <c r="J354" s="65">
        <f t="shared" si="33"/>
        <v>9.7556976632517972E-2</v>
      </c>
      <c r="K354" s="82">
        <f t="shared" si="34"/>
        <v>0.2</v>
      </c>
      <c r="L354" s="60">
        <f t="shared" si="35"/>
        <v>9.7229197985696739E-3</v>
      </c>
      <c r="M354" s="60"/>
      <c r="N354" s="60"/>
      <c r="O354" s="60">
        <f t="shared" si="36"/>
        <v>7.7220460939105388E-3</v>
      </c>
    </row>
    <row r="355" spans="1:15" x14ac:dyDescent="0.25">
      <c r="A355" s="67">
        <v>44390</v>
      </c>
      <c r="B355" s="68">
        <v>34.75</v>
      </c>
      <c r="C355" s="71">
        <v>0.34748095994740008</v>
      </c>
      <c r="D355" s="69">
        <v>37.409999999999997</v>
      </c>
      <c r="E355" s="71">
        <v>0.37409487541266562</v>
      </c>
      <c r="F355" s="68">
        <v>36.5</v>
      </c>
      <c r="G355" s="71">
        <v>0.36499500006849223</v>
      </c>
      <c r="H355" s="65">
        <f t="shared" si="31"/>
        <v>1.3325805535972143E-2</v>
      </c>
      <c r="I355" s="65">
        <f t="shared" si="32"/>
        <v>0.16702489402270929</v>
      </c>
      <c r="J355" s="65">
        <f t="shared" si="33"/>
        <v>0.11194185360901653</v>
      </c>
      <c r="K355" s="82">
        <f t="shared" si="34"/>
        <v>0.1</v>
      </c>
      <c r="L355" s="60">
        <f t="shared" si="35"/>
        <v>1.3312107562586958E-2</v>
      </c>
      <c r="M355" s="60"/>
      <c r="N355" s="60"/>
      <c r="O355" s="60">
        <f t="shared" si="36"/>
        <v>8.3210787466651438E-3</v>
      </c>
    </row>
    <row r="356" spans="1:15" x14ac:dyDescent="0.25">
      <c r="A356" s="67">
        <v>44389</v>
      </c>
      <c r="B356" s="68">
        <v>34.29</v>
      </c>
      <c r="C356" s="71">
        <v>0.34288590879826858</v>
      </c>
      <c r="D356" s="69">
        <v>37.1</v>
      </c>
      <c r="E356" s="71">
        <v>0.37099618839532472</v>
      </c>
      <c r="F356" s="68">
        <v>35.96</v>
      </c>
      <c r="G356" s="71">
        <v>0.35959630551740912</v>
      </c>
      <c r="H356" s="65">
        <f t="shared" si="31"/>
        <v>1.2619389769839747E-2</v>
      </c>
      <c r="I356" s="65">
        <f t="shared" si="32"/>
        <v>0.16079547467847538</v>
      </c>
      <c r="J356" s="65">
        <f t="shared" si="33"/>
        <v>0.11918352014074603</v>
      </c>
      <c r="K356" s="82">
        <f t="shared" si="34"/>
        <v>0.05</v>
      </c>
      <c r="L356" s="60">
        <f t="shared" si="35"/>
        <v>1.6802238014050369E-2</v>
      </c>
      <c r="M356" s="60"/>
      <c r="N356" s="60"/>
      <c r="O356" s="60">
        <f t="shared" si="36"/>
        <v>6.7613509780439247E-3</v>
      </c>
    </row>
    <row r="357" spans="1:15" x14ac:dyDescent="0.25">
      <c r="A357" s="51">
        <v>44385</v>
      </c>
      <c r="B357" s="52">
        <v>33.86</v>
      </c>
      <c r="C357" s="72">
        <v>0.33717278915276427</v>
      </c>
      <c r="D357" s="53">
        <v>36.85</v>
      </c>
      <c r="E357" s="72">
        <v>0.36811045845321222</v>
      </c>
      <c r="F357" s="52">
        <v>35.659999999999997</v>
      </c>
      <c r="G357" s="72">
        <v>0.35622303794956711</v>
      </c>
      <c r="H357" s="65">
        <f t="shared" si="31"/>
        <v>2.9577069772329912E-3</v>
      </c>
      <c r="I357" s="65">
        <f t="shared" si="32"/>
        <v>0.15512770057535552</v>
      </c>
      <c r="J357" s="65">
        <f t="shared" si="33"/>
        <v>9.0654471058157562E-2</v>
      </c>
      <c r="K357" s="82">
        <f t="shared" si="34"/>
        <v>0</v>
      </c>
      <c r="L357" s="60">
        <f t="shared" si="35"/>
        <v>2.9440659942634013E-3</v>
      </c>
      <c r="M357" s="60"/>
      <c r="N357" s="60"/>
      <c r="O357" s="60">
        <f t="shared" si="36"/>
        <v>-4.3325277627189324E-3</v>
      </c>
    </row>
    <row r="358" spans="1:15" x14ac:dyDescent="0.25">
      <c r="A358" s="51">
        <v>44384</v>
      </c>
      <c r="B358" s="52">
        <v>33.76</v>
      </c>
      <c r="C358" s="72">
        <v>0.33618159000381947</v>
      </c>
      <c r="D358" s="53">
        <v>37.01</v>
      </c>
      <c r="E358" s="72">
        <v>0.36971003188417689</v>
      </c>
      <c r="F358" s="52">
        <v>35.700000000000003</v>
      </c>
      <c r="G358" s="72">
        <v>0.35662383513280521</v>
      </c>
      <c r="H358" s="65">
        <f t="shared" si="31"/>
        <v>-2.9616466972008551E-4</v>
      </c>
      <c r="I358" s="65">
        <f t="shared" si="32"/>
        <v>0.17242265154544031</v>
      </c>
      <c r="J358" s="65">
        <f t="shared" si="33"/>
        <v>9.1216071588147429E-2</v>
      </c>
      <c r="K358" s="82">
        <f t="shared" si="34"/>
        <v>0</v>
      </c>
      <c r="L358" s="60">
        <f t="shared" si="35"/>
        <v>-3.0980583876860667E-4</v>
      </c>
      <c r="M358" s="60"/>
      <c r="N358" s="60"/>
      <c r="O358" s="60">
        <f t="shared" si="36"/>
        <v>-2.7016074728699045E-4</v>
      </c>
    </row>
    <row r="359" spans="1:15" x14ac:dyDescent="0.25">
      <c r="A359" s="51">
        <v>44383</v>
      </c>
      <c r="B359" s="52">
        <v>33.770000000000003</v>
      </c>
      <c r="C359" s="72">
        <v>0.33628575715825232</v>
      </c>
      <c r="D359" s="53">
        <v>37.020000000000003</v>
      </c>
      <c r="E359" s="72">
        <v>0.36981119165808551</v>
      </c>
      <c r="F359" s="52">
        <v>35.4</v>
      </c>
      <c r="G359" s="72">
        <v>0.35362820596154038</v>
      </c>
      <c r="H359" s="65">
        <f t="shared" si="31"/>
        <v>-8.8796809149662792E-4</v>
      </c>
      <c r="I359" s="65">
        <f t="shared" si="32"/>
        <v>0.18478583197455084</v>
      </c>
      <c r="J359" s="65">
        <f t="shared" si="33"/>
        <v>9.8640754022579213E-2</v>
      </c>
      <c r="K359" s="82">
        <f t="shared" si="34"/>
        <v>0.05</v>
      </c>
      <c r="L359" s="60">
        <f t="shared" si="35"/>
        <v>-9.0160944662924503E-4</v>
      </c>
      <c r="M359" s="60"/>
      <c r="N359" s="60"/>
      <c r="O359" s="60">
        <f t="shared" si="36"/>
        <v>-1.1548402817877066E-2</v>
      </c>
    </row>
    <row r="360" spans="1:15" x14ac:dyDescent="0.25">
      <c r="A360" s="51">
        <v>44382</v>
      </c>
      <c r="B360" s="52">
        <v>33.799999999999997</v>
      </c>
      <c r="C360" s="72">
        <v>0.33658909229803841</v>
      </c>
      <c r="D360" s="53">
        <v>37.450000000000003</v>
      </c>
      <c r="E360" s="72">
        <v>0.37410795536184688</v>
      </c>
      <c r="F360" s="52">
        <v>35.659999999999997</v>
      </c>
      <c r="G360" s="72">
        <v>0.35622669394401751</v>
      </c>
      <c r="H360" s="65">
        <f t="shared" si="31"/>
        <v>-7.662872745569249E-3</v>
      </c>
      <c r="I360" s="65">
        <f t="shared" si="32"/>
        <v>0.20078839207454613</v>
      </c>
      <c r="J360" s="65">
        <f t="shared" si="33"/>
        <v>0.1609373227138598</v>
      </c>
      <c r="K360" s="82">
        <f t="shared" si="34"/>
        <v>0.3</v>
      </c>
      <c r="L360" s="60">
        <f t="shared" si="35"/>
        <v>-7.7037979275212751E-3</v>
      </c>
      <c r="M360" s="60"/>
      <c r="N360" s="60"/>
      <c r="O360" s="60">
        <f t="shared" si="36"/>
        <v>6.1604587491238165E-3</v>
      </c>
    </row>
    <row r="361" spans="1:15" x14ac:dyDescent="0.25">
      <c r="A361" s="51">
        <v>44379</v>
      </c>
      <c r="B361" s="52">
        <v>34.06</v>
      </c>
      <c r="C361" s="72">
        <v>0.33919212037706509</v>
      </c>
      <c r="D361" s="53">
        <v>37.22</v>
      </c>
      <c r="E361" s="72">
        <v>0.37181417912234899</v>
      </c>
      <c r="F361" s="52">
        <v>35.729999999999997</v>
      </c>
      <c r="G361" s="72">
        <v>0.35692962439660209</v>
      </c>
      <c r="H361" s="65">
        <f t="shared" si="31"/>
        <v>7.6628727455693175E-3</v>
      </c>
      <c r="I361" s="65">
        <f t="shared" si="32"/>
        <v>0.20025517955591204</v>
      </c>
      <c r="J361" s="65">
        <f t="shared" si="33"/>
        <v>0.16081490696497872</v>
      </c>
      <c r="K361" s="82">
        <f t="shared" si="34"/>
        <v>0.25</v>
      </c>
      <c r="L361" s="60">
        <f t="shared" si="35"/>
        <v>7.6492306460498923E-3</v>
      </c>
      <c r="M361" s="60"/>
      <c r="N361" s="60"/>
      <c r="O361" s="60">
        <f t="shared" si="36"/>
        <v>-8.5607799442580373E-3</v>
      </c>
    </row>
    <row r="362" spans="1:15" x14ac:dyDescent="0.25">
      <c r="A362" s="51">
        <v>44378</v>
      </c>
      <c r="B362" s="52">
        <v>33.799999999999997</v>
      </c>
      <c r="C362" s="72">
        <v>0.33660745955089899</v>
      </c>
      <c r="D362" s="53">
        <v>37.54</v>
      </c>
      <c r="E362" s="72">
        <v>0.37501214497334939</v>
      </c>
      <c r="F362" s="52">
        <v>35.25</v>
      </c>
      <c r="G362" s="72">
        <v>0.35213580474988199</v>
      </c>
      <c r="H362" s="65">
        <f t="shared" si="31"/>
        <v>-3.8387763071657129E-3</v>
      </c>
      <c r="I362" s="65">
        <f t="shared" si="32"/>
        <v>0.19665811792049073</v>
      </c>
      <c r="J362" s="65">
        <f t="shared" si="33"/>
        <v>0.18006124111484448</v>
      </c>
      <c r="K362" s="82">
        <f t="shared" si="34"/>
        <v>0.1</v>
      </c>
      <c r="L362" s="60">
        <f t="shared" si="35"/>
        <v>-3.8524185927945342E-3</v>
      </c>
      <c r="M362" s="60"/>
      <c r="N362" s="60"/>
      <c r="O362" s="60">
        <f t="shared" si="36"/>
        <v>-1.3310264177239504E-3</v>
      </c>
    </row>
    <row r="363" spans="1:15" x14ac:dyDescent="0.25">
      <c r="A363" s="51">
        <v>44377</v>
      </c>
      <c r="B363" s="52">
        <v>33.93</v>
      </c>
      <c r="C363" s="72">
        <v>0.33790671341455097</v>
      </c>
      <c r="D363" s="53">
        <v>37.590000000000003</v>
      </c>
      <c r="E363" s="72">
        <v>0.37551291305879902</v>
      </c>
      <c r="F363" s="52">
        <v>35.01</v>
      </c>
      <c r="G363" s="72">
        <v>0.34973948087758849</v>
      </c>
      <c r="H363" s="65">
        <f t="shared" si="31"/>
        <v>-6.4630072206602589E-3</v>
      </c>
      <c r="I363" s="65">
        <f t="shared" si="32"/>
        <v>0.21346130741861025</v>
      </c>
      <c r="J363" s="65">
        <f t="shared" si="33"/>
        <v>0.1617689056188128</v>
      </c>
      <c r="K363" s="82">
        <f t="shared" si="34"/>
        <v>0.65</v>
      </c>
      <c r="L363" s="60">
        <f t="shared" si="35"/>
        <v>-6.476649692403651E-3</v>
      </c>
      <c r="M363" s="60"/>
      <c r="N363" s="60"/>
      <c r="O363" s="60">
        <f t="shared" si="36"/>
        <v>5.0673531556004172E-3</v>
      </c>
    </row>
    <row r="364" spans="1:15" x14ac:dyDescent="0.25">
      <c r="A364" s="51">
        <v>44376</v>
      </c>
      <c r="B364" s="52">
        <v>34.15</v>
      </c>
      <c r="C364" s="72">
        <v>0.34010231923601641</v>
      </c>
      <c r="D364" s="53">
        <v>37.4</v>
      </c>
      <c r="E364" s="72">
        <v>0.373616147793363</v>
      </c>
      <c r="F364" s="52">
        <v>35.35</v>
      </c>
      <c r="G364" s="72">
        <v>0.35313718782073211</v>
      </c>
      <c r="H364" s="65">
        <f t="shared" si="31"/>
        <v>-2.0290551189733871E-2</v>
      </c>
      <c r="I364" s="65">
        <f t="shared" si="32"/>
        <v>0.21634012730166929</v>
      </c>
      <c r="J364" s="65">
        <f t="shared" si="33"/>
        <v>0.17477769713654964</v>
      </c>
      <c r="K364" s="82">
        <f t="shared" si="34"/>
        <v>0.7</v>
      </c>
      <c r="L364" s="60">
        <f t="shared" si="35"/>
        <v>-2.03041938475963E-2</v>
      </c>
      <c r="M364" s="60"/>
      <c r="N364" s="60"/>
      <c r="O364" s="60">
        <f t="shared" si="36"/>
        <v>-3.4699087264432539E-3</v>
      </c>
    </row>
    <row r="365" spans="1:15" x14ac:dyDescent="0.25">
      <c r="A365" s="51">
        <v>44375</v>
      </c>
      <c r="B365" s="52">
        <v>34.85</v>
      </c>
      <c r="C365" s="72">
        <v>0.34707840488956188</v>
      </c>
      <c r="D365" s="53">
        <v>37.53</v>
      </c>
      <c r="E365" s="72">
        <v>0.37491609618917621</v>
      </c>
      <c r="F365" s="52">
        <v>36</v>
      </c>
      <c r="G365" s="72">
        <v>0.35963174694405392</v>
      </c>
      <c r="H365" s="65">
        <f t="shared" si="31"/>
        <v>-4.0091691730637421E-3</v>
      </c>
      <c r="I365" s="65">
        <f t="shared" si="32"/>
        <v>0.20447076653106891</v>
      </c>
      <c r="J365" s="65">
        <f t="shared" si="33"/>
        <v>0.16958329798860472</v>
      </c>
      <c r="K365" s="82">
        <f t="shared" si="34"/>
        <v>0.3</v>
      </c>
      <c r="L365" s="60">
        <f t="shared" si="35"/>
        <v>-4.0500982634208843E-3</v>
      </c>
      <c r="M365" s="60"/>
      <c r="N365" s="60"/>
      <c r="O365" s="60">
        <f t="shared" si="36"/>
        <v>5.3304905313351708E-4</v>
      </c>
    </row>
    <row r="366" spans="1:15" x14ac:dyDescent="0.25">
      <c r="A366" s="51">
        <v>44372</v>
      </c>
      <c r="B366" s="52">
        <v>34.99</v>
      </c>
      <c r="C366" s="72">
        <v>0.34848695699628912</v>
      </c>
      <c r="D366" s="53">
        <v>37.51</v>
      </c>
      <c r="E366" s="72">
        <v>0.37472014670060477</v>
      </c>
      <c r="F366" s="52">
        <v>36.200000000000003</v>
      </c>
      <c r="G366" s="72">
        <v>0.36163341270492932</v>
      </c>
      <c r="H366" s="65">
        <f t="shared" si="31"/>
        <v>-2.8456632076513288E-2</v>
      </c>
      <c r="I366" s="65">
        <f t="shared" si="32"/>
        <v>0.20621406660673675</v>
      </c>
      <c r="J366" s="65">
        <f t="shared" si="33"/>
        <v>0.16227667258010653</v>
      </c>
      <c r="K366" s="82">
        <f t="shared" si="34"/>
        <v>0.5</v>
      </c>
      <c r="L366" s="60">
        <f t="shared" si="35"/>
        <v>-2.8470275478904902E-2</v>
      </c>
      <c r="M366" s="60"/>
      <c r="N366" s="60"/>
      <c r="O366" s="60">
        <f t="shared" si="36"/>
        <v>-2.475113185785718E-2</v>
      </c>
    </row>
    <row r="367" spans="1:15" x14ac:dyDescent="0.25">
      <c r="A367" s="51">
        <v>44371</v>
      </c>
      <c r="B367" s="52">
        <v>36</v>
      </c>
      <c r="C367" s="72">
        <v>0.35855106078177229</v>
      </c>
      <c r="D367" s="53">
        <v>38.450000000000003</v>
      </c>
      <c r="E367" s="72">
        <v>0.38411194170273188</v>
      </c>
      <c r="F367" s="52">
        <v>37.11</v>
      </c>
      <c r="G367" s="72">
        <v>0.37072546571101112</v>
      </c>
      <c r="H367" s="65">
        <f t="shared" si="31"/>
        <v>-1.4888612493750637E-2</v>
      </c>
      <c r="I367" s="65">
        <f t="shared" si="32"/>
        <v>0.17889771252630204</v>
      </c>
      <c r="J367" s="65">
        <f t="shared" si="33"/>
        <v>9.7161522281581411E-2</v>
      </c>
      <c r="K367" s="82">
        <f t="shared" si="34"/>
        <v>0</v>
      </c>
      <c r="L367" s="60">
        <f t="shared" si="35"/>
        <v>-1.4902256082287412E-2</v>
      </c>
      <c r="M367" s="60"/>
      <c r="N367" s="60"/>
      <c r="O367" s="60">
        <f t="shared" si="36"/>
        <v>-1.2149561366151336E-2</v>
      </c>
    </row>
    <row r="368" spans="1:15" x14ac:dyDescent="0.25">
      <c r="A368" s="51">
        <v>44370</v>
      </c>
      <c r="B368" s="52">
        <v>36.54</v>
      </c>
      <c r="C368" s="72">
        <v>0.36393429202936117</v>
      </c>
      <c r="D368" s="53">
        <v>38.92</v>
      </c>
      <c r="E368" s="72">
        <v>0.38880852839948821</v>
      </c>
      <c r="F368" s="52">
        <v>37.35</v>
      </c>
      <c r="G368" s="72">
        <v>0.37312432003393847</v>
      </c>
      <c r="H368" s="65">
        <f t="shared" si="31"/>
        <v>-3.0058773827998566E-3</v>
      </c>
      <c r="I368" s="65">
        <f t="shared" si="32"/>
        <v>0.19751385650292883</v>
      </c>
      <c r="J368" s="65">
        <f t="shared" si="33"/>
        <v>0.10209802414022037</v>
      </c>
      <c r="K368" s="82">
        <f t="shared" si="34"/>
        <v>0.1</v>
      </c>
      <c r="L368" s="60">
        <f t="shared" si="35"/>
        <v>-3.0195211574868745E-3</v>
      </c>
      <c r="M368" s="60"/>
      <c r="N368" s="60"/>
      <c r="O368" s="60">
        <f t="shared" si="36"/>
        <v>4.3775015184484506E-3</v>
      </c>
    </row>
    <row r="369" spans="1:15" x14ac:dyDescent="0.25">
      <c r="A369" s="51">
        <v>44369</v>
      </c>
      <c r="B369" s="52">
        <v>36.65</v>
      </c>
      <c r="C369" s="72">
        <v>0.36503486008213609</v>
      </c>
      <c r="D369" s="53">
        <v>38.75</v>
      </c>
      <c r="E369" s="72">
        <v>0.38711156271275737</v>
      </c>
      <c r="F369" s="52">
        <v>37.32</v>
      </c>
      <c r="G369" s="72">
        <v>0.37282589730168009</v>
      </c>
      <c r="H369" s="65">
        <f t="shared" si="31"/>
        <v>-1.757989831710937E-2</v>
      </c>
      <c r="I369" s="65">
        <f t="shared" si="32"/>
        <v>0.20286722286202546</v>
      </c>
      <c r="J369" s="65">
        <f t="shared" si="33"/>
        <v>9.3751798996739619E-2</v>
      </c>
      <c r="K369" s="82">
        <f t="shared" si="34"/>
        <v>0.2</v>
      </c>
      <c r="L369" s="60">
        <f t="shared" si="35"/>
        <v>-1.7634475277458903E-2</v>
      </c>
      <c r="M369" s="60"/>
      <c r="N369" s="60"/>
      <c r="O369" s="60">
        <f t="shared" si="36"/>
        <v>-2.4472289343804157E-2</v>
      </c>
    </row>
    <row r="370" spans="1:15" x14ac:dyDescent="0.25">
      <c r="A370" s="51">
        <v>44365</v>
      </c>
      <c r="B370" s="52">
        <v>37.299999999999997</v>
      </c>
      <c r="C370" s="72">
        <v>0.3715291517144455</v>
      </c>
      <c r="D370" s="53">
        <v>39.71</v>
      </c>
      <c r="E370" s="72">
        <v>0.39670736839224191</v>
      </c>
      <c r="F370" s="52">
        <v>37.9</v>
      </c>
      <c r="G370" s="72">
        <v>0.37862526472087549</v>
      </c>
      <c r="H370" s="65">
        <f t="shared" si="31"/>
        <v>-6.1472864971597293E-3</v>
      </c>
      <c r="I370" s="65">
        <f t="shared" si="32"/>
        <v>0.19273248056700845</v>
      </c>
      <c r="J370" s="65">
        <f t="shared" si="33"/>
        <v>6.9363908357677917E-2</v>
      </c>
      <c r="K370" s="82">
        <f t="shared" si="34"/>
        <v>0.15</v>
      </c>
      <c r="L370" s="60">
        <f t="shared" si="35"/>
        <v>-6.1609312026731713E-3</v>
      </c>
      <c r="M370" s="60"/>
      <c r="N370" s="60"/>
      <c r="O370" s="60">
        <f t="shared" si="36"/>
        <v>7.5576272648803075E-4</v>
      </c>
    </row>
    <row r="371" spans="1:15" x14ac:dyDescent="0.25">
      <c r="A371" s="51">
        <v>44364</v>
      </c>
      <c r="B371" s="52">
        <v>37.53</v>
      </c>
      <c r="C371" s="72">
        <v>0.37382518284030131</v>
      </c>
      <c r="D371" s="53">
        <v>39.68</v>
      </c>
      <c r="E371" s="72">
        <v>0.39640902123932559</v>
      </c>
      <c r="F371" s="52">
        <v>37.979999999999997</v>
      </c>
      <c r="G371" s="72">
        <v>0.37942577184147142</v>
      </c>
      <c r="H371" s="65">
        <f t="shared" si="31"/>
        <v>-1.1392360594797681E-2</v>
      </c>
      <c r="I371" s="65">
        <f t="shared" si="32"/>
        <v>0.20459002791800487</v>
      </c>
      <c r="J371" s="65">
        <f t="shared" si="33"/>
        <v>0.120646984813011</v>
      </c>
      <c r="K371" s="82">
        <f t="shared" si="34"/>
        <v>0.35</v>
      </c>
      <c r="L371" s="60">
        <f t="shared" si="35"/>
        <v>-1.1406005486491552E-2</v>
      </c>
      <c r="M371" s="60"/>
      <c r="N371" s="60"/>
      <c r="O371" s="60">
        <f t="shared" si="36"/>
        <v>-1.0030174359937244E-2</v>
      </c>
    </row>
    <row r="372" spans="1:15" x14ac:dyDescent="0.25">
      <c r="A372" s="51">
        <v>44363</v>
      </c>
      <c r="B372" s="52">
        <v>37.96</v>
      </c>
      <c r="C372" s="72">
        <v>0.37811344440350952</v>
      </c>
      <c r="D372" s="53">
        <v>40.08</v>
      </c>
      <c r="E372" s="72">
        <v>0.40040644982500068</v>
      </c>
      <c r="F372" s="52">
        <v>38.54</v>
      </c>
      <c r="G372" s="72">
        <v>0.3850215712638605</v>
      </c>
      <c r="H372" s="65">
        <f t="shared" si="31"/>
        <v>-2.6308881262762998E-3</v>
      </c>
      <c r="I372" s="65">
        <f t="shared" si="32"/>
        <v>0.19802257731093326</v>
      </c>
      <c r="J372" s="65">
        <f t="shared" si="33"/>
        <v>0.10801639984083714</v>
      </c>
      <c r="K372" s="82">
        <f t="shared" si="34"/>
        <v>0.25</v>
      </c>
      <c r="L372" s="60">
        <f t="shared" si="35"/>
        <v>-2.6445332041558464E-3</v>
      </c>
      <c r="M372" s="60"/>
      <c r="N372" s="60"/>
      <c r="O372" s="60">
        <f t="shared" si="36"/>
        <v>-6.2181521086673627E-3</v>
      </c>
    </row>
    <row r="373" spans="1:15" x14ac:dyDescent="0.25">
      <c r="A373" s="51">
        <v>44362</v>
      </c>
      <c r="B373" s="52">
        <v>38.06</v>
      </c>
      <c r="C373" s="72">
        <v>0.37911470130720742</v>
      </c>
      <c r="D373" s="53">
        <v>40.33</v>
      </c>
      <c r="E373" s="72">
        <v>0.40290537350403371</v>
      </c>
      <c r="F373" s="52">
        <v>38.25</v>
      </c>
      <c r="G373" s="72">
        <v>0.38212572617231072</v>
      </c>
      <c r="H373" s="65">
        <f t="shared" si="31"/>
        <v>-6.2860343185967265E-3</v>
      </c>
      <c r="I373" s="65">
        <f t="shared" si="32"/>
        <v>0.20308662286048487</v>
      </c>
      <c r="J373" s="65">
        <f t="shared" si="33"/>
        <v>0.14360356937418725</v>
      </c>
      <c r="K373" s="82">
        <f t="shared" si="34"/>
        <v>0.3</v>
      </c>
      <c r="L373" s="60">
        <f t="shared" si="35"/>
        <v>-6.2996795826666735E-3</v>
      </c>
      <c r="M373" s="60"/>
      <c r="N373" s="60"/>
      <c r="O373" s="60">
        <f t="shared" si="36"/>
        <v>-7.164947266961868E-3</v>
      </c>
    </row>
    <row r="374" spans="1:15" x14ac:dyDescent="0.25">
      <c r="A374" s="51">
        <v>44361</v>
      </c>
      <c r="B374" s="52">
        <v>38.299999999999997</v>
      </c>
      <c r="C374" s="72">
        <v>0.38151054103841159</v>
      </c>
      <c r="D374" s="53">
        <v>40.619999999999997</v>
      </c>
      <c r="E374" s="72">
        <v>0.40580392425201428</v>
      </c>
      <c r="F374" s="52">
        <v>38.700000000000003</v>
      </c>
      <c r="G374" s="72">
        <v>0.38662264570539029</v>
      </c>
      <c r="H374" s="65">
        <f t="shared" si="31"/>
        <v>0</v>
      </c>
      <c r="I374" s="65">
        <f t="shared" si="32"/>
        <v>0.21251885669951912</v>
      </c>
      <c r="J374" s="65">
        <f t="shared" si="33"/>
        <v>0.1044773034177183</v>
      </c>
      <c r="K374" s="82">
        <f t="shared" si="34"/>
        <v>0.7</v>
      </c>
      <c r="L374" s="60">
        <f t="shared" si="35"/>
        <v>-4.0936909405748998E-5</v>
      </c>
      <c r="M374" s="60"/>
      <c r="N374" s="60"/>
      <c r="O374" s="60">
        <f t="shared" si="36"/>
        <v>4.9248954455159005E-4</v>
      </c>
    </row>
    <row r="375" spans="1:15" x14ac:dyDescent="0.25">
      <c r="A375" s="51">
        <v>44358</v>
      </c>
      <c r="B375" s="52">
        <v>38.299999999999997</v>
      </c>
      <c r="C375" s="72">
        <v>0.38152615922054528</v>
      </c>
      <c r="D375" s="53">
        <v>40.6</v>
      </c>
      <c r="E375" s="72">
        <v>0.40560828241219099</v>
      </c>
      <c r="F375" s="52">
        <v>38.659999999999997</v>
      </c>
      <c r="G375" s="72">
        <v>0.38622699995210102</v>
      </c>
      <c r="H375" s="65">
        <f t="shared" si="31"/>
        <v>8.6535219428893525E-3</v>
      </c>
      <c r="I375" s="65">
        <f t="shared" si="32"/>
        <v>0.21166660336246679</v>
      </c>
      <c r="J375" s="65">
        <f t="shared" si="33"/>
        <v>7.221995040207109E-2</v>
      </c>
      <c r="K375" s="82">
        <f t="shared" si="34"/>
        <v>0.7</v>
      </c>
      <c r="L375" s="60">
        <f t="shared" si="35"/>
        <v>8.6398759340057477E-3</v>
      </c>
      <c r="M375" s="60"/>
      <c r="N375" s="60"/>
      <c r="O375" s="60">
        <f t="shared" si="36"/>
        <v>3.4542348680876036E-3</v>
      </c>
    </row>
    <row r="376" spans="1:15" x14ac:dyDescent="0.25">
      <c r="A376" s="51">
        <v>44357</v>
      </c>
      <c r="B376" s="52">
        <v>37.97</v>
      </c>
      <c r="C376" s="72">
        <v>0.37824401959580239</v>
      </c>
      <c r="D376" s="53">
        <v>40.46</v>
      </c>
      <c r="E376" s="72">
        <v>0.40421101611120808</v>
      </c>
      <c r="F376" s="52">
        <v>38.33</v>
      </c>
      <c r="G376" s="72">
        <v>0.38293149400747911</v>
      </c>
      <c r="H376" s="65">
        <f t="shared" si="31"/>
        <v>8.4634199978084537E-3</v>
      </c>
      <c r="I376" s="65">
        <f t="shared" si="32"/>
        <v>0.21164569313880072</v>
      </c>
      <c r="J376" s="65">
        <f t="shared" si="33"/>
        <v>0.15546027120056785</v>
      </c>
      <c r="K376" s="82">
        <f t="shared" si="34"/>
        <v>0.7</v>
      </c>
      <c r="L376" s="60">
        <f t="shared" si="35"/>
        <v>8.4497738027084594E-3</v>
      </c>
      <c r="M376" s="60"/>
      <c r="N376" s="60"/>
      <c r="O376" s="60">
        <f t="shared" si="36"/>
        <v>-2.4712714817470778E-4</v>
      </c>
    </row>
    <row r="377" spans="1:15" x14ac:dyDescent="0.25">
      <c r="A377" s="51">
        <v>44356</v>
      </c>
      <c r="B377" s="52">
        <v>37.65</v>
      </c>
      <c r="C377" s="72">
        <v>0.37506140829694318</v>
      </c>
      <c r="D377" s="53">
        <v>40.47</v>
      </c>
      <c r="E377" s="72">
        <v>0.40431230327083623</v>
      </c>
      <c r="F377" s="52">
        <v>38.15</v>
      </c>
      <c r="G377" s="72">
        <v>0.3811345285342822</v>
      </c>
      <c r="H377" s="65">
        <f t="shared" si="31"/>
        <v>1.6874647100551001E-2</v>
      </c>
      <c r="I377" s="65">
        <f t="shared" si="32"/>
        <v>0.22662824247182128</v>
      </c>
      <c r="J377" s="65">
        <f t="shared" si="33"/>
        <v>0.20071243480729267</v>
      </c>
      <c r="K377" s="82">
        <f t="shared" si="34"/>
        <v>1</v>
      </c>
      <c r="L377" s="60">
        <f t="shared" si="35"/>
        <v>1.6861000719229826E-2</v>
      </c>
      <c r="M377" s="60"/>
      <c r="N377" s="60"/>
      <c r="O377" s="60">
        <f t="shared" si="36"/>
        <v>1.2682005107421342E-2</v>
      </c>
    </row>
    <row r="378" spans="1:15" x14ac:dyDescent="0.25">
      <c r="A378" s="51">
        <v>44355</v>
      </c>
      <c r="B378" s="52">
        <v>37.020000000000003</v>
      </c>
      <c r="C378" s="72">
        <v>0.36879051297097398</v>
      </c>
      <c r="D378" s="53">
        <v>39.96</v>
      </c>
      <c r="E378" s="72">
        <v>0.39921855487393892</v>
      </c>
      <c r="F378" s="52">
        <v>37.549999999999997</v>
      </c>
      <c r="G378" s="72">
        <v>0.37514155994785803</v>
      </c>
      <c r="H378" s="65">
        <f t="shared" si="31"/>
        <v>1.4146046556905744E-2</v>
      </c>
      <c r="I378" s="65">
        <f t="shared" si="32"/>
        <v>0.22174600148818677</v>
      </c>
      <c r="J378" s="65">
        <f t="shared" si="33"/>
        <v>0.20944772903985862</v>
      </c>
      <c r="K378" s="82">
        <f t="shared" si="34"/>
        <v>0.95</v>
      </c>
      <c r="L378" s="60">
        <f t="shared" si="35"/>
        <v>1.4132399989358238E-2</v>
      </c>
      <c r="M378" s="60"/>
      <c r="N378" s="60"/>
      <c r="O378" s="60">
        <f t="shared" si="36"/>
        <v>1.0819076471758624E-2</v>
      </c>
    </row>
    <row r="379" spans="1:15" x14ac:dyDescent="0.25">
      <c r="A379" s="51">
        <v>44354</v>
      </c>
      <c r="B379" s="52">
        <v>36.5</v>
      </c>
      <c r="C379" s="72">
        <v>0.36361527334261312</v>
      </c>
      <c r="D379" s="53">
        <v>39.53</v>
      </c>
      <c r="E379" s="72">
        <v>0.39492401070213978</v>
      </c>
      <c r="F379" s="52">
        <v>37.299999999999997</v>
      </c>
      <c r="G379" s="72">
        <v>0.3726452213303772</v>
      </c>
      <c r="H379" s="65">
        <f t="shared" si="31"/>
        <v>1.7968693542816338E-2</v>
      </c>
      <c r="I379" s="65">
        <f t="shared" si="32"/>
        <v>0.22658091259530969</v>
      </c>
      <c r="J379" s="65">
        <f t="shared" si="33"/>
        <v>0.2021779775330573</v>
      </c>
      <c r="K379" s="82">
        <f t="shared" si="34"/>
        <v>1</v>
      </c>
      <c r="L379" s="60">
        <f t="shared" si="35"/>
        <v>1.7927752722766293E-2</v>
      </c>
      <c r="M379" s="60"/>
      <c r="N379" s="60"/>
      <c r="O379" s="60">
        <f t="shared" si="36"/>
        <v>1.0426032141977624E-2</v>
      </c>
    </row>
    <row r="380" spans="1:15" x14ac:dyDescent="0.25">
      <c r="A380" s="51">
        <v>44351</v>
      </c>
      <c r="B380" s="52">
        <v>35.85</v>
      </c>
      <c r="C380" s="72">
        <v>0.35715455475946778</v>
      </c>
      <c r="D380" s="53">
        <v>39.119999999999997</v>
      </c>
      <c r="E380" s="72">
        <v>0.39083192199127531</v>
      </c>
      <c r="F380" s="52">
        <v>37.01</v>
      </c>
      <c r="G380" s="72">
        <v>0.36975177486955768</v>
      </c>
      <c r="H380" s="65">
        <f t="shared" si="31"/>
        <v>-5.5632966853286035E-3</v>
      </c>
      <c r="I380" s="65">
        <f t="shared" si="32"/>
        <v>0.22134888169932465</v>
      </c>
      <c r="J380" s="65">
        <f t="shared" si="33"/>
        <v>0.17883683538642636</v>
      </c>
      <c r="K380" s="82">
        <f t="shared" si="34"/>
        <v>1</v>
      </c>
      <c r="L380" s="60">
        <f t="shared" si="35"/>
        <v>-5.5769439978316645E-3</v>
      </c>
      <c r="M380" s="60"/>
      <c r="N380" s="60"/>
      <c r="O380" s="60">
        <f t="shared" si="36"/>
        <v>6.6684012173225081E-3</v>
      </c>
    </row>
    <row r="381" spans="1:15" x14ac:dyDescent="0.25">
      <c r="A381" s="51">
        <v>44350</v>
      </c>
      <c r="B381" s="52">
        <v>36.049999999999997</v>
      </c>
      <c r="C381" s="72">
        <v>0.35915195021426422</v>
      </c>
      <c r="D381" s="53">
        <v>38.86</v>
      </c>
      <c r="E381" s="72">
        <v>0.38823569664082341</v>
      </c>
      <c r="F381" s="52">
        <v>36.96</v>
      </c>
      <c r="G381" s="72">
        <v>0.36925350869389678</v>
      </c>
      <c r="H381" s="65">
        <f t="shared" si="31"/>
        <v>-6.9108775398470275E-3</v>
      </c>
      <c r="I381" s="65">
        <f t="shared" si="32"/>
        <v>0.22030190335286584</v>
      </c>
      <c r="J381" s="65">
        <f t="shared" si="33"/>
        <v>0.1896113124182566</v>
      </c>
      <c r="K381" s="82">
        <f t="shared" si="34"/>
        <v>1</v>
      </c>
      <c r="L381" s="60">
        <f t="shared" si="35"/>
        <v>-6.9245250386019523E-3</v>
      </c>
      <c r="M381" s="60"/>
      <c r="N381" s="60"/>
      <c r="O381" s="60">
        <f t="shared" si="36"/>
        <v>-1.6588360474005269E-2</v>
      </c>
    </row>
    <row r="382" spans="1:15" x14ac:dyDescent="0.25">
      <c r="A382" s="51">
        <v>44349</v>
      </c>
      <c r="B382" s="52">
        <v>36.299999999999997</v>
      </c>
      <c r="C382" s="72">
        <v>0.3616475372920448</v>
      </c>
      <c r="D382" s="53">
        <v>39.51</v>
      </c>
      <c r="E382" s="72">
        <v>0.39473095359475557</v>
      </c>
      <c r="F382" s="52">
        <v>37.6</v>
      </c>
      <c r="G382" s="72">
        <v>0.37564879410687962</v>
      </c>
      <c r="H382" s="65">
        <f t="shared" si="31"/>
        <v>1.9472103412820099E-2</v>
      </c>
      <c r="I382" s="65">
        <f t="shared" si="32"/>
        <v>0.21843670112807023</v>
      </c>
      <c r="J382" s="65">
        <f t="shared" si="33"/>
        <v>0.17133324531162328</v>
      </c>
      <c r="K382" s="82">
        <f t="shared" si="34"/>
        <v>1</v>
      </c>
      <c r="L382" s="60">
        <f t="shared" si="35"/>
        <v>1.9458455727808594E-2</v>
      </c>
      <c r="M382" s="60"/>
      <c r="N382" s="60"/>
      <c r="O382" s="60">
        <f t="shared" si="36"/>
        <v>1.8133557794071543E-2</v>
      </c>
    </row>
    <row r="383" spans="1:15" x14ac:dyDescent="0.25">
      <c r="A383" s="51">
        <v>44348</v>
      </c>
      <c r="B383" s="52">
        <v>35.6</v>
      </c>
      <c r="C383" s="72">
        <v>0.35467845834698108</v>
      </c>
      <c r="D383" s="53">
        <v>38.799999999999997</v>
      </c>
      <c r="E383" s="72">
        <v>0.38763891169869158</v>
      </c>
      <c r="F383" s="52">
        <v>36.799999999999997</v>
      </c>
      <c r="G383" s="72">
        <v>0.36765752449772809</v>
      </c>
      <c r="H383" s="65">
        <f t="shared" si="31"/>
        <v>8.4626739187337284E-3</v>
      </c>
      <c r="I383" s="65">
        <f t="shared" si="32"/>
        <v>0.20759739151466261</v>
      </c>
      <c r="J383" s="65">
        <f t="shared" si="33"/>
        <v>0.23555003635759914</v>
      </c>
      <c r="K383" s="82">
        <f t="shared" si="34"/>
        <v>1</v>
      </c>
      <c r="L383" s="60">
        <f t="shared" si="35"/>
        <v>8.4490260474601314E-3</v>
      </c>
      <c r="M383" s="60"/>
      <c r="N383" s="60"/>
      <c r="O383" s="60">
        <f t="shared" si="36"/>
        <v>5.686239151644709E-3</v>
      </c>
    </row>
    <row r="384" spans="1:15" x14ac:dyDescent="0.25">
      <c r="A384" s="51">
        <v>44347</v>
      </c>
      <c r="B384" s="52">
        <v>35.299999999999997</v>
      </c>
      <c r="C384" s="72">
        <v>0.35169439478101838</v>
      </c>
      <c r="D384" s="53">
        <v>38.58</v>
      </c>
      <c r="E384" s="72">
        <v>0.3854422778859346</v>
      </c>
      <c r="F384" s="52">
        <v>36.25</v>
      </c>
      <c r="G384" s="72">
        <v>0.36216388215047002</v>
      </c>
      <c r="H384" s="65">
        <f t="shared" si="31"/>
        <v>-1.4154284033308393E-3</v>
      </c>
      <c r="I384" s="65">
        <f t="shared" si="32"/>
        <v>0.20560622226903494</v>
      </c>
      <c r="J384" s="65">
        <f t="shared" si="33"/>
        <v>0.26663675074129878</v>
      </c>
      <c r="K384" s="82">
        <f t="shared" si="34"/>
        <v>0.9</v>
      </c>
      <c r="L384" s="60">
        <f t="shared" si="35"/>
        <v>-1.4563731347732841E-3</v>
      </c>
      <c r="M384" s="60"/>
      <c r="N384" s="60"/>
      <c r="O384" s="60">
        <f t="shared" si="36"/>
        <v>7.7790746824452095E-4</v>
      </c>
    </row>
    <row r="385" spans="1:15" x14ac:dyDescent="0.25">
      <c r="A385" s="51">
        <v>44344</v>
      </c>
      <c r="B385" s="52">
        <v>35.35</v>
      </c>
      <c r="C385" s="72">
        <v>0.35220696620625652</v>
      </c>
      <c r="D385" s="53">
        <v>38.549999999999997</v>
      </c>
      <c r="E385" s="72">
        <v>0.38514650936811418</v>
      </c>
      <c r="F385" s="52">
        <v>36.32</v>
      </c>
      <c r="G385" s="72">
        <v>0.36286695772373301</v>
      </c>
      <c r="H385" s="65">
        <f t="shared" si="31"/>
        <v>-8.7312200924124939E-3</v>
      </c>
      <c r="I385" s="65">
        <f t="shared" si="32"/>
        <v>0.20593063331256053</v>
      </c>
      <c r="J385" s="65">
        <f t="shared" si="33"/>
        <v>0.27836597290624637</v>
      </c>
      <c r="K385" s="82">
        <f t="shared" si="34"/>
        <v>0.95</v>
      </c>
      <c r="L385" s="60">
        <f t="shared" si="35"/>
        <v>-8.7448687087839736E-3</v>
      </c>
      <c r="M385" s="60"/>
      <c r="N385" s="60"/>
      <c r="O385" s="60">
        <f t="shared" si="36"/>
        <v>-4.1418645802183346E-3</v>
      </c>
    </row>
    <row r="386" spans="1:15" x14ac:dyDescent="0.25">
      <c r="A386" s="51">
        <v>44343</v>
      </c>
      <c r="B386" s="52">
        <v>35.659999999999997</v>
      </c>
      <c r="C386" s="72">
        <v>0.35530047633996198</v>
      </c>
      <c r="D386" s="53">
        <v>38.71</v>
      </c>
      <c r="E386" s="72">
        <v>0.38674636548087882</v>
      </c>
      <c r="F386" s="52">
        <v>36.65</v>
      </c>
      <c r="G386" s="72">
        <v>0.36616518457437891</v>
      </c>
      <c r="H386" s="65">
        <f t="shared" si="31"/>
        <v>5.9063594568575699E-3</v>
      </c>
      <c r="I386" s="65">
        <f t="shared" si="32"/>
        <v>0.20342698949758853</v>
      </c>
      <c r="J386" s="65">
        <f t="shared" si="33"/>
        <v>0.30650198960782848</v>
      </c>
      <c r="K386" s="82">
        <f t="shared" si="34"/>
        <v>0.95</v>
      </c>
      <c r="L386" s="60">
        <f t="shared" si="35"/>
        <v>5.892710654198512E-3</v>
      </c>
      <c r="M386" s="60"/>
      <c r="N386" s="60"/>
      <c r="O386" s="60">
        <f t="shared" si="36"/>
        <v>-1.032791209799259E-3</v>
      </c>
    </row>
    <row r="387" spans="1:15" x14ac:dyDescent="0.25">
      <c r="A387" s="51">
        <v>44342</v>
      </c>
      <c r="B387" s="52">
        <v>35.450000000000003</v>
      </c>
      <c r="C387" s="72">
        <v>0.35321295007233922</v>
      </c>
      <c r="D387" s="53">
        <v>38.75</v>
      </c>
      <c r="E387" s="72">
        <v>0.38714732469736468</v>
      </c>
      <c r="F387" s="52">
        <v>36.65</v>
      </c>
      <c r="G387" s="72">
        <v>0.36616643742344301</v>
      </c>
      <c r="H387" s="65">
        <f t="shared" ref="H387:H450" si="37">LN(B387/B388)</f>
        <v>3.0066688598783999E-2</v>
      </c>
      <c r="I387" s="65">
        <f t="shared" ref="I387:I450" si="38">STDEVA(H387:H406)*SQRT(260)</f>
        <v>0.20595641503547724</v>
      </c>
      <c r="J387" s="65">
        <f t="shared" ref="J387:J450" si="39">STDEVA(H387:H391)*SQRT(260)</f>
        <v>0.30174538067284473</v>
      </c>
      <c r="K387" s="82">
        <f t="shared" ref="K387:K450" si="40">_xlfn.PERCENTRANK.INC(I387:I407,I387,20)</f>
        <v>1</v>
      </c>
      <c r="L387" s="60">
        <f t="shared" ref="L387:L450" si="41">LN(C387/C388)</f>
        <v>2.9998441791001914E-2</v>
      </c>
      <c r="M387" s="60"/>
      <c r="N387" s="60"/>
      <c r="O387" s="60">
        <f t="shared" ref="O387:O450" si="42">LN(D387/D388)</f>
        <v>3.278982282299097E-2</v>
      </c>
    </row>
    <row r="388" spans="1:15" x14ac:dyDescent="0.25">
      <c r="A388" s="51">
        <v>44337</v>
      </c>
      <c r="B388" s="52">
        <v>34.4</v>
      </c>
      <c r="C388" s="72">
        <v>0.34277446390303162</v>
      </c>
      <c r="D388" s="53">
        <v>37.5</v>
      </c>
      <c r="E388" s="72">
        <v>0.37466511097956962</v>
      </c>
      <c r="F388" s="52">
        <v>35.07</v>
      </c>
      <c r="G388" s="72">
        <v>0.3503868117880935</v>
      </c>
      <c r="H388" s="65">
        <f t="shared" si="37"/>
        <v>-1.0985944546784332E-2</v>
      </c>
      <c r="I388" s="65">
        <f t="shared" si="38"/>
        <v>0.18724286608301111</v>
      </c>
      <c r="J388" s="65">
        <f t="shared" si="39"/>
        <v>0.21705174387637285</v>
      </c>
      <c r="K388" s="82">
        <f t="shared" si="40"/>
        <v>1</v>
      </c>
      <c r="L388" s="60">
        <f t="shared" si="41"/>
        <v>-1.0999594467273782E-2</v>
      </c>
      <c r="M388" s="60"/>
      <c r="N388" s="60"/>
      <c r="O388" s="60">
        <f t="shared" si="42"/>
        <v>-1.298203422316911E-2</v>
      </c>
    </row>
    <row r="389" spans="1:15" x14ac:dyDescent="0.25">
      <c r="A389" s="51">
        <v>44336</v>
      </c>
      <c r="B389" s="52">
        <v>34.78</v>
      </c>
      <c r="C389" s="72">
        <v>0.34656565656565658</v>
      </c>
      <c r="D389" s="53">
        <v>37.99</v>
      </c>
      <c r="E389" s="72">
        <v>0.37956203380551568</v>
      </c>
      <c r="F389" s="52">
        <v>35.25</v>
      </c>
      <c r="G389" s="72">
        <v>0.3521864093615274</v>
      </c>
      <c r="H389" s="65">
        <f t="shared" si="37"/>
        <v>-8.3035552259497439E-3</v>
      </c>
      <c r="I389" s="65">
        <f t="shared" si="38"/>
        <v>0.18328319714637842</v>
      </c>
      <c r="J389" s="65">
        <f t="shared" si="39"/>
        <v>0.28624895980445186</v>
      </c>
      <c r="K389" s="82">
        <f t="shared" si="40"/>
        <v>1</v>
      </c>
      <c r="L389" s="60">
        <f t="shared" si="41"/>
        <v>-8.317205332761821E-3</v>
      </c>
      <c r="M389" s="60"/>
      <c r="N389" s="60"/>
      <c r="O389" s="60">
        <f t="shared" si="42"/>
        <v>2.3718551111536947E-3</v>
      </c>
    </row>
    <row r="390" spans="1:15" x14ac:dyDescent="0.25">
      <c r="A390" s="51">
        <v>44335</v>
      </c>
      <c r="B390" s="52">
        <v>35.07</v>
      </c>
      <c r="C390" s="72">
        <v>0.34946013459097169</v>
      </c>
      <c r="D390" s="53">
        <v>37.9</v>
      </c>
      <c r="E390" s="72">
        <v>0.37866413010377781</v>
      </c>
      <c r="F390" s="52">
        <v>35.15</v>
      </c>
      <c r="G390" s="72">
        <v>0.35118850061075962</v>
      </c>
      <c r="H390" s="65">
        <f t="shared" si="37"/>
        <v>-1.7804624633506707E-2</v>
      </c>
      <c r="I390" s="65">
        <f t="shared" si="38"/>
        <v>0.18015449594046395</v>
      </c>
      <c r="J390" s="65">
        <f t="shared" si="39"/>
        <v>0.26747176326610911</v>
      </c>
      <c r="K390" s="82">
        <f t="shared" si="40"/>
        <v>1</v>
      </c>
      <c r="L390" s="60">
        <f t="shared" si="41"/>
        <v>-1.7818274926647115E-2</v>
      </c>
      <c r="M390" s="60"/>
      <c r="N390" s="60"/>
      <c r="O390" s="60">
        <f t="shared" si="42"/>
        <v>-1.2585378491173336E-2</v>
      </c>
    </row>
    <row r="391" spans="1:15" x14ac:dyDescent="0.25">
      <c r="A391" s="51">
        <v>44334</v>
      </c>
      <c r="B391" s="52">
        <v>35.700000000000003</v>
      </c>
      <c r="C391" s="72">
        <v>0.35574271751890579</v>
      </c>
      <c r="D391" s="53">
        <v>38.380000000000003</v>
      </c>
      <c r="E391" s="72">
        <v>0.38346118840202842</v>
      </c>
      <c r="F391" s="52">
        <v>35.5</v>
      </c>
      <c r="G391" s="72">
        <v>0.35468661251360101</v>
      </c>
      <c r="H391" s="65">
        <f t="shared" si="37"/>
        <v>0</v>
      </c>
      <c r="I391" s="65">
        <f t="shared" si="38"/>
        <v>0.1653676445684453</v>
      </c>
      <c r="J391" s="65">
        <f t="shared" si="39"/>
        <v>0.16626187560931804</v>
      </c>
      <c r="K391" s="82">
        <f t="shared" si="40"/>
        <v>0.8</v>
      </c>
      <c r="L391" s="60">
        <f t="shared" si="41"/>
        <v>-1.3650479473445403E-5</v>
      </c>
      <c r="M391" s="60"/>
      <c r="N391" s="60"/>
      <c r="O391" s="60">
        <f t="shared" si="42"/>
        <v>0</v>
      </c>
    </row>
    <row r="392" spans="1:15" x14ac:dyDescent="0.25">
      <c r="A392" s="51">
        <v>44333</v>
      </c>
      <c r="B392" s="52">
        <v>35.700000000000003</v>
      </c>
      <c r="C392" s="72">
        <v>0.35574757361071302</v>
      </c>
      <c r="D392" s="53">
        <v>38.380000000000003</v>
      </c>
      <c r="E392" s="72">
        <v>0.38346250047047642</v>
      </c>
      <c r="F392" s="52">
        <v>35.200000000000003</v>
      </c>
      <c r="G392" s="72">
        <v>0.35169046421471523</v>
      </c>
      <c r="H392" s="65">
        <f t="shared" si="37"/>
        <v>1.7234499190469568E-2</v>
      </c>
      <c r="I392" s="65">
        <f t="shared" si="38"/>
        <v>0.16631491304607049</v>
      </c>
      <c r="J392" s="65">
        <f t="shared" si="39"/>
        <v>0.25806177623337723</v>
      </c>
      <c r="K392" s="82">
        <f t="shared" si="40"/>
        <v>0.8</v>
      </c>
      <c r="L392" s="60">
        <f t="shared" si="41"/>
        <v>1.7193546634000634E-2</v>
      </c>
      <c r="M392" s="60"/>
      <c r="N392" s="60"/>
      <c r="O392" s="60">
        <f t="shared" si="42"/>
        <v>2.452978061632544E-2</v>
      </c>
    </row>
    <row r="393" spans="1:15" x14ac:dyDescent="0.25">
      <c r="A393" s="51">
        <v>44330</v>
      </c>
      <c r="B393" s="52">
        <v>35.090000000000003</v>
      </c>
      <c r="C393" s="72">
        <v>0.34968329374505153</v>
      </c>
      <c r="D393" s="53">
        <v>37.450000000000003</v>
      </c>
      <c r="E393" s="72">
        <v>0.37417451942488389</v>
      </c>
      <c r="F393" s="52">
        <v>34.5</v>
      </c>
      <c r="G393" s="72">
        <v>0.34470015808166871</v>
      </c>
      <c r="H393" s="65">
        <f t="shared" si="37"/>
        <v>2.5105921131076479E-2</v>
      </c>
      <c r="I393" s="65">
        <f t="shared" si="38"/>
        <v>0.15641988965013723</v>
      </c>
      <c r="J393" s="65">
        <f t="shared" si="39"/>
        <v>0.24287232813068113</v>
      </c>
      <c r="K393" s="82">
        <f t="shared" si="40"/>
        <v>0.6</v>
      </c>
      <c r="L393" s="60">
        <f t="shared" si="41"/>
        <v>2.5092269906220179E-2</v>
      </c>
      <c r="M393" s="60"/>
      <c r="N393" s="60"/>
      <c r="O393" s="60">
        <f t="shared" si="42"/>
        <v>2.7065251508561351E-2</v>
      </c>
    </row>
    <row r="394" spans="1:15" x14ac:dyDescent="0.25">
      <c r="A394" s="51">
        <v>44329</v>
      </c>
      <c r="B394" s="52">
        <v>34.22</v>
      </c>
      <c r="C394" s="72">
        <v>0.34101811529903209</v>
      </c>
      <c r="D394" s="53">
        <v>36.450000000000003</v>
      </c>
      <c r="E394" s="72">
        <v>0.36418445661806731</v>
      </c>
      <c r="F394" s="52">
        <v>33.53</v>
      </c>
      <c r="G394" s="72">
        <v>0.33500973471615347</v>
      </c>
      <c r="H394" s="65">
        <f t="shared" si="37"/>
        <v>3.2196720334930649E-3</v>
      </c>
      <c r="I394" s="65">
        <f t="shared" si="38"/>
        <v>0.12775831421769523</v>
      </c>
      <c r="J394" s="65">
        <f t="shared" si="39"/>
        <v>0.18300813057077372</v>
      </c>
      <c r="K394" s="82">
        <f t="shared" si="40"/>
        <v>0.3</v>
      </c>
      <c r="L394" s="60">
        <f t="shared" si="41"/>
        <v>3.2060206222780841E-3</v>
      </c>
      <c r="M394" s="60"/>
      <c r="N394" s="60"/>
      <c r="O394" s="60">
        <f t="shared" si="42"/>
        <v>1.3726838119723958E-3</v>
      </c>
    </row>
    <row r="395" spans="1:15" x14ac:dyDescent="0.25">
      <c r="A395" s="51">
        <v>44328</v>
      </c>
      <c r="B395" s="52">
        <v>34.11</v>
      </c>
      <c r="C395" s="72">
        <v>0.33992655490635071</v>
      </c>
      <c r="D395" s="53">
        <v>36.4</v>
      </c>
      <c r="E395" s="72">
        <v>0.36368613388445592</v>
      </c>
      <c r="F395" s="52">
        <v>33.4</v>
      </c>
      <c r="G395" s="72">
        <v>0.33371200197090178</v>
      </c>
      <c r="H395" s="65">
        <f t="shared" si="37"/>
        <v>8.538252960120115E-3</v>
      </c>
      <c r="I395" s="65">
        <f t="shared" si="38"/>
        <v>0.1313070783633831</v>
      </c>
      <c r="J395" s="65">
        <f t="shared" si="39"/>
        <v>0.17494507794102374</v>
      </c>
      <c r="K395" s="82">
        <f t="shared" si="40"/>
        <v>0.35</v>
      </c>
      <c r="L395" s="60">
        <f t="shared" si="41"/>
        <v>8.5246013625418799E-3</v>
      </c>
      <c r="M395" s="60"/>
      <c r="N395" s="60"/>
      <c r="O395" s="60">
        <f t="shared" si="42"/>
        <v>1.3831479148461799E-2</v>
      </c>
    </row>
    <row r="396" spans="1:15" x14ac:dyDescent="0.25">
      <c r="A396" s="51">
        <v>44327</v>
      </c>
      <c r="B396" s="52">
        <v>33.82</v>
      </c>
      <c r="C396" s="72">
        <v>0.3370411325442656</v>
      </c>
      <c r="D396" s="53">
        <v>35.9</v>
      </c>
      <c r="E396" s="72">
        <v>0.35869167256912721</v>
      </c>
      <c r="F396" s="52">
        <v>33.15</v>
      </c>
      <c r="G396" s="72">
        <v>0.33121529096564251</v>
      </c>
      <c r="H396" s="65">
        <f t="shared" si="37"/>
        <v>-1.7004220908918392E-2</v>
      </c>
      <c r="I396" s="65">
        <f t="shared" si="38"/>
        <v>0.12843776037675103</v>
      </c>
      <c r="J396" s="65">
        <f t="shared" si="39"/>
        <v>0.13083223889540421</v>
      </c>
      <c r="K396" s="82">
        <f t="shared" si="40"/>
        <v>0.3</v>
      </c>
      <c r="L396" s="60">
        <f t="shared" si="41"/>
        <v>-1.7017872692865525E-2</v>
      </c>
      <c r="M396" s="60"/>
      <c r="N396" s="60"/>
      <c r="O396" s="60">
        <f t="shared" si="42"/>
        <v>-1.602686971189746E-2</v>
      </c>
    </row>
    <row r="397" spans="1:15" x14ac:dyDescent="0.25">
      <c r="A397" s="51">
        <v>44326</v>
      </c>
      <c r="B397" s="52">
        <v>34.4</v>
      </c>
      <c r="C397" s="72">
        <v>0.34282593856655291</v>
      </c>
      <c r="D397" s="53">
        <v>36.479999999999997</v>
      </c>
      <c r="E397" s="72">
        <v>0.36448793840889648</v>
      </c>
      <c r="F397" s="52">
        <v>33.54</v>
      </c>
      <c r="G397" s="72">
        <v>0.33511308810949531</v>
      </c>
      <c r="H397" s="65">
        <f t="shared" si="37"/>
        <v>2.9112102074585343E-3</v>
      </c>
      <c r="I397" s="65">
        <f t="shared" si="38"/>
        <v>0.11581207553817874</v>
      </c>
      <c r="J397" s="65">
        <f t="shared" si="39"/>
        <v>0.10233159725420445</v>
      </c>
      <c r="K397" s="82">
        <f t="shared" si="40"/>
        <v>0.1</v>
      </c>
      <c r="L397" s="60">
        <f t="shared" si="41"/>
        <v>2.870253737354337E-3</v>
      </c>
      <c r="M397" s="60"/>
      <c r="N397" s="60"/>
      <c r="O397" s="60">
        <f t="shared" si="42"/>
        <v>4.3956114730379081E-3</v>
      </c>
    </row>
    <row r="398" spans="1:15" x14ac:dyDescent="0.25">
      <c r="A398" s="51">
        <v>44323</v>
      </c>
      <c r="B398" s="52">
        <v>34.299999999999997</v>
      </c>
      <c r="C398" s="72">
        <v>0.34184335194615478</v>
      </c>
      <c r="D398" s="53">
        <v>36.32</v>
      </c>
      <c r="E398" s="72">
        <v>0.36289303226380432</v>
      </c>
      <c r="F398" s="52">
        <v>33.450000000000003</v>
      </c>
      <c r="G398" s="72">
        <v>0.33421728880022722</v>
      </c>
      <c r="H398" s="65">
        <f t="shared" si="37"/>
        <v>-1.3609591847875952E-2</v>
      </c>
      <c r="I398" s="65">
        <f t="shared" si="38"/>
        <v>0.12600096556093304</v>
      </c>
      <c r="J398" s="65">
        <f t="shared" si="39"/>
        <v>9.2222374703980578E-2</v>
      </c>
      <c r="K398" s="82">
        <f t="shared" si="40"/>
        <v>0.2</v>
      </c>
      <c r="L398" s="60">
        <f t="shared" si="41"/>
        <v>-1.3623244377348569E-2</v>
      </c>
      <c r="M398" s="60"/>
      <c r="N398" s="60"/>
      <c r="O398" s="60">
        <f t="shared" si="42"/>
        <v>-5.765287074098656E-3</v>
      </c>
    </row>
    <row r="399" spans="1:15" x14ac:dyDescent="0.25">
      <c r="A399" s="51">
        <v>44322</v>
      </c>
      <c r="B399" s="52">
        <v>34.770000000000003</v>
      </c>
      <c r="C399" s="72">
        <v>0.34653223384212112</v>
      </c>
      <c r="D399" s="53">
        <v>36.53</v>
      </c>
      <c r="E399" s="72">
        <v>0.36499250631317448</v>
      </c>
      <c r="F399" s="52">
        <v>33.520000000000003</v>
      </c>
      <c r="G399" s="72">
        <v>0.33491784318690421</v>
      </c>
      <c r="H399" s="65">
        <f t="shared" si="37"/>
        <v>-7.7353200484205492E-3</v>
      </c>
      <c r="I399" s="65">
        <f t="shared" si="38"/>
        <v>0.11739171519128694</v>
      </c>
      <c r="J399" s="65">
        <f t="shared" si="39"/>
        <v>4.9489961743814162E-2</v>
      </c>
      <c r="K399" s="82">
        <f t="shared" si="40"/>
        <v>0.1</v>
      </c>
      <c r="L399" s="60">
        <f t="shared" si="41"/>
        <v>-7.748972764287129E-3</v>
      </c>
      <c r="M399" s="60"/>
      <c r="N399" s="60"/>
      <c r="O399" s="60">
        <f t="shared" si="42"/>
        <v>-7.9073349977406126E-3</v>
      </c>
    </row>
    <row r="400" spans="1:15" x14ac:dyDescent="0.25">
      <c r="A400" s="51">
        <v>44321</v>
      </c>
      <c r="B400" s="52">
        <v>35.04</v>
      </c>
      <c r="C400" s="72">
        <v>0.34922793364734789</v>
      </c>
      <c r="D400" s="53">
        <v>36.82</v>
      </c>
      <c r="E400" s="72">
        <v>0.3678913240602919</v>
      </c>
      <c r="F400" s="52">
        <v>33.869999999999997</v>
      </c>
      <c r="G400" s="72">
        <v>0.33841605502232708</v>
      </c>
      <c r="H400" s="65">
        <f t="shared" si="37"/>
        <v>-2.2805026987252177E-3</v>
      </c>
      <c r="I400" s="65">
        <f t="shared" si="38"/>
        <v>0.1152944324634908</v>
      </c>
      <c r="J400" s="65">
        <f t="shared" si="39"/>
        <v>2.3421831326998124E-2</v>
      </c>
      <c r="K400" s="82">
        <f t="shared" si="40"/>
        <v>0.05</v>
      </c>
      <c r="L400" s="60">
        <f t="shared" si="41"/>
        <v>-2.2941556009910724E-3</v>
      </c>
      <c r="M400" s="60"/>
      <c r="N400" s="60"/>
      <c r="O400" s="60">
        <f t="shared" si="42"/>
        <v>-6.2271759371640215E-3</v>
      </c>
    </row>
    <row r="401" spans="1:15" x14ac:dyDescent="0.25">
      <c r="A401" s="51">
        <v>44320</v>
      </c>
      <c r="B401" s="52">
        <v>35.119999999999997</v>
      </c>
      <c r="C401" s="72">
        <v>0.35003003659002779</v>
      </c>
      <c r="D401" s="53">
        <v>37.049999999999997</v>
      </c>
      <c r="E401" s="72">
        <v>0.37019066259700789</v>
      </c>
      <c r="F401" s="52">
        <v>33.65</v>
      </c>
      <c r="G401" s="72">
        <v>0.33621904983506928</v>
      </c>
      <c r="H401" s="65">
        <f t="shared" si="37"/>
        <v>-1.7069705424962614E-3</v>
      </c>
      <c r="I401" s="65">
        <f t="shared" si="38"/>
        <v>0.11511944912151997</v>
      </c>
      <c r="J401" s="65">
        <f t="shared" si="39"/>
        <v>3.9538378340813869E-2</v>
      </c>
      <c r="K401" s="82">
        <f t="shared" si="40"/>
        <v>0</v>
      </c>
      <c r="L401" s="60">
        <f t="shared" si="41"/>
        <v>-1.720623631166397E-3</v>
      </c>
      <c r="M401" s="60"/>
      <c r="N401" s="60"/>
      <c r="O401" s="60">
        <f t="shared" si="42"/>
        <v>-5.3966542054513619E-4</v>
      </c>
    </row>
    <row r="402" spans="1:15" x14ac:dyDescent="0.25">
      <c r="A402" s="51">
        <v>44319</v>
      </c>
      <c r="B402" s="52">
        <v>35.18</v>
      </c>
      <c r="C402" s="72">
        <v>0.35063282497986148</v>
      </c>
      <c r="D402" s="53">
        <v>37.07</v>
      </c>
      <c r="E402" s="72">
        <v>0.37039176301913129</v>
      </c>
      <c r="F402" s="52">
        <v>33.65</v>
      </c>
      <c r="G402" s="72">
        <v>0.3362202003127534</v>
      </c>
      <c r="H402" s="65">
        <f t="shared" si="37"/>
        <v>5.6866649243605624E-4</v>
      </c>
      <c r="I402" s="65">
        <f t="shared" si="38"/>
        <v>0.1176252822858979</v>
      </c>
      <c r="J402" s="65">
        <f t="shared" si="39"/>
        <v>9.0382239483141766E-2</v>
      </c>
      <c r="K402" s="82">
        <f t="shared" si="40"/>
        <v>0</v>
      </c>
      <c r="L402" s="60">
        <f t="shared" si="41"/>
        <v>5.2770610794858894E-4</v>
      </c>
      <c r="M402" s="60"/>
      <c r="N402" s="60"/>
      <c r="O402" s="60">
        <f t="shared" si="42"/>
        <v>-3.769525195890213E-3</v>
      </c>
    </row>
    <row r="403" spans="1:15" x14ac:dyDescent="0.25">
      <c r="A403" s="51">
        <v>44316</v>
      </c>
      <c r="B403" s="52">
        <v>35.159999999999997</v>
      </c>
      <c r="C403" s="72">
        <v>0.35044784270890222</v>
      </c>
      <c r="D403" s="53">
        <v>37.21</v>
      </c>
      <c r="E403" s="72">
        <v>0.37179441554886389</v>
      </c>
      <c r="F403" s="52">
        <v>34.06</v>
      </c>
      <c r="G403" s="72">
        <v>0.34032028469750891</v>
      </c>
      <c r="H403" s="65">
        <f t="shared" si="37"/>
        <v>-1.9889195361700784E-3</v>
      </c>
      <c r="I403" s="65">
        <f t="shared" si="38"/>
        <v>0.14341556936270086</v>
      </c>
      <c r="J403" s="65">
        <f t="shared" si="39"/>
        <v>0.15044602293003659</v>
      </c>
      <c r="K403" s="82">
        <f t="shared" si="40"/>
        <v>0</v>
      </c>
      <c r="L403" s="60">
        <f t="shared" si="41"/>
        <v>-2.0025733705081507E-3</v>
      </c>
      <c r="M403" s="60"/>
      <c r="N403" s="60"/>
      <c r="O403" s="60">
        <f t="shared" si="42"/>
        <v>1.2439316699685522E-2</v>
      </c>
    </row>
    <row r="404" spans="1:15" x14ac:dyDescent="0.25">
      <c r="A404" s="51">
        <v>44315</v>
      </c>
      <c r="B404" s="52">
        <v>35.229999999999997</v>
      </c>
      <c r="C404" s="72">
        <v>0.35115034339627788</v>
      </c>
      <c r="D404" s="53">
        <v>36.75</v>
      </c>
      <c r="E404" s="72">
        <v>0.36719944976543167</v>
      </c>
      <c r="F404" s="52">
        <v>33.9</v>
      </c>
      <c r="G404" s="72">
        <v>0.33872275774280641</v>
      </c>
      <c r="H404" s="65">
        <f t="shared" si="37"/>
        <v>-3.4003999894356568E-3</v>
      </c>
      <c r="I404" s="65">
        <f t="shared" si="38"/>
        <v>0.14626225282033617</v>
      </c>
      <c r="J404" s="65">
        <f t="shared" si="39"/>
        <v>0.15882927068086</v>
      </c>
      <c r="K404" s="82">
        <f t="shared" si="40"/>
        <v>0</v>
      </c>
      <c r="L404" s="60">
        <f t="shared" si="41"/>
        <v>-3.4140540102037776E-3</v>
      </c>
      <c r="M404" s="60"/>
      <c r="N404" s="60"/>
      <c r="O404" s="60">
        <f t="shared" si="42"/>
        <v>-5.6980211146377786E-3</v>
      </c>
    </row>
    <row r="405" spans="1:15" x14ac:dyDescent="0.25">
      <c r="A405" s="51">
        <v>44314</v>
      </c>
      <c r="B405" s="52">
        <v>35.35</v>
      </c>
      <c r="C405" s="72">
        <v>0.35235123842813842</v>
      </c>
      <c r="D405" s="53">
        <v>36.96</v>
      </c>
      <c r="E405" s="72">
        <v>0.36929899602378891</v>
      </c>
      <c r="F405" s="52">
        <v>34.299999999999997</v>
      </c>
      <c r="G405" s="72">
        <v>0.34272065918874339</v>
      </c>
      <c r="H405" s="65">
        <f t="shared" si="37"/>
        <v>2.8328630843041072E-3</v>
      </c>
      <c r="I405" s="65">
        <f t="shared" si="38"/>
        <v>0.15211450645755439</v>
      </c>
      <c r="J405" s="65">
        <f t="shared" si="39"/>
        <v>0.14741783740498948</v>
      </c>
      <c r="K405" s="82">
        <f t="shared" si="40"/>
        <v>0</v>
      </c>
      <c r="L405" s="60">
        <f t="shared" si="41"/>
        <v>2.8192088771014784E-3</v>
      </c>
      <c r="M405" s="60"/>
      <c r="N405" s="60"/>
      <c r="O405" s="60">
        <f t="shared" si="42"/>
        <v>-4.8583091510762946E-3</v>
      </c>
    </row>
    <row r="406" spans="1:15" x14ac:dyDescent="0.25">
      <c r="A406" s="51">
        <v>44313</v>
      </c>
      <c r="B406" s="52">
        <v>35.25</v>
      </c>
      <c r="C406" s="72">
        <v>0.35135928560700191</v>
      </c>
      <c r="D406" s="53">
        <v>37.14</v>
      </c>
      <c r="E406" s="72">
        <v>0.37109879994661871</v>
      </c>
      <c r="F406" s="52">
        <v>33.9</v>
      </c>
      <c r="G406" s="72">
        <v>0.33872507588019313</v>
      </c>
      <c r="H406" s="65">
        <f t="shared" si="37"/>
        <v>1.0838668570717922E-2</v>
      </c>
      <c r="I406" s="65">
        <f t="shared" si="38"/>
        <v>0.1673491161725417</v>
      </c>
      <c r="J406" s="65">
        <f t="shared" si="39"/>
        <v>0.14769357530774838</v>
      </c>
      <c r="K406" s="82">
        <f t="shared" si="40"/>
        <v>0.15</v>
      </c>
      <c r="L406" s="60">
        <f t="shared" si="41"/>
        <v>1.0825014177075201E-2</v>
      </c>
      <c r="M406" s="60"/>
      <c r="N406" s="60"/>
      <c r="O406" s="60">
        <f t="shared" si="42"/>
        <v>7.838937289214155E-3</v>
      </c>
    </row>
    <row r="407" spans="1:15" x14ac:dyDescent="0.25">
      <c r="A407" s="51">
        <v>44312</v>
      </c>
      <c r="B407" s="52">
        <v>34.869999999999997</v>
      </c>
      <c r="C407" s="72">
        <v>0.34757632858157189</v>
      </c>
      <c r="D407" s="53">
        <v>36.85</v>
      </c>
      <c r="E407" s="72">
        <v>0.36820241174940799</v>
      </c>
      <c r="F407" s="52">
        <v>33.75</v>
      </c>
      <c r="G407" s="72">
        <v>0.33722744631051621</v>
      </c>
      <c r="H407" s="65">
        <f t="shared" si="37"/>
        <v>1.881659222351233E-2</v>
      </c>
      <c r="I407" s="65">
        <f t="shared" si="38"/>
        <v>0.162124711042713</v>
      </c>
      <c r="J407" s="65">
        <f t="shared" si="39"/>
        <v>0.15060964258252887</v>
      </c>
      <c r="K407" s="82">
        <f t="shared" si="40"/>
        <v>0.1</v>
      </c>
      <c r="L407" s="60">
        <f t="shared" si="41"/>
        <v>1.8775627923893867E-2</v>
      </c>
      <c r="M407" s="60"/>
      <c r="N407" s="60"/>
      <c r="O407" s="60">
        <f t="shared" si="42"/>
        <v>5.1693762237866835E-3</v>
      </c>
    </row>
    <row r="408" spans="1:15" x14ac:dyDescent="0.25">
      <c r="A408" s="51">
        <v>44309</v>
      </c>
      <c r="B408" s="52">
        <v>34.22</v>
      </c>
      <c r="C408" s="72">
        <v>0.3411112476615733</v>
      </c>
      <c r="D408" s="53">
        <v>36.659999999999997</v>
      </c>
      <c r="E408" s="72">
        <v>0.36630770652185068</v>
      </c>
      <c r="F408" s="52">
        <v>33.869999999999997</v>
      </c>
      <c r="G408" s="72">
        <v>0.33842995144285548</v>
      </c>
      <c r="H408" s="65">
        <f t="shared" si="37"/>
        <v>-4.3738223976950551E-3</v>
      </c>
      <c r="I408" s="65">
        <f t="shared" si="38"/>
        <v>0.15693019321321294</v>
      </c>
      <c r="J408" s="65">
        <f t="shared" si="39"/>
        <v>6.304340876138452E-2</v>
      </c>
      <c r="K408" s="82">
        <f t="shared" si="40"/>
        <v>0</v>
      </c>
      <c r="L408" s="60">
        <f t="shared" si="41"/>
        <v>-4.3874775371483855E-3</v>
      </c>
      <c r="M408" s="60"/>
      <c r="N408" s="60"/>
      <c r="O408" s="60">
        <f t="shared" si="42"/>
        <v>-1.0905126489657592E-3</v>
      </c>
    </row>
    <row r="409" spans="1:15" x14ac:dyDescent="0.25">
      <c r="A409" s="51">
        <v>44308</v>
      </c>
      <c r="B409" s="52">
        <v>34.369999999999997</v>
      </c>
      <c r="C409" s="72">
        <v>0.34261115359405719</v>
      </c>
      <c r="D409" s="53">
        <v>36.700000000000003</v>
      </c>
      <c r="E409" s="72">
        <v>0.36670864244846563</v>
      </c>
      <c r="F409" s="52">
        <v>34.200000000000003</v>
      </c>
      <c r="G409" s="72">
        <v>0.34172848969312059</v>
      </c>
      <c r="H409" s="65">
        <f t="shared" si="37"/>
        <v>5.8207219338414116E-4</v>
      </c>
      <c r="I409" s="65">
        <f t="shared" si="38"/>
        <v>0.1600151898600137</v>
      </c>
      <c r="J409" s="65">
        <f t="shared" si="39"/>
        <v>5.2107077074917713E-2</v>
      </c>
      <c r="K409" s="82">
        <f t="shared" si="40"/>
        <v>0</v>
      </c>
      <c r="L409" s="60">
        <f t="shared" si="41"/>
        <v>5.6841686746525065E-4</v>
      </c>
      <c r="M409" s="60"/>
      <c r="N409" s="60"/>
      <c r="O409" s="60">
        <f t="shared" si="42"/>
        <v>1.9091782698016926E-3</v>
      </c>
    </row>
    <row r="410" spans="1:15" x14ac:dyDescent="0.25">
      <c r="A410" s="51">
        <v>44307</v>
      </c>
      <c r="B410" s="52">
        <v>34.35</v>
      </c>
      <c r="C410" s="72">
        <v>0.342416462973331</v>
      </c>
      <c r="D410" s="53">
        <v>36.630000000000003</v>
      </c>
      <c r="E410" s="72">
        <v>0.36601045063665388</v>
      </c>
      <c r="F410" s="52">
        <v>33.799999999999997</v>
      </c>
      <c r="G410" s="72">
        <v>0.33773282095328688</v>
      </c>
      <c r="H410" s="65">
        <f t="shared" si="37"/>
        <v>2.6235257723846318E-3</v>
      </c>
      <c r="I410" s="65">
        <f t="shared" si="38"/>
        <v>0.17035398440502197</v>
      </c>
      <c r="J410" s="65">
        <f t="shared" si="39"/>
        <v>8.9127797117504945E-2</v>
      </c>
      <c r="K410" s="82">
        <f t="shared" si="40"/>
        <v>0</v>
      </c>
      <c r="L410" s="60">
        <f t="shared" si="41"/>
        <v>2.6098702599956056E-3</v>
      </c>
      <c r="M410" s="60"/>
      <c r="N410" s="60"/>
      <c r="O410" s="60">
        <f t="shared" si="42"/>
        <v>1.1808457958997563E-2</v>
      </c>
    </row>
    <row r="411" spans="1:15" x14ac:dyDescent="0.25">
      <c r="A411" s="51">
        <v>44306</v>
      </c>
      <c r="B411" s="52">
        <v>34.26</v>
      </c>
      <c r="C411" s="72">
        <v>0.34152396558787379</v>
      </c>
      <c r="D411" s="53">
        <v>36.200000000000003</v>
      </c>
      <c r="E411" s="72">
        <v>0.36171508743113312</v>
      </c>
      <c r="F411" s="52">
        <v>33.65</v>
      </c>
      <c r="G411" s="72">
        <v>0.33623515723916092</v>
      </c>
      <c r="H411" s="65">
        <f t="shared" si="37"/>
        <v>-3.2055979657686058E-3</v>
      </c>
      <c r="I411" s="65">
        <f t="shared" si="38"/>
        <v>0.17041912765057723</v>
      </c>
      <c r="J411" s="65">
        <f t="shared" si="39"/>
        <v>8.9351953446836413E-2</v>
      </c>
      <c r="K411" s="82">
        <f t="shared" si="40"/>
        <v>0</v>
      </c>
      <c r="L411" s="60">
        <f t="shared" si="41"/>
        <v>-3.2192536646334304E-3</v>
      </c>
      <c r="M411" s="60"/>
      <c r="N411" s="60"/>
      <c r="O411" s="60">
        <f t="shared" si="42"/>
        <v>-7.9791316166308753E-3</v>
      </c>
    </row>
    <row r="412" spans="1:15" x14ac:dyDescent="0.25">
      <c r="A412" s="51">
        <v>44305</v>
      </c>
      <c r="B412" s="52">
        <v>34.369999999999997</v>
      </c>
      <c r="C412" s="72">
        <v>0.34262518947411541</v>
      </c>
      <c r="D412" s="53">
        <v>36.49</v>
      </c>
      <c r="E412" s="72">
        <v>0.36461405267786567</v>
      </c>
      <c r="F412" s="52">
        <v>33.5</v>
      </c>
      <c r="G412" s="72">
        <v>0.33473748327510272</v>
      </c>
      <c r="H412" s="65">
        <f t="shared" si="37"/>
        <v>4.9584467931828788E-3</v>
      </c>
      <c r="I412" s="65">
        <f t="shared" si="38"/>
        <v>0.17066339382507439</v>
      </c>
      <c r="J412" s="65">
        <f t="shared" si="39"/>
        <v>0.10693167867106187</v>
      </c>
      <c r="K412" s="82">
        <f t="shared" si="40"/>
        <v>0</v>
      </c>
      <c r="L412" s="60">
        <f t="shared" si="41"/>
        <v>4.917478577684418E-3</v>
      </c>
      <c r="M412" s="60"/>
      <c r="N412" s="60"/>
      <c r="O412" s="60">
        <f t="shared" si="42"/>
        <v>2.4694758056612895E-3</v>
      </c>
    </row>
    <row r="413" spans="1:15" x14ac:dyDescent="0.25">
      <c r="A413" s="51">
        <v>44302</v>
      </c>
      <c r="B413" s="52">
        <v>34.200000000000003</v>
      </c>
      <c r="C413" s="72">
        <v>0.34094447327451999</v>
      </c>
      <c r="D413" s="53">
        <v>36.4</v>
      </c>
      <c r="E413" s="72">
        <v>0.36371849185219662</v>
      </c>
      <c r="F413" s="52">
        <v>33.6</v>
      </c>
      <c r="G413" s="72">
        <v>0.33574014632510463</v>
      </c>
      <c r="H413" s="65">
        <f t="shared" si="37"/>
        <v>-1.4609206396747599E-3</v>
      </c>
      <c r="I413" s="65">
        <f t="shared" si="38"/>
        <v>0.17561431883864823</v>
      </c>
      <c r="J413" s="65">
        <f t="shared" si="39"/>
        <v>0.15103346998018691</v>
      </c>
      <c r="K413" s="82">
        <f t="shared" si="40"/>
        <v>0</v>
      </c>
      <c r="L413" s="60">
        <f t="shared" si="41"/>
        <v>-1.4745770844927493E-3</v>
      </c>
      <c r="M413" s="60"/>
      <c r="N413" s="60"/>
      <c r="O413" s="60">
        <f t="shared" si="42"/>
        <v>1.160554612030789E-2</v>
      </c>
    </row>
    <row r="414" spans="1:15" x14ac:dyDescent="0.25">
      <c r="A414" s="51">
        <v>44301</v>
      </c>
      <c r="B414" s="52">
        <v>34.25</v>
      </c>
      <c r="C414" s="72">
        <v>0.34144759303516559</v>
      </c>
      <c r="D414" s="53">
        <v>35.979999999999997</v>
      </c>
      <c r="E414" s="72">
        <v>0.35952297031397029</v>
      </c>
      <c r="F414" s="52">
        <v>33.5</v>
      </c>
      <c r="G414" s="72">
        <v>0.3347420651894944</v>
      </c>
      <c r="H414" s="65">
        <f t="shared" si="37"/>
        <v>-9.2996892252988402E-3</v>
      </c>
      <c r="I414" s="65">
        <f t="shared" si="38"/>
        <v>0.1829686127291329</v>
      </c>
      <c r="J414" s="65">
        <f t="shared" si="39"/>
        <v>0.15779460217941066</v>
      </c>
      <c r="K414" s="82">
        <f t="shared" si="40"/>
        <v>0</v>
      </c>
      <c r="L414" s="60">
        <f t="shared" si="41"/>
        <v>-9.313345856617616E-3</v>
      </c>
      <c r="M414" s="60"/>
      <c r="N414" s="60"/>
      <c r="O414" s="60">
        <f t="shared" si="42"/>
        <v>-3.3296368164483598E-3</v>
      </c>
    </row>
    <row r="415" spans="1:15" x14ac:dyDescent="0.25">
      <c r="A415" s="51">
        <v>44300</v>
      </c>
      <c r="B415" s="52">
        <v>34.57</v>
      </c>
      <c r="C415" s="72">
        <v>0.34464246695072648</v>
      </c>
      <c r="D415" s="53">
        <v>36.1</v>
      </c>
      <c r="E415" s="72">
        <v>0.36072328077091548</v>
      </c>
      <c r="F415" s="52">
        <v>33.65</v>
      </c>
      <c r="G415" s="72">
        <v>0.33624206088480069</v>
      </c>
      <c r="H415" s="65">
        <f t="shared" si="37"/>
        <v>-7.2056804065098439E-3</v>
      </c>
      <c r="I415" s="65">
        <f t="shared" si="38"/>
        <v>0.19042413270255992</v>
      </c>
      <c r="J415" s="65">
        <f t="shared" si="39"/>
        <v>0.1458266928263664</v>
      </c>
      <c r="K415" s="82">
        <f t="shared" si="40"/>
        <v>0</v>
      </c>
      <c r="L415" s="60">
        <f t="shared" si="41"/>
        <v>-7.2193372243350967E-3</v>
      </c>
      <c r="M415" s="60"/>
      <c r="N415" s="60"/>
      <c r="O415" s="60">
        <f t="shared" si="42"/>
        <v>-8.0011462852332058E-3</v>
      </c>
    </row>
    <row r="416" spans="1:15" x14ac:dyDescent="0.25">
      <c r="A416" s="51">
        <v>44299</v>
      </c>
      <c r="B416" s="52">
        <v>34.82</v>
      </c>
      <c r="C416" s="72">
        <v>0.347139559974325</v>
      </c>
      <c r="D416" s="53">
        <v>36.39</v>
      </c>
      <c r="E416" s="72">
        <v>0.36362230214596392</v>
      </c>
      <c r="F416" s="52">
        <v>33.840000000000003</v>
      </c>
      <c r="G416" s="72">
        <v>0.33814176159987408</v>
      </c>
      <c r="H416" s="65">
        <f t="shared" si="37"/>
        <v>4.8942087041308081E-3</v>
      </c>
      <c r="I416" s="65">
        <f t="shared" si="38"/>
        <v>0.2091849869603504</v>
      </c>
      <c r="J416" s="65">
        <f t="shared" si="39"/>
        <v>0.1330292156451211</v>
      </c>
      <c r="K416" s="82">
        <f t="shared" si="40"/>
        <v>0.05</v>
      </c>
      <c r="L416" s="60">
        <f t="shared" si="41"/>
        <v>4.8805516997944762E-3</v>
      </c>
      <c r="M416" s="60"/>
      <c r="N416" s="60"/>
      <c r="O416" s="60">
        <f t="shared" si="42"/>
        <v>1.299976819006959E-2</v>
      </c>
    </row>
    <row r="417" spans="1:15" x14ac:dyDescent="0.25">
      <c r="A417" s="51">
        <v>44298</v>
      </c>
      <c r="B417" s="52">
        <v>34.65</v>
      </c>
      <c r="C417" s="72">
        <v>0.34544945508180602</v>
      </c>
      <c r="D417" s="53">
        <v>35.92</v>
      </c>
      <c r="E417" s="72">
        <v>0.35892711705484193</v>
      </c>
      <c r="F417" s="52">
        <v>33.700000000000003</v>
      </c>
      <c r="G417" s="72">
        <v>0.3367439823148155</v>
      </c>
      <c r="H417" s="65">
        <f t="shared" si="37"/>
        <v>1.3657047948467364E-2</v>
      </c>
      <c r="I417" s="65">
        <f t="shared" si="38"/>
        <v>0.20897611757861978</v>
      </c>
      <c r="J417" s="65">
        <f t="shared" si="39"/>
        <v>0.13676676756625628</v>
      </c>
      <c r="K417" s="82">
        <f t="shared" si="40"/>
        <v>0</v>
      </c>
      <c r="L417" s="60">
        <f t="shared" si="41"/>
        <v>1.3616075816340025E-2</v>
      </c>
      <c r="M417" s="60"/>
      <c r="N417" s="60"/>
      <c r="O417" s="60">
        <f t="shared" si="42"/>
        <v>2.1669625177325021E-2</v>
      </c>
    </row>
    <row r="418" spans="1:15" x14ac:dyDescent="0.25">
      <c r="A418" s="51">
        <v>44295</v>
      </c>
      <c r="B418" s="52">
        <v>34.18</v>
      </c>
      <c r="C418" s="72">
        <v>0.34077766699900303</v>
      </c>
      <c r="D418" s="53">
        <v>35.15</v>
      </c>
      <c r="E418" s="72">
        <v>0.35123657257057211</v>
      </c>
      <c r="F418" s="52">
        <v>33.1</v>
      </c>
      <c r="G418" s="72">
        <v>0.33075193604796399</v>
      </c>
      <c r="H418" s="65">
        <f t="shared" si="37"/>
        <v>-6.1251467567300742E-3</v>
      </c>
      <c r="I418" s="65">
        <f t="shared" si="38"/>
        <v>0.26875549824610462</v>
      </c>
      <c r="J418" s="65">
        <f t="shared" si="39"/>
        <v>0.20464320976957012</v>
      </c>
      <c r="K418" s="82">
        <f t="shared" si="40"/>
        <v>0.75</v>
      </c>
      <c r="L418" s="60">
        <f t="shared" si="41"/>
        <v>-6.1388045071621173E-3</v>
      </c>
      <c r="M418" s="60"/>
      <c r="N418" s="60"/>
      <c r="O418" s="60">
        <f t="shared" si="42"/>
        <v>-6.5220704749653947E-3</v>
      </c>
    </row>
    <row r="419" spans="1:15" x14ac:dyDescent="0.25">
      <c r="A419" s="51">
        <v>44294</v>
      </c>
      <c r="B419" s="52">
        <v>34.39</v>
      </c>
      <c r="C419" s="72">
        <v>0.34287606872626952</v>
      </c>
      <c r="D419" s="53">
        <v>35.380000000000003</v>
      </c>
      <c r="E419" s="72">
        <v>0.35353605869590521</v>
      </c>
      <c r="F419" s="52">
        <v>33.31</v>
      </c>
      <c r="G419" s="72">
        <v>0.33285150127644431</v>
      </c>
      <c r="H419" s="65">
        <f t="shared" si="37"/>
        <v>-5.2204294893583667E-3</v>
      </c>
      <c r="I419" s="65">
        <f t="shared" si="38"/>
        <v>0.2733231222354367</v>
      </c>
      <c r="J419" s="65">
        <f t="shared" si="39"/>
        <v>0.20670117903635615</v>
      </c>
      <c r="K419" s="82">
        <f t="shared" si="40"/>
        <v>0.9</v>
      </c>
      <c r="L419" s="60">
        <f t="shared" si="41"/>
        <v>-5.2340874263269652E-3</v>
      </c>
      <c r="M419" s="60"/>
      <c r="N419" s="60"/>
      <c r="O419" s="60">
        <f t="shared" si="42"/>
        <v>2.5470510444606104E-3</v>
      </c>
    </row>
    <row r="420" spans="1:15" x14ac:dyDescent="0.25">
      <c r="A420" s="51">
        <v>44293</v>
      </c>
      <c r="B420" s="52">
        <v>34.57</v>
      </c>
      <c r="C420" s="72">
        <v>0.34467541691137299</v>
      </c>
      <c r="D420" s="53">
        <v>35.29</v>
      </c>
      <c r="E420" s="72">
        <v>0.35263793687567802</v>
      </c>
      <c r="F420" s="52">
        <v>32.42</v>
      </c>
      <c r="G420" s="72">
        <v>0.32395924946187249</v>
      </c>
      <c r="H420" s="65">
        <f t="shared" si="37"/>
        <v>-1.7341044807975259E-3</v>
      </c>
      <c r="I420" s="65">
        <f t="shared" si="38"/>
        <v>0.27302908106700224</v>
      </c>
      <c r="J420" s="65">
        <f t="shared" si="39"/>
        <v>0.2210220914627978</v>
      </c>
      <c r="K420" s="82">
        <f t="shared" si="40"/>
        <v>0.9</v>
      </c>
      <c r="L420" s="60">
        <f t="shared" si="41"/>
        <v>-1.7477626043083255E-3</v>
      </c>
      <c r="M420" s="60"/>
      <c r="N420" s="60"/>
      <c r="O420" s="60">
        <f t="shared" si="42"/>
        <v>-3.1121824525500007E-3</v>
      </c>
    </row>
    <row r="421" spans="1:15" x14ac:dyDescent="0.25">
      <c r="A421" s="51">
        <v>44292</v>
      </c>
      <c r="B421" s="52">
        <v>34.630000000000003</v>
      </c>
      <c r="C421" s="72">
        <v>0.345278354458042</v>
      </c>
      <c r="D421" s="53">
        <v>35.4</v>
      </c>
      <c r="E421" s="72">
        <v>0.35373833055000409</v>
      </c>
      <c r="F421" s="52">
        <v>33.700000000000003</v>
      </c>
      <c r="G421" s="72">
        <v>0.33675089659703777</v>
      </c>
      <c r="H421" s="65">
        <f t="shared" si="37"/>
        <v>-6.3327787922022169E-3</v>
      </c>
      <c r="I421" s="65">
        <f t="shared" si="38"/>
        <v>0.27890418459339861</v>
      </c>
      <c r="J421" s="65">
        <f t="shared" si="39"/>
        <v>0.25715712535363749</v>
      </c>
      <c r="K421" s="82">
        <f t="shared" si="40"/>
        <v>0.95</v>
      </c>
      <c r="L421" s="60">
        <f t="shared" si="41"/>
        <v>-6.3464371022599548E-3</v>
      </c>
      <c r="M421" s="60"/>
      <c r="N421" s="60"/>
      <c r="O421" s="60">
        <f t="shared" si="42"/>
        <v>1.4134277971469427E-3</v>
      </c>
    </row>
    <row r="422" spans="1:15" x14ac:dyDescent="0.25">
      <c r="A422" s="51">
        <v>44291</v>
      </c>
      <c r="B422" s="52">
        <v>34.85</v>
      </c>
      <c r="C422" s="72">
        <v>0.34747660998429292</v>
      </c>
      <c r="D422" s="53">
        <v>35.35</v>
      </c>
      <c r="E422" s="72">
        <v>0.35323990897113428</v>
      </c>
      <c r="F422" s="52">
        <v>33.9</v>
      </c>
      <c r="G422" s="72">
        <v>0.33875057748575532</v>
      </c>
      <c r="H422" s="65">
        <f t="shared" si="37"/>
        <v>2.3223104611011697E-2</v>
      </c>
      <c r="I422" s="65">
        <f t="shared" si="38"/>
        <v>0.27955366117189423</v>
      </c>
      <c r="J422" s="65">
        <f t="shared" si="39"/>
        <v>0.2572074322010508</v>
      </c>
      <c r="K422" s="82">
        <f t="shared" si="40"/>
        <v>1</v>
      </c>
      <c r="L422" s="60">
        <f t="shared" si="41"/>
        <v>2.3154810262342587E-2</v>
      </c>
      <c r="M422" s="60"/>
      <c r="N422" s="60"/>
      <c r="O422" s="60">
        <f t="shared" si="42"/>
        <v>9.6646573760075984E-3</v>
      </c>
    </row>
    <row r="423" spans="1:15" x14ac:dyDescent="0.25">
      <c r="A423" s="51">
        <v>44286</v>
      </c>
      <c r="B423" s="52">
        <v>34.049999999999997</v>
      </c>
      <c r="C423" s="72">
        <v>0.33952328916814639</v>
      </c>
      <c r="D423" s="53">
        <v>35.01</v>
      </c>
      <c r="E423" s="72">
        <v>0.34984839670100271</v>
      </c>
      <c r="F423" s="52">
        <v>33.9</v>
      </c>
      <c r="G423" s="72">
        <v>0.33875637384073098</v>
      </c>
      <c r="H423" s="65">
        <f t="shared" si="37"/>
        <v>-7.0237338793076804E-3</v>
      </c>
      <c r="I423" s="65">
        <f t="shared" si="38"/>
        <v>0.26279471895684625</v>
      </c>
      <c r="J423" s="65">
        <f t="shared" si="39"/>
        <v>0.12711102475378291</v>
      </c>
      <c r="K423" s="82">
        <f t="shared" si="40"/>
        <v>0.7</v>
      </c>
      <c r="L423" s="60">
        <f t="shared" si="41"/>
        <v>-7.0373933087536722E-3</v>
      </c>
      <c r="M423" s="60"/>
      <c r="N423" s="60"/>
      <c r="O423" s="60">
        <f t="shared" si="42"/>
        <v>-2.2824546285495932E-3</v>
      </c>
    </row>
    <row r="424" spans="1:15" x14ac:dyDescent="0.25">
      <c r="A424" s="51">
        <v>44285</v>
      </c>
      <c r="B424" s="52">
        <v>34.29</v>
      </c>
      <c r="C424" s="72">
        <v>0.34192107527762983</v>
      </c>
      <c r="D424" s="53">
        <v>35.090000000000003</v>
      </c>
      <c r="E424" s="72">
        <v>0.35064902176182122</v>
      </c>
      <c r="F424" s="52">
        <v>34</v>
      </c>
      <c r="G424" s="72">
        <v>0.33975681789404161</v>
      </c>
      <c r="H424" s="65">
        <f t="shared" si="37"/>
        <v>-1.1020993222103131E-2</v>
      </c>
      <c r="I424" s="65">
        <f t="shared" si="38"/>
        <v>0.26507100607166789</v>
      </c>
      <c r="J424" s="65">
        <f t="shared" si="39"/>
        <v>0.12173278522253304</v>
      </c>
      <c r="K424" s="82">
        <f t="shared" si="40"/>
        <v>0.85</v>
      </c>
      <c r="L424" s="60">
        <f t="shared" si="41"/>
        <v>-1.1034652838131711E-2</v>
      </c>
      <c r="M424" s="60"/>
      <c r="N424" s="60"/>
      <c r="O424" s="60">
        <f t="shared" si="42"/>
        <v>-1.5832957265181059E-2</v>
      </c>
    </row>
    <row r="425" spans="1:15" x14ac:dyDescent="0.25">
      <c r="A425" s="51">
        <v>44284</v>
      </c>
      <c r="B425" s="52">
        <v>34.67</v>
      </c>
      <c r="C425" s="72">
        <v>0.34571494918588141</v>
      </c>
      <c r="D425" s="53">
        <v>35.65</v>
      </c>
      <c r="E425" s="72">
        <v>0.35624623555823248</v>
      </c>
      <c r="F425" s="52">
        <v>34.31</v>
      </c>
      <c r="G425" s="72">
        <v>0.3428557739692274</v>
      </c>
      <c r="H425" s="65">
        <f t="shared" si="37"/>
        <v>-1.857461603882711E-2</v>
      </c>
      <c r="I425" s="65">
        <f t="shared" si="38"/>
        <v>0.26377002675737243</v>
      </c>
      <c r="J425" s="65">
        <f t="shared" si="39"/>
        <v>0.22210699525870159</v>
      </c>
      <c r="K425" s="82">
        <f t="shared" si="40"/>
        <v>0.85</v>
      </c>
      <c r="L425" s="60">
        <f t="shared" si="41"/>
        <v>-1.8615596006458318E-2</v>
      </c>
      <c r="M425" s="60"/>
      <c r="N425" s="60"/>
      <c r="O425" s="60">
        <f t="shared" si="42"/>
        <v>-1.5586176917244962E-2</v>
      </c>
    </row>
    <row r="426" spans="1:15" x14ac:dyDescent="0.25">
      <c r="A426" s="51">
        <v>44281</v>
      </c>
      <c r="B426" s="52">
        <v>35.32</v>
      </c>
      <c r="C426" s="72">
        <v>0.35221091455501669</v>
      </c>
      <c r="D426" s="53">
        <v>36.21</v>
      </c>
      <c r="E426" s="72">
        <v>0.36184596430588117</v>
      </c>
      <c r="F426" s="52">
        <v>34.74</v>
      </c>
      <c r="G426" s="72">
        <v>0.34715627727109388</v>
      </c>
      <c r="H426" s="65">
        <f t="shared" si="37"/>
        <v>-2.830856352945208E-4</v>
      </c>
      <c r="I426" s="65">
        <f t="shared" si="38"/>
        <v>0.25984509230575659</v>
      </c>
      <c r="J426" s="65">
        <f t="shared" si="39"/>
        <v>0.20285674651570623</v>
      </c>
      <c r="K426" s="82">
        <f t="shared" si="40"/>
        <v>0.7</v>
      </c>
      <c r="L426" s="60">
        <f t="shared" si="41"/>
        <v>-2.9674599770413259E-4</v>
      </c>
      <c r="M426" s="60"/>
      <c r="N426" s="60"/>
      <c r="O426" s="60">
        <f t="shared" si="42"/>
        <v>-2.4824174932551956E-3</v>
      </c>
    </row>
    <row r="427" spans="1:15" x14ac:dyDescent="0.25">
      <c r="A427" s="51">
        <v>44280</v>
      </c>
      <c r="B427" s="52">
        <v>35.33</v>
      </c>
      <c r="C427" s="72">
        <v>0.35231544724331998</v>
      </c>
      <c r="D427" s="53">
        <v>36.299999999999997</v>
      </c>
      <c r="E427" s="72">
        <v>0.36274657431109769</v>
      </c>
      <c r="F427" s="52">
        <v>34.799999999999997</v>
      </c>
      <c r="G427" s="72">
        <v>0.34775704644700273</v>
      </c>
      <c r="H427" s="65">
        <f t="shared" si="37"/>
        <v>-1.8786477085056177E-2</v>
      </c>
      <c r="I427" s="65">
        <f t="shared" si="38"/>
        <v>0.26362973677307566</v>
      </c>
      <c r="J427" s="65">
        <f t="shared" si="39"/>
        <v>0.20362785751286588</v>
      </c>
      <c r="K427" s="82">
        <f t="shared" si="40"/>
        <v>0.85</v>
      </c>
      <c r="L427" s="60">
        <f t="shared" si="41"/>
        <v>-1.8813798369704614E-2</v>
      </c>
      <c r="M427" s="60"/>
      <c r="N427" s="60"/>
      <c r="O427" s="60">
        <f t="shared" si="42"/>
        <v>-2.1259999426849339E-2</v>
      </c>
    </row>
    <row r="428" spans="1:15" x14ac:dyDescent="0.25">
      <c r="A428" s="51">
        <v>44278</v>
      </c>
      <c r="B428" s="52">
        <v>36</v>
      </c>
      <c r="C428" s="72">
        <v>0.35900658451954859</v>
      </c>
      <c r="D428" s="53">
        <v>37.08</v>
      </c>
      <c r="E428" s="72">
        <v>0.37054366499887059</v>
      </c>
      <c r="F428" s="52">
        <v>35.32</v>
      </c>
      <c r="G428" s="72">
        <v>0.35295583192449059</v>
      </c>
      <c r="H428" s="65">
        <f t="shared" si="37"/>
        <v>-1.132452373123195E-2</v>
      </c>
      <c r="I428" s="65">
        <f t="shared" si="38"/>
        <v>0.25708958455529141</v>
      </c>
      <c r="J428" s="65">
        <f t="shared" si="39"/>
        <v>0.15914816732847595</v>
      </c>
      <c r="K428" s="82">
        <f t="shared" si="40"/>
        <v>0.7</v>
      </c>
      <c r="L428" s="60">
        <f t="shared" si="41"/>
        <v>-1.1338184653481081E-2</v>
      </c>
      <c r="M428" s="60"/>
      <c r="N428" s="60"/>
      <c r="O428" s="60">
        <f t="shared" si="42"/>
        <v>-1.259563751248928E-2</v>
      </c>
    </row>
    <row r="429" spans="1:15" x14ac:dyDescent="0.25">
      <c r="A429" s="51">
        <v>44277</v>
      </c>
      <c r="B429" s="52">
        <v>36.409999999999997</v>
      </c>
      <c r="C429" s="72">
        <v>0.36310023087116289</v>
      </c>
      <c r="D429" s="53">
        <v>37.549999999999997</v>
      </c>
      <c r="E429" s="72">
        <v>0.37524170006262808</v>
      </c>
      <c r="F429" s="52">
        <v>35.299999999999997</v>
      </c>
      <c r="G429" s="72">
        <v>0.35275717742239071</v>
      </c>
      <c r="H429" s="65">
        <f t="shared" si="37"/>
        <v>1.3549218753342984E-2</v>
      </c>
      <c r="I429" s="65">
        <f t="shared" si="38"/>
        <v>0.26107910423898084</v>
      </c>
      <c r="J429" s="65">
        <f t="shared" si="39"/>
        <v>9.6761284745659648E-2</v>
      </c>
      <c r="K429" s="82">
        <f t="shared" si="40"/>
        <v>0.8</v>
      </c>
      <c r="L429" s="60">
        <f t="shared" si="41"/>
        <v>1.3508234866835186E-2</v>
      </c>
      <c r="M429" s="60"/>
      <c r="N429" s="60"/>
      <c r="O429" s="60">
        <f t="shared" si="42"/>
        <v>1.6107730815932732E-2</v>
      </c>
    </row>
    <row r="430" spans="1:15" x14ac:dyDescent="0.25">
      <c r="A430" s="51">
        <v>44274</v>
      </c>
      <c r="B430" s="52">
        <v>35.92</v>
      </c>
      <c r="C430" s="72">
        <v>0.35822836689527038</v>
      </c>
      <c r="D430" s="53">
        <v>36.950000000000003</v>
      </c>
      <c r="E430" s="72">
        <v>0.36924961840943471</v>
      </c>
      <c r="F430" s="52">
        <v>34.450000000000003</v>
      </c>
      <c r="G430" s="72">
        <v>0.34426655897713199</v>
      </c>
      <c r="H430" s="65">
        <f t="shared" si="37"/>
        <v>2.7878468014332076E-3</v>
      </c>
      <c r="I430" s="65">
        <f t="shared" si="38"/>
        <v>0.25667084207905327</v>
      </c>
      <c r="J430" s="65">
        <f t="shared" si="39"/>
        <v>0.10878140502080466</v>
      </c>
      <c r="K430" s="82">
        <f t="shared" si="40"/>
        <v>0.75</v>
      </c>
      <c r="L430" s="60">
        <f t="shared" si="41"/>
        <v>2.7741851326599921E-3</v>
      </c>
      <c r="M430" s="60"/>
      <c r="N430" s="60"/>
      <c r="O430" s="60">
        <f t="shared" si="42"/>
        <v>9.2442202620660191E-3</v>
      </c>
    </row>
    <row r="431" spans="1:15" x14ac:dyDescent="0.25">
      <c r="A431" s="51">
        <v>44273</v>
      </c>
      <c r="B431" s="52">
        <v>35.82</v>
      </c>
      <c r="C431" s="72">
        <v>0.35723595229312682</v>
      </c>
      <c r="D431" s="53">
        <v>36.61</v>
      </c>
      <c r="E431" s="72">
        <v>0.36585317439946341</v>
      </c>
      <c r="F431" s="52">
        <v>33.92</v>
      </c>
      <c r="G431" s="72">
        <v>0.33897131045151052</v>
      </c>
      <c r="H431" s="65">
        <f t="shared" si="37"/>
        <v>5.5850322591123613E-4</v>
      </c>
      <c r="I431" s="65">
        <f t="shared" si="38"/>
        <v>0.26189499434133795</v>
      </c>
      <c r="J431" s="65">
        <f t="shared" si="39"/>
        <v>0.1478700735751986</v>
      </c>
      <c r="K431" s="82">
        <f t="shared" si="40"/>
        <v>0.85</v>
      </c>
      <c r="L431" s="60">
        <f t="shared" si="41"/>
        <v>5.4484137049452689E-4</v>
      </c>
      <c r="M431" s="60"/>
      <c r="N431" s="60"/>
      <c r="O431" s="60">
        <f t="shared" si="42"/>
        <v>-7.347971556248333E-3</v>
      </c>
    </row>
    <row r="432" spans="1:15" x14ac:dyDescent="0.25">
      <c r="A432" s="51">
        <v>44272</v>
      </c>
      <c r="B432" s="52">
        <v>35.799999999999997</v>
      </c>
      <c r="C432" s="72">
        <v>0.35704136838078582</v>
      </c>
      <c r="D432" s="53">
        <v>36.880000000000003</v>
      </c>
      <c r="E432" s="72">
        <v>0.36855261536776679</v>
      </c>
      <c r="F432" s="52">
        <v>34.049999999999997</v>
      </c>
      <c r="G432" s="72">
        <v>0.34027159851606448</v>
      </c>
      <c r="H432" s="65">
        <f t="shared" si="37"/>
        <v>1.1236073266925752E-2</v>
      </c>
      <c r="I432" s="65">
        <f t="shared" si="38"/>
        <v>0.26982745756857912</v>
      </c>
      <c r="J432" s="65">
        <f t="shared" si="39"/>
        <v>0.15102728270747551</v>
      </c>
      <c r="K432" s="82">
        <f t="shared" si="40"/>
        <v>1</v>
      </c>
      <c r="L432" s="60">
        <f t="shared" si="41"/>
        <v>1.1222411224860051E-2</v>
      </c>
      <c r="M432" s="60"/>
      <c r="N432" s="60"/>
      <c r="O432" s="60">
        <f t="shared" si="42"/>
        <v>1.5851657417588164E-2</v>
      </c>
    </row>
    <row r="433" spans="1:15" x14ac:dyDescent="0.25">
      <c r="A433" s="51">
        <v>44271</v>
      </c>
      <c r="B433" s="52">
        <v>35.4</v>
      </c>
      <c r="C433" s="72">
        <v>0.35305690279390672</v>
      </c>
      <c r="D433" s="53">
        <v>36.299999999999997</v>
      </c>
      <c r="E433" s="72">
        <v>0.36275774739471928</v>
      </c>
      <c r="F433" s="52">
        <v>34.25</v>
      </c>
      <c r="G433" s="72">
        <v>0.34227142832697338</v>
      </c>
      <c r="H433" s="65">
        <f t="shared" si="37"/>
        <v>1.2507269352393961E-2</v>
      </c>
      <c r="I433" s="65">
        <f t="shared" si="38"/>
        <v>0.26749594835777102</v>
      </c>
      <c r="J433" s="65">
        <f t="shared" si="39"/>
        <v>0.46619292053685224</v>
      </c>
      <c r="K433" s="82">
        <f t="shared" si="40"/>
        <v>1</v>
      </c>
      <c r="L433" s="60">
        <f t="shared" si="41"/>
        <v>1.2493607123674592E-2</v>
      </c>
      <c r="M433" s="60"/>
      <c r="N433" s="60"/>
      <c r="O433" s="60">
        <f t="shared" si="42"/>
        <v>9.6886571037493388E-3</v>
      </c>
    </row>
    <row r="434" spans="1:15" x14ac:dyDescent="0.25">
      <c r="A434" s="51">
        <v>44270</v>
      </c>
      <c r="B434" s="52">
        <v>34.96</v>
      </c>
      <c r="C434" s="72">
        <v>0.34867338852911439</v>
      </c>
      <c r="D434" s="53">
        <v>35.950000000000003</v>
      </c>
      <c r="E434" s="72">
        <v>0.35926131268951461</v>
      </c>
      <c r="F434" s="52">
        <v>33.65</v>
      </c>
      <c r="G434" s="72">
        <v>0.33627658336584598</v>
      </c>
      <c r="H434" s="65">
        <f t="shared" si="37"/>
        <v>1.6438726343159939E-2</v>
      </c>
      <c r="I434" s="65">
        <f t="shared" si="38"/>
        <v>0.26637818680618625</v>
      </c>
      <c r="J434" s="65">
        <f t="shared" si="39"/>
        <v>0.46735317342588067</v>
      </c>
      <c r="K434" s="82">
        <f t="shared" si="40"/>
        <v>1</v>
      </c>
      <c r="L434" s="60">
        <f t="shared" si="41"/>
        <v>1.6397738537026297E-2</v>
      </c>
      <c r="M434" s="60"/>
      <c r="N434" s="60"/>
      <c r="O434" s="60">
        <f t="shared" si="42"/>
        <v>1.7962874226760638E-2</v>
      </c>
    </row>
    <row r="435" spans="1:15" x14ac:dyDescent="0.25">
      <c r="A435" s="51">
        <v>44267</v>
      </c>
      <c r="B435" s="52">
        <v>34.39</v>
      </c>
      <c r="C435" s="72">
        <v>0.34300255495894311</v>
      </c>
      <c r="D435" s="53">
        <v>35.31</v>
      </c>
      <c r="E435" s="72">
        <v>0.35286918488249119</v>
      </c>
      <c r="F435" s="52">
        <v>32.75</v>
      </c>
      <c r="G435" s="72">
        <v>0.32728591914193111</v>
      </c>
      <c r="H435" s="65">
        <f t="shared" si="37"/>
        <v>2.5921922694955898E-2</v>
      </c>
      <c r="I435" s="65">
        <f t="shared" si="38"/>
        <v>0.25772283746065011</v>
      </c>
      <c r="J435" s="65">
        <f t="shared" si="39"/>
        <v>0.43258507649704364</v>
      </c>
      <c r="K435" s="82">
        <f t="shared" si="40"/>
        <v>1</v>
      </c>
      <c r="L435" s="60">
        <f t="shared" si="41"/>
        <v>2.5908259719569459E-2</v>
      </c>
      <c r="M435" s="60"/>
      <c r="N435" s="60"/>
      <c r="O435" s="60">
        <f t="shared" si="42"/>
        <v>1.8868484304382954E-2</v>
      </c>
    </row>
    <row r="436" spans="1:15" x14ac:dyDescent="0.25">
      <c r="A436" s="51">
        <v>44266</v>
      </c>
      <c r="B436" s="52">
        <v>33.51</v>
      </c>
      <c r="C436" s="72">
        <v>0.33423008607733301</v>
      </c>
      <c r="D436" s="53">
        <v>34.65</v>
      </c>
      <c r="E436" s="72">
        <v>0.34627468428077618</v>
      </c>
      <c r="F436" s="52">
        <v>32.049999999999997</v>
      </c>
      <c r="G436" s="72">
        <v>0.32029159108799071</v>
      </c>
      <c r="H436" s="65">
        <f t="shared" si="37"/>
        <v>0</v>
      </c>
      <c r="I436" s="65">
        <f t="shared" si="38"/>
        <v>0.23130899424753751</v>
      </c>
      <c r="J436" s="65">
        <f t="shared" si="39"/>
        <v>0.3083145729433987</v>
      </c>
      <c r="K436" s="82">
        <f t="shared" si="40"/>
        <v>1</v>
      </c>
      <c r="L436" s="60">
        <f t="shared" si="41"/>
        <v>-1.3663162065540959E-5</v>
      </c>
      <c r="M436" s="60"/>
      <c r="N436" s="60"/>
      <c r="O436" s="60">
        <f t="shared" si="42"/>
        <v>7.531901191737334E-3</v>
      </c>
    </row>
    <row r="437" spans="1:15" x14ac:dyDescent="0.25">
      <c r="A437" s="51">
        <v>44265</v>
      </c>
      <c r="B437" s="52">
        <v>33.51</v>
      </c>
      <c r="C437" s="72">
        <v>0.33423465274836378</v>
      </c>
      <c r="D437" s="53">
        <v>34.39</v>
      </c>
      <c r="E437" s="72">
        <v>0.34367755117406878</v>
      </c>
      <c r="F437" s="52">
        <v>32.1</v>
      </c>
      <c r="G437" s="72">
        <v>0.3207923638466883</v>
      </c>
      <c r="H437" s="65">
        <f t="shared" si="37"/>
        <v>-4.7496181009732227E-2</v>
      </c>
      <c r="I437" s="65">
        <f t="shared" si="38"/>
        <v>0.23048728595421047</v>
      </c>
      <c r="J437" s="65">
        <f t="shared" si="39"/>
        <v>0.32478528071524054</v>
      </c>
      <c r="K437" s="82">
        <f t="shared" si="40"/>
        <v>1</v>
      </c>
      <c r="L437" s="60">
        <f t="shared" si="41"/>
        <v>-4.7509844358482621E-2</v>
      </c>
      <c r="M437" s="60"/>
      <c r="N437" s="60"/>
      <c r="O437" s="60">
        <f t="shared" si="42"/>
        <v>-2.4983352525549233E-2</v>
      </c>
    </row>
    <row r="438" spans="1:15" x14ac:dyDescent="0.25">
      <c r="A438" s="51">
        <v>44264</v>
      </c>
      <c r="B438" s="52">
        <v>35.14</v>
      </c>
      <c r="C438" s="72">
        <v>0.3504973492922337</v>
      </c>
      <c r="D438" s="53">
        <v>35.26</v>
      </c>
      <c r="E438" s="72">
        <v>0.35237312962886908</v>
      </c>
      <c r="F438" s="52">
        <v>32.6</v>
      </c>
      <c r="G438" s="72">
        <v>0.32579024463701461</v>
      </c>
      <c r="H438" s="65">
        <f t="shared" si="37"/>
        <v>-1.5810606026642315E-2</v>
      </c>
      <c r="I438" s="65">
        <f t="shared" si="38"/>
        <v>0.16842075249981669</v>
      </c>
      <c r="J438" s="65">
        <f t="shared" si="39"/>
        <v>0.15567821357639042</v>
      </c>
      <c r="K438" s="82">
        <f t="shared" si="40"/>
        <v>1</v>
      </c>
      <c r="L438" s="60">
        <f t="shared" si="41"/>
        <v>-1.5824269562082459E-2</v>
      </c>
      <c r="M438" s="60"/>
      <c r="N438" s="60"/>
      <c r="O438" s="60">
        <f t="shared" si="42"/>
        <v>-2.2989518224698718E-2</v>
      </c>
    </row>
    <row r="439" spans="1:15" x14ac:dyDescent="0.25">
      <c r="A439" s="51">
        <v>44263</v>
      </c>
      <c r="B439" s="52">
        <v>35.700000000000003</v>
      </c>
      <c r="C439" s="72">
        <v>0.35608782980583992</v>
      </c>
      <c r="D439" s="53">
        <v>36.08</v>
      </c>
      <c r="E439" s="72">
        <v>0.36056908760485579</v>
      </c>
      <c r="F439" s="52">
        <v>33.049999999999997</v>
      </c>
      <c r="G439" s="72">
        <v>0.33028847963803998</v>
      </c>
      <c r="H439" s="65">
        <f t="shared" si="37"/>
        <v>-1.3995803544232435E-3</v>
      </c>
      <c r="I439" s="65">
        <f t="shared" si="38"/>
        <v>0.16190993145176188</v>
      </c>
      <c r="J439" s="65">
        <f t="shared" si="39"/>
        <v>0.147013872659186</v>
      </c>
      <c r="K439" s="82">
        <f t="shared" si="40"/>
        <v>1</v>
      </c>
      <c r="L439" s="60">
        <f t="shared" si="41"/>
        <v>-1.4405720809318738E-3</v>
      </c>
      <c r="M439" s="60"/>
      <c r="N439" s="60"/>
      <c r="O439" s="60">
        <f t="shared" si="42"/>
        <v>0</v>
      </c>
    </row>
    <row r="440" spans="1:15" x14ac:dyDescent="0.25">
      <c r="A440" s="51">
        <v>44260</v>
      </c>
      <c r="B440" s="52">
        <v>35.75</v>
      </c>
      <c r="C440" s="72">
        <v>0.35660116965456928</v>
      </c>
      <c r="D440" s="53">
        <v>36.08</v>
      </c>
      <c r="E440" s="72">
        <v>0.36057278974892532</v>
      </c>
      <c r="F440" s="52">
        <v>33.5</v>
      </c>
      <c r="G440" s="72">
        <v>0.33478903704514962</v>
      </c>
      <c r="H440" s="65">
        <f t="shared" si="37"/>
        <v>-1.7468903949959647E-2</v>
      </c>
      <c r="I440" s="65">
        <f t="shared" si="38"/>
        <v>0.16188107678358779</v>
      </c>
      <c r="J440" s="65">
        <f t="shared" si="39"/>
        <v>0.15014930475168473</v>
      </c>
      <c r="K440" s="82">
        <f t="shared" si="40"/>
        <v>1</v>
      </c>
      <c r="L440" s="60">
        <f t="shared" si="41"/>
        <v>-1.7482568232209398E-2</v>
      </c>
      <c r="M440" s="60"/>
      <c r="N440" s="60"/>
      <c r="O440" s="60">
        <f t="shared" si="42"/>
        <v>-2.4638530764555851E-2</v>
      </c>
    </row>
    <row r="441" spans="1:15" x14ac:dyDescent="0.25">
      <c r="A441" s="51">
        <v>44259</v>
      </c>
      <c r="B441" s="52">
        <v>36.380000000000003</v>
      </c>
      <c r="C441" s="72">
        <v>0.36289028872825663</v>
      </c>
      <c r="D441" s="53">
        <v>36.979999999999997</v>
      </c>
      <c r="E441" s="72">
        <v>0.36956838693558491</v>
      </c>
      <c r="F441" s="52">
        <v>33.799999999999997</v>
      </c>
      <c r="G441" s="72">
        <v>0.33778830390542908</v>
      </c>
      <c r="H441" s="65">
        <f t="shared" si="37"/>
        <v>4.4077206347089603E-3</v>
      </c>
      <c r="I441" s="65">
        <f t="shared" si="38"/>
        <v>0.15234489083899105</v>
      </c>
      <c r="J441" s="65">
        <f t="shared" si="39"/>
        <v>0.13332241472499107</v>
      </c>
      <c r="K441" s="82">
        <f t="shared" si="40"/>
        <v>1</v>
      </c>
      <c r="L441" s="60">
        <f t="shared" si="41"/>
        <v>4.3940561657440595E-3</v>
      </c>
      <c r="M441" s="60"/>
      <c r="N441" s="60"/>
      <c r="O441" s="60">
        <f t="shared" si="42"/>
        <v>-5.4068668524576158E-4</v>
      </c>
    </row>
    <row r="442" spans="1:15" x14ac:dyDescent="0.25">
      <c r="A442" s="51">
        <v>44258</v>
      </c>
      <c r="B442" s="52">
        <v>36.22</v>
      </c>
      <c r="C442" s="72">
        <v>0.36129922658577251</v>
      </c>
      <c r="D442" s="53">
        <v>37</v>
      </c>
      <c r="E442" s="72">
        <v>0.36976952721249079</v>
      </c>
      <c r="F442" s="52">
        <v>33.549999999999997</v>
      </c>
      <c r="G442" s="72">
        <v>0.33529101724267751</v>
      </c>
      <c r="H442" s="65">
        <f t="shared" si="37"/>
        <v>-1.930768769711623E-3</v>
      </c>
      <c r="I442" s="65">
        <f t="shared" si="38"/>
        <v>0.15032463227528031</v>
      </c>
      <c r="J442" s="65">
        <f t="shared" si="39"/>
        <v>0.15462802751403182</v>
      </c>
      <c r="K442" s="82">
        <f t="shared" si="40"/>
        <v>0.95</v>
      </c>
      <c r="L442" s="60">
        <f t="shared" si="41"/>
        <v>-1.9444334253967107E-3</v>
      </c>
      <c r="M442" s="60"/>
      <c r="N442" s="60"/>
      <c r="O442" s="60">
        <f t="shared" si="42"/>
        <v>1.0816658707409699E-3</v>
      </c>
    </row>
    <row r="443" spans="1:15" x14ac:dyDescent="0.25">
      <c r="A443" s="51">
        <v>44257</v>
      </c>
      <c r="B443" s="52">
        <v>36.29</v>
      </c>
      <c r="C443" s="72">
        <v>0.36200243232533041</v>
      </c>
      <c r="D443" s="53">
        <v>36.96</v>
      </c>
      <c r="E443" s="72">
        <v>0.36937104055362951</v>
      </c>
      <c r="F443" s="52">
        <v>34.450000000000003</v>
      </c>
      <c r="G443" s="72">
        <v>0.34428658947707069</v>
      </c>
      <c r="H443" s="65">
        <f t="shared" si="37"/>
        <v>-1.3411997951196079E-2</v>
      </c>
      <c r="I443" s="65">
        <f t="shared" si="38"/>
        <v>0.15037422045509005</v>
      </c>
      <c r="J443" s="65">
        <f t="shared" si="39"/>
        <v>0.16256812977227436</v>
      </c>
      <c r="K443" s="82">
        <f t="shared" si="40"/>
        <v>1</v>
      </c>
      <c r="L443" s="60">
        <f t="shared" si="41"/>
        <v>-1.3425662793606578E-2</v>
      </c>
      <c r="M443" s="60"/>
      <c r="N443" s="60"/>
      <c r="O443" s="60">
        <f t="shared" si="42"/>
        <v>-2.2208270587914171E-2</v>
      </c>
    </row>
    <row r="444" spans="1:15" x14ac:dyDescent="0.25">
      <c r="A444" s="51">
        <v>44256</v>
      </c>
      <c r="B444" s="52">
        <v>36.78</v>
      </c>
      <c r="C444" s="72">
        <v>0.36689532659196511</v>
      </c>
      <c r="D444" s="53">
        <v>37.79</v>
      </c>
      <c r="E444" s="72">
        <v>0.37766719145732081</v>
      </c>
      <c r="F444" s="52">
        <v>35.049999999999997</v>
      </c>
      <c r="G444" s="72">
        <v>0.35028407146279689</v>
      </c>
      <c r="H444" s="65">
        <f t="shared" si="37"/>
        <v>0</v>
      </c>
      <c r="I444" s="65">
        <f t="shared" si="38"/>
        <v>0.14464366616854379</v>
      </c>
      <c r="J444" s="65">
        <f t="shared" si="39"/>
        <v>0.18402829290544848</v>
      </c>
      <c r="K444" s="82">
        <f t="shared" si="40"/>
        <v>1</v>
      </c>
      <c r="L444" s="60">
        <f t="shared" si="41"/>
        <v>-4.0995647634192283E-5</v>
      </c>
      <c r="M444" s="60"/>
      <c r="N444" s="60"/>
      <c r="O444" s="60">
        <f t="shared" si="42"/>
        <v>4.2429127560516021E-3</v>
      </c>
    </row>
    <row r="445" spans="1:15" x14ac:dyDescent="0.25">
      <c r="A445" s="51">
        <v>44253</v>
      </c>
      <c r="B445" s="52">
        <v>36.78</v>
      </c>
      <c r="C445" s="72">
        <v>0.36691036801180699</v>
      </c>
      <c r="D445" s="53">
        <v>37.630000000000003</v>
      </c>
      <c r="E445" s="72">
        <v>0.37607203852459298</v>
      </c>
      <c r="F445" s="52">
        <v>34.85</v>
      </c>
      <c r="G445" s="72">
        <v>0.3482888796859438</v>
      </c>
      <c r="H445" s="65">
        <f t="shared" si="37"/>
        <v>8.4642143555861589E-3</v>
      </c>
      <c r="I445" s="65">
        <f t="shared" si="38"/>
        <v>0.14464214492875696</v>
      </c>
      <c r="J445" s="65">
        <f t="shared" si="39"/>
        <v>0.18311067538409129</v>
      </c>
      <c r="K445" s="82">
        <f t="shared" si="40"/>
        <v>1</v>
      </c>
      <c r="L445" s="60">
        <f t="shared" si="41"/>
        <v>8.4505487662234133E-3</v>
      </c>
      <c r="M445" s="60"/>
      <c r="N445" s="60"/>
      <c r="O445" s="60">
        <f t="shared" si="42"/>
        <v>-1.0047678395811383E-2</v>
      </c>
    </row>
    <row r="446" spans="1:15" x14ac:dyDescent="0.25">
      <c r="A446" s="51">
        <v>44252</v>
      </c>
      <c r="B446" s="52">
        <v>36.47</v>
      </c>
      <c r="C446" s="72">
        <v>0.36382283808899091</v>
      </c>
      <c r="D446" s="53">
        <v>38.01</v>
      </c>
      <c r="E446" s="72">
        <v>0.37987103663545257</v>
      </c>
      <c r="F446" s="52">
        <v>34.6</v>
      </c>
      <c r="G446" s="72">
        <v>0.34579157767920699</v>
      </c>
      <c r="H446" s="65">
        <f t="shared" si="37"/>
        <v>1.0751309626165887E-2</v>
      </c>
      <c r="I446" s="65">
        <f t="shared" si="38"/>
        <v>0.13893122486651396</v>
      </c>
      <c r="J446" s="65">
        <f t="shared" si="39"/>
        <v>0.21642131030787751</v>
      </c>
      <c r="K446" s="82">
        <f t="shared" si="40"/>
        <v>1</v>
      </c>
      <c r="L446" s="60">
        <f t="shared" si="41"/>
        <v>1.0737643850052379E-2</v>
      </c>
      <c r="M446" s="60"/>
      <c r="N446" s="60"/>
      <c r="O446" s="60">
        <f t="shared" si="42"/>
        <v>-2.6274318846114678E-3</v>
      </c>
    </row>
    <row r="447" spans="1:15" x14ac:dyDescent="0.25">
      <c r="A447" s="51">
        <v>44251</v>
      </c>
      <c r="B447" s="52">
        <v>36.08</v>
      </c>
      <c r="C447" s="72">
        <v>0.35993713700034158</v>
      </c>
      <c r="D447" s="53">
        <v>38.11</v>
      </c>
      <c r="E447" s="72">
        <v>0.38087173782835632</v>
      </c>
      <c r="F447" s="52">
        <v>34.299999999999997</v>
      </c>
      <c r="G447" s="72">
        <v>0.3427945580559596</v>
      </c>
      <c r="H447" s="65">
        <f t="shared" si="37"/>
        <v>9.1884260544061701E-3</v>
      </c>
      <c r="I447" s="65">
        <f t="shared" si="38"/>
        <v>0.12957879278524456</v>
      </c>
      <c r="J447" s="65">
        <f t="shared" si="39"/>
        <v>0.24137035926488445</v>
      </c>
      <c r="K447" s="82">
        <f t="shared" si="40"/>
        <v>1</v>
      </c>
      <c r="L447" s="60">
        <f t="shared" si="41"/>
        <v>9.1747600915363155E-3</v>
      </c>
      <c r="M447" s="60"/>
      <c r="N447" s="60"/>
      <c r="O447" s="60">
        <f t="shared" si="42"/>
        <v>8.4321975243712589E-3</v>
      </c>
    </row>
    <row r="448" spans="1:15" x14ac:dyDescent="0.25">
      <c r="A448" s="51">
        <v>44250</v>
      </c>
      <c r="B448" s="52">
        <v>35.75</v>
      </c>
      <c r="C448" s="72">
        <v>0.35664990297100058</v>
      </c>
      <c r="D448" s="53">
        <v>37.79</v>
      </c>
      <c r="E448" s="72">
        <v>0.37767494712055139</v>
      </c>
      <c r="F448" s="52">
        <v>34.1</v>
      </c>
      <c r="G448" s="72">
        <v>0.34079692238186837</v>
      </c>
      <c r="H448" s="65">
        <f t="shared" si="37"/>
        <v>-1.6643934839511782E-2</v>
      </c>
      <c r="I448" s="65">
        <f t="shared" si="38"/>
        <v>0.12061631489276657</v>
      </c>
      <c r="J448" s="65">
        <f t="shared" si="39"/>
        <v>0.22948070789633052</v>
      </c>
      <c r="K448" s="82">
        <f t="shared" si="40"/>
        <v>1</v>
      </c>
      <c r="L448" s="60">
        <f t="shared" si="41"/>
        <v>-1.6657600989142762E-2</v>
      </c>
      <c r="M448" s="60"/>
      <c r="N448" s="60"/>
      <c r="O448" s="60">
        <f t="shared" si="42"/>
        <v>-1.6533639979013096E-2</v>
      </c>
    </row>
    <row r="449" spans="1:15" x14ac:dyDescent="0.25">
      <c r="A449" s="51">
        <v>44249</v>
      </c>
      <c r="B449" s="52">
        <v>36.35</v>
      </c>
      <c r="C449" s="72">
        <v>0.36264059147499761</v>
      </c>
      <c r="D449" s="53">
        <v>38.42</v>
      </c>
      <c r="E449" s="72">
        <v>0.38397250943790151</v>
      </c>
      <c r="F449" s="52">
        <v>34.4</v>
      </c>
      <c r="G449" s="72">
        <v>0.3437963124587145</v>
      </c>
      <c r="H449" s="65">
        <f t="shared" si="37"/>
        <v>4.4113664038774661E-3</v>
      </c>
      <c r="I449" s="65">
        <f t="shared" si="38"/>
        <v>0.11121127637953374</v>
      </c>
      <c r="J449" s="65">
        <f t="shared" si="39"/>
        <v>0.22459770007007823</v>
      </c>
      <c r="K449" s="82">
        <f t="shared" si="40"/>
        <v>1</v>
      </c>
      <c r="L449" s="60">
        <f t="shared" si="41"/>
        <v>4.3703668343670439E-3</v>
      </c>
      <c r="M449" s="60"/>
      <c r="N449" s="60"/>
      <c r="O449" s="60">
        <f t="shared" si="42"/>
        <v>-4.6741191303745818E-3</v>
      </c>
    </row>
    <row r="450" spans="1:15" x14ac:dyDescent="0.25">
      <c r="A450" s="51">
        <v>44246</v>
      </c>
      <c r="B450" s="52">
        <v>36.19</v>
      </c>
      <c r="C450" s="72">
        <v>0.36105917725843922</v>
      </c>
      <c r="D450" s="53">
        <v>38.6</v>
      </c>
      <c r="E450" s="72">
        <v>0.3857754047301229</v>
      </c>
      <c r="F450" s="52">
        <v>34.799999999999997</v>
      </c>
      <c r="G450" s="72">
        <v>0.34779751514529211</v>
      </c>
      <c r="H450" s="65">
        <f t="shared" si="37"/>
        <v>-1.535538808319465E-2</v>
      </c>
      <c r="I450" s="65">
        <f t="shared" si="38"/>
        <v>0.1077745854178184</v>
      </c>
      <c r="J450" s="65">
        <f t="shared" si="39"/>
        <v>0.21734977938268227</v>
      </c>
      <c r="K450" s="82">
        <f t="shared" si="40"/>
        <v>1</v>
      </c>
      <c r="L450" s="60">
        <f t="shared" si="41"/>
        <v>-1.5369054979920809E-2</v>
      </c>
      <c r="M450" s="60"/>
      <c r="N450" s="60"/>
      <c r="O450" s="60">
        <f t="shared" si="42"/>
        <v>-1.1590599814909718E-2</v>
      </c>
    </row>
    <row r="451" spans="1:15" x14ac:dyDescent="0.25">
      <c r="A451" s="51">
        <v>44245</v>
      </c>
      <c r="B451" s="52">
        <v>36.75</v>
      </c>
      <c r="C451" s="72">
        <v>0.36665117741119868</v>
      </c>
      <c r="D451" s="53">
        <v>39.049999999999997</v>
      </c>
      <c r="E451" s="72">
        <v>0.39027412216901858</v>
      </c>
      <c r="F451" s="52">
        <v>34.78</v>
      </c>
      <c r="G451" s="72">
        <v>0.34759882123017838</v>
      </c>
      <c r="H451" s="65">
        <f t="shared" ref="H451:H514" si="43">LN(B451/B452)</f>
        <v>1.6737940494763244E-2</v>
      </c>
      <c r="I451" s="65">
        <f t="shared" ref="I451:I514" si="44">STDEVA(H451:H470)*SQRT(260)</f>
        <v>9.7911988114563586E-2</v>
      </c>
      <c r="J451" s="65">
        <f t="shared" ref="J451:J514" si="45">STDEVA(H451:H455)*SQRT(260)</f>
        <v>0.20439723097969811</v>
      </c>
      <c r="K451" s="82">
        <f t="shared" ref="K451:K514" si="46">_xlfn.PERCENTRANK.INC(I451:I471,I451,20)</f>
        <v>0.9</v>
      </c>
      <c r="L451" s="60">
        <f t="shared" ref="L451:L514" si="47">LN(C451/C452)</f>
        <v>1.6724273411250015E-2</v>
      </c>
      <c r="M451" s="60"/>
      <c r="N451" s="60"/>
      <c r="O451" s="60">
        <f t="shared" ref="O451:O514" si="48">LN(D451/D452)</f>
        <v>-4.5988839357662039E-3</v>
      </c>
    </row>
    <row r="452" spans="1:15" x14ac:dyDescent="0.25">
      <c r="A452" s="51">
        <v>44244</v>
      </c>
      <c r="B452" s="52">
        <v>36.14</v>
      </c>
      <c r="C452" s="72">
        <v>0.36057019462059919</v>
      </c>
      <c r="D452" s="53">
        <v>39.229999999999997</v>
      </c>
      <c r="E452" s="72">
        <v>0.39207442293474981</v>
      </c>
      <c r="F452" s="52">
        <v>34.69</v>
      </c>
      <c r="G452" s="72">
        <v>0.34670052846307597</v>
      </c>
      <c r="H452" s="65">
        <f t="shared" si="43"/>
        <v>-8.5411732905847412E-3</v>
      </c>
      <c r="I452" s="65">
        <f t="shared" si="44"/>
        <v>6.5573030913523317E-2</v>
      </c>
      <c r="J452" s="65">
        <f t="shared" si="45"/>
        <v>9.029931706136872E-2</v>
      </c>
      <c r="K452" s="82">
        <f t="shared" si="46"/>
        <v>0.45</v>
      </c>
      <c r="L452" s="60">
        <f t="shared" si="47"/>
        <v>-8.6095115101274423E-3</v>
      </c>
      <c r="M452" s="60"/>
      <c r="N452" s="60"/>
      <c r="O452" s="60">
        <f t="shared" si="48"/>
        <v>-1.4425152068930814E-2</v>
      </c>
    </row>
    <row r="453" spans="1:15" x14ac:dyDescent="0.25">
      <c r="A453" s="51">
        <v>44239</v>
      </c>
      <c r="B453" s="52">
        <v>36.450000000000003</v>
      </c>
      <c r="C453" s="72">
        <v>0.36368792969123742</v>
      </c>
      <c r="D453" s="53">
        <v>39.799999999999997</v>
      </c>
      <c r="E453" s="72">
        <v>0.3977779527181744</v>
      </c>
      <c r="F453" s="52">
        <v>35.299999999999997</v>
      </c>
      <c r="G453" s="72">
        <v>0.35280305856662197</v>
      </c>
      <c r="H453" s="65">
        <f t="shared" si="43"/>
        <v>-1.5246687943397336E-2</v>
      </c>
      <c r="I453" s="65">
        <f t="shared" si="44"/>
        <v>6.6552358332150716E-2</v>
      </c>
      <c r="J453" s="65">
        <f t="shared" si="45"/>
        <v>0.11071605671663633</v>
      </c>
      <c r="K453" s="82">
        <f t="shared" si="46"/>
        <v>0.45</v>
      </c>
      <c r="L453" s="60">
        <f t="shared" si="47"/>
        <v>-1.5260356147736952E-2</v>
      </c>
      <c r="M453" s="60"/>
      <c r="N453" s="60"/>
      <c r="O453" s="60">
        <f t="shared" si="48"/>
        <v>5.5429721159723335E-3</v>
      </c>
    </row>
    <row r="454" spans="1:15" x14ac:dyDescent="0.25">
      <c r="A454" s="51">
        <v>44238</v>
      </c>
      <c r="B454" s="52">
        <v>37.01</v>
      </c>
      <c r="C454" s="72">
        <v>0.36928050080642949</v>
      </c>
      <c r="D454" s="53">
        <v>39.58</v>
      </c>
      <c r="E454" s="72">
        <v>0.39558053408725302</v>
      </c>
      <c r="F454" s="52">
        <v>35.5</v>
      </c>
      <c r="G454" s="72">
        <v>0.35480315715253868</v>
      </c>
      <c r="H454" s="65">
        <f t="shared" si="43"/>
        <v>-1.181856356516402E-2</v>
      </c>
      <c r="I454" s="65">
        <f t="shared" si="44"/>
        <v>4.7649859136236171E-2</v>
      </c>
      <c r="J454" s="65">
        <f t="shared" si="45"/>
        <v>8.0245114226097078E-2</v>
      </c>
      <c r="K454" s="82">
        <f t="shared" si="46"/>
        <v>0.15</v>
      </c>
      <c r="L454" s="60">
        <f t="shared" si="47"/>
        <v>-1.1832231956326338E-2</v>
      </c>
      <c r="M454" s="60"/>
      <c r="N454" s="60"/>
      <c r="O454" s="60">
        <f t="shared" si="48"/>
        <v>-2.0191829172301586E-3</v>
      </c>
    </row>
    <row r="455" spans="1:15" x14ac:dyDescent="0.25">
      <c r="A455" s="51">
        <v>44237</v>
      </c>
      <c r="B455" s="52">
        <v>37.450000000000003</v>
      </c>
      <c r="C455" s="72">
        <v>0.37367586555678572</v>
      </c>
      <c r="D455" s="53">
        <v>39.659999999999997</v>
      </c>
      <c r="E455" s="72">
        <v>0.39638144721574747</v>
      </c>
      <c r="F455" s="52">
        <v>35.5</v>
      </c>
      <c r="G455" s="72">
        <v>0.35480437156225508</v>
      </c>
      <c r="H455" s="65">
        <f t="shared" si="43"/>
        <v>-1.8674141747954732E-3</v>
      </c>
      <c r="I455" s="65">
        <f t="shared" si="44"/>
        <v>3.4431252921988793E-2</v>
      </c>
      <c r="J455" s="65">
        <f t="shared" si="45"/>
        <v>3.0972093698228596E-2</v>
      </c>
      <c r="K455" s="82">
        <f t="shared" si="46"/>
        <v>0</v>
      </c>
      <c r="L455" s="60">
        <f t="shared" si="47"/>
        <v>-1.8810827527851316E-3</v>
      </c>
      <c r="M455" s="60"/>
      <c r="N455" s="60"/>
      <c r="O455" s="60">
        <f t="shared" si="48"/>
        <v>-5.7825428256654769E-3</v>
      </c>
    </row>
    <row r="456" spans="1:15" x14ac:dyDescent="0.25">
      <c r="A456" s="51">
        <v>44236</v>
      </c>
      <c r="B456" s="52">
        <v>37.520000000000003</v>
      </c>
      <c r="C456" s="72">
        <v>0.37437944231820669</v>
      </c>
      <c r="D456" s="53">
        <v>39.89</v>
      </c>
      <c r="E456" s="72">
        <v>0.39868154435925518</v>
      </c>
      <c r="F456" s="52">
        <v>35.799999999999997</v>
      </c>
      <c r="G456" s="72">
        <v>0.35780394304490692</v>
      </c>
      <c r="H456" s="65">
        <f t="shared" si="43"/>
        <v>-3.4588301078785672E-3</v>
      </c>
      <c r="I456" s="65">
        <f t="shared" si="44"/>
        <v>3.4469338381772671E-2</v>
      </c>
      <c r="J456" s="65">
        <f t="shared" si="45"/>
        <v>3.9001498117035294E-2</v>
      </c>
      <c r="K456" s="82">
        <f t="shared" si="46"/>
        <v>0</v>
      </c>
      <c r="L456" s="60">
        <f t="shared" si="47"/>
        <v>-3.4724988727008262E-3</v>
      </c>
      <c r="M456" s="60"/>
      <c r="N456" s="60"/>
      <c r="O456" s="60">
        <f t="shared" si="48"/>
        <v>-2.2536631549386434E-3</v>
      </c>
    </row>
    <row r="457" spans="1:15" x14ac:dyDescent="0.25">
      <c r="A457" s="51">
        <v>44235</v>
      </c>
      <c r="B457" s="52">
        <v>37.65</v>
      </c>
      <c r="C457" s="72">
        <v>0.37568173430473351</v>
      </c>
      <c r="D457" s="53">
        <v>39.979999999999997</v>
      </c>
      <c r="E457" s="72">
        <v>0.39958241916216852</v>
      </c>
      <c r="F457" s="52">
        <v>36</v>
      </c>
      <c r="G457" s="72">
        <v>0.35980407928559449</v>
      </c>
      <c r="H457" s="65">
        <f t="shared" si="43"/>
        <v>7.9713037301827854E-4</v>
      </c>
      <c r="I457" s="65">
        <f t="shared" si="44"/>
        <v>3.4701641349702855E-2</v>
      </c>
      <c r="J457" s="65">
        <f t="shared" si="45"/>
        <v>3.8516558223467966E-2</v>
      </c>
      <c r="K457" s="82">
        <f t="shared" si="46"/>
        <v>0</v>
      </c>
      <c r="L457" s="60">
        <f t="shared" si="47"/>
        <v>7.5612295750501291E-4</v>
      </c>
      <c r="M457" s="60"/>
      <c r="N457" s="60"/>
      <c r="O457" s="60">
        <f t="shared" si="48"/>
        <v>0</v>
      </c>
    </row>
    <row r="458" spans="1:15" x14ac:dyDescent="0.25">
      <c r="A458" s="51">
        <v>44232</v>
      </c>
      <c r="B458" s="52">
        <v>37.619999999999997</v>
      </c>
      <c r="C458" s="72">
        <v>0.37539778008639069</v>
      </c>
      <c r="D458" s="53">
        <v>39.979999999999997</v>
      </c>
      <c r="E458" s="72">
        <v>0.39958652226892483</v>
      </c>
      <c r="F458" s="52">
        <v>36</v>
      </c>
      <c r="G458" s="72">
        <v>0.35980777392899682</v>
      </c>
      <c r="H458" s="65">
        <f t="shared" si="43"/>
        <v>-5.3149084429464128E-4</v>
      </c>
      <c r="I458" s="65">
        <f t="shared" si="44"/>
        <v>4.8429554227120905E-2</v>
      </c>
      <c r="J458" s="65">
        <f t="shared" si="45"/>
        <v>2.9311574943288798E-2</v>
      </c>
      <c r="K458" s="82">
        <f t="shared" si="46"/>
        <v>0.05</v>
      </c>
      <c r="L458" s="60">
        <f t="shared" si="47"/>
        <v>-5.4516035649824536E-4</v>
      </c>
      <c r="M458" s="60"/>
      <c r="N458" s="60"/>
      <c r="O458" s="60">
        <f t="shared" si="48"/>
        <v>6.5244898952821258E-3</v>
      </c>
    </row>
    <row r="459" spans="1:15" x14ac:dyDescent="0.25">
      <c r="A459" s="51">
        <v>44231</v>
      </c>
      <c r="B459" s="52">
        <v>37.64</v>
      </c>
      <c r="C459" s="72">
        <v>0.37560248786822498</v>
      </c>
      <c r="D459" s="53">
        <v>39.72</v>
      </c>
      <c r="E459" s="72">
        <v>0.39698926939467061</v>
      </c>
      <c r="F459" s="52">
        <v>36.28</v>
      </c>
      <c r="G459" s="72">
        <v>0.36260751998083213</v>
      </c>
      <c r="H459" s="65">
        <f t="shared" si="43"/>
        <v>-3.7125473561845849E-3</v>
      </c>
      <c r="I459" s="65">
        <f t="shared" si="44"/>
        <v>4.810548237287237E-2</v>
      </c>
      <c r="J459" s="65">
        <f t="shared" si="45"/>
        <v>2.14809855403701E-2</v>
      </c>
      <c r="K459" s="82">
        <f t="shared" si="46"/>
        <v>0</v>
      </c>
      <c r="L459" s="60">
        <f t="shared" si="47"/>
        <v>-3.7262170552466176E-3</v>
      </c>
      <c r="M459" s="60"/>
      <c r="N459" s="60"/>
      <c r="O459" s="60">
        <f t="shared" si="48"/>
        <v>2.7732275431465434E-3</v>
      </c>
    </row>
    <row r="460" spans="1:15" x14ac:dyDescent="0.25">
      <c r="A460" s="51">
        <v>44230</v>
      </c>
      <c r="B460" s="52">
        <v>37.78</v>
      </c>
      <c r="C460" s="72">
        <v>0.37700467506903251</v>
      </c>
      <c r="D460" s="53">
        <v>39.61</v>
      </c>
      <c r="E460" s="72">
        <v>0.3958912080615018</v>
      </c>
      <c r="F460" s="52">
        <v>36.549999999999997</v>
      </c>
      <c r="G460" s="72">
        <v>0.36530733791082781</v>
      </c>
      <c r="H460" s="65">
        <f t="shared" si="43"/>
        <v>-5.016512170347388E-3</v>
      </c>
      <c r="I460" s="65">
        <f t="shared" si="44"/>
        <v>6.3101573461282284E-2</v>
      </c>
      <c r="J460" s="65">
        <f t="shared" si="45"/>
        <v>2.2268333804177393E-2</v>
      </c>
      <c r="K460" s="82">
        <f t="shared" si="46"/>
        <v>0.05</v>
      </c>
      <c r="L460" s="60">
        <f t="shared" si="47"/>
        <v>-5.0301820562724288E-3</v>
      </c>
      <c r="M460" s="60"/>
      <c r="N460" s="60"/>
      <c r="O460" s="60">
        <f t="shared" si="48"/>
        <v>-8.2967163538437971E-3</v>
      </c>
    </row>
    <row r="461" spans="1:15" x14ac:dyDescent="0.25">
      <c r="A461" s="51">
        <v>44229</v>
      </c>
      <c r="B461" s="52">
        <v>37.97</v>
      </c>
      <c r="C461" s="72">
        <v>0.37890585485215922</v>
      </c>
      <c r="D461" s="53">
        <v>39.94</v>
      </c>
      <c r="E461" s="72">
        <v>0.39919083493922702</v>
      </c>
      <c r="F461" s="52">
        <v>36.65</v>
      </c>
      <c r="G461" s="72">
        <v>0.36630806460998172</v>
      </c>
      <c r="H461" s="65">
        <f t="shared" si="43"/>
        <v>-3.1554062468018241E-3</v>
      </c>
      <c r="I461" s="65">
        <f t="shared" si="44"/>
        <v>6.2703234481196288E-2</v>
      </c>
      <c r="J461" s="65">
        <f t="shared" si="45"/>
        <v>1.8093212399635714E-2</v>
      </c>
      <c r="K461" s="82">
        <f t="shared" si="46"/>
        <v>0</v>
      </c>
      <c r="L461" s="60">
        <f t="shared" si="47"/>
        <v>-3.1690763195948864E-3</v>
      </c>
      <c r="M461" s="60"/>
      <c r="N461" s="60"/>
      <c r="O461" s="60">
        <f t="shared" si="48"/>
        <v>-1.1451456979435238E-2</v>
      </c>
    </row>
    <row r="462" spans="1:15" x14ac:dyDescent="0.25">
      <c r="A462" s="51">
        <v>44228</v>
      </c>
      <c r="B462" s="52">
        <v>38.090000000000003</v>
      </c>
      <c r="C462" s="72">
        <v>0.38010854111985998</v>
      </c>
      <c r="D462" s="53">
        <v>40.4</v>
      </c>
      <c r="E462" s="72">
        <v>0.40378980804512721</v>
      </c>
      <c r="F462" s="52">
        <v>36.75</v>
      </c>
      <c r="G462" s="72">
        <v>0.367308798159862</v>
      </c>
      <c r="H462" s="65">
        <f t="shared" si="43"/>
        <v>-1.3118196817602464E-3</v>
      </c>
      <c r="I462" s="65">
        <f t="shared" si="44"/>
        <v>6.4782573792538808E-2</v>
      </c>
      <c r="J462" s="65">
        <f t="shared" si="45"/>
        <v>2.7850389352060832E-2</v>
      </c>
      <c r="K462" s="82">
        <f t="shared" si="46"/>
        <v>0</v>
      </c>
      <c r="L462" s="60">
        <f t="shared" si="47"/>
        <v>-1.3528310214016381E-3</v>
      </c>
      <c r="M462" s="60"/>
      <c r="N462" s="60"/>
      <c r="O462" s="60">
        <f t="shared" si="48"/>
        <v>8.9508305200845777E-3</v>
      </c>
    </row>
    <row r="463" spans="1:15" x14ac:dyDescent="0.25">
      <c r="A463" s="51">
        <v>44225</v>
      </c>
      <c r="B463" s="52">
        <v>38.14</v>
      </c>
      <c r="C463" s="72">
        <v>0.38062311173085073</v>
      </c>
      <c r="D463" s="53">
        <v>40.04</v>
      </c>
      <c r="E463" s="72">
        <v>0.40019579050416049</v>
      </c>
      <c r="F463" s="52">
        <v>36.700000000000003</v>
      </c>
      <c r="G463" s="72">
        <v>0.3668128249626047</v>
      </c>
      <c r="H463" s="65">
        <f t="shared" si="43"/>
        <v>-3.4026992653379386E-3</v>
      </c>
      <c r="I463" s="65">
        <f t="shared" si="44"/>
        <v>6.8358573935333247E-2</v>
      </c>
      <c r="J463" s="65">
        <f t="shared" si="45"/>
        <v>2.5401701717380484E-2</v>
      </c>
      <c r="K463" s="82">
        <f t="shared" si="46"/>
        <v>0</v>
      </c>
      <c r="L463" s="60">
        <f t="shared" si="47"/>
        <v>-3.4163700856558428E-3</v>
      </c>
      <c r="M463" s="60"/>
      <c r="N463" s="60"/>
      <c r="O463" s="60">
        <f t="shared" si="48"/>
        <v>0</v>
      </c>
    </row>
    <row r="464" spans="1:15" x14ac:dyDescent="0.25">
      <c r="A464" s="51">
        <v>44224</v>
      </c>
      <c r="B464" s="52">
        <v>38.270000000000003</v>
      </c>
      <c r="C464" s="72">
        <v>0.38192568491277962</v>
      </c>
      <c r="D464" s="53">
        <v>40.04</v>
      </c>
      <c r="E464" s="72">
        <v>0.40019716034338759</v>
      </c>
      <c r="F464" s="52">
        <v>36.75</v>
      </c>
      <c r="G464" s="72">
        <v>0.36731382723824912</v>
      </c>
      <c r="H464" s="65">
        <f t="shared" si="43"/>
        <v>-4.1721051391416051E-3</v>
      </c>
      <c r="I464" s="65">
        <f t="shared" si="44"/>
        <v>6.971172998703376E-2</v>
      </c>
      <c r="J464" s="65">
        <f t="shared" si="45"/>
        <v>3.176180206270799E-2</v>
      </c>
      <c r="K464" s="82">
        <f t="shared" si="46"/>
        <v>0</v>
      </c>
      <c r="L464" s="60">
        <f t="shared" si="47"/>
        <v>-4.1857761463532711E-3</v>
      </c>
      <c r="M464" s="60"/>
      <c r="N464" s="60"/>
      <c r="O464" s="60">
        <f t="shared" si="48"/>
        <v>-6.4725145056173669E-3</v>
      </c>
    </row>
    <row r="465" spans="1:15" x14ac:dyDescent="0.25">
      <c r="A465" s="51">
        <v>44223</v>
      </c>
      <c r="B465" s="52">
        <v>38.43</v>
      </c>
      <c r="C465" s="72">
        <v>0.38352769081438748</v>
      </c>
      <c r="D465" s="53">
        <v>40.299999999999997</v>
      </c>
      <c r="E465" s="72">
        <v>0.40279722194648582</v>
      </c>
      <c r="F465" s="52">
        <v>36.67</v>
      </c>
      <c r="G465" s="72">
        <v>0.3665154870664426</v>
      </c>
      <c r="H465" s="65">
        <f t="shared" si="43"/>
        <v>-3.8956029008304625E-3</v>
      </c>
      <c r="I465" s="65">
        <f t="shared" si="44"/>
        <v>7.1158195217019687E-2</v>
      </c>
      <c r="J465" s="65">
        <f t="shared" si="45"/>
        <v>2.6370728975019745E-2</v>
      </c>
      <c r="K465" s="82">
        <f t="shared" si="46"/>
        <v>0</v>
      </c>
      <c r="L465" s="60">
        <f t="shared" si="47"/>
        <v>-3.9092740949407956E-3</v>
      </c>
      <c r="M465" s="60"/>
      <c r="N465" s="60"/>
      <c r="O465" s="60">
        <f t="shared" si="48"/>
        <v>-2.4783160144670898E-3</v>
      </c>
    </row>
    <row r="466" spans="1:15" x14ac:dyDescent="0.25">
      <c r="A466" s="51">
        <v>44222</v>
      </c>
      <c r="B466" s="52">
        <v>38.58</v>
      </c>
      <c r="C466" s="72">
        <v>0.38502994011976038</v>
      </c>
      <c r="D466" s="53">
        <v>40.4</v>
      </c>
      <c r="E466" s="72">
        <v>0.40379810094952517</v>
      </c>
      <c r="F466" s="52">
        <v>36.380000000000003</v>
      </c>
      <c r="G466" s="72">
        <v>0.36361819090454778</v>
      </c>
      <c r="H466" s="65">
        <f t="shared" si="43"/>
        <v>-2.5916807194448026E-4</v>
      </c>
      <c r="I466" s="65">
        <f t="shared" si="44"/>
        <v>7.9623615392122038E-2</v>
      </c>
      <c r="J466" s="65">
        <f t="shared" si="45"/>
        <v>1.6528218058145E-2</v>
      </c>
      <c r="K466" s="82">
        <f t="shared" si="46"/>
        <v>0.1</v>
      </c>
      <c r="L466" s="60">
        <f t="shared" si="47"/>
        <v>-2.728394529595268E-4</v>
      </c>
      <c r="M466" s="60"/>
      <c r="N466" s="60"/>
      <c r="O466" s="60">
        <f t="shared" si="48"/>
        <v>0</v>
      </c>
    </row>
    <row r="467" spans="1:15" x14ac:dyDescent="0.25">
      <c r="A467" s="51">
        <v>44221</v>
      </c>
      <c r="B467" s="52">
        <v>38.590000000000003</v>
      </c>
      <c r="C467" s="72">
        <v>0.38513500581037668</v>
      </c>
      <c r="D467" s="53">
        <v>40.4</v>
      </c>
      <c r="E467" s="72">
        <v>0.40379948313337549</v>
      </c>
      <c r="F467" s="52">
        <v>36.5</v>
      </c>
      <c r="G467" s="72">
        <v>0.36481883995960912</v>
      </c>
      <c r="H467" s="65">
        <f t="shared" si="43"/>
        <v>-2.587993162894067E-3</v>
      </c>
      <c r="I467" s="65">
        <f t="shared" si="44"/>
        <v>7.9155785314359961E-2</v>
      </c>
      <c r="J467" s="65">
        <f t="shared" si="45"/>
        <v>1.6532780570811405E-2</v>
      </c>
      <c r="K467" s="82">
        <f t="shared" si="46"/>
        <v>0</v>
      </c>
      <c r="L467" s="60">
        <f t="shared" si="47"/>
        <v>-2.6290084274140893E-3</v>
      </c>
      <c r="M467" s="60"/>
      <c r="N467" s="60"/>
      <c r="O467" s="60">
        <f t="shared" si="48"/>
        <v>-2.4721891453891483E-3</v>
      </c>
    </row>
    <row r="468" spans="1:15" x14ac:dyDescent="0.25">
      <c r="A468" s="51">
        <v>44218</v>
      </c>
      <c r="B468" s="52">
        <v>38.69</v>
      </c>
      <c r="C468" s="72">
        <v>0.38614886111946622</v>
      </c>
      <c r="D468" s="53">
        <v>40.5</v>
      </c>
      <c r="E468" s="72">
        <v>0.40480314367670522</v>
      </c>
      <c r="F468" s="52">
        <v>36.200000000000003</v>
      </c>
      <c r="G468" s="72">
        <v>0.36182404447152422</v>
      </c>
      <c r="H468" s="65">
        <f t="shared" si="43"/>
        <v>0</v>
      </c>
      <c r="I468" s="65">
        <f t="shared" si="44"/>
        <v>7.9464173534975022E-2</v>
      </c>
      <c r="J468" s="65">
        <f t="shared" si="45"/>
        <v>2.7290945428461329E-2</v>
      </c>
      <c r="K468" s="82">
        <f t="shared" si="46"/>
        <v>0</v>
      </c>
      <c r="L468" s="60">
        <f t="shared" si="47"/>
        <v>-1.3672128682306439E-5</v>
      </c>
      <c r="M468" s="60"/>
      <c r="N468" s="60"/>
      <c r="O468" s="60">
        <f t="shared" si="48"/>
        <v>1.4925650216675792E-2</v>
      </c>
    </row>
    <row r="469" spans="1:15" x14ac:dyDescent="0.25">
      <c r="A469" s="51">
        <v>44217</v>
      </c>
      <c r="B469" s="52">
        <v>38.69</v>
      </c>
      <c r="C469" s="72">
        <v>0.38615414063247699</v>
      </c>
      <c r="D469" s="53">
        <v>39.9</v>
      </c>
      <c r="E469" s="72">
        <v>0.39880742518167589</v>
      </c>
      <c r="F469" s="52">
        <v>36.01</v>
      </c>
      <c r="G469" s="72">
        <v>0.35992620001985343</v>
      </c>
      <c r="H469" s="65">
        <f t="shared" si="43"/>
        <v>-1.2914892664283111E-3</v>
      </c>
      <c r="I469" s="65">
        <f t="shared" si="44"/>
        <v>9.6785322999817028E-2</v>
      </c>
      <c r="J469" s="65">
        <f t="shared" si="45"/>
        <v>2.9489983887058084E-2</v>
      </c>
      <c r="K469" s="82">
        <f t="shared" si="46"/>
        <v>0</v>
      </c>
      <c r="L469" s="60">
        <f t="shared" si="47"/>
        <v>-1.305161582040227E-3</v>
      </c>
      <c r="M469" s="60"/>
      <c r="N469" s="60"/>
      <c r="O469" s="60">
        <f t="shared" si="48"/>
        <v>-5.498639197917014E-3</v>
      </c>
    </row>
    <row r="470" spans="1:15" x14ac:dyDescent="0.25">
      <c r="A470" s="51">
        <v>44216</v>
      </c>
      <c r="B470" s="52">
        <v>38.74</v>
      </c>
      <c r="C470" s="72">
        <v>0.38665846322121961</v>
      </c>
      <c r="D470" s="53">
        <v>40.119999999999997</v>
      </c>
      <c r="E470" s="72">
        <v>0.40100773601697809</v>
      </c>
      <c r="F470" s="52">
        <v>36.36</v>
      </c>
      <c r="G470" s="72">
        <v>0.3634257547751078</v>
      </c>
      <c r="H470" s="65">
        <f t="shared" si="43"/>
        <v>-1.2898234730259362E-3</v>
      </c>
      <c r="I470" s="65">
        <f t="shared" si="44"/>
        <v>0.10521651565421249</v>
      </c>
      <c r="J470" s="65">
        <f t="shared" si="45"/>
        <v>5.0724981114447579E-2</v>
      </c>
      <c r="K470" s="82">
        <f t="shared" si="46"/>
        <v>0</v>
      </c>
      <c r="L470" s="60">
        <f t="shared" si="47"/>
        <v>-1.3034959755726637E-3</v>
      </c>
      <c r="M470" s="60"/>
      <c r="N470" s="60"/>
      <c r="O470" s="60">
        <f t="shared" si="48"/>
        <v>4.246290881451004E-3</v>
      </c>
    </row>
    <row r="471" spans="1:15" x14ac:dyDescent="0.25">
      <c r="A471" s="51">
        <v>44215</v>
      </c>
      <c r="B471" s="52">
        <v>38.79</v>
      </c>
      <c r="C471" s="72">
        <v>0.38716279960076022</v>
      </c>
      <c r="D471" s="53">
        <v>39.950000000000003</v>
      </c>
      <c r="E471" s="72">
        <v>0.3993099175392536</v>
      </c>
      <c r="F471" s="52">
        <v>35.85</v>
      </c>
      <c r="G471" s="72">
        <v>0.35832942537627638</v>
      </c>
      <c r="H471" s="65">
        <f t="shared" si="43"/>
        <v>-2.5776517735195351E-4</v>
      </c>
      <c r="I471" s="65">
        <f t="shared" si="44"/>
        <v>0.10573856838211275</v>
      </c>
      <c r="J471" s="65">
        <f t="shared" si="45"/>
        <v>5.0773918241336265E-2</v>
      </c>
      <c r="K471" s="82">
        <f t="shared" si="46"/>
        <v>0</v>
      </c>
      <c r="L471" s="60">
        <f t="shared" si="47"/>
        <v>-2.7143786683842268E-4</v>
      </c>
      <c r="M471" s="60"/>
      <c r="N471" s="60"/>
      <c r="O471" s="60">
        <f t="shared" si="48"/>
        <v>6.7813897956116587E-3</v>
      </c>
    </row>
    <row r="472" spans="1:15" x14ac:dyDescent="0.25">
      <c r="A472" s="51">
        <v>44214</v>
      </c>
      <c r="B472" s="52">
        <v>38.799999999999997</v>
      </c>
      <c r="C472" s="72">
        <v>0.38726790450928378</v>
      </c>
      <c r="D472" s="52">
        <v>39.68</v>
      </c>
      <c r="E472" s="72">
        <v>0.39661255981762039</v>
      </c>
      <c r="F472" s="52">
        <v>35.799999999999997</v>
      </c>
      <c r="G472" s="72">
        <v>0.3578308881419055</v>
      </c>
      <c r="H472" s="65">
        <f t="shared" si="43"/>
        <v>2.8390779168060518E-3</v>
      </c>
      <c r="I472" s="65">
        <f t="shared" si="44"/>
        <v>0.10716795481798952</v>
      </c>
      <c r="J472" s="65">
        <f t="shared" si="45"/>
        <v>5.1145508860062146E-2</v>
      </c>
      <c r="K472" s="82">
        <f t="shared" si="46"/>
        <v>0</v>
      </c>
      <c r="L472" s="60">
        <f t="shared" si="47"/>
        <v>2.7980587266561063E-3</v>
      </c>
      <c r="M472" s="60"/>
      <c r="N472" s="60"/>
      <c r="O472" s="60">
        <f t="shared" si="48"/>
        <v>1.4980602611808449E-2</v>
      </c>
    </row>
    <row r="473" spans="1:15" x14ac:dyDescent="0.25">
      <c r="A473" s="51">
        <v>44211</v>
      </c>
      <c r="B473" s="52">
        <v>38.69</v>
      </c>
      <c r="C473" s="72">
        <v>0.38618582074246249</v>
      </c>
      <c r="D473" s="52">
        <v>39.090000000000003</v>
      </c>
      <c r="E473" s="72">
        <v>0.39071935920036971</v>
      </c>
      <c r="F473" s="52">
        <v>35.700000000000003</v>
      </c>
      <c r="G473" s="72">
        <v>0.35683502490287028</v>
      </c>
      <c r="H473" s="65">
        <f t="shared" si="43"/>
        <v>-1.5495870869345083E-3</v>
      </c>
      <c r="I473" s="65">
        <f t="shared" si="44"/>
        <v>0.10781813807500631</v>
      </c>
      <c r="J473" s="65">
        <f t="shared" si="45"/>
        <v>7.6970285884242137E-2</v>
      </c>
      <c r="K473" s="82">
        <f t="shared" si="46"/>
        <v>0</v>
      </c>
      <c r="L473" s="60">
        <f t="shared" si="47"/>
        <v>-1.5632605242318449E-3</v>
      </c>
      <c r="M473" s="60"/>
      <c r="N473" s="60"/>
      <c r="O473" s="60">
        <f t="shared" si="48"/>
        <v>2.30503367521705E-3</v>
      </c>
    </row>
    <row r="474" spans="1:15" x14ac:dyDescent="0.25">
      <c r="A474" s="51">
        <v>44210</v>
      </c>
      <c r="B474" s="52">
        <v>38.75</v>
      </c>
      <c r="C474" s="72">
        <v>0.3867900019142943</v>
      </c>
      <c r="D474" s="52">
        <v>39</v>
      </c>
      <c r="E474" s="72">
        <v>0.38982110949085008</v>
      </c>
      <c r="F474" s="52">
        <v>35.69</v>
      </c>
      <c r="G474" s="72">
        <v>0.35673629224944708</v>
      </c>
      <c r="H474" s="65">
        <f t="shared" si="43"/>
        <v>-5.9179382800586423E-3</v>
      </c>
      <c r="I474" s="65">
        <f t="shared" si="44"/>
        <v>0.11915002468078449</v>
      </c>
      <c r="J474" s="65">
        <f t="shared" si="45"/>
        <v>7.761834998008639E-2</v>
      </c>
      <c r="K474" s="82">
        <f t="shared" si="46"/>
        <v>0.05</v>
      </c>
      <c r="L474" s="60">
        <f t="shared" si="47"/>
        <v>-5.9316119043213156E-3</v>
      </c>
      <c r="M474" s="60"/>
      <c r="N474" s="60"/>
      <c r="O474" s="60">
        <f t="shared" si="48"/>
        <v>-9.1884260544062551E-3</v>
      </c>
    </row>
    <row r="475" spans="1:15" x14ac:dyDescent="0.25">
      <c r="A475" s="51">
        <v>44209</v>
      </c>
      <c r="B475" s="52">
        <v>38.979999999999997</v>
      </c>
      <c r="C475" s="72">
        <v>0.38909110798134899</v>
      </c>
      <c r="D475" s="52">
        <v>39.36</v>
      </c>
      <c r="E475" s="72">
        <v>0.39342080490735382</v>
      </c>
      <c r="F475" s="52">
        <v>36.22</v>
      </c>
      <c r="G475" s="72">
        <v>0.36203510045082199</v>
      </c>
      <c r="H475" s="65">
        <f t="shared" si="43"/>
        <v>-1.5380674654770212E-3</v>
      </c>
      <c r="I475" s="65">
        <f t="shared" si="44"/>
        <v>0.11968035497710619</v>
      </c>
      <c r="J475" s="65">
        <f t="shared" si="45"/>
        <v>0.10555843860999907</v>
      </c>
      <c r="K475" s="82">
        <f t="shared" si="46"/>
        <v>0.05</v>
      </c>
      <c r="L475" s="60">
        <f t="shared" si="47"/>
        <v>-1.5517412767102755E-3</v>
      </c>
      <c r="M475" s="60"/>
      <c r="N475" s="60"/>
      <c r="O475" s="60">
        <f t="shared" si="48"/>
        <v>-2.4841322531905165E-2</v>
      </c>
    </row>
    <row r="476" spans="1:15" x14ac:dyDescent="0.25">
      <c r="A476" s="51">
        <v>44208</v>
      </c>
      <c r="B476" s="52">
        <v>39.04</v>
      </c>
      <c r="C476" s="72">
        <v>0.38969534540283318</v>
      </c>
      <c r="D476" s="52">
        <v>40.35</v>
      </c>
      <c r="E476" s="72">
        <v>0.40331767830980519</v>
      </c>
      <c r="F476" s="52">
        <v>36.35</v>
      </c>
      <c r="G476" s="72">
        <v>0.36333575233113802</v>
      </c>
      <c r="H476" s="65">
        <f t="shared" si="43"/>
        <v>0</v>
      </c>
      <c r="I476" s="65">
        <f t="shared" si="44"/>
        <v>0.13101959869850452</v>
      </c>
      <c r="J476" s="65">
        <f t="shared" si="45"/>
        <v>0.10107009838031927</v>
      </c>
      <c r="K476" s="82">
        <f t="shared" si="46"/>
        <v>0.4</v>
      </c>
      <c r="L476" s="60">
        <f t="shared" si="47"/>
        <v>-1.3673998208977896E-5</v>
      </c>
      <c r="M476" s="60"/>
      <c r="N476" s="60"/>
      <c r="O476" s="60">
        <f t="shared" si="48"/>
        <v>1.9846198525948723E-3</v>
      </c>
    </row>
    <row r="477" spans="1:15" x14ac:dyDescent="0.25">
      <c r="A477" s="51">
        <v>44207</v>
      </c>
      <c r="B477" s="52">
        <v>39.04</v>
      </c>
      <c r="C477" s="72">
        <v>0.38970067413272069</v>
      </c>
      <c r="D477" s="52">
        <v>40.270000000000003</v>
      </c>
      <c r="E477" s="72">
        <v>0.40251941765851618</v>
      </c>
      <c r="F477" s="52">
        <v>36.39</v>
      </c>
      <c r="G477" s="72">
        <v>0.36373681670209601</v>
      </c>
      <c r="H477" s="65">
        <f t="shared" si="43"/>
        <v>-1.1713910362184488E-2</v>
      </c>
      <c r="I477" s="65">
        <f t="shared" si="44"/>
        <v>0.13975508438357098</v>
      </c>
      <c r="J477" s="65">
        <f t="shared" si="45"/>
        <v>8.4790499252627716E-2</v>
      </c>
      <c r="K477" s="82">
        <f t="shared" si="46"/>
        <v>0.85</v>
      </c>
      <c r="L477" s="60">
        <f t="shared" si="47"/>
        <v>-1.175493347871634E-2</v>
      </c>
      <c r="M477" s="60"/>
      <c r="N477" s="60"/>
      <c r="O477" s="60">
        <f t="shared" si="48"/>
        <v>-4.7070568762365853E-3</v>
      </c>
    </row>
    <row r="478" spans="1:15" x14ac:dyDescent="0.25">
      <c r="A478" s="51">
        <v>44204</v>
      </c>
      <c r="B478" s="52">
        <v>39.5</v>
      </c>
      <c r="C478" s="72">
        <v>0.39430860956131708</v>
      </c>
      <c r="D478" s="52">
        <v>40.46</v>
      </c>
      <c r="E478" s="72">
        <v>0.40442271880819369</v>
      </c>
      <c r="F478" s="52">
        <v>37</v>
      </c>
      <c r="G478" s="72">
        <v>0.36983787928579248</v>
      </c>
      <c r="H478" s="65">
        <f t="shared" si="43"/>
        <v>-1.2650223065866339E-3</v>
      </c>
      <c r="I478" s="65">
        <f t="shared" si="44"/>
        <v>0.13443651516815489</v>
      </c>
      <c r="J478" s="65">
        <f t="shared" si="45"/>
        <v>7.9243800345202967E-2</v>
      </c>
      <c r="K478" s="82">
        <f t="shared" si="46"/>
        <v>0.45</v>
      </c>
      <c r="L478" s="60">
        <f t="shared" si="47"/>
        <v>-1.2786970527497565E-3</v>
      </c>
      <c r="M478" s="60"/>
      <c r="N478" s="60"/>
      <c r="O478" s="60">
        <f t="shared" si="48"/>
        <v>-3.4542348680875576E-3</v>
      </c>
    </row>
    <row r="479" spans="1:15" x14ac:dyDescent="0.25">
      <c r="A479" s="51">
        <v>44203</v>
      </c>
      <c r="B479" s="52">
        <v>39.549999999999997</v>
      </c>
      <c r="C479" s="72">
        <v>0.39481313331601192</v>
      </c>
      <c r="D479" s="52">
        <v>40.6</v>
      </c>
      <c r="E479" s="72">
        <v>0.40582349457598921</v>
      </c>
      <c r="F479" s="52">
        <v>37.11</v>
      </c>
      <c r="G479" s="72">
        <v>0.37093866708657541</v>
      </c>
      <c r="H479" s="65">
        <f t="shared" si="43"/>
        <v>-1.3810640098860712E-2</v>
      </c>
      <c r="I479" s="65">
        <f t="shared" si="44"/>
        <v>0.13495212204231916</v>
      </c>
      <c r="J479" s="65">
        <f t="shared" si="45"/>
        <v>8.6919302106438986E-2</v>
      </c>
      <c r="K479" s="82">
        <f t="shared" si="46"/>
        <v>0.5</v>
      </c>
      <c r="L479" s="60">
        <f t="shared" si="47"/>
        <v>-1.3824315032024399E-2</v>
      </c>
      <c r="M479" s="60"/>
      <c r="N479" s="60"/>
      <c r="O479" s="60">
        <f t="shared" si="48"/>
        <v>-8.5837436913915547E-3</v>
      </c>
    </row>
    <row r="480" spans="1:15" x14ac:dyDescent="0.25">
      <c r="A480" s="51">
        <v>44202</v>
      </c>
      <c r="B480" s="52">
        <v>40.1</v>
      </c>
      <c r="C480" s="72">
        <v>0.40030905560265839</v>
      </c>
      <c r="D480" s="52">
        <v>40.950000000000003</v>
      </c>
      <c r="E480" s="72">
        <v>0.40932337416046499</v>
      </c>
      <c r="F480" s="52">
        <v>37.380000000000003</v>
      </c>
      <c r="G480" s="72">
        <v>0.37363877231057829</v>
      </c>
      <c r="H480" s="65">
        <f t="shared" si="43"/>
        <v>-3.7336695520488379E-3</v>
      </c>
      <c r="I480" s="65">
        <f t="shared" si="44"/>
        <v>0.12274751493705985</v>
      </c>
      <c r="J480" s="65">
        <f t="shared" si="45"/>
        <v>7.3564352137893002E-2</v>
      </c>
      <c r="K480" s="82">
        <f t="shared" si="46"/>
        <v>0.15</v>
      </c>
      <c r="L480" s="60">
        <f t="shared" si="47"/>
        <v>-3.7473446722192591E-3</v>
      </c>
      <c r="M480" s="60"/>
      <c r="N480" s="60"/>
      <c r="O480" s="60">
        <f t="shared" si="48"/>
        <v>1.6745035435715608E-2</v>
      </c>
    </row>
    <row r="481" spans="1:15" x14ac:dyDescent="0.25">
      <c r="A481" s="51">
        <v>44201</v>
      </c>
      <c r="B481" s="52">
        <v>40.25</v>
      </c>
      <c r="C481" s="72">
        <v>0.40181196581196582</v>
      </c>
      <c r="D481" s="52">
        <v>40.270000000000003</v>
      </c>
      <c r="E481" s="72">
        <v>0.40252768506632441</v>
      </c>
      <c r="F481" s="52">
        <v>36.9</v>
      </c>
      <c r="G481" s="72">
        <v>0.36884210526315792</v>
      </c>
      <c r="H481" s="65">
        <f t="shared" si="43"/>
        <v>-7.4257766968494265E-3</v>
      </c>
      <c r="I481" s="65">
        <f t="shared" si="44"/>
        <v>0.12252097265582314</v>
      </c>
      <c r="J481" s="65">
        <f t="shared" si="45"/>
        <v>0.10750421751307537</v>
      </c>
      <c r="K481" s="82">
        <f t="shared" si="46"/>
        <v>0.1</v>
      </c>
      <c r="L481" s="60">
        <f t="shared" si="47"/>
        <v>-7.4394520040313092E-3</v>
      </c>
      <c r="M481" s="60"/>
      <c r="N481" s="60"/>
      <c r="O481" s="60">
        <f t="shared" si="48"/>
        <v>-5.6951992491305579E-3</v>
      </c>
    </row>
    <row r="482" spans="1:15" x14ac:dyDescent="0.25">
      <c r="A482" s="51">
        <v>44200</v>
      </c>
      <c r="B482" s="52">
        <v>40.549999999999997</v>
      </c>
      <c r="C482" s="72">
        <v>0.40481237350254362</v>
      </c>
      <c r="D482" s="52">
        <v>40.5</v>
      </c>
      <c r="E482" s="72">
        <v>0.40482808670290699</v>
      </c>
      <c r="F482" s="52">
        <v>37.229999999999997</v>
      </c>
      <c r="G482" s="72">
        <v>0.37214196710985742</v>
      </c>
      <c r="H482" s="65">
        <f t="shared" si="43"/>
        <v>-9.5717996717215557E-3</v>
      </c>
      <c r="I482" s="65">
        <f t="shared" si="44"/>
        <v>0.12597134557269188</v>
      </c>
      <c r="J482" s="65">
        <f t="shared" si="45"/>
        <v>9.5803071649278926E-2</v>
      </c>
      <c r="K482" s="82">
        <f t="shared" si="46"/>
        <v>0.2</v>
      </c>
      <c r="L482" s="60">
        <f t="shared" si="47"/>
        <v>-9.6401790129814757E-3</v>
      </c>
      <c r="M482" s="60"/>
      <c r="N482" s="60"/>
      <c r="O482" s="60">
        <f t="shared" si="48"/>
        <v>-2.6557779642326876E-2</v>
      </c>
    </row>
    <row r="483" spans="1:15" x14ac:dyDescent="0.25">
      <c r="A483" s="51">
        <v>44195</v>
      </c>
      <c r="B483" s="52">
        <v>40.94</v>
      </c>
      <c r="C483" s="72">
        <v>0.4087337080649352</v>
      </c>
      <c r="D483" s="52">
        <v>41.59</v>
      </c>
      <c r="E483" s="72">
        <v>0.41573057555311371</v>
      </c>
      <c r="F483" s="52">
        <v>38.200000000000003</v>
      </c>
      <c r="G483" s="72">
        <v>0.38184438533611298</v>
      </c>
      <c r="H483" s="65">
        <f t="shared" si="43"/>
        <v>2.4428972883176617E-4</v>
      </c>
      <c r="I483" s="65">
        <f t="shared" si="44"/>
        <v>0.11844463908041893</v>
      </c>
      <c r="J483" s="65">
        <f t="shared" si="45"/>
        <v>5.610769808661796E-2</v>
      </c>
      <c r="K483" s="82">
        <f t="shared" si="46"/>
        <v>0</v>
      </c>
      <c r="L483" s="60">
        <f t="shared" si="47"/>
        <v>2.3061329947378665E-4</v>
      </c>
      <c r="M483" s="60"/>
      <c r="N483" s="60"/>
      <c r="O483" s="60">
        <f t="shared" si="48"/>
        <v>9.6642453068311492E-3</v>
      </c>
    </row>
    <row r="484" spans="1:15" x14ac:dyDescent="0.25">
      <c r="A484" s="51">
        <v>44194</v>
      </c>
      <c r="B484" s="52">
        <v>40.93</v>
      </c>
      <c r="C484" s="72">
        <v>0.40863945950381569</v>
      </c>
      <c r="D484" s="52">
        <v>41.19</v>
      </c>
      <c r="E484" s="72">
        <v>0.41173361449825069</v>
      </c>
      <c r="F484" s="52">
        <v>38.799999999999997</v>
      </c>
      <c r="G484" s="72">
        <v>0.38784326881602638</v>
      </c>
      <c r="H484" s="65">
        <f t="shared" si="43"/>
        <v>7.3322745555552573E-4</v>
      </c>
      <c r="I484" s="65">
        <f t="shared" si="44"/>
        <v>0.12133726381487438</v>
      </c>
      <c r="J484" s="65">
        <f t="shared" si="45"/>
        <v>0.10100266154276423</v>
      </c>
      <c r="K484" s="82">
        <f t="shared" si="46"/>
        <v>0</v>
      </c>
      <c r="L484" s="60">
        <f t="shared" si="47"/>
        <v>7.1955083915027586E-4</v>
      </c>
      <c r="M484" s="60"/>
      <c r="N484" s="60"/>
      <c r="O484" s="60">
        <f t="shared" si="48"/>
        <v>-1.6851626510954201E-2</v>
      </c>
    </row>
    <row r="485" spans="1:15" x14ac:dyDescent="0.25">
      <c r="A485" s="51">
        <v>44193</v>
      </c>
      <c r="B485" s="52">
        <v>40.9</v>
      </c>
      <c r="C485" s="72">
        <v>0.40834552839968807</v>
      </c>
      <c r="D485" s="52">
        <v>41.89</v>
      </c>
      <c r="E485" s="72">
        <v>0.41873222030898583</v>
      </c>
      <c r="F485" s="52">
        <v>39</v>
      </c>
      <c r="G485" s="72">
        <v>0.38984379546551551</v>
      </c>
      <c r="H485" s="65">
        <f t="shared" si="43"/>
        <v>6.8695068965174003E-3</v>
      </c>
      <c r="I485" s="65">
        <f t="shared" si="44"/>
        <v>0.12362440753869122</v>
      </c>
      <c r="J485" s="65">
        <f t="shared" si="45"/>
        <v>0.10507706369213402</v>
      </c>
      <c r="K485" s="82">
        <f t="shared" si="46"/>
        <v>0</v>
      </c>
      <c r="L485" s="60">
        <f t="shared" si="47"/>
        <v>6.80112100860252E-3</v>
      </c>
      <c r="M485" s="60"/>
      <c r="N485" s="60"/>
      <c r="O485" s="60">
        <f t="shared" si="48"/>
        <v>1.4184634991956602E-2</v>
      </c>
    </row>
    <row r="486" spans="1:15" x14ac:dyDescent="0.25">
      <c r="A486" s="51">
        <v>44188</v>
      </c>
      <c r="B486" s="52">
        <v>40.619999999999997</v>
      </c>
      <c r="C486" s="72">
        <v>0.40557774373563837</v>
      </c>
      <c r="D486" s="52">
        <v>41.3</v>
      </c>
      <c r="E486" s="72">
        <v>0.41284164977816717</v>
      </c>
      <c r="F486" s="52">
        <v>38.58</v>
      </c>
      <c r="G486" s="72">
        <v>0.38565207865476248</v>
      </c>
      <c r="H486" s="65">
        <f t="shared" si="43"/>
        <v>-2.2132063626488958E-3</v>
      </c>
      <c r="I486" s="65">
        <f t="shared" si="44"/>
        <v>0.12547567023065898</v>
      </c>
      <c r="J486" s="65">
        <f t="shared" si="45"/>
        <v>0.10681139470712951</v>
      </c>
      <c r="K486" s="82">
        <f t="shared" si="46"/>
        <v>0</v>
      </c>
      <c r="L486" s="60">
        <f t="shared" si="47"/>
        <v>-2.2268841014456225E-3</v>
      </c>
      <c r="M486" s="60"/>
      <c r="N486" s="60"/>
      <c r="O486" s="60">
        <f t="shared" si="48"/>
        <v>1.2113871862970882E-3</v>
      </c>
    </row>
    <row r="487" spans="1:15" x14ac:dyDescent="0.25">
      <c r="A487" s="51">
        <v>44187</v>
      </c>
      <c r="B487" s="52">
        <v>40.71</v>
      </c>
      <c r="C487" s="72">
        <v>0.40648192474456651</v>
      </c>
      <c r="D487" s="52">
        <v>41.25</v>
      </c>
      <c r="E487" s="72">
        <v>0.41234325307845299</v>
      </c>
      <c r="F487" s="52">
        <v>38.65</v>
      </c>
      <c r="G487" s="72">
        <v>0.38635313288441719</v>
      </c>
      <c r="H487" s="65">
        <f t="shared" si="43"/>
        <v>-7.3664828377229257E-4</v>
      </c>
      <c r="I487" s="65">
        <f t="shared" si="44"/>
        <v>0.13162532772285856</v>
      </c>
      <c r="J487" s="65">
        <f t="shared" si="45"/>
        <v>0.12501742354024531</v>
      </c>
      <c r="K487" s="82">
        <f t="shared" si="46"/>
        <v>0.05</v>
      </c>
      <c r="L487" s="60">
        <f t="shared" si="47"/>
        <v>-7.5032620965172334E-4</v>
      </c>
      <c r="M487" s="60"/>
      <c r="N487" s="60"/>
      <c r="O487" s="60">
        <f t="shared" si="48"/>
        <v>2.4271856576111375E-3</v>
      </c>
    </row>
    <row r="488" spans="1:15" x14ac:dyDescent="0.25">
      <c r="A488" s="51">
        <v>44186</v>
      </c>
      <c r="B488" s="52">
        <v>40.74</v>
      </c>
      <c r="C488" s="72">
        <v>0.40678703323758719</v>
      </c>
      <c r="D488" s="52">
        <v>41.15</v>
      </c>
      <c r="E488" s="72">
        <v>0.41134504125158328</v>
      </c>
      <c r="F488" s="52">
        <v>38.61</v>
      </c>
      <c r="G488" s="72">
        <v>0.38595460614152199</v>
      </c>
      <c r="H488" s="65">
        <f t="shared" si="43"/>
        <v>1.2846026454153813E-2</v>
      </c>
      <c r="I488" s="65">
        <f t="shared" si="44"/>
        <v>0.13576728834966897</v>
      </c>
      <c r="J488" s="65">
        <f t="shared" si="45"/>
        <v>0.14688868171991665</v>
      </c>
      <c r="K488" s="82">
        <f t="shared" si="46"/>
        <v>0.15</v>
      </c>
      <c r="L488" s="60">
        <f t="shared" si="47"/>
        <v>1.2804991553965427E-2</v>
      </c>
      <c r="M488" s="60"/>
      <c r="N488" s="60"/>
      <c r="O488" s="60">
        <f t="shared" si="48"/>
        <v>-6.0569537081899072E-3</v>
      </c>
    </row>
    <row r="489" spans="1:15" x14ac:dyDescent="0.25">
      <c r="A489" s="51">
        <v>44183</v>
      </c>
      <c r="B489" s="52">
        <v>40.22</v>
      </c>
      <c r="C489" s="72">
        <v>0.40161133680769279</v>
      </c>
      <c r="D489" s="52">
        <v>41.4</v>
      </c>
      <c r="E489" s="72">
        <v>0.41384835009089133</v>
      </c>
      <c r="F489" s="52">
        <v>38.26</v>
      </c>
      <c r="G489" s="72">
        <v>0.38245985204051941</v>
      </c>
      <c r="H489" s="65">
        <f t="shared" si="43"/>
        <v>9.4929516281084016E-3</v>
      </c>
      <c r="I489" s="65">
        <f t="shared" si="44"/>
        <v>0.13511341235562482</v>
      </c>
      <c r="J489" s="65">
        <f t="shared" si="45"/>
        <v>0.14278599015200744</v>
      </c>
      <c r="K489" s="82">
        <f t="shared" si="46"/>
        <v>0.1</v>
      </c>
      <c r="L489" s="60">
        <f t="shared" si="47"/>
        <v>9.4792729538452081E-3</v>
      </c>
      <c r="M489" s="60"/>
      <c r="N489" s="60"/>
      <c r="O489" s="60">
        <f t="shared" si="48"/>
        <v>9.464941427300793E-3</v>
      </c>
    </row>
    <row r="490" spans="1:15" x14ac:dyDescent="0.25">
      <c r="A490" s="51">
        <v>44182</v>
      </c>
      <c r="B490" s="52">
        <v>39.840000000000003</v>
      </c>
      <c r="C490" s="72">
        <v>0.39782234016359808</v>
      </c>
      <c r="D490" s="52">
        <v>41.01</v>
      </c>
      <c r="E490" s="72">
        <v>0.40995118210512621</v>
      </c>
      <c r="F490" s="52">
        <v>37.9</v>
      </c>
      <c r="G490" s="72">
        <v>0.37886246773431559</v>
      </c>
      <c r="H490" s="65">
        <f t="shared" si="43"/>
        <v>1.5071592905713386E-3</v>
      </c>
      <c r="I490" s="65">
        <f t="shared" si="44"/>
        <v>0.130391855041848</v>
      </c>
      <c r="J490" s="65">
        <f t="shared" si="45"/>
        <v>0.12936441293735174</v>
      </c>
      <c r="K490" s="82">
        <f t="shared" si="46"/>
        <v>0</v>
      </c>
      <c r="L490" s="60">
        <f t="shared" si="47"/>
        <v>1.4934804291996274E-3</v>
      </c>
      <c r="M490" s="60"/>
      <c r="N490" s="60"/>
      <c r="O490" s="60">
        <f t="shared" si="48"/>
        <v>5.1338579938518501E-3</v>
      </c>
    </row>
    <row r="491" spans="1:15" x14ac:dyDescent="0.25">
      <c r="A491" s="51">
        <v>44181</v>
      </c>
      <c r="B491" s="52">
        <v>39.78</v>
      </c>
      <c r="C491" s="72">
        <v>0.39722864373161892</v>
      </c>
      <c r="D491" s="52">
        <v>40.799999999999997</v>
      </c>
      <c r="E491" s="72">
        <v>0.40785334040841481</v>
      </c>
      <c r="F491" s="52">
        <v>37.28</v>
      </c>
      <c r="G491" s="72">
        <v>0.37266599339278678</v>
      </c>
      <c r="H491" s="65">
        <f t="shared" si="43"/>
        <v>-6.2648995786561273E-3</v>
      </c>
      <c r="I491" s="65">
        <f t="shared" si="44"/>
        <v>0.13469969246491917</v>
      </c>
      <c r="J491" s="65">
        <f t="shared" si="45"/>
        <v>0.16079878672613851</v>
      </c>
      <c r="K491" s="82">
        <f t="shared" si="46"/>
        <v>0</v>
      </c>
      <c r="L491" s="60">
        <f t="shared" si="47"/>
        <v>-6.278578627141789E-3</v>
      </c>
      <c r="M491" s="60"/>
      <c r="N491" s="60"/>
      <c r="O491" s="60">
        <f t="shared" si="48"/>
        <v>3.4372732099155058E-3</v>
      </c>
    </row>
    <row r="492" spans="1:15" x14ac:dyDescent="0.25">
      <c r="A492" s="51">
        <v>44180</v>
      </c>
      <c r="B492" s="52">
        <v>40.03</v>
      </c>
      <c r="C492" s="72">
        <v>0.39973052090172911</v>
      </c>
      <c r="D492" s="52">
        <v>40.659999999999997</v>
      </c>
      <c r="E492" s="72">
        <v>0.40645523512173742</v>
      </c>
      <c r="F492" s="52">
        <v>37</v>
      </c>
      <c r="G492" s="72">
        <v>0.36986826609700663</v>
      </c>
      <c r="H492" s="65">
        <f t="shared" si="43"/>
        <v>-7.4664358807944161E-3</v>
      </c>
      <c r="I492" s="65">
        <f t="shared" si="44"/>
        <v>0.13814462957182749</v>
      </c>
      <c r="J492" s="65">
        <f t="shared" si="45"/>
        <v>0.14622090785062183</v>
      </c>
      <c r="K492" s="82">
        <f t="shared" si="46"/>
        <v>0.1</v>
      </c>
      <c r="L492" s="60">
        <f t="shared" si="47"/>
        <v>-7.4801151163988357E-3</v>
      </c>
      <c r="M492" s="60"/>
      <c r="N492" s="60"/>
      <c r="O492" s="60">
        <f t="shared" si="48"/>
        <v>-2.0448619036452089E-2</v>
      </c>
    </row>
    <row r="493" spans="1:15" x14ac:dyDescent="0.25">
      <c r="A493" s="51">
        <v>44179</v>
      </c>
      <c r="B493" s="52">
        <v>40.33</v>
      </c>
      <c r="C493" s="72">
        <v>0.40273176203438982</v>
      </c>
      <c r="D493" s="52">
        <v>41.5</v>
      </c>
      <c r="E493" s="72">
        <v>0.41485366463199619</v>
      </c>
      <c r="F493" s="52">
        <v>37.42</v>
      </c>
      <c r="G493" s="72">
        <v>0.37406805133805537</v>
      </c>
      <c r="H493" s="65">
        <f t="shared" si="43"/>
        <v>1.1973203649052652E-2</v>
      </c>
      <c r="I493" s="65">
        <f t="shared" si="44"/>
        <v>0.13619485751807023</v>
      </c>
      <c r="J493" s="65">
        <f t="shared" si="45"/>
        <v>0.13796375218931861</v>
      </c>
      <c r="K493" s="82">
        <f t="shared" si="46"/>
        <v>0</v>
      </c>
      <c r="L493" s="60">
        <f t="shared" si="47"/>
        <v>1.1932164819474492E-2</v>
      </c>
      <c r="M493" s="60"/>
      <c r="N493" s="60"/>
      <c r="O493" s="60">
        <f t="shared" si="48"/>
        <v>1.7256473907185623E-2</v>
      </c>
    </row>
    <row r="494" spans="1:15" x14ac:dyDescent="0.25">
      <c r="A494" s="51">
        <v>44176</v>
      </c>
      <c r="B494" s="52">
        <v>39.85</v>
      </c>
      <c r="C494" s="72">
        <v>0.39795485636114908</v>
      </c>
      <c r="D494" s="52">
        <v>40.79</v>
      </c>
      <c r="E494" s="72">
        <v>0.4077603560424512</v>
      </c>
      <c r="F494" s="52">
        <v>37.32</v>
      </c>
      <c r="G494" s="72">
        <v>0.3730722355357754</v>
      </c>
      <c r="H494" s="65">
        <f t="shared" si="43"/>
        <v>4.5271707099852811E-3</v>
      </c>
      <c r="I494" s="65">
        <f t="shared" si="44"/>
        <v>0.1483840587083132</v>
      </c>
      <c r="J494" s="65">
        <f t="shared" si="45"/>
        <v>0.13247049898072485</v>
      </c>
      <c r="K494" s="82">
        <f t="shared" si="46"/>
        <v>0.3</v>
      </c>
      <c r="L494" s="60">
        <f t="shared" si="47"/>
        <v>4.5134907258538477E-3</v>
      </c>
      <c r="M494" s="60"/>
      <c r="N494" s="60"/>
      <c r="O494" s="60">
        <f t="shared" si="48"/>
        <v>4.6688867217800495E-3</v>
      </c>
    </row>
    <row r="495" spans="1:15" x14ac:dyDescent="0.25">
      <c r="A495" s="51">
        <v>44175</v>
      </c>
      <c r="B495" s="52">
        <v>39.67</v>
      </c>
      <c r="C495" s="72">
        <v>0.39616273820435299</v>
      </c>
      <c r="D495" s="52">
        <v>40.6</v>
      </c>
      <c r="E495" s="72">
        <v>0.40586239596849022</v>
      </c>
      <c r="F495" s="52">
        <v>37.35</v>
      </c>
      <c r="G495" s="72">
        <v>0.37337341106953459</v>
      </c>
      <c r="H495" s="65">
        <f t="shared" si="43"/>
        <v>1.3961389359622196E-2</v>
      </c>
      <c r="I495" s="65">
        <f t="shared" si="44"/>
        <v>0.14804397983625531</v>
      </c>
      <c r="J495" s="65">
        <f t="shared" si="45"/>
        <v>0.13256598296672256</v>
      </c>
      <c r="K495" s="82">
        <f t="shared" si="46"/>
        <v>0.25</v>
      </c>
      <c r="L495" s="60">
        <f t="shared" si="47"/>
        <v>1.3947709188346322E-2</v>
      </c>
      <c r="M495" s="60"/>
      <c r="N495" s="60"/>
      <c r="O495" s="60">
        <f t="shared" si="48"/>
        <v>1.4888612493750777E-2</v>
      </c>
    </row>
    <row r="496" spans="1:15" x14ac:dyDescent="0.25">
      <c r="A496" s="51">
        <v>44174</v>
      </c>
      <c r="B496" s="52">
        <v>39.119999999999997</v>
      </c>
      <c r="C496" s="72">
        <v>0.39067553147828937</v>
      </c>
      <c r="D496" s="52">
        <v>40</v>
      </c>
      <c r="E496" s="72">
        <v>0.39986579846489878</v>
      </c>
      <c r="F496" s="52">
        <v>37.130000000000003</v>
      </c>
      <c r="G496" s="72">
        <v>0.37117542742504228</v>
      </c>
      <c r="H496" s="65">
        <f t="shared" si="43"/>
        <v>1.3381568695831368E-2</v>
      </c>
      <c r="I496" s="65">
        <f t="shared" si="44"/>
        <v>0.14354862380029604</v>
      </c>
      <c r="J496" s="65">
        <f t="shared" si="45"/>
        <v>0.12435249316388991</v>
      </c>
      <c r="K496" s="82">
        <f t="shared" si="46"/>
        <v>0.2</v>
      </c>
      <c r="L496" s="60">
        <f t="shared" si="47"/>
        <v>1.3313165032104189E-2</v>
      </c>
      <c r="M496" s="60"/>
      <c r="N496" s="60"/>
      <c r="O496" s="60">
        <f t="shared" si="48"/>
        <v>1.5011261262671913E-3</v>
      </c>
    </row>
    <row r="497" spans="1:15" x14ac:dyDescent="0.25">
      <c r="A497" s="51">
        <v>44169</v>
      </c>
      <c r="B497" s="52">
        <v>38.6</v>
      </c>
      <c r="C497" s="72">
        <v>0.38550887225862951</v>
      </c>
      <c r="D497" s="52">
        <v>39.94</v>
      </c>
      <c r="E497" s="72">
        <v>0.39927283433700911</v>
      </c>
      <c r="F497" s="52">
        <v>37.130000000000003</v>
      </c>
      <c r="G497" s="72">
        <v>0.3711817811450463</v>
      </c>
      <c r="H497" s="65">
        <f t="shared" si="43"/>
        <v>-6.1983669523390187E-3</v>
      </c>
      <c r="I497" s="65">
        <f t="shared" si="44"/>
        <v>0.13623683298007649</v>
      </c>
      <c r="J497" s="65">
        <f t="shared" si="45"/>
        <v>0.10731461510042146</v>
      </c>
      <c r="K497" s="82">
        <f t="shared" si="46"/>
        <v>0</v>
      </c>
      <c r="L497" s="60">
        <f t="shared" si="47"/>
        <v>-6.2120482465895244E-3</v>
      </c>
      <c r="M497" s="60"/>
      <c r="N497" s="60"/>
      <c r="O497" s="60">
        <f t="shared" si="48"/>
        <v>-1.3923646124824402E-2</v>
      </c>
    </row>
    <row r="498" spans="1:15" x14ac:dyDescent="0.25">
      <c r="A498" s="51">
        <v>44168</v>
      </c>
      <c r="B498" s="52">
        <v>38.840000000000003</v>
      </c>
      <c r="C498" s="72">
        <v>0.38791112570459152</v>
      </c>
      <c r="D498" s="52">
        <v>40.5</v>
      </c>
      <c r="E498" s="72">
        <v>0.40487243745121398</v>
      </c>
      <c r="F498" s="52">
        <v>37.39</v>
      </c>
      <c r="G498" s="72">
        <v>0.37378223299508367</v>
      </c>
      <c r="H498" s="65">
        <f t="shared" si="43"/>
        <v>4.9038683896933475E-3</v>
      </c>
      <c r="I498" s="65">
        <f t="shared" si="44"/>
        <v>0.1400594780387511</v>
      </c>
      <c r="J498" s="65">
        <f t="shared" si="45"/>
        <v>0.10126680483999871</v>
      </c>
      <c r="K498" s="82">
        <f t="shared" si="46"/>
        <v>0.05</v>
      </c>
      <c r="L498" s="60">
        <f t="shared" si="47"/>
        <v>4.8901869082623841E-3</v>
      </c>
      <c r="M498" s="60"/>
      <c r="N498" s="60"/>
      <c r="O498" s="60">
        <f t="shared" si="48"/>
        <v>-2.7123675857129203E-3</v>
      </c>
    </row>
    <row r="499" spans="1:15" x14ac:dyDescent="0.25">
      <c r="A499" s="51">
        <v>44167</v>
      </c>
      <c r="B499" s="52">
        <v>38.65</v>
      </c>
      <c r="C499" s="72">
        <v>0.38601879848408149</v>
      </c>
      <c r="D499" s="52">
        <v>40.61</v>
      </c>
      <c r="E499" s="72">
        <v>0.40597348086726398</v>
      </c>
      <c r="F499" s="52">
        <v>37.979999999999997</v>
      </c>
      <c r="G499" s="72">
        <v>0.37968167454663099</v>
      </c>
      <c r="H499" s="65">
        <f t="shared" si="43"/>
        <v>4.4081492359253314E-3</v>
      </c>
      <c r="I499" s="65">
        <f t="shared" si="44"/>
        <v>0.139096387706062</v>
      </c>
      <c r="J499" s="65">
        <f t="shared" si="45"/>
        <v>8.9536039255710936E-2</v>
      </c>
      <c r="K499" s="82">
        <f t="shared" si="46"/>
        <v>0</v>
      </c>
      <c r="L499" s="60">
        <f t="shared" si="47"/>
        <v>4.3944675673086905E-3</v>
      </c>
      <c r="M499" s="60"/>
      <c r="N499" s="60"/>
      <c r="O499" s="60">
        <f t="shared" si="48"/>
        <v>-1.7222294821527396E-3</v>
      </c>
    </row>
    <row r="500" spans="1:15" x14ac:dyDescent="0.25">
      <c r="A500" s="51">
        <v>44166</v>
      </c>
      <c r="B500" s="52">
        <v>38.479999999999997</v>
      </c>
      <c r="C500" s="72">
        <v>0.38432617321110962</v>
      </c>
      <c r="D500" s="52">
        <v>40.68</v>
      </c>
      <c r="E500" s="72">
        <v>0.40667465507206679</v>
      </c>
      <c r="F500" s="52">
        <v>36.950000000000003</v>
      </c>
      <c r="G500" s="72">
        <v>0.36938614810503623</v>
      </c>
      <c r="H500" s="65">
        <f t="shared" si="43"/>
        <v>-3.3726844786393416E-3</v>
      </c>
      <c r="I500" s="65">
        <f t="shared" si="44"/>
        <v>0.14045464941176228</v>
      </c>
      <c r="J500" s="65">
        <f t="shared" si="45"/>
        <v>0.11570266439635689</v>
      </c>
      <c r="K500" s="82">
        <f t="shared" si="46"/>
        <v>0</v>
      </c>
      <c r="L500" s="60">
        <f t="shared" si="47"/>
        <v>-3.3863663344463001E-3</v>
      </c>
      <c r="M500" s="60"/>
      <c r="N500" s="60"/>
      <c r="O500" s="60">
        <f t="shared" si="48"/>
        <v>-4.9152126819022846E-4</v>
      </c>
    </row>
    <row r="501" spans="1:15" x14ac:dyDescent="0.25">
      <c r="A501" s="51">
        <v>44165</v>
      </c>
      <c r="B501" s="52">
        <v>38.61</v>
      </c>
      <c r="C501" s="72">
        <v>0.38562984854082011</v>
      </c>
      <c r="D501" s="52">
        <v>40.700000000000003</v>
      </c>
      <c r="E501" s="72">
        <v>0.40687598642879402</v>
      </c>
      <c r="F501" s="52">
        <v>37.15</v>
      </c>
      <c r="G501" s="72">
        <v>0.37138680333733892</v>
      </c>
      <c r="H501" s="65">
        <f t="shared" si="43"/>
        <v>-1.0306713242420135E-2</v>
      </c>
      <c r="I501" s="65">
        <f t="shared" si="44"/>
        <v>0.15059023612828668</v>
      </c>
      <c r="J501" s="65">
        <f t="shared" si="45"/>
        <v>0.11782504968749996</v>
      </c>
      <c r="K501" s="82">
        <f t="shared" si="46"/>
        <v>0</v>
      </c>
      <c r="L501" s="60">
        <f t="shared" si="47"/>
        <v>-1.0347759933036233E-2</v>
      </c>
      <c r="M501" s="60"/>
      <c r="N501" s="60"/>
      <c r="O501" s="60">
        <f t="shared" si="48"/>
        <v>-1.9224341896227199E-2</v>
      </c>
    </row>
    <row r="502" spans="1:15" x14ac:dyDescent="0.25">
      <c r="A502" s="51">
        <v>44162</v>
      </c>
      <c r="B502" s="52">
        <v>39.01</v>
      </c>
      <c r="C502" s="72">
        <v>0.38964097091098149</v>
      </c>
      <c r="D502" s="52">
        <v>41.49</v>
      </c>
      <c r="E502" s="72">
        <v>0.41477783940346341</v>
      </c>
      <c r="F502" s="52">
        <v>37.5</v>
      </c>
      <c r="G502" s="72">
        <v>0.3748895873133255</v>
      </c>
      <c r="H502" s="65">
        <f t="shared" si="43"/>
        <v>2.5637738891866953E-4</v>
      </c>
      <c r="I502" s="65">
        <f t="shared" si="44"/>
        <v>0.1604883345069891</v>
      </c>
      <c r="J502" s="65">
        <f t="shared" si="45"/>
        <v>0.11511769806723621</v>
      </c>
      <c r="K502" s="82">
        <f t="shared" si="46"/>
        <v>0</v>
      </c>
      <c r="L502" s="60">
        <f t="shared" si="47"/>
        <v>2.4269478429771892E-4</v>
      </c>
      <c r="M502" s="60"/>
      <c r="N502" s="60"/>
      <c r="O502" s="60">
        <f t="shared" si="48"/>
        <v>7.0141779892958136E-3</v>
      </c>
    </row>
    <row r="503" spans="1:15" x14ac:dyDescent="0.25">
      <c r="A503" s="51">
        <v>44161</v>
      </c>
      <c r="B503" s="52">
        <v>39</v>
      </c>
      <c r="C503" s="72">
        <v>0.38954641855373878</v>
      </c>
      <c r="D503" s="52">
        <v>41.2</v>
      </c>
      <c r="E503" s="72">
        <v>0.41188010339455983</v>
      </c>
      <c r="F503" s="52">
        <v>37.51</v>
      </c>
      <c r="G503" s="72">
        <v>0.37499084170703728</v>
      </c>
      <c r="H503" s="65">
        <f t="shared" si="43"/>
        <v>-5.1151006667704887E-3</v>
      </c>
      <c r="I503" s="65">
        <f t="shared" si="44"/>
        <v>0.16063405232328914</v>
      </c>
      <c r="J503" s="65">
        <f t="shared" si="45"/>
        <v>0.11887810094978714</v>
      </c>
      <c r="K503" s="82">
        <f t="shared" si="46"/>
        <v>0</v>
      </c>
      <c r="L503" s="60">
        <f t="shared" si="47"/>
        <v>-5.1287834586076974E-3</v>
      </c>
      <c r="M503" s="60"/>
      <c r="N503" s="60"/>
      <c r="O503" s="60">
        <f t="shared" si="48"/>
        <v>-9.6619109117368589E-3</v>
      </c>
    </row>
    <row r="504" spans="1:15" x14ac:dyDescent="0.25">
      <c r="A504" s="51">
        <v>44160</v>
      </c>
      <c r="B504" s="52">
        <v>39.200000000000003</v>
      </c>
      <c r="C504" s="72">
        <v>0.39154944994800511</v>
      </c>
      <c r="D504" s="52">
        <v>41.6</v>
      </c>
      <c r="E504" s="72">
        <v>0.41588036318319388</v>
      </c>
      <c r="F504" s="52">
        <v>38</v>
      </c>
      <c r="G504" s="72">
        <v>0.37989071636926358</v>
      </c>
      <c r="H504" s="65">
        <f t="shared" si="43"/>
        <v>8.9686699827605364E-3</v>
      </c>
      <c r="I504" s="65">
        <f t="shared" si="44"/>
        <v>0.16446711409040032</v>
      </c>
      <c r="J504" s="65">
        <f t="shared" si="45"/>
        <v>0.13030297967593107</v>
      </c>
      <c r="K504" s="82">
        <f t="shared" si="46"/>
        <v>0</v>
      </c>
      <c r="L504" s="60">
        <f t="shared" si="47"/>
        <v>8.9549870037019964E-3</v>
      </c>
      <c r="M504" s="60"/>
      <c r="N504" s="60"/>
      <c r="O504" s="60">
        <f t="shared" si="48"/>
        <v>9.6619109117368901E-3</v>
      </c>
    </row>
    <row r="505" spans="1:15" x14ac:dyDescent="0.25">
      <c r="A505" s="51">
        <v>44159</v>
      </c>
      <c r="B505" s="52">
        <v>38.85</v>
      </c>
      <c r="C505" s="72">
        <v>0.38805878248019382</v>
      </c>
      <c r="D505" s="52">
        <v>41.2</v>
      </c>
      <c r="E505" s="72">
        <v>0.41188292368949919</v>
      </c>
      <c r="F505" s="54">
        <v>38.049999999999997</v>
      </c>
      <c r="G505" s="72">
        <v>0.38039187491226811</v>
      </c>
      <c r="H505" s="65">
        <f t="shared" si="43"/>
        <v>-5.134799472038416E-3</v>
      </c>
      <c r="I505" s="65">
        <f t="shared" si="44"/>
        <v>0.18632305890296441</v>
      </c>
      <c r="J505" s="65">
        <f t="shared" si="45"/>
        <v>5.8410085953870892E-2</v>
      </c>
      <c r="K505" s="82">
        <f t="shared" si="46"/>
        <v>0</v>
      </c>
      <c r="L505" s="60">
        <f t="shared" si="47"/>
        <v>-5.189533260587938E-3</v>
      </c>
      <c r="M505" s="60"/>
      <c r="N505" s="60"/>
      <c r="O505" s="60">
        <f t="shared" si="48"/>
        <v>8.5314350494687958E-3</v>
      </c>
    </row>
    <row r="506" spans="1:15" x14ac:dyDescent="0.25">
      <c r="A506" s="51">
        <v>44155</v>
      </c>
      <c r="B506" s="52">
        <v>39.049999999999997</v>
      </c>
      <c r="C506" s="72">
        <v>0.39007786094500468</v>
      </c>
      <c r="D506" s="52">
        <v>40.85</v>
      </c>
      <c r="E506" s="72">
        <v>0.4083895110569401</v>
      </c>
      <c r="F506" s="52">
        <v>38.79</v>
      </c>
      <c r="G506" s="72">
        <v>0.38779508283717762</v>
      </c>
      <c r="H506" s="65">
        <f t="shared" si="43"/>
        <v>-9.6840716038408634E-3</v>
      </c>
      <c r="I506" s="65">
        <f t="shared" si="44"/>
        <v>0.25857857851910132</v>
      </c>
      <c r="J506" s="65">
        <f t="shared" si="45"/>
        <v>0.13204680965522761</v>
      </c>
      <c r="K506" s="82">
        <f t="shared" si="46"/>
        <v>0.2</v>
      </c>
      <c r="L506" s="60">
        <f t="shared" si="47"/>
        <v>-9.6977555190828867E-3</v>
      </c>
      <c r="M506" s="60"/>
      <c r="N506" s="60"/>
      <c r="O506" s="60">
        <f t="shared" si="48"/>
        <v>-1.223241742744094E-3</v>
      </c>
    </row>
    <row r="507" spans="1:15" x14ac:dyDescent="0.25">
      <c r="A507" s="51">
        <v>44154</v>
      </c>
      <c r="B507" s="52">
        <v>39.43</v>
      </c>
      <c r="C507" s="72">
        <v>0.39387914283368453</v>
      </c>
      <c r="D507" s="52">
        <v>40.9</v>
      </c>
      <c r="E507" s="72">
        <v>0.40889077575168281</v>
      </c>
      <c r="F507" s="52">
        <v>39</v>
      </c>
      <c r="G507" s="72">
        <v>0.3898958497387684</v>
      </c>
      <c r="H507" s="65">
        <f t="shared" si="43"/>
        <v>-7.8312892341350429E-3</v>
      </c>
      <c r="I507" s="65">
        <f t="shared" si="44"/>
        <v>0.25677727134806749</v>
      </c>
      <c r="J507" s="65">
        <f t="shared" si="45"/>
        <v>0.15807152545622838</v>
      </c>
      <c r="K507" s="82">
        <f t="shared" si="46"/>
        <v>0.2</v>
      </c>
      <c r="L507" s="60">
        <f t="shared" si="47"/>
        <v>-7.8449733366291532E-3</v>
      </c>
      <c r="M507" s="60"/>
      <c r="N507" s="60"/>
      <c r="O507" s="60">
        <f t="shared" si="48"/>
        <v>-1.2392334508719724E-2</v>
      </c>
    </row>
    <row r="508" spans="1:15" x14ac:dyDescent="0.25">
      <c r="A508" s="51">
        <v>44153</v>
      </c>
      <c r="B508" s="52">
        <v>39.74</v>
      </c>
      <c r="C508" s="72">
        <v>0.39698126633550912</v>
      </c>
      <c r="D508" s="52">
        <v>41.41</v>
      </c>
      <c r="E508" s="72">
        <v>0.41399083118492719</v>
      </c>
      <c r="F508" s="52">
        <v>39.4</v>
      </c>
      <c r="G508" s="72">
        <v>0.39389613013006841</v>
      </c>
      <c r="H508" s="65">
        <f t="shared" si="43"/>
        <v>-1.1011122263117507E-2</v>
      </c>
      <c r="I508" s="65">
        <f t="shared" si="44"/>
        <v>0.25591856315659739</v>
      </c>
      <c r="J508" s="65">
        <f t="shared" si="45"/>
        <v>0.14711481801613002</v>
      </c>
      <c r="K508" s="82">
        <f t="shared" si="46"/>
        <v>0.2</v>
      </c>
      <c r="L508" s="60">
        <f t="shared" si="47"/>
        <v>-1.1024806552869068E-2</v>
      </c>
      <c r="M508" s="60"/>
      <c r="N508" s="60"/>
      <c r="O508" s="60">
        <f t="shared" si="48"/>
        <v>-6.7388943352296509E-3</v>
      </c>
    </row>
    <row r="509" spans="1:15" x14ac:dyDescent="0.25">
      <c r="A509" s="51">
        <v>44152</v>
      </c>
      <c r="B509" s="52">
        <v>40.18</v>
      </c>
      <c r="C509" s="72">
        <v>0.40138212272155022</v>
      </c>
      <c r="D509" s="52">
        <v>41.69</v>
      </c>
      <c r="E509" s="72">
        <v>0.41679152001533842</v>
      </c>
      <c r="F509" s="52">
        <v>39.65</v>
      </c>
      <c r="G509" s="72">
        <v>0.39639682822279132</v>
      </c>
      <c r="H509" s="65">
        <f t="shared" si="43"/>
        <v>-1.989060824857032E-3</v>
      </c>
      <c r="I509" s="65">
        <f t="shared" si="44"/>
        <v>0.27008769490755086</v>
      </c>
      <c r="J509" s="65">
        <f t="shared" si="45"/>
        <v>0.13091648483982415</v>
      </c>
      <c r="K509" s="82">
        <f t="shared" si="46"/>
        <v>0.25</v>
      </c>
      <c r="L509" s="60">
        <f t="shared" si="47"/>
        <v>-2.0027453018705167E-3</v>
      </c>
      <c r="M509" s="60"/>
      <c r="N509" s="60"/>
      <c r="O509" s="60">
        <f t="shared" si="48"/>
        <v>-2.7210953686842624E-2</v>
      </c>
    </row>
    <row r="510" spans="1:15" x14ac:dyDescent="0.25">
      <c r="A510" s="51">
        <v>44151</v>
      </c>
      <c r="B510" s="52">
        <v>40.26</v>
      </c>
      <c r="C510" s="72">
        <v>0.40218679438932597</v>
      </c>
      <c r="D510" s="52">
        <v>42.84</v>
      </c>
      <c r="E510" s="72">
        <v>0.4282899940083883</v>
      </c>
      <c r="F510" s="52">
        <v>39.799999999999997</v>
      </c>
      <c r="G510" s="72">
        <v>0.39789780022254562</v>
      </c>
      <c r="H510" s="65">
        <f t="shared" si="43"/>
        <v>8.9820963158275865E-3</v>
      </c>
      <c r="I510" s="65">
        <f t="shared" si="44"/>
        <v>0.31518953626270818</v>
      </c>
      <c r="J510" s="65">
        <f t="shared" si="45"/>
        <v>0.11389950493884479</v>
      </c>
      <c r="K510" s="82">
        <f t="shared" si="46"/>
        <v>0.95</v>
      </c>
      <c r="L510" s="60">
        <f t="shared" si="47"/>
        <v>8.9410417611610563E-3</v>
      </c>
      <c r="M510" s="60"/>
      <c r="N510" s="60"/>
      <c r="O510" s="60">
        <f t="shared" si="48"/>
        <v>7.9681696491768813E-3</v>
      </c>
    </row>
    <row r="511" spans="1:15" x14ac:dyDescent="0.25">
      <c r="A511" s="51">
        <v>44148</v>
      </c>
      <c r="B511" s="52">
        <v>39.9</v>
      </c>
      <c r="C511" s="72">
        <v>0.398606853514342</v>
      </c>
      <c r="D511" s="52">
        <v>42.5</v>
      </c>
      <c r="E511" s="72">
        <v>0.42489523131282703</v>
      </c>
      <c r="F511" s="52">
        <v>39.67</v>
      </c>
      <c r="G511" s="72">
        <v>0.39660220767481991</v>
      </c>
      <c r="H511" s="65">
        <f t="shared" si="43"/>
        <v>1.0835434221062054E-2</v>
      </c>
      <c r="I511" s="65">
        <f t="shared" si="44"/>
        <v>0.31604839073413882</v>
      </c>
      <c r="J511" s="65">
        <f t="shared" si="45"/>
        <v>0.11382888054336765</v>
      </c>
      <c r="K511" s="82">
        <f t="shared" si="46"/>
        <v>1</v>
      </c>
      <c r="L511" s="60">
        <f t="shared" si="47"/>
        <v>1.0821748994947544E-2</v>
      </c>
      <c r="M511" s="60"/>
      <c r="N511" s="60"/>
      <c r="O511" s="60">
        <f t="shared" si="48"/>
        <v>5.899722127188322E-3</v>
      </c>
    </row>
    <row r="512" spans="1:15" x14ac:dyDescent="0.25">
      <c r="A512" s="51">
        <v>44147</v>
      </c>
      <c r="B512" s="52">
        <v>39.47</v>
      </c>
      <c r="C512" s="72">
        <v>0.39431648670471192</v>
      </c>
      <c r="D512" s="52">
        <v>42.25</v>
      </c>
      <c r="E512" s="72">
        <v>0.42239729380869723</v>
      </c>
      <c r="F512" s="52">
        <v>39</v>
      </c>
      <c r="G512" s="72">
        <v>0.38990519428495118</v>
      </c>
      <c r="H512" s="65">
        <f t="shared" si="43"/>
        <v>6.8641428783388341E-3</v>
      </c>
      <c r="I512" s="65">
        <f t="shared" si="44"/>
        <v>0.31023345589726053</v>
      </c>
      <c r="J512" s="65">
        <f t="shared" si="45"/>
        <v>0.13148536851673376</v>
      </c>
      <c r="K512" s="82">
        <f t="shared" si="46"/>
        <v>1</v>
      </c>
      <c r="L512" s="60">
        <f t="shared" si="47"/>
        <v>6.8504574649366438E-3</v>
      </c>
      <c r="M512" s="60"/>
      <c r="N512" s="60"/>
      <c r="O512" s="60">
        <f t="shared" si="48"/>
        <v>8.3185268750908137E-3</v>
      </c>
    </row>
    <row r="513" spans="1:15" x14ac:dyDescent="0.25">
      <c r="A513" s="51">
        <v>44146</v>
      </c>
      <c r="B513" s="52">
        <v>39.200000000000003</v>
      </c>
      <c r="C513" s="72">
        <v>0.39162446968660192</v>
      </c>
      <c r="D513" s="52">
        <v>41.9</v>
      </c>
      <c r="E513" s="72">
        <v>0.41889957886807949</v>
      </c>
      <c r="F513" s="52">
        <v>38.450000000000003</v>
      </c>
      <c r="G513" s="72">
        <v>0.38440784743383438</v>
      </c>
      <c r="H513" s="65">
        <f t="shared" si="43"/>
        <v>2.0619287202735825E-2</v>
      </c>
      <c r="I513" s="65">
        <f t="shared" si="44"/>
        <v>0.30706169318120075</v>
      </c>
      <c r="J513" s="65">
        <f t="shared" si="45"/>
        <v>0.18621786488543976</v>
      </c>
      <c r="K513" s="82">
        <f t="shared" si="46"/>
        <v>1</v>
      </c>
      <c r="L513" s="60">
        <f t="shared" si="47"/>
        <v>2.0605601602040047E-2</v>
      </c>
      <c r="M513" s="60"/>
      <c r="N513" s="60"/>
      <c r="O513" s="60">
        <f t="shared" si="48"/>
        <v>9.5923996914395078E-3</v>
      </c>
    </row>
    <row r="514" spans="1:15" x14ac:dyDescent="0.25">
      <c r="A514" s="51">
        <v>44145</v>
      </c>
      <c r="B514" s="52">
        <v>38.4</v>
      </c>
      <c r="C514" s="72">
        <v>0.38363738384266932</v>
      </c>
      <c r="D514" s="52">
        <v>41.5</v>
      </c>
      <c r="E514" s="72">
        <v>0.41490195809894242</v>
      </c>
      <c r="F514" s="52">
        <v>38.5</v>
      </c>
      <c r="G514" s="72">
        <v>0.38490904546528393</v>
      </c>
      <c r="H514" s="65">
        <f t="shared" si="43"/>
        <v>1.30293178041584E-3</v>
      </c>
      <c r="I514" s="65">
        <f t="shared" si="44"/>
        <v>0.28961951818214998</v>
      </c>
      <c r="J514" s="65">
        <f t="shared" si="45"/>
        <v>0.11274052496755833</v>
      </c>
      <c r="K514" s="82">
        <f t="shared" si="46"/>
        <v>0.95</v>
      </c>
      <c r="L514" s="60">
        <f t="shared" si="47"/>
        <v>1.2892459924222297E-3</v>
      </c>
      <c r="M514" s="60"/>
      <c r="N514" s="60"/>
      <c r="O514" s="60">
        <f t="shared" si="48"/>
        <v>-3.3678165101155427E-3</v>
      </c>
    </row>
    <row r="515" spans="1:15" x14ac:dyDescent="0.25">
      <c r="A515" s="51">
        <v>44144</v>
      </c>
      <c r="B515" s="52">
        <v>38.35</v>
      </c>
      <c r="C515" s="72">
        <v>0.38314309957847492</v>
      </c>
      <c r="D515" s="52">
        <v>41.64</v>
      </c>
      <c r="E515" s="72">
        <v>0.41630305271375162</v>
      </c>
      <c r="F515" s="52">
        <v>37.9</v>
      </c>
      <c r="G515" s="72">
        <v>0.37891176027500451</v>
      </c>
      <c r="H515" s="65">
        <f t="shared" ref="H515:H554" si="49">LN(B515/B516)</f>
        <v>9.1683680868795067E-3</v>
      </c>
      <c r="I515" s="65">
        <f t="shared" ref="I515:I554" si="50">STDEVA(H515:H534)*SQRT(260)</f>
        <v>0.28918922916041828</v>
      </c>
      <c r="J515" s="65">
        <f t="shared" ref="J515:J554" si="51">STDEVA(H515:H519)*SQRT(260)</f>
        <v>0.1217731914172414</v>
      </c>
      <c r="K515" s="82" t="e">
        <f t="shared" ref="K515:K554" si="52">_xlfn.PERCENTRANK.INC(I515:I535,I515,20)</f>
        <v>#DIV/0!</v>
      </c>
      <c r="L515" s="60">
        <f t="shared" ref="L515:L554" si="53">LN(C515/C516)</f>
        <v>9.1273095990579284E-3</v>
      </c>
      <c r="M515" s="60"/>
      <c r="N515" s="60"/>
      <c r="O515" s="60">
        <f t="shared" ref="O515:O554" si="54">LN(D515/D516)</f>
        <v>2.7759269634274782E-2</v>
      </c>
    </row>
    <row r="516" spans="1:15" x14ac:dyDescent="0.25">
      <c r="A516" s="51">
        <v>44141</v>
      </c>
      <c r="B516" s="52">
        <v>38</v>
      </c>
      <c r="C516" s="72">
        <v>0.37966194484363242</v>
      </c>
      <c r="D516" s="52">
        <v>40.5</v>
      </c>
      <c r="E516" s="72">
        <v>0.40490986595449641</v>
      </c>
      <c r="F516" s="52">
        <v>37.380000000000003</v>
      </c>
      <c r="G516" s="72">
        <v>0.37371680961429821</v>
      </c>
      <c r="H516" s="65">
        <f t="shared" si="49"/>
        <v>2.6319252685147855E-4</v>
      </c>
      <c r="I516" s="65">
        <f t="shared" si="50"/>
        <v>0.28398492699131539</v>
      </c>
      <c r="J516" s="65">
        <f t="shared" si="51"/>
        <v>0.15959144099560182</v>
      </c>
      <c r="K516" s="82" t="e">
        <f t="shared" si="52"/>
        <v>#DIV/0!</v>
      </c>
      <c r="L516" s="60">
        <f t="shared" si="53"/>
        <v>2.4950598961368231E-4</v>
      </c>
      <c r="M516" s="60"/>
      <c r="N516" s="60"/>
      <c r="O516" s="60">
        <f t="shared" si="54"/>
        <v>-3.6968618813260916E-3</v>
      </c>
    </row>
    <row r="517" spans="1:15" x14ac:dyDescent="0.25">
      <c r="A517" s="51">
        <v>44140</v>
      </c>
      <c r="B517" s="52">
        <v>37.99</v>
      </c>
      <c r="C517" s="72">
        <v>0.37956722873097559</v>
      </c>
      <c r="D517" s="52">
        <v>40.65</v>
      </c>
      <c r="E517" s="72">
        <v>0.40641092363317632</v>
      </c>
      <c r="F517" s="52">
        <v>37.4</v>
      </c>
      <c r="G517" s="72">
        <v>0.37391804535992113</v>
      </c>
      <c r="H517" s="65">
        <f t="shared" si="49"/>
        <v>-1.0474041813172064E-2</v>
      </c>
      <c r="I517" s="65">
        <f t="shared" si="50"/>
        <v>0.283117470316193</v>
      </c>
      <c r="J517" s="65">
        <f t="shared" si="51"/>
        <v>0.20374607334975597</v>
      </c>
      <c r="K517" s="82" t="e">
        <f t="shared" si="52"/>
        <v>#DIV/0!</v>
      </c>
      <c r="L517" s="60">
        <f t="shared" si="53"/>
        <v>-1.048772853773409E-2</v>
      </c>
      <c r="M517" s="60"/>
      <c r="N517" s="60"/>
      <c r="O517" s="60">
        <f t="shared" si="54"/>
        <v>-6.6201050896062402E-3</v>
      </c>
    </row>
    <row r="518" spans="1:15" x14ac:dyDescent="0.25">
      <c r="A518" s="51">
        <v>44139</v>
      </c>
      <c r="B518" s="52">
        <v>38.39</v>
      </c>
      <c r="C518" s="72">
        <v>0.38356897472044682</v>
      </c>
      <c r="D518" s="52">
        <v>40.92</v>
      </c>
      <c r="E518" s="72">
        <v>0.40911173274259321</v>
      </c>
      <c r="F518" s="52">
        <v>37.25</v>
      </c>
      <c r="G518" s="72">
        <v>0.37241964918527848</v>
      </c>
      <c r="H518" s="65">
        <f t="shared" si="49"/>
        <v>2.6051843315253392E-4</v>
      </c>
      <c r="I518" s="65">
        <f t="shared" si="50"/>
        <v>0.28878962698286686</v>
      </c>
      <c r="J518" s="65">
        <f t="shared" si="51"/>
        <v>0.19503502900788594</v>
      </c>
      <c r="K518" s="82" t="e">
        <f t="shared" si="52"/>
        <v>#DIV/0!</v>
      </c>
      <c r="L518" s="60">
        <f t="shared" si="53"/>
        <v>2.4683152126173406E-4</v>
      </c>
      <c r="M518" s="60"/>
      <c r="N518" s="60"/>
      <c r="O518" s="60">
        <f t="shared" si="54"/>
        <v>-5.6049860396529825E-3</v>
      </c>
    </row>
    <row r="519" spans="1:15" x14ac:dyDescent="0.25">
      <c r="A519" s="51">
        <v>44138</v>
      </c>
      <c r="B519" s="52">
        <v>38.380000000000003</v>
      </c>
      <c r="C519" s="72">
        <v>0.38347430949056971</v>
      </c>
      <c r="D519" s="52">
        <v>41.15</v>
      </c>
      <c r="E519" s="72">
        <v>0.41141264526025301</v>
      </c>
      <c r="F519" s="52">
        <v>36.85</v>
      </c>
      <c r="G519" s="72">
        <v>0.36842177345906008</v>
      </c>
      <c r="H519" s="65">
        <f t="shared" si="49"/>
        <v>-6.7515187647633618E-3</v>
      </c>
      <c r="I519" s="65">
        <f t="shared" si="50"/>
        <v>0.28911732431011433</v>
      </c>
      <c r="J519" s="65">
        <f t="shared" si="51"/>
        <v>0.20234254781627412</v>
      </c>
      <c r="K519" s="82" t="e">
        <f t="shared" si="52"/>
        <v>#DIV/0!</v>
      </c>
      <c r="L519" s="60">
        <f t="shared" si="53"/>
        <v>-6.7652058639882115E-3</v>
      </c>
      <c r="M519" s="60"/>
      <c r="N519" s="60"/>
      <c r="O519" s="60">
        <f t="shared" si="54"/>
        <v>1.6662968235304713E-2</v>
      </c>
    </row>
    <row r="520" spans="1:15" x14ac:dyDescent="0.25">
      <c r="A520" s="51">
        <v>44137</v>
      </c>
      <c r="B520" s="52">
        <v>38.64</v>
      </c>
      <c r="C520" s="72">
        <v>0.38607738738862052</v>
      </c>
      <c r="D520" s="52">
        <v>40.47</v>
      </c>
      <c r="E520" s="72">
        <v>0.40461547416464372</v>
      </c>
      <c r="F520" s="52">
        <v>36.25</v>
      </c>
      <c r="G520" s="72">
        <v>0.36242428807680588</v>
      </c>
      <c r="H520" s="65">
        <f t="shared" si="49"/>
        <v>1.5386925036622454E-2</v>
      </c>
      <c r="I520" s="65">
        <f t="shared" si="50"/>
        <v>0.29116118947095193</v>
      </c>
      <c r="J520" s="65">
        <f t="shared" si="51"/>
        <v>0.29168491346957537</v>
      </c>
      <c r="K520" s="82" t="e">
        <f t="shared" si="52"/>
        <v>#DIV/0!</v>
      </c>
      <c r="L520" s="60">
        <f t="shared" si="53"/>
        <v>1.5345862614892021E-2</v>
      </c>
      <c r="M520" s="60"/>
      <c r="N520" s="60"/>
      <c r="O520" s="60">
        <f t="shared" si="54"/>
        <v>1.5438553651550129E-2</v>
      </c>
    </row>
    <row r="521" spans="1:15" x14ac:dyDescent="0.25">
      <c r="A521" s="51">
        <v>44134</v>
      </c>
      <c r="B521" s="52">
        <v>38.049999999999997</v>
      </c>
      <c r="C521" s="72">
        <v>0.38019792493635191</v>
      </c>
      <c r="D521" s="52">
        <v>39.85</v>
      </c>
      <c r="E521" s="72">
        <v>0.39842086160968032</v>
      </c>
      <c r="F521" s="52">
        <v>35.979999999999997</v>
      </c>
      <c r="G521" s="72">
        <v>0.3597285470694177</v>
      </c>
      <c r="H521" s="65">
        <f t="shared" si="49"/>
        <v>-1.7971573671155101E-2</v>
      </c>
      <c r="I521" s="65">
        <f t="shared" si="50"/>
        <v>0.27870133397258651</v>
      </c>
      <c r="J521" s="65">
        <f t="shared" si="51"/>
        <v>0.4355794401012722</v>
      </c>
      <c r="K521" s="82" t="e">
        <f t="shared" si="52"/>
        <v>#DIV/0!</v>
      </c>
      <c r="L521" s="60">
        <f t="shared" si="53"/>
        <v>-1.7985261519767724E-2</v>
      </c>
      <c r="M521" s="60"/>
      <c r="N521" s="60"/>
      <c r="O521" s="60">
        <f t="shared" si="54"/>
        <v>6.7984650618044843E-3</v>
      </c>
    </row>
    <row r="522" spans="1:15" x14ac:dyDescent="0.25">
      <c r="A522" s="51">
        <v>44133</v>
      </c>
      <c r="B522" s="52">
        <v>38.74</v>
      </c>
      <c r="C522" s="72">
        <v>0.3870977455959046</v>
      </c>
      <c r="D522" s="52">
        <v>39.58</v>
      </c>
      <c r="E522" s="72">
        <v>0.39572275275031932</v>
      </c>
      <c r="F522" s="52">
        <v>36.090000000000003</v>
      </c>
      <c r="G522" s="72">
        <v>0.360829564091941</v>
      </c>
      <c r="H522" s="65">
        <f t="shared" si="49"/>
        <v>-1.5475886503778218E-3</v>
      </c>
      <c r="I522" s="65">
        <f t="shared" si="50"/>
        <v>0.27838595427650059</v>
      </c>
      <c r="J522" s="65">
        <f t="shared" si="51"/>
        <v>0.4368959714811313</v>
      </c>
      <c r="K522" s="82" t="e">
        <f t="shared" si="52"/>
        <v>#DIV/0!</v>
      </c>
      <c r="L522" s="60">
        <f t="shared" si="53"/>
        <v>-1.561276686350364E-3</v>
      </c>
      <c r="M522" s="60"/>
      <c r="N522" s="60"/>
      <c r="O522" s="60">
        <f t="shared" si="54"/>
        <v>-2.2978033938073836E-2</v>
      </c>
    </row>
    <row r="523" spans="1:15" x14ac:dyDescent="0.25">
      <c r="A523" s="51">
        <v>44132</v>
      </c>
      <c r="B523" s="52">
        <v>38.799999999999997</v>
      </c>
      <c r="C523" s="72">
        <v>0.38770258431887872</v>
      </c>
      <c r="D523" s="52">
        <v>40.5</v>
      </c>
      <c r="E523" s="72">
        <v>0.40492234366011998</v>
      </c>
      <c r="F523" s="52">
        <v>36.1</v>
      </c>
      <c r="G523" s="72">
        <v>0.3609307803982798</v>
      </c>
      <c r="H523" s="65">
        <f t="shared" si="49"/>
        <v>-1.076657413897251E-2</v>
      </c>
      <c r="I523" s="65">
        <f t="shared" si="50"/>
        <v>0.27838037578972041</v>
      </c>
      <c r="J523" s="65">
        <f t="shared" si="51"/>
        <v>0.43486058605810168</v>
      </c>
      <c r="K523" s="82" t="e">
        <f t="shared" si="52"/>
        <v>#DIV/0!</v>
      </c>
      <c r="L523" s="60">
        <f t="shared" si="53"/>
        <v>-1.078026236230957E-2</v>
      </c>
      <c r="M523" s="60"/>
      <c r="N523" s="60"/>
      <c r="O523" s="60">
        <f t="shared" si="54"/>
        <v>0</v>
      </c>
    </row>
    <row r="524" spans="1:15" x14ac:dyDescent="0.25">
      <c r="A524" s="51">
        <v>44131</v>
      </c>
      <c r="B524" s="52">
        <v>39.22</v>
      </c>
      <c r="C524" s="72">
        <v>0.39190472931353088</v>
      </c>
      <c r="D524" s="52">
        <v>40.5</v>
      </c>
      <c r="E524" s="72">
        <v>0.40492373011932692</v>
      </c>
      <c r="F524" s="52">
        <v>36.6</v>
      </c>
      <c r="G524" s="72">
        <v>0.36593107462635471</v>
      </c>
      <c r="H524" s="65">
        <f t="shared" si="49"/>
        <v>2.5566273059878894E-2</v>
      </c>
      <c r="I524" s="65">
        <f t="shared" si="50"/>
        <v>0.27809019885217928</v>
      </c>
      <c r="J524" s="65">
        <f t="shared" si="51"/>
        <v>0.4564762865682554</v>
      </c>
      <c r="K524" s="82" t="e">
        <f t="shared" si="52"/>
        <v>#DIV/0!</v>
      </c>
      <c r="L524" s="60">
        <f t="shared" si="53"/>
        <v>2.555258464917172E-2</v>
      </c>
      <c r="M524" s="60"/>
      <c r="N524" s="60"/>
      <c r="O524" s="60">
        <f t="shared" si="54"/>
        <v>0</v>
      </c>
    </row>
    <row r="525" spans="1:15" x14ac:dyDescent="0.25">
      <c r="A525" s="51">
        <v>44130</v>
      </c>
      <c r="B525" s="52">
        <v>38.229999999999997</v>
      </c>
      <c r="C525" s="72">
        <v>0.38201741177758908</v>
      </c>
      <c r="D525" s="52">
        <v>40.5</v>
      </c>
      <c r="E525" s="72">
        <v>0.40492511658802832</v>
      </c>
      <c r="F525" s="52">
        <v>36</v>
      </c>
      <c r="G525" s="72">
        <v>0.3599334369671362</v>
      </c>
      <c r="H525" s="65">
        <f t="shared" si="49"/>
        <v>-4.9001892684449294E-2</v>
      </c>
      <c r="I525" s="65">
        <f t="shared" si="50"/>
        <v>0.24964308727649637</v>
      </c>
      <c r="J525" s="65">
        <f t="shared" si="51"/>
        <v>0.37213934884450578</v>
      </c>
      <c r="K525" s="82" t="e">
        <f t="shared" si="52"/>
        <v>#DIV/0!</v>
      </c>
      <c r="L525" s="60">
        <f t="shared" si="53"/>
        <v>-4.9042959040842743E-2</v>
      </c>
      <c r="M525" s="60"/>
      <c r="N525" s="60"/>
      <c r="O525" s="60">
        <f t="shared" si="54"/>
        <v>-4.8202101817877749E-2</v>
      </c>
    </row>
    <row r="526" spans="1:15" x14ac:dyDescent="0.25">
      <c r="A526" s="51">
        <v>44127</v>
      </c>
      <c r="B526" s="52">
        <v>40.15</v>
      </c>
      <c r="C526" s="72">
        <v>0.4012196958289414</v>
      </c>
      <c r="D526" s="52">
        <v>42.5</v>
      </c>
      <c r="E526" s="72">
        <v>0.42492578351041432</v>
      </c>
      <c r="F526" s="52">
        <v>37.28</v>
      </c>
      <c r="G526" s="72">
        <v>0.37273489904160578</v>
      </c>
      <c r="H526" s="65">
        <f t="shared" si="49"/>
        <v>1.2461060802471558E-3</v>
      </c>
      <c r="I526" s="65">
        <f t="shared" si="50"/>
        <v>0.20051857807008311</v>
      </c>
      <c r="J526" s="65">
        <f t="shared" si="51"/>
        <v>0.30366766203919554</v>
      </c>
      <c r="K526" s="82" t="e">
        <f t="shared" si="52"/>
        <v>#DIV/0!</v>
      </c>
      <c r="L526" s="60">
        <f t="shared" si="53"/>
        <v>1.2324169200084258E-3</v>
      </c>
      <c r="M526" s="60"/>
      <c r="N526" s="60"/>
      <c r="O526" s="60">
        <f t="shared" si="54"/>
        <v>2.3810648693718607E-2</v>
      </c>
    </row>
    <row r="527" spans="1:15" x14ac:dyDescent="0.25">
      <c r="A527" s="51">
        <v>44126</v>
      </c>
      <c r="B527" s="52">
        <v>40.1</v>
      </c>
      <c r="C527" s="72">
        <v>0.40072553045859</v>
      </c>
      <c r="D527" s="52">
        <v>41.5</v>
      </c>
      <c r="E527" s="72">
        <v>0.41492895052217088</v>
      </c>
      <c r="F527" s="52">
        <v>37.74</v>
      </c>
      <c r="G527" s="72">
        <v>0.37733538777606579</v>
      </c>
      <c r="H527" s="65">
        <f t="shared" si="49"/>
        <v>-4.975134640113732E-3</v>
      </c>
      <c r="I527" s="65">
        <f t="shared" si="50"/>
        <v>0.19889037133920964</v>
      </c>
      <c r="J527" s="65">
        <f t="shared" si="51"/>
        <v>0.27961350503914173</v>
      </c>
      <c r="K527" s="82" t="e">
        <f t="shared" si="52"/>
        <v>#DIV/0!</v>
      </c>
      <c r="L527" s="60">
        <f t="shared" si="53"/>
        <v>-4.9888239877479233E-3</v>
      </c>
      <c r="M527" s="60"/>
      <c r="N527" s="60"/>
      <c r="O527" s="60">
        <f t="shared" si="54"/>
        <v>2.3157646675230723E-2</v>
      </c>
    </row>
    <row r="528" spans="1:15" x14ac:dyDescent="0.25">
      <c r="A528" s="51">
        <v>44125</v>
      </c>
      <c r="B528" s="52">
        <v>40.299999999999997</v>
      </c>
      <c r="C528" s="72">
        <v>0.40272967460197939</v>
      </c>
      <c r="D528" s="52">
        <v>40.549999999999997</v>
      </c>
      <c r="E528" s="72">
        <v>0.4054319651839246</v>
      </c>
      <c r="F528" s="52">
        <v>36.75</v>
      </c>
      <c r="G528" s="72">
        <v>0.36743834082636823</v>
      </c>
      <c r="H528" s="65">
        <f t="shared" si="49"/>
        <v>-2.6446203364759766E-2</v>
      </c>
      <c r="I528" s="65">
        <f t="shared" si="50"/>
        <v>0.23124548681131901</v>
      </c>
      <c r="J528" s="65">
        <f t="shared" si="51"/>
        <v>0.29438082051569742</v>
      </c>
      <c r="K528" s="82" t="e">
        <f t="shared" si="52"/>
        <v>#DIV/0!</v>
      </c>
      <c r="L528" s="60">
        <f t="shared" si="53"/>
        <v>-2.6459892899795175E-2</v>
      </c>
      <c r="M528" s="60"/>
      <c r="N528" s="60"/>
      <c r="O528" s="60">
        <f t="shared" si="54"/>
        <v>-2.7965348243334003E-2</v>
      </c>
    </row>
    <row r="529" spans="1:15" x14ac:dyDescent="0.25">
      <c r="A529" s="51">
        <v>44124</v>
      </c>
      <c r="B529" s="52">
        <v>41.38</v>
      </c>
      <c r="C529" s="72">
        <v>0.41352809111816891</v>
      </c>
      <c r="D529" s="52">
        <v>41.7</v>
      </c>
      <c r="E529" s="72">
        <v>0.41693146332109787</v>
      </c>
      <c r="F529" s="52">
        <v>37.799999999999997</v>
      </c>
      <c r="G529" s="72">
        <v>0.37793787322631889</v>
      </c>
      <c r="H529" s="65">
        <f t="shared" si="49"/>
        <v>-4.6509030909153842E-2</v>
      </c>
      <c r="I529" s="65">
        <f t="shared" si="50"/>
        <v>0.22140326615788014</v>
      </c>
      <c r="J529" s="65">
        <f t="shared" si="51"/>
        <v>0.29933179296164714</v>
      </c>
      <c r="K529" s="82" t="e">
        <f t="shared" si="52"/>
        <v>#DIV/0!</v>
      </c>
      <c r="L529" s="60">
        <f t="shared" si="53"/>
        <v>-4.6522720631594884E-2</v>
      </c>
      <c r="M529" s="60"/>
      <c r="N529" s="60"/>
      <c r="O529" s="60">
        <f t="shared" si="54"/>
        <v>-4.913268857764453E-2</v>
      </c>
    </row>
    <row r="530" spans="1:15" x14ac:dyDescent="0.25">
      <c r="A530" s="51">
        <v>44123</v>
      </c>
      <c r="B530" s="52">
        <v>43.35</v>
      </c>
      <c r="C530" s="72">
        <v>0.43322107684093802</v>
      </c>
      <c r="D530" s="52">
        <v>43.8</v>
      </c>
      <c r="E530" s="72">
        <v>0.43792951134577651</v>
      </c>
      <c r="F530" s="52">
        <v>38.85</v>
      </c>
      <c r="G530" s="72">
        <v>0.3884374775293018</v>
      </c>
      <c r="H530" s="65">
        <f t="shared" si="49"/>
        <v>-1.9191815916097629E-2</v>
      </c>
      <c r="I530" s="65">
        <f t="shared" si="50"/>
        <v>0.16972484857443765</v>
      </c>
      <c r="J530" s="65">
        <f t="shared" si="51"/>
        <v>0.12437782149138263</v>
      </c>
      <c r="K530" s="82" t="e">
        <f t="shared" si="52"/>
        <v>#DIV/0!</v>
      </c>
      <c r="L530" s="60">
        <f t="shared" si="53"/>
        <v>-1.923288620790788E-2</v>
      </c>
      <c r="M530" s="60"/>
      <c r="N530" s="60"/>
      <c r="O530" s="60">
        <f t="shared" si="54"/>
        <v>-1.1350859668689563E-2</v>
      </c>
    </row>
    <row r="531" spans="1:15" x14ac:dyDescent="0.25">
      <c r="A531" s="51">
        <v>44120</v>
      </c>
      <c r="B531" s="52">
        <v>44.19</v>
      </c>
      <c r="C531" s="72">
        <v>0.44163380975850169</v>
      </c>
      <c r="D531" s="52">
        <v>44.3</v>
      </c>
      <c r="E531" s="72">
        <v>0.44293325663256222</v>
      </c>
      <c r="F531" s="52">
        <v>39.799999999999997</v>
      </c>
      <c r="G531" s="72">
        <v>0.39794003643286618</v>
      </c>
      <c r="H531" s="65">
        <f t="shared" si="49"/>
        <v>-4.7409502955304845E-3</v>
      </c>
      <c r="I531" s="65">
        <f t="shared" si="50"/>
        <v>0.16217253246557309</v>
      </c>
      <c r="J531" s="65">
        <f t="shared" si="51"/>
        <v>5.1115813073000456E-2</v>
      </c>
      <c r="K531" s="82" t="e">
        <f t="shared" si="52"/>
        <v>#DIV/0!</v>
      </c>
      <c r="L531" s="60">
        <f t="shared" si="53"/>
        <v>-4.7546407676466442E-3</v>
      </c>
      <c r="M531" s="60"/>
      <c r="N531" s="60"/>
      <c r="O531" s="60">
        <f t="shared" si="54"/>
        <v>-4.5045121211046528E-3</v>
      </c>
    </row>
    <row r="532" spans="1:15" x14ac:dyDescent="0.25">
      <c r="A532" s="51">
        <v>44119</v>
      </c>
      <c r="B532" s="52">
        <v>44.4</v>
      </c>
      <c r="C532" s="72">
        <v>0.44373861971715289</v>
      </c>
      <c r="D532" s="52">
        <v>44.5</v>
      </c>
      <c r="E532" s="72">
        <v>0.44493447882674808</v>
      </c>
      <c r="F532" s="52">
        <v>40.39</v>
      </c>
      <c r="G532" s="72">
        <v>0.40384053033286188</v>
      </c>
      <c r="H532" s="65">
        <f t="shared" si="49"/>
        <v>-1.1254925217345916E-3</v>
      </c>
      <c r="I532" s="65">
        <f t="shared" si="50"/>
        <v>0.17658251296894578</v>
      </c>
      <c r="J532" s="65">
        <f t="shared" si="51"/>
        <v>4.6287444006356551E-2</v>
      </c>
      <c r="K532" s="82" t="e">
        <f t="shared" si="52"/>
        <v>#DIV/0!</v>
      </c>
      <c r="L532" s="60">
        <f t="shared" si="53"/>
        <v>-1.1391831812823947E-3</v>
      </c>
      <c r="M532" s="60"/>
      <c r="N532" s="60"/>
      <c r="O532" s="60">
        <f t="shared" si="54"/>
        <v>-2.2223136784710235E-2</v>
      </c>
    </row>
    <row r="533" spans="1:15" x14ac:dyDescent="0.25">
      <c r="A533" s="51">
        <v>44118</v>
      </c>
      <c r="B533" s="52">
        <v>44.45</v>
      </c>
      <c r="C533" s="72">
        <v>0.4442444073272912</v>
      </c>
      <c r="D533" s="52">
        <v>45.5</v>
      </c>
      <c r="E533" s="72">
        <v>0.45493456420651818</v>
      </c>
      <c r="F533" s="52">
        <v>41.08</v>
      </c>
      <c r="G533" s="72">
        <v>0.41074092082645652</v>
      </c>
      <c r="H533" s="65">
        <f t="shared" si="49"/>
        <v>-6.5029941020699955E-3</v>
      </c>
      <c r="I533" s="65">
        <f t="shared" si="50"/>
        <v>0.2763443520381681</v>
      </c>
      <c r="J533" s="65">
        <f t="shared" si="51"/>
        <v>8.4287451387974555E-2</v>
      </c>
      <c r="K533" s="82" t="e">
        <f t="shared" si="52"/>
        <v>#DIV/0!</v>
      </c>
      <c r="L533" s="60">
        <f t="shared" si="53"/>
        <v>-6.5166849490542241E-3</v>
      </c>
      <c r="M533" s="60"/>
      <c r="N533" s="60"/>
      <c r="O533" s="60">
        <f t="shared" si="54"/>
        <v>1.0827638652063393E-2</v>
      </c>
    </row>
    <row r="534" spans="1:15" x14ac:dyDescent="0.25">
      <c r="A534" s="51">
        <v>44117</v>
      </c>
      <c r="B534" s="52">
        <v>44.74</v>
      </c>
      <c r="C534" s="72">
        <v>0.44714886159828038</v>
      </c>
      <c r="D534" s="52">
        <v>45.01</v>
      </c>
      <c r="E534" s="72">
        <v>0.4500368098999798</v>
      </c>
      <c r="F534" s="52">
        <v>41.56</v>
      </c>
      <c r="G534" s="72">
        <v>0.41554165339798182</v>
      </c>
      <c r="H534" s="65">
        <f t="shared" si="49"/>
        <v>2.2353861722696991E-4</v>
      </c>
      <c r="I534" s="65">
        <f t="shared" si="50"/>
        <v>0.27798309303390234</v>
      </c>
      <c r="J534" s="65">
        <f t="shared" si="51"/>
        <v>6.0674640735614183E-2</v>
      </c>
      <c r="K534" s="82" t="e">
        <f t="shared" si="52"/>
        <v>#DIV/0!</v>
      </c>
      <c r="L534" s="60">
        <f t="shared" si="53"/>
        <v>1.6877335481919377E-4</v>
      </c>
      <c r="M534" s="60"/>
      <c r="N534" s="60"/>
      <c r="O534" s="60">
        <f t="shared" si="54"/>
        <v>-2.2214817374501561E-4</v>
      </c>
    </row>
    <row r="535" spans="1:15" x14ac:dyDescent="0.25">
      <c r="A535" s="51">
        <v>44113</v>
      </c>
      <c r="B535" s="52">
        <v>44.73</v>
      </c>
      <c r="C535" s="72">
        <v>0.44707340115284028</v>
      </c>
      <c r="D535" s="52">
        <v>45.02</v>
      </c>
      <c r="E535" s="72">
        <v>0.45014296133709092</v>
      </c>
      <c r="F535" s="52">
        <v>41.56</v>
      </c>
      <c r="G535" s="72">
        <v>0.41554734502819851</v>
      </c>
      <c r="H535" s="65">
        <f t="shared" si="49"/>
        <v>6.7091582523346978E-4</v>
      </c>
      <c r="I535" s="65" t="e">
        <f t="shared" si="50"/>
        <v>#DIV/0!</v>
      </c>
      <c r="J535" s="65">
        <f t="shared" si="51"/>
        <v>5.9599594664369517E-2</v>
      </c>
      <c r="K535" s="82" t="e">
        <f t="shared" si="52"/>
        <v>#DIV/0!</v>
      </c>
      <c r="L535" s="60">
        <f t="shared" si="53"/>
        <v>6.5722404098836405E-4</v>
      </c>
      <c r="M535" s="60"/>
      <c r="N535" s="60"/>
      <c r="O535" s="60">
        <f t="shared" si="54"/>
        <v>4.8986960576467443E-3</v>
      </c>
    </row>
    <row r="536" spans="1:15" x14ac:dyDescent="0.25">
      <c r="A536" s="51">
        <v>44112</v>
      </c>
      <c r="B536" s="52">
        <v>44.7</v>
      </c>
      <c r="C536" s="72">
        <v>0.44677967029957832</v>
      </c>
      <c r="D536" s="52">
        <v>44.8</v>
      </c>
      <c r="E536" s="72">
        <v>0.44794477393198101</v>
      </c>
      <c r="F536" s="52">
        <v>41.44</v>
      </c>
      <c r="G536" s="72">
        <v>0.41434891588708239</v>
      </c>
      <c r="H536" s="65">
        <f t="shared" si="49"/>
        <v>-2.2346378014161542E-3</v>
      </c>
      <c r="I536" s="65" t="e">
        <f t="shared" si="50"/>
        <v>#DIV/0!</v>
      </c>
      <c r="J536" s="65">
        <f t="shared" si="51"/>
        <v>9.9939100568023506E-2</v>
      </c>
      <c r="K536" s="82" t="e">
        <f t="shared" si="52"/>
        <v>#DIV/0!</v>
      </c>
      <c r="L536" s="60">
        <f t="shared" si="53"/>
        <v>-2.2483297731287137E-3</v>
      </c>
      <c r="M536" s="60"/>
      <c r="N536" s="60"/>
      <c r="O536" s="60">
        <f t="shared" si="54"/>
        <v>6.7189502487447882E-3</v>
      </c>
    </row>
    <row r="537" spans="1:15" x14ac:dyDescent="0.25">
      <c r="A537" s="51">
        <v>44111</v>
      </c>
      <c r="B537" s="52">
        <v>44.8</v>
      </c>
      <c r="C537" s="72">
        <v>0.44778530841377417</v>
      </c>
      <c r="D537" s="52">
        <v>44.5</v>
      </c>
      <c r="E537" s="72">
        <v>0.44494666735151611</v>
      </c>
      <c r="F537" s="52">
        <v>41.6</v>
      </c>
      <c r="G537" s="72">
        <v>0.41595014296231619</v>
      </c>
      <c r="H537" s="65">
        <f t="shared" si="49"/>
        <v>7.8431774610256584E-3</v>
      </c>
      <c r="I537" s="65" t="e">
        <f t="shared" si="50"/>
        <v>#DIV/0!</v>
      </c>
      <c r="J537" s="65">
        <f t="shared" si="51"/>
        <v>9.8635845165272837E-2</v>
      </c>
      <c r="K537" s="82" t="e">
        <f t="shared" si="52"/>
        <v>#DIV/0!</v>
      </c>
      <c r="L537" s="60">
        <f t="shared" si="53"/>
        <v>7.8294853018403068E-3</v>
      </c>
      <c r="M537" s="60"/>
      <c r="N537" s="60"/>
      <c r="O537" s="60">
        <f t="shared" si="54"/>
        <v>1.1299555253933466E-2</v>
      </c>
    </row>
    <row r="538" spans="1:15" x14ac:dyDescent="0.25">
      <c r="A538" s="51">
        <v>44110</v>
      </c>
      <c r="B538" s="52">
        <v>44.45</v>
      </c>
      <c r="C538" s="72">
        <v>0.44429306898157028</v>
      </c>
      <c r="D538" s="52">
        <v>44</v>
      </c>
      <c r="E538" s="72">
        <v>0.43994877308806513</v>
      </c>
      <c r="F538" s="52">
        <v>41.4</v>
      </c>
      <c r="G538" s="72">
        <v>0.4139518001328612</v>
      </c>
      <c r="H538" s="65">
        <f t="shared" si="49"/>
        <v>1.1254925217345582E-3</v>
      </c>
      <c r="I538" s="65" t="e">
        <f t="shared" si="50"/>
        <v>#DIV/0!</v>
      </c>
      <c r="J538" s="65">
        <f t="shared" si="51"/>
        <v>7.6379049944523034E-2</v>
      </c>
      <c r="K538" s="82" t="e">
        <f t="shared" si="52"/>
        <v>#DIV/0!</v>
      </c>
      <c r="L538" s="60">
        <f t="shared" si="53"/>
        <v>1.1118001750716107E-3</v>
      </c>
      <c r="M538" s="60"/>
      <c r="N538" s="60"/>
      <c r="O538" s="60">
        <f t="shared" si="54"/>
        <v>1.2578782206859965E-2</v>
      </c>
    </row>
    <row r="539" spans="1:15" x14ac:dyDescent="0.25">
      <c r="A539" s="51">
        <v>44109</v>
      </c>
      <c r="B539" s="52">
        <v>44.4</v>
      </c>
      <c r="C539" s="72">
        <v>0.44379937836320571</v>
      </c>
      <c r="D539" s="52">
        <v>43.45</v>
      </c>
      <c r="E539" s="72">
        <v>0.43445090109679391</v>
      </c>
      <c r="F539" s="52">
        <v>41.65</v>
      </c>
      <c r="G539" s="72">
        <v>0.41645293511349751</v>
      </c>
      <c r="H539" s="65">
        <f t="shared" si="49"/>
        <v>2.2547923870890828E-3</v>
      </c>
      <c r="I539" s="65" t="e">
        <f t="shared" si="50"/>
        <v>#DIV/0!</v>
      </c>
      <c r="J539" s="65">
        <f t="shared" si="51"/>
        <v>7.8437541475224845E-2</v>
      </c>
      <c r="K539" s="82" t="e">
        <f t="shared" si="52"/>
        <v>#DIV/0!</v>
      </c>
      <c r="L539" s="60">
        <f t="shared" si="53"/>
        <v>2.2137142221818388E-3</v>
      </c>
      <c r="M539" s="60"/>
      <c r="N539" s="60"/>
      <c r="O539" s="60">
        <f t="shared" si="54"/>
        <v>-1.2351483649227333E-2</v>
      </c>
    </row>
    <row r="540" spans="1:15" x14ac:dyDescent="0.25">
      <c r="A540" s="51">
        <v>44106</v>
      </c>
      <c r="B540" s="52">
        <v>44.3</v>
      </c>
      <c r="C540" s="72">
        <v>0.44281801999178422</v>
      </c>
      <c r="D540" s="52">
        <v>43.99</v>
      </c>
      <c r="E540" s="72">
        <v>0.43985480943738658</v>
      </c>
      <c r="F540" s="52">
        <v>42.15</v>
      </c>
      <c r="G540" s="72">
        <v>0.42145669965414512</v>
      </c>
      <c r="H540" s="65">
        <f t="shared" si="49"/>
        <v>-8.9888245684333311E-3</v>
      </c>
      <c r="I540" s="65" t="e">
        <f t="shared" si="50"/>
        <v>#DIV/0!</v>
      </c>
      <c r="J540" s="65">
        <f t="shared" si="51"/>
        <v>7.1246742245832773E-2</v>
      </c>
      <c r="K540" s="82" t="e">
        <f t="shared" si="52"/>
        <v>#DIV/0!</v>
      </c>
      <c r="L540" s="60">
        <f t="shared" si="53"/>
        <v>-9.0025176650587319E-3</v>
      </c>
      <c r="M540" s="60"/>
      <c r="N540" s="60"/>
      <c r="O540" s="60">
        <f t="shared" si="54"/>
        <v>-9.2771340775506424E-3</v>
      </c>
    </row>
    <row r="541" spans="1:15" x14ac:dyDescent="0.25">
      <c r="A541" s="51">
        <v>44105</v>
      </c>
      <c r="B541" s="52">
        <v>44.7</v>
      </c>
      <c r="C541" s="72">
        <v>0.44682249517315042</v>
      </c>
      <c r="D541" s="52">
        <v>44.4</v>
      </c>
      <c r="E541" s="72">
        <v>0.4439559084885405</v>
      </c>
      <c r="F541" s="52">
        <v>42.9</v>
      </c>
      <c r="G541" s="72">
        <v>0.42895739806663041</v>
      </c>
      <c r="H541" s="65">
        <f t="shared" si="49"/>
        <v>2.2396425935048815E-3</v>
      </c>
      <c r="I541" s="65" t="e">
        <f t="shared" si="50"/>
        <v>#DIV/0!</v>
      </c>
      <c r="J541" s="65">
        <f t="shared" si="51"/>
        <v>0.1200247403515218</v>
      </c>
      <c r="K541" s="82" t="e">
        <f t="shared" si="52"/>
        <v>#DIV/0!</v>
      </c>
      <c r="L541" s="60">
        <f t="shared" si="53"/>
        <v>2.2259493093758518E-3</v>
      </c>
      <c r="M541" s="60"/>
      <c r="N541" s="60"/>
      <c r="O541" s="60">
        <f t="shared" si="54"/>
        <v>-6.9577208077101996E-3</v>
      </c>
    </row>
    <row r="542" spans="1:15" x14ac:dyDescent="0.25">
      <c r="A542" s="51">
        <v>44104</v>
      </c>
      <c r="B542" s="52">
        <v>44.6</v>
      </c>
      <c r="C542" s="72">
        <v>0.44582899709700391</v>
      </c>
      <c r="D542" s="52">
        <v>44.71</v>
      </c>
      <c r="E542" s="72">
        <v>0.44705713150793758</v>
      </c>
      <c r="F542" s="52">
        <v>42.4</v>
      </c>
      <c r="G542" s="72">
        <v>0.42395934636404731</v>
      </c>
      <c r="H542" s="65">
        <f t="shared" si="49"/>
        <v>-1.5682763380089801E-3</v>
      </c>
      <c r="I542" s="65" t="e">
        <f t="shared" si="50"/>
        <v>#DIV/0!</v>
      </c>
      <c r="J542" s="65">
        <f t="shared" si="51"/>
        <v>0.10069771964752786</v>
      </c>
      <c r="K542" s="82" t="e">
        <f t="shared" si="52"/>
        <v>#DIV/0!</v>
      </c>
      <c r="L542" s="60">
        <f t="shared" si="53"/>
        <v>-1.5819698096465531E-3</v>
      </c>
      <c r="M542" s="60"/>
      <c r="N542" s="60"/>
      <c r="O542" s="60">
        <f t="shared" si="54"/>
        <v>5.3823857232841435E-3</v>
      </c>
    </row>
    <row r="543" spans="1:15" x14ac:dyDescent="0.25">
      <c r="A543" s="51">
        <v>44103</v>
      </c>
      <c r="B543" s="52">
        <v>44.67</v>
      </c>
      <c r="C543" s="72">
        <v>0.4465348432771441</v>
      </c>
      <c r="D543" s="52">
        <v>44.47</v>
      </c>
      <c r="E543" s="72">
        <v>0.44465888428124789</v>
      </c>
      <c r="F543" s="52">
        <v>41.8</v>
      </c>
      <c r="G543" s="72">
        <v>0.41796135288860281</v>
      </c>
      <c r="H543" s="65">
        <f t="shared" si="49"/>
        <v>-5.1356593841812761E-3</v>
      </c>
      <c r="I543" s="65" t="e">
        <f t="shared" si="50"/>
        <v>#DIV/0!</v>
      </c>
      <c r="J543" s="65">
        <f t="shared" si="51"/>
        <v>0.26805913728201813</v>
      </c>
      <c r="K543" s="82" t="e">
        <f t="shared" si="52"/>
        <v>#DIV/0!</v>
      </c>
      <c r="L543" s="60">
        <f t="shared" si="53"/>
        <v>-5.1493530433324459E-3</v>
      </c>
      <c r="M543" s="60"/>
      <c r="N543" s="60"/>
      <c r="O543" s="60">
        <f t="shared" si="54"/>
        <v>-8.5087839822001361E-3</v>
      </c>
    </row>
    <row r="544" spans="1:15" x14ac:dyDescent="0.25">
      <c r="A544" s="51">
        <v>44102</v>
      </c>
      <c r="B544" s="52">
        <v>44.9</v>
      </c>
      <c r="C544" s="72">
        <v>0.44884013912852949</v>
      </c>
      <c r="D544" s="52">
        <v>44.85</v>
      </c>
      <c r="E544" s="72">
        <v>0.44846006862402671</v>
      </c>
      <c r="F544" s="52">
        <v>42.43</v>
      </c>
      <c r="G544" s="72">
        <v>0.42426222322669899</v>
      </c>
      <c r="H544" s="65">
        <f t="shared" si="49"/>
        <v>-6.6592920899769606E-3</v>
      </c>
      <c r="I544" s="65" t="e">
        <f t="shared" si="50"/>
        <v>#DIV/0!</v>
      </c>
      <c r="J544" s="65">
        <f t="shared" si="51"/>
        <v>0.28402111275038827</v>
      </c>
      <c r="K544" s="82" t="e">
        <f t="shared" si="52"/>
        <v>#DIV/0!</v>
      </c>
      <c r="L544" s="60">
        <f t="shared" si="53"/>
        <v>-6.7003741925647856E-3</v>
      </c>
      <c r="M544" s="60"/>
      <c r="N544" s="60"/>
      <c r="O544" s="60">
        <f t="shared" si="54"/>
        <v>-9.7626690633172974E-3</v>
      </c>
    </row>
    <row r="545" spans="1:15" x14ac:dyDescent="0.25">
      <c r="A545" s="51">
        <v>44099</v>
      </c>
      <c r="B545" s="52">
        <v>45.2</v>
      </c>
      <c r="C545" s="72">
        <v>0.45185763389616967</v>
      </c>
      <c r="D545" s="52">
        <v>45.29</v>
      </c>
      <c r="E545" s="72">
        <v>0.45286432917955088</v>
      </c>
      <c r="F545" s="52">
        <v>42.89</v>
      </c>
      <c r="G545" s="72">
        <v>0.42886621944161929</v>
      </c>
      <c r="H545" s="65">
        <f t="shared" si="49"/>
        <v>-1.7544309650909393E-2</v>
      </c>
      <c r="I545" s="65" t="e">
        <f t="shared" si="50"/>
        <v>#DIV/0!</v>
      </c>
      <c r="J545" s="65">
        <f t="shared" si="51"/>
        <v>0.30630825466937667</v>
      </c>
      <c r="K545" s="82" t="e">
        <f t="shared" si="52"/>
        <v>#DIV/0!</v>
      </c>
      <c r="L545" s="60">
        <f t="shared" si="53"/>
        <v>-1.7558004060167269E-2</v>
      </c>
      <c r="M545" s="60"/>
      <c r="N545" s="60"/>
      <c r="O545" s="60">
        <f t="shared" si="54"/>
        <v>-9.0120403320366228E-3</v>
      </c>
    </row>
    <row r="546" spans="1:15" x14ac:dyDescent="0.25">
      <c r="A546" s="51">
        <v>44098</v>
      </c>
      <c r="B546" s="52">
        <v>46</v>
      </c>
      <c r="C546" s="72">
        <v>0.459861411629372</v>
      </c>
      <c r="D546" s="52">
        <v>45.7</v>
      </c>
      <c r="E546" s="72">
        <v>0.45696557108710989</v>
      </c>
      <c r="F546" s="52">
        <v>43.4</v>
      </c>
      <c r="G546" s="72">
        <v>0.43396730383327281</v>
      </c>
      <c r="H546" s="65">
        <f t="shared" si="49"/>
        <v>-1.1885607233980971E-2</v>
      </c>
      <c r="I546" s="65" t="e">
        <f t="shared" si="50"/>
        <v>#DIV/0!</v>
      </c>
      <c r="J546" s="65">
        <f t="shared" si="51"/>
        <v>0.30357005108896457</v>
      </c>
      <c r="K546" s="82" t="e">
        <f t="shared" si="52"/>
        <v>#DIV/0!</v>
      </c>
      <c r="L546" s="60">
        <f t="shared" si="53"/>
        <v>-1.1899301830778008E-2</v>
      </c>
      <c r="M546" s="60"/>
      <c r="N546" s="60"/>
      <c r="O546" s="60">
        <f t="shared" si="54"/>
        <v>-1.3043663192029226E-2</v>
      </c>
    </row>
    <row r="547" spans="1:15" x14ac:dyDescent="0.25">
      <c r="A547" s="51">
        <v>44097</v>
      </c>
      <c r="B547" s="52">
        <v>46.55</v>
      </c>
      <c r="C547" s="72">
        <v>0.46536612755234791</v>
      </c>
      <c r="D547" s="52">
        <v>46.3</v>
      </c>
      <c r="E547" s="72">
        <v>0.46296670444933752</v>
      </c>
      <c r="F547" s="52">
        <v>43</v>
      </c>
      <c r="G547" s="72">
        <v>0.4299690775663394</v>
      </c>
      <c r="H547" s="65">
        <f t="shared" si="49"/>
        <v>2.5235187254701818E-2</v>
      </c>
      <c r="I547" s="65" t="e">
        <f t="shared" si="50"/>
        <v>#DIV/0!</v>
      </c>
      <c r="J547" s="65">
        <f t="shared" si="51"/>
        <v>0.32976548285374985</v>
      </c>
      <c r="K547" s="82" t="e">
        <f t="shared" si="52"/>
        <v>#DIV/0!</v>
      </c>
      <c r="L547" s="60">
        <f t="shared" si="53"/>
        <v>2.5221492470360121E-2</v>
      </c>
      <c r="M547" s="60"/>
      <c r="N547" s="60"/>
      <c r="O547" s="60">
        <f t="shared" si="54"/>
        <v>2.1172896139430377E-2</v>
      </c>
    </row>
    <row r="548" spans="1:15" x14ac:dyDescent="0.25">
      <c r="A548" s="51">
        <v>44096</v>
      </c>
      <c r="B548" s="52">
        <v>45.39</v>
      </c>
      <c r="C548" s="72">
        <v>0.45377567789646672</v>
      </c>
      <c r="D548" s="52">
        <v>45.33</v>
      </c>
      <c r="E548" s="72">
        <v>0.45326895418122037</v>
      </c>
      <c r="F548" s="52">
        <v>42.65</v>
      </c>
      <c r="G548" s="72">
        <v>0.42647078967194019</v>
      </c>
      <c r="H548" s="65">
        <f t="shared" si="49"/>
        <v>-1.5954878932483953E-2</v>
      </c>
      <c r="I548" s="65" t="e">
        <f t="shared" si="50"/>
        <v>#DIV/0!</v>
      </c>
      <c r="J548" s="65">
        <f t="shared" si="51"/>
        <v>0.39471632867352346</v>
      </c>
      <c r="K548" s="82" t="e">
        <f t="shared" si="52"/>
        <v>#DIV/0!</v>
      </c>
      <c r="L548" s="60">
        <f t="shared" si="53"/>
        <v>-1.596857390437529E-2</v>
      </c>
      <c r="M548" s="60"/>
      <c r="N548" s="60"/>
      <c r="O548" s="60">
        <f t="shared" si="54"/>
        <v>-9.2227267687724473E-3</v>
      </c>
    </row>
    <row r="549" spans="1:15" x14ac:dyDescent="0.25">
      <c r="A549" s="51">
        <v>44095</v>
      </c>
      <c r="B549" s="52">
        <v>46.12</v>
      </c>
      <c r="C549" s="72">
        <v>0.46107999287856583</v>
      </c>
      <c r="D549" s="52">
        <v>45.75</v>
      </c>
      <c r="E549" s="72">
        <v>0.45747023310127077</v>
      </c>
      <c r="F549" s="52">
        <v>43.35</v>
      </c>
      <c r="G549" s="72">
        <v>0.43347179464349922</v>
      </c>
      <c r="H549" s="65">
        <f t="shared" si="49"/>
        <v>-2.1026305621513898E-2</v>
      </c>
      <c r="I549" s="65" t="e">
        <f t="shared" si="50"/>
        <v>#DIV/0!</v>
      </c>
      <c r="J549" s="65">
        <f t="shared" si="51"/>
        <v>0.39550645287483571</v>
      </c>
      <c r="K549" s="82" t="e">
        <f t="shared" si="52"/>
        <v>#DIV/0!</v>
      </c>
      <c r="L549" s="60">
        <f t="shared" si="53"/>
        <v>-2.106739166253721E-2</v>
      </c>
      <c r="M549" s="60"/>
      <c r="N549" s="60"/>
      <c r="O549" s="60">
        <f t="shared" si="54"/>
        <v>-2.461264137996462E-2</v>
      </c>
    </row>
    <row r="550" spans="1:15" x14ac:dyDescent="0.25">
      <c r="A550" s="51">
        <v>44092</v>
      </c>
      <c r="B550" s="52">
        <v>47.1</v>
      </c>
      <c r="C550" s="72">
        <v>0.4708967897447135</v>
      </c>
      <c r="D550" s="52">
        <v>46.89</v>
      </c>
      <c r="E550" s="72">
        <v>0.46887430825708182</v>
      </c>
      <c r="F550" s="52">
        <v>44.25</v>
      </c>
      <c r="G550" s="72">
        <v>0.4424757547531642</v>
      </c>
      <c r="H550" s="65">
        <f t="shared" si="49"/>
        <v>4.255325570138491E-3</v>
      </c>
      <c r="I550" s="65" t="e">
        <f t="shared" si="50"/>
        <v>#DIV/0!</v>
      </c>
      <c r="J550" s="65" t="e">
        <f t="shared" si="51"/>
        <v>#DIV/0!</v>
      </c>
      <c r="K550" s="82" t="e">
        <f t="shared" si="52"/>
        <v>#DIV/0!</v>
      </c>
      <c r="L550" s="60">
        <f t="shared" si="53"/>
        <v>4.2416298479970912E-3</v>
      </c>
      <c r="M550" s="60"/>
      <c r="N550" s="60"/>
      <c r="O550" s="60">
        <f t="shared" si="54"/>
        <v>1.3742969143060769E-2</v>
      </c>
    </row>
    <row r="551" spans="1:15" x14ac:dyDescent="0.25">
      <c r="A551" s="51">
        <v>44091</v>
      </c>
      <c r="B551" s="52">
        <v>46.9</v>
      </c>
      <c r="C551" s="72">
        <v>0.46890364993494488</v>
      </c>
      <c r="D551" s="52">
        <v>46.25</v>
      </c>
      <c r="E551" s="72">
        <v>0.46247624265876752</v>
      </c>
      <c r="F551" s="52">
        <v>44.25</v>
      </c>
      <c r="G551" s="72">
        <v>0.44247727000325332</v>
      </c>
      <c r="H551" s="65">
        <f t="shared" si="49"/>
        <v>-2.2349654707079815E-2</v>
      </c>
      <c r="I551" s="65" t="e">
        <f t="shared" si="50"/>
        <v>#DIV/0!</v>
      </c>
      <c r="J551" s="65" t="e">
        <f t="shared" si="51"/>
        <v>#DIV/0!</v>
      </c>
      <c r="K551" s="82" t="e">
        <f t="shared" si="52"/>
        <v>#DIV/0!</v>
      </c>
      <c r="L551" s="60">
        <f t="shared" si="53"/>
        <v>-2.2363350616796434E-2</v>
      </c>
      <c r="M551" s="60"/>
      <c r="N551" s="60"/>
      <c r="O551" s="60">
        <f t="shared" si="54"/>
        <v>-3.9220713153281267E-2</v>
      </c>
    </row>
    <row r="552" spans="1:15" x14ac:dyDescent="0.25">
      <c r="A552" s="51">
        <v>44090</v>
      </c>
      <c r="B552" s="52">
        <v>47.96</v>
      </c>
      <c r="C552" s="72">
        <v>0.47950803955405807</v>
      </c>
      <c r="D552" s="52">
        <v>48.1</v>
      </c>
      <c r="E552" s="72">
        <v>0.48097693946180659</v>
      </c>
      <c r="F552" s="52">
        <v>45.15</v>
      </c>
      <c r="G552" s="72">
        <v>0.45147835377755863</v>
      </c>
      <c r="H552" s="65">
        <f t="shared" si="49"/>
        <v>-6.3025701005024998E-2</v>
      </c>
      <c r="I552" s="65" t="e">
        <f t="shared" si="50"/>
        <v>#DIV/0!</v>
      </c>
      <c r="J552" s="65" t="e">
        <f t="shared" si="51"/>
        <v>#DIV/0!</v>
      </c>
      <c r="K552" s="82" t="e">
        <f t="shared" si="52"/>
        <v>#DIV/0!</v>
      </c>
      <c r="L552" s="60">
        <f t="shared" si="53"/>
        <v>-6.3039397102322495E-2</v>
      </c>
      <c r="M552" s="60"/>
      <c r="N552" s="60"/>
      <c r="O552" s="60">
        <f t="shared" si="54"/>
        <v>-3.8740828316430484E-2</v>
      </c>
    </row>
    <row r="553" spans="1:15" x14ac:dyDescent="0.25">
      <c r="A553" s="51">
        <v>44089</v>
      </c>
      <c r="B553" s="52">
        <v>51.08</v>
      </c>
      <c r="C553" s="72">
        <v>0.51070905181269088</v>
      </c>
      <c r="D553" s="52">
        <v>50</v>
      </c>
      <c r="E553" s="72">
        <v>0.49997774071702289</v>
      </c>
      <c r="F553" s="52">
        <v>48.35</v>
      </c>
      <c r="G553" s="72">
        <v>0.48347847527336107</v>
      </c>
      <c r="H553" s="65">
        <f t="shared" si="49"/>
        <v>-1.5347557198970251E-2</v>
      </c>
      <c r="I553" s="65" t="e">
        <f t="shared" si="50"/>
        <v>#DIV/0!</v>
      </c>
      <c r="J553" s="65" t="e">
        <f t="shared" si="51"/>
        <v>#DIV/0!</v>
      </c>
      <c r="K553" s="82" t="e">
        <f t="shared" si="52"/>
        <v>#DIV/0!</v>
      </c>
      <c r="L553" s="60">
        <f t="shared" si="53"/>
        <v>-1.5361253483853149E-2</v>
      </c>
      <c r="M553" s="60"/>
      <c r="N553" s="60"/>
      <c r="O553" s="60">
        <f t="shared" si="54"/>
        <v>0</v>
      </c>
    </row>
    <row r="554" spans="1:15" ht="15.75" thickBot="1" x14ac:dyDescent="0.3">
      <c r="A554" s="55">
        <v>44088</v>
      </c>
      <c r="B554" s="56">
        <v>51.87</v>
      </c>
      <c r="C554" s="73">
        <v>0.51861474826055987</v>
      </c>
      <c r="D554" s="52">
        <v>50</v>
      </c>
      <c r="E554" s="72">
        <v>0.49997945289919588</v>
      </c>
      <c r="F554" s="56">
        <v>49.2</v>
      </c>
      <c r="G554" s="73">
        <v>0.49197978165280881</v>
      </c>
      <c r="H554" s="65" t="e">
        <f t="shared" si="49"/>
        <v>#DIV/0!</v>
      </c>
      <c r="I554" s="65" t="e">
        <f t="shared" si="50"/>
        <v>#DIV/0!</v>
      </c>
      <c r="J554" s="65" t="e">
        <f t="shared" si="51"/>
        <v>#DIV/0!</v>
      </c>
      <c r="K554" s="82" t="e">
        <f t="shared" si="52"/>
        <v>#DIV/0!</v>
      </c>
      <c r="L554" s="60" t="e">
        <f t="shared" si="53"/>
        <v>#DIV/0!</v>
      </c>
      <c r="M554" s="60"/>
      <c r="N554" s="60"/>
      <c r="O554" s="60" t="e">
        <f t="shared" si="54"/>
        <v>#DIV/0!</v>
      </c>
    </row>
    <row r="555" spans="1:15" x14ac:dyDescent="0.25">
      <c r="A555" s="24"/>
      <c r="B555" s="21"/>
      <c r="C555" s="21"/>
    </row>
    <row r="556" spans="1:15" x14ac:dyDescent="0.25">
      <c r="A556" s="24"/>
      <c r="B556" s="21"/>
      <c r="C556" s="21"/>
    </row>
    <row r="557" spans="1:15" x14ac:dyDescent="0.25">
      <c r="A557" s="24"/>
      <c r="B557" s="21"/>
      <c r="C557" s="21"/>
    </row>
    <row r="558" spans="1:15" x14ac:dyDescent="0.25">
      <c r="A558" s="24"/>
      <c r="B558" s="21"/>
      <c r="C558" s="21"/>
    </row>
    <row r="559" spans="1:15" x14ac:dyDescent="0.25">
      <c r="A559" s="24"/>
      <c r="B559" s="25"/>
      <c r="C559" s="21"/>
    </row>
  </sheetData>
  <pageMargins left="0.7" right="0.7" top="0.75" bottom="0.75" header="0.3" footer="0.3"/>
  <pageSetup paperSize="5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workbookViewId="0">
      <selection activeCell="C4" sqref="C4"/>
    </sheetView>
  </sheetViews>
  <sheetFormatPr baseColWidth="10" defaultRowHeight="15" x14ac:dyDescent="0.25"/>
  <sheetData>
    <row r="1" spans="1:8" x14ac:dyDescent="0.25">
      <c r="B1" t="s">
        <v>44</v>
      </c>
      <c r="C1" t="s">
        <v>45</v>
      </c>
      <c r="D1" t="s">
        <v>46</v>
      </c>
      <c r="E1" t="s">
        <v>45</v>
      </c>
      <c r="H1" t="s">
        <v>47</v>
      </c>
    </row>
    <row r="3" spans="1:8" x14ac:dyDescent="0.25">
      <c r="A3" t="s">
        <v>48</v>
      </c>
      <c r="B3">
        <v>66.55</v>
      </c>
      <c r="C3">
        <v>66.5</v>
      </c>
      <c r="D3">
        <v>0.38600000000000001</v>
      </c>
      <c r="E3">
        <v>0.33350000000000002</v>
      </c>
    </row>
    <row r="4" spans="1:8" x14ac:dyDescent="0.25">
      <c r="A4" t="s">
        <v>49</v>
      </c>
      <c r="B4" s="61">
        <v>374</v>
      </c>
      <c r="C4" s="63">
        <f>B5/C3</f>
        <v>374.2812030075188</v>
      </c>
      <c r="D4" s="61">
        <f>C4</f>
        <v>374.2812030075188</v>
      </c>
      <c r="E4" s="63">
        <f>D5/E3</f>
        <v>433.20103256642352</v>
      </c>
    </row>
    <row r="5" spans="1:8" x14ac:dyDescent="0.25">
      <c r="A5" t="s">
        <v>50</v>
      </c>
      <c r="B5" s="62">
        <f>B4*B3</f>
        <v>24889.7</v>
      </c>
      <c r="C5">
        <f>C4*C3</f>
        <v>24889.7</v>
      </c>
      <c r="D5">
        <f>D4*D3</f>
        <v>144.47254436090225</v>
      </c>
      <c r="E5" s="62">
        <f>E4*E3</f>
        <v>144.47254436090225</v>
      </c>
      <c r="H5">
        <f>E5-B5-F6</f>
        <v>-24995.569181082708</v>
      </c>
    </row>
    <row r="6" spans="1:8" x14ac:dyDescent="0.25">
      <c r="A6" t="s">
        <v>51</v>
      </c>
      <c r="B6">
        <f>B5*0.5/100</f>
        <v>124.44850000000001</v>
      </c>
      <c r="C6">
        <f>C5*0.5/100</f>
        <v>124.44850000000001</v>
      </c>
      <c r="D6">
        <f>D5*0.5/100</f>
        <v>0.72236272180451122</v>
      </c>
      <c r="E6">
        <f>E5*0.5/100</f>
        <v>0.72236272180451122</v>
      </c>
      <c r="F6" s="64">
        <f>E6+D6+C6+B6</f>
        <v>250.34172544360905</v>
      </c>
    </row>
    <row r="10" spans="1:8" x14ac:dyDescent="0.25">
      <c r="A10" t="s">
        <v>52</v>
      </c>
      <c r="B10">
        <f>B3/C3</f>
        <v>1.0007518796992481</v>
      </c>
    </row>
    <row r="14" spans="1:8" x14ac:dyDescent="0.25">
      <c r="A14" t="s">
        <v>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Gráficos</vt:lpstr>
      </vt:variant>
      <vt:variant>
        <vt:i4>1</vt:i4>
      </vt:variant>
    </vt:vector>
  </HeadingPairs>
  <TitlesOfParts>
    <vt:vector size="10" baseType="lpstr">
      <vt:lpstr>Flujo de Fondos 0123</vt:lpstr>
      <vt:lpstr>Flujo de Fondos 0722</vt:lpstr>
      <vt:lpstr>Flujo de Fondos 0122</vt:lpstr>
      <vt:lpstr>Flujo de Fondos 0721</vt:lpstr>
      <vt:lpstr>Flujo de Fondos</vt:lpstr>
      <vt:lpstr>Hoja3</vt:lpstr>
      <vt:lpstr>Grafico Paridades bkp</vt:lpstr>
      <vt:lpstr>Paridad usd</vt:lpstr>
      <vt:lpstr>Aribtrar</vt:lpstr>
      <vt:lpstr>30-38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2022-12-27T22:40:03Z</dcterms:modified>
</cp:coreProperties>
</file>