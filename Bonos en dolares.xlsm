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3" activeTab="6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0" r:id="rId18"/>
    <pivotCache xmlns:r="http://schemas.openxmlformats.org/officeDocument/2006/relationships" cacheId="1" r:id="rId19"/>
    <pivotCache xmlns:r="http://schemas.openxmlformats.org/officeDocument/2006/relationships" cacheId="9" r:id="rId20"/>
    <pivotCache xmlns:r="http://schemas.openxmlformats.org/officeDocument/2006/relationships" cacheId="12" r:id="rId21"/>
    <pivotCache xmlns:r="http://schemas.openxmlformats.org/officeDocument/2006/relationships" cacheId="4" r:id="rId22"/>
    <pivotCache xmlns:r="http://schemas.openxmlformats.org/officeDocument/2006/relationships" cacheId="5" r:id="rId23"/>
    <pivotCache xmlns:r="http://schemas.openxmlformats.org/officeDocument/2006/relationships" cacheId="6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8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0" fontId="0" fillId="0" borderId="0" pivotButton="0" quotePrefix="0" xfId="0"/>
  </cellXfs>
  <cellStyles count="2">
    <cellStyle name="Normal" xfId="0" builtinId="0"/>
    <cellStyle name="Normal 2" xfId="1"/>
  </cellStyles>
  <dxfs count="12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layout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layout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37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37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37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37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37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5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9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1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1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9">
      <pivotArea type="normal" dataOnly="1" outline="0" collapsedLevelsAreSubtotals="1" fieldPosition="0"/>
    </format>
    <format action="formatting" dxfId="8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1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7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6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N6" sqref="N6"/>
    </sheetView>
  </sheetViews>
  <sheetFormatPr baseColWidth="10" defaultRowHeight="15"/>
  <cols>
    <col width="22.140625" bestFit="1" customWidth="1" style="77" min="1" max="1"/>
    <col width="10.7109375" bestFit="1" customWidth="1" style="77" min="2" max="2"/>
    <col width="22.140625" bestFit="1" customWidth="1" style="77" min="7" max="7"/>
    <col width="11.85546875" bestFit="1" customWidth="1" style="77" min="8" max="8"/>
    <col width="22.140625" bestFit="1" customWidth="1" style="77" min="13" max="13"/>
    <col width="11.85546875" bestFit="1" customWidth="1" style="77" min="14" max="14"/>
    <col width="11.42578125" customWidth="1" style="77" min="15" max="17"/>
    <col width="22.140625" bestFit="1" customWidth="1" style="77" min="19" max="19"/>
    <col width="11.42578125" customWidth="1" style="77" min="21" max="23"/>
  </cols>
  <sheetData>
    <row r="1" ht="15.75" customHeight="1" s="77" thickBot="1">
      <c r="A1" t="inlineStr">
        <is>
          <t>DÓLAR</t>
        </is>
      </c>
      <c r="B1" s="26" t="n">
        <v>145</v>
      </c>
    </row>
    <row r="2" ht="19.5" customHeight="1" s="77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7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7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7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7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7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7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7">
      <c r="A9" s="30" t="inlineStr">
        <is>
          <t>Valor Tecnico</t>
        </is>
      </c>
      <c r="B9" s="46">
        <f>B7+B8</f>
        <v/>
      </c>
      <c r="C9" s="27" t="n"/>
      <c r="D9" s="27" t="n"/>
      <c r="E9" s="28" t="n"/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/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7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7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7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7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7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7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7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7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7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7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7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7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7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7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7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7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7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7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7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7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7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7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7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7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7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7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7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7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7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7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7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7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7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7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7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7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7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7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7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7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7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7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7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7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7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7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7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7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7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7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7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7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7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7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7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7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7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7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7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7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7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7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7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7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7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7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7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7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7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7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7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7" min="1" max="1"/>
    <col width="10.7109375" bestFit="1" customWidth="1" style="77" min="2" max="2"/>
    <col width="22.140625" bestFit="1" customWidth="1" style="77" min="7" max="7"/>
    <col width="11.85546875" bestFit="1" customWidth="1" style="77" min="8" max="8"/>
    <col width="22.140625" bestFit="1" customWidth="1" style="77" min="13" max="13"/>
    <col width="11.85546875" bestFit="1" customWidth="1" style="77" min="14" max="14"/>
    <col width="11.42578125" customWidth="1" style="77" min="15" max="17"/>
    <col width="22.140625" bestFit="1" customWidth="1" style="77" min="19" max="19"/>
    <col width="11.42578125" customWidth="1" style="77" min="21" max="23"/>
  </cols>
  <sheetData>
    <row r="1" ht="15.75" customHeight="1" s="77" thickBot="1">
      <c r="A1" t="inlineStr">
        <is>
          <t>DÓLAR</t>
        </is>
      </c>
      <c r="B1" s="26" t="n">
        <v>145</v>
      </c>
    </row>
    <row r="2" ht="19.5" customHeight="1" s="77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7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7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7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7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7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7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7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usd'!B40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usd'!D40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usd'!F40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7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7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7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7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7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7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7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7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7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7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7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7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7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7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7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7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7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7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7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7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7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7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7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7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7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7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7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7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7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usd'!J40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usd'!L40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usd'!N40</f>
        <v/>
      </c>
      <c r="T38" s="26" t="n"/>
      <c r="U38" s="26" t="n"/>
      <c r="V38" s="26" t="n"/>
    </row>
    <row r="39" ht="15.75" customHeight="1" s="77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7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7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7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7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7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7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7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7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7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7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7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7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7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7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7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7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7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7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7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7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7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7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7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7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7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7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7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7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7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7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7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7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7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7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7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7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7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7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7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7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7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5.140625" bestFit="1" customWidth="1" style="77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7" min="1" max="1"/>
    <col width="13.7109375" bestFit="1" customWidth="1" style="77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7" min="1" max="1"/>
    <col width="12.140625" customWidth="1" style="77" min="2" max="2"/>
    <col width="13.5703125" customWidth="1" style="77" min="3" max="3"/>
    <col width="12.140625" customWidth="1" style="77" min="4" max="6"/>
    <col width="13.5703125" customWidth="1" style="77" min="7" max="7"/>
    <col width="12.140625" customWidth="1" style="77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Y312"/>
  <sheetViews>
    <sheetView topLeftCell="A154" zoomScaleNormal="100" workbookViewId="0">
      <pane xSplit="1" topLeftCell="B1" activePane="topRight" state="frozen"/>
      <selection pane="topRight" activeCell="B16" sqref="B16"/>
    </sheetView>
  </sheetViews>
  <sheetFormatPr baseColWidth="10" defaultRowHeight="15"/>
  <cols>
    <col width="14.7109375" bestFit="1" customWidth="1" style="77" min="1" max="1"/>
    <col width="11.5703125" bestFit="1" customWidth="1" style="77" min="3" max="3"/>
    <col width="8.28515625" bestFit="1" customWidth="1" style="77" min="4" max="4"/>
    <col width="11.5703125" bestFit="1" customWidth="1" style="77" min="5" max="5"/>
    <col width="11.5703125" bestFit="1" customWidth="1" style="77" min="7" max="7"/>
    <col width="11.85546875" bestFit="1" customWidth="1" style="77" min="13" max="13"/>
    <col width="7.85546875" bestFit="1" customWidth="1" style="77" min="16" max="16"/>
    <col width="9.28515625" bestFit="1" customWidth="1" style="77" min="17" max="17"/>
    <col width="7.85546875" bestFit="1" customWidth="1" style="77" min="18" max="19"/>
    <col width="9.140625" bestFit="1" customWidth="1" style="77" min="20" max="20"/>
  </cols>
  <sheetData>
    <row r="1" ht="19.5" customHeight="1" s="77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44545</v>
      </c>
      <c r="B2" s="66" t="n">
        <v>35.1</v>
      </c>
      <c r="C2" s="67">
        <f>myParidad('Flujo de Fondos'!$B$5,A2,B2,'Flujo de Fondos'!$B$7,'Flujo de Fondos'!$B$6)</f>
        <v/>
      </c>
      <c r="D2" s="66" t="n">
        <v>39</v>
      </c>
      <c r="E2" s="75">
        <f>myParidad('Flujo de Fondos'!$H$5,$A2,D2,'Flujo de Fondos'!$H$7,'Flujo de Fondos'!$H$6)</f>
        <v/>
      </c>
      <c r="F2" s="66" t="n">
        <v>33.11</v>
      </c>
      <c r="G2" s="67">
        <f>myParidad('Flujo de Fondos'!$N$5,$A2,F2,'Flujo de Fondos'!$N$7,'Flujo de Fondos'!$N$6)</f>
        <v/>
      </c>
      <c r="H2" s="68" t="n">
        <v>37.15</v>
      </c>
      <c r="I2" s="67">
        <f>myParidad('Flujo de Fondos'!$T$5,$A2,H2,'Flujo de Fondos'!$T$7,'Flujo de Fondos'!$T$6)</f>
        <v/>
      </c>
      <c r="J2" s="68" t="n">
        <v>32.6</v>
      </c>
      <c r="K2" s="67">
        <f>myParidad('Flujo de Fondos'!$B$34,$A2,J2,'Flujo de Fondos'!$B$36,'Flujo de Fondos'!$B$35)</f>
        <v/>
      </c>
      <c r="L2" s="66" t="n">
        <v>37.3</v>
      </c>
      <c r="M2" s="67">
        <f>myParidad('Flujo de Fondos'!$H$34,'Paridad usd'!$A2,'Paridad usd'!L2,'Flujo de Fondos'!$H$36,'Flujo de Fondos'!$H$35)</f>
        <v/>
      </c>
      <c r="N2" s="68" t="n">
        <v>36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44544</v>
      </c>
      <c r="B3" s="66" t="n">
        <v>35.4</v>
      </c>
      <c r="C3" s="67">
        <f>myParidad('Flujo de Fondos'!$B$5,A3,B3,'Flujo de Fondos'!$B$7,'Flujo de Fondos'!$B$6)</f>
        <v/>
      </c>
      <c r="D3" s="66" t="n">
        <v>39</v>
      </c>
      <c r="E3" s="75">
        <f>myParidad('Flujo de Fondos'!$H$5,$A3,D3,'Flujo de Fondos'!$H$7,'Flujo de Fondos'!$H$6)</f>
        <v/>
      </c>
      <c r="F3" s="66" t="n">
        <v>32.95</v>
      </c>
      <c r="G3" s="67">
        <f>myParidad('Flujo de Fondos'!$N$5,$A3,F3,'Flujo de Fondos'!$N$7,'Flujo de Fondos'!$N$6)</f>
        <v/>
      </c>
      <c r="H3" s="68" t="n">
        <v>37.6</v>
      </c>
      <c r="I3" s="67">
        <f>myParidad('Flujo de Fondos'!$T$5,$A3,H3,'Flujo de Fondos'!$T$7,'Flujo de Fondos'!$T$6)</f>
        <v/>
      </c>
      <c r="J3" s="68" t="n">
        <v>31.86</v>
      </c>
      <c r="K3" s="67">
        <f>myParidad('Flujo de Fondos'!$B$34,$A3,J3,'Flujo de Fondos'!$B$36,'Flujo de Fondos'!$B$35)</f>
        <v/>
      </c>
      <c r="L3" s="66" t="n">
        <v>37</v>
      </c>
      <c r="M3" s="67">
        <f>myParidad('Flujo de Fondos'!$H$34,'Paridad usd'!$A3,'Paridad usd'!L3,'Flujo de Fondos'!$H$36,'Flujo de Fondos'!$H$35)</f>
        <v/>
      </c>
      <c r="N3" s="68" t="n">
        <v>36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44543</v>
      </c>
      <c r="B4" s="66" t="n">
        <v>35.5</v>
      </c>
      <c r="C4" s="67">
        <f>myParidad('Flujo de Fondos'!$B$5,A4,B4,'Flujo de Fondos'!$B$7,'Flujo de Fondos'!$B$6)</f>
        <v/>
      </c>
      <c r="D4" s="66" t="n">
        <v>39</v>
      </c>
      <c r="E4" s="75">
        <f>myParidad('Flujo de Fondos'!$H$5,$A4,D4,'Flujo de Fondos'!$H$7,'Flujo de Fondos'!$H$6)</f>
        <v/>
      </c>
      <c r="F4" s="66" t="n">
        <v>33.05</v>
      </c>
      <c r="G4" s="67">
        <f>myParidad('Flujo de Fondos'!$N$5,$A4,F4,'Flujo de Fondos'!$N$7,'Flujo de Fondos'!$N$6)</f>
        <v/>
      </c>
      <c r="H4" s="68" t="n">
        <v>37.05</v>
      </c>
      <c r="I4" s="67">
        <f>myParidad('Flujo de Fondos'!$T$5,$A4,H4,'Flujo de Fondos'!$T$7,'Flujo de Fondos'!$T$6)</f>
        <v/>
      </c>
      <c r="J4" s="68" t="n">
        <v>32.39</v>
      </c>
      <c r="K4" s="67">
        <f>myParidad('Flujo de Fondos'!$B$34,$A4,J4,'Flujo de Fondos'!$B$36,'Flujo de Fondos'!$B$35)</f>
        <v/>
      </c>
      <c r="L4" s="66" t="n">
        <v>37.05</v>
      </c>
      <c r="M4" s="67">
        <f>myParidad('Flujo de Fondos'!$H$34,'Paridad usd'!$A4,'Paridad usd'!L4,'Flujo de Fondos'!$H$36,'Flujo de Fondos'!$H$35)</f>
        <v/>
      </c>
      <c r="N4" s="68" t="n">
        <v>36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44540</v>
      </c>
      <c r="B5" s="66" t="n">
        <v>36.5</v>
      </c>
      <c r="C5" s="67">
        <f>myParidad('Flujo de Fondos'!$B$5,A5,B5,'Flujo de Fondos'!$B$7,'Flujo de Fondos'!$B$6)</f>
        <v/>
      </c>
      <c r="D5" s="66" t="n">
        <v>39</v>
      </c>
      <c r="E5" s="75">
        <f>myParidad('Flujo de Fondos'!$H$5,$A5,D5,'Flujo de Fondos'!$H$7,'Flujo de Fondos'!$H$6)</f>
        <v/>
      </c>
      <c r="F5" s="66" t="n">
        <v>33.46</v>
      </c>
      <c r="G5" s="67">
        <f>myParidad('Flujo de Fondos'!$N$5,$A5,F5,'Flujo de Fondos'!$N$7,'Flujo de Fondos'!$N$6)</f>
        <v/>
      </c>
      <c r="H5" s="68" t="n">
        <v>36.9</v>
      </c>
      <c r="I5" s="67">
        <f>myParidad('Flujo de Fondos'!$T$5,$A5,H5,'Flujo de Fondos'!$T$7,'Flujo de Fondos'!$T$6)</f>
        <v/>
      </c>
      <c r="J5" s="68" t="n">
        <v>32.8</v>
      </c>
      <c r="K5" s="67">
        <f>myParidad('Flujo de Fondos'!$B$34,$A5,J5,'Flujo de Fondos'!$B$36,'Flujo de Fondos'!$B$35)</f>
        <v/>
      </c>
      <c r="L5" s="66" t="n">
        <v>37.8</v>
      </c>
      <c r="M5" s="67">
        <f>myParidad('Flujo de Fondos'!$H$34,'Paridad usd'!$A5,'Paridad usd'!L5,'Flujo de Fondos'!$H$36,'Flujo de Fondos'!$H$35)</f>
        <v/>
      </c>
      <c r="N5" s="68" t="n">
        <v>36.2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44539</v>
      </c>
      <c r="B6" s="66" t="n">
        <v>37.2</v>
      </c>
      <c r="C6" s="67">
        <f>myParidad('Flujo de Fondos'!$B$5,A6,B6,'Flujo de Fondos'!$B$7,'Flujo de Fondos'!$B$6)</f>
        <v/>
      </c>
      <c r="D6" s="66" t="n">
        <v>39</v>
      </c>
      <c r="E6" s="75">
        <f>myParidad('Flujo de Fondos'!$H$5,$A6,D6,'Flujo de Fondos'!$H$7,'Flujo de Fondos'!$H$6)</f>
        <v/>
      </c>
      <c r="F6" s="66" t="n">
        <v>34.1</v>
      </c>
      <c r="G6" s="67">
        <f>myParidad('Flujo de Fondos'!$N$5,$A6,F6,'Flujo de Fondos'!$N$7,'Flujo de Fondos'!$N$6)</f>
        <v/>
      </c>
      <c r="H6" s="68" t="n">
        <v>38.01</v>
      </c>
      <c r="I6" s="67">
        <f>myParidad('Flujo de Fondos'!$T$5,$A6,H6,'Flujo de Fondos'!$T$7,'Flujo de Fondos'!$T$6)</f>
        <v/>
      </c>
      <c r="J6" s="68" t="n">
        <v>33</v>
      </c>
      <c r="K6" s="67">
        <f>myParidad('Flujo de Fondos'!$B$34,$A6,J6,'Flujo de Fondos'!$B$36,'Flujo de Fondos'!$B$35)</f>
        <v/>
      </c>
      <c r="L6" s="66" t="n">
        <v>38.5</v>
      </c>
      <c r="M6" s="67">
        <f>myParidad('Flujo de Fondos'!$H$34,'Paridad usd'!$A6,'Paridad usd'!L6,'Flujo de Fondos'!$H$36,'Flujo de Fondos'!$H$35)</f>
        <v/>
      </c>
      <c r="N6" s="68" t="n">
        <v>36.9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44537</v>
      </c>
      <c r="B7" s="66" t="n">
        <v>37.05</v>
      </c>
      <c r="C7" s="67">
        <f>myParidad('Flujo de Fondos'!$B$5,A7,B7,'Flujo de Fondos'!$B$7,'Flujo de Fondos'!$B$6)</f>
        <v/>
      </c>
      <c r="D7" s="66" t="n">
        <v>39.4</v>
      </c>
      <c r="E7" s="75">
        <f>myParidad('Flujo de Fondos'!$H$5,$A7,D7,'Flujo de Fondos'!$H$7,'Flujo de Fondos'!$H$6)</f>
        <v/>
      </c>
      <c r="F7" s="66" t="n">
        <v>34.3</v>
      </c>
      <c r="G7" s="67">
        <f>myParidad('Flujo de Fondos'!$N$5,$A7,F7,'Flujo de Fondos'!$N$7,'Flujo de Fondos'!$N$6)</f>
        <v/>
      </c>
      <c r="H7" s="68" t="n">
        <v>38.21</v>
      </c>
      <c r="I7" s="67">
        <f>myParidad('Flujo de Fondos'!$T$5,$A7,H7,'Flujo de Fondos'!$T$7,'Flujo de Fondos'!$T$6)</f>
        <v/>
      </c>
      <c r="J7" s="68" t="n">
        <v>33.35</v>
      </c>
      <c r="K7" s="67">
        <f>myParidad('Flujo de Fondos'!$B$34,$A7,J7,'Flujo de Fondos'!$B$36,'Flujo de Fondos'!$B$35)</f>
        <v/>
      </c>
      <c r="L7" s="66" t="n">
        <v>38</v>
      </c>
      <c r="M7" s="67">
        <f>myParidad('Flujo de Fondos'!$H$34,'Paridad usd'!$A7,'Paridad usd'!L7,'Flujo de Fondos'!$H$36,'Flujo de Fondos'!$H$35)</f>
        <v/>
      </c>
      <c r="N7" s="68" t="n">
        <v>36.9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44536</v>
      </c>
      <c r="B8" s="66" t="n">
        <v>35.4</v>
      </c>
      <c r="C8" s="67">
        <f>myParidad('Flujo de Fondos'!$B$5,A8,B8,'Flujo de Fondos'!$B$7,'Flujo de Fondos'!$B$6)</f>
        <v/>
      </c>
      <c r="D8" s="66" t="n">
        <v>38.4</v>
      </c>
      <c r="E8" s="75">
        <f>myParidad('Flujo de Fondos'!$H$5,$A8,D8,'Flujo de Fondos'!$H$7,'Flujo de Fondos'!$H$6)</f>
        <v/>
      </c>
      <c r="F8" s="66" t="n">
        <v>33.11</v>
      </c>
      <c r="G8" s="67">
        <f>myParidad('Flujo de Fondos'!$N$5,$A8,F8,'Flujo de Fondos'!$N$7,'Flujo de Fondos'!$N$6)</f>
        <v/>
      </c>
      <c r="H8" s="68" t="n">
        <v>37.29</v>
      </c>
      <c r="I8" s="67">
        <f>myParidad('Flujo de Fondos'!$T$5,$A8,H8,'Flujo de Fondos'!$T$7,'Flujo de Fondos'!$T$6)</f>
        <v/>
      </c>
      <c r="J8" s="68" t="n">
        <v>32</v>
      </c>
      <c r="K8" s="67">
        <f>myParidad('Flujo de Fondos'!$B$34,$A8,J8,'Flujo de Fondos'!$B$36,'Flujo de Fondos'!$B$35)</f>
        <v/>
      </c>
      <c r="L8" s="66" t="n">
        <v>36.33</v>
      </c>
      <c r="M8" s="67">
        <f>myParidad('Flujo de Fondos'!$H$34,'Paridad usd'!$A8,'Paridad usd'!L8,'Flujo de Fondos'!$H$36,'Flujo de Fondos'!$H$35)</f>
        <v/>
      </c>
      <c r="N8" s="68" t="n">
        <v>35.4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44533</v>
      </c>
      <c r="B9" s="66" t="n">
        <v>35.15</v>
      </c>
      <c r="C9" s="67">
        <f>myParidad('Flujo de Fondos'!$B$5,A9,B9,'Flujo de Fondos'!$B$7,'Flujo de Fondos'!$B$6)</f>
        <v/>
      </c>
      <c r="D9" s="66" t="n">
        <v>37.7</v>
      </c>
      <c r="E9" s="75">
        <f>myParidad('Flujo de Fondos'!$H$5,$A9,D9,'Flujo de Fondos'!$H$7,'Flujo de Fondos'!$H$6)</f>
        <v/>
      </c>
      <c r="F9" s="66" t="n">
        <v>32.35</v>
      </c>
      <c r="G9" s="67">
        <f>myParidad('Flujo de Fondos'!$N$5,$A9,F9,'Flujo de Fondos'!$N$7,'Flujo de Fondos'!$N$6)</f>
        <v/>
      </c>
      <c r="H9" s="68" t="n">
        <v>37.15</v>
      </c>
      <c r="I9" s="67">
        <f>myParidad('Flujo de Fondos'!$T$5,$A9,H9,'Flujo de Fondos'!$T$7,'Flujo de Fondos'!$T$6)</f>
        <v/>
      </c>
      <c r="J9" s="68" t="n">
        <v>31.23</v>
      </c>
      <c r="K9" s="67">
        <f>myParidad('Flujo de Fondos'!$B$34,$A9,J9,'Flujo de Fondos'!$B$36,'Flujo de Fondos'!$B$35)</f>
        <v/>
      </c>
      <c r="L9" s="66" t="n">
        <v>37</v>
      </c>
      <c r="M9" s="67">
        <f>myParidad('Flujo de Fondos'!$H$34,'Paridad usd'!$A9,'Paridad usd'!L9,'Flujo de Fondos'!$H$36,'Flujo de Fondos'!$H$35)</f>
        <v/>
      </c>
      <c r="N9" s="68" t="n">
        <v>34.75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44532</v>
      </c>
      <c r="B10" s="66" t="n">
        <v>34.2</v>
      </c>
      <c r="C10" s="67">
        <f>myParidad('Flujo de Fondos'!$B$5,A10,B10,'Flujo de Fondos'!$B$7,'Flujo de Fondos'!$B$6)</f>
        <v/>
      </c>
      <c r="D10" s="66" t="n">
        <v>37.7</v>
      </c>
      <c r="E10" s="75">
        <f>myParidad('Flujo de Fondos'!$H$5,$A10,D10,'Flujo de Fondos'!$H$7,'Flujo de Fondos'!$H$6)</f>
        <v/>
      </c>
      <c r="F10" s="66" t="n">
        <v>31.19</v>
      </c>
      <c r="G10" s="67">
        <f>myParidad('Flujo de Fondos'!$N$5,$A10,F10,'Flujo de Fondos'!$N$7,'Flujo de Fondos'!$N$6)</f>
        <v/>
      </c>
      <c r="H10" s="68" t="n">
        <v>35.6</v>
      </c>
      <c r="I10" s="67">
        <f>myParidad('Flujo de Fondos'!$T$5,$A10,H10,'Flujo de Fondos'!$T$7,'Flujo de Fondos'!$T$6)</f>
        <v/>
      </c>
      <c r="J10" s="68" t="n">
        <v>30.8</v>
      </c>
      <c r="K10" s="67">
        <f>myParidad('Flujo de Fondos'!$B$34,$A10,J10,'Flujo de Fondos'!$B$36,'Flujo de Fondos'!$B$35)</f>
        <v/>
      </c>
      <c r="L10" s="66" t="n">
        <v>35.8</v>
      </c>
      <c r="M10" s="67">
        <f>myParidad('Flujo de Fondos'!$H$34,'Paridad usd'!$A10,'Paridad usd'!L10,'Flujo de Fondos'!$H$36,'Flujo de Fondos'!$H$35)</f>
        <v/>
      </c>
      <c r="N10" s="68" t="n">
        <v>34.4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44531</v>
      </c>
      <c r="B11" s="66" t="n">
        <v>34</v>
      </c>
      <c r="C11" s="67">
        <f>myParidad('Flujo de Fondos'!$B$5,A11,B11,'Flujo de Fondos'!$B$7,'Flujo de Fondos'!$B$6)</f>
        <v/>
      </c>
      <c r="D11" s="66" t="n">
        <v>37.15</v>
      </c>
      <c r="E11" s="75">
        <f>myParidad('Flujo de Fondos'!$H$5,$A11,D11,'Flujo de Fondos'!$H$7,'Flujo de Fondos'!$H$6)</f>
        <v/>
      </c>
      <c r="F11" s="66" t="n">
        <v>31.6</v>
      </c>
      <c r="G11" s="67">
        <f>myParidad('Flujo de Fondos'!$N$5,$A11,F11,'Flujo de Fondos'!$N$7,'Flujo de Fondos'!$N$6)</f>
        <v/>
      </c>
      <c r="H11" s="68" t="n">
        <v>35.04</v>
      </c>
      <c r="I11" s="67">
        <f>myParidad('Flujo de Fondos'!$T$5,$A11,H11,'Flujo de Fondos'!$T$7,'Flujo de Fondos'!$T$6)</f>
        <v/>
      </c>
      <c r="J11" s="68" t="n">
        <v>30.61</v>
      </c>
      <c r="K11" s="67">
        <f>myParidad('Flujo de Fondos'!$B$34,$A11,J11,'Flujo de Fondos'!$B$36,'Flujo de Fondos'!$B$35)</f>
        <v/>
      </c>
      <c r="L11" s="66" t="n">
        <v>35</v>
      </c>
      <c r="M11" s="67">
        <f>myParidad('Flujo de Fondos'!$H$34,'Paridad usd'!$A11,'Paridad usd'!L11,'Flujo de Fondos'!$H$36,'Flujo de Fondos'!$H$35)</f>
        <v/>
      </c>
      <c r="N11" s="68" t="n">
        <v>34.02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44530</v>
      </c>
      <c r="B12" s="66" t="n">
        <v>32</v>
      </c>
      <c r="C12" s="67">
        <f>myParidad('Flujo de Fondos'!$B$5,A12,B12,'Flujo de Fondos'!$B$7,'Flujo de Fondos'!$B$6)</f>
        <v/>
      </c>
      <c r="D12" s="66" t="n">
        <v>36.6</v>
      </c>
      <c r="E12" s="75">
        <f>myParidad('Flujo de Fondos'!$H$5,$A12,D12,'Flujo de Fondos'!$H$7,'Flujo de Fondos'!$H$6)</f>
        <v/>
      </c>
      <c r="F12" s="66" t="n">
        <v>29.34</v>
      </c>
      <c r="G12" s="67">
        <f>myParidad('Flujo de Fondos'!$N$5,$A12,F12,'Flujo de Fondos'!$N$7,'Flujo de Fondos'!$N$6)</f>
        <v/>
      </c>
      <c r="H12" s="68" t="n">
        <v>33.36</v>
      </c>
      <c r="I12" s="67">
        <f>myParidad('Flujo de Fondos'!$T$5,$A12,H12,'Flujo de Fondos'!$T$7,'Flujo de Fondos'!$T$6)</f>
        <v/>
      </c>
      <c r="J12" s="68" t="n">
        <v>29.4</v>
      </c>
      <c r="K12" s="67">
        <f>myParidad('Flujo de Fondos'!$B$34,$A12,J12,'Flujo de Fondos'!$B$36,'Flujo de Fondos'!$B$35)</f>
        <v/>
      </c>
      <c r="L12" s="66" t="n">
        <v>33.5</v>
      </c>
      <c r="M12" s="67">
        <f>myParidad('Flujo de Fondos'!$H$34,'Paridad usd'!$A12,'Paridad usd'!L12,'Flujo de Fondos'!$H$36,'Flujo de Fondos'!$H$35)</f>
        <v/>
      </c>
      <c r="N12" s="68" t="n">
        <v>32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44529</v>
      </c>
      <c r="B13" s="66" t="n">
        <v>32</v>
      </c>
      <c r="C13" s="67">
        <f>myParidad('Flujo de Fondos'!$B$5,A13,B13,'Flujo de Fondos'!$B$7,'Flujo de Fondos'!$B$6)</f>
        <v/>
      </c>
      <c r="D13" s="66" t="n">
        <v>36.55</v>
      </c>
      <c r="E13" s="75">
        <f>myParidad('Flujo de Fondos'!$H$5,$A13,D13,'Flujo de Fondos'!$H$7,'Flujo de Fondos'!$H$6)</f>
        <v/>
      </c>
      <c r="F13" s="66" t="n">
        <v>30.11</v>
      </c>
      <c r="G13" s="67">
        <f>myParidad('Flujo de Fondos'!$N$5,$A13,F13,'Flujo de Fondos'!$N$7,'Flujo de Fondos'!$N$6)</f>
        <v/>
      </c>
      <c r="H13" s="68" t="n">
        <v>33.96</v>
      </c>
      <c r="I13" s="67">
        <f>myParidad('Flujo de Fondos'!$T$5,$A13,H13,'Flujo de Fondos'!$T$7,'Flujo de Fondos'!$T$6)</f>
        <v/>
      </c>
      <c r="J13" s="68" t="n">
        <v>29.6</v>
      </c>
      <c r="K13" s="67">
        <f>myParidad('Flujo de Fondos'!$B$34,$A13,J13,'Flujo de Fondos'!$B$36,'Flujo de Fondos'!$B$35)</f>
        <v/>
      </c>
      <c r="L13" s="66" t="n">
        <v>33.45</v>
      </c>
      <c r="M13" s="67">
        <f>myParidad('Flujo de Fondos'!$H$34,'Paridad usd'!$A13,'Paridad usd'!L13,'Flujo de Fondos'!$H$36,'Flujo de Fondos'!$H$35)</f>
        <v/>
      </c>
      <c r="N13" s="68" t="n">
        <v>32.5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44526</v>
      </c>
      <c r="B14" s="66" t="n">
        <v>31.84</v>
      </c>
      <c r="C14" s="67">
        <f>myParidad('Flujo de Fondos'!$B$5,A14,B14,'Flujo de Fondos'!$B$7,'Flujo de Fondos'!$B$6)</f>
        <v/>
      </c>
      <c r="D14" s="66" t="n">
        <v>37</v>
      </c>
      <c r="E14" s="75">
        <f>myParidad('Flujo de Fondos'!$H$5,$A14,D14,'Flujo de Fondos'!$H$7,'Flujo de Fondos'!$H$6)</f>
        <v/>
      </c>
      <c r="F14" s="66" t="n">
        <v>29.25</v>
      </c>
      <c r="G14" s="67">
        <f>myParidad('Flujo de Fondos'!$N$5,$A14,F14,'Flujo de Fondos'!$N$7,'Flujo de Fondos'!$N$6)</f>
        <v/>
      </c>
      <c r="H14" s="68" t="n">
        <v>34.1</v>
      </c>
      <c r="I14" s="67">
        <f>myParidad('Flujo de Fondos'!$T$5,$A14,H14,'Flujo de Fondos'!$T$7,'Flujo de Fondos'!$T$6)</f>
        <v/>
      </c>
      <c r="J14" s="68" t="n">
        <v>29.25</v>
      </c>
      <c r="K14" s="67">
        <f>myParidad('Flujo de Fondos'!$B$34,$A14,J14,'Flujo de Fondos'!$B$36,'Flujo de Fondos'!$B$35)</f>
        <v/>
      </c>
      <c r="L14" s="66" t="n">
        <v>33.15</v>
      </c>
      <c r="M14" s="67">
        <f>myParidad('Flujo de Fondos'!$H$34,'Paridad usd'!$A14,'Paridad usd'!L14,'Flujo de Fondos'!$H$36,'Flujo de Fondos'!$H$35)</f>
        <v/>
      </c>
      <c r="N14" s="68" t="n">
        <v>32.1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44525</v>
      </c>
      <c r="B15" s="66" t="n">
        <v>32.29</v>
      </c>
      <c r="C15" s="67">
        <f>myParidad('Flujo de Fondos'!$B$5,A15,B15,'Flujo de Fondos'!$B$7,'Flujo de Fondos'!$B$6)</f>
        <v/>
      </c>
      <c r="D15" s="66" t="n">
        <v>37.5</v>
      </c>
      <c r="E15" s="75">
        <f>myParidad('Flujo de Fondos'!$H$5,$A15,D15,'Flujo de Fondos'!$H$7,'Flujo de Fondos'!$H$6)</f>
        <v/>
      </c>
      <c r="F15" s="66" t="n">
        <v>29.9</v>
      </c>
      <c r="G15" s="67">
        <f>myParidad('Flujo de Fondos'!$N$5,$A15,F15,'Flujo de Fondos'!$N$7,'Flujo de Fondos'!$N$6)</f>
        <v/>
      </c>
      <c r="H15" s="68" t="n">
        <v>34.74</v>
      </c>
      <c r="I15" s="67">
        <f>myParidad('Flujo de Fondos'!$T$5,$A15,H15,'Flujo de Fondos'!$T$7,'Flujo de Fondos'!$T$6)</f>
        <v/>
      </c>
      <c r="J15" s="68" t="n">
        <v>30</v>
      </c>
      <c r="K15" s="67">
        <f>myParidad('Flujo de Fondos'!$B$34,$A15,J15,'Flujo de Fondos'!$B$36,'Flujo de Fondos'!$B$35)</f>
        <v/>
      </c>
      <c r="L15" s="66" t="n">
        <v>33.5</v>
      </c>
      <c r="M15" s="67">
        <f>myParidad('Flujo de Fondos'!$H$34,'Paridad usd'!$A15,'Paridad usd'!L15,'Flujo de Fondos'!$H$36,'Flujo de Fondos'!$H$35)</f>
        <v/>
      </c>
      <c r="N15" s="68" t="n">
        <v>32.5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44524</v>
      </c>
      <c r="B16" s="66" t="n">
        <v>32.75</v>
      </c>
      <c r="C16" s="67">
        <f>myParidad('Flujo de Fondos'!$B$5,A16,B16,'Flujo de Fondos'!$B$7,'Flujo de Fondos'!$B$6)</f>
        <v/>
      </c>
      <c r="D16" s="66" t="n">
        <v>39</v>
      </c>
      <c r="E16" s="75">
        <f>myParidad('Flujo de Fondos'!$H$5,$A16,D16,'Flujo de Fondos'!$H$7,'Flujo de Fondos'!$H$6)</f>
        <v/>
      </c>
      <c r="F16" s="66" t="n">
        <v>30.15</v>
      </c>
      <c r="G16" s="67">
        <f>myParidad('Flujo de Fondos'!$N$5,$A16,F16,'Flujo de Fondos'!$N$7,'Flujo de Fondos'!$N$6)</f>
        <v/>
      </c>
      <c r="H16" s="68" t="n">
        <v>34.58</v>
      </c>
      <c r="I16" s="67">
        <f>myParidad('Flujo de Fondos'!$T$5,$A16,H16,'Flujo de Fondos'!$T$7,'Flujo de Fondos'!$T$6)</f>
        <v/>
      </c>
      <c r="J16" s="68" t="n">
        <v>30</v>
      </c>
      <c r="K16" s="67">
        <f>myParidad('Flujo de Fondos'!$B$34,$A16,J16,'Flujo de Fondos'!$B$36,'Flujo de Fondos'!$B$35)</f>
        <v/>
      </c>
      <c r="L16" s="66" t="n">
        <v>33.5</v>
      </c>
      <c r="M16" s="67">
        <f>myParidad('Flujo de Fondos'!$H$34,'Paridad usd'!$A16,'Paridad usd'!L16,'Flujo de Fondos'!$H$36,'Flujo de Fondos'!$H$35)</f>
        <v/>
      </c>
      <c r="N16" s="68" t="n">
        <v>32.6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44523</v>
      </c>
      <c r="B17" s="66" t="n">
        <v>32.9</v>
      </c>
      <c r="C17" s="67">
        <f>myParidad('Flujo de Fondos'!$B$5,A17,B17,'Flujo de Fondos'!$B$7,'Flujo de Fondos'!$B$6)</f>
        <v/>
      </c>
      <c r="D17" s="66" t="n">
        <v>39</v>
      </c>
      <c r="E17" s="75">
        <f>myParidad('Flujo de Fondos'!$H$5,$A17,D17,'Flujo de Fondos'!$H$7,'Flujo de Fondos'!$H$6)</f>
        <v/>
      </c>
      <c r="F17" s="66" t="n">
        <v>30.22</v>
      </c>
      <c r="G17" s="67">
        <f>myParidad('Flujo de Fondos'!$N$5,$A17,F17,'Flujo de Fondos'!$N$7,'Flujo de Fondos'!$N$6)</f>
        <v/>
      </c>
      <c r="H17" s="68" t="n">
        <v>34.59</v>
      </c>
      <c r="I17" s="67">
        <f>myParidad('Flujo de Fondos'!$T$5,$A17,H17,'Flujo de Fondos'!$T$7,'Flujo de Fondos'!$T$6)</f>
        <v/>
      </c>
      <c r="J17" s="68" t="n">
        <v>30</v>
      </c>
      <c r="K17" s="67">
        <f>myParidad('Flujo de Fondos'!$B$34,$A17,J17,'Flujo de Fondos'!$B$36,'Flujo de Fondos'!$B$35)</f>
        <v/>
      </c>
      <c r="L17" s="66" t="n">
        <v>33.6</v>
      </c>
      <c r="M17" s="67">
        <f>myParidad('Flujo de Fondos'!$H$34,'Paridad usd'!$A17,'Paridad usd'!L17,'Flujo de Fondos'!$H$36,'Flujo de Fondos'!$H$35)</f>
        <v/>
      </c>
      <c r="N17" s="68" t="n">
        <v>32.55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44519</v>
      </c>
      <c r="B18" s="66" t="n">
        <v>34.3</v>
      </c>
      <c r="C18" s="67">
        <f>myParidad('Flujo de Fondos'!$B$5,A18,B18,'Flujo de Fondos'!$B$7,'Flujo de Fondos'!$B$6)</f>
        <v/>
      </c>
      <c r="D18" s="66" t="n">
        <v>38.8</v>
      </c>
      <c r="E18" s="75">
        <f>myParidad('Flujo de Fondos'!$H$5,$A18,D18,'Flujo de Fondos'!$H$7,'Flujo de Fondos'!$H$6)</f>
        <v/>
      </c>
      <c r="F18" s="66" t="n">
        <v>31.4</v>
      </c>
      <c r="G18" s="67">
        <f>myParidad('Flujo de Fondos'!$N$5,$A18,F18,'Flujo de Fondos'!$N$7,'Flujo de Fondos'!$N$6)</f>
        <v/>
      </c>
      <c r="H18" s="68" t="n">
        <v>35.46</v>
      </c>
      <c r="I18" s="67">
        <f>myParidad('Flujo de Fondos'!$T$5,$A18,H18,'Flujo de Fondos'!$T$7,'Flujo de Fondos'!$T$6)</f>
        <v/>
      </c>
      <c r="J18" s="68" t="n">
        <v>31.49</v>
      </c>
      <c r="K18" s="67">
        <f>myParidad('Flujo de Fondos'!$B$34,$A18,J18,'Flujo de Fondos'!$B$36,'Flujo de Fondos'!$B$35)</f>
        <v/>
      </c>
      <c r="L18" s="66" t="n">
        <v>35.25</v>
      </c>
      <c r="M18" s="67">
        <f>myParidad('Flujo de Fondos'!$H$34,'Paridad usd'!$A18,'Paridad usd'!L18,'Flujo de Fondos'!$H$36,'Flujo de Fondos'!$H$35)</f>
        <v/>
      </c>
      <c r="N18" s="68" t="n">
        <v>32.81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44518</v>
      </c>
      <c r="B19" s="66" t="n">
        <v>34.5</v>
      </c>
      <c r="C19" s="67">
        <f>myParidad('Flujo de Fondos'!$B$5,A19,B19,'Flujo de Fondos'!$B$7,'Flujo de Fondos'!$B$6)</f>
        <v/>
      </c>
      <c r="D19" s="66" t="n">
        <v>38.9</v>
      </c>
      <c r="E19" s="75">
        <f>myParidad('Flujo de Fondos'!$H$5,$A19,D19,'Flujo de Fondos'!$H$7,'Flujo de Fondos'!$H$6)</f>
        <v/>
      </c>
      <c r="F19" s="66" t="n">
        <v>31.21</v>
      </c>
      <c r="G19" s="67">
        <f>myParidad('Flujo de Fondos'!$N$5,$A19,F19,'Flujo de Fondos'!$N$7,'Flujo de Fondos'!$N$6)</f>
        <v/>
      </c>
      <c r="H19" s="68" t="n">
        <v>35.6</v>
      </c>
      <c r="I19" s="67">
        <f>myParidad('Flujo de Fondos'!$T$5,$A19,H19,'Flujo de Fondos'!$T$7,'Flujo de Fondos'!$T$6)</f>
        <v/>
      </c>
      <c r="J19" s="68" t="n">
        <v>31.15</v>
      </c>
      <c r="K19" s="67">
        <f>myParidad('Flujo de Fondos'!$B$34,$A19,J19,'Flujo de Fondos'!$B$36,'Flujo de Fondos'!$B$35)</f>
        <v/>
      </c>
      <c r="L19" s="66" t="n">
        <v>35.25</v>
      </c>
      <c r="M19" s="67">
        <f>myParidad('Flujo de Fondos'!$H$34,'Paridad usd'!$A19,'Paridad usd'!L19,'Flujo de Fondos'!$H$36,'Flujo de Fondos'!$H$35)</f>
        <v/>
      </c>
      <c r="N19" s="68" t="n">
        <v>35.15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44517</v>
      </c>
      <c r="B20" s="66" t="n">
        <v>34.75</v>
      </c>
      <c r="C20" s="67">
        <f>myParidad('Flujo de Fondos'!$B$5,A20,B20,'Flujo de Fondos'!$B$7,'Flujo de Fondos'!$B$6)</f>
        <v/>
      </c>
      <c r="D20" s="66" t="n">
        <v>39.25</v>
      </c>
      <c r="E20" s="75">
        <f>myParidad('Flujo de Fondos'!$H$5,$A20,D20,'Flujo de Fondos'!$H$7,'Flujo de Fondos'!$H$6)</f>
        <v/>
      </c>
      <c r="F20" s="66" t="n">
        <v>32.57</v>
      </c>
      <c r="G20" s="67">
        <f>myParidad('Flujo de Fondos'!$N$5,$A20,F20,'Flujo de Fondos'!$N$7,'Flujo de Fondos'!$N$6)</f>
        <v/>
      </c>
      <c r="H20" s="68" t="n">
        <v>36.39</v>
      </c>
      <c r="I20" s="67">
        <f>myParidad('Flujo de Fondos'!$T$5,$A20,H20,'Flujo de Fondos'!$T$7,'Flujo de Fondos'!$T$6)</f>
        <v/>
      </c>
      <c r="J20" s="68" t="n">
        <v>31.2</v>
      </c>
      <c r="K20" s="67">
        <f>myParidad('Flujo de Fondos'!$B$34,$A20,J20,'Flujo de Fondos'!$B$36,'Flujo de Fondos'!$B$35)</f>
        <v/>
      </c>
      <c r="L20" s="66" t="n">
        <v>35.9</v>
      </c>
      <c r="M20" s="67">
        <f>myParidad('Flujo de Fondos'!$H$34,'Paridad usd'!$A20,'Paridad usd'!L20,'Flujo de Fondos'!$H$36,'Flujo de Fondos'!$H$35)</f>
        <v/>
      </c>
      <c r="N20" s="68" t="n">
        <v>35.4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44516</v>
      </c>
      <c r="B21" s="66" t="n">
        <v>37</v>
      </c>
      <c r="C21" s="67">
        <f>myParidad('Flujo de Fondos'!$B$5,A21,B21,'Flujo de Fondos'!$B$7,'Flujo de Fondos'!$B$6)</f>
        <v/>
      </c>
      <c r="D21" s="66" t="n">
        <v>39.25</v>
      </c>
      <c r="E21" s="75">
        <f>myParidad('Flujo de Fondos'!$H$5,$A21,D21,'Flujo de Fondos'!$H$7,'Flujo de Fondos'!$H$6)</f>
        <v/>
      </c>
      <c r="F21" s="66" t="n">
        <v>32.85</v>
      </c>
      <c r="G21" s="67">
        <f>myParidad('Flujo de Fondos'!$N$5,$A21,F21,'Flujo de Fondos'!$N$7,'Flujo de Fondos'!$N$6)</f>
        <v/>
      </c>
      <c r="H21" s="68" t="n">
        <v>37</v>
      </c>
      <c r="I21" s="67">
        <f>myParidad('Flujo de Fondos'!$T$5,$A21,H21,'Flujo de Fondos'!$T$7,'Flujo de Fondos'!$T$6)</f>
        <v/>
      </c>
      <c r="J21" s="68" t="n">
        <v>32.2</v>
      </c>
      <c r="K21" s="67">
        <f>myParidad('Flujo de Fondos'!$B$34,$A21,J21,'Flujo de Fondos'!$B$36,'Flujo de Fondos'!$B$35)</f>
        <v/>
      </c>
      <c r="L21" s="66" t="n">
        <v>36.1</v>
      </c>
      <c r="M21" s="67">
        <f>myParidad('Flujo de Fondos'!$H$34,'Paridad usd'!$A21,'Paridad usd'!L21,'Flujo de Fondos'!$H$36,'Flujo de Fondos'!$H$35)</f>
        <v/>
      </c>
      <c r="N21" s="68" t="n">
        <v>35.95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44515</v>
      </c>
      <c r="B22" s="66" t="n">
        <v>38.2</v>
      </c>
      <c r="C22" s="67">
        <f>myParidad('Flujo de Fondos'!$B$5,A22,B22,'Flujo de Fondos'!$B$7,'Flujo de Fondos'!$B$6)</f>
        <v/>
      </c>
      <c r="D22" s="66" t="n">
        <v>38.8</v>
      </c>
      <c r="E22" s="75">
        <f>myParidad('Flujo de Fondos'!$H$5,$A22,D22,'Flujo de Fondos'!$H$7,'Flujo de Fondos'!$H$6)</f>
        <v/>
      </c>
      <c r="F22" s="66" t="n">
        <v>35.19</v>
      </c>
      <c r="G22" s="67">
        <f>myParidad('Flujo de Fondos'!$N$5,$A22,F22,'Flujo de Fondos'!$N$7,'Flujo de Fondos'!$N$6)</f>
        <v/>
      </c>
      <c r="H22" s="68" t="n">
        <v>37.55</v>
      </c>
      <c r="I22" s="67">
        <f>myParidad('Flujo de Fondos'!$T$5,$A22,H22,'Flujo de Fondos'!$T$7,'Flujo de Fondos'!$T$6)</f>
        <v/>
      </c>
      <c r="J22" s="68" t="n">
        <v>33.7</v>
      </c>
      <c r="K22" s="67">
        <f>myParidad('Flujo de Fondos'!$B$34,$A22,J22,'Flujo de Fondos'!$B$36,'Flujo de Fondos'!$B$35)</f>
        <v/>
      </c>
      <c r="L22" s="66" t="n">
        <v>37.65</v>
      </c>
      <c r="M22" s="67">
        <f>myParidad('Flujo de Fondos'!$H$34,'Paridad usd'!$A22,'Paridad usd'!L22,'Flujo de Fondos'!$H$36,'Flujo de Fondos'!$H$35)</f>
        <v/>
      </c>
      <c r="N22" s="68" t="n">
        <v>36.5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44512</v>
      </c>
      <c r="B23" s="66" t="n">
        <v>38.68</v>
      </c>
      <c r="C23" s="67">
        <f>myParidad('Flujo de Fondos'!$B$5,A23,B23,'Flujo de Fondos'!$B$7,'Flujo de Fondos'!$B$6)</f>
        <v/>
      </c>
      <c r="D23" s="66" t="n">
        <v>38.5</v>
      </c>
      <c r="E23" s="75">
        <f>myParidad('Flujo de Fondos'!$H$5,$A23,D23,'Flujo de Fondos'!$H$7,'Flujo de Fondos'!$H$6)</f>
        <v/>
      </c>
      <c r="F23" s="66" t="n">
        <v>35.82</v>
      </c>
      <c r="G23" s="67">
        <f>myParidad('Flujo de Fondos'!$N$5,$A23,F23,'Flujo de Fondos'!$N$7,'Flujo de Fondos'!$N$6)</f>
        <v/>
      </c>
      <c r="H23" s="68" t="n">
        <v>37.25</v>
      </c>
      <c r="I23" s="67">
        <f>myParidad('Flujo de Fondos'!$T$5,$A23,H23,'Flujo de Fondos'!$T$7,'Flujo de Fondos'!$T$6)</f>
        <v/>
      </c>
      <c r="J23" s="68" t="n">
        <v>34</v>
      </c>
      <c r="K23" s="67">
        <f>myParidad('Flujo de Fondos'!$B$34,$A23,J23,'Flujo de Fondos'!$B$36,'Flujo de Fondos'!$B$35)</f>
        <v/>
      </c>
      <c r="L23" s="66" t="n">
        <v>38.11</v>
      </c>
      <c r="M23" s="67">
        <f>myParidad('Flujo de Fondos'!$H$34,'Paridad usd'!$A23,'Paridad usd'!L23,'Flujo de Fondos'!$H$36,'Flujo de Fondos'!$H$35)</f>
        <v/>
      </c>
      <c r="N23" s="68" t="n">
        <v>37.16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44511</v>
      </c>
      <c r="B24" s="66" t="n">
        <v>38.1</v>
      </c>
      <c r="C24" s="67">
        <f>myParidad('Flujo de Fondos'!$B$5,A24,B24,'Flujo de Fondos'!$B$7,'Flujo de Fondos'!$B$6)</f>
        <v/>
      </c>
      <c r="D24" s="66" t="n">
        <v>39</v>
      </c>
      <c r="E24" s="75">
        <f>myParidad('Flujo de Fondos'!$H$5,$A24,D24,'Flujo de Fondos'!$H$7,'Flujo de Fondos'!$H$6)</f>
        <v/>
      </c>
      <c r="F24" s="66" t="n">
        <v>35.9</v>
      </c>
      <c r="G24" s="67">
        <f>myParidad('Flujo de Fondos'!$N$5,$A24,F24,'Flujo de Fondos'!$N$7,'Flujo de Fondos'!$N$6)</f>
        <v/>
      </c>
      <c r="H24" s="68" t="n">
        <v>37.25</v>
      </c>
      <c r="I24" s="67">
        <f>myParidad('Flujo de Fondos'!$T$5,$A24,H24,'Flujo de Fondos'!$T$7,'Flujo de Fondos'!$T$6)</f>
        <v/>
      </c>
      <c r="J24" s="68" t="n">
        <v>34.1</v>
      </c>
      <c r="K24" s="67">
        <f>myParidad('Flujo de Fondos'!$B$34,$A24,J24,'Flujo de Fondos'!$B$36,'Flujo de Fondos'!$B$35)</f>
        <v/>
      </c>
      <c r="L24" s="66" t="n">
        <v>38.55</v>
      </c>
      <c r="M24" s="67">
        <f>myParidad('Flujo de Fondos'!$H$34,'Paridad usd'!$A24,'Paridad usd'!L24,'Flujo de Fondos'!$H$36,'Flujo de Fondos'!$H$35)</f>
        <v/>
      </c>
      <c r="N24" s="68" t="n">
        <v>36.5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44510</v>
      </c>
      <c r="B25" s="66" t="n">
        <v>38.23</v>
      </c>
      <c r="C25" s="67">
        <f>myParidad('Flujo de Fondos'!$B$5,A25,B25,'Flujo de Fondos'!$B$7,'Flujo de Fondos'!$B$6)</f>
        <v/>
      </c>
      <c r="D25" s="66" t="n">
        <v>39</v>
      </c>
      <c r="E25" s="75">
        <f>myParidad('Flujo de Fondos'!$H$5,$A25,D25,'Flujo de Fondos'!$H$7,'Flujo de Fondos'!$H$6)</f>
        <v/>
      </c>
      <c r="F25" s="66" t="n">
        <v>35.87</v>
      </c>
      <c r="G25" s="67">
        <f>myParidad('Flujo de Fondos'!$N$5,$A25,F25,'Flujo de Fondos'!$N$7,'Flujo de Fondos'!$N$6)</f>
        <v/>
      </c>
      <c r="H25" s="68" t="n">
        <v>36.6</v>
      </c>
      <c r="I25" s="67">
        <f>myParidad('Flujo de Fondos'!$T$5,$A25,H25,'Flujo de Fondos'!$T$7,'Flujo de Fondos'!$T$6)</f>
        <v/>
      </c>
      <c r="J25" s="68" t="n">
        <v>34.3</v>
      </c>
      <c r="K25" s="67">
        <f>myParidad('Flujo de Fondos'!$B$34,$A25,J25,'Flujo de Fondos'!$B$36,'Flujo de Fondos'!$B$35)</f>
        <v/>
      </c>
      <c r="L25" s="66" t="n">
        <v>38.6</v>
      </c>
      <c r="M25" s="67">
        <f>myParidad('Flujo de Fondos'!$H$34,'Paridad usd'!$A25,'Paridad usd'!L25,'Flujo de Fondos'!$H$36,'Flujo de Fondos'!$H$35)</f>
        <v/>
      </c>
      <c r="N25" s="68" t="n">
        <v>37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44509</v>
      </c>
      <c r="B26" s="66" t="n">
        <v>38.14</v>
      </c>
      <c r="C26" s="67">
        <f>myParidad('Flujo de Fondos'!$B$5,A26,B26,'Flujo de Fondos'!$B$7,'Flujo de Fondos'!$B$6)</f>
        <v/>
      </c>
      <c r="D26" s="66" t="n">
        <v>37.4</v>
      </c>
      <c r="E26" s="75">
        <f>myParidad('Flujo de Fondos'!$H$5,$A26,D26,'Flujo de Fondos'!$H$7,'Flujo de Fondos'!$H$6)</f>
        <v/>
      </c>
      <c r="F26" s="66" t="n">
        <v>35.91</v>
      </c>
      <c r="G26" s="67">
        <f>myParidad('Flujo de Fondos'!$N$5,$A26,F26,'Flujo de Fondos'!$N$7,'Flujo de Fondos'!$N$6)</f>
        <v/>
      </c>
      <c r="H26" s="68" t="n">
        <v>36.65</v>
      </c>
      <c r="I26" s="67">
        <f>myParidad('Flujo de Fondos'!$T$5,$A26,H26,'Flujo de Fondos'!$T$7,'Flujo de Fondos'!$T$6)</f>
        <v/>
      </c>
      <c r="J26" s="68" t="n">
        <v>34.54</v>
      </c>
      <c r="K26" s="67">
        <f>myParidad('Flujo de Fondos'!$B$34,$A26,J26,'Flujo de Fondos'!$B$36,'Flujo de Fondos'!$B$35)</f>
        <v/>
      </c>
      <c r="L26" s="66" t="n">
        <v>38.7</v>
      </c>
      <c r="M26" s="67">
        <f>myParidad('Flujo de Fondos'!$H$34,'Paridad usd'!$A26,'Paridad usd'!L26,'Flujo de Fondos'!$H$36,'Flujo de Fondos'!$H$35)</f>
        <v/>
      </c>
      <c r="N26" s="68" t="n">
        <v>37.43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44508</v>
      </c>
      <c r="B27" s="66" t="n">
        <v>38</v>
      </c>
      <c r="C27" s="67">
        <f>myParidad('Flujo de Fondos'!$B$5,A27,B27,'Flujo de Fondos'!$B$7,'Flujo de Fondos'!$B$6)</f>
        <v/>
      </c>
      <c r="D27" s="66" t="n">
        <v>37.95</v>
      </c>
      <c r="E27" s="75">
        <f>myParidad('Flujo de Fondos'!$H$5,$A27,D27,'Flujo de Fondos'!$H$7,'Flujo de Fondos'!$H$6)</f>
        <v/>
      </c>
      <c r="F27" s="66" t="n">
        <v>35.99</v>
      </c>
      <c r="G27" s="67">
        <f>myParidad('Flujo de Fondos'!$N$5,$A27,F27,'Flujo de Fondos'!$N$7,'Flujo de Fondos'!$N$6)</f>
        <v/>
      </c>
      <c r="H27" s="68" t="n">
        <v>36.95</v>
      </c>
      <c r="I27" s="67">
        <f>myParidad('Flujo de Fondos'!$T$5,$A27,H27,'Flujo de Fondos'!$T$7,'Flujo de Fondos'!$T$6)</f>
        <v/>
      </c>
      <c r="J27" s="68" t="n">
        <v>35</v>
      </c>
      <c r="K27" s="67">
        <f>myParidad('Flujo de Fondos'!$B$34,$A27,J27,'Flujo de Fondos'!$B$36,'Flujo de Fondos'!$B$35)</f>
        <v/>
      </c>
      <c r="L27" s="66" t="n">
        <v>38.55</v>
      </c>
      <c r="M27" s="67">
        <f>myParidad('Flujo de Fondos'!$H$34,'Paridad usd'!$A27,'Paridad usd'!L27,'Flujo de Fondos'!$H$36,'Flujo de Fondos'!$H$35)</f>
        <v/>
      </c>
      <c r="N27" s="68" t="n">
        <v>37.5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44505</v>
      </c>
      <c r="B28" s="66" t="n">
        <v>38.21</v>
      </c>
      <c r="C28" s="67">
        <f>myParidad('Flujo de Fondos'!$B$5,A28,B28,'Flujo de Fondos'!$B$7,'Flujo de Fondos'!$B$6)</f>
        <v/>
      </c>
      <c r="D28" s="66" t="n">
        <v>37.4</v>
      </c>
      <c r="E28" s="75">
        <f>myParidad('Flujo de Fondos'!$H$5,$A28,D28,'Flujo de Fondos'!$H$7,'Flujo de Fondos'!$H$6)</f>
        <v/>
      </c>
      <c r="F28" s="66" t="n">
        <v>35.85</v>
      </c>
      <c r="G28" s="67">
        <f>myParidad('Flujo de Fondos'!$N$5,$A28,F28,'Flujo de Fondos'!$N$7,'Flujo de Fondos'!$N$6)</f>
        <v/>
      </c>
      <c r="H28" s="68" t="n">
        <v>36.33</v>
      </c>
      <c r="I28" s="67">
        <f>myParidad('Flujo de Fondos'!$T$5,$A28,H28,'Flujo de Fondos'!$T$7,'Flujo de Fondos'!$T$6)</f>
        <v/>
      </c>
      <c r="J28" s="68" t="n">
        <v>34.45</v>
      </c>
      <c r="K28" s="67">
        <f>myParidad('Flujo de Fondos'!$B$34,$A28,J28,'Flujo de Fondos'!$B$36,'Flujo de Fondos'!$B$35)</f>
        <v/>
      </c>
      <c r="L28" s="66" t="n">
        <v>38.53</v>
      </c>
      <c r="M28" s="67">
        <f>myParidad('Flujo de Fondos'!$H$34,'Paridad usd'!$A28,'Paridad usd'!L28,'Flujo de Fondos'!$H$36,'Flujo de Fondos'!$H$35)</f>
        <v/>
      </c>
      <c r="N28" s="68" t="n">
        <v>37.5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44504</v>
      </c>
      <c r="B29" s="66" t="n">
        <v>37.55</v>
      </c>
      <c r="C29" s="67">
        <f>myParidad('Flujo de Fondos'!$B$5,A29,B29,'Flujo de Fondos'!$B$7,'Flujo de Fondos'!$B$6)</f>
        <v/>
      </c>
      <c r="D29" s="66" t="n">
        <v>37.8</v>
      </c>
      <c r="E29" s="75">
        <f>myParidad('Flujo de Fondos'!$H$5,$A29,D29,'Flujo de Fondos'!$H$7,'Flujo de Fondos'!$H$6)</f>
        <v/>
      </c>
      <c r="F29" s="66" t="n">
        <v>35.7</v>
      </c>
      <c r="G29" s="67">
        <f>myParidad('Flujo de Fondos'!$N$5,$A29,F29,'Flujo de Fondos'!$N$7,'Flujo de Fondos'!$N$6)</f>
        <v/>
      </c>
      <c r="H29" s="68" t="n">
        <v>36.63</v>
      </c>
      <c r="I29" s="67">
        <f>myParidad('Flujo de Fondos'!$T$5,$A29,H29,'Flujo de Fondos'!$T$7,'Flujo de Fondos'!$T$6)</f>
        <v/>
      </c>
      <c r="J29" s="68" t="n">
        <v>34.1</v>
      </c>
      <c r="K29" s="67">
        <f>myParidad('Flujo de Fondos'!$B$34,$A29,J29,'Flujo de Fondos'!$B$36,'Flujo de Fondos'!$B$35)</f>
        <v/>
      </c>
      <c r="L29" s="66" t="n">
        <v>38.4</v>
      </c>
      <c r="M29" s="67">
        <f>myParidad('Flujo de Fondos'!$H$34,'Paridad usd'!$A29,'Paridad usd'!L29,'Flujo de Fondos'!$H$36,'Flujo de Fondos'!$H$35)</f>
        <v/>
      </c>
      <c r="N29" s="68" t="n">
        <v>37.23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44503</v>
      </c>
      <c r="B30" s="66" t="n">
        <v>37.1</v>
      </c>
      <c r="C30" s="67">
        <f>myParidad('Flujo de Fondos'!$B$5,A30,B30,'Flujo de Fondos'!$B$7,'Flujo de Fondos'!$B$6)</f>
        <v/>
      </c>
      <c r="D30" s="66" t="n">
        <v>37.85</v>
      </c>
      <c r="E30" s="75">
        <f>myParidad('Flujo de Fondos'!$H$5,$A30,D30,'Flujo de Fondos'!$H$7,'Flujo de Fondos'!$H$6)</f>
        <v/>
      </c>
      <c r="F30" s="66" t="n">
        <v>35.58</v>
      </c>
      <c r="G30" s="67">
        <f>myParidad('Flujo de Fondos'!$N$5,$A30,F30,'Flujo de Fondos'!$N$7,'Flujo de Fondos'!$N$6)</f>
        <v/>
      </c>
      <c r="H30" s="68" t="n">
        <v>35.7</v>
      </c>
      <c r="I30" s="67">
        <f>myParidad('Flujo de Fondos'!$T$5,$A30,H30,'Flujo de Fondos'!$T$7,'Flujo de Fondos'!$T$6)</f>
        <v/>
      </c>
      <c r="J30" s="68" t="n">
        <v>33.7</v>
      </c>
      <c r="K30" s="67">
        <f>myParidad('Flujo de Fondos'!$B$34,$A30,J30,'Flujo de Fondos'!$B$36,'Flujo de Fondos'!$B$35)</f>
        <v/>
      </c>
      <c r="L30" s="66" t="n">
        <v>37.9</v>
      </c>
      <c r="M30" s="67">
        <f>myParidad('Flujo de Fondos'!$H$34,'Paridad usd'!$A30,'Paridad usd'!L30,'Flujo de Fondos'!$H$36,'Flujo de Fondos'!$H$35)</f>
        <v/>
      </c>
      <c r="N30" s="68" t="n">
        <v>36.15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44502</v>
      </c>
      <c r="B31" s="66" t="n">
        <v>37.13</v>
      </c>
      <c r="C31" s="67">
        <f>myParidad('Flujo de Fondos'!$B$5,A31,B31,'Flujo de Fondos'!$B$7,'Flujo de Fondos'!$B$6)</f>
        <v/>
      </c>
      <c r="D31" s="66" t="n">
        <v>37.5</v>
      </c>
      <c r="E31" s="75">
        <f>myParidad('Flujo de Fondos'!$H$5,$A31,D31,'Flujo de Fondos'!$H$7,'Flujo de Fondos'!$H$6)</f>
        <v/>
      </c>
      <c r="F31" s="66" t="n">
        <v>35.69</v>
      </c>
      <c r="G31" s="67">
        <f>myParidad('Flujo de Fondos'!$N$5,$A31,F31,'Flujo de Fondos'!$N$7,'Flujo de Fondos'!$N$6)</f>
        <v/>
      </c>
      <c r="H31" s="68" t="n">
        <v>35.78</v>
      </c>
      <c r="I31" s="67">
        <f>myParidad('Flujo de Fondos'!$T$5,$A31,H31,'Flujo de Fondos'!$T$7,'Flujo de Fondos'!$T$6)</f>
        <v/>
      </c>
      <c r="J31" s="68" t="n">
        <v>33.5</v>
      </c>
      <c r="K31" s="67">
        <f>myParidad('Flujo de Fondos'!$B$34,$A31,J31,'Flujo de Fondos'!$B$36,'Flujo de Fondos'!$B$35)</f>
        <v/>
      </c>
      <c r="L31" s="66" t="n">
        <v>38.05</v>
      </c>
      <c r="M31" s="67">
        <f>myParidad('Flujo de Fondos'!$H$34,'Paridad usd'!$A31,'Paridad usd'!L31,'Flujo de Fondos'!$H$36,'Flujo de Fondos'!$H$35)</f>
        <v/>
      </c>
      <c r="N31" s="68" t="n">
        <v>36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44501</v>
      </c>
      <c r="B32" s="66" t="n">
        <v>36.16</v>
      </c>
      <c r="C32" s="67">
        <f>myParidad('Flujo de Fondos'!$B$5,A32,B32,'Flujo de Fondos'!$B$7,'Flujo de Fondos'!$B$6)</f>
        <v/>
      </c>
      <c r="D32" s="66" t="n">
        <v>38.1</v>
      </c>
      <c r="E32" s="75">
        <f>myParidad('Flujo de Fondos'!$H$5,$A32,D32,'Flujo de Fondos'!$H$7,'Flujo de Fondos'!$H$6)</f>
        <v/>
      </c>
      <c r="F32" s="66" t="n">
        <v>35.66</v>
      </c>
      <c r="G32" s="67">
        <f>myParidad('Flujo de Fondos'!$N$5,$A32,F32,'Flujo de Fondos'!$N$7,'Flujo de Fondos'!$N$6)</f>
        <v/>
      </c>
      <c r="H32" s="68" t="n">
        <v>35.95</v>
      </c>
      <c r="I32" s="67">
        <f>myParidad('Flujo de Fondos'!$T$5,$A32,H32,'Flujo de Fondos'!$T$7,'Flujo de Fondos'!$T$6)</f>
        <v/>
      </c>
      <c r="J32" s="68" t="n">
        <v>33.5</v>
      </c>
      <c r="K32" s="67">
        <f>myParidad('Flujo de Fondos'!$B$34,$A32,J32,'Flujo de Fondos'!$B$36,'Flujo de Fondos'!$B$35)</f>
        <v/>
      </c>
      <c r="L32" s="66" t="n">
        <v>37.9</v>
      </c>
      <c r="M32" s="67">
        <f>myParidad('Flujo de Fondos'!$H$34,'Paridad usd'!$A32,'Paridad usd'!L32,'Flujo de Fondos'!$H$36,'Flujo de Fondos'!$H$35)</f>
        <v/>
      </c>
      <c r="N32" s="68" t="n">
        <v>36.9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44498</v>
      </c>
      <c r="B33" s="66" t="n">
        <v>36.6</v>
      </c>
      <c r="C33" s="67">
        <f>myParidad('Flujo de Fondos'!$B$5,A33,B33,'Flujo de Fondos'!$B$7,'Flujo de Fondos'!$B$6)</f>
        <v/>
      </c>
      <c r="D33" s="66" t="n">
        <v>38.2</v>
      </c>
      <c r="E33" s="75">
        <f>myParidad('Flujo de Fondos'!$H$5,$A33,D33,'Flujo de Fondos'!$H$7,'Flujo de Fondos'!$H$6)</f>
        <v/>
      </c>
      <c r="F33" s="66" t="n">
        <v>35.7</v>
      </c>
      <c r="G33" s="67">
        <f>myParidad('Flujo de Fondos'!$N$5,$A33,F33,'Flujo de Fondos'!$N$7,'Flujo de Fondos'!$N$6)</f>
        <v/>
      </c>
      <c r="H33" s="68" t="n">
        <v>36.58</v>
      </c>
      <c r="I33" s="67">
        <f>myParidad('Flujo de Fondos'!$T$5,$A33,H33,'Flujo de Fondos'!$T$7,'Flujo de Fondos'!$T$6)</f>
        <v/>
      </c>
      <c r="J33" s="68" t="n">
        <v>33.85</v>
      </c>
      <c r="K33" s="67">
        <f>myParidad('Flujo de Fondos'!$B$34,$A33,J33,'Flujo de Fondos'!$B$36,'Flujo de Fondos'!$B$35)</f>
        <v/>
      </c>
      <c r="L33" s="66" t="n">
        <v>37.7</v>
      </c>
      <c r="M33" s="67">
        <f>myParidad('Flujo de Fondos'!$H$34,'Paridad usd'!$A33,'Paridad usd'!L33,'Flujo de Fondos'!$H$36,'Flujo de Fondos'!$H$35)</f>
        <v/>
      </c>
      <c r="N33" s="68" t="n">
        <v>36.6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44497</v>
      </c>
      <c r="B34" s="66" t="n">
        <v>37</v>
      </c>
      <c r="C34" s="67">
        <f>myParidad('Flujo de Fondos'!$B$5,A34,B34,'Flujo de Fondos'!$B$7,'Flujo de Fondos'!$B$6)</f>
        <v/>
      </c>
      <c r="D34" s="66" t="n">
        <v>38.6</v>
      </c>
      <c r="E34" s="75">
        <f>myParidad('Flujo de Fondos'!$H$5,$A34,D34,'Flujo de Fondos'!$H$7,'Flujo de Fondos'!$H$6)</f>
        <v/>
      </c>
      <c r="F34" s="66" t="n">
        <v>35.82</v>
      </c>
      <c r="G34" s="67">
        <f>myParidad('Flujo de Fondos'!$N$5,$A34,F34,'Flujo de Fondos'!$N$7,'Flujo de Fondos'!$N$6)</f>
        <v/>
      </c>
      <c r="H34" s="68" t="n">
        <v>37</v>
      </c>
      <c r="I34" s="67">
        <f>myParidad('Flujo de Fondos'!$T$5,$A34,H34,'Flujo de Fondos'!$T$7,'Flujo de Fondos'!$T$6)</f>
        <v/>
      </c>
      <c r="J34" s="68" t="n">
        <v>33.65</v>
      </c>
      <c r="K34" s="67">
        <f>myParidad('Flujo de Fondos'!$B$34,$A34,J34,'Flujo de Fondos'!$B$36,'Flujo de Fondos'!$B$35)</f>
        <v/>
      </c>
      <c r="L34" s="66" t="n">
        <v>37.4</v>
      </c>
      <c r="M34" s="67">
        <f>myParidad('Flujo de Fondos'!$H$34,'Paridad usd'!$A34,'Paridad usd'!L34,'Flujo de Fondos'!$H$36,'Flujo de Fondos'!$H$35)</f>
        <v/>
      </c>
      <c r="N34" s="68" t="n">
        <v>36.3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44496</v>
      </c>
      <c r="B35" s="66" t="n">
        <v>36.93</v>
      </c>
      <c r="C35" s="67">
        <f>myParidad('Flujo de Fondos'!$B$5,A35,B35,'Flujo de Fondos'!$B$7,'Flujo de Fondos'!$B$6)</f>
        <v/>
      </c>
      <c r="D35" s="66" t="n">
        <v>39</v>
      </c>
      <c r="E35" s="75">
        <f>myParidad('Flujo de Fondos'!$H$5,$A35,D35,'Flujo de Fondos'!$H$7,'Flujo de Fondos'!$H$6)</f>
        <v/>
      </c>
      <c r="F35" s="66" t="n">
        <v>35.87</v>
      </c>
      <c r="G35" s="67">
        <f>myParidad('Flujo de Fondos'!$N$5,$A35,F35,'Flujo de Fondos'!$N$7,'Flujo de Fondos'!$N$6)</f>
        <v/>
      </c>
      <c r="H35" s="68" t="n">
        <v>37.01</v>
      </c>
      <c r="I35" s="67">
        <f>myParidad('Flujo de Fondos'!$T$5,$A35,H35,'Flujo de Fondos'!$T$7,'Flujo de Fondos'!$T$6)</f>
        <v/>
      </c>
      <c r="J35" s="68" t="n">
        <v>33.45</v>
      </c>
      <c r="K35" s="67">
        <f>myParidad('Flujo de Fondos'!$B$34,$A35,J35,'Flujo de Fondos'!$B$36,'Flujo de Fondos'!$B$35)</f>
        <v/>
      </c>
      <c r="L35" s="66" t="n">
        <v>37.3</v>
      </c>
      <c r="M35" s="67">
        <f>myParidad('Flujo de Fondos'!$H$34,'Paridad usd'!$A35,'Paridad usd'!L35,'Flujo de Fondos'!$H$36,'Flujo de Fondos'!$H$35)</f>
        <v/>
      </c>
      <c r="N35" s="68" t="n">
        <v>36.13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44495</v>
      </c>
      <c r="B36" s="66" t="n">
        <v>37.12</v>
      </c>
      <c r="C36" s="67">
        <f>myParidad('Flujo de Fondos'!$B$5,A36,B36,'Flujo de Fondos'!$B$7,'Flujo de Fondos'!$B$6)</f>
        <v/>
      </c>
      <c r="D36" s="66" t="n">
        <v>39</v>
      </c>
      <c r="E36" s="75">
        <f>myParidad('Flujo de Fondos'!$H$5,$A36,D36,'Flujo de Fondos'!$H$7,'Flujo de Fondos'!$H$6)</f>
        <v/>
      </c>
      <c r="F36" s="66" t="n">
        <v>35.88</v>
      </c>
      <c r="G36" s="67">
        <f>myParidad('Flujo de Fondos'!$N$5,$A36,F36,'Flujo de Fondos'!$N$7,'Flujo de Fondos'!$N$6)</f>
        <v/>
      </c>
      <c r="H36" s="68" t="n">
        <v>37.3</v>
      </c>
      <c r="I36" s="67">
        <f>myParidad('Flujo de Fondos'!$T$5,$A36,H36,'Flujo de Fondos'!$T$7,'Flujo de Fondos'!$T$6)</f>
        <v/>
      </c>
      <c r="J36" s="68" t="n">
        <v>33.6</v>
      </c>
      <c r="K36" s="67">
        <f>myParidad('Flujo de Fondos'!$B$34,$A36,J36,'Flujo de Fondos'!$B$36,'Flujo de Fondos'!$B$35)</f>
        <v/>
      </c>
      <c r="L36" s="66" t="n">
        <v>37.25</v>
      </c>
      <c r="M36" s="67">
        <f>myParidad('Flujo de Fondos'!$H$34,'Paridad usd'!$A36,'Paridad usd'!L36,'Flujo de Fondos'!$H$36,'Flujo de Fondos'!$H$35)</f>
        <v/>
      </c>
      <c r="N36" s="68" t="n">
        <v>35.85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44494</v>
      </c>
      <c r="B37" s="66" t="n">
        <v>36.9</v>
      </c>
      <c r="C37" s="67">
        <f>myParidad('Flujo de Fondos'!$B$5,A37,B37,'Flujo de Fondos'!$B$7,'Flujo de Fondos'!$B$6)</f>
        <v/>
      </c>
      <c r="D37" s="66" t="n">
        <v>38.8</v>
      </c>
      <c r="E37" s="75">
        <f>myParidad('Flujo de Fondos'!$H$5,$A37,D37,'Flujo de Fondos'!$H$7,'Flujo de Fondos'!$H$6)</f>
        <v/>
      </c>
      <c r="F37" s="66" t="n">
        <v>35.87</v>
      </c>
      <c r="G37" s="67">
        <f>myParidad('Flujo de Fondos'!$N$5,$A37,F37,'Flujo de Fondos'!$N$7,'Flujo de Fondos'!$N$6)</f>
        <v/>
      </c>
      <c r="H37" s="68" t="n">
        <v>37.45</v>
      </c>
      <c r="I37" s="67">
        <f>myParidad('Flujo de Fondos'!$T$5,$A37,H37,'Flujo de Fondos'!$T$7,'Flujo de Fondos'!$T$6)</f>
        <v/>
      </c>
      <c r="J37" s="68" t="n">
        <v>33</v>
      </c>
      <c r="K37" s="67">
        <f>myParidad('Flujo de Fondos'!$B$34,$A37,J37,'Flujo de Fondos'!$B$36,'Flujo de Fondos'!$B$35)</f>
        <v/>
      </c>
      <c r="L37" s="66" t="n">
        <v>37</v>
      </c>
      <c r="M37" s="67">
        <f>myParidad('Flujo de Fondos'!$H$34,'Paridad usd'!$A37,'Paridad usd'!L37,'Flujo de Fondos'!$H$36,'Flujo de Fondos'!$H$35)</f>
        <v/>
      </c>
      <c r="N37" s="68" t="n">
        <v>35.72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</row>
    <row r="38" customFormat="1" s="69">
      <c r="A38" s="65" t="n">
        <v>44491</v>
      </c>
      <c r="B38" s="66" t="n">
        <v>36.81</v>
      </c>
      <c r="C38" s="67">
        <f>myParidad('Flujo de Fondos'!$B$5,A38,B38,'Flujo de Fondos'!$B$7,'Flujo de Fondos'!$B$6)</f>
        <v/>
      </c>
      <c r="D38" s="66" t="n">
        <v>39</v>
      </c>
      <c r="E38" s="75">
        <f>myParidad('Flujo de Fondos'!$H$5,$A38,D38,'Flujo de Fondos'!$H$7,'Flujo de Fondos'!$H$6)</f>
        <v/>
      </c>
      <c r="F38" s="66" t="n">
        <v>35.82</v>
      </c>
      <c r="G38" s="67">
        <f>myParidad('Flujo de Fondos'!$N$5,$A38,F38,'Flujo de Fondos'!$N$7,'Flujo de Fondos'!$N$6)</f>
        <v/>
      </c>
      <c r="H38" s="68" t="n">
        <v>37.7</v>
      </c>
      <c r="I38" s="67">
        <f>myParidad('Flujo de Fondos'!$T$5,$A38,H38,'Flujo de Fondos'!$T$7,'Flujo de Fondos'!$T$6)</f>
        <v/>
      </c>
      <c r="J38" s="68" t="n">
        <v>33.2</v>
      </c>
      <c r="K38" s="67">
        <f>myParidad('Flujo de Fondos'!$B$34,$A38,J38,'Flujo de Fondos'!$B$36,'Flujo de Fondos'!$B$35)</f>
        <v/>
      </c>
      <c r="L38" s="66" t="n">
        <v>36.75</v>
      </c>
      <c r="M38" s="67">
        <f>myParidad('Flujo de Fondos'!$H$34,'Paridad usd'!$A38,'Paridad usd'!L38,'Flujo de Fondos'!$H$36,'Flujo de Fondos'!$H$35)</f>
        <v/>
      </c>
      <c r="N38" s="68" t="n">
        <v>35.61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</row>
    <row r="39" customFormat="1" s="69">
      <c r="A39" s="65" t="n">
        <v>44490</v>
      </c>
      <c r="B39" s="66" t="n">
        <v>36.88</v>
      </c>
      <c r="C39" s="67">
        <f>myParidad('Flujo de Fondos'!$B$5,A39,B39,'Flujo de Fondos'!$B$7,'Flujo de Fondos'!$B$6)</f>
        <v/>
      </c>
      <c r="D39" s="66" t="n">
        <v>39</v>
      </c>
      <c r="E39" s="75">
        <f>myParidad('Flujo de Fondos'!$H$5,$A39,D39,'Flujo de Fondos'!$H$7,'Flujo de Fondos'!$H$6)</f>
        <v/>
      </c>
      <c r="F39" s="66" t="n">
        <v>35.85</v>
      </c>
      <c r="G39" s="67">
        <f>myParidad('Flujo de Fondos'!$N$5,$A39,F39,'Flujo de Fondos'!$N$7,'Flujo de Fondos'!$N$6)</f>
        <v/>
      </c>
      <c r="H39" s="68" t="n">
        <v>37.65</v>
      </c>
      <c r="I39" s="67">
        <f>myParidad('Flujo de Fondos'!$T$5,$A39,H39,'Flujo de Fondos'!$T$7,'Flujo de Fondos'!$T$6)</f>
        <v/>
      </c>
      <c r="J39" s="68" t="n">
        <v>33.2</v>
      </c>
      <c r="K39" s="67">
        <f>myParidad('Flujo de Fondos'!$B$34,$A39,J39,'Flujo de Fondos'!$B$36,'Flujo de Fondos'!$B$35)</f>
        <v/>
      </c>
      <c r="L39" s="66" t="n">
        <v>36.75</v>
      </c>
      <c r="M39" s="67">
        <f>myParidad('Flujo de Fondos'!$H$34,'Paridad usd'!$A39,'Paridad usd'!L39,'Flujo de Fondos'!$H$36,'Flujo de Fondos'!$H$35)</f>
        <v/>
      </c>
      <c r="N39" s="68" t="n">
        <v>35.6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</row>
    <row r="40">
      <c r="A40" s="65" t="n">
        <v>44489</v>
      </c>
      <c r="B40" s="66" t="n">
        <v>37.3</v>
      </c>
      <c r="C40" s="67">
        <f>myParidad('Flujo de Fondos'!$B$5,A40,B40,'Flujo de Fondos'!$B$7,'Flujo de Fondos'!$B$6)</f>
        <v/>
      </c>
      <c r="D40" s="66" t="n">
        <v>39.5</v>
      </c>
      <c r="E40" s="75">
        <f>myParidad('Flujo de Fondos'!$H$5,$A40,D40,'Flujo de Fondos'!$H$7,'Flujo de Fondos'!$H$6)</f>
        <v/>
      </c>
      <c r="F40" s="66" t="n">
        <v>35.84</v>
      </c>
      <c r="G40" s="67">
        <f>myParidad('Flujo de Fondos'!$N$5,$A40,F40,'Flujo de Fondos'!$N$7,'Flujo de Fondos'!$N$6)</f>
        <v/>
      </c>
      <c r="H40" s="68" t="n">
        <v>37.75</v>
      </c>
      <c r="I40" s="67">
        <f>myParidad('Flujo de Fondos'!$T$5,$A40,H40,'Flujo de Fondos'!$T$7,'Flujo de Fondos'!$T$6)</f>
        <v/>
      </c>
      <c r="J40" s="68" t="n">
        <v>33.2</v>
      </c>
      <c r="K40" s="67">
        <f>myParidad('Flujo de Fondos'!$B$34,$A40,J40,'Flujo de Fondos'!$B$36,'Flujo de Fondos'!$B$35)</f>
        <v/>
      </c>
      <c r="L40" s="66" t="n">
        <v>36.75</v>
      </c>
      <c r="M40" s="67">
        <f>myParidad('Flujo de Fondos'!$H$34,'Paridad usd'!$A40,'Paridad usd'!L40,'Flujo de Fondos'!$H$36,'Flujo de Fondos'!$H$35)</f>
        <v/>
      </c>
      <c r="N40" s="68" t="n">
        <v>35.8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</row>
    <row r="41">
      <c r="A41" s="65" t="n">
        <v>44488</v>
      </c>
      <c r="B41" s="66" t="n">
        <v>37.06</v>
      </c>
      <c r="C41" s="67">
        <f>myParidad('Flujo de Fondos'!$B$5,A41,B41,'Flujo de Fondos'!$B$7,'Flujo de Fondos'!$B$6)</f>
        <v/>
      </c>
      <c r="D41" s="66" t="n">
        <v>39.5</v>
      </c>
      <c r="E41" s="75">
        <f>myParidad('Flujo de Fondos'!$H$5,$A41,D41,'Flujo de Fondos'!$H$7,'Flujo de Fondos'!$H$6)</f>
        <v/>
      </c>
      <c r="F41" s="66" t="n">
        <v>35.82</v>
      </c>
      <c r="G41" s="67">
        <f>myParidad('Flujo de Fondos'!$N$5,$A41,F41,'Flujo de Fondos'!$N$7,'Flujo de Fondos'!$N$6)</f>
        <v/>
      </c>
      <c r="H41" s="68" t="n">
        <v>37.35</v>
      </c>
      <c r="I41" s="67">
        <f>myParidad('Flujo de Fondos'!$T$5,$A41,H41,'Flujo de Fondos'!$T$7,'Flujo de Fondos'!$T$6)</f>
        <v/>
      </c>
      <c r="J41" s="68" t="n">
        <v>33.5</v>
      </c>
      <c r="K41" s="67">
        <f>myParidad('Flujo de Fondos'!$B$34,$A41,J41,'Flujo de Fondos'!$B$36,'Flujo de Fondos'!$B$35)</f>
        <v/>
      </c>
      <c r="L41" s="66" t="n">
        <v>37</v>
      </c>
      <c r="M41" s="67">
        <f>myParidad('Flujo de Fondos'!$H$34,'Paridad usd'!$A41,'Paridad usd'!L41,'Flujo de Fondos'!$H$36,'Flujo de Fondos'!$H$35)</f>
        <v/>
      </c>
      <c r="N41" s="68" t="n">
        <v>36.01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</row>
    <row r="42">
      <c r="A42" s="65" t="n">
        <v>44487</v>
      </c>
      <c r="B42" s="66" t="n">
        <v>37.02</v>
      </c>
      <c r="C42" s="67">
        <f>myParidad('Flujo de Fondos'!$B$5,A42,B42,'Flujo de Fondos'!$B$7,'Flujo de Fondos'!$B$6)</f>
        <v/>
      </c>
      <c r="D42" s="66" t="n">
        <v>39.5</v>
      </c>
      <c r="E42" s="75">
        <f>myParidad('Flujo de Fondos'!$H$5,$A42,D42,'Flujo de Fondos'!$H$7,'Flujo de Fondos'!$H$6)</f>
        <v/>
      </c>
      <c r="F42" s="66" t="n">
        <v>35.85</v>
      </c>
      <c r="G42" s="67">
        <f>myParidad('Flujo de Fondos'!$N$5,$A42,F42,'Flujo de Fondos'!$N$7,'Flujo de Fondos'!$N$6)</f>
        <v/>
      </c>
      <c r="H42" s="68" t="n">
        <v>37.4</v>
      </c>
      <c r="I42" s="67">
        <f>myParidad('Flujo de Fondos'!$T$5,$A42,H42,'Flujo de Fondos'!$T$7,'Flujo de Fondos'!$T$6)</f>
        <v/>
      </c>
      <c r="J42" s="68" t="n">
        <v>33.1</v>
      </c>
      <c r="K42" s="67">
        <f>myParidad('Flujo de Fondos'!$B$34,$A42,J42,'Flujo de Fondos'!$B$36,'Flujo de Fondos'!$B$35)</f>
        <v/>
      </c>
      <c r="L42" s="66" t="n">
        <v>37.3</v>
      </c>
      <c r="M42" s="67">
        <f>myParidad('Flujo de Fondos'!$H$34,'Paridad usd'!$A42,'Paridad usd'!L42,'Flujo de Fondos'!$H$36,'Flujo de Fondos'!$H$35)</f>
        <v/>
      </c>
      <c r="N42" s="68" t="n">
        <v>36.4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</row>
    <row r="43">
      <c r="A43" s="65" t="n">
        <v>44484</v>
      </c>
      <c r="B43" s="66" t="n">
        <v>37.5</v>
      </c>
      <c r="C43" s="67">
        <f>myParidad('Flujo de Fondos'!$B$5,A43,B43,'Flujo de Fondos'!$B$7,'Flujo de Fondos'!$B$6)</f>
        <v/>
      </c>
      <c r="D43" s="66" t="n">
        <v>40.61</v>
      </c>
      <c r="E43" s="75">
        <f>myParidad('Flujo de Fondos'!$H$5,$A43,D43,'Flujo de Fondos'!$H$7,'Flujo de Fondos'!$H$6)</f>
        <v/>
      </c>
      <c r="F43" s="66" t="n">
        <v>35.97</v>
      </c>
      <c r="G43" s="67">
        <f>myParidad('Flujo de Fondos'!$N$5,$A43,F43,'Flujo de Fondos'!$N$7,'Flujo de Fondos'!$N$6)</f>
        <v/>
      </c>
      <c r="H43" s="68" t="n">
        <v>37.75</v>
      </c>
      <c r="I43" s="67">
        <f>myParidad('Flujo de Fondos'!$T$5,$A43,H43,'Flujo de Fondos'!$T$7,'Flujo de Fondos'!$T$6)</f>
        <v/>
      </c>
      <c r="J43" s="68" t="n">
        <v>33.45</v>
      </c>
      <c r="K43" s="67">
        <f>myParidad('Flujo de Fondos'!$B$34,$A43,J43,'Flujo de Fondos'!$B$36,'Flujo de Fondos'!$B$35)</f>
        <v/>
      </c>
      <c r="L43" s="66" t="n">
        <v>37</v>
      </c>
      <c r="M43" s="67">
        <f>myParidad('Flujo de Fondos'!$H$34,'Paridad usd'!$A43,'Paridad usd'!L43,'Flujo de Fondos'!$H$36,'Flujo de Fondos'!$H$35)</f>
        <v/>
      </c>
      <c r="N43" s="68" t="n">
        <v>37.2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</row>
    <row r="44">
      <c r="A44" s="65" t="n">
        <v>44483</v>
      </c>
      <c r="B44" s="66" t="n">
        <v>37.4</v>
      </c>
      <c r="C44" s="67">
        <f>myParidad('Flujo de Fondos'!$B$5,A44,B44,'Flujo de Fondos'!$B$7,'Flujo de Fondos'!$B$6)</f>
        <v/>
      </c>
      <c r="D44" s="66" t="n">
        <v>40.5</v>
      </c>
      <c r="E44" s="75">
        <f>myParidad('Flujo de Fondos'!$H$5,$A44,D44,'Flujo de Fondos'!$H$7,'Flujo de Fondos'!$H$6)</f>
        <v/>
      </c>
      <c r="F44" s="66" t="n">
        <v>36.07</v>
      </c>
      <c r="G44" s="67">
        <f>myParidad('Flujo de Fondos'!$N$5,$A44,F44,'Flujo de Fondos'!$N$7,'Flujo de Fondos'!$N$6)</f>
        <v/>
      </c>
      <c r="H44" s="68" t="n">
        <v>38.2</v>
      </c>
      <c r="I44" s="67">
        <f>myParidad('Flujo de Fondos'!$T$5,$A44,H44,'Flujo de Fondos'!$T$7,'Flujo de Fondos'!$T$6)</f>
        <v/>
      </c>
      <c r="J44" s="68" t="n">
        <v>32.5</v>
      </c>
      <c r="K44" s="67">
        <f>myParidad('Flujo de Fondos'!$B$34,$A44,J44,'Flujo de Fondos'!$B$36,'Flujo de Fondos'!$B$35)</f>
        <v/>
      </c>
      <c r="L44" s="66" t="n">
        <v>37</v>
      </c>
      <c r="M44" s="67">
        <f>myParidad('Flujo de Fondos'!$H$34,'Paridad usd'!$A44,'Paridad usd'!L44,'Flujo de Fondos'!$H$36,'Flujo de Fondos'!$H$35)</f>
        <v/>
      </c>
      <c r="N44" s="68" t="n">
        <v>37.1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</row>
    <row r="45">
      <c r="A45" s="65" t="n">
        <v>44482</v>
      </c>
      <c r="B45" s="66" t="n">
        <v>37</v>
      </c>
      <c r="C45" s="67">
        <f>myParidad('Flujo de Fondos'!$B$5,A45,B45,'Flujo de Fondos'!$B$7,'Flujo de Fondos'!$B$6)</f>
        <v/>
      </c>
      <c r="D45" s="66" t="n">
        <v>40.56</v>
      </c>
      <c r="E45" s="75">
        <f>myParidad('Flujo de Fondos'!$H$5,$A45,D45,'Flujo de Fondos'!$H$7,'Flujo de Fondos'!$H$6)</f>
        <v/>
      </c>
      <c r="F45" s="66" t="n">
        <v>36.11</v>
      </c>
      <c r="G45" s="67">
        <f>myParidad('Flujo de Fondos'!$N$5,$A45,F45,'Flujo de Fondos'!$N$7,'Flujo de Fondos'!$N$6)</f>
        <v/>
      </c>
      <c r="H45" s="68" t="n">
        <v>38.11</v>
      </c>
      <c r="I45" s="67">
        <f>myParidad('Flujo de Fondos'!$T$5,$A45,H45,'Flujo de Fondos'!$T$7,'Flujo de Fondos'!$T$6)</f>
        <v/>
      </c>
      <c r="J45" s="68" t="n">
        <v>33.8</v>
      </c>
      <c r="K45" s="67">
        <f>myParidad('Flujo de Fondos'!$B$34,$A45,J45,'Flujo de Fondos'!$B$36,'Flujo de Fondos'!$B$35)</f>
        <v/>
      </c>
      <c r="L45" s="66" t="n">
        <v>37.5</v>
      </c>
      <c r="M45" s="67">
        <f>myParidad('Flujo de Fondos'!$H$34,'Paridad usd'!$A45,'Paridad usd'!L45,'Flujo de Fondos'!$H$36,'Flujo de Fondos'!$H$35)</f>
        <v/>
      </c>
      <c r="N45" s="68" t="n">
        <v>36.6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</row>
    <row r="46">
      <c r="A46" s="65" t="n">
        <v>44481</v>
      </c>
      <c r="B46" s="66" t="n">
        <v>37.65</v>
      </c>
      <c r="C46" s="67">
        <f>myParidad('Flujo de Fondos'!$B$5,A46,B46,'Flujo de Fondos'!$B$7,'Flujo de Fondos'!$B$6)</f>
        <v/>
      </c>
      <c r="D46" s="66" t="n">
        <v>40.5</v>
      </c>
      <c r="E46" s="75">
        <f>myParidad('Flujo de Fondos'!$H$5,$A46,D46,'Flujo de Fondos'!$H$7,'Flujo de Fondos'!$H$6)</f>
        <v/>
      </c>
      <c r="F46" s="66" t="n">
        <v>36.17</v>
      </c>
      <c r="G46" s="67">
        <f>myParidad('Flujo de Fondos'!$N$5,$A46,F46,'Flujo de Fondos'!$N$7,'Flujo de Fondos'!$N$6)</f>
        <v/>
      </c>
      <c r="H46" s="68" t="n">
        <v>38.74</v>
      </c>
      <c r="I46" s="67">
        <f>myParidad('Flujo de Fondos'!$T$5,$A46,H46,'Flujo de Fondos'!$T$7,'Flujo de Fondos'!$T$6)</f>
        <v/>
      </c>
      <c r="J46" s="68" t="n">
        <v>33.6</v>
      </c>
      <c r="K46" s="67">
        <f>myParidad('Flujo de Fondos'!$B$34,$A46,J46,'Flujo de Fondos'!$B$36,'Flujo de Fondos'!$B$35)</f>
        <v/>
      </c>
      <c r="L46" s="66" t="n">
        <v>38.4</v>
      </c>
      <c r="M46" s="67">
        <f>myParidad('Flujo de Fondos'!$H$34,'Paridad usd'!$A46,'Paridad usd'!L46,'Flujo de Fondos'!$H$36,'Flujo de Fondos'!$H$35)</f>
        <v/>
      </c>
      <c r="N46" s="68" t="n">
        <v>36.89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</row>
    <row r="47">
      <c r="A47" s="65" t="n">
        <v>44476</v>
      </c>
      <c r="B47" s="66" t="n">
        <v>37.45</v>
      </c>
      <c r="C47" s="67">
        <f>myParidad('Flujo de Fondos'!$B$5,A47,B47,'Flujo de Fondos'!$B$7,'Flujo de Fondos'!$B$6)</f>
        <v/>
      </c>
      <c r="D47" s="66" t="n">
        <v>41</v>
      </c>
      <c r="E47" s="75">
        <f>myParidad('Flujo de Fondos'!$H$5,$A47,D47,'Flujo de Fondos'!$H$7,'Flujo de Fondos'!$H$6)</f>
        <v/>
      </c>
      <c r="F47" s="66" t="n">
        <v>36.39</v>
      </c>
      <c r="G47" s="67">
        <f>myParidad('Flujo de Fondos'!$N$5,$A47,F47,'Flujo de Fondos'!$N$7,'Flujo de Fondos'!$N$6)</f>
        <v/>
      </c>
      <c r="H47" s="68" t="n">
        <v>39.15</v>
      </c>
      <c r="I47" s="67">
        <f>myParidad('Flujo de Fondos'!$T$5,$A47,H47,'Flujo de Fondos'!$T$7,'Flujo de Fondos'!$T$6)</f>
        <v/>
      </c>
      <c r="J47" s="68" t="n">
        <v>34</v>
      </c>
      <c r="K47" s="67">
        <f>myParidad('Flujo de Fondos'!$B$34,$A47,J47,'Flujo de Fondos'!$B$36,'Flujo de Fondos'!$B$35)</f>
        <v/>
      </c>
      <c r="L47" s="66" t="n">
        <v>37.25</v>
      </c>
      <c r="M47" s="67">
        <f>myParidad('Flujo de Fondos'!$H$34,'Paridad usd'!$A47,'Paridad usd'!L47,'Flujo de Fondos'!$H$36,'Flujo de Fondos'!$H$35)</f>
        <v/>
      </c>
      <c r="N47" s="68" t="n">
        <v>36.8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</row>
    <row r="48">
      <c r="A48" s="65" t="n">
        <v>44475</v>
      </c>
      <c r="B48" s="66" t="n">
        <v>38</v>
      </c>
      <c r="C48" s="67">
        <f>myParidad('Flujo de Fondos'!$B$5,A48,B48,'Flujo de Fondos'!$B$7,'Flujo de Fondos'!$B$6)</f>
        <v/>
      </c>
      <c r="D48" s="66" t="n">
        <v>41.7</v>
      </c>
      <c r="E48" s="75">
        <f>myParidad('Flujo de Fondos'!$H$5,$A48,D48,'Flujo de Fondos'!$H$7,'Flujo de Fondos'!$H$6)</f>
        <v/>
      </c>
      <c r="F48" s="66" t="n">
        <v>36.38</v>
      </c>
      <c r="G48" s="67">
        <f>myParidad('Flujo de Fondos'!$N$5,$A48,F48,'Flujo de Fondos'!$N$7,'Flujo de Fondos'!$N$6)</f>
        <v/>
      </c>
      <c r="H48" s="68" t="n">
        <v>39.5</v>
      </c>
      <c r="I48" s="67">
        <f>myParidad('Flujo de Fondos'!$T$5,$A48,H48,'Flujo de Fondos'!$T$7,'Flujo de Fondos'!$T$6)</f>
        <v/>
      </c>
      <c r="J48" s="68" t="n">
        <v>33.1</v>
      </c>
      <c r="K48" s="67">
        <f>myParidad('Flujo de Fondos'!$B$34,$A48,J48,'Flujo de Fondos'!$B$36,'Flujo de Fondos'!$B$35)</f>
        <v/>
      </c>
      <c r="L48" s="66" t="n">
        <v>37.35</v>
      </c>
      <c r="M48" s="67">
        <f>myParidad('Flujo de Fondos'!$H$34,'Paridad usd'!$A48,'Paridad usd'!L48,'Flujo de Fondos'!$H$36,'Flujo de Fondos'!$H$35)</f>
        <v/>
      </c>
      <c r="N48" s="68" t="n">
        <v>36.9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</row>
    <row r="49">
      <c r="A49" s="65" t="n">
        <v>44474</v>
      </c>
      <c r="B49" s="66" t="n">
        <v>38.5</v>
      </c>
      <c r="C49" s="67">
        <f>myParidad('Flujo de Fondos'!$B$5,A49,B49,'Flujo de Fondos'!$B$7,'Flujo de Fondos'!$B$6)</f>
        <v/>
      </c>
      <c r="D49" s="66" t="n">
        <v>41.7</v>
      </c>
      <c r="E49" s="75">
        <f>myParidad('Flujo de Fondos'!$H$5,$A49,D49,'Flujo de Fondos'!$H$7,'Flujo de Fondos'!$H$6)</f>
        <v/>
      </c>
      <c r="F49" s="66" t="n">
        <v>36.69</v>
      </c>
      <c r="G49" s="67">
        <f>myParidad('Flujo de Fondos'!$N$5,$A49,F49,'Flujo de Fondos'!$N$7,'Flujo de Fondos'!$N$6)</f>
        <v/>
      </c>
      <c r="H49" s="68" t="n">
        <v>40</v>
      </c>
      <c r="I49" s="67">
        <f>myParidad('Flujo de Fondos'!$T$5,$A49,H49,'Flujo de Fondos'!$T$7,'Flujo de Fondos'!$T$6)</f>
        <v/>
      </c>
      <c r="J49" s="68" t="n">
        <v>34.45</v>
      </c>
      <c r="K49" s="67">
        <f>myParidad('Flujo de Fondos'!$B$34,$A49,J49,'Flujo de Fondos'!$B$36,'Flujo de Fondos'!$B$35)</f>
        <v/>
      </c>
      <c r="L49" s="66" t="n">
        <v>38</v>
      </c>
      <c r="M49" s="67">
        <f>myParidad('Flujo de Fondos'!$H$34,'Paridad usd'!$A49,'Paridad usd'!L49,'Flujo de Fondos'!$H$36,'Flujo de Fondos'!$H$35)</f>
        <v/>
      </c>
      <c r="N49" s="68" t="n">
        <v>37.38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</row>
    <row r="50">
      <c r="A50" s="65" t="n">
        <v>44473</v>
      </c>
      <c r="B50" s="66" t="n">
        <v>38.15</v>
      </c>
      <c r="C50" s="67">
        <f>myParidad('Flujo de Fondos'!$B$5,A50,B50,'Flujo de Fondos'!$B$7,'Flujo de Fondos'!$B$6)</f>
        <v/>
      </c>
      <c r="D50" s="66" t="n">
        <v>41.5</v>
      </c>
      <c r="E50" s="75">
        <f>myParidad('Flujo de Fondos'!$H$5,$A50,D50,'Flujo de Fondos'!$H$7,'Flujo de Fondos'!$H$6)</f>
        <v/>
      </c>
      <c r="F50" s="66" t="n">
        <v>36.87</v>
      </c>
      <c r="G50" s="67">
        <f>myParidad('Flujo de Fondos'!$N$5,$A50,F50,'Flujo de Fondos'!$N$7,'Flujo de Fondos'!$N$6)</f>
        <v/>
      </c>
      <c r="H50" s="68" t="n">
        <v>39.74</v>
      </c>
      <c r="I50" s="67">
        <f>myParidad('Flujo de Fondos'!$T$5,$A50,H50,'Flujo de Fondos'!$T$7,'Flujo de Fondos'!$T$6)</f>
        <v/>
      </c>
      <c r="J50" s="68" t="n">
        <v>34.37</v>
      </c>
      <c r="K50" s="67">
        <f>myParidad('Flujo de Fondos'!$B$34,$A50,J50,'Flujo de Fondos'!$B$36,'Flujo de Fondos'!$B$35)</f>
        <v/>
      </c>
      <c r="L50" s="66" t="n">
        <v>37.8</v>
      </c>
      <c r="M50" s="67">
        <f>myParidad('Flujo de Fondos'!$H$34,'Paridad usd'!$A50,'Paridad usd'!L50,'Flujo de Fondos'!$H$36,'Flujo de Fondos'!$H$35)</f>
        <v/>
      </c>
      <c r="N50" s="68" t="n">
        <v>37.1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</row>
    <row r="51">
      <c r="A51" s="65" t="n">
        <v>44470</v>
      </c>
      <c r="B51" s="66" t="n">
        <v>38.2</v>
      </c>
      <c r="C51" s="67">
        <f>myParidad('Flujo de Fondos'!$B$5,A51,B51,'Flujo de Fondos'!$B$7,'Flujo de Fondos'!$B$6)</f>
        <v/>
      </c>
      <c r="D51" s="66" t="n">
        <v>42.08</v>
      </c>
      <c r="E51" s="75">
        <f>myParidad('Flujo de Fondos'!$H$5,$A51,D51,'Flujo de Fondos'!$H$7,'Flujo de Fondos'!$H$6)</f>
        <v/>
      </c>
      <c r="F51" s="66" t="n">
        <v>36.98</v>
      </c>
      <c r="G51" s="67">
        <f>myParidad('Flujo de Fondos'!$N$5,$A51,F51,'Flujo de Fondos'!$N$7,'Flujo de Fondos'!$N$6)</f>
        <v/>
      </c>
      <c r="H51" s="68" t="n">
        <v>39.99</v>
      </c>
      <c r="I51" s="67">
        <f>myParidad('Flujo de Fondos'!$T$5,$A51,H51,'Flujo de Fondos'!$T$7,'Flujo de Fondos'!$T$6)</f>
        <v/>
      </c>
      <c r="J51" s="68" t="n">
        <v>34.4</v>
      </c>
      <c r="K51" s="67">
        <f>myParidad('Flujo de Fondos'!$B$34,$A51,J51,'Flujo de Fondos'!$B$36,'Flujo de Fondos'!$B$35)</f>
        <v/>
      </c>
      <c r="L51" s="66" t="n">
        <v>38</v>
      </c>
      <c r="M51" s="67">
        <f>myParidad('Flujo de Fondos'!$H$34,'Paridad usd'!$A51,'Paridad usd'!L51,'Flujo de Fondos'!$H$36,'Flujo de Fondos'!$H$35)</f>
        <v/>
      </c>
      <c r="N51" s="68" t="n">
        <v>37.1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</row>
    <row r="52">
      <c r="A52" s="65" t="n">
        <v>44469</v>
      </c>
      <c r="B52" s="66" t="n">
        <v>39</v>
      </c>
      <c r="C52" s="67">
        <f>myParidad('Flujo de Fondos'!$B$5,A52,B52,'Flujo de Fondos'!$B$7,'Flujo de Fondos'!$B$6)</f>
        <v/>
      </c>
      <c r="D52" s="66" t="n">
        <v>41.4</v>
      </c>
      <c r="E52" s="75">
        <f>myParidad('Flujo de Fondos'!$H$5,$A52,D52,'Flujo de Fondos'!$H$7,'Flujo de Fondos'!$H$6)</f>
        <v/>
      </c>
      <c r="F52" s="66" t="n">
        <v>37.12</v>
      </c>
      <c r="G52" s="67">
        <f>myParidad('Flujo de Fondos'!$N$5,$A52,F52,'Flujo de Fondos'!$N$7,'Flujo de Fondos'!$N$6)</f>
        <v/>
      </c>
      <c r="H52" s="68" t="n">
        <v>40</v>
      </c>
      <c r="I52" s="67">
        <f>myParidad('Flujo de Fondos'!$T$5,$A52,H52,'Flujo de Fondos'!$T$7,'Flujo de Fondos'!$T$6)</f>
        <v/>
      </c>
      <c r="J52" s="68" t="n">
        <v>34.5</v>
      </c>
      <c r="K52" s="67">
        <f>myParidad('Flujo de Fondos'!$B$34,$A52,J52,'Flujo de Fondos'!$B$36,'Flujo de Fondos'!$B$35)</f>
        <v/>
      </c>
      <c r="L52" s="66" t="n">
        <v>38</v>
      </c>
      <c r="M52" s="67">
        <f>myParidad('Flujo de Fondos'!$H$34,'Paridad usd'!$A52,'Paridad usd'!L52,'Flujo de Fondos'!$H$36,'Flujo de Fondos'!$H$35)</f>
        <v/>
      </c>
      <c r="N52" s="68" t="n">
        <v>37.5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</row>
    <row r="53">
      <c r="A53" s="65" t="n">
        <v>44468</v>
      </c>
      <c r="B53" s="66" t="n">
        <v>38.9</v>
      </c>
      <c r="C53" s="67">
        <f>myParidad('Flujo de Fondos'!$B$5,A53,B53,'Flujo de Fondos'!$B$7,'Flujo de Fondos'!$B$6)</f>
        <v/>
      </c>
      <c r="D53" s="66" t="n">
        <v>41.75</v>
      </c>
      <c r="E53" s="75">
        <f>myParidad('Flujo de Fondos'!$H$5,$A53,D53,'Flujo de Fondos'!$H$7,'Flujo de Fondos'!$H$6)</f>
        <v/>
      </c>
      <c r="F53" s="66" t="n">
        <v>37.23</v>
      </c>
      <c r="G53" s="67">
        <f>myParidad('Flujo de Fondos'!$N$5,$A53,F53,'Flujo de Fondos'!$N$7,'Flujo de Fondos'!$N$6)</f>
        <v/>
      </c>
      <c r="H53" s="68" t="n">
        <v>40.15</v>
      </c>
      <c r="I53" s="67">
        <f>myParidad('Flujo de Fondos'!$T$5,$A53,H53,'Flujo de Fondos'!$T$7,'Flujo de Fondos'!$T$6)</f>
        <v/>
      </c>
      <c r="J53" s="68" t="n">
        <v>34.75</v>
      </c>
      <c r="K53" s="67">
        <f>myParidad('Flujo de Fondos'!$B$34,$A53,J53,'Flujo de Fondos'!$B$36,'Flujo de Fondos'!$B$35)</f>
        <v/>
      </c>
      <c r="L53" s="66" t="n">
        <v>38.2</v>
      </c>
      <c r="M53" s="67">
        <f>myParidad('Flujo de Fondos'!$H$34,'Paridad usd'!$A53,'Paridad usd'!L53,'Flujo de Fondos'!$H$36,'Flujo de Fondos'!$H$35)</f>
        <v/>
      </c>
      <c r="N53" s="68" t="n">
        <v>37.8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</row>
    <row r="54">
      <c r="A54" s="65" t="n">
        <v>44467</v>
      </c>
      <c r="B54" s="66" t="n">
        <v>38.45</v>
      </c>
      <c r="C54" s="67">
        <f>myParidad('Flujo de Fondos'!$B$5,A54,B54,'Flujo de Fondos'!$B$7,'Flujo de Fondos'!$B$6)</f>
        <v/>
      </c>
      <c r="D54" s="66" t="n">
        <v>41.2</v>
      </c>
      <c r="E54" s="75">
        <f>myParidad('Flujo de Fondos'!$H$5,$A54,D54,'Flujo de Fondos'!$H$7,'Flujo de Fondos'!$H$6)</f>
        <v/>
      </c>
      <c r="F54" s="66" t="n">
        <v>37.12</v>
      </c>
      <c r="G54" s="67">
        <f>myParidad('Flujo de Fondos'!$N$5,$A54,F54,'Flujo de Fondos'!$N$7,'Flujo de Fondos'!$N$6)</f>
        <v/>
      </c>
      <c r="H54" s="68" t="n">
        <v>39.55</v>
      </c>
      <c r="I54" s="67">
        <f>myParidad('Flujo de Fondos'!$T$5,$A54,H54,'Flujo de Fondos'!$T$7,'Flujo de Fondos'!$T$6)</f>
        <v/>
      </c>
      <c r="J54" s="68" t="n">
        <v>34.5</v>
      </c>
      <c r="K54" s="67">
        <f>myParidad('Flujo de Fondos'!$B$34,$A54,J54,'Flujo de Fondos'!$B$36,'Flujo de Fondos'!$B$35)</f>
        <v/>
      </c>
      <c r="L54" s="66" t="n">
        <v>37.9</v>
      </c>
      <c r="M54" s="67">
        <f>myParidad('Flujo de Fondos'!$H$34,'Paridad usd'!$A54,'Paridad usd'!L54,'Flujo de Fondos'!$H$36,'Flujo de Fondos'!$H$35)</f>
        <v/>
      </c>
      <c r="N54" s="68" t="n">
        <v>37.9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</row>
    <row r="55">
      <c r="A55" s="65" t="n">
        <v>44466</v>
      </c>
      <c r="B55" s="66" t="n">
        <v>38.45</v>
      </c>
      <c r="C55" s="67">
        <f>myParidad('Flujo de Fondos'!$B$5,A55,B55,'Flujo de Fondos'!$B$7,'Flujo de Fondos'!$B$6)</f>
        <v/>
      </c>
      <c r="D55" s="66" t="n">
        <v>40.7</v>
      </c>
      <c r="E55" s="75">
        <f>myParidad('Flujo de Fondos'!$H$5,$A55,D55,'Flujo de Fondos'!$H$7,'Flujo de Fondos'!$H$6)</f>
        <v/>
      </c>
      <c r="F55" s="66" t="n">
        <v>37.2</v>
      </c>
      <c r="G55" s="67">
        <f>myParidad('Flujo de Fondos'!$N$5,$A55,F55,'Flujo de Fondos'!$N$7,'Flujo de Fondos'!$N$6)</f>
        <v/>
      </c>
      <c r="H55" s="68" t="n">
        <v>39.1</v>
      </c>
      <c r="I55" s="67">
        <f>myParidad('Flujo de Fondos'!$T$5,$A55,H55,'Flujo de Fondos'!$T$7,'Flujo de Fondos'!$T$6)</f>
        <v/>
      </c>
      <c r="J55" s="68" t="n">
        <v>34.1</v>
      </c>
      <c r="K55" s="67">
        <f>myParidad('Flujo de Fondos'!$B$34,$A55,J55,'Flujo de Fondos'!$B$36,'Flujo de Fondos'!$B$35)</f>
        <v/>
      </c>
      <c r="L55" s="66" t="n">
        <v>37.8</v>
      </c>
      <c r="M55" s="67">
        <f>myParidad('Flujo de Fondos'!$H$34,'Paridad usd'!$A55,'Paridad usd'!L55,'Flujo de Fondos'!$H$36,'Flujo de Fondos'!$H$35)</f>
        <v/>
      </c>
      <c r="N55" s="68" t="n">
        <v>37.4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</row>
    <row r="56">
      <c r="A56" s="65" t="n">
        <v>44463</v>
      </c>
      <c r="B56" s="66" t="n">
        <v>38.56</v>
      </c>
      <c r="C56" s="67">
        <f>myParidad('Flujo de Fondos'!$B$5,A56,B56,'Flujo de Fondos'!$B$7,'Flujo de Fondos'!$B$6)</f>
        <v/>
      </c>
      <c r="D56" s="66" t="n">
        <v>40.9</v>
      </c>
      <c r="E56" s="75">
        <f>myParidad('Flujo de Fondos'!$H$5,$A56,D56,'Flujo de Fondos'!$H$7,'Flujo de Fondos'!$H$6)</f>
        <v/>
      </c>
      <c r="F56" s="66" t="n">
        <v>37.36</v>
      </c>
      <c r="G56" s="67">
        <f>myParidad('Flujo de Fondos'!$N$5,$A56,F56,'Flujo de Fondos'!$N$7,'Flujo de Fondos'!$N$6)</f>
        <v/>
      </c>
      <c r="H56" s="68" t="n">
        <v>38.6</v>
      </c>
      <c r="I56" s="67">
        <f>myParidad('Flujo de Fondos'!$T$5,$A56,H56,'Flujo de Fondos'!$T$7,'Flujo de Fondos'!$T$6)</f>
        <v/>
      </c>
      <c r="J56" s="68" t="n">
        <v>34.44</v>
      </c>
      <c r="K56" s="67">
        <f>myParidad('Flujo de Fondos'!$B$34,$A56,J56,'Flujo de Fondos'!$B$36,'Flujo de Fondos'!$B$35)</f>
        <v/>
      </c>
      <c r="L56" s="66" t="n">
        <v>37.35</v>
      </c>
      <c r="M56" s="67">
        <f>myParidad('Flujo de Fondos'!$H$34,'Paridad usd'!$A56,'Paridad usd'!L56,'Flujo de Fondos'!$H$36,'Flujo de Fondos'!$H$35)</f>
        <v/>
      </c>
      <c r="N56" s="68" t="n">
        <v>37.95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</row>
    <row r="57">
      <c r="A57" s="65" t="n">
        <v>44462</v>
      </c>
      <c r="B57" s="66" t="n">
        <v>39.3</v>
      </c>
      <c r="C57" s="67">
        <f>myParidad('Flujo de Fondos'!$B$5,A57,B57,'Flujo de Fondos'!$B$7,'Flujo de Fondos'!$B$6)</f>
        <v/>
      </c>
      <c r="D57" s="66" t="n">
        <v>41.41</v>
      </c>
      <c r="E57" s="75">
        <f>myParidad('Flujo de Fondos'!$H$5,$A57,D57,'Flujo de Fondos'!$H$7,'Flujo de Fondos'!$H$6)</f>
        <v/>
      </c>
      <c r="F57" s="66" t="n">
        <v>37.64</v>
      </c>
      <c r="G57" s="67">
        <f>myParidad('Flujo de Fondos'!$N$5,$A57,F57,'Flujo de Fondos'!$N$7,'Flujo de Fondos'!$N$6)</f>
        <v/>
      </c>
      <c r="H57" s="68" t="n">
        <v>39.1</v>
      </c>
      <c r="I57" s="67">
        <f>myParidad('Flujo de Fondos'!$T$5,$A57,H57,'Flujo de Fondos'!$T$7,'Flujo de Fondos'!$T$6)</f>
        <v/>
      </c>
      <c r="J57" s="68" t="n">
        <v>34.55</v>
      </c>
      <c r="K57" s="67">
        <f>myParidad('Flujo de Fondos'!$B$34,$A57,J57,'Flujo de Fondos'!$B$36,'Flujo de Fondos'!$B$35)</f>
        <v/>
      </c>
      <c r="L57" s="66" t="n">
        <v>38</v>
      </c>
      <c r="M57" s="67">
        <f>myParidad('Flujo de Fondos'!$H$34,'Paridad usd'!$A57,'Paridad usd'!L57,'Flujo de Fondos'!$H$36,'Flujo de Fondos'!$H$35)</f>
        <v/>
      </c>
      <c r="N57" s="68" t="n">
        <v>37.9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</row>
    <row r="58">
      <c r="A58" s="65" t="n">
        <v>44461</v>
      </c>
      <c r="B58" s="66" t="n">
        <v>39.6</v>
      </c>
      <c r="C58" s="67">
        <f>myParidad('Flujo de Fondos'!$B$5,A58,B58,'Flujo de Fondos'!$B$7,'Flujo de Fondos'!$B$6)</f>
        <v/>
      </c>
      <c r="D58" s="66" t="n">
        <v>41.5</v>
      </c>
      <c r="E58" s="75">
        <f>myParidad('Flujo de Fondos'!$H$5,$A58,D58,'Flujo de Fondos'!$H$7,'Flujo de Fondos'!$H$6)</f>
        <v/>
      </c>
      <c r="F58" s="66" t="n">
        <v>37.69</v>
      </c>
      <c r="G58" s="67">
        <f>myParidad('Flujo de Fondos'!$N$5,$A58,F58,'Flujo de Fondos'!$N$7,'Flujo de Fondos'!$N$6)</f>
        <v/>
      </c>
      <c r="H58" s="68" t="n">
        <v>39.4</v>
      </c>
      <c r="I58" s="67">
        <f>myParidad('Flujo de Fondos'!$T$5,$A58,H58,'Flujo de Fondos'!$T$7,'Flujo de Fondos'!$T$6)</f>
        <v/>
      </c>
      <c r="J58" s="68" t="n">
        <v>34.25</v>
      </c>
      <c r="K58" s="67">
        <f>myParidad('Flujo de Fondos'!$B$34,$A58,J58,'Flujo de Fondos'!$B$36,'Flujo de Fondos'!$B$35)</f>
        <v/>
      </c>
      <c r="L58" s="66" t="n">
        <v>38.36</v>
      </c>
      <c r="M58" s="67">
        <f>myParidad('Flujo de Fondos'!$H$34,'Paridad usd'!$A58,'Paridad usd'!L58,'Flujo de Fondos'!$H$36,'Flujo de Fondos'!$H$35)</f>
        <v/>
      </c>
      <c r="N58" s="68" t="n">
        <v>38.2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</row>
    <row r="59">
      <c r="A59" s="65" t="n">
        <v>44460</v>
      </c>
      <c r="B59" s="66" t="n">
        <v>39.8</v>
      </c>
      <c r="C59" s="67">
        <f>myParidad('Flujo de Fondos'!$B$5,A59,B59,'Flujo de Fondos'!$B$7,'Flujo de Fondos'!$B$6)</f>
        <v/>
      </c>
      <c r="D59" s="66" t="n">
        <v>41.2</v>
      </c>
      <c r="E59" s="75">
        <f>myParidad('Flujo de Fondos'!$H$5,$A59,D59,'Flujo de Fondos'!$H$7,'Flujo de Fondos'!$H$6)</f>
        <v/>
      </c>
      <c r="F59" s="66" t="n">
        <v>37.76</v>
      </c>
      <c r="G59" s="67">
        <f>myParidad('Flujo de Fondos'!$N$5,$A59,F59,'Flujo de Fondos'!$N$7,'Flujo de Fondos'!$N$6)</f>
        <v/>
      </c>
      <c r="H59" s="68" t="n">
        <v>39.64</v>
      </c>
      <c r="I59" s="67">
        <f>myParidad('Flujo de Fondos'!$T$5,$A59,H59,'Flujo de Fondos'!$T$7,'Flujo de Fondos'!$T$6)</f>
        <v/>
      </c>
      <c r="J59" s="68" t="n">
        <v>35</v>
      </c>
      <c r="K59" s="67">
        <f>myParidad('Flujo de Fondos'!$B$34,$A59,J59,'Flujo de Fondos'!$B$36,'Flujo de Fondos'!$B$35)</f>
        <v/>
      </c>
      <c r="L59" s="66" t="n">
        <v>38.74</v>
      </c>
      <c r="M59" s="67">
        <f>myParidad('Flujo de Fondos'!$H$34,'Paridad usd'!$A59,'Paridad usd'!L59,'Flujo de Fondos'!$H$36,'Flujo de Fondos'!$H$35)</f>
        <v/>
      </c>
      <c r="N59" s="68" t="n">
        <v>38.5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</row>
    <row r="60">
      <c r="A60" s="65" t="n">
        <v>44459</v>
      </c>
      <c r="B60" s="66" t="n">
        <v>40</v>
      </c>
      <c r="C60" s="67">
        <f>myParidad('Flujo de Fondos'!$B$5,A60,B60,'Flujo de Fondos'!$B$7,'Flujo de Fondos'!$B$6)</f>
        <v/>
      </c>
      <c r="D60" s="66" t="n">
        <v>43.5</v>
      </c>
      <c r="E60" s="75">
        <f>myParidad('Flujo de Fondos'!$H$5,$A60,D60,'Flujo de Fondos'!$H$7,'Flujo de Fondos'!$H$6)</f>
        <v/>
      </c>
      <c r="F60" s="66" t="n">
        <v>37.88</v>
      </c>
      <c r="G60" s="67">
        <f>myParidad('Flujo de Fondos'!$N$5,$A60,F60,'Flujo de Fondos'!$N$7,'Flujo de Fondos'!$N$6)</f>
        <v/>
      </c>
      <c r="H60" s="68" t="n">
        <v>40.04</v>
      </c>
      <c r="I60" s="67">
        <f>myParidad('Flujo de Fondos'!$T$5,$A60,H60,'Flujo de Fondos'!$T$7,'Flujo de Fondos'!$T$6)</f>
        <v/>
      </c>
      <c r="J60" s="68" t="n">
        <v>35.15</v>
      </c>
      <c r="K60" s="67">
        <f>myParidad('Flujo de Fondos'!$B$34,$A60,J60,'Flujo de Fondos'!$B$36,'Flujo de Fondos'!$B$35)</f>
        <v/>
      </c>
      <c r="L60" s="66" t="n">
        <v>38.62</v>
      </c>
      <c r="M60" s="67">
        <f>myParidad('Flujo de Fondos'!$H$34,'Paridad usd'!$A60,'Paridad usd'!L60,'Flujo de Fondos'!$H$36,'Flujo de Fondos'!$H$35)</f>
        <v/>
      </c>
      <c r="N60" s="68" t="n">
        <v>38.5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</row>
    <row r="61">
      <c r="A61" s="65" t="n">
        <v>44456</v>
      </c>
      <c r="B61" s="66" t="n">
        <v>40.1</v>
      </c>
      <c r="C61" s="67">
        <f>myParidad('Flujo de Fondos'!$B$5,A61,B61,'Flujo de Fondos'!$B$7,'Flujo de Fondos'!$B$6)</f>
        <v/>
      </c>
      <c r="D61" s="66" t="n">
        <v>43.5</v>
      </c>
      <c r="E61" s="75">
        <f>myParidad('Flujo de Fondos'!$H$5,$A61,D61,'Flujo de Fondos'!$H$7,'Flujo de Fondos'!$H$6)</f>
        <v/>
      </c>
      <c r="F61" s="66" t="n">
        <v>38.1</v>
      </c>
      <c r="G61" s="67">
        <f>myParidad('Flujo de Fondos'!$N$5,$A61,F61,'Flujo de Fondos'!$N$7,'Flujo de Fondos'!$N$6)</f>
        <v/>
      </c>
      <c r="H61" s="68" t="n">
        <v>40.85</v>
      </c>
      <c r="I61" s="67">
        <f>myParidad('Flujo de Fondos'!$T$5,$A61,H61,'Flujo de Fondos'!$T$7,'Flujo de Fondos'!$T$6)</f>
        <v/>
      </c>
      <c r="J61" s="68" t="n">
        <v>35.8</v>
      </c>
      <c r="K61" s="67">
        <f>myParidad('Flujo de Fondos'!$B$34,$A61,J61,'Flujo de Fondos'!$B$36,'Flujo de Fondos'!$B$35)</f>
        <v/>
      </c>
      <c r="L61" s="66" t="n">
        <v>39.2</v>
      </c>
      <c r="M61" s="67">
        <f>myParidad('Flujo de Fondos'!$H$34,'Paridad usd'!$A61,'Paridad usd'!L61,'Flujo de Fondos'!$H$36,'Flujo de Fondos'!$H$35)</f>
        <v/>
      </c>
      <c r="N61" s="68" t="n">
        <v>39.15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</row>
    <row r="62">
      <c r="A62" s="65" t="n">
        <v>44455</v>
      </c>
      <c r="B62" s="66" t="n">
        <v>40.2</v>
      </c>
      <c r="C62" s="67">
        <f>myParidad('Flujo de Fondos'!$B$5,A62,B62,'Flujo de Fondos'!$B$7,'Flujo de Fondos'!$B$6)</f>
        <v/>
      </c>
      <c r="D62" s="66" t="n">
        <v>43</v>
      </c>
      <c r="E62" s="75">
        <f>myParidad('Flujo de Fondos'!$H$5,$A62,D62,'Flujo de Fondos'!$H$7,'Flujo de Fondos'!$H$6)</f>
        <v/>
      </c>
      <c r="F62" s="66" t="n">
        <v>38.18</v>
      </c>
      <c r="G62" s="67">
        <f>myParidad('Flujo de Fondos'!$N$5,$A62,F62,'Flujo de Fondos'!$N$7,'Flujo de Fondos'!$N$6)</f>
        <v/>
      </c>
      <c r="H62" s="68" t="n">
        <v>41.29</v>
      </c>
      <c r="I62" s="67">
        <f>myParidad('Flujo de Fondos'!$T$5,$A62,H62,'Flujo de Fondos'!$T$7,'Flujo de Fondos'!$T$6)</f>
        <v/>
      </c>
      <c r="J62" s="68" t="n">
        <v>35.8</v>
      </c>
      <c r="K62" s="67">
        <f>myParidad('Flujo de Fondos'!$B$34,$A62,J62,'Flujo de Fondos'!$B$36,'Flujo de Fondos'!$B$35)</f>
        <v/>
      </c>
      <c r="L62" s="66" t="n">
        <v>39.5</v>
      </c>
      <c r="M62" s="67">
        <f>myParidad('Flujo de Fondos'!$H$34,'Paridad usd'!$A62,'Paridad usd'!L62,'Flujo de Fondos'!$H$36,'Flujo de Fondos'!$H$35)</f>
        <v/>
      </c>
      <c r="N62" s="68" t="n">
        <v>39.25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</row>
    <row r="63">
      <c r="A63" s="65" t="n">
        <v>44454</v>
      </c>
      <c r="B63" s="66" t="n">
        <v>39.8</v>
      </c>
      <c r="C63" s="67">
        <f>myParidad('Flujo de Fondos'!$B$5,A63,B63,'Flujo de Fondos'!$B$7,'Flujo de Fondos'!$B$6)</f>
        <v/>
      </c>
      <c r="D63" s="66" t="n">
        <v>43.5</v>
      </c>
      <c r="E63" s="75">
        <f>myParidad('Flujo de Fondos'!$H$5,$A63,D63,'Flujo de Fondos'!$H$7,'Flujo de Fondos'!$H$6)</f>
        <v/>
      </c>
      <c r="F63" s="66" t="n">
        <v>38.16</v>
      </c>
      <c r="G63" s="67">
        <f>myParidad('Flujo de Fondos'!$N$5,$A63,F63,'Flujo de Fondos'!$N$7,'Flujo de Fondos'!$N$6)</f>
        <v/>
      </c>
      <c r="H63" s="68" t="n">
        <v>41.41</v>
      </c>
      <c r="I63" s="67">
        <f>myParidad('Flujo de Fondos'!$T$5,$A63,H63,'Flujo de Fondos'!$T$7,'Flujo de Fondos'!$T$6)</f>
        <v/>
      </c>
      <c r="J63" s="68" t="n">
        <v>35.6</v>
      </c>
      <c r="K63" s="67">
        <f>myParidad('Flujo de Fondos'!$B$34,$A63,J63,'Flujo de Fondos'!$B$36,'Flujo de Fondos'!$B$35)</f>
        <v/>
      </c>
      <c r="L63" s="66" t="n">
        <v>39.45</v>
      </c>
      <c r="M63" s="67">
        <f>myParidad('Flujo de Fondos'!$H$34,'Paridad usd'!$A63,'Paridad usd'!L63,'Flujo de Fondos'!$H$36,'Flujo de Fondos'!$H$35)</f>
        <v/>
      </c>
      <c r="N63" s="68" t="n">
        <v>39.3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</row>
    <row r="64">
      <c r="A64" s="65" t="n">
        <v>44453</v>
      </c>
      <c r="B64" s="66" t="n">
        <v>39.35</v>
      </c>
      <c r="C64" s="67">
        <f>myParidad('Flujo de Fondos'!$B$5,A64,B64,'Flujo de Fondos'!$B$7,'Flujo de Fondos'!$B$6)</f>
        <v/>
      </c>
      <c r="D64" s="66" t="n">
        <v>43</v>
      </c>
      <c r="E64" s="75">
        <f>myParidad('Flujo de Fondos'!$H$5,$A64,D64,'Flujo de Fondos'!$H$7,'Flujo de Fondos'!$H$6)</f>
        <v/>
      </c>
      <c r="F64" s="66" t="n">
        <v>38.27</v>
      </c>
      <c r="G64" s="67">
        <f>myParidad('Flujo de Fondos'!$N$5,$A64,F64,'Flujo de Fondos'!$N$7,'Flujo de Fondos'!$N$6)</f>
        <v/>
      </c>
      <c r="H64" s="68" t="n">
        <v>41.1</v>
      </c>
      <c r="I64" s="67">
        <f>myParidad('Flujo de Fondos'!$T$5,$A64,H64,'Flujo de Fondos'!$T$7,'Flujo de Fondos'!$T$6)</f>
        <v/>
      </c>
      <c r="J64" s="68" t="n">
        <v>35.62</v>
      </c>
      <c r="K64" s="67">
        <f>myParidad('Flujo de Fondos'!$B$34,$A64,J64,'Flujo de Fondos'!$B$36,'Flujo de Fondos'!$B$35)</f>
        <v/>
      </c>
      <c r="L64" s="66" t="n">
        <v>39.4</v>
      </c>
      <c r="M64" s="67">
        <f>myParidad('Flujo de Fondos'!$H$34,'Paridad usd'!$A64,'Paridad usd'!L64,'Flujo de Fondos'!$H$36,'Flujo de Fondos'!$H$35)</f>
        <v/>
      </c>
      <c r="N64" s="68" t="n">
        <v>39.4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</row>
    <row r="65">
      <c r="A65" s="65" t="n">
        <v>44452</v>
      </c>
      <c r="B65" s="66" t="n">
        <v>39.6</v>
      </c>
      <c r="C65" s="67">
        <f>myParidad('Flujo de Fondos'!$B$5,A65,B65,'Flujo de Fondos'!$B$7,'Flujo de Fondos'!$B$6)</f>
        <v/>
      </c>
      <c r="D65" s="66" t="n">
        <v>43.4</v>
      </c>
      <c r="E65" s="75">
        <f>myParidad('Flujo de Fondos'!$H$5,$A65,D65,'Flujo de Fondos'!$H$7,'Flujo de Fondos'!$H$6)</f>
        <v/>
      </c>
      <c r="F65" s="66" t="n">
        <v>38.43</v>
      </c>
      <c r="G65" s="67">
        <f>myParidad('Flujo de Fondos'!$N$5,$A65,F65,'Flujo de Fondos'!$N$7,'Flujo de Fondos'!$N$6)</f>
        <v/>
      </c>
      <c r="H65" s="68" t="n">
        <v>41.57</v>
      </c>
      <c r="I65" s="67">
        <f>myParidad('Flujo de Fondos'!$T$5,$A65,H65,'Flujo de Fondos'!$T$7,'Flujo de Fondos'!$T$6)</f>
        <v/>
      </c>
      <c r="J65" s="68" t="n">
        <v>35.61</v>
      </c>
      <c r="K65" s="67">
        <f>myParidad('Flujo de Fondos'!$B$34,$A65,J65,'Flujo de Fondos'!$B$36,'Flujo de Fondos'!$B$35)</f>
        <v/>
      </c>
      <c r="L65" s="66" t="n">
        <v>39.65</v>
      </c>
      <c r="M65" s="67">
        <f>myParidad('Flujo de Fondos'!$H$34,'Paridad usd'!$A65,'Paridad usd'!L65,'Flujo de Fondos'!$H$36,'Flujo de Fondos'!$H$35)</f>
        <v/>
      </c>
      <c r="N65" s="68" t="n">
        <v>39.5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</row>
    <row r="66">
      <c r="A66" s="65" t="n">
        <v>44449</v>
      </c>
      <c r="B66" s="66" t="n">
        <v>38.9</v>
      </c>
      <c r="C66" s="67">
        <f>myParidad('Flujo de Fondos'!$B$5,A66,B66,'Flujo de Fondos'!$B$7,'Flujo de Fondos'!$B$6)</f>
        <v/>
      </c>
      <c r="D66" s="66" t="n">
        <v>41.75</v>
      </c>
      <c r="E66" s="75">
        <f>myParidad('Flujo de Fondos'!$H$5,$A66,D66,'Flujo de Fondos'!$H$7,'Flujo de Fondos'!$H$6)</f>
        <v/>
      </c>
      <c r="F66" s="66" t="n">
        <v>37.68</v>
      </c>
      <c r="G66" s="67">
        <f>myParidad('Flujo de Fondos'!$N$5,$A66,F66,'Flujo de Fondos'!$N$7,'Flujo de Fondos'!$N$6)</f>
        <v/>
      </c>
      <c r="H66" s="68" t="n">
        <v>39.5</v>
      </c>
      <c r="I66" s="67">
        <f>myParidad('Flujo de Fondos'!$T$5,$A66,H66,'Flujo de Fondos'!$T$7,'Flujo de Fondos'!$T$6)</f>
        <v/>
      </c>
      <c r="J66" s="68" t="n">
        <v>34.51</v>
      </c>
      <c r="K66" s="67">
        <f>myParidad('Flujo de Fondos'!$B$34,$A66,J66,'Flujo de Fondos'!$B$36,'Flujo de Fondos'!$B$35)</f>
        <v/>
      </c>
      <c r="L66" s="66" t="n">
        <v>38.6</v>
      </c>
      <c r="M66" s="67">
        <f>myParidad('Flujo de Fondos'!$H$34,'Paridad usd'!$A66,'Paridad usd'!L66,'Flujo de Fondos'!$H$36,'Flujo de Fondos'!$H$35)</f>
        <v/>
      </c>
      <c r="N66" s="68" t="n">
        <v>38.95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</row>
    <row r="67">
      <c r="A67" s="65" t="n">
        <v>44448</v>
      </c>
      <c r="B67" s="66" t="n">
        <v>38.7</v>
      </c>
      <c r="C67" s="67">
        <f>myParidad('Flujo de Fondos'!$B$5,A67,B67,'Flujo de Fondos'!$B$7,'Flujo de Fondos'!$B$6)</f>
        <v/>
      </c>
      <c r="D67" s="66" t="n">
        <v>41.75</v>
      </c>
      <c r="E67" s="75">
        <f>myParidad('Flujo de Fondos'!$H$5,$A67,D67,'Flujo de Fondos'!$H$7,'Flujo de Fondos'!$H$6)</f>
        <v/>
      </c>
      <c r="F67" s="66" t="n">
        <v>37.74</v>
      </c>
      <c r="G67" s="67">
        <f>myParidad('Flujo de Fondos'!$N$5,$A67,F67,'Flujo de Fondos'!$N$7,'Flujo de Fondos'!$N$6)</f>
        <v/>
      </c>
      <c r="H67" s="68" t="n">
        <v>40.1</v>
      </c>
      <c r="I67" s="67">
        <f>myParidad('Flujo de Fondos'!$T$5,$A67,H67,'Flujo de Fondos'!$T$7,'Flujo de Fondos'!$T$6)</f>
        <v/>
      </c>
      <c r="J67" s="68" t="n">
        <v>35.6</v>
      </c>
      <c r="K67" s="67">
        <f>myParidad('Flujo de Fondos'!$B$34,$A67,J67,'Flujo de Fondos'!$B$36,'Flujo de Fondos'!$B$35)</f>
        <v/>
      </c>
      <c r="L67" s="66" t="n">
        <v>38.9</v>
      </c>
      <c r="M67" s="67">
        <f>myParidad('Flujo de Fondos'!$H$34,'Paridad usd'!$A67,'Paridad usd'!L67,'Flujo de Fondos'!$H$36,'Flujo de Fondos'!$H$35)</f>
        <v/>
      </c>
      <c r="N67" s="68" t="n">
        <v>38.8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</row>
    <row r="68">
      <c r="A68" s="65" t="n">
        <v>44447</v>
      </c>
      <c r="B68" s="66" t="n">
        <v>38.8</v>
      </c>
      <c r="C68" s="67">
        <f>myParidad('Flujo de Fondos'!$B$5,A68,B68,'Flujo de Fondos'!$B$7,'Flujo de Fondos'!$B$6)</f>
        <v/>
      </c>
      <c r="D68" s="66" t="n">
        <v>42.5</v>
      </c>
      <c r="E68" s="75">
        <f>myParidad('Flujo de Fondos'!$H$5,$A68,D68,'Flujo de Fondos'!$H$7,'Flujo de Fondos'!$H$6)</f>
        <v/>
      </c>
      <c r="F68" s="66" t="n">
        <v>37.79</v>
      </c>
      <c r="G68" s="67">
        <f>myParidad('Flujo de Fondos'!$N$5,$A68,F68,'Flujo de Fondos'!$N$7,'Flujo de Fondos'!$N$6)</f>
        <v/>
      </c>
      <c r="H68" s="68" t="n">
        <v>40.35</v>
      </c>
      <c r="I68" s="67">
        <f>myParidad('Flujo de Fondos'!$T$5,$A68,H68,'Flujo de Fondos'!$T$7,'Flujo de Fondos'!$T$6)</f>
        <v/>
      </c>
      <c r="J68" s="68" t="n">
        <v>35.87</v>
      </c>
      <c r="K68" s="67">
        <f>myParidad('Flujo de Fondos'!$B$34,$A68,J68,'Flujo de Fondos'!$B$36,'Flujo de Fondos'!$B$35)</f>
        <v/>
      </c>
      <c r="L68" s="66" t="n">
        <v>39.15</v>
      </c>
      <c r="M68" s="67">
        <f>myParidad('Flujo de Fondos'!$H$34,'Paridad usd'!$A68,'Paridad usd'!L68,'Flujo de Fondos'!$H$36,'Flujo de Fondos'!$H$35)</f>
        <v/>
      </c>
      <c r="N68" s="68" t="n">
        <v>39.05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</row>
    <row r="69">
      <c r="A69" s="65" t="n">
        <v>44446</v>
      </c>
      <c r="B69" s="66" t="n">
        <v>39</v>
      </c>
      <c r="C69" s="67">
        <f>myParidad('Flujo de Fondos'!$B$5,A69,B69,'Flujo de Fondos'!$B$7,'Flujo de Fondos'!$B$6)</f>
        <v/>
      </c>
      <c r="D69" s="66" t="n">
        <v>43</v>
      </c>
      <c r="E69" s="75">
        <f>myParidad('Flujo de Fondos'!$H$5,$A69,D69,'Flujo de Fondos'!$H$7,'Flujo de Fondos'!$H$6)</f>
        <v/>
      </c>
      <c r="F69" s="66" t="n">
        <v>37.85</v>
      </c>
      <c r="G69" s="67">
        <f>myParidad('Flujo de Fondos'!$N$5,$A69,F69,'Flujo de Fondos'!$N$7,'Flujo de Fondos'!$N$6)</f>
        <v/>
      </c>
      <c r="H69" s="68" t="n">
        <v>41.22</v>
      </c>
      <c r="I69" s="67">
        <f>myParidad('Flujo de Fondos'!$T$5,$A69,H69,'Flujo de Fondos'!$T$7,'Flujo de Fondos'!$T$6)</f>
        <v/>
      </c>
      <c r="J69" s="68" t="n">
        <v>36.35</v>
      </c>
      <c r="K69" s="67">
        <f>myParidad('Flujo de Fondos'!$B$34,$A69,J69,'Flujo de Fondos'!$B$36,'Flujo de Fondos'!$B$35)</f>
        <v/>
      </c>
      <c r="L69" s="66" t="n">
        <v>39.7</v>
      </c>
      <c r="M69" s="67">
        <f>myParidad('Flujo de Fondos'!$H$34,'Paridad usd'!$A69,'Paridad usd'!L69,'Flujo de Fondos'!$H$36,'Flujo de Fondos'!$H$35)</f>
        <v/>
      </c>
      <c r="N69" s="68" t="n">
        <v>39.4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</row>
    <row r="70">
      <c r="A70" s="65" t="n">
        <v>44445</v>
      </c>
      <c r="B70" s="66" t="n">
        <v>38.6</v>
      </c>
      <c r="C70" s="67">
        <f>myParidad('Flujo de Fondos'!$B$5,A70,B70,'Flujo de Fondos'!$B$7,'Flujo de Fondos'!$B$6)</f>
        <v/>
      </c>
      <c r="D70" s="66" t="n">
        <v>42.75</v>
      </c>
      <c r="E70" s="75">
        <f>myParidad('Flujo de Fondos'!$H$5,$A70,D70,'Flujo de Fondos'!$H$7,'Flujo de Fondos'!$H$6)</f>
        <v/>
      </c>
      <c r="F70" s="66" t="n">
        <v>37.76</v>
      </c>
      <c r="G70" s="67">
        <f>myParidad('Flujo de Fondos'!$N$5,$A70,F70,'Flujo de Fondos'!$N$7,'Flujo de Fondos'!$N$6)</f>
        <v/>
      </c>
      <c r="H70" s="68" t="n">
        <v>41.39</v>
      </c>
      <c r="I70" s="67">
        <f>myParidad('Flujo de Fondos'!$T$5,$A70,H70,'Flujo de Fondos'!$T$7,'Flujo de Fondos'!$T$6)</f>
        <v/>
      </c>
      <c r="J70" s="68" t="n">
        <v>35.95</v>
      </c>
      <c r="K70" s="67">
        <f>myParidad('Flujo de Fondos'!$B$34,$A70,J70,'Flujo de Fondos'!$B$36,'Flujo de Fondos'!$B$35)</f>
        <v/>
      </c>
      <c r="L70" s="66" t="n">
        <v>39.6</v>
      </c>
      <c r="M70" s="67">
        <f>myParidad('Flujo de Fondos'!$H$34,'Paridad usd'!$A70,'Paridad usd'!L70,'Flujo de Fondos'!$H$36,'Flujo de Fondos'!$H$35)</f>
        <v/>
      </c>
      <c r="N70" s="68" t="n">
        <v>39.35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</row>
    <row r="71">
      <c r="A71" s="65" t="n">
        <v>44442</v>
      </c>
      <c r="B71" s="66" t="n">
        <v>38.5</v>
      </c>
      <c r="C71" s="67">
        <f>myParidad('Flujo de Fondos'!$B$5,A71,B71,'Flujo de Fondos'!$B$7,'Flujo de Fondos'!$B$6)</f>
        <v/>
      </c>
      <c r="D71" s="66" t="n">
        <v>42.25</v>
      </c>
      <c r="E71" s="75">
        <f>myParidad('Flujo de Fondos'!$H$5,$A71,D71,'Flujo de Fondos'!$H$7,'Flujo de Fondos'!$H$6)</f>
        <v/>
      </c>
      <c r="F71" s="66" t="n">
        <v>37.62</v>
      </c>
      <c r="G71" s="67">
        <f>myParidad('Flujo de Fondos'!$N$5,$A71,F71,'Flujo de Fondos'!$N$7,'Flujo de Fondos'!$N$6)</f>
        <v/>
      </c>
      <c r="H71" s="68" t="n">
        <v>40.92</v>
      </c>
      <c r="I71" s="67">
        <f>myParidad('Flujo de Fondos'!$T$5,$A71,H71,'Flujo de Fondos'!$T$7,'Flujo de Fondos'!$T$6)</f>
        <v/>
      </c>
      <c r="J71" s="68" t="n">
        <v>35.7</v>
      </c>
      <c r="K71" s="67">
        <f>myParidad('Flujo de Fondos'!$B$34,$A71,J71,'Flujo de Fondos'!$B$36,'Flujo de Fondos'!$B$35)</f>
        <v/>
      </c>
      <c r="L71" s="66" t="n">
        <v>39.25</v>
      </c>
      <c r="M71" s="67">
        <f>myParidad('Flujo de Fondos'!$H$34,'Paridad usd'!$A71,'Paridad usd'!L71,'Flujo de Fondos'!$H$36,'Flujo de Fondos'!$H$35)</f>
        <v/>
      </c>
      <c r="N71" s="68" t="n">
        <v>39.25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</row>
    <row r="72">
      <c r="A72" s="65" t="n">
        <v>44441</v>
      </c>
      <c r="B72" s="66" t="n">
        <v>38.4</v>
      </c>
      <c r="C72" s="67">
        <f>myParidad('Flujo de Fondos'!$B$5,A72,B72,'Flujo de Fondos'!$B$7,'Flujo de Fondos'!$B$6)</f>
        <v/>
      </c>
      <c r="D72" s="66" t="n">
        <v>43.4</v>
      </c>
      <c r="E72" s="75">
        <f>myParidad('Flujo de Fondos'!$H$5,$A72,D72,'Flujo de Fondos'!$H$7,'Flujo de Fondos'!$H$6)</f>
        <v/>
      </c>
      <c r="F72" s="66" t="n">
        <v>37.46</v>
      </c>
      <c r="G72" s="67">
        <f>myParidad('Flujo de Fondos'!$N$5,$A72,F72,'Flujo de Fondos'!$N$7,'Flujo de Fondos'!$N$6)</f>
        <v/>
      </c>
      <c r="H72" s="68" t="n">
        <v>40.95</v>
      </c>
      <c r="I72" s="67">
        <f>myParidad('Flujo de Fondos'!$T$5,$A72,H72,'Flujo de Fondos'!$T$7,'Flujo de Fondos'!$T$6)</f>
        <v/>
      </c>
      <c r="J72" s="68" t="n">
        <v>35.8</v>
      </c>
      <c r="K72" s="67">
        <f>myParidad('Flujo de Fondos'!$B$34,$A72,J72,'Flujo de Fondos'!$B$36,'Flujo de Fondos'!$B$35)</f>
        <v/>
      </c>
      <c r="L72" s="66" t="n">
        <v>39.4</v>
      </c>
      <c r="M72" s="67">
        <f>myParidad('Flujo de Fondos'!$H$34,'Paridad usd'!$A72,'Paridad usd'!L72,'Flujo de Fondos'!$H$36,'Flujo de Fondos'!$H$35)</f>
        <v/>
      </c>
      <c r="N72" s="68" t="n">
        <v>39.2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</row>
    <row r="73">
      <c r="A73" s="65" t="n">
        <v>44440</v>
      </c>
      <c r="B73" s="66" t="n">
        <v>37.94</v>
      </c>
      <c r="C73" s="67">
        <f>myParidad('Flujo de Fondos'!$B$5,A73,B73,'Flujo de Fondos'!$B$7,'Flujo de Fondos'!$B$6)</f>
        <v/>
      </c>
      <c r="D73" s="66" t="n">
        <v>42.5</v>
      </c>
      <c r="E73" s="75">
        <f>myParidad('Flujo de Fondos'!$H$5,$A73,D73,'Flujo de Fondos'!$H$7,'Flujo de Fondos'!$H$6)</f>
        <v/>
      </c>
      <c r="F73" s="66" t="n">
        <v>36.88</v>
      </c>
      <c r="G73" s="67">
        <f>myParidad('Flujo de Fondos'!$N$5,$A73,F73,'Flujo de Fondos'!$N$7,'Flujo de Fondos'!$N$6)</f>
        <v/>
      </c>
      <c r="H73" s="68" t="n">
        <v>40.68</v>
      </c>
      <c r="I73" s="67">
        <f>myParidad('Flujo de Fondos'!$T$5,$A73,H73,'Flujo de Fondos'!$T$7,'Flujo de Fondos'!$T$6)</f>
        <v/>
      </c>
      <c r="J73" s="68" t="n">
        <v>35.6</v>
      </c>
      <c r="K73" s="67">
        <f>myParidad('Flujo de Fondos'!$B$34,$A73,J73,'Flujo de Fondos'!$B$36,'Flujo de Fondos'!$B$35)</f>
        <v/>
      </c>
      <c r="L73" s="66" t="n">
        <v>38.7</v>
      </c>
      <c r="M73" s="67">
        <f>myParidad('Flujo de Fondos'!$H$34,'Paridad usd'!$A73,'Paridad usd'!L73,'Flujo de Fondos'!$H$36,'Flujo de Fondos'!$H$35)</f>
        <v/>
      </c>
      <c r="N73" s="68" t="n">
        <v>38.6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</row>
    <row r="74">
      <c r="A74" s="65" t="n">
        <v>44439</v>
      </c>
      <c r="B74" s="66" t="n">
        <v>37.57</v>
      </c>
      <c r="C74" s="67">
        <f>myParidad('Flujo de Fondos'!$B$5,A74,B74,'Flujo de Fondos'!$B$7,'Flujo de Fondos'!$B$6)</f>
        <v/>
      </c>
      <c r="D74" s="66" t="n">
        <v>42.1</v>
      </c>
      <c r="E74" s="75">
        <f>myParidad('Flujo de Fondos'!$H$5,$A74,D74,'Flujo de Fondos'!$H$7,'Flujo de Fondos'!$H$6)</f>
        <v/>
      </c>
      <c r="F74" s="66" t="n">
        <v>36.31</v>
      </c>
      <c r="G74" s="67">
        <f>myParidad('Flujo de Fondos'!$N$5,$A74,F74,'Flujo de Fondos'!$N$7,'Flujo de Fondos'!$N$6)</f>
        <v/>
      </c>
      <c r="H74" s="68" t="n">
        <v>40.32</v>
      </c>
      <c r="I74" s="67">
        <f>myParidad('Flujo de Fondos'!$T$5,$A74,H74,'Flujo de Fondos'!$T$7,'Flujo de Fondos'!$T$6)</f>
        <v/>
      </c>
      <c r="J74" s="68" t="n">
        <v>35</v>
      </c>
      <c r="K74" s="67">
        <f>myParidad('Flujo de Fondos'!$B$34,$A74,J74,'Flujo de Fondos'!$B$36,'Flujo de Fondos'!$B$35)</f>
        <v/>
      </c>
      <c r="L74" s="66" t="n">
        <v>38.45</v>
      </c>
      <c r="M74" s="67">
        <f>myParidad('Flujo de Fondos'!$H$34,'Paridad usd'!$A74,'Paridad usd'!L74,'Flujo de Fondos'!$H$36,'Flujo de Fondos'!$H$35)</f>
        <v/>
      </c>
      <c r="N74" s="68" t="n">
        <v>38.4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</row>
    <row r="75">
      <c r="A75" s="65" t="n">
        <v>44438</v>
      </c>
      <c r="B75" s="66" t="n">
        <v>37.26</v>
      </c>
      <c r="C75" s="67">
        <f>myParidad('Flujo de Fondos'!$B$5,A75,B75,'Flujo de Fondos'!$B$7,'Flujo de Fondos'!$B$6)</f>
        <v/>
      </c>
      <c r="D75" s="66" t="n">
        <v>42.5</v>
      </c>
      <c r="E75" s="75">
        <f>myParidad('Flujo de Fondos'!$H$5,$A75,D75,'Flujo de Fondos'!$H$7,'Flujo de Fondos'!$H$6)</f>
        <v/>
      </c>
      <c r="F75" s="66" t="n">
        <v>36.01</v>
      </c>
      <c r="G75" s="67">
        <f>myParidad('Flujo de Fondos'!$N$5,$A75,F75,'Flujo de Fondos'!$N$7,'Flujo de Fondos'!$N$6)</f>
        <v/>
      </c>
      <c r="H75" s="68" t="n">
        <v>40.2</v>
      </c>
      <c r="I75" s="67">
        <f>myParidad('Flujo de Fondos'!$T$5,$A75,H75,'Flujo de Fondos'!$T$7,'Flujo de Fondos'!$T$6)</f>
        <v/>
      </c>
      <c r="J75" s="68" t="n">
        <v>35</v>
      </c>
      <c r="K75" s="67">
        <f>myParidad('Flujo de Fondos'!$B$34,$A75,J75,'Flujo de Fondos'!$B$36,'Flujo de Fondos'!$B$35)</f>
        <v/>
      </c>
      <c r="L75" s="66" t="n">
        <v>38.4</v>
      </c>
      <c r="M75" s="67">
        <f>myParidad('Flujo de Fondos'!$H$34,'Paridad usd'!$A75,'Paridad usd'!L75,'Flujo de Fondos'!$H$36,'Flujo de Fondos'!$H$35)</f>
        <v/>
      </c>
      <c r="N75" s="68" t="n">
        <v>38.2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</row>
    <row r="76">
      <c r="A76" s="65" t="n">
        <v>44435</v>
      </c>
      <c r="B76" s="66" t="n">
        <v>36.7</v>
      </c>
      <c r="C76" s="67">
        <f>myParidad('Flujo de Fondos'!$B$5,A76,B76,'Flujo de Fondos'!$B$7,'Flujo de Fondos'!$B$6)</f>
        <v/>
      </c>
      <c r="D76" s="66" t="n">
        <v>42.1</v>
      </c>
      <c r="E76" s="75">
        <f>myParidad('Flujo de Fondos'!$H$5,$A76,D76,'Flujo de Fondos'!$H$7,'Flujo de Fondos'!$H$6)</f>
        <v/>
      </c>
      <c r="F76" s="66" t="n">
        <v>35.63</v>
      </c>
      <c r="G76" s="67">
        <f>myParidad('Flujo de Fondos'!$N$5,$A76,F76,'Flujo de Fondos'!$N$7,'Flujo de Fondos'!$N$6)</f>
        <v/>
      </c>
      <c r="H76" s="68" t="n">
        <v>39.6</v>
      </c>
      <c r="I76" s="67">
        <f>myParidad('Flujo de Fondos'!$T$5,$A76,H76,'Flujo de Fondos'!$T$7,'Flujo de Fondos'!$T$6)</f>
        <v/>
      </c>
      <c r="J76" s="68" t="n">
        <v>34.13</v>
      </c>
      <c r="K76" s="67">
        <f>myParidad('Flujo de Fondos'!$B$34,$A76,J76,'Flujo de Fondos'!$B$36,'Flujo de Fondos'!$B$35)</f>
        <v/>
      </c>
      <c r="L76" s="66" t="n">
        <v>37.8</v>
      </c>
      <c r="M76" s="67">
        <f>myParidad('Flujo de Fondos'!$H$34,'Paridad usd'!$A76,'Paridad usd'!L76,'Flujo de Fondos'!$H$36,'Flujo de Fondos'!$H$35)</f>
        <v/>
      </c>
      <c r="N76" s="68" t="n">
        <v>37.38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</row>
    <row r="77">
      <c r="A77" s="65" t="n">
        <v>44434</v>
      </c>
      <c r="B77" s="66" t="n">
        <v>36.58</v>
      </c>
      <c r="C77" s="67">
        <f>myParidad('Flujo de Fondos'!$B$5,A77,B77,'Flujo de Fondos'!$B$7,'Flujo de Fondos'!$B$6)</f>
        <v/>
      </c>
      <c r="D77" s="66" t="n">
        <v>41.7</v>
      </c>
      <c r="E77" s="75">
        <f>myParidad('Flujo de Fondos'!$H$5,$A77,D77,'Flujo de Fondos'!$H$7,'Flujo de Fondos'!$H$6)</f>
        <v/>
      </c>
      <c r="F77" s="66" t="n">
        <v>35.42</v>
      </c>
      <c r="G77" s="67">
        <f>myParidad('Flujo de Fondos'!$N$5,$A77,F77,'Flujo de Fondos'!$N$7,'Flujo de Fondos'!$N$6)</f>
        <v/>
      </c>
      <c r="H77" s="68" t="n">
        <v>39.3</v>
      </c>
      <c r="I77" s="67">
        <f>myParidad('Flujo de Fondos'!$T$5,$A77,H77,'Flujo de Fondos'!$T$7,'Flujo de Fondos'!$T$6)</f>
        <v/>
      </c>
      <c r="J77" s="68" t="n">
        <v>34</v>
      </c>
      <c r="K77" s="67">
        <f>myParidad('Flujo de Fondos'!$B$34,$A77,J77,'Flujo de Fondos'!$B$36,'Flujo de Fondos'!$B$35)</f>
        <v/>
      </c>
      <c r="L77" s="66" t="n">
        <v>37.5</v>
      </c>
      <c r="M77" s="67">
        <f>myParidad('Flujo de Fondos'!$H$34,'Paridad usd'!$A77,'Paridad usd'!L77,'Flujo de Fondos'!$H$36,'Flujo de Fondos'!$H$35)</f>
        <v/>
      </c>
      <c r="N77" s="68" t="n">
        <v>37.1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</row>
    <row r="78">
      <c r="A78" s="65" t="n">
        <v>44433</v>
      </c>
      <c r="B78" s="66" t="n">
        <v>36.7</v>
      </c>
      <c r="C78" s="67">
        <f>myParidad('Flujo de Fondos'!$B$5,A78,B78,'Flujo de Fondos'!$B$7,'Flujo de Fondos'!$B$6)</f>
        <v/>
      </c>
      <c r="D78" s="66" t="n">
        <v>41.4</v>
      </c>
      <c r="E78" s="75">
        <f>myParidad('Flujo de Fondos'!$H$5,$A78,D78,'Flujo de Fondos'!$H$7,'Flujo de Fondos'!$H$6)</f>
        <v/>
      </c>
      <c r="F78" s="66" t="n">
        <v>35.37</v>
      </c>
      <c r="G78" s="67">
        <f>myParidad('Flujo de Fondos'!$N$5,$A78,F78,'Flujo de Fondos'!$N$7,'Flujo de Fondos'!$N$6)</f>
        <v/>
      </c>
      <c r="H78" s="68" t="n">
        <v>39.49</v>
      </c>
      <c r="I78" s="67">
        <f>myParidad('Flujo de Fondos'!$T$5,$A78,H78,'Flujo de Fondos'!$T$7,'Flujo de Fondos'!$T$6)</f>
        <v/>
      </c>
      <c r="J78" s="68" t="n">
        <v>33.5</v>
      </c>
      <c r="K78" s="67">
        <f>myParidad('Flujo de Fondos'!$B$34,$A78,J78,'Flujo de Fondos'!$B$36,'Flujo de Fondos'!$B$35)</f>
        <v/>
      </c>
      <c r="L78" s="66" t="n">
        <v>37.67</v>
      </c>
      <c r="M78" s="67">
        <f>myParidad('Flujo de Fondos'!$H$34,'Paridad usd'!$A78,'Paridad usd'!L78,'Flujo de Fondos'!$H$36,'Flujo de Fondos'!$H$35)</f>
        <v/>
      </c>
      <c r="N78" s="68" t="n">
        <v>37.15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</row>
    <row r="79">
      <c r="A79" s="65" t="n">
        <v>44432</v>
      </c>
      <c r="B79" s="66" t="n">
        <v>36.7</v>
      </c>
      <c r="C79" s="67">
        <f>myParidad('Flujo de Fondos'!$B$5,A79,B79,'Flujo de Fondos'!$B$7,'Flujo de Fondos'!$B$6)</f>
        <v/>
      </c>
      <c r="D79" s="66" t="n">
        <v>41</v>
      </c>
      <c r="E79" s="75">
        <f>myParidad('Flujo de Fondos'!$H$5,$A79,D79,'Flujo de Fondos'!$H$7,'Flujo de Fondos'!$H$6)</f>
        <v/>
      </c>
      <c r="F79" s="66" t="n">
        <v>35.39</v>
      </c>
      <c r="G79" s="67">
        <f>myParidad('Flujo de Fondos'!$N$5,$A79,F79,'Flujo de Fondos'!$N$7,'Flujo de Fondos'!$N$6)</f>
        <v/>
      </c>
      <c r="H79" s="68" t="n">
        <v>39.59</v>
      </c>
      <c r="I79" s="67">
        <f>myParidad('Flujo de Fondos'!$T$5,$A79,H79,'Flujo de Fondos'!$T$7,'Flujo de Fondos'!$T$6)</f>
        <v/>
      </c>
      <c r="J79" s="68" t="n">
        <v>33.8</v>
      </c>
      <c r="K79" s="67">
        <f>myParidad('Flujo de Fondos'!$B$34,$A79,J79,'Flujo de Fondos'!$B$36,'Flujo de Fondos'!$B$35)</f>
        <v/>
      </c>
      <c r="L79" s="66" t="n">
        <v>37.75</v>
      </c>
      <c r="M79" s="67">
        <f>myParidad('Flujo de Fondos'!$H$34,'Paridad usd'!$A79,'Paridad usd'!L79,'Flujo de Fondos'!$H$36,'Flujo de Fondos'!$H$35)</f>
        <v/>
      </c>
      <c r="N79" s="68" t="n">
        <v>37.15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</row>
    <row r="80">
      <c r="A80" s="65" t="n">
        <v>44431</v>
      </c>
      <c r="B80" s="66" t="n">
        <v>36.45</v>
      </c>
      <c r="C80" s="67">
        <f>myParidad('Flujo de Fondos'!$B$5,A80,B80,'Flujo de Fondos'!$B$7,'Flujo de Fondos'!$B$6)</f>
        <v/>
      </c>
      <c r="D80" s="66" t="n">
        <v>40</v>
      </c>
      <c r="E80" s="75">
        <f>myParidad('Flujo de Fondos'!$H$5,$A80,D80,'Flujo de Fondos'!$H$7,'Flujo de Fondos'!$H$6)</f>
        <v/>
      </c>
      <c r="F80" s="66" t="n">
        <v>35.26</v>
      </c>
      <c r="G80" s="67">
        <f>myParidad('Flujo de Fondos'!$N$5,$A80,F80,'Flujo de Fondos'!$N$7,'Flujo de Fondos'!$N$6)</f>
        <v/>
      </c>
      <c r="H80" s="68" t="n">
        <v>38.75</v>
      </c>
      <c r="I80" s="67">
        <f>myParidad('Flujo de Fondos'!$T$5,$A80,H80,'Flujo de Fondos'!$T$7,'Flujo de Fondos'!$T$6)</f>
        <v/>
      </c>
      <c r="J80" s="68" t="n">
        <v>32.9</v>
      </c>
      <c r="K80" s="67">
        <f>myParidad('Flujo de Fondos'!$B$34,$A80,J80,'Flujo de Fondos'!$B$36,'Flujo de Fondos'!$B$35)</f>
        <v/>
      </c>
      <c r="L80" s="66" t="n">
        <v>37.4</v>
      </c>
      <c r="M80" s="67">
        <f>myParidad('Flujo de Fondos'!$H$34,'Paridad usd'!$A80,'Paridad usd'!L80,'Flujo de Fondos'!$H$36,'Flujo de Fondos'!$H$35)</f>
        <v/>
      </c>
      <c r="N80" s="68" t="n">
        <v>37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</row>
    <row r="81">
      <c r="A81" s="65" t="n">
        <v>44428</v>
      </c>
      <c r="B81" s="66" t="n">
        <v>36.21</v>
      </c>
      <c r="C81" s="67">
        <f>myParidad('Flujo de Fondos'!$B$5,A81,B81,'Flujo de Fondos'!$B$7,'Flujo de Fondos'!$B$6)</f>
        <v/>
      </c>
      <c r="D81" s="66" t="n">
        <v>39</v>
      </c>
      <c r="E81" s="75">
        <f>myParidad('Flujo de Fondos'!$H$5,$A81,D81,'Flujo de Fondos'!$H$7,'Flujo de Fondos'!$H$6)</f>
        <v/>
      </c>
      <c r="F81" s="66" t="n">
        <v>35.27</v>
      </c>
      <c r="G81" s="67">
        <f>myParidad('Flujo de Fondos'!$N$5,$A81,F81,'Flujo de Fondos'!$N$7,'Flujo de Fondos'!$N$6)</f>
        <v/>
      </c>
      <c r="H81" s="68" t="n">
        <v>37.99</v>
      </c>
      <c r="I81" s="67">
        <f>myParidad('Flujo de Fondos'!$T$5,$A81,H81,'Flujo de Fondos'!$T$7,'Flujo de Fondos'!$T$6)</f>
        <v/>
      </c>
      <c r="J81" s="68" t="n">
        <v>32.7</v>
      </c>
      <c r="K81" s="67">
        <f>myParidad('Flujo de Fondos'!$B$34,$A81,J81,'Flujo de Fondos'!$B$36,'Flujo de Fondos'!$B$35)</f>
        <v/>
      </c>
      <c r="L81" s="66" t="n">
        <v>37.2</v>
      </c>
      <c r="M81" s="67">
        <f>myParidad('Flujo de Fondos'!$H$34,'Paridad usd'!$A81,'Paridad usd'!L81,'Flujo de Fondos'!$H$36,'Flujo de Fondos'!$H$35)</f>
        <v/>
      </c>
      <c r="N81" s="68" t="n">
        <v>36.6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</row>
    <row r="82">
      <c r="A82" s="65" t="n">
        <v>44427</v>
      </c>
      <c r="B82" s="66" t="n">
        <v>36.15</v>
      </c>
      <c r="C82" s="67">
        <f>myParidad('Flujo de Fondos'!$B$5,A82,B82,'Flujo de Fondos'!$B$7,'Flujo de Fondos'!$B$6)</f>
        <v/>
      </c>
      <c r="D82" s="66" t="n">
        <v>40</v>
      </c>
      <c r="E82" s="75">
        <f>myParidad('Flujo de Fondos'!$H$5,$A82,D82,'Flujo de Fondos'!$H$7,'Flujo de Fondos'!$H$6)</f>
        <v/>
      </c>
      <c r="F82" s="66" t="n">
        <v>35.26</v>
      </c>
      <c r="G82" s="67">
        <f>myParidad('Flujo de Fondos'!$N$5,$A82,F82,'Flujo de Fondos'!$N$7,'Flujo de Fondos'!$N$6)</f>
        <v/>
      </c>
      <c r="H82" s="68" t="n">
        <v>37.91</v>
      </c>
      <c r="I82" s="67">
        <f>myParidad('Flujo de Fondos'!$T$5,$A82,H82,'Flujo de Fondos'!$T$7,'Flujo de Fondos'!$T$6)</f>
        <v/>
      </c>
      <c r="J82" s="68" t="n">
        <v>33.2</v>
      </c>
      <c r="K82" s="67">
        <f>myParidad('Flujo de Fondos'!$B$34,$A82,J82,'Flujo de Fondos'!$B$36,'Flujo de Fondos'!$B$35)</f>
        <v/>
      </c>
      <c r="L82" s="66" t="n">
        <v>37.25</v>
      </c>
      <c r="M82" s="67">
        <f>myParidad('Flujo de Fondos'!$H$34,'Paridad usd'!$A82,'Paridad usd'!L82,'Flujo de Fondos'!$H$36,'Flujo de Fondos'!$H$35)</f>
        <v/>
      </c>
      <c r="N82" s="68" t="n">
        <v>36.7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</row>
    <row r="83">
      <c r="A83" s="65" t="n">
        <v>44426</v>
      </c>
      <c r="B83" s="66" t="n">
        <v>36</v>
      </c>
      <c r="C83" s="67">
        <f>myParidad('Flujo de Fondos'!$B$5,A83,B83,'Flujo de Fondos'!$B$7,'Flujo de Fondos'!$B$6)</f>
        <v/>
      </c>
      <c r="D83" s="66" t="n">
        <v>40</v>
      </c>
      <c r="E83" s="75">
        <f>myParidad('Flujo de Fondos'!$H$5,$A83,D83,'Flujo de Fondos'!$H$7,'Flujo de Fondos'!$H$6)</f>
        <v/>
      </c>
      <c r="F83" s="66" t="n">
        <v>35.11</v>
      </c>
      <c r="G83" s="67">
        <f>myParidad('Flujo de Fondos'!$N$5,$A83,F83,'Flujo de Fondos'!$N$7,'Flujo de Fondos'!$N$6)</f>
        <v/>
      </c>
      <c r="H83" s="68" t="n">
        <v>38.25</v>
      </c>
      <c r="I83" s="67">
        <f>myParidad('Flujo de Fondos'!$T$5,$A83,H83,'Flujo de Fondos'!$T$7,'Flujo de Fondos'!$T$6)</f>
        <v/>
      </c>
      <c r="J83" s="68" t="n">
        <v>33.18</v>
      </c>
      <c r="K83" s="67">
        <f>myParidad('Flujo de Fondos'!$B$34,$A83,J83,'Flujo de Fondos'!$B$36,'Flujo de Fondos'!$B$35)</f>
        <v/>
      </c>
      <c r="L83" s="66" t="n">
        <v>37.65</v>
      </c>
      <c r="M83" s="67">
        <f>myParidad('Flujo de Fondos'!$H$34,'Paridad usd'!$A83,'Paridad usd'!L83,'Flujo de Fondos'!$H$36,'Flujo de Fondos'!$H$35)</f>
        <v/>
      </c>
      <c r="N83" s="68" t="n">
        <v>36.66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</row>
    <row r="84">
      <c r="A84" s="65" t="n">
        <v>44425</v>
      </c>
      <c r="B84" s="66" t="n">
        <v>36.09</v>
      </c>
      <c r="C84" s="67">
        <f>myParidad('Flujo de Fondos'!$B$5,A84,B84,'Flujo de Fondos'!$B$7,'Flujo de Fondos'!$B$6)</f>
        <v/>
      </c>
      <c r="D84" s="66" t="n">
        <v>39.81</v>
      </c>
      <c r="E84" s="75">
        <f>myParidad('Flujo de Fondos'!$H$5,$A84,D84,'Flujo de Fondos'!$H$7,'Flujo de Fondos'!$H$6)</f>
        <v/>
      </c>
      <c r="F84" s="66" t="n">
        <v>35.27</v>
      </c>
      <c r="G84" s="67">
        <f>myParidad('Flujo de Fondos'!$N$5,$A84,F84,'Flujo de Fondos'!$N$7,'Flujo de Fondos'!$N$6)</f>
        <v/>
      </c>
      <c r="H84" s="68" t="n">
        <v>38.4</v>
      </c>
      <c r="I84" s="67">
        <f>myParidad('Flujo de Fondos'!$T$5,$A84,H84,'Flujo de Fondos'!$T$7,'Flujo de Fondos'!$T$6)</f>
        <v/>
      </c>
      <c r="J84" s="68" t="n">
        <v>32.7</v>
      </c>
      <c r="K84" s="67">
        <f>myParidad('Flujo de Fondos'!$B$34,$A84,J84,'Flujo de Fondos'!$B$36,'Flujo de Fondos'!$B$35)</f>
        <v/>
      </c>
      <c r="L84" s="66" t="n">
        <v>37.75</v>
      </c>
      <c r="M84" s="67">
        <f>myParidad('Flujo de Fondos'!$H$34,'Paridad usd'!$A84,'Paridad usd'!L84,'Flujo de Fondos'!$H$36,'Flujo de Fondos'!$H$35)</f>
        <v/>
      </c>
      <c r="N84" s="68" t="n">
        <v>36.4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</row>
    <row r="85">
      <c r="A85" s="65" t="n">
        <v>44421</v>
      </c>
      <c r="B85" s="66" t="n">
        <v>36.15</v>
      </c>
      <c r="C85" s="67">
        <f>myParidad('Flujo de Fondos'!$B$5,A85,B85,'Flujo de Fondos'!$B$7,'Flujo de Fondos'!$B$6)</f>
        <v/>
      </c>
      <c r="D85" s="66" t="n">
        <v>40.6</v>
      </c>
      <c r="E85" s="75">
        <f>myParidad('Flujo de Fondos'!$H$5,$A85,D85,'Flujo de Fondos'!$H$7,'Flujo de Fondos'!$H$6)</f>
        <v/>
      </c>
      <c r="F85" s="66" t="n">
        <v>35.12</v>
      </c>
      <c r="G85" s="67">
        <f>myParidad('Flujo de Fondos'!$N$5,$A85,F85,'Flujo de Fondos'!$N$7,'Flujo de Fondos'!$N$6)</f>
        <v/>
      </c>
      <c r="H85" s="68" t="n">
        <v>38.8</v>
      </c>
      <c r="I85" s="67">
        <f>myParidad('Flujo de Fondos'!$T$5,$A85,H85,'Flujo de Fondos'!$T$7,'Flujo de Fondos'!$T$6)</f>
        <v/>
      </c>
      <c r="J85" s="68" t="n">
        <v>33.25</v>
      </c>
      <c r="K85" s="67">
        <f>myParidad('Flujo de Fondos'!$B$34,$A85,J85,'Flujo de Fondos'!$B$36,'Flujo de Fondos'!$B$35)</f>
        <v/>
      </c>
      <c r="L85" s="66" t="n">
        <v>37.75</v>
      </c>
      <c r="M85" s="67">
        <f>myParidad('Flujo de Fondos'!$H$34,'Paridad usd'!$A85,'Paridad usd'!L85,'Flujo de Fondos'!$H$36,'Flujo de Fondos'!$H$35)</f>
        <v/>
      </c>
      <c r="N85" s="68" t="n">
        <v>37.4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</row>
    <row r="86">
      <c r="A86" s="65" t="n">
        <v>44420</v>
      </c>
      <c r="B86" s="66" t="n">
        <v>37.02</v>
      </c>
      <c r="C86" s="67">
        <f>myParidad('Flujo de Fondos'!$B$5,A86,B86,'Flujo de Fondos'!$B$7,'Flujo de Fondos'!$B$6)</f>
        <v/>
      </c>
      <c r="D86" s="66" t="n">
        <v>40.7</v>
      </c>
      <c r="E86" s="75">
        <f>myParidad('Flujo de Fondos'!$H$5,$A86,D86,'Flujo de Fondos'!$H$7,'Flujo de Fondos'!$H$6)</f>
        <v/>
      </c>
      <c r="F86" s="66" t="n">
        <v>35.68</v>
      </c>
      <c r="G86" s="67">
        <f>myParidad('Flujo de Fondos'!$N$5,$A86,F86,'Flujo de Fondos'!$N$7,'Flujo de Fondos'!$N$6)</f>
        <v/>
      </c>
      <c r="H86" s="68" t="n">
        <v>39.14</v>
      </c>
      <c r="I86" s="67">
        <f>myParidad('Flujo de Fondos'!$T$5,$A86,H86,'Flujo de Fondos'!$T$7,'Flujo de Fondos'!$T$6)</f>
        <v/>
      </c>
      <c r="J86" s="68" t="n">
        <v>33.8</v>
      </c>
      <c r="K86" s="67">
        <f>myParidad('Flujo de Fondos'!$B$34,$A86,J86,'Flujo de Fondos'!$B$36,'Flujo de Fondos'!$B$35)</f>
        <v/>
      </c>
      <c r="L86" s="66" t="n">
        <v>38.4</v>
      </c>
      <c r="M86" s="67">
        <f>myParidad('Flujo de Fondos'!$H$34,'Paridad usd'!$A86,'Paridad usd'!L86,'Flujo de Fondos'!$H$36,'Flujo de Fondos'!$H$35)</f>
        <v/>
      </c>
      <c r="N86" s="68" t="n">
        <v>37.9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</row>
    <row r="87">
      <c r="A87" s="65" t="n">
        <v>44419</v>
      </c>
      <c r="B87" s="66" t="n">
        <v>36.65</v>
      </c>
      <c r="C87" s="67">
        <f>myParidad('Flujo de Fondos'!$B$5,A87,B87,'Flujo de Fondos'!$B$7,'Flujo de Fondos'!$B$6)</f>
        <v/>
      </c>
      <c r="D87" s="66" t="n">
        <v>40.5</v>
      </c>
      <c r="E87" s="75">
        <f>myParidad('Flujo de Fondos'!$H$5,$A87,D87,'Flujo de Fondos'!$H$7,'Flujo de Fondos'!$H$6)</f>
        <v/>
      </c>
      <c r="F87" s="66" t="n">
        <v>35.53</v>
      </c>
      <c r="G87" s="67">
        <f>myParidad('Flujo de Fondos'!$N$5,$A87,F87,'Flujo de Fondos'!$N$7,'Flujo de Fondos'!$N$6)</f>
        <v/>
      </c>
      <c r="H87" s="68" t="n">
        <v>38.7</v>
      </c>
      <c r="I87" s="67">
        <f>myParidad('Flujo de Fondos'!$T$5,$A87,H87,'Flujo de Fondos'!$T$7,'Flujo de Fondos'!$T$6)</f>
        <v/>
      </c>
      <c r="J87" s="68" t="n">
        <v>33.03</v>
      </c>
      <c r="K87" s="67">
        <f>myParidad('Flujo de Fondos'!$B$34,$A87,J87,'Flujo de Fondos'!$B$36,'Flujo de Fondos'!$B$35)</f>
        <v/>
      </c>
      <c r="L87" s="66" t="n">
        <v>37.81</v>
      </c>
      <c r="M87" s="67">
        <f>myParidad('Flujo de Fondos'!$H$34,'Paridad usd'!$A87,'Paridad usd'!L87,'Flujo de Fondos'!$H$36,'Flujo de Fondos'!$H$35)</f>
        <v/>
      </c>
      <c r="N87" s="68" t="n">
        <v>37.55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</row>
    <row r="88">
      <c r="A88" s="65" t="n">
        <v>44418</v>
      </c>
      <c r="B88" s="66" t="n">
        <v>36.5</v>
      </c>
      <c r="C88" s="67">
        <f>myParidad('Flujo de Fondos'!$B$5,A88,B88,'Flujo de Fondos'!$B$7,'Flujo de Fondos'!$B$6)</f>
        <v/>
      </c>
      <c r="D88" s="66" t="n">
        <v>40.5</v>
      </c>
      <c r="E88" s="75">
        <f>myParidad('Flujo de Fondos'!$H$5,$A88,D88,'Flujo de Fondos'!$H$7,'Flujo de Fondos'!$H$6)</f>
        <v/>
      </c>
      <c r="F88" s="66" t="n">
        <v>35.35</v>
      </c>
      <c r="G88" s="67">
        <f>myParidad('Flujo de Fondos'!$N$5,$A88,F88,'Flujo de Fondos'!$N$7,'Flujo de Fondos'!$N$6)</f>
        <v/>
      </c>
      <c r="H88" s="68" t="n">
        <v>38.69</v>
      </c>
      <c r="I88" s="67">
        <f>myParidad('Flujo de Fondos'!$T$5,$A88,H88,'Flujo de Fondos'!$T$7,'Flujo de Fondos'!$T$6)</f>
        <v/>
      </c>
      <c r="J88" s="68" t="n">
        <v>32.91</v>
      </c>
      <c r="K88" s="67">
        <f>myParidad('Flujo de Fondos'!$B$34,$A88,J88,'Flujo de Fondos'!$B$36,'Flujo de Fondos'!$B$35)</f>
        <v/>
      </c>
      <c r="L88" s="66" t="n">
        <v>37.74</v>
      </c>
      <c r="M88" s="67">
        <f>myParidad('Flujo de Fondos'!$H$34,'Paridad usd'!$A88,'Paridad usd'!L88,'Flujo de Fondos'!$H$36,'Flujo de Fondos'!$H$35)</f>
        <v/>
      </c>
      <c r="N88" s="68" t="n">
        <v>37.5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</row>
    <row r="89">
      <c r="A89" s="65" t="n">
        <v>44417</v>
      </c>
      <c r="B89" s="66" t="n">
        <v>36.12</v>
      </c>
      <c r="C89" s="67">
        <f>myParidad('Flujo de Fondos'!$B$5,A89,B89,'Flujo de Fondos'!$B$7,'Flujo de Fondos'!$B$6)</f>
        <v/>
      </c>
      <c r="D89" s="66" t="n">
        <v>40.05</v>
      </c>
      <c r="E89" s="75">
        <f>myParidad('Flujo de Fondos'!$H$5,$A89,D89,'Flujo de Fondos'!$H$7,'Flujo de Fondos'!$H$6)</f>
        <v/>
      </c>
      <c r="F89" s="66" t="n">
        <v>35.1</v>
      </c>
      <c r="G89" s="67">
        <f>myParidad('Flujo de Fondos'!$N$5,$A89,F89,'Flujo de Fondos'!$N$7,'Flujo de Fondos'!$N$6)</f>
        <v/>
      </c>
      <c r="H89" s="68" t="n">
        <v>38.33</v>
      </c>
      <c r="I89" s="67">
        <f>myParidad('Flujo de Fondos'!$T$5,$A89,H89,'Flujo de Fondos'!$T$7,'Flujo de Fondos'!$T$6)</f>
        <v/>
      </c>
      <c r="J89" s="68" t="n">
        <v>32.7</v>
      </c>
      <c r="K89" s="67">
        <f>myParidad('Flujo de Fondos'!$B$34,$A89,J89,'Flujo de Fondos'!$B$36,'Flujo de Fondos'!$B$35)</f>
        <v/>
      </c>
      <c r="L89" s="66" t="n">
        <v>37.4</v>
      </c>
      <c r="M89" s="67">
        <f>myParidad('Flujo de Fondos'!$H$34,'Paridad usd'!$A89,'Paridad usd'!L89,'Flujo de Fondos'!$H$36,'Flujo de Fondos'!$H$35)</f>
        <v/>
      </c>
      <c r="N89" s="68" t="n">
        <v>37.08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</row>
    <row r="90">
      <c r="A90" s="65" t="n">
        <v>44413</v>
      </c>
      <c r="B90" s="66" t="n">
        <v>36.25</v>
      </c>
      <c r="C90" s="67">
        <f>myParidad('Flujo de Fondos'!$B$5,A90,B90,'Flujo de Fondos'!$B$7,'Flujo de Fondos'!$B$6)</f>
        <v/>
      </c>
      <c r="D90" s="66" t="n">
        <v>40.4</v>
      </c>
      <c r="E90" s="75">
        <f>myParidad('Flujo de Fondos'!$H$5,$A90,D90,'Flujo de Fondos'!$H$7,'Flujo de Fondos'!$H$6)</f>
        <v/>
      </c>
      <c r="F90" s="66" t="n">
        <v>34.97</v>
      </c>
      <c r="G90" s="67">
        <f>myParidad('Flujo de Fondos'!$N$5,$A90,F90,'Flujo de Fondos'!$N$7,'Flujo de Fondos'!$N$6)</f>
        <v/>
      </c>
      <c r="H90" s="68" t="n">
        <v>38.4</v>
      </c>
      <c r="I90" s="67">
        <f>myParidad('Flujo de Fondos'!$T$5,$A90,H90,'Flujo de Fondos'!$T$7,'Flujo de Fondos'!$T$6)</f>
        <v/>
      </c>
      <c r="J90" s="68" t="n">
        <v>32.75</v>
      </c>
      <c r="K90" s="67">
        <f>myParidad('Flujo de Fondos'!$B$34,$A90,J90,'Flujo de Fondos'!$B$36,'Flujo de Fondos'!$B$35)</f>
        <v/>
      </c>
      <c r="L90" s="66" t="n">
        <v>37.4</v>
      </c>
      <c r="M90" s="67">
        <f>myParidad('Flujo de Fondos'!$H$34,'Paridad usd'!$A90,'Paridad usd'!L90,'Flujo de Fondos'!$H$36,'Flujo de Fondos'!$H$35)</f>
        <v/>
      </c>
      <c r="N90" s="68" t="n">
        <v>37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</row>
    <row r="91">
      <c r="A91" s="65" t="n">
        <v>44412</v>
      </c>
      <c r="B91" s="66" t="n">
        <v>36.3</v>
      </c>
      <c r="C91" s="67">
        <f>myParidad('Flujo de Fondos'!$B$5,A91,B91,'Flujo de Fondos'!$B$7,'Flujo de Fondos'!$B$6)</f>
        <v/>
      </c>
      <c r="D91" s="66" t="n">
        <v>41</v>
      </c>
      <c r="E91" s="75">
        <f>myParidad('Flujo de Fondos'!$H$5,$A91,D91,'Flujo de Fondos'!$H$7,'Flujo de Fondos'!$H$6)</f>
        <v/>
      </c>
      <c r="F91" s="66" t="n">
        <v>35.19</v>
      </c>
      <c r="G91" s="67">
        <f>myParidad('Flujo de Fondos'!$N$5,$A91,F91,'Flujo de Fondos'!$N$7,'Flujo de Fondos'!$N$6)</f>
        <v/>
      </c>
      <c r="H91" s="68" t="n">
        <v>38.7</v>
      </c>
      <c r="I91" s="67">
        <f>myParidad('Flujo de Fondos'!$T$5,$A91,H91,'Flujo de Fondos'!$T$7,'Flujo de Fondos'!$T$6)</f>
        <v/>
      </c>
      <c r="J91" s="68" t="n">
        <v>33.02</v>
      </c>
      <c r="K91" s="67">
        <f>myParidad('Flujo de Fondos'!$B$34,$A91,J91,'Flujo de Fondos'!$B$36,'Flujo de Fondos'!$B$35)</f>
        <v/>
      </c>
      <c r="L91" s="66" t="n">
        <v>37.7</v>
      </c>
      <c r="M91" s="67">
        <f>myParidad('Flujo de Fondos'!$H$34,'Paridad usd'!$A91,'Paridad usd'!L91,'Flujo de Fondos'!$H$36,'Flujo de Fondos'!$H$35)</f>
        <v/>
      </c>
      <c r="N91" s="68" t="n">
        <v>37.15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</row>
    <row r="92">
      <c r="A92" s="65" t="n">
        <v>44411</v>
      </c>
      <c r="B92" s="66" t="n">
        <v>36.43</v>
      </c>
      <c r="C92" s="67">
        <f>myParidad('Flujo de Fondos'!$B$5,A92,B92,'Flujo de Fondos'!$B$7,'Flujo de Fondos'!$B$6)</f>
        <v/>
      </c>
      <c r="D92" s="66" t="n">
        <v>40.5</v>
      </c>
      <c r="E92" s="75">
        <f>myParidad('Flujo de Fondos'!$H$5,$A92,D92,'Flujo de Fondos'!$H$7,'Flujo de Fondos'!$H$6)</f>
        <v/>
      </c>
      <c r="F92" s="66" t="n">
        <v>35.41</v>
      </c>
      <c r="G92" s="67">
        <f>myParidad('Flujo de Fondos'!$N$5,$A92,F92,'Flujo de Fondos'!$N$7,'Flujo de Fondos'!$N$6)</f>
        <v/>
      </c>
      <c r="H92" s="68" t="n">
        <v>38.79</v>
      </c>
      <c r="I92" s="67">
        <f>myParidad('Flujo de Fondos'!$T$5,$A92,H92,'Flujo de Fondos'!$T$7,'Flujo de Fondos'!$T$6)</f>
        <v/>
      </c>
      <c r="J92" s="68" t="n">
        <v>33.43</v>
      </c>
      <c r="K92" s="67">
        <f>myParidad('Flujo de Fondos'!$B$34,$A92,J92,'Flujo de Fondos'!$B$36,'Flujo de Fondos'!$B$35)</f>
        <v/>
      </c>
      <c r="L92" s="66" t="n">
        <v>38.15</v>
      </c>
      <c r="M92" s="67">
        <f>myParidad('Flujo de Fondos'!$H$34,'Paridad usd'!$A92,'Paridad usd'!L92,'Flujo de Fondos'!$H$36,'Flujo de Fondos'!$H$35)</f>
        <v/>
      </c>
      <c r="N92" s="68" t="n">
        <v>37.6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</row>
    <row r="93">
      <c r="A93" s="65" t="n">
        <v>44410</v>
      </c>
      <c r="B93" s="66" t="n">
        <v>36.65</v>
      </c>
      <c r="C93" s="67">
        <f>myParidad('Flujo de Fondos'!$B$5,A93,B93,'Flujo de Fondos'!$B$7,'Flujo de Fondos'!$B$6)</f>
        <v/>
      </c>
      <c r="D93" s="66" t="n">
        <v>40.01</v>
      </c>
      <c r="E93" s="75">
        <f>myParidad('Flujo de Fondos'!$H$5,$A93,D93,'Flujo de Fondos'!$H$7,'Flujo de Fondos'!$H$6)</f>
        <v/>
      </c>
      <c r="F93" s="66" t="n">
        <v>35.59</v>
      </c>
      <c r="G93" s="67">
        <f>myParidad('Flujo de Fondos'!$N$5,$A93,F93,'Flujo de Fondos'!$N$7,'Flujo de Fondos'!$N$6)</f>
        <v/>
      </c>
      <c r="H93" s="68" t="n">
        <v>38.96</v>
      </c>
      <c r="I93" s="67">
        <f>myParidad('Flujo de Fondos'!$T$5,$A93,H93,'Flujo de Fondos'!$T$7,'Flujo de Fondos'!$T$6)</f>
        <v/>
      </c>
      <c r="J93" s="68" t="n">
        <v>33.7</v>
      </c>
      <c r="K93" s="67">
        <f>myParidad('Flujo de Fondos'!$B$34,$A93,J93,'Flujo de Fondos'!$B$36,'Flujo de Fondos'!$B$35)</f>
        <v/>
      </c>
      <c r="L93" s="66" t="n">
        <v>38.23</v>
      </c>
      <c r="M93" s="67">
        <f>myParidad('Flujo de Fondos'!$H$34,'Paridad usd'!$A93,'Paridad usd'!L93,'Flujo de Fondos'!$H$36,'Flujo de Fondos'!$H$35)</f>
        <v/>
      </c>
      <c r="N93" s="68" t="n">
        <v>37.9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</row>
    <row r="94">
      <c r="A94" s="65" t="n">
        <v>44409</v>
      </c>
      <c r="B94" s="66" t="n">
        <v>36.75</v>
      </c>
      <c r="C94" s="67">
        <f>myParidad('Flujo de Fondos'!$B$5,A94,B94,'Flujo de Fondos'!$B$7,'Flujo de Fondos'!$B$6)</f>
        <v/>
      </c>
      <c r="D94" s="66" t="n">
        <v>40.5</v>
      </c>
      <c r="E94" s="75">
        <f>myParidad('Flujo de Fondos'!$H$5,$A94,D94,'Flujo de Fondos'!$H$7,'Flujo de Fondos'!$H$6)</f>
        <v/>
      </c>
      <c r="F94" s="66" t="n">
        <v>35.78</v>
      </c>
      <c r="G94" s="67">
        <f>myParidad('Flujo de Fondos'!$N$5,$A94,F94,'Flujo de Fondos'!$N$7,'Flujo de Fondos'!$N$6)</f>
        <v/>
      </c>
      <c r="H94" s="68" t="n">
        <v>39</v>
      </c>
      <c r="I94" s="67">
        <f>myParidad('Flujo de Fondos'!$T$5,$A94,H94,'Flujo de Fondos'!$T$7,'Flujo de Fondos'!$T$6)</f>
        <v/>
      </c>
      <c r="J94" s="68" t="n">
        <v>33.6</v>
      </c>
      <c r="K94" s="67">
        <f>myParidad('Flujo de Fondos'!$B$34,$A94,J94,'Flujo de Fondos'!$B$36,'Flujo de Fondos'!$B$35)</f>
        <v/>
      </c>
      <c r="L94" s="66" t="n">
        <v>38.3</v>
      </c>
      <c r="M94" s="67">
        <f>myParidad('Flujo de Fondos'!$H$34,'Paridad usd'!$A94,'Paridad usd'!L94,'Flujo de Fondos'!$H$36,'Flujo de Fondos'!$H$35)</f>
        <v/>
      </c>
      <c r="N94" s="68" t="n">
        <v>38.05</v>
      </c>
      <c r="O94" s="67">
        <f>myParidad('Flujo de Fondos'!$N$34,$A94,N94,'Flujo de Fondos'!$N$36,'Flujo de Fondos'!$N$35)</f>
        <v/>
      </c>
      <c r="P94" s="67">
        <f>C94-G94</f>
        <v/>
      </c>
      <c r="Q94" s="67">
        <f>E94-C94</f>
        <v/>
      </c>
      <c r="R94" s="67">
        <f>C94-M94</f>
        <v/>
      </c>
      <c r="S94" s="67">
        <f>C94-O94</f>
        <v/>
      </c>
      <c r="T94" s="67">
        <f>E94-O94</f>
        <v/>
      </c>
      <c r="U94" s="67">
        <f>G94-O94</f>
        <v/>
      </c>
      <c r="V94" s="67">
        <f>G94-K94</f>
        <v/>
      </c>
      <c r="W94" s="67">
        <f>C94-K94</f>
        <v/>
      </c>
      <c r="X94" s="67">
        <f>I94-G94</f>
        <v/>
      </c>
      <c r="Y94" s="75">
        <f>G94-M94</f>
        <v/>
      </c>
    </row>
    <row r="95">
      <c r="A95" s="65" t="n">
        <v>44407</v>
      </c>
      <c r="B95" s="66" t="n">
        <v>36.8</v>
      </c>
      <c r="C95" s="67">
        <f>myParidad('Flujo de Fondos'!$B$5,A95,B95,'Flujo de Fondos'!$B$7,'Flujo de Fondos'!$B$6)</f>
        <v/>
      </c>
      <c r="D95" s="66" t="n">
        <v>40.9</v>
      </c>
      <c r="E95" s="75">
        <f>myParidad('Flujo de Fondos'!$H$5,$A95,D95,'Flujo de Fondos'!$H$7,'Flujo de Fondos'!$H$6)</f>
        <v/>
      </c>
      <c r="F95" s="66" t="n">
        <v>35.87</v>
      </c>
      <c r="G95" s="67">
        <f>myParidad('Flujo de Fondos'!$N$5,$A95,F95,'Flujo de Fondos'!$N$7,'Flujo de Fondos'!$N$6)</f>
        <v/>
      </c>
      <c r="H95" s="68" t="n">
        <v>38.82</v>
      </c>
      <c r="I95" s="67">
        <f>myParidad('Flujo de Fondos'!$T$5,$A95,H95,'Flujo de Fondos'!$T$7,'Flujo de Fondos'!$T$6)</f>
        <v/>
      </c>
      <c r="J95" s="68" t="n">
        <v>33.58</v>
      </c>
      <c r="K95" s="67">
        <f>myParidad('Flujo de Fondos'!$B$34,$A95,J95,'Flujo de Fondos'!$B$36,'Flujo de Fondos'!$B$35)</f>
        <v/>
      </c>
      <c r="L95" s="66" t="n">
        <v>38.48</v>
      </c>
      <c r="M95" s="67">
        <f>myParidad('Flujo de Fondos'!$H$34,'Paridad usd'!$A95,'Paridad usd'!L95,'Flujo de Fondos'!$H$36,'Flujo de Fondos'!$H$35)</f>
        <v/>
      </c>
      <c r="N95" s="68" t="n">
        <v>38.1</v>
      </c>
      <c r="O95" s="67">
        <f>myParidad('Flujo de Fondos'!$N$34,$A95,N95,'Flujo de Fondos'!$N$36,'Flujo de Fondos'!$N$35)</f>
        <v/>
      </c>
      <c r="P95" s="67">
        <f>C95-G95</f>
        <v/>
      </c>
      <c r="Q95" s="67">
        <f>E95-C95</f>
        <v/>
      </c>
      <c r="R95" s="67">
        <f>C95-M95</f>
        <v/>
      </c>
      <c r="S95" s="67">
        <f>C95-O95</f>
        <v/>
      </c>
      <c r="T95" s="67">
        <f>E95-O95</f>
        <v/>
      </c>
      <c r="U95" s="67">
        <f>G95-O95</f>
        <v/>
      </c>
      <c r="V95" s="67">
        <f>G95-K95</f>
        <v/>
      </c>
      <c r="W95" s="67">
        <f>C95-K95</f>
        <v/>
      </c>
      <c r="X95" s="67">
        <f>I95-G95</f>
        <v/>
      </c>
      <c r="Y95" s="75">
        <f>G95-M95</f>
        <v/>
      </c>
    </row>
    <row r="96">
      <c r="A96" s="65" t="n">
        <v>44406</v>
      </c>
      <c r="B96" s="66" t="n">
        <v>36.86</v>
      </c>
      <c r="C96" s="67">
        <f>myParidad('Flujo de Fondos'!$B$5,A96,B96,'Flujo de Fondos'!$B$7,'Flujo de Fondos'!$B$6)</f>
        <v/>
      </c>
      <c r="D96" s="66" t="n">
        <v>41</v>
      </c>
      <c r="E96" s="75">
        <f>myParidad('Flujo de Fondos'!$H$5,$A96,D96,'Flujo de Fondos'!$H$7,'Flujo de Fondos'!$H$6)</f>
        <v/>
      </c>
      <c r="F96" s="66" t="n">
        <v>35.91</v>
      </c>
      <c r="G96" s="67">
        <f>myParidad('Flujo de Fondos'!$N$5,$A96,F96,'Flujo de Fondos'!$N$7,'Flujo de Fondos'!$N$6)</f>
        <v/>
      </c>
      <c r="H96" s="68" t="n">
        <v>38.68</v>
      </c>
      <c r="I96" s="67">
        <f>myParidad('Flujo de Fondos'!$T$5,$A96,H96,'Flujo de Fondos'!$T$7,'Flujo de Fondos'!$T$6)</f>
        <v/>
      </c>
      <c r="J96" s="68" t="n">
        <v>33.5</v>
      </c>
      <c r="K96" s="67">
        <f>myParidad('Flujo de Fondos'!$B$34,$A96,J96,'Flujo de Fondos'!$B$36,'Flujo de Fondos'!$B$35)</f>
        <v/>
      </c>
      <c r="L96" s="66" t="n">
        <v>38.45</v>
      </c>
      <c r="M96" s="67">
        <f>myParidad('Flujo de Fondos'!$H$34,'Paridad usd'!$A96,'Paridad usd'!L96,'Flujo de Fondos'!$H$36,'Flujo de Fondos'!$H$35)</f>
        <v/>
      </c>
      <c r="N96" s="68" t="n">
        <v>38.15</v>
      </c>
      <c r="O96" s="67">
        <f>myParidad('Flujo de Fondos'!$N$34,$A96,N96,'Flujo de Fondos'!$N$36,'Flujo de Fondos'!$N$35)</f>
        <v/>
      </c>
      <c r="P96" s="67">
        <f>C96-G96</f>
        <v/>
      </c>
      <c r="Q96" s="67">
        <f>E96-C96</f>
        <v/>
      </c>
      <c r="R96" s="67">
        <f>C96-M96</f>
        <v/>
      </c>
      <c r="S96" s="67">
        <f>C96-O96</f>
        <v/>
      </c>
      <c r="T96" s="67">
        <f>E96-O96</f>
        <v/>
      </c>
      <c r="U96" s="67">
        <f>G96-O96</f>
        <v/>
      </c>
      <c r="V96" s="67">
        <f>G96-K96</f>
        <v/>
      </c>
      <c r="W96" s="67">
        <f>C96-K96</f>
        <v/>
      </c>
      <c r="X96" s="67">
        <f>I96-G96</f>
        <v/>
      </c>
      <c r="Y96" s="75">
        <f>G96-M96</f>
        <v/>
      </c>
    </row>
    <row r="97">
      <c r="A97" s="65" t="n">
        <v>44405</v>
      </c>
      <c r="B97" s="66" t="n">
        <v>36.98</v>
      </c>
      <c r="C97" s="67">
        <f>myParidad('Flujo de Fondos'!$B$5,A97,B97,'Flujo de Fondos'!$B$7,'Flujo de Fondos'!$B$6)</f>
        <v/>
      </c>
      <c r="D97" s="66" t="n">
        <v>40.3</v>
      </c>
      <c r="E97" s="75">
        <f>myParidad('Flujo de Fondos'!$H$5,$A97,D97,'Flujo de Fondos'!$H$7,'Flujo de Fondos'!$H$6)</f>
        <v/>
      </c>
      <c r="F97" s="66" t="n">
        <v>36.01</v>
      </c>
      <c r="G97" s="67">
        <f>myParidad('Flujo de Fondos'!$N$5,$A97,F97,'Flujo de Fondos'!$N$7,'Flujo de Fondos'!$N$6)</f>
        <v/>
      </c>
      <c r="H97" s="68" t="n">
        <v>38.69</v>
      </c>
      <c r="I97" s="67">
        <f>myParidad('Flujo de Fondos'!$T$5,$A97,H97,'Flujo de Fondos'!$T$7,'Flujo de Fondos'!$T$6)</f>
        <v/>
      </c>
      <c r="J97" s="68" t="n">
        <v>33.71</v>
      </c>
      <c r="K97" s="67">
        <f>myParidad('Flujo de Fondos'!$B$34,$A97,J97,'Flujo de Fondos'!$B$36,'Flujo de Fondos'!$B$35)</f>
        <v/>
      </c>
      <c r="L97" s="66" t="n">
        <v>38.45</v>
      </c>
      <c r="M97" s="67">
        <f>myParidad('Flujo de Fondos'!$H$34,'Paridad usd'!$A97,'Paridad usd'!L97,'Flujo de Fondos'!$H$36,'Flujo de Fondos'!$H$35)</f>
        <v/>
      </c>
      <c r="N97" s="68" t="n">
        <v>38</v>
      </c>
      <c r="O97" s="67">
        <f>myParidad('Flujo de Fondos'!$N$34,$A97,N97,'Flujo de Fondos'!$N$36,'Flujo de Fondos'!$N$35)</f>
        <v/>
      </c>
      <c r="P97" s="67">
        <f>C97-G97</f>
        <v/>
      </c>
      <c r="Q97" s="67">
        <f>E97-C97</f>
        <v/>
      </c>
      <c r="R97" s="67">
        <f>C97-M97</f>
        <v/>
      </c>
      <c r="S97" s="67">
        <f>C97-O97</f>
        <v/>
      </c>
      <c r="T97" s="67">
        <f>E97-O97</f>
        <v/>
      </c>
      <c r="U97" s="67">
        <f>G97-O97</f>
        <v/>
      </c>
      <c r="V97" s="67">
        <f>G97-K97</f>
        <v/>
      </c>
      <c r="W97" s="67">
        <f>C97-K97</f>
        <v/>
      </c>
      <c r="X97" s="67">
        <f>I97-G97</f>
        <v/>
      </c>
      <c r="Y97" s="75">
        <f>G97-M97</f>
        <v/>
      </c>
    </row>
    <row r="98">
      <c r="A98" s="65" t="n">
        <v>44404</v>
      </c>
      <c r="B98" s="66" t="n">
        <v>37.05</v>
      </c>
      <c r="C98" s="67">
        <f>myParidad('Flujo de Fondos'!$B$5,A98,B98,'Flujo de Fondos'!$B$7,'Flujo de Fondos'!$B$6)</f>
        <v/>
      </c>
      <c r="D98" s="66" t="n">
        <v>40.3</v>
      </c>
      <c r="E98" s="75">
        <f>myParidad('Flujo de Fondos'!$H$5,$A98,D98,'Flujo de Fondos'!$H$7,'Flujo de Fondos'!$H$6)</f>
        <v/>
      </c>
      <c r="F98" s="66" t="n">
        <v>36.12</v>
      </c>
      <c r="G98" s="67">
        <f>myParidad('Flujo de Fondos'!$N$5,$A98,F98,'Flujo de Fondos'!$N$7,'Flujo de Fondos'!$N$6)</f>
        <v/>
      </c>
      <c r="H98" s="68" t="n">
        <v>38.62</v>
      </c>
      <c r="I98" s="67">
        <f>myParidad('Flujo de Fondos'!$T$5,$A98,H98,'Flujo de Fondos'!$T$7,'Flujo de Fondos'!$T$6)</f>
        <v/>
      </c>
      <c r="J98" s="68" t="n">
        <v>33.45</v>
      </c>
      <c r="K98" s="67">
        <f>myParidad('Flujo de Fondos'!$B$34,$A98,J98,'Flujo de Fondos'!$B$36,'Flujo de Fondos'!$B$35)</f>
        <v/>
      </c>
      <c r="L98" s="66" t="n">
        <v>38.4</v>
      </c>
      <c r="M98" s="67">
        <f>myParidad('Flujo de Fondos'!$H$34,'Paridad usd'!$A98,'Paridad usd'!L98,'Flujo de Fondos'!$H$36,'Flujo de Fondos'!$H$35)</f>
        <v/>
      </c>
      <c r="N98" s="68" t="n">
        <v>38.3</v>
      </c>
      <c r="O98" s="67">
        <f>myParidad('Flujo de Fondos'!$N$34,$A98,N98,'Flujo de Fondos'!$N$36,'Flujo de Fondos'!$N$35)</f>
        <v/>
      </c>
      <c r="P98" s="67">
        <f>C98-G98</f>
        <v/>
      </c>
      <c r="Q98" s="67">
        <f>E98-C98</f>
        <v/>
      </c>
      <c r="R98" s="67">
        <f>C98-M98</f>
        <v/>
      </c>
      <c r="S98" s="67">
        <f>C98-O98</f>
        <v/>
      </c>
      <c r="T98" s="67">
        <f>E98-O98</f>
        <v/>
      </c>
      <c r="U98" s="67">
        <f>G98-O98</f>
        <v/>
      </c>
      <c r="V98" s="67">
        <f>G98-K98</f>
        <v/>
      </c>
      <c r="W98" s="67">
        <f>C98-K98</f>
        <v/>
      </c>
      <c r="X98" s="67">
        <f>I98-G98</f>
        <v/>
      </c>
      <c r="Y98" s="75">
        <f>G98-M98</f>
        <v/>
      </c>
    </row>
    <row r="99">
      <c r="A99" s="65" t="n">
        <v>44403</v>
      </c>
      <c r="B99" s="66" t="n">
        <v>37.06</v>
      </c>
      <c r="C99" s="67">
        <f>myParidad('Flujo de Fondos'!$B$5,A99,B99,'Flujo de Fondos'!$B$7,'Flujo de Fondos'!$B$6)</f>
        <v/>
      </c>
      <c r="D99" s="66" t="n">
        <v>40.55</v>
      </c>
      <c r="E99" s="75">
        <f>myParidad('Flujo de Fondos'!$H$5,$A99,D99,'Flujo de Fondos'!$H$7,'Flujo de Fondos'!$H$6)</f>
        <v/>
      </c>
      <c r="F99" s="66" t="n">
        <v>36.22</v>
      </c>
      <c r="G99" s="67">
        <f>myParidad('Flujo de Fondos'!$N$5,$A99,F99,'Flujo de Fondos'!$N$7,'Flujo de Fondos'!$N$6)</f>
        <v/>
      </c>
      <c r="H99" s="68" t="n">
        <v>38.6</v>
      </c>
      <c r="I99" s="67">
        <f>myParidad('Flujo de Fondos'!$T$5,$A99,H99,'Flujo de Fondos'!$T$7,'Flujo de Fondos'!$T$6)</f>
        <v/>
      </c>
      <c r="J99" s="68" t="n">
        <v>33.5</v>
      </c>
      <c r="K99" s="67">
        <f>myParidad('Flujo de Fondos'!$B$34,$A99,J99,'Flujo de Fondos'!$B$36,'Flujo de Fondos'!$B$35)</f>
        <v/>
      </c>
      <c r="L99" s="66" t="n">
        <v>38.45</v>
      </c>
      <c r="M99" s="67">
        <f>myParidad('Flujo de Fondos'!$H$34,'Paridad usd'!$A99,'Paridad usd'!L99,'Flujo de Fondos'!$H$36,'Flujo de Fondos'!$H$35)</f>
        <v/>
      </c>
      <c r="N99" s="68" t="n">
        <v>38.3</v>
      </c>
      <c r="O99" s="67">
        <f>myParidad('Flujo de Fondos'!$N$34,$A99,N99,'Flujo de Fondos'!$N$36,'Flujo de Fondos'!$N$35)</f>
        <v/>
      </c>
      <c r="P99" s="67">
        <f>C99-G99</f>
        <v/>
      </c>
      <c r="Q99" s="67">
        <f>E99-C99</f>
        <v/>
      </c>
      <c r="R99" s="67">
        <f>C99-M99</f>
        <v/>
      </c>
      <c r="S99" s="67">
        <f>C99-O99</f>
        <v/>
      </c>
      <c r="T99" s="67">
        <f>E99-O99</f>
        <v/>
      </c>
      <c r="U99" s="67">
        <f>G99-O99</f>
        <v/>
      </c>
      <c r="V99" s="67">
        <f>G99-K99</f>
        <v/>
      </c>
      <c r="W99" s="67">
        <f>C99-K99</f>
        <v/>
      </c>
      <c r="X99" s="67">
        <f>I99-G99</f>
        <v/>
      </c>
      <c r="Y99" s="75">
        <f>G99-M99</f>
        <v/>
      </c>
    </row>
    <row r="100">
      <c r="A100" s="65" t="n">
        <v>44400</v>
      </c>
      <c r="B100" s="66" t="n">
        <v>37</v>
      </c>
      <c r="C100" s="67">
        <f>myParidad('Flujo de Fondos'!$B$5,A100,B100,'Flujo de Fondos'!$B$7,'Flujo de Fondos'!$B$6)</f>
        <v/>
      </c>
      <c r="D100" s="66" t="n">
        <v>40.55</v>
      </c>
      <c r="E100" s="75">
        <f>myParidad('Flujo de Fondos'!$H$5,$A100,D100,'Flujo de Fondos'!$H$7,'Flujo de Fondos'!$H$6)</f>
        <v/>
      </c>
      <c r="F100" s="66" t="n">
        <v>36.28</v>
      </c>
      <c r="G100" s="67">
        <f>myParidad('Flujo de Fondos'!$N$5,$A100,F100,'Flujo de Fondos'!$N$7,'Flujo de Fondos'!$N$6)</f>
        <v/>
      </c>
      <c r="H100" s="68" t="n">
        <v>38.95</v>
      </c>
      <c r="I100" s="67">
        <f>myParidad('Flujo de Fondos'!$T$5,$A100,H100,'Flujo de Fondos'!$T$7,'Flujo de Fondos'!$T$6)</f>
        <v/>
      </c>
      <c r="J100" s="68" t="n">
        <v>33.34</v>
      </c>
      <c r="K100" s="67">
        <f>myParidad('Flujo de Fondos'!$B$34,$A100,J100,'Flujo de Fondos'!$B$36,'Flujo de Fondos'!$B$35)</f>
        <v/>
      </c>
      <c r="L100" s="66" t="n">
        <v>38.59</v>
      </c>
      <c r="M100" s="67">
        <f>myParidad('Flujo de Fondos'!$H$34,'Paridad usd'!$A100,'Paridad usd'!L100,'Flujo de Fondos'!$H$36,'Flujo de Fondos'!$H$35)</f>
        <v/>
      </c>
      <c r="N100" s="68" t="n">
        <v>38.5</v>
      </c>
      <c r="O100" s="67">
        <f>myParidad('Flujo de Fondos'!$N$34,$A100,N100,'Flujo de Fondos'!$N$36,'Flujo de Fondos'!$N$35)</f>
        <v/>
      </c>
      <c r="P100" s="67">
        <f>C100-G100</f>
        <v/>
      </c>
      <c r="Q100" s="67">
        <f>E100-C100</f>
        <v/>
      </c>
      <c r="R100" s="67">
        <f>C100-M100</f>
        <v/>
      </c>
      <c r="S100" s="67">
        <f>C100-O100</f>
        <v/>
      </c>
      <c r="T100" s="67">
        <f>E100-O100</f>
        <v/>
      </c>
      <c r="U100" s="67">
        <f>G100-O100</f>
        <v/>
      </c>
      <c r="V100" s="67">
        <f>G100-K100</f>
        <v/>
      </c>
      <c r="W100" s="67">
        <f>C100-K100</f>
        <v/>
      </c>
      <c r="X100" s="67">
        <f>I100-G100</f>
        <v/>
      </c>
      <c r="Y100" s="75">
        <f>G100-M100</f>
        <v/>
      </c>
    </row>
    <row r="101">
      <c r="A101" s="65" t="n">
        <v>44399</v>
      </c>
      <c r="B101" s="66" t="n">
        <v>37.2</v>
      </c>
      <c r="C101" s="67">
        <f>myParidad('Flujo de Fondos'!$B$5,A101,B101,'Flujo de Fondos'!$B$7,'Flujo de Fondos'!$B$6)</f>
        <v/>
      </c>
      <c r="D101" s="66" t="n">
        <v>40.6</v>
      </c>
      <c r="E101" s="75">
        <f>myParidad('Flujo de Fondos'!$H$5,$A101,D101,'Flujo de Fondos'!$H$7,'Flujo de Fondos'!$H$6)</f>
        <v/>
      </c>
      <c r="F101" s="66" t="n">
        <v>36.3</v>
      </c>
      <c r="G101" s="67">
        <f>myParidad('Flujo de Fondos'!$N$5,$A101,F101,'Flujo de Fondos'!$N$7,'Flujo de Fondos'!$N$6)</f>
        <v/>
      </c>
      <c r="H101" s="68" t="n">
        <v>38.58</v>
      </c>
      <c r="I101" s="67">
        <f>myParidad('Flujo de Fondos'!$T$5,$A101,H101,'Flujo de Fondos'!$T$7,'Flujo de Fondos'!$T$6)</f>
        <v/>
      </c>
      <c r="J101" s="68" t="n">
        <v>33.3</v>
      </c>
      <c r="K101" s="67">
        <f>myParidad('Flujo de Fondos'!$B$34,$A101,J101,'Flujo de Fondos'!$B$36,'Flujo de Fondos'!$B$35)</f>
        <v/>
      </c>
      <c r="L101" s="66" t="n">
        <v>38.55</v>
      </c>
      <c r="M101" s="67">
        <f>myParidad('Flujo de Fondos'!$H$34,'Paridad usd'!$A101,'Paridad usd'!L101,'Flujo de Fondos'!$H$36,'Flujo de Fondos'!$H$35)</f>
        <v/>
      </c>
      <c r="N101" s="68" t="n">
        <v>38.21</v>
      </c>
      <c r="O101" s="67">
        <f>myParidad('Flujo de Fondos'!$N$34,$A101,N101,'Flujo de Fondos'!$N$36,'Flujo de Fondos'!$N$35)</f>
        <v/>
      </c>
      <c r="P101" s="67">
        <f>C101-G101</f>
        <v/>
      </c>
      <c r="Q101" s="67">
        <f>E101-C101</f>
        <v/>
      </c>
      <c r="R101" s="67">
        <f>C101-M101</f>
        <v/>
      </c>
      <c r="S101" s="67">
        <f>C101-O101</f>
        <v/>
      </c>
      <c r="T101" s="67">
        <f>E101-O101</f>
        <v/>
      </c>
      <c r="U101" s="67">
        <f>G101-O101</f>
        <v/>
      </c>
      <c r="V101" s="67">
        <f>G101-K101</f>
        <v/>
      </c>
      <c r="W101" s="67">
        <f>C101-K101</f>
        <v/>
      </c>
      <c r="X101" s="67">
        <f>I101-G101</f>
        <v/>
      </c>
      <c r="Y101" s="75">
        <f>G101-M101</f>
        <v/>
      </c>
    </row>
    <row r="102">
      <c r="A102" s="65" t="n">
        <v>44398</v>
      </c>
      <c r="B102" s="66" t="n">
        <v>37.2</v>
      </c>
      <c r="C102" s="67">
        <f>myParidad('Flujo de Fondos'!$B$5,A102,B102,'Flujo de Fondos'!$B$7,'Flujo de Fondos'!$B$6)</f>
        <v/>
      </c>
      <c r="D102" s="66" t="n">
        <v>40.05</v>
      </c>
      <c r="E102" s="75">
        <f>myParidad('Flujo de Fondos'!$H$5,$A102,D102,'Flujo de Fondos'!$H$7,'Flujo de Fondos'!$H$6)</f>
        <v/>
      </c>
      <c r="F102" s="66" t="n">
        <v>36.32</v>
      </c>
      <c r="G102" s="67">
        <f>myParidad('Flujo de Fondos'!$N$5,$A102,F102,'Flujo de Fondos'!$N$7,'Flujo de Fondos'!$N$6)</f>
        <v/>
      </c>
      <c r="H102" s="68" t="n">
        <v>38.39</v>
      </c>
      <c r="I102" s="67">
        <f>myParidad('Flujo de Fondos'!$T$5,$A102,H102,'Flujo de Fondos'!$T$7,'Flujo de Fondos'!$T$6)</f>
        <v/>
      </c>
      <c r="J102" s="68" t="n">
        <v>33.26</v>
      </c>
      <c r="K102" s="67">
        <f>myParidad('Flujo de Fondos'!$B$34,$A102,J102,'Flujo de Fondos'!$B$36,'Flujo de Fondos'!$B$35)</f>
        <v/>
      </c>
      <c r="L102" s="66" t="n">
        <v>38.15</v>
      </c>
      <c r="M102" s="67">
        <f>myParidad('Flujo de Fondos'!$H$34,'Paridad usd'!$A102,'Paridad usd'!L102,'Flujo de Fondos'!$H$36,'Flujo de Fondos'!$H$35)</f>
        <v/>
      </c>
      <c r="N102" s="68" t="n">
        <v>37.85</v>
      </c>
      <c r="O102" s="67">
        <f>myParidad('Flujo de Fondos'!$N$34,$A102,N102,'Flujo de Fondos'!$N$36,'Flujo de Fondos'!$N$35)</f>
        <v/>
      </c>
      <c r="P102" s="67">
        <f>C102-G102</f>
        <v/>
      </c>
      <c r="Q102" s="67">
        <f>E102-C102</f>
        <v/>
      </c>
      <c r="R102" s="67">
        <f>C102-M102</f>
        <v/>
      </c>
      <c r="S102" s="67">
        <f>C102-O102</f>
        <v/>
      </c>
      <c r="T102" s="67">
        <f>E102-O102</f>
        <v/>
      </c>
      <c r="U102" s="67">
        <f>G102-O102</f>
        <v/>
      </c>
      <c r="V102" s="67">
        <f>G102-K102</f>
        <v/>
      </c>
      <c r="W102" s="67">
        <f>C102-K102</f>
        <v/>
      </c>
      <c r="X102" s="67">
        <f>I102-G102</f>
        <v/>
      </c>
      <c r="Y102" s="75">
        <f>G102-M102</f>
        <v/>
      </c>
    </row>
    <row r="103">
      <c r="A103" s="65" t="n">
        <v>44397</v>
      </c>
      <c r="B103" s="66" t="n">
        <v>37</v>
      </c>
      <c r="C103" s="67">
        <f>myParidad('Flujo de Fondos'!$B$5,A103,B103,'Flujo de Fondos'!$B$7,'Flujo de Fondos'!$B$6)</f>
        <v/>
      </c>
      <c r="D103" s="66" t="n">
        <v>40.9</v>
      </c>
      <c r="E103" s="75">
        <f>myParidad('Flujo de Fondos'!$H$5,$A103,D103,'Flujo de Fondos'!$H$7,'Flujo de Fondos'!$H$6)</f>
        <v/>
      </c>
      <c r="F103" s="66" t="n">
        <v>36.19</v>
      </c>
      <c r="G103" s="67">
        <f>myParidad('Flujo de Fondos'!$N$5,$A103,F103,'Flujo de Fondos'!$N$7,'Flujo de Fondos'!$N$6)</f>
        <v/>
      </c>
      <c r="H103" s="68" t="n">
        <v>38.23</v>
      </c>
      <c r="I103" s="67">
        <f>myParidad('Flujo de Fondos'!$T$5,$A103,H103,'Flujo de Fondos'!$T$7,'Flujo de Fondos'!$T$6)</f>
        <v/>
      </c>
      <c r="J103" s="68" t="n">
        <v>33.12</v>
      </c>
      <c r="K103" s="67">
        <f>myParidad('Flujo de Fondos'!$B$34,$A103,J103,'Flujo de Fondos'!$B$36,'Flujo de Fondos'!$B$35)</f>
        <v/>
      </c>
      <c r="L103" s="66" t="n">
        <v>38.2</v>
      </c>
      <c r="M103" s="67">
        <f>myParidad('Flujo de Fondos'!$H$34,'Paridad usd'!$A103,'Paridad usd'!L103,'Flujo de Fondos'!$H$36,'Flujo de Fondos'!$H$35)</f>
        <v/>
      </c>
      <c r="N103" s="68" t="n">
        <v>37.6</v>
      </c>
      <c r="O103" s="67">
        <f>myParidad('Flujo de Fondos'!$N$34,$A103,N103,'Flujo de Fondos'!$N$36,'Flujo de Fondos'!$N$35)</f>
        <v/>
      </c>
      <c r="P103" s="67">
        <f>C103-G103</f>
        <v/>
      </c>
      <c r="Q103" s="67">
        <f>E103-C103</f>
        <v/>
      </c>
      <c r="R103" s="67">
        <f>C103-M103</f>
        <v/>
      </c>
      <c r="S103" s="67">
        <f>C103-O103</f>
        <v/>
      </c>
      <c r="T103" s="67">
        <f>E103-O103</f>
        <v/>
      </c>
      <c r="U103" s="67">
        <f>G103-O103</f>
        <v/>
      </c>
      <c r="V103" s="67">
        <f>G103-K103</f>
        <v/>
      </c>
      <c r="W103" s="67">
        <f>C103-K103</f>
        <v/>
      </c>
      <c r="X103" s="67">
        <f>I103-G103</f>
        <v/>
      </c>
      <c r="Y103" s="75">
        <f>G103-M103</f>
        <v/>
      </c>
    </row>
    <row r="104">
      <c r="A104" s="65" t="n">
        <v>44396</v>
      </c>
      <c r="B104" s="66" t="n">
        <v>36.6</v>
      </c>
      <c r="C104" s="67">
        <f>myParidad('Flujo de Fondos'!$B$5,A104,B104,'Flujo de Fondos'!$B$7,'Flujo de Fondos'!$B$6)</f>
        <v/>
      </c>
      <c r="D104" s="66" t="n">
        <v>39.9</v>
      </c>
      <c r="E104" s="75">
        <f>myParidad('Flujo de Fondos'!$H$5,$A104,D104,'Flujo de Fondos'!$H$7,'Flujo de Fondos'!$H$6)</f>
        <v/>
      </c>
      <c r="F104" s="66" t="n">
        <v>35.84</v>
      </c>
      <c r="G104" s="67">
        <f>myParidad('Flujo de Fondos'!$N$5,$A104,F104,'Flujo de Fondos'!$N$7,'Flujo de Fondos'!$N$6)</f>
        <v/>
      </c>
      <c r="H104" s="68" t="n">
        <v>38.03</v>
      </c>
      <c r="I104" s="67">
        <f>myParidad('Flujo de Fondos'!$T$5,$A104,H104,'Flujo de Fondos'!$T$7,'Flujo de Fondos'!$T$6)</f>
        <v/>
      </c>
      <c r="J104" s="68" t="n">
        <v>32.94</v>
      </c>
      <c r="K104" s="67">
        <f>myParidad('Flujo de Fondos'!$B$34,$A104,J104,'Flujo de Fondos'!$B$36,'Flujo de Fondos'!$B$35)</f>
        <v/>
      </c>
      <c r="L104" s="66" t="n">
        <v>37.65</v>
      </c>
      <c r="M104" s="67">
        <f>myParidad('Flujo de Fondos'!$H$34,'Paridad usd'!$A104,'Paridad usd'!L104,'Flujo de Fondos'!$H$36,'Flujo de Fondos'!$H$35)</f>
        <v/>
      </c>
      <c r="N104" s="68" t="n">
        <v>36.6</v>
      </c>
      <c r="O104" s="67">
        <f>myParidad('Flujo de Fondos'!$N$34,$A104,N104,'Flujo de Fondos'!$N$36,'Flujo de Fondos'!$N$35)</f>
        <v/>
      </c>
      <c r="P104" s="67">
        <f>C104-G104</f>
        <v/>
      </c>
      <c r="Q104" s="67">
        <f>E104-C104</f>
        <v/>
      </c>
      <c r="R104" s="67">
        <f>C104-M104</f>
        <v/>
      </c>
      <c r="S104" s="67">
        <f>C104-O104</f>
        <v/>
      </c>
      <c r="T104" s="67">
        <f>E104-O104</f>
        <v/>
      </c>
      <c r="U104" s="67">
        <f>G104-O104</f>
        <v/>
      </c>
      <c r="V104" s="67">
        <f>G104-K104</f>
        <v/>
      </c>
      <c r="W104" s="67">
        <f>C104-K104</f>
        <v/>
      </c>
      <c r="X104" s="67">
        <f>I104-G104</f>
        <v/>
      </c>
      <c r="Y104" s="75">
        <f>G104-M104</f>
        <v/>
      </c>
    </row>
    <row r="105">
      <c r="A105" s="65" t="n">
        <v>44393</v>
      </c>
      <c r="B105" s="66" t="n">
        <v>36.4</v>
      </c>
      <c r="C105" s="67">
        <f>myParidad('Flujo de Fondos'!$B$5,A105,B105,'Flujo de Fondos'!$B$7,'Flujo de Fondos'!$B$6)</f>
        <v/>
      </c>
      <c r="D105" s="66" t="n">
        <v>39.71</v>
      </c>
      <c r="E105" s="75">
        <f>myParidad('Flujo de Fondos'!$H$5,$A105,D105,'Flujo de Fondos'!$H$7,'Flujo de Fondos'!$H$6)</f>
        <v/>
      </c>
      <c r="F105" s="66" t="n">
        <v>35.57</v>
      </c>
      <c r="G105" s="67">
        <f>myParidad('Flujo de Fondos'!$N$5,$A105,F105,'Flujo de Fondos'!$N$7,'Flujo de Fondos'!$N$6)</f>
        <v/>
      </c>
      <c r="H105" s="68" t="n">
        <v>37.79</v>
      </c>
      <c r="I105" s="67">
        <f>myParidad('Flujo de Fondos'!$T$5,$A105,H105,'Flujo de Fondos'!$T$7,'Flujo de Fondos'!$T$6)</f>
        <v/>
      </c>
      <c r="J105" s="68" t="n">
        <v>32.65</v>
      </c>
      <c r="K105" s="67">
        <f>myParidad('Flujo de Fondos'!$B$34,$A105,J105,'Flujo de Fondos'!$B$36,'Flujo de Fondos'!$B$35)</f>
        <v/>
      </c>
      <c r="L105" s="66" t="n">
        <v>37.2</v>
      </c>
      <c r="M105" s="67">
        <f>myParidad('Flujo de Fondos'!$H$34,'Paridad usd'!$A105,'Paridad usd'!L105,'Flujo de Fondos'!$H$36,'Flujo de Fondos'!$H$35)</f>
        <v/>
      </c>
      <c r="N105" s="68" t="n">
        <v>36.75</v>
      </c>
      <c r="O105" s="67">
        <f>myParidad('Flujo de Fondos'!$N$34,$A105,N105,'Flujo de Fondos'!$N$36,'Flujo de Fondos'!$N$35)</f>
        <v/>
      </c>
      <c r="P105" s="67">
        <f>C105-G105</f>
        <v/>
      </c>
      <c r="Q105" s="67">
        <f>E105-C105</f>
        <v/>
      </c>
      <c r="R105" s="67">
        <f>C105-M105</f>
        <v/>
      </c>
      <c r="S105" s="67">
        <f>C105-O105</f>
        <v/>
      </c>
      <c r="T105" s="67">
        <f>E105-O105</f>
        <v/>
      </c>
      <c r="U105" s="67">
        <f>G105-O105</f>
        <v/>
      </c>
      <c r="V105" s="67">
        <f>G105-K105</f>
        <v/>
      </c>
      <c r="W105" s="67">
        <f>C105-K105</f>
        <v/>
      </c>
      <c r="X105" s="67">
        <f>I105-G105</f>
        <v/>
      </c>
      <c r="Y105" s="75">
        <f>G105-M105</f>
        <v/>
      </c>
    </row>
    <row r="106">
      <c r="A106" s="65" t="n">
        <v>44392</v>
      </c>
      <c r="B106" s="66" t="n">
        <v>36.37</v>
      </c>
      <c r="C106" s="67">
        <f>myParidad('Flujo de Fondos'!$B$5,A106,B106,'Flujo de Fondos'!$B$7,'Flujo de Fondos'!$B$6)</f>
        <v/>
      </c>
      <c r="D106" s="66" t="n">
        <v>39.5</v>
      </c>
      <c r="E106" s="75">
        <f>myParidad('Flujo de Fondos'!$H$5,$A106,D106,'Flujo de Fondos'!$H$7,'Flujo de Fondos'!$H$6)</f>
        <v/>
      </c>
      <c r="F106" s="66" t="n">
        <v>35.29</v>
      </c>
      <c r="G106" s="67">
        <f>myParidad('Flujo de Fondos'!$N$5,$A106,F106,'Flujo de Fondos'!$N$7,'Flujo de Fondos'!$N$6)</f>
        <v/>
      </c>
      <c r="H106" s="68" t="n">
        <v>37.55</v>
      </c>
      <c r="I106" s="67">
        <f>myParidad('Flujo de Fondos'!$T$5,$A106,H106,'Flujo de Fondos'!$T$7,'Flujo de Fondos'!$T$6)</f>
        <v/>
      </c>
      <c r="J106" s="68" t="n">
        <v>32.72</v>
      </c>
      <c r="K106" s="67">
        <f>myParidad('Flujo de Fondos'!$B$34,$A106,J106,'Flujo de Fondos'!$B$36,'Flujo de Fondos'!$B$35)</f>
        <v/>
      </c>
      <c r="L106" s="66" t="n">
        <v>37</v>
      </c>
      <c r="M106" s="67">
        <f>myParidad('Flujo de Fondos'!$H$34,'Paridad usd'!$A106,'Paridad usd'!L106,'Flujo de Fondos'!$H$36,'Flujo de Fondos'!$H$35)</f>
        <v/>
      </c>
      <c r="N106" s="68" t="n">
        <v>36.35</v>
      </c>
      <c r="O106" s="67">
        <f>myParidad('Flujo de Fondos'!$N$34,$A106,N106,'Flujo de Fondos'!$N$36,'Flujo de Fondos'!$N$35)</f>
        <v/>
      </c>
      <c r="P106" s="67">
        <f>C106-G106</f>
        <v/>
      </c>
      <c r="Q106" s="67">
        <f>E106-C106</f>
        <v/>
      </c>
      <c r="R106" s="67">
        <f>C106-M106</f>
        <v/>
      </c>
      <c r="S106" s="67">
        <f>C106-O106</f>
        <v/>
      </c>
      <c r="T106" s="67">
        <f>E106-O106</f>
        <v/>
      </c>
      <c r="U106" s="67">
        <f>G106-O106</f>
        <v/>
      </c>
      <c r="V106" s="67">
        <f>G106-K106</f>
        <v/>
      </c>
      <c r="W106" s="67">
        <f>C106-K106</f>
        <v/>
      </c>
      <c r="X106" s="67">
        <f>I106-G106</f>
        <v/>
      </c>
      <c r="Y106" s="75">
        <f>G106-M106</f>
        <v/>
      </c>
    </row>
    <row r="107">
      <c r="A107" s="65" t="n">
        <v>44391</v>
      </c>
      <c r="B107" s="66" t="n">
        <v>36.4</v>
      </c>
      <c r="C107" s="67">
        <f>myParidad('Flujo de Fondos'!$B$5,A107,B107,'Flujo de Fondos'!$B$7,'Flujo de Fondos'!$B$6)</f>
        <v/>
      </c>
      <c r="D107" s="66" t="n">
        <v>39.5</v>
      </c>
      <c r="E107" s="75">
        <f>myParidad('Flujo de Fondos'!$H$5,$A107,D107,'Flujo de Fondos'!$H$7,'Flujo de Fondos'!$H$6)</f>
        <v/>
      </c>
      <c r="F107" s="66" t="n">
        <v>35.09</v>
      </c>
      <c r="G107" s="67">
        <f>myParidad('Flujo de Fondos'!$N$5,$A107,F107,'Flujo de Fondos'!$N$7,'Flujo de Fondos'!$N$6)</f>
        <v/>
      </c>
      <c r="H107" s="68" t="n">
        <v>37.7</v>
      </c>
      <c r="I107" s="67">
        <f>myParidad('Flujo de Fondos'!$T$5,$A107,H107,'Flujo de Fondos'!$T$7,'Flujo de Fondos'!$T$6)</f>
        <v/>
      </c>
      <c r="J107" s="68" t="n">
        <v>32.6</v>
      </c>
      <c r="K107" s="67">
        <f>myParidad('Flujo de Fondos'!$B$34,$A107,J107,'Flujo de Fondos'!$B$36,'Flujo de Fondos'!$B$35)</f>
        <v/>
      </c>
      <c r="L107" s="66" t="n">
        <v>36.82</v>
      </c>
      <c r="M107" s="67">
        <f>myParidad('Flujo de Fondos'!$H$34,'Paridad usd'!$A107,'Paridad usd'!L107,'Flujo de Fondos'!$H$36,'Flujo de Fondos'!$H$35)</f>
        <v/>
      </c>
      <c r="N107" s="68" t="n">
        <v>36.28</v>
      </c>
      <c r="O107" s="67">
        <f>myParidad('Flujo de Fondos'!$N$34,$A107,N107,'Flujo de Fondos'!$N$36,'Flujo de Fondos'!$N$35)</f>
        <v/>
      </c>
      <c r="P107" s="67">
        <f>C107-G107</f>
        <v/>
      </c>
      <c r="Q107" s="67">
        <f>E107-C107</f>
        <v/>
      </c>
      <c r="R107" s="67">
        <f>C107-M107</f>
        <v/>
      </c>
      <c r="S107" s="67">
        <f>C107-O107</f>
        <v/>
      </c>
      <c r="T107" s="67">
        <f>E107-O107</f>
        <v/>
      </c>
      <c r="U107" s="67">
        <f>G107-O107</f>
        <v/>
      </c>
      <c r="V107" s="67">
        <f>G107-K107</f>
        <v/>
      </c>
      <c r="W107" s="67">
        <f>C107-K107</f>
        <v/>
      </c>
      <c r="X107" s="67">
        <f>I107-G107</f>
        <v/>
      </c>
      <c r="Y107" s="75">
        <f>G107-M107</f>
        <v/>
      </c>
    </row>
    <row r="108">
      <c r="A108" s="65" t="n">
        <v>44390</v>
      </c>
      <c r="B108" s="66" t="n">
        <v>36.05</v>
      </c>
      <c r="C108" s="67">
        <f>myParidad('Flujo de Fondos'!$B$5,A108,B108,'Flujo de Fondos'!$B$7,'Flujo de Fondos'!$B$6)</f>
        <v/>
      </c>
      <c r="D108" s="66" t="n">
        <v>39.31</v>
      </c>
      <c r="E108" s="75">
        <f>myParidad('Flujo de Fondos'!$H$5,$A108,D108,'Flujo de Fondos'!$H$7,'Flujo de Fondos'!$H$6)</f>
        <v/>
      </c>
      <c r="F108" s="66" t="n">
        <v>34.75</v>
      </c>
      <c r="G108" s="67">
        <f>myParidad('Flujo de Fondos'!$N$5,$A108,F108,'Flujo de Fondos'!$N$7,'Flujo de Fondos'!$N$6)</f>
        <v/>
      </c>
      <c r="H108" s="68" t="n">
        <v>37.41</v>
      </c>
      <c r="I108" s="67">
        <f>myParidad('Flujo de Fondos'!$T$5,$A108,H108,'Flujo de Fondos'!$T$7,'Flujo de Fondos'!$T$6)</f>
        <v/>
      </c>
      <c r="J108" s="68" t="n">
        <v>32.75</v>
      </c>
      <c r="K108" s="67">
        <f>myParidad('Flujo de Fondos'!$B$34,$A108,J108,'Flujo de Fondos'!$B$36,'Flujo de Fondos'!$B$35)</f>
        <v/>
      </c>
      <c r="L108" s="66" t="n">
        <v>36.5</v>
      </c>
      <c r="M108" s="67">
        <f>myParidad('Flujo de Fondos'!$H$34,'Paridad usd'!$A108,'Paridad usd'!L108,'Flujo de Fondos'!$H$36,'Flujo de Fondos'!$H$35)</f>
        <v/>
      </c>
      <c r="N108" s="68" t="n">
        <v>36</v>
      </c>
      <c r="O108" s="67">
        <f>myParidad('Flujo de Fondos'!$N$34,$A108,N108,'Flujo de Fondos'!$N$36,'Flujo de Fondos'!$N$35)</f>
        <v/>
      </c>
      <c r="P108" s="67">
        <f>C108-G108</f>
        <v/>
      </c>
      <c r="Q108" s="67">
        <f>E108-C108</f>
        <v/>
      </c>
      <c r="R108" s="67">
        <f>C108-M108</f>
        <v/>
      </c>
      <c r="S108" s="67">
        <f>C108-O108</f>
        <v/>
      </c>
      <c r="T108" s="67">
        <f>E108-O108</f>
        <v/>
      </c>
      <c r="U108" s="67">
        <f>G108-O108</f>
        <v/>
      </c>
      <c r="V108" s="67">
        <f>G108-K108</f>
        <v/>
      </c>
      <c r="W108" s="67">
        <f>C108-K108</f>
        <v/>
      </c>
      <c r="X108" s="67">
        <f>I108-G108</f>
        <v/>
      </c>
      <c r="Y108" s="75">
        <f>G108-M108</f>
        <v/>
      </c>
    </row>
    <row r="109">
      <c r="A109" s="65" t="n">
        <v>44389</v>
      </c>
      <c r="B109" s="66" t="n">
        <v>35.8</v>
      </c>
      <c r="C109" s="67">
        <f>myParidad('Flujo de Fondos'!$B$5,A109,B109,'Flujo de Fondos'!$B$7,'Flujo de Fondos'!$B$6)</f>
        <v/>
      </c>
      <c r="D109" s="66" t="n">
        <v>39.15</v>
      </c>
      <c r="E109" s="75">
        <f>myParidad('Flujo de Fondos'!$H$5,$A109,D109,'Flujo de Fondos'!$H$7,'Flujo de Fondos'!$H$6)</f>
        <v/>
      </c>
      <c r="F109" s="66" t="n">
        <v>34.29</v>
      </c>
      <c r="G109" s="67">
        <f>myParidad('Flujo de Fondos'!$N$5,$A109,F109,'Flujo de Fondos'!$N$7,'Flujo de Fondos'!$N$6)</f>
        <v/>
      </c>
      <c r="H109" s="68" t="n">
        <v>37.1</v>
      </c>
      <c r="I109" s="67">
        <f>myParidad('Flujo de Fondos'!$T$5,$A109,H109,'Flujo de Fondos'!$T$7,'Flujo de Fondos'!$T$6)</f>
        <v/>
      </c>
      <c r="J109" s="68" t="n">
        <v>31.9</v>
      </c>
      <c r="K109" s="67">
        <f>myParidad('Flujo de Fondos'!$B$34,$A109,J109,'Flujo de Fondos'!$B$36,'Flujo de Fondos'!$B$35)</f>
        <v/>
      </c>
      <c r="L109" s="66" t="n">
        <v>35.96</v>
      </c>
      <c r="M109" s="67">
        <f>myParidad('Flujo de Fondos'!$H$34,'Paridad usd'!$A109,'Paridad usd'!L109,'Flujo de Fondos'!$H$36,'Flujo de Fondos'!$H$35)</f>
        <v/>
      </c>
      <c r="N109" s="68" t="n">
        <v>35.25</v>
      </c>
      <c r="O109" s="67">
        <f>myParidad('Flujo de Fondos'!$N$34,$A109,N109,'Flujo de Fondos'!$N$36,'Flujo de Fondos'!$N$35)</f>
        <v/>
      </c>
      <c r="P109" s="67">
        <f>C109-G109</f>
        <v/>
      </c>
      <c r="Q109" s="67">
        <f>E109-C109</f>
        <v/>
      </c>
      <c r="R109" s="67">
        <f>C109-M109</f>
        <v/>
      </c>
      <c r="S109" s="67">
        <f>C109-O109</f>
        <v/>
      </c>
      <c r="T109" s="67">
        <f>E109-O109</f>
        <v/>
      </c>
      <c r="U109" s="67">
        <f>G109-O109</f>
        <v/>
      </c>
      <c r="V109" s="67">
        <f>G109-K109</f>
        <v/>
      </c>
      <c r="W109" s="67">
        <f>C109-K109</f>
        <v/>
      </c>
      <c r="X109" s="67">
        <f>I109-G109</f>
        <v/>
      </c>
      <c r="Y109" s="75">
        <f>G109-M109</f>
        <v/>
      </c>
    </row>
    <row r="110">
      <c r="A110" s="52" t="n">
        <v>44385</v>
      </c>
      <c r="B110" s="53" t="n">
        <v>35.54</v>
      </c>
      <c r="C110" s="54">
        <f>myParidad('Flujo de Fondos'!$B$5,A110,B110,'Flujo de Fondos'!$B$7,'Flujo de Fondos'!$B$6)</f>
        <v/>
      </c>
      <c r="D110" s="53" t="n">
        <v>39.04</v>
      </c>
      <c r="E110" s="55">
        <f>myParidad('Flujo de Fondos'!$H$5,$A110,D110,'Flujo de Fondos'!$H$7,'Flujo de Fondos'!$H$6)</f>
        <v/>
      </c>
      <c r="F110" s="53" t="n">
        <v>33.86</v>
      </c>
      <c r="G110" s="54">
        <f>myParidad('Flujo de Fondos'!$N$5,$A110,F110,'Flujo de Fondos'!$N$7,'Flujo de Fondos'!$N$6)</f>
        <v/>
      </c>
      <c r="H110" s="56" t="n">
        <v>36.85</v>
      </c>
      <c r="I110" s="54">
        <f>myParidad('Flujo de Fondos'!$T$5,$A110,H110,'Flujo de Fondos'!$T$7,'Flujo de Fondos'!$T$6)</f>
        <v/>
      </c>
      <c r="J110" s="56" t="n">
        <v>31.5</v>
      </c>
      <c r="K110" s="54">
        <f>myParidad('Flujo de Fondos'!$B$34,$A110,J110,'Flujo de Fondos'!$B$36,'Flujo de Fondos'!$B$35)</f>
        <v/>
      </c>
      <c r="L110" s="53" t="n">
        <v>35.66</v>
      </c>
      <c r="M110" s="54">
        <f>myParidad('Flujo de Fondos'!$H$34,'Paridad usd'!$A110,'Paridad usd'!L110,'Flujo de Fondos'!$H$36,'Flujo de Fondos'!$H$35)</f>
        <v/>
      </c>
      <c r="N110" s="56" t="n">
        <v>35.05</v>
      </c>
      <c r="O110" s="54">
        <f>myParidad('Flujo de Fondos'!$N$34,$A110,N110,'Flujo de Fondos'!$N$36,'Flujo de Fondos'!$N$35)</f>
        <v/>
      </c>
      <c r="P110" s="57">
        <f>C110-G110</f>
        <v/>
      </c>
      <c r="Q110" s="57">
        <f>E110-C110</f>
        <v/>
      </c>
      <c r="R110" s="57">
        <f>C110-M110</f>
        <v/>
      </c>
      <c r="S110" s="55">
        <f>C110-O110</f>
        <v/>
      </c>
      <c r="T110" s="57">
        <f>E110-O110</f>
        <v/>
      </c>
      <c r="U110" s="57">
        <f>G110-O110</f>
        <v/>
      </c>
      <c r="V110" s="57">
        <f>G110-K110</f>
        <v/>
      </c>
      <c r="W110" s="57">
        <f>C110-K110</f>
        <v/>
      </c>
      <c r="X110" s="67">
        <f>I110-G110</f>
        <v/>
      </c>
      <c r="Y110" s="75">
        <f>G110-M110</f>
        <v/>
      </c>
    </row>
    <row r="111">
      <c r="A111" s="52" t="n">
        <v>44384</v>
      </c>
      <c r="B111" s="53" t="n">
        <v>35.6</v>
      </c>
      <c r="C111" s="54">
        <f>myParidad('Flujo de Fondos'!$B$5,A111,B111,'Flujo de Fondos'!$B$7,'Flujo de Fondos'!$B$6)</f>
        <v/>
      </c>
      <c r="D111" s="53" t="n">
        <v>38.9</v>
      </c>
      <c r="E111" s="55">
        <f>myParidad('Flujo de Fondos'!$H$5,$A111,D111,'Flujo de Fondos'!$H$7,'Flujo de Fondos'!$H$6)</f>
        <v/>
      </c>
      <c r="F111" s="53" t="n">
        <v>33.76</v>
      </c>
      <c r="G111" s="54">
        <f>myParidad('Flujo de Fondos'!$N$5,$A111,F111,'Flujo de Fondos'!$N$7,'Flujo de Fondos'!$N$6)</f>
        <v/>
      </c>
      <c r="H111" s="56" t="n">
        <v>37.01</v>
      </c>
      <c r="I111" s="54">
        <f>myParidad('Flujo de Fondos'!$T$5,$A111,H111,'Flujo de Fondos'!$T$7,'Flujo de Fondos'!$T$6)</f>
        <v/>
      </c>
      <c r="J111" s="56" t="n">
        <v>31.26</v>
      </c>
      <c r="K111" s="54">
        <f>myParidad('Flujo de Fondos'!$B$34,$A111,J111,'Flujo de Fondos'!$B$36,'Flujo de Fondos'!$B$35)</f>
        <v/>
      </c>
      <c r="L111" s="53" t="n">
        <v>35.7</v>
      </c>
      <c r="M111" s="54">
        <f>myParidad('Flujo de Fondos'!$H$34,'Paridad usd'!$A111,'Paridad usd'!L111,'Flujo de Fondos'!$H$36,'Flujo de Fondos'!$H$35)</f>
        <v/>
      </c>
      <c r="N111" s="56" t="n">
        <v>34.7</v>
      </c>
      <c r="O111" s="54">
        <f>myParidad('Flujo de Fondos'!$N$34,$A111,N111,'Flujo de Fondos'!$N$36,'Flujo de Fondos'!$N$35)</f>
        <v/>
      </c>
      <c r="P111" s="57">
        <f>C111-G111</f>
        <v/>
      </c>
      <c r="Q111" s="57">
        <f>E111-C111</f>
        <v/>
      </c>
      <c r="R111" s="57">
        <f>C111-M111</f>
        <v/>
      </c>
      <c r="S111" s="55">
        <f>C111-O111</f>
        <v/>
      </c>
      <c r="T111" s="57">
        <f>E111-O111</f>
        <v/>
      </c>
      <c r="U111" s="57">
        <f>G111-O111</f>
        <v/>
      </c>
      <c r="V111" s="57">
        <f>G111-K111</f>
        <v/>
      </c>
      <c r="W111" s="57">
        <f>C111-K111</f>
        <v/>
      </c>
      <c r="X111" s="67">
        <f>I111-G111</f>
        <v/>
      </c>
      <c r="Y111" s="75">
        <f>G111-M111</f>
        <v/>
      </c>
    </row>
    <row r="112">
      <c r="A112" s="52" t="n">
        <v>44383</v>
      </c>
      <c r="B112" s="53" t="n">
        <v>36.3</v>
      </c>
      <c r="C112" s="54">
        <f>myParidad('Flujo de Fondos'!$B$5,A112,B112,'Flujo de Fondos'!$B$7,'Flujo de Fondos'!$B$6)</f>
        <v/>
      </c>
      <c r="D112" s="53" t="n">
        <v>39.8</v>
      </c>
      <c r="E112" s="55">
        <f>myParidad('Flujo de Fondos'!$H$5,$A112,D112,'Flujo de Fondos'!$H$7,'Flujo de Fondos'!$H$6)</f>
        <v/>
      </c>
      <c r="F112" s="53" t="n">
        <v>33.77</v>
      </c>
      <c r="G112" s="54">
        <f>myParidad('Flujo de Fondos'!$N$5,$A112,F112,'Flujo de Fondos'!$N$7,'Flujo de Fondos'!$N$6)</f>
        <v/>
      </c>
      <c r="H112" s="56" t="n">
        <v>37.02</v>
      </c>
      <c r="I112" s="54">
        <f>myParidad('Flujo de Fondos'!$T$5,$A112,H112,'Flujo de Fondos'!$T$7,'Flujo de Fondos'!$T$6)</f>
        <v/>
      </c>
      <c r="J112" s="56" t="n">
        <v>31.08</v>
      </c>
      <c r="K112" s="54">
        <f>myParidad('Flujo de Fondos'!$B$34,$A112,J112,'Flujo de Fondos'!$B$36,'Flujo de Fondos'!$B$35)</f>
        <v/>
      </c>
      <c r="L112" s="53" t="n">
        <v>35.4</v>
      </c>
      <c r="M112" s="54">
        <f>myParidad('Flujo de Fondos'!$H$34,'Paridad usd'!$A112,'Paridad usd'!L112,'Flujo de Fondos'!$H$36,'Flujo de Fondos'!$H$35)</f>
        <v/>
      </c>
      <c r="N112" s="56" t="n">
        <v>34.6</v>
      </c>
      <c r="O112" s="54">
        <f>myParidad('Flujo de Fondos'!$N$34,$A112,N112,'Flujo de Fondos'!$N$36,'Flujo de Fondos'!$N$35)</f>
        <v/>
      </c>
      <c r="P112" s="57">
        <f>C112-G112</f>
        <v/>
      </c>
      <c r="Q112" s="57">
        <f>E112-C112</f>
        <v/>
      </c>
      <c r="R112" s="57">
        <f>C112-M112</f>
        <v/>
      </c>
      <c r="S112" s="55">
        <f>C112-O112</f>
        <v/>
      </c>
      <c r="T112" s="57">
        <f>E112-O112</f>
        <v/>
      </c>
      <c r="U112" s="57">
        <f>G112-O112</f>
        <v/>
      </c>
      <c r="V112" s="57">
        <f>G112-K112</f>
        <v/>
      </c>
      <c r="W112" s="57">
        <f>C112-K112</f>
        <v/>
      </c>
      <c r="X112" s="67">
        <f>I112-G112</f>
        <v/>
      </c>
      <c r="Y112" s="75">
        <f>G112-M112</f>
        <v/>
      </c>
    </row>
    <row r="113">
      <c r="A113" s="52" t="n">
        <v>44382</v>
      </c>
      <c r="B113" s="53" t="n">
        <v>36.4</v>
      </c>
      <c r="C113" s="54">
        <f>myParidad('Flujo de Fondos'!$B$5,A113,B113,'Flujo de Fondos'!$B$7,'Flujo de Fondos'!$B$6)</f>
        <v/>
      </c>
      <c r="D113" s="53" t="n">
        <v>39.55</v>
      </c>
      <c r="E113" s="55">
        <f>myParidad('Flujo de Fondos'!$H$5,$A113,D113,'Flujo de Fondos'!$H$7,'Flujo de Fondos'!$H$6)</f>
        <v/>
      </c>
      <c r="F113" s="53" t="n">
        <v>33.8</v>
      </c>
      <c r="G113" s="54">
        <f>myParidad('Flujo de Fondos'!$N$5,$A113,F113,'Flujo de Fondos'!$N$7,'Flujo de Fondos'!$N$6)</f>
        <v/>
      </c>
      <c r="H113" s="56" t="n">
        <v>37.45</v>
      </c>
      <c r="I113" s="54">
        <f>myParidad('Flujo de Fondos'!$T$5,$A113,H113,'Flujo de Fondos'!$T$7,'Flujo de Fondos'!$T$6)</f>
        <v/>
      </c>
      <c r="J113" s="56" t="n">
        <v>31.5</v>
      </c>
      <c r="K113" s="54">
        <f>myParidad('Flujo de Fondos'!$B$34,$A113,J113,'Flujo de Fondos'!$B$36,'Flujo de Fondos'!$B$35)</f>
        <v/>
      </c>
      <c r="L113" s="53" t="n">
        <v>35.66</v>
      </c>
      <c r="M113" s="54">
        <f>myParidad('Flujo de Fondos'!$H$34,'Paridad usd'!$A113,'Paridad usd'!L113,'Flujo de Fondos'!$H$36,'Flujo de Fondos'!$H$35)</f>
        <v/>
      </c>
      <c r="N113" s="56" t="n">
        <v>34.9</v>
      </c>
      <c r="O113" s="54">
        <f>myParidad('Flujo de Fondos'!$N$34,$A113,N113,'Flujo de Fondos'!$N$36,'Flujo de Fondos'!$N$35)</f>
        <v/>
      </c>
      <c r="P113" s="57">
        <f>C113-G113</f>
        <v/>
      </c>
      <c r="Q113" s="57">
        <f>E113-C113</f>
        <v/>
      </c>
      <c r="R113" s="57">
        <f>C113-M113</f>
        <v/>
      </c>
      <c r="S113" s="55">
        <f>C113-O113</f>
        <v/>
      </c>
      <c r="T113" s="57">
        <f>E113-O113</f>
        <v/>
      </c>
      <c r="U113" s="57">
        <f>G113-O113</f>
        <v/>
      </c>
      <c r="V113" s="57">
        <f>G113-K113</f>
        <v/>
      </c>
      <c r="W113" s="57">
        <f>C113-K113</f>
        <v/>
      </c>
      <c r="X113" s="67">
        <f>I113-G113</f>
        <v/>
      </c>
      <c r="Y113" s="75">
        <f>G113-M113</f>
        <v/>
      </c>
    </row>
    <row r="114">
      <c r="A114" s="52" t="n">
        <v>44379</v>
      </c>
      <c r="B114" s="53" t="n">
        <v>36.5</v>
      </c>
      <c r="C114" s="54">
        <f>myParidad('Flujo de Fondos'!$B$5,A114,B114,'Flujo de Fondos'!$B$7,'Flujo de Fondos'!$B$6)</f>
        <v/>
      </c>
      <c r="D114" s="53" t="n">
        <v>39.7</v>
      </c>
      <c r="E114" s="55">
        <f>myParidad('Flujo de Fondos'!$H$5,$A114,D114,'Flujo de Fondos'!$H$7,'Flujo de Fondos'!$H$6)</f>
        <v/>
      </c>
      <c r="F114" s="53" t="n">
        <v>34.06</v>
      </c>
      <c r="G114" s="54">
        <f>myParidad('Flujo de Fondos'!$N$5,$A114,F114,'Flujo de Fondos'!$N$7,'Flujo de Fondos'!$N$6)</f>
        <v/>
      </c>
      <c r="H114" s="56" t="n">
        <v>37.22</v>
      </c>
      <c r="I114" s="54">
        <f>myParidad('Flujo de Fondos'!$T$5,$A114,H114,'Flujo de Fondos'!$T$7,'Flujo de Fondos'!$T$6)</f>
        <v/>
      </c>
      <c r="J114" s="56" t="n">
        <v>31.75</v>
      </c>
      <c r="K114" s="54">
        <f>myParidad('Flujo de Fondos'!$B$34,$A114,J114,'Flujo de Fondos'!$B$36,'Flujo de Fondos'!$B$35)</f>
        <v/>
      </c>
      <c r="L114" s="53" t="n">
        <v>35.73</v>
      </c>
      <c r="M114" s="54">
        <f>myParidad('Flujo de Fondos'!$H$34,'Paridad usd'!$A114,'Paridad usd'!L114,'Flujo de Fondos'!$H$36,'Flujo de Fondos'!$H$35)</f>
        <v/>
      </c>
      <c r="N114" s="56" t="n">
        <v>34.75</v>
      </c>
      <c r="O114" s="54">
        <f>myParidad('Flujo de Fondos'!$N$34,$A114,N114,'Flujo de Fondos'!$N$36,'Flujo de Fondos'!$N$35)</f>
        <v/>
      </c>
      <c r="P114" s="57">
        <f>C114-G114</f>
        <v/>
      </c>
      <c r="Q114" s="57">
        <f>E114-C114</f>
        <v/>
      </c>
      <c r="R114" s="57">
        <f>C114-M114</f>
        <v/>
      </c>
      <c r="S114" s="55">
        <f>C114-O114</f>
        <v/>
      </c>
      <c r="T114" s="57">
        <f>E114-O114</f>
        <v/>
      </c>
      <c r="U114" s="57">
        <f>G114-O114</f>
        <v/>
      </c>
      <c r="V114" s="57">
        <f>G114-K114</f>
        <v/>
      </c>
      <c r="W114" s="57">
        <f>C114-K114</f>
        <v/>
      </c>
      <c r="X114" s="67">
        <f>I114-G114</f>
        <v/>
      </c>
      <c r="Y114" s="75">
        <f>G114-M114</f>
        <v/>
      </c>
    </row>
    <row r="115">
      <c r="A115" s="52" t="n">
        <v>44378</v>
      </c>
      <c r="B115" s="53" t="n">
        <v>36.25</v>
      </c>
      <c r="C115" s="54">
        <f>myParidad('Flujo de Fondos'!$B$5,A115,B115,'Flujo de Fondos'!$B$7,'Flujo de Fondos'!$B$6)</f>
        <v/>
      </c>
      <c r="D115" s="53" t="n">
        <v>40</v>
      </c>
      <c r="E115" s="55">
        <f>myParidad('Flujo de Fondos'!$H$5,$A115,D115,'Flujo de Fondos'!$H$7,'Flujo de Fondos'!$H$6)</f>
        <v/>
      </c>
      <c r="F115" s="53" t="n">
        <v>33.8</v>
      </c>
      <c r="G115" s="54">
        <f>myParidad('Flujo de Fondos'!$N$5,$A115,F115,'Flujo de Fondos'!$N$7,'Flujo de Fondos'!$N$6)</f>
        <v/>
      </c>
      <c r="H115" s="56" t="n">
        <v>37.54</v>
      </c>
      <c r="I115" s="54">
        <f>myParidad('Flujo de Fondos'!$T$5,$A115,H115,'Flujo de Fondos'!$T$7,'Flujo de Fondos'!$T$6)</f>
        <v/>
      </c>
      <c r="J115" s="56" t="n">
        <v>31.35</v>
      </c>
      <c r="K115" s="54">
        <f>myParidad('Flujo de Fondos'!$B$34,$A115,J115,'Flujo de Fondos'!$B$36,'Flujo de Fondos'!$B$35)</f>
        <v/>
      </c>
      <c r="L115" s="53" t="n">
        <v>35.25</v>
      </c>
      <c r="M115" s="54">
        <f>myParidad('Flujo de Fondos'!$H$34,'Paridad usd'!$A115,'Paridad usd'!L115,'Flujo de Fondos'!$H$36,'Flujo de Fondos'!$H$35)</f>
        <v/>
      </c>
      <c r="N115" s="56" t="n">
        <v>34.35</v>
      </c>
      <c r="O115" s="54">
        <f>myParidad('Flujo de Fondos'!$N$34,$A115,N115,'Flujo de Fondos'!$N$36,'Flujo de Fondos'!$N$35)</f>
        <v/>
      </c>
      <c r="P115" s="57">
        <f>C115-G115</f>
        <v/>
      </c>
      <c r="Q115" s="57">
        <f>E115-C115</f>
        <v/>
      </c>
      <c r="R115" s="57">
        <f>C115-M115</f>
        <v/>
      </c>
      <c r="S115" s="55">
        <f>C115-O115</f>
        <v/>
      </c>
      <c r="T115" s="57">
        <f>E115-O115</f>
        <v/>
      </c>
      <c r="U115" s="57">
        <f>G115-O115</f>
        <v/>
      </c>
      <c r="V115" s="57">
        <f>G115-K115</f>
        <v/>
      </c>
      <c r="W115" s="57">
        <f>C115-K115</f>
        <v/>
      </c>
      <c r="X115" s="67">
        <f>I115-G115</f>
        <v/>
      </c>
      <c r="Y115" s="75">
        <f>G115-M115</f>
        <v/>
      </c>
    </row>
    <row r="116">
      <c r="A116" s="52" t="n">
        <v>44377</v>
      </c>
      <c r="B116" s="53" t="n">
        <v>36.36</v>
      </c>
      <c r="C116" s="54">
        <f>myParidad('Flujo de Fondos'!$B$5,A116,B116,'Flujo de Fondos'!$B$7,'Flujo de Fondos'!$B$6)</f>
        <v/>
      </c>
      <c r="D116" s="53" t="n">
        <v>39.55</v>
      </c>
      <c r="E116" s="55">
        <f>myParidad('Flujo de Fondos'!$H$5,$A116,D116,'Flujo de Fondos'!$H$7,'Flujo de Fondos'!$H$6)</f>
        <v/>
      </c>
      <c r="F116" s="53" t="n">
        <v>33.93</v>
      </c>
      <c r="G116" s="54">
        <f>myParidad('Flujo de Fondos'!$N$5,$A116,F116,'Flujo de Fondos'!$N$7,'Flujo de Fondos'!$N$6)</f>
        <v/>
      </c>
      <c r="H116" s="56" t="n">
        <v>37.59</v>
      </c>
      <c r="I116" s="54">
        <f>myParidad('Flujo de Fondos'!$T$5,$A116,H116,'Flujo de Fondos'!$T$7,'Flujo de Fondos'!$T$6)</f>
        <v/>
      </c>
      <c r="J116" s="56" t="n">
        <v>31.3</v>
      </c>
      <c r="K116" s="54">
        <f>myParidad('Flujo de Fondos'!$B$34,$A116,J116,'Flujo de Fondos'!$B$36,'Flujo de Fondos'!$B$35)</f>
        <v/>
      </c>
      <c r="L116" s="53" t="n">
        <v>35.01</v>
      </c>
      <c r="M116" s="54">
        <f>myParidad('Flujo de Fondos'!$H$34,'Paridad usd'!$A116,'Paridad usd'!L116,'Flujo de Fondos'!$H$36,'Flujo de Fondos'!$H$35)</f>
        <v/>
      </c>
      <c r="N116" s="56" t="n">
        <v>33.9</v>
      </c>
      <c r="O116" s="54">
        <f>myParidad('Flujo de Fondos'!$N$34,$A116,N116,'Flujo de Fondos'!$N$36,'Flujo de Fondos'!$N$35)</f>
        <v/>
      </c>
      <c r="P116" s="57">
        <f>C116-G116</f>
        <v/>
      </c>
      <c r="Q116" s="57">
        <f>E116-C116</f>
        <v/>
      </c>
      <c r="R116" s="57">
        <f>C116-M116</f>
        <v/>
      </c>
      <c r="S116" s="55">
        <f>C116-O116</f>
        <v/>
      </c>
      <c r="T116" s="57">
        <f>E116-O116</f>
        <v/>
      </c>
      <c r="U116" s="57">
        <f>G116-O116</f>
        <v/>
      </c>
      <c r="V116" s="57">
        <f>G116-K116</f>
        <v/>
      </c>
      <c r="W116" s="57">
        <f>C116-K116</f>
        <v/>
      </c>
      <c r="X116" s="67">
        <f>I116-G116</f>
        <v/>
      </c>
      <c r="Y116" s="75">
        <f>G116-M116</f>
        <v/>
      </c>
    </row>
    <row r="117">
      <c r="A117" s="52" t="n">
        <v>44376</v>
      </c>
      <c r="B117" s="53" t="n">
        <v>36.72</v>
      </c>
      <c r="C117" s="54">
        <f>myParidad('Flujo de Fondos'!$B$5,A117,B117,'Flujo de Fondos'!$B$7,'Flujo de Fondos'!$B$6)</f>
        <v/>
      </c>
      <c r="D117" s="53" t="n">
        <v>39.5</v>
      </c>
      <c r="E117" s="55">
        <f>myParidad('Flujo de Fondos'!$H$5,$A117,D117,'Flujo de Fondos'!$H$7,'Flujo de Fondos'!$H$6)</f>
        <v/>
      </c>
      <c r="F117" s="53" t="n">
        <v>34.15</v>
      </c>
      <c r="G117" s="54">
        <f>myParidad('Flujo de Fondos'!$N$5,$A117,F117,'Flujo de Fondos'!$N$7,'Flujo de Fondos'!$N$6)</f>
        <v/>
      </c>
      <c r="H117" s="56" t="n">
        <v>37.4</v>
      </c>
      <c r="I117" s="54">
        <f>myParidad('Flujo de Fondos'!$T$5,$A117,H117,'Flujo de Fondos'!$T$7,'Flujo de Fondos'!$T$6)</f>
        <v/>
      </c>
      <c r="J117" s="56" t="n">
        <v>31.4</v>
      </c>
      <c r="K117" s="54">
        <f>myParidad('Flujo de Fondos'!$B$34,$A117,J117,'Flujo de Fondos'!$B$36,'Flujo de Fondos'!$B$35)</f>
        <v/>
      </c>
      <c r="L117" s="53" t="n">
        <v>35.35</v>
      </c>
      <c r="M117" s="54">
        <f>myParidad('Flujo de Fondos'!$H$34,'Paridad usd'!$A117,'Paridad usd'!L117,'Flujo de Fondos'!$H$36,'Flujo de Fondos'!$H$35)</f>
        <v/>
      </c>
      <c r="N117" s="56" t="n">
        <v>34.1</v>
      </c>
      <c r="O117" s="54">
        <f>myParidad('Flujo de Fondos'!$N$34,$A117,N117,'Flujo de Fondos'!$N$36,'Flujo de Fondos'!$N$35)</f>
        <v/>
      </c>
      <c r="P117" s="57">
        <f>C117-G117</f>
        <v/>
      </c>
      <c r="Q117" s="57">
        <f>E117-C117</f>
        <v/>
      </c>
      <c r="R117" s="57">
        <f>C117-M117</f>
        <v/>
      </c>
      <c r="S117" s="55">
        <f>C117-O117</f>
        <v/>
      </c>
      <c r="T117" s="57">
        <f>E117-O117</f>
        <v/>
      </c>
      <c r="U117" s="57">
        <f>G117-O117</f>
        <v/>
      </c>
      <c r="V117" s="57">
        <f>G117-K117</f>
        <v/>
      </c>
      <c r="W117" s="57">
        <f>C117-K117</f>
        <v/>
      </c>
      <c r="X117" s="67">
        <f>I117-G117</f>
        <v/>
      </c>
      <c r="Y117" s="75">
        <f>G117-M117</f>
        <v/>
      </c>
    </row>
    <row r="118">
      <c r="A118" s="52" t="n">
        <v>44375</v>
      </c>
      <c r="B118" s="53" t="n">
        <v>37.24</v>
      </c>
      <c r="C118" s="54">
        <f>myParidad('Flujo de Fondos'!$B$5,A118,B118,'Flujo de Fondos'!$B$7,'Flujo de Fondos'!$B$6)</f>
        <v/>
      </c>
      <c r="D118" s="53" t="n">
        <v>40.5</v>
      </c>
      <c r="E118" s="55">
        <f>myParidad('Flujo de Fondos'!$H$5,$A118,D118,'Flujo de Fondos'!$H$7,'Flujo de Fondos'!$H$6)</f>
        <v/>
      </c>
      <c r="F118" s="53" t="n">
        <v>34.85</v>
      </c>
      <c r="G118" s="54">
        <f>myParidad('Flujo de Fondos'!$N$5,$A118,F118,'Flujo de Fondos'!$N$7,'Flujo de Fondos'!$N$6)</f>
        <v/>
      </c>
      <c r="H118" s="56" t="n">
        <v>37.53</v>
      </c>
      <c r="I118" s="54">
        <f>myParidad('Flujo de Fondos'!$T$5,$A118,H118,'Flujo de Fondos'!$T$7,'Flujo de Fondos'!$T$6)</f>
        <v/>
      </c>
      <c r="J118" s="56" t="n">
        <v>32</v>
      </c>
      <c r="K118" s="54">
        <f>myParidad('Flujo de Fondos'!$B$34,$A118,J118,'Flujo de Fondos'!$B$36,'Flujo de Fondos'!$B$35)</f>
        <v/>
      </c>
      <c r="L118" s="53" t="n">
        <v>36</v>
      </c>
      <c r="M118" s="54">
        <f>myParidad('Flujo de Fondos'!$H$34,'Paridad usd'!$A118,'Paridad usd'!L118,'Flujo de Fondos'!$H$36,'Flujo de Fondos'!$H$35)</f>
        <v/>
      </c>
      <c r="N118" s="56" t="n">
        <v>34.5</v>
      </c>
      <c r="O118" s="54">
        <f>myParidad('Flujo de Fondos'!$N$34,$A118,N118,'Flujo de Fondos'!$N$36,'Flujo de Fondos'!$N$35)</f>
        <v/>
      </c>
      <c r="P118" s="57">
        <f>C118-G118</f>
        <v/>
      </c>
      <c r="Q118" s="57">
        <f>E118-C118</f>
        <v/>
      </c>
      <c r="R118" s="57">
        <f>C118-M118</f>
        <v/>
      </c>
      <c r="S118" s="55">
        <f>C118-O118</f>
        <v/>
      </c>
      <c r="T118" s="57">
        <f>E118-O118</f>
        <v/>
      </c>
      <c r="U118" s="57">
        <f>G118-O118</f>
        <v/>
      </c>
      <c r="V118" s="57">
        <f>G118-K118</f>
        <v/>
      </c>
      <c r="W118" s="57">
        <f>C118-K118</f>
        <v/>
      </c>
      <c r="X118" s="67">
        <f>I118-G118</f>
        <v/>
      </c>
      <c r="Y118" s="75">
        <f>G118-M118</f>
        <v/>
      </c>
    </row>
    <row r="119">
      <c r="A119" s="52" t="n">
        <v>44372</v>
      </c>
      <c r="B119" s="53" t="n">
        <v>37.45</v>
      </c>
      <c r="C119" s="54">
        <f>myParidad('Flujo de Fondos'!$B$5,A119,B119,'Flujo de Fondos'!$B$7,'Flujo de Fondos'!$B$6)</f>
        <v/>
      </c>
      <c r="D119" s="53" t="n">
        <v>40</v>
      </c>
      <c r="E119" s="55">
        <f>myParidad('Flujo de Fondos'!$H$5,$A119,D119,'Flujo de Fondos'!$H$7,'Flujo de Fondos'!$H$6)</f>
        <v/>
      </c>
      <c r="F119" s="53" t="n">
        <v>34.99</v>
      </c>
      <c r="G119" s="54">
        <f>myParidad('Flujo de Fondos'!$N$5,$A119,F119,'Flujo de Fondos'!$N$7,'Flujo de Fondos'!$N$6)</f>
        <v/>
      </c>
      <c r="H119" s="56" t="n">
        <v>37.51</v>
      </c>
      <c r="I119" s="54">
        <f>myParidad('Flujo de Fondos'!$T$5,$A119,H119,'Flujo de Fondos'!$T$7,'Flujo de Fondos'!$T$6)</f>
        <v/>
      </c>
      <c r="J119" s="56" t="n">
        <v>32.06</v>
      </c>
      <c r="K119" s="54">
        <f>myParidad('Flujo de Fondos'!$B$34,$A119,J119,'Flujo de Fondos'!$B$36,'Flujo de Fondos'!$B$35)</f>
        <v/>
      </c>
      <c r="L119" s="53" t="n">
        <v>36.2</v>
      </c>
      <c r="M119" s="54">
        <f>myParidad('Flujo de Fondos'!$H$34,'Paridad usd'!$A119,'Paridad usd'!L119,'Flujo de Fondos'!$H$36,'Flujo de Fondos'!$H$35)</f>
        <v/>
      </c>
      <c r="N119" s="56" t="n">
        <v>34.75</v>
      </c>
      <c r="O119" s="54">
        <f>myParidad('Flujo de Fondos'!$N$34,$A119,N119,'Flujo de Fondos'!$N$36,'Flujo de Fondos'!$N$35)</f>
        <v/>
      </c>
      <c r="P119" s="57">
        <f>C119-G119</f>
        <v/>
      </c>
      <c r="Q119" s="57">
        <f>E119-C119</f>
        <v/>
      </c>
      <c r="R119" s="57">
        <f>C119-M119</f>
        <v/>
      </c>
      <c r="S119" s="55">
        <f>C119-O119</f>
        <v/>
      </c>
      <c r="T119" s="57">
        <f>E119-O119</f>
        <v/>
      </c>
      <c r="U119" s="57">
        <f>G119-O119</f>
        <v/>
      </c>
      <c r="V119" s="57">
        <f>G119-K119</f>
        <v/>
      </c>
      <c r="W119" s="57">
        <f>C119-K119</f>
        <v/>
      </c>
      <c r="X119" s="67">
        <f>I119-G119</f>
        <v/>
      </c>
      <c r="Y119" s="75">
        <f>G119-M119</f>
        <v/>
      </c>
    </row>
    <row r="120">
      <c r="A120" s="52" t="n">
        <v>44371</v>
      </c>
      <c r="B120" s="53" t="n">
        <v>38.16</v>
      </c>
      <c r="C120" s="54">
        <f>myParidad('Flujo de Fondos'!$B$5,A120,B120,'Flujo de Fondos'!$B$7,'Flujo de Fondos'!$B$6)</f>
        <v/>
      </c>
      <c r="D120" s="53" t="n">
        <v>40.7</v>
      </c>
      <c r="E120" s="55">
        <f>myParidad('Flujo de Fondos'!$H$5,$A120,D120,'Flujo de Fondos'!$H$7,'Flujo de Fondos'!$H$6)</f>
        <v/>
      </c>
      <c r="F120" s="53" t="n">
        <v>36</v>
      </c>
      <c r="G120" s="54">
        <f>myParidad('Flujo de Fondos'!$N$5,$A120,F120,'Flujo de Fondos'!$N$7,'Flujo de Fondos'!$N$6)</f>
        <v/>
      </c>
      <c r="H120" s="56" t="n">
        <v>38.45</v>
      </c>
      <c r="I120" s="54">
        <f>myParidad('Flujo de Fondos'!$T$5,$A120,H120,'Flujo de Fondos'!$T$7,'Flujo de Fondos'!$T$6)</f>
        <v/>
      </c>
      <c r="J120" s="56" t="n">
        <v>32.95</v>
      </c>
      <c r="K120" s="54">
        <f>myParidad('Flujo de Fondos'!$B$34,$A120,J120,'Flujo de Fondos'!$B$36,'Flujo de Fondos'!$B$35)</f>
        <v/>
      </c>
      <c r="L120" s="53" t="n">
        <v>37.11</v>
      </c>
      <c r="M120" s="54">
        <f>myParidad('Flujo de Fondos'!$H$34,'Paridad usd'!$A120,'Paridad usd'!L120,'Flujo de Fondos'!$H$36,'Flujo de Fondos'!$H$35)</f>
        <v/>
      </c>
      <c r="N120" s="56" t="n">
        <v>35.75</v>
      </c>
      <c r="O120" s="54">
        <f>myParidad('Flujo de Fondos'!$N$34,$A120,N120,'Flujo de Fondos'!$N$36,'Flujo de Fondos'!$N$35)</f>
        <v/>
      </c>
      <c r="P120" s="57">
        <f>C120-G120</f>
        <v/>
      </c>
      <c r="Q120" s="57">
        <f>E120-C120</f>
        <v/>
      </c>
      <c r="R120" s="57">
        <f>C120-M120</f>
        <v/>
      </c>
      <c r="S120" s="55">
        <f>C120-O120</f>
        <v/>
      </c>
      <c r="T120" s="57">
        <f>E120-O120</f>
        <v/>
      </c>
      <c r="U120" s="57">
        <f>G120-O120</f>
        <v/>
      </c>
      <c r="V120" s="57">
        <f>G120-K120</f>
        <v/>
      </c>
      <c r="W120" s="57">
        <f>C120-K120</f>
        <v/>
      </c>
      <c r="X120" s="67">
        <f>I120-G120</f>
        <v/>
      </c>
      <c r="Y120" s="75">
        <f>G120-M120</f>
        <v/>
      </c>
    </row>
    <row r="121">
      <c r="A121" s="52" t="n">
        <v>44370</v>
      </c>
      <c r="B121" s="53" t="n">
        <v>38.55</v>
      </c>
      <c r="C121" s="54">
        <f>myParidad('Flujo de Fondos'!$B$5,A121,B121,'Flujo de Fondos'!$B$7,'Flujo de Fondos'!$B$6)</f>
        <v/>
      </c>
      <c r="D121" s="53" t="n">
        <v>41.6</v>
      </c>
      <c r="E121" s="55">
        <f>myParidad('Flujo de Fondos'!$H$5,$A121,D121,'Flujo de Fondos'!$H$7,'Flujo de Fondos'!$H$6)</f>
        <v/>
      </c>
      <c r="F121" s="53" t="n">
        <v>36.54</v>
      </c>
      <c r="G121" s="54">
        <f>myParidad('Flujo de Fondos'!$N$5,$A121,F121,'Flujo de Fondos'!$N$7,'Flujo de Fondos'!$N$6)</f>
        <v/>
      </c>
      <c r="H121" s="56" t="n">
        <v>38.92</v>
      </c>
      <c r="I121" s="54">
        <f>myParidad('Flujo de Fondos'!$T$5,$A121,H121,'Flujo de Fondos'!$T$7,'Flujo de Fondos'!$T$6)</f>
        <v/>
      </c>
      <c r="J121" s="56" t="n">
        <v>33.3</v>
      </c>
      <c r="K121" s="54">
        <f>myParidad('Flujo de Fondos'!$B$34,$A121,J121,'Flujo de Fondos'!$B$36,'Flujo de Fondos'!$B$35)</f>
        <v/>
      </c>
      <c r="L121" s="53" t="n">
        <v>37.35</v>
      </c>
      <c r="M121" s="54">
        <f>myParidad('Flujo de Fondos'!$H$34,'Paridad usd'!$A121,'Paridad usd'!L121,'Flujo de Fondos'!$H$36,'Flujo de Fondos'!$H$35)</f>
        <v/>
      </c>
      <c r="N121" s="56" t="n">
        <v>36</v>
      </c>
      <c r="O121" s="54">
        <f>myParidad('Flujo de Fondos'!$N$34,$A121,N121,'Flujo de Fondos'!$N$36,'Flujo de Fondos'!$N$35)</f>
        <v/>
      </c>
      <c r="P121" s="57">
        <f>C121-G121</f>
        <v/>
      </c>
      <c r="Q121" s="57">
        <f>E121-C121</f>
        <v/>
      </c>
      <c r="R121" s="57">
        <f>C121-M121</f>
        <v/>
      </c>
      <c r="S121" s="55">
        <f>C121-O121</f>
        <v/>
      </c>
      <c r="T121" s="57">
        <f>E121-O121</f>
        <v/>
      </c>
      <c r="U121" s="57">
        <f>G121-O121</f>
        <v/>
      </c>
      <c r="V121" s="57">
        <f>G121-K121</f>
        <v/>
      </c>
      <c r="W121" s="57">
        <f>C121-K121</f>
        <v/>
      </c>
      <c r="X121" s="67">
        <f>I121-G121</f>
        <v/>
      </c>
      <c r="Y121" s="75">
        <f>G121-M121</f>
        <v/>
      </c>
    </row>
    <row r="122">
      <c r="A122" s="52" t="n">
        <v>44369</v>
      </c>
      <c r="B122" s="53" t="n">
        <v>38.6</v>
      </c>
      <c r="C122" s="54">
        <f>myParidad('Flujo de Fondos'!$B$5,A122,B122,'Flujo de Fondos'!$B$7,'Flujo de Fondos'!$B$6)</f>
        <v/>
      </c>
      <c r="D122" s="53" t="n">
        <v>42.15</v>
      </c>
      <c r="E122" s="55">
        <f>myParidad('Flujo de Fondos'!$H$5,$A122,D122,'Flujo de Fondos'!$H$7,'Flujo de Fondos'!$H$6)</f>
        <v/>
      </c>
      <c r="F122" s="53" t="n">
        <v>36.65</v>
      </c>
      <c r="G122" s="54">
        <f>myParidad('Flujo de Fondos'!$N$5,$A122,F122,'Flujo de Fondos'!$N$7,'Flujo de Fondos'!$N$6)</f>
        <v/>
      </c>
      <c r="H122" s="56" t="n">
        <v>38.75</v>
      </c>
      <c r="I122" s="54">
        <f>myParidad('Flujo de Fondos'!$T$5,$A122,H122,'Flujo de Fondos'!$T$7,'Flujo de Fondos'!$T$6)</f>
        <v/>
      </c>
      <c r="J122" s="56" t="n">
        <v>33.35</v>
      </c>
      <c r="K122" s="54">
        <f>myParidad('Flujo de Fondos'!$B$34,$A122,J122,'Flujo de Fondos'!$B$36,'Flujo de Fondos'!$B$35)</f>
        <v/>
      </c>
      <c r="L122" s="53" t="n">
        <v>37.32</v>
      </c>
      <c r="M122" s="54">
        <f>myParidad('Flujo de Fondos'!$H$34,'Paridad usd'!$A122,'Paridad usd'!L122,'Flujo de Fondos'!$H$36,'Flujo de Fondos'!$H$35)</f>
        <v/>
      </c>
      <c r="N122" s="56" t="n">
        <v>36.2</v>
      </c>
      <c r="O122" s="54">
        <f>myParidad('Flujo de Fondos'!$N$34,$A122,N122,'Flujo de Fondos'!$N$36,'Flujo de Fondos'!$N$35)</f>
        <v/>
      </c>
      <c r="P122" s="57">
        <f>C122-G122</f>
        <v/>
      </c>
      <c r="Q122" s="57">
        <f>E122-C122</f>
        <v/>
      </c>
      <c r="R122" s="57">
        <f>C122-M122</f>
        <v/>
      </c>
      <c r="S122" s="55">
        <f>C122-O122</f>
        <v/>
      </c>
      <c r="T122" s="57">
        <f>E122-O122</f>
        <v/>
      </c>
      <c r="U122" s="57">
        <f>G122-O122</f>
        <v/>
      </c>
      <c r="V122" s="57">
        <f>G122-K122</f>
        <v/>
      </c>
      <c r="W122" s="57">
        <f>C122-K122</f>
        <v/>
      </c>
      <c r="X122" s="67">
        <f>I122-G122</f>
        <v/>
      </c>
      <c r="Y122" s="75">
        <f>G122-M122</f>
        <v/>
      </c>
    </row>
    <row r="123">
      <c r="A123" s="52" t="n">
        <v>44365</v>
      </c>
      <c r="B123" s="53" t="n">
        <v>39.21</v>
      </c>
      <c r="C123" s="54">
        <f>myParidad('Flujo de Fondos'!$B$5,A123,B123,'Flujo de Fondos'!$B$7,'Flujo de Fondos'!$B$6)</f>
        <v/>
      </c>
      <c r="D123" s="53" t="n">
        <v>43.2</v>
      </c>
      <c r="E123" s="55">
        <f>myParidad('Flujo de Fondos'!$H$5,$A123,D123,'Flujo de Fondos'!$H$7,'Flujo de Fondos'!$H$6)</f>
        <v/>
      </c>
      <c r="F123" s="53" t="n">
        <v>37.3</v>
      </c>
      <c r="G123" s="54">
        <f>myParidad('Flujo de Fondos'!$N$5,$A123,F123,'Flujo de Fondos'!$N$7,'Flujo de Fondos'!$N$6)</f>
        <v/>
      </c>
      <c r="H123" s="56" t="n">
        <v>39.71</v>
      </c>
      <c r="I123" s="54">
        <f>myParidad('Flujo de Fondos'!$T$5,$A123,H123,'Flujo de Fondos'!$T$7,'Flujo de Fondos'!$T$6)</f>
        <v/>
      </c>
      <c r="J123" s="56" t="n">
        <v>33.81</v>
      </c>
      <c r="K123" s="54">
        <f>myParidad('Flujo de Fondos'!$B$34,$A123,J123,'Flujo de Fondos'!$B$36,'Flujo de Fondos'!$B$35)</f>
        <v/>
      </c>
      <c r="L123" s="53" t="n">
        <v>37.9</v>
      </c>
      <c r="M123" s="54">
        <f>myParidad('Flujo de Fondos'!$H$34,'Paridad usd'!$A123,'Paridad usd'!L123,'Flujo de Fondos'!$H$36,'Flujo de Fondos'!$H$35)</f>
        <v/>
      </c>
      <c r="N123" s="56" t="n">
        <v>36.9</v>
      </c>
      <c r="O123" s="54">
        <f>myParidad('Flujo de Fondos'!$N$34,$A123,N123,'Flujo de Fondos'!$N$36,'Flujo de Fondos'!$N$35)</f>
        <v/>
      </c>
      <c r="P123" s="57">
        <f>C123-G123</f>
        <v/>
      </c>
      <c r="Q123" s="57">
        <f>E123-C123</f>
        <v/>
      </c>
      <c r="R123" s="57">
        <f>C123-M123</f>
        <v/>
      </c>
      <c r="S123" s="55">
        <f>C123-O123</f>
        <v/>
      </c>
      <c r="T123" s="57">
        <f>E123-O123</f>
        <v/>
      </c>
      <c r="U123" s="57">
        <f>G123-O123</f>
        <v/>
      </c>
      <c r="V123" s="57">
        <f>G123-K123</f>
        <v/>
      </c>
      <c r="W123" s="57">
        <f>C123-K123</f>
        <v/>
      </c>
      <c r="X123" s="67">
        <f>I123-G123</f>
        <v/>
      </c>
      <c r="Y123" s="75">
        <f>G123-M123</f>
        <v/>
      </c>
    </row>
    <row r="124">
      <c r="A124" s="52" t="n">
        <v>44364</v>
      </c>
      <c r="B124" s="53" t="n">
        <v>39.32</v>
      </c>
      <c r="C124" s="54">
        <f>myParidad('Flujo de Fondos'!$B$5,A124,B124,'Flujo de Fondos'!$B$7,'Flujo de Fondos'!$B$6)</f>
        <v/>
      </c>
      <c r="D124" s="53" t="n">
        <v>43.1</v>
      </c>
      <c r="E124" s="55">
        <f>myParidad('Flujo de Fondos'!$H$5,$A124,D124,'Flujo de Fondos'!$H$7,'Flujo de Fondos'!$H$6)</f>
        <v/>
      </c>
      <c r="F124" s="53" t="n">
        <v>37.53</v>
      </c>
      <c r="G124" s="54">
        <f>myParidad('Flujo de Fondos'!$N$5,$A124,F124,'Flujo de Fondos'!$N$7,'Flujo de Fondos'!$N$6)</f>
        <v/>
      </c>
      <c r="H124" s="56" t="n">
        <v>39.68</v>
      </c>
      <c r="I124" s="54">
        <f>myParidad('Flujo de Fondos'!$T$5,$A124,H124,'Flujo de Fondos'!$T$7,'Flujo de Fondos'!$T$6)</f>
        <v/>
      </c>
      <c r="J124" s="56" t="n">
        <v>34.14</v>
      </c>
      <c r="K124" s="54">
        <f>myParidad('Flujo de Fondos'!$B$34,$A124,J124,'Flujo de Fondos'!$B$36,'Flujo de Fondos'!$B$35)</f>
        <v/>
      </c>
      <c r="L124" s="53" t="n">
        <v>37.98</v>
      </c>
      <c r="M124" s="54">
        <f>myParidad('Flujo de Fondos'!$H$34,'Paridad usd'!$A124,'Paridad usd'!L124,'Flujo de Fondos'!$H$36,'Flujo de Fondos'!$H$35)</f>
        <v/>
      </c>
      <c r="N124" s="56" t="n">
        <v>37</v>
      </c>
      <c r="O124" s="54">
        <f>myParidad('Flujo de Fondos'!$N$34,$A124,N124,'Flujo de Fondos'!$N$36,'Flujo de Fondos'!$N$35)</f>
        <v/>
      </c>
      <c r="P124" s="57">
        <f>C124-G124</f>
        <v/>
      </c>
      <c r="Q124" s="57">
        <f>E124-C124</f>
        <v/>
      </c>
      <c r="R124" s="57">
        <f>C124-M124</f>
        <v/>
      </c>
      <c r="S124" s="55">
        <f>C124-O124</f>
        <v/>
      </c>
      <c r="T124" s="57">
        <f>E124-O124</f>
        <v/>
      </c>
      <c r="U124" s="57">
        <f>G124-O124</f>
        <v/>
      </c>
      <c r="V124" s="57">
        <f>G124-K124</f>
        <v/>
      </c>
      <c r="W124" s="57">
        <f>C124-K124</f>
        <v/>
      </c>
      <c r="X124" s="67">
        <f>I124-G124</f>
        <v/>
      </c>
      <c r="Y124" s="75">
        <f>G124-M124</f>
        <v/>
      </c>
    </row>
    <row r="125">
      <c r="A125" s="52" t="n">
        <v>44363</v>
      </c>
      <c r="B125" s="53" t="n">
        <v>39.49</v>
      </c>
      <c r="C125" s="54">
        <f>myParidad('Flujo de Fondos'!$B$5,A125,B125,'Flujo de Fondos'!$B$7,'Flujo de Fondos'!$B$6)</f>
        <v/>
      </c>
      <c r="D125" s="53" t="n">
        <v>43.5</v>
      </c>
      <c r="E125" s="55">
        <f>myParidad('Flujo de Fondos'!$H$5,$A125,D125,'Flujo de Fondos'!$H$7,'Flujo de Fondos'!$H$6)</f>
        <v/>
      </c>
      <c r="F125" s="53" t="n">
        <v>37.96</v>
      </c>
      <c r="G125" s="54">
        <f>myParidad('Flujo de Fondos'!$N$5,$A125,F125,'Flujo de Fondos'!$N$7,'Flujo de Fondos'!$N$6)</f>
        <v/>
      </c>
      <c r="H125" s="56" t="n">
        <v>40.08</v>
      </c>
      <c r="I125" s="54">
        <f>myParidad('Flujo de Fondos'!$T$5,$A125,H125,'Flujo de Fondos'!$T$7,'Flujo de Fondos'!$T$6)</f>
        <v/>
      </c>
      <c r="J125" s="56" t="n">
        <v>34.44</v>
      </c>
      <c r="K125" s="54">
        <f>myParidad('Flujo de Fondos'!$B$34,$A125,J125,'Flujo de Fondos'!$B$36,'Flujo de Fondos'!$B$35)</f>
        <v/>
      </c>
      <c r="L125" s="53" t="n">
        <v>38.54</v>
      </c>
      <c r="M125" s="54">
        <f>myParidad('Flujo de Fondos'!$H$34,'Paridad usd'!$A125,'Paridad usd'!L125,'Flujo de Fondos'!$H$36,'Flujo de Fondos'!$H$35)</f>
        <v/>
      </c>
      <c r="N125" s="56" t="n">
        <v>37.2</v>
      </c>
      <c r="O125" s="54">
        <f>myParidad('Flujo de Fondos'!$N$34,$A125,N125,'Flujo de Fondos'!$N$36,'Flujo de Fondos'!$N$35)</f>
        <v/>
      </c>
      <c r="P125" s="57">
        <f>C125-G125</f>
        <v/>
      </c>
      <c r="Q125" s="57">
        <f>E125-C125</f>
        <v/>
      </c>
      <c r="R125" s="57">
        <f>C125-M125</f>
        <v/>
      </c>
      <c r="S125" s="55">
        <f>C125-O125</f>
        <v/>
      </c>
      <c r="T125" s="57">
        <f>E125-O125</f>
        <v/>
      </c>
      <c r="U125" s="57">
        <f>G125-O125</f>
        <v/>
      </c>
      <c r="V125" s="57">
        <f>G125-K125</f>
        <v/>
      </c>
      <c r="W125" s="57">
        <f>C125-K125</f>
        <v/>
      </c>
      <c r="X125" s="67">
        <f>I125-G125</f>
        <v/>
      </c>
      <c r="Y125" s="75">
        <f>G125-M125</f>
        <v/>
      </c>
    </row>
    <row r="126">
      <c r="A126" s="52" t="n">
        <v>44362</v>
      </c>
      <c r="B126" s="53" t="n">
        <v>39.7</v>
      </c>
      <c r="C126" s="54">
        <f>myParidad('Flujo de Fondos'!$B$5,A126,B126,'Flujo de Fondos'!$B$7,'Flujo de Fondos'!$B$6)</f>
        <v/>
      </c>
      <c r="D126" s="53" t="n">
        <v>44</v>
      </c>
      <c r="E126" s="55">
        <f>myParidad('Flujo de Fondos'!$H$5,$A126,D126,'Flujo de Fondos'!$H$7,'Flujo de Fondos'!$H$6)</f>
        <v/>
      </c>
      <c r="F126" s="53" t="n">
        <v>38.06</v>
      </c>
      <c r="G126" s="54">
        <f>myParidad('Flujo de Fondos'!$N$5,$A126,F126,'Flujo de Fondos'!$N$7,'Flujo de Fondos'!$N$6)</f>
        <v/>
      </c>
      <c r="H126" s="56" t="n">
        <v>40.33</v>
      </c>
      <c r="I126" s="54">
        <f>myParidad('Flujo de Fondos'!$T$5,$A126,H126,'Flujo de Fondos'!$T$7,'Flujo de Fondos'!$T$6)</f>
        <v/>
      </c>
      <c r="J126" s="56" t="n">
        <v>34.73</v>
      </c>
      <c r="K126" s="54">
        <f>myParidad('Flujo de Fondos'!$B$34,$A126,J126,'Flujo de Fondos'!$B$36,'Flujo de Fondos'!$B$35)</f>
        <v/>
      </c>
      <c r="L126" s="53" t="n">
        <v>38.25</v>
      </c>
      <c r="M126" s="54">
        <f>myParidad('Flujo de Fondos'!$H$34,'Paridad usd'!$A126,'Paridad usd'!L126,'Flujo de Fondos'!$H$36,'Flujo de Fondos'!$H$35)</f>
        <v/>
      </c>
      <c r="N126" s="56" t="n">
        <v>38.28</v>
      </c>
      <c r="O126" s="54">
        <f>myParidad('Flujo de Fondos'!$N$34,$A126,N126,'Flujo de Fondos'!$N$36,'Flujo de Fondos'!$N$35)</f>
        <v/>
      </c>
      <c r="P126" s="57">
        <f>C126-G126</f>
        <v/>
      </c>
      <c r="Q126" s="57">
        <f>E126-C126</f>
        <v/>
      </c>
      <c r="R126" s="57">
        <f>C126-M126</f>
        <v/>
      </c>
      <c r="S126" s="55">
        <f>C126-O126</f>
        <v/>
      </c>
      <c r="T126" s="57">
        <f>E126-O126</f>
        <v/>
      </c>
      <c r="U126" s="57">
        <f>G126-O126</f>
        <v/>
      </c>
      <c r="V126" s="57">
        <f>G126-K126</f>
        <v/>
      </c>
      <c r="W126" s="57">
        <f>C126-K126</f>
        <v/>
      </c>
      <c r="X126" s="67">
        <f>I126-G126</f>
        <v/>
      </c>
      <c r="Y126" s="75">
        <f>G126-M126</f>
        <v/>
      </c>
    </row>
    <row r="127">
      <c r="A127" s="52" t="n">
        <v>44361</v>
      </c>
      <c r="B127" s="53" t="n">
        <v>39.85</v>
      </c>
      <c r="C127" s="54">
        <f>myParidad('Flujo de Fondos'!$B$5,A127,B127,'Flujo de Fondos'!$B$7,'Flujo de Fondos'!$B$6)</f>
        <v/>
      </c>
      <c r="D127" s="53" t="n">
        <v>45.25</v>
      </c>
      <c r="E127" s="55">
        <f>myParidad('Flujo de Fondos'!$H$5,$A127,D127,'Flujo de Fondos'!$H$7,'Flujo de Fondos'!$H$6)</f>
        <v/>
      </c>
      <c r="F127" s="53" t="n">
        <v>38.3</v>
      </c>
      <c r="G127" s="54">
        <f>myParidad('Flujo de Fondos'!$N$5,$A127,F127,'Flujo de Fondos'!$N$7,'Flujo de Fondos'!$N$6)</f>
        <v/>
      </c>
      <c r="H127" s="56" t="n">
        <v>40.62</v>
      </c>
      <c r="I127" s="54">
        <f>myParidad('Flujo de Fondos'!$T$5,$A127,H127,'Flujo de Fondos'!$T$7,'Flujo de Fondos'!$T$6)</f>
        <v/>
      </c>
      <c r="J127" s="56" t="n">
        <v>35.09</v>
      </c>
      <c r="K127" s="54">
        <f>myParidad('Flujo de Fondos'!$B$34,$A127,J127,'Flujo de Fondos'!$B$36,'Flujo de Fondos'!$B$35)</f>
        <v/>
      </c>
      <c r="L127" s="53" t="n">
        <v>38.7</v>
      </c>
      <c r="M127" s="54">
        <f>myParidad('Flujo de Fondos'!$H$34,'Paridad usd'!$A127,'Paridad usd'!L127,'Flujo de Fondos'!$H$36,'Flujo de Fondos'!$H$35)</f>
        <v/>
      </c>
      <c r="N127" s="56" t="n">
        <v>38</v>
      </c>
      <c r="O127" s="54">
        <f>myParidad('Flujo de Fondos'!$N$34,$A127,N127,'Flujo de Fondos'!$N$36,'Flujo de Fondos'!$N$35)</f>
        <v/>
      </c>
      <c r="P127" s="57">
        <f>C127-G127</f>
        <v/>
      </c>
      <c r="Q127" s="57">
        <f>E127-C127</f>
        <v/>
      </c>
      <c r="R127" s="57">
        <f>C127-M127</f>
        <v/>
      </c>
      <c r="S127" s="55">
        <f>C127-O127</f>
        <v/>
      </c>
      <c r="T127" s="57">
        <f>E127-O127</f>
        <v/>
      </c>
      <c r="U127" s="57">
        <f>G127-O127</f>
        <v/>
      </c>
      <c r="V127" s="57">
        <f>G127-K127</f>
        <v/>
      </c>
      <c r="W127" s="57">
        <f>C127-K127</f>
        <v/>
      </c>
      <c r="X127" s="67">
        <f>I127-G127</f>
        <v/>
      </c>
      <c r="Y127" s="75">
        <f>G127-M127</f>
        <v/>
      </c>
    </row>
    <row r="128">
      <c r="A128" s="52" t="n">
        <v>44358</v>
      </c>
      <c r="B128" s="53" t="n">
        <v>39.9</v>
      </c>
      <c r="C128" s="54">
        <f>myParidad('Flujo de Fondos'!$B$5,A128,B128,'Flujo de Fondos'!$B$7,'Flujo de Fondos'!$B$6)</f>
        <v/>
      </c>
      <c r="D128" s="53" t="n">
        <v>44.9</v>
      </c>
      <c r="E128" s="55">
        <f>myParidad('Flujo de Fondos'!$H$5,$A128,D128,'Flujo de Fondos'!$H$7,'Flujo de Fondos'!$H$6)</f>
        <v/>
      </c>
      <c r="F128" s="53" t="n">
        <v>38.3</v>
      </c>
      <c r="G128" s="54">
        <f>myParidad('Flujo de Fondos'!$N$5,$A128,F128,'Flujo de Fondos'!$N$7,'Flujo de Fondos'!$N$6)</f>
        <v/>
      </c>
      <c r="H128" s="56" t="n">
        <v>40.6</v>
      </c>
      <c r="I128" s="54">
        <f>myParidad('Flujo de Fondos'!$T$5,$A128,H128,'Flujo de Fondos'!$T$7,'Flujo de Fondos'!$T$6)</f>
        <v/>
      </c>
      <c r="J128" s="56" t="n">
        <v>35.15</v>
      </c>
      <c r="K128" s="54">
        <f>myParidad('Flujo de Fondos'!$B$34,$A128,J128,'Flujo de Fondos'!$B$36,'Flujo de Fondos'!$B$35)</f>
        <v/>
      </c>
      <c r="L128" s="53" t="n">
        <v>38.66</v>
      </c>
      <c r="M128" s="54">
        <f>myParidad('Flujo de Fondos'!$H$34,'Paridad usd'!$A128,'Paridad usd'!L128,'Flujo de Fondos'!$H$36,'Flujo de Fondos'!$H$35)</f>
        <v/>
      </c>
      <c r="N128" s="56" t="n">
        <v>37.7</v>
      </c>
      <c r="O128" s="54">
        <f>myParidad('Flujo de Fondos'!$N$34,$A128,N128,'Flujo de Fondos'!$N$36,'Flujo de Fondos'!$N$35)</f>
        <v/>
      </c>
      <c r="P128" s="57">
        <f>C128-G128</f>
        <v/>
      </c>
      <c r="Q128" s="57">
        <f>E128-C128</f>
        <v/>
      </c>
      <c r="R128" s="57">
        <f>C128-M128</f>
        <v/>
      </c>
      <c r="S128" s="55">
        <f>C128-O128</f>
        <v/>
      </c>
      <c r="T128" s="57">
        <f>E128-O128</f>
        <v/>
      </c>
      <c r="U128" s="57">
        <f>G128-O128</f>
        <v/>
      </c>
      <c r="V128" s="57">
        <f>G128-K128</f>
        <v/>
      </c>
      <c r="W128" s="57">
        <f>C128-K128</f>
        <v/>
      </c>
      <c r="X128" s="67">
        <f>I128-G128</f>
        <v/>
      </c>
      <c r="Y128" s="75">
        <f>G128-M128</f>
        <v/>
      </c>
    </row>
    <row r="129">
      <c r="A129" s="52" t="n">
        <v>44357</v>
      </c>
      <c r="B129" s="53" t="n">
        <v>39.5</v>
      </c>
      <c r="C129" s="54">
        <f>myParidad('Flujo de Fondos'!$B$5,A129,B129,'Flujo de Fondos'!$B$7,'Flujo de Fondos'!$B$6)</f>
        <v/>
      </c>
      <c r="D129" s="53" t="n">
        <v>44</v>
      </c>
      <c r="E129" s="55">
        <f>myParidad('Flujo de Fondos'!$H$5,$A129,D129,'Flujo de Fondos'!$H$7,'Flujo de Fondos'!$H$6)</f>
        <v/>
      </c>
      <c r="F129" s="53" t="n">
        <v>37.97</v>
      </c>
      <c r="G129" s="54">
        <f>myParidad('Flujo de Fondos'!$N$5,$A129,F129,'Flujo de Fondos'!$N$7,'Flujo de Fondos'!$N$6)</f>
        <v/>
      </c>
      <c r="H129" s="56" t="n">
        <v>40.46</v>
      </c>
      <c r="I129" s="54">
        <f>myParidad('Flujo de Fondos'!$T$5,$A129,H129,'Flujo de Fondos'!$T$7,'Flujo de Fondos'!$T$6)</f>
        <v/>
      </c>
      <c r="J129" s="56" t="n">
        <v>35.05</v>
      </c>
      <c r="K129" s="54">
        <f>myParidad('Flujo de Fondos'!$B$34,$A129,J129,'Flujo de Fondos'!$B$36,'Flujo de Fondos'!$B$35)</f>
        <v/>
      </c>
      <c r="L129" s="53" t="n">
        <v>38.33</v>
      </c>
      <c r="M129" s="54">
        <f>myParidad('Flujo de Fondos'!$H$34,'Paridad usd'!$A129,'Paridad usd'!L129,'Flujo de Fondos'!$H$36,'Flujo de Fondos'!$H$35)</f>
        <v/>
      </c>
      <c r="N129" s="56" t="n">
        <v>37</v>
      </c>
      <c r="O129" s="54">
        <f>myParidad('Flujo de Fondos'!$N$34,$A129,N129,'Flujo de Fondos'!$N$36,'Flujo de Fondos'!$N$35)</f>
        <v/>
      </c>
      <c r="P129" s="57">
        <f>C129-G129</f>
        <v/>
      </c>
      <c r="Q129" s="57">
        <f>E129-C129</f>
        <v/>
      </c>
      <c r="R129" s="57">
        <f>C129-M129</f>
        <v/>
      </c>
      <c r="S129" s="55">
        <f>C129-O129</f>
        <v/>
      </c>
      <c r="T129" s="57">
        <f>E129-O129</f>
        <v/>
      </c>
      <c r="U129" s="57">
        <f>G129-O129</f>
        <v/>
      </c>
      <c r="V129" s="57">
        <f>G129-K129</f>
        <v/>
      </c>
      <c r="W129" s="57">
        <f>C129-K129</f>
        <v/>
      </c>
      <c r="X129" s="67">
        <f>I129-G129</f>
        <v/>
      </c>
      <c r="Y129" s="75">
        <f>G129-M129</f>
        <v/>
      </c>
    </row>
    <row r="130">
      <c r="A130" s="52" t="n">
        <v>44356</v>
      </c>
      <c r="B130" s="53" t="n">
        <v>39.3</v>
      </c>
      <c r="C130" s="54">
        <f>myParidad('Flujo de Fondos'!$B$5,A130,B130,'Flujo de Fondos'!$B$7,'Flujo de Fondos'!$B$6)</f>
        <v/>
      </c>
      <c r="D130" s="53" t="n">
        <v>44</v>
      </c>
      <c r="E130" s="55">
        <f>myParidad('Flujo de Fondos'!$H$5,$A130,D130,'Flujo de Fondos'!$H$7,'Flujo de Fondos'!$H$6)</f>
        <v/>
      </c>
      <c r="F130" s="53" t="n">
        <v>37.65</v>
      </c>
      <c r="G130" s="54">
        <f>myParidad('Flujo de Fondos'!$N$5,$A130,F130,'Flujo de Fondos'!$N$7,'Flujo de Fondos'!$N$6)</f>
        <v/>
      </c>
      <c r="H130" s="56" t="n">
        <v>40.47</v>
      </c>
      <c r="I130" s="54">
        <f>myParidad('Flujo de Fondos'!$T$5,$A130,H130,'Flujo de Fondos'!$T$7,'Flujo de Fondos'!$T$6)</f>
        <v/>
      </c>
      <c r="J130" s="56" t="n">
        <v>34.74</v>
      </c>
      <c r="K130" s="54">
        <f>myParidad('Flujo de Fondos'!$B$34,$A130,J130,'Flujo de Fondos'!$B$36,'Flujo de Fondos'!$B$35)</f>
        <v/>
      </c>
      <c r="L130" s="53" t="n">
        <v>38.15</v>
      </c>
      <c r="M130" s="54">
        <f>myParidad('Flujo de Fondos'!$H$34,'Paridad usd'!$A130,'Paridad usd'!L130,'Flujo de Fondos'!$H$36,'Flujo de Fondos'!$H$35)</f>
        <v/>
      </c>
      <c r="N130" s="56" t="n">
        <v>36.4</v>
      </c>
      <c r="O130" s="54">
        <f>myParidad('Flujo de Fondos'!$N$34,$A130,N130,'Flujo de Fondos'!$N$36,'Flujo de Fondos'!$N$35)</f>
        <v/>
      </c>
      <c r="P130" s="57">
        <f>C130-G130</f>
        <v/>
      </c>
      <c r="Q130" s="57">
        <f>E130-C130</f>
        <v/>
      </c>
      <c r="R130" s="57">
        <f>C130-M130</f>
        <v/>
      </c>
      <c r="S130" s="55">
        <f>C130-O130</f>
        <v/>
      </c>
      <c r="T130" s="57">
        <f>E130-O130</f>
        <v/>
      </c>
      <c r="U130" s="57">
        <f>G130-O130</f>
        <v/>
      </c>
      <c r="V130" s="57">
        <f>G130-K130</f>
        <v/>
      </c>
      <c r="W130" s="57">
        <f>C130-K130</f>
        <v/>
      </c>
      <c r="X130" s="67">
        <f>I130-G130</f>
        <v/>
      </c>
      <c r="Y130" s="75">
        <f>G130-M130</f>
        <v/>
      </c>
    </row>
    <row r="131">
      <c r="A131" s="52" t="n">
        <v>44355</v>
      </c>
      <c r="B131" s="53" t="n">
        <v>38.75</v>
      </c>
      <c r="C131" s="54">
        <f>myParidad('Flujo de Fondos'!$B$5,A131,B131,'Flujo de Fondos'!$B$7,'Flujo de Fondos'!$B$6)</f>
        <v/>
      </c>
      <c r="D131" s="53" t="n">
        <v>42.5</v>
      </c>
      <c r="E131" s="55">
        <f>myParidad('Flujo de Fondos'!$H$5,$A131,D131,'Flujo de Fondos'!$H$7,'Flujo de Fondos'!$H$6)</f>
        <v/>
      </c>
      <c r="F131" s="53" t="n">
        <v>37.02</v>
      </c>
      <c r="G131" s="54">
        <f>myParidad('Flujo de Fondos'!$N$5,$A131,F131,'Flujo de Fondos'!$N$7,'Flujo de Fondos'!$N$6)</f>
        <v/>
      </c>
      <c r="H131" s="56" t="n">
        <v>39.96</v>
      </c>
      <c r="I131" s="54">
        <f>myParidad('Flujo de Fondos'!$T$5,$A131,H131,'Flujo de Fondos'!$T$7,'Flujo de Fondos'!$T$6)</f>
        <v/>
      </c>
      <c r="J131" s="56" t="n">
        <v>34.09</v>
      </c>
      <c r="K131" s="54">
        <f>myParidad('Flujo de Fondos'!$B$34,$A131,J131,'Flujo de Fondos'!$B$36,'Flujo de Fondos'!$B$35)</f>
        <v/>
      </c>
      <c r="L131" s="53" t="n">
        <v>37.55</v>
      </c>
      <c r="M131" s="54">
        <f>myParidad('Flujo de Fondos'!$H$34,'Paridad usd'!$A131,'Paridad usd'!L131,'Flujo de Fondos'!$H$36,'Flujo de Fondos'!$H$35)</f>
        <v/>
      </c>
      <c r="N131" s="56" t="n">
        <v>35.9</v>
      </c>
      <c r="O131" s="54">
        <f>myParidad('Flujo de Fondos'!$N$34,$A131,N131,'Flujo de Fondos'!$N$36,'Flujo de Fondos'!$N$35)</f>
        <v/>
      </c>
      <c r="P131" s="57">
        <f>C131-G131</f>
        <v/>
      </c>
      <c r="Q131" s="57">
        <f>E131-C131</f>
        <v/>
      </c>
      <c r="R131" s="57">
        <f>C131-M131</f>
        <v/>
      </c>
      <c r="S131" s="55">
        <f>C131-O131</f>
        <v/>
      </c>
      <c r="T131" s="57">
        <f>E131-O131</f>
        <v/>
      </c>
      <c r="U131" s="57">
        <f>G131-O131</f>
        <v/>
      </c>
      <c r="V131" s="57">
        <f>G131-K131</f>
        <v/>
      </c>
      <c r="W131" s="57">
        <f>C131-K131</f>
        <v/>
      </c>
      <c r="X131" s="67">
        <f>I131-G131</f>
        <v/>
      </c>
      <c r="Y131" s="75">
        <f>G131-M131</f>
        <v/>
      </c>
    </row>
    <row r="132">
      <c r="A132" s="52" t="n">
        <v>44354</v>
      </c>
      <c r="B132" s="53" t="n">
        <v>38.17</v>
      </c>
      <c r="C132" s="54">
        <f>myParidad('Flujo de Fondos'!$B$5,A132,B132,'Flujo de Fondos'!$B$7,'Flujo de Fondos'!$B$6)</f>
        <v/>
      </c>
      <c r="D132" s="53" t="n">
        <v>42.35</v>
      </c>
      <c r="E132" s="55">
        <f>myParidad('Flujo de Fondos'!$H$5,$A132,D132,'Flujo de Fondos'!$H$7,'Flujo de Fondos'!$H$6)</f>
        <v/>
      </c>
      <c r="F132" s="53" t="n">
        <v>36.5</v>
      </c>
      <c r="G132" s="54">
        <f>myParidad('Flujo de Fondos'!$N$5,$A132,F132,'Flujo de Fondos'!$N$7,'Flujo de Fondos'!$N$6)</f>
        <v/>
      </c>
      <c r="H132" s="56" t="n">
        <v>39.53</v>
      </c>
      <c r="I132" s="54">
        <f>myParidad('Flujo de Fondos'!$T$5,$A132,H132,'Flujo de Fondos'!$T$7,'Flujo de Fondos'!$T$6)</f>
        <v/>
      </c>
      <c r="J132" s="56" t="n">
        <v>33.8</v>
      </c>
      <c r="K132" s="54">
        <f>myParidad('Flujo de Fondos'!$B$34,$A132,J132,'Flujo de Fondos'!$B$36,'Flujo de Fondos'!$B$35)</f>
        <v/>
      </c>
      <c r="L132" s="53" t="n">
        <v>37.3</v>
      </c>
      <c r="M132" s="54">
        <f>myParidad('Flujo de Fondos'!$H$34,'Paridad usd'!$A132,'Paridad usd'!L132,'Flujo de Fondos'!$H$36,'Flujo de Fondos'!$H$35)</f>
        <v/>
      </c>
      <c r="N132" s="56" t="n">
        <v>35.35</v>
      </c>
      <c r="O132" s="54">
        <f>myParidad('Flujo de Fondos'!$N$34,$A132,N132,'Flujo de Fondos'!$N$36,'Flujo de Fondos'!$N$35)</f>
        <v/>
      </c>
      <c r="P132" s="57">
        <f>C132-G132</f>
        <v/>
      </c>
      <c r="Q132" s="57">
        <f>E132-C132</f>
        <v/>
      </c>
      <c r="R132" s="57">
        <f>C132-M132</f>
        <v/>
      </c>
      <c r="S132" s="55">
        <f>C132-O132</f>
        <v/>
      </c>
      <c r="T132" s="57">
        <f>E132-O132</f>
        <v/>
      </c>
      <c r="U132" s="57">
        <f>G132-O132</f>
        <v/>
      </c>
      <c r="V132" s="57">
        <f>G132-K132</f>
        <v/>
      </c>
      <c r="W132" s="57">
        <f>C132-K132</f>
        <v/>
      </c>
      <c r="X132" s="67">
        <f>I132-G132</f>
        <v/>
      </c>
      <c r="Y132" s="75">
        <f>G132-M132</f>
        <v/>
      </c>
    </row>
    <row r="133">
      <c r="A133" s="52" t="n">
        <v>44351</v>
      </c>
      <c r="B133" s="53" t="n">
        <v>38.05</v>
      </c>
      <c r="C133" s="54">
        <f>myParidad('Flujo de Fondos'!$B$5,A133,B133,'Flujo de Fondos'!$B$7,'Flujo de Fondos'!$B$6)</f>
        <v/>
      </c>
      <c r="D133" s="53" t="n">
        <v>41.73</v>
      </c>
      <c r="E133" s="55">
        <f>myParidad('Flujo de Fondos'!$H$5,$A133,D133,'Flujo de Fondos'!$H$7,'Flujo de Fondos'!$H$6)</f>
        <v/>
      </c>
      <c r="F133" s="53" t="n">
        <v>35.85</v>
      </c>
      <c r="G133" s="54">
        <f>myParidad('Flujo de Fondos'!$N$5,$A133,F133,'Flujo de Fondos'!$N$7,'Flujo de Fondos'!$N$6)</f>
        <v/>
      </c>
      <c r="H133" s="56" t="n">
        <v>39.12</v>
      </c>
      <c r="I133" s="54">
        <f>myParidad('Flujo de Fondos'!$T$5,$A133,H133,'Flujo de Fondos'!$T$7,'Flujo de Fondos'!$T$6)</f>
        <v/>
      </c>
      <c r="J133" s="56" t="n">
        <v>33.54</v>
      </c>
      <c r="K133" s="54">
        <f>myParidad('Flujo de Fondos'!$B$34,$A133,J133,'Flujo de Fondos'!$B$36,'Flujo de Fondos'!$B$35)</f>
        <v/>
      </c>
      <c r="L133" s="53" t="n">
        <v>37.01</v>
      </c>
      <c r="M133" s="54">
        <f>myParidad('Flujo de Fondos'!$H$34,'Paridad usd'!$A133,'Paridad usd'!L133,'Flujo de Fondos'!$H$36,'Flujo de Fondos'!$H$35)</f>
        <v/>
      </c>
      <c r="N133" s="56" t="n">
        <v>34.61</v>
      </c>
      <c r="O133" s="54">
        <f>myParidad('Flujo de Fondos'!$N$34,$A133,N133,'Flujo de Fondos'!$N$36,'Flujo de Fondos'!$N$35)</f>
        <v/>
      </c>
      <c r="P133" s="57">
        <f>C133-G133</f>
        <v/>
      </c>
      <c r="Q133" s="57">
        <f>E133-C133</f>
        <v/>
      </c>
      <c r="R133" s="57">
        <f>C133-M133</f>
        <v/>
      </c>
      <c r="S133" s="55">
        <f>C133-O133</f>
        <v/>
      </c>
      <c r="T133" s="57">
        <f>E133-O133</f>
        <v/>
      </c>
      <c r="U133" s="57">
        <f>G133-O133</f>
        <v/>
      </c>
      <c r="V133" s="57">
        <f>G133-K133</f>
        <v/>
      </c>
      <c r="W133" s="57">
        <f>C133-K133</f>
        <v/>
      </c>
      <c r="X133" s="67">
        <f>I133-G133</f>
        <v/>
      </c>
      <c r="Y133" s="75">
        <f>G133-M133</f>
        <v/>
      </c>
    </row>
    <row r="134">
      <c r="A134" s="52" t="n">
        <v>44350</v>
      </c>
      <c r="B134" s="53" t="n">
        <v>38.2</v>
      </c>
      <c r="C134" s="54">
        <f>myParidad('Flujo de Fondos'!$B$5,A134,B134,'Flujo de Fondos'!$B$7,'Flujo de Fondos'!$B$6)</f>
        <v/>
      </c>
      <c r="D134" s="53" t="n">
        <v>41.8</v>
      </c>
      <c r="E134" s="55">
        <f>myParidad('Flujo de Fondos'!$H$5,$A134,D134,'Flujo de Fondos'!$H$7,'Flujo de Fondos'!$H$6)</f>
        <v/>
      </c>
      <c r="F134" s="53" t="n">
        <v>36.05</v>
      </c>
      <c r="G134" s="54">
        <f>myParidad('Flujo de Fondos'!$N$5,$A134,F134,'Flujo de Fondos'!$N$7,'Flujo de Fondos'!$N$6)</f>
        <v/>
      </c>
      <c r="H134" s="56" t="n">
        <v>38.86</v>
      </c>
      <c r="I134" s="54">
        <f>myParidad('Flujo de Fondos'!$T$5,$A134,H134,'Flujo de Fondos'!$T$7,'Flujo de Fondos'!$T$6)</f>
        <v/>
      </c>
      <c r="J134" s="56" t="n">
        <v>33.27</v>
      </c>
      <c r="K134" s="54">
        <f>myParidad('Flujo de Fondos'!$B$34,$A134,J134,'Flujo de Fondos'!$B$36,'Flujo de Fondos'!$B$35)</f>
        <v/>
      </c>
      <c r="L134" s="53" t="n">
        <v>36.96</v>
      </c>
      <c r="M134" s="54">
        <f>myParidad('Flujo de Fondos'!$H$34,'Paridad usd'!$A134,'Paridad usd'!L134,'Flujo de Fondos'!$H$36,'Flujo de Fondos'!$H$35)</f>
        <v/>
      </c>
      <c r="N134" s="56" t="n">
        <v>34.5</v>
      </c>
      <c r="O134" s="54">
        <f>myParidad('Flujo de Fondos'!$N$34,$A134,N134,'Flujo de Fondos'!$N$36,'Flujo de Fondos'!$N$35)</f>
        <v/>
      </c>
      <c r="P134" s="57">
        <f>C134-G134</f>
        <v/>
      </c>
      <c r="Q134" s="57">
        <f>E134-C134</f>
        <v/>
      </c>
      <c r="R134" s="57">
        <f>C134-M134</f>
        <v/>
      </c>
      <c r="S134" s="55">
        <f>C134-O134</f>
        <v/>
      </c>
      <c r="T134" s="57">
        <f>E134-O134</f>
        <v/>
      </c>
      <c r="U134" s="57">
        <f>G134-O134</f>
        <v/>
      </c>
      <c r="V134" s="57">
        <f>G134-K134</f>
        <v/>
      </c>
      <c r="W134" s="57">
        <f>C134-K134</f>
        <v/>
      </c>
      <c r="X134" s="67">
        <f>I134-G134</f>
        <v/>
      </c>
      <c r="Y134" s="75">
        <f>G134-M134</f>
        <v/>
      </c>
    </row>
    <row r="135">
      <c r="A135" s="52" t="n">
        <v>44349</v>
      </c>
      <c r="B135" s="53" t="n">
        <v>38.35</v>
      </c>
      <c r="C135" s="54">
        <f>myParidad('Flujo de Fondos'!$B$5,A135,B135,'Flujo de Fondos'!$B$7,'Flujo de Fondos'!$B$6)</f>
        <v/>
      </c>
      <c r="D135" s="53" t="n">
        <v>41.9</v>
      </c>
      <c r="E135" s="55">
        <f>myParidad('Flujo de Fondos'!$H$5,$A135,D135,'Flujo de Fondos'!$H$7,'Flujo de Fondos'!$H$6)</f>
        <v/>
      </c>
      <c r="F135" s="53" t="n">
        <v>36.3</v>
      </c>
      <c r="G135" s="54">
        <f>myParidad('Flujo de Fondos'!$N$5,$A135,F135,'Flujo de Fondos'!$N$7,'Flujo de Fondos'!$N$6)</f>
        <v/>
      </c>
      <c r="H135" s="56" t="n">
        <v>39.51</v>
      </c>
      <c r="I135" s="54">
        <f>myParidad('Flujo de Fondos'!$T$5,$A135,H135,'Flujo de Fondos'!$T$7,'Flujo de Fondos'!$T$6)</f>
        <v/>
      </c>
      <c r="J135" s="56" t="n">
        <v>34.2</v>
      </c>
      <c r="K135" s="54">
        <f>myParidad('Flujo de Fondos'!$B$34,$A135,J135,'Flujo de Fondos'!$B$36,'Flujo de Fondos'!$B$35)</f>
        <v/>
      </c>
      <c r="L135" s="53" t="n">
        <v>37.6</v>
      </c>
      <c r="M135" s="54">
        <f>myParidad('Flujo de Fondos'!$H$34,'Paridad usd'!$A135,'Paridad usd'!L135,'Flujo de Fondos'!$H$36,'Flujo de Fondos'!$H$35)</f>
        <v/>
      </c>
      <c r="N135" s="56" t="n">
        <v>35.36</v>
      </c>
      <c r="O135" s="54">
        <f>myParidad('Flujo de Fondos'!$N$34,$A135,N135,'Flujo de Fondos'!$N$36,'Flujo de Fondos'!$N$35)</f>
        <v/>
      </c>
      <c r="P135" s="57">
        <f>C135-G135</f>
        <v/>
      </c>
      <c r="Q135" s="57">
        <f>E135-C135</f>
        <v/>
      </c>
      <c r="R135" s="57">
        <f>C135-M135</f>
        <v/>
      </c>
      <c r="S135" s="55">
        <f>C135-O135</f>
        <v/>
      </c>
      <c r="T135" s="57">
        <f>E135-O135</f>
        <v/>
      </c>
      <c r="U135" s="57">
        <f>G135-O135</f>
        <v/>
      </c>
      <c r="V135" s="57">
        <f>G135-K135</f>
        <v/>
      </c>
      <c r="W135" s="57">
        <f>C135-K135</f>
        <v/>
      </c>
      <c r="X135" s="67">
        <f>I135-G135</f>
        <v/>
      </c>
      <c r="Y135" s="75">
        <f>G135-M135</f>
        <v/>
      </c>
    </row>
    <row r="136">
      <c r="A136" s="52" t="n">
        <v>44348</v>
      </c>
      <c r="B136" s="53" t="n">
        <v>37.85</v>
      </c>
      <c r="C136" s="54">
        <f>myParidad('Flujo de Fondos'!$B$5,A136,B136,'Flujo de Fondos'!$B$7,'Flujo de Fondos'!$B$6)</f>
        <v/>
      </c>
      <c r="D136" s="53" t="n">
        <v>40.8</v>
      </c>
      <c r="E136" s="55">
        <f>myParidad('Flujo de Fondos'!$H$5,$A136,D136,'Flujo de Fondos'!$H$7,'Flujo de Fondos'!$H$6)</f>
        <v/>
      </c>
      <c r="F136" s="53" t="n">
        <v>35.6</v>
      </c>
      <c r="G136" s="54">
        <f>myParidad('Flujo de Fondos'!$N$5,$A136,F136,'Flujo de Fondos'!$N$7,'Flujo de Fondos'!$N$6)</f>
        <v/>
      </c>
      <c r="H136" s="56" t="n">
        <v>38.8</v>
      </c>
      <c r="I136" s="54">
        <f>myParidad('Flujo de Fondos'!$T$5,$A136,H136,'Flujo de Fondos'!$T$7,'Flujo de Fondos'!$T$6)</f>
        <v/>
      </c>
      <c r="J136" s="56" t="n">
        <v>33.71</v>
      </c>
      <c r="K136" s="54">
        <f>myParidad('Flujo de Fondos'!$B$34,$A136,J136,'Flujo de Fondos'!$B$36,'Flujo de Fondos'!$B$35)</f>
        <v/>
      </c>
      <c r="L136" s="53" t="n">
        <v>36.8</v>
      </c>
      <c r="M136" s="54">
        <f>myParidad('Flujo de Fondos'!$H$34,'Paridad usd'!$A136,'Paridad usd'!L136,'Flujo de Fondos'!$H$36,'Flujo de Fondos'!$H$35)</f>
        <v/>
      </c>
      <c r="N136" s="56" t="n">
        <v>34.9</v>
      </c>
      <c r="O136" s="54">
        <f>myParidad('Flujo de Fondos'!$N$34,$A136,N136,'Flujo de Fondos'!$N$36,'Flujo de Fondos'!$N$35)</f>
        <v/>
      </c>
      <c r="P136" s="57">
        <f>C136-G136</f>
        <v/>
      </c>
      <c r="Q136" s="57">
        <f>E136-C136</f>
        <v/>
      </c>
      <c r="R136" s="57">
        <f>C136-M136</f>
        <v/>
      </c>
      <c r="S136" s="55">
        <f>C136-O136</f>
        <v/>
      </c>
      <c r="T136" s="57">
        <f>E136-O136</f>
        <v/>
      </c>
      <c r="U136" s="57">
        <f>G136-O136</f>
        <v/>
      </c>
      <c r="V136" s="57">
        <f>G136-K136</f>
        <v/>
      </c>
      <c r="W136" s="57">
        <f>C136-K136</f>
        <v/>
      </c>
      <c r="X136" s="67">
        <f>I136-G136</f>
        <v/>
      </c>
      <c r="Y136" s="75">
        <f>G136-M136</f>
        <v/>
      </c>
    </row>
    <row r="137">
      <c r="A137" s="52" t="n">
        <v>44347</v>
      </c>
      <c r="B137" s="53" t="n">
        <v>37.6</v>
      </c>
      <c r="C137" s="54">
        <f>myParidad('Flujo de Fondos'!$B$5,A137,B137,'Flujo de Fondos'!$B$7,'Flujo de Fondos'!$B$6)</f>
        <v/>
      </c>
      <c r="D137" s="53" t="n">
        <v>40.5</v>
      </c>
      <c r="E137" s="55">
        <f>myParidad('Flujo de Fondos'!$H$5,$A137,D137,'Flujo de Fondos'!$H$7,'Flujo de Fondos'!$H$6)</f>
        <v/>
      </c>
      <c r="F137" s="53" t="n">
        <v>35.3</v>
      </c>
      <c r="G137" s="54">
        <f>myParidad('Flujo de Fondos'!$N$5,$A137,F137,'Flujo de Fondos'!$N$7,'Flujo de Fondos'!$N$6)</f>
        <v/>
      </c>
      <c r="H137" s="56" t="n">
        <v>38.58</v>
      </c>
      <c r="I137" s="54">
        <f>myParidad('Flujo de Fondos'!$T$5,$A137,H137,'Flujo de Fondos'!$T$7,'Flujo de Fondos'!$T$6)</f>
        <v/>
      </c>
      <c r="J137" s="56" t="n">
        <v>33.4</v>
      </c>
      <c r="K137" s="54">
        <f>myParidad('Flujo de Fondos'!$B$34,$A137,J137,'Flujo de Fondos'!$B$36,'Flujo de Fondos'!$B$35)</f>
        <v/>
      </c>
      <c r="L137" s="53" t="n">
        <v>36.25</v>
      </c>
      <c r="M137" s="54">
        <f>myParidad('Flujo de Fondos'!$H$34,'Paridad usd'!$A137,'Paridad usd'!L137,'Flujo de Fondos'!$H$36,'Flujo de Fondos'!$H$35)</f>
        <v/>
      </c>
      <c r="N137" s="56" t="n">
        <v>34.4</v>
      </c>
      <c r="O137" s="54">
        <f>myParidad('Flujo de Fondos'!$N$34,$A137,N137,'Flujo de Fondos'!$N$36,'Flujo de Fondos'!$N$35)</f>
        <v/>
      </c>
      <c r="P137" s="57">
        <f>C137-G137</f>
        <v/>
      </c>
      <c r="Q137" s="57">
        <f>E137-C137</f>
        <v/>
      </c>
      <c r="R137" s="57">
        <f>C137-M137</f>
        <v/>
      </c>
      <c r="S137" s="55">
        <f>C137-O137</f>
        <v/>
      </c>
      <c r="T137" s="57">
        <f>E137-O137</f>
        <v/>
      </c>
      <c r="U137" s="57">
        <f>G137-O137</f>
        <v/>
      </c>
      <c r="V137" s="57">
        <f>G137-K137</f>
        <v/>
      </c>
      <c r="W137" s="57">
        <f>C137-K137</f>
        <v/>
      </c>
      <c r="X137" s="67">
        <f>I137-G137</f>
        <v/>
      </c>
      <c r="Y137" s="75">
        <f>G137-M137</f>
        <v/>
      </c>
    </row>
    <row r="138">
      <c r="A138" s="52" t="n">
        <v>44344</v>
      </c>
      <c r="B138" s="53" t="n">
        <v>37.64</v>
      </c>
      <c r="C138" s="54">
        <f>myParidad('Flujo de Fondos'!$B$5,A138,B138,'Flujo de Fondos'!$B$7,'Flujo de Fondos'!$B$6)</f>
        <v/>
      </c>
      <c r="D138" s="53" t="n">
        <v>40.01</v>
      </c>
      <c r="E138" s="55">
        <f>myParidad('Flujo de Fondos'!$H$5,$A138,D138,'Flujo de Fondos'!$H$7,'Flujo de Fondos'!$H$6)</f>
        <v/>
      </c>
      <c r="F138" s="53" t="n">
        <v>35.35</v>
      </c>
      <c r="G138" s="54">
        <f>myParidad('Flujo de Fondos'!$N$5,$A138,F138,'Flujo de Fondos'!$N$7,'Flujo de Fondos'!$N$6)</f>
        <v/>
      </c>
      <c r="H138" s="56" t="n">
        <v>38.55</v>
      </c>
      <c r="I138" s="54">
        <f>myParidad('Flujo de Fondos'!$T$5,$A138,H138,'Flujo de Fondos'!$T$7,'Flujo de Fondos'!$T$6)</f>
        <v/>
      </c>
      <c r="J138" s="56" t="n">
        <v>33.5</v>
      </c>
      <c r="K138" s="54">
        <f>myParidad('Flujo de Fondos'!$B$34,$A138,J138,'Flujo de Fondos'!$B$36,'Flujo de Fondos'!$B$35)</f>
        <v/>
      </c>
      <c r="L138" s="53" t="n">
        <v>36.32</v>
      </c>
      <c r="M138" s="54">
        <f>myParidad('Flujo de Fondos'!$H$34,'Paridad usd'!$A138,'Paridad usd'!L138,'Flujo de Fondos'!$H$36,'Flujo de Fondos'!$H$35)</f>
        <v/>
      </c>
      <c r="N138" s="56" t="n">
        <v>34.6</v>
      </c>
      <c r="O138" s="54">
        <f>myParidad('Flujo de Fondos'!$N$34,$A138,N138,'Flujo de Fondos'!$N$36,'Flujo de Fondos'!$N$35)</f>
        <v/>
      </c>
      <c r="P138" s="57">
        <f>C138-G138</f>
        <v/>
      </c>
      <c r="Q138" s="57">
        <f>E138-C138</f>
        <v/>
      </c>
      <c r="R138" s="57">
        <f>C138-M138</f>
        <v/>
      </c>
      <c r="S138" s="55">
        <f>C138-O138</f>
        <v/>
      </c>
      <c r="T138" s="57">
        <f>E138-O138</f>
        <v/>
      </c>
      <c r="U138" s="57">
        <f>G138-O138</f>
        <v/>
      </c>
      <c r="V138" s="57">
        <f>G138-K138</f>
        <v/>
      </c>
      <c r="W138" s="57">
        <f>C138-K138</f>
        <v/>
      </c>
      <c r="X138" s="67">
        <f>I138-G138</f>
        <v/>
      </c>
      <c r="Y138" s="75">
        <f>G138-M138</f>
        <v/>
      </c>
    </row>
    <row r="139">
      <c r="A139" s="52" t="n">
        <v>44343</v>
      </c>
      <c r="B139" s="53" t="n">
        <v>38.1</v>
      </c>
      <c r="C139" s="54">
        <f>myParidad('Flujo de Fondos'!$B$5,A139,B139,'Flujo de Fondos'!$B$7,'Flujo de Fondos'!$B$6)</f>
        <v/>
      </c>
      <c r="D139" s="53" t="n">
        <v>41</v>
      </c>
      <c r="E139" s="55">
        <f>myParidad('Flujo de Fondos'!$H$5,$A139,D139,'Flujo de Fondos'!$H$7,'Flujo de Fondos'!$H$6)</f>
        <v/>
      </c>
      <c r="F139" s="53" t="n">
        <v>35.66</v>
      </c>
      <c r="G139" s="54">
        <f>myParidad('Flujo de Fondos'!$N$5,$A139,F139,'Flujo de Fondos'!$N$7,'Flujo de Fondos'!$N$6)</f>
        <v/>
      </c>
      <c r="H139" s="56" t="n">
        <v>38.71</v>
      </c>
      <c r="I139" s="54">
        <f>myParidad('Flujo de Fondos'!$T$5,$A139,H139,'Flujo de Fondos'!$T$7,'Flujo de Fondos'!$T$6)</f>
        <v/>
      </c>
      <c r="J139" s="56" t="n">
        <v>33.8</v>
      </c>
      <c r="K139" s="54">
        <f>myParidad('Flujo de Fondos'!$B$34,$A139,J139,'Flujo de Fondos'!$B$36,'Flujo de Fondos'!$B$35)</f>
        <v/>
      </c>
      <c r="L139" s="53" t="n">
        <v>36.65</v>
      </c>
      <c r="M139" s="54">
        <f>myParidad('Flujo de Fondos'!$H$34,'Paridad usd'!$A139,'Paridad usd'!L139,'Flujo de Fondos'!$H$36,'Flujo de Fondos'!$H$35)</f>
        <v/>
      </c>
      <c r="N139" s="56" t="n">
        <v>35.25</v>
      </c>
      <c r="O139" s="54">
        <f>myParidad('Flujo de Fondos'!$N$34,$A139,N139,'Flujo de Fondos'!$N$36,'Flujo de Fondos'!$N$35)</f>
        <v/>
      </c>
      <c r="P139" s="57">
        <f>C139-G139</f>
        <v/>
      </c>
      <c r="Q139" s="57">
        <f>E139-C139</f>
        <v/>
      </c>
      <c r="R139" s="57">
        <f>C139-M139</f>
        <v/>
      </c>
      <c r="S139" s="55">
        <f>C139-O139</f>
        <v/>
      </c>
      <c r="T139" s="57">
        <f>E139-O139</f>
        <v/>
      </c>
      <c r="U139" s="57">
        <f>G139-O139</f>
        <v/>
      </c>
      <c r="V139" s="57">
        <f>G139-K139</f>
        <v/>
      </c>
      <c r="W139" s="57">
        <f>C139-K139</f>
        <v/>
      </c>
      <c r="X139" s="67">
        <f>I139-G139</f>
        <v/>
      </c>
      <c r="Y139" s="75">
        <f>G139-M139</f>
        <v/>
      </c>
    </row>
    <row r="140">
      <c r="A140" s="52" t="n">
        <v>44342</v>
      </c>
      <c r="B140" s="53" t="n">
        <v>37.77</v>
      </c>
      <c r="C140" s="54">
        <f>myParidad('Flujo de Fondos'!$B$5,A140,B140,'Flujo de Fondos'!$B$7,'Flujo de Fondos'!$B$6)</f>
        <v/>
      </c>
      <c r="D140" s="53" t="n">
        <v>40.6</v>
      </c>
      <c r="E140" s="55">
        <f>myParidad('Flujo de Fondos'!$H$5,$A140,D140,'Flujo de Fondos'!$H$7,'Flujo de Fondos'!$H$6)</f>
        <v/>
      </c>
      <c r="F140" s="53" t="n">
        <v>35.45</v>
      </c>
      <c r="G140" s="54">
        <f>myParidad('Flujo de Fondos'!$N$5,$A140,F140,'Flujo de Fondos'!$N$7,'Flujo de Fondos'!$N$6)</f>
        <v/>
      </c>
      <c r="H140" s="56" t="n">
        <v>38.75</v>
      </c>
      <c r="I140" s="54">
        <f>myParidad('Flujo de Fondos'!$T$5,$A140,H140,'Flujo de Fondos'!$T$7,'Flujo de Fondos'!$T$6)</f>
        <v/>
      </c>
      <c r="J140" s="56" t="n">
        <v>33.45</v>
      </c>
      <c r="K140" s="54">
        <f>myParidad('Flujo de Fondos'!$B$34,$A140,J140,'Flujo de Fondos'!$B$36,'Flujo de Fondos'!$B$35)</f>
        <v/>
      </c>
      <c r="L140" s="53" t="n">
        <v>36.65</v>
      </c>
      <c r="M140" s="54">
        <f>myParidad('Flujo de Fondos'!$H$34,'Paridad usd'!$A140,'Paridad usd'!L140,'Flujo de Fondos'!$H$36,'Flujo de Fondos'!$H$35)</f>
        <v/>
      </c>
      <c r="N140" s="56" t="n">
        <v>34.7</v>
      </c>
      <c r="O140" s="54">
        <f>myParidad('Flujo de Fondos'!$N$34,$A140,N140,'Flujo de Fondos'!$N$36,'Flujo de Fondos'!$N$35)</f>
        <v/>
      </c>
      <c r="P140" s="57">
        <f>C140-G140</f>
        <v/>
      </c>
      <c r="Q140" s="57">
        <f>E140-C140</f>
        <v/>
      </c>
      <c r="R140" s="57">
        <f>C140-M140</f>
        <v/>
      </c>
      <c r="S140" s="55">
        <f>C140-O140</f>
        <v/>
      </c>
      <c r="T140" s="57">
        <f>E140-O140</f>
        <v/>
      </c>
      <c r="U140" s="57">
        <f>G140-O140</f>
        <v/>
      </c>
      <c r="V140" s="57">
        <f>G140-K140</f>
        <v/>
      </c>
      <c r="W140" s="57">
        <f>C140-K140</f>
        <v/>
      </c>
      <c r="X140" s="67">
        <f>I140-G140</f>
        <v/>
      </c>
      <c r="Y140" s="75">
        <f>G140-M140</f>
        <v/>
      </c>
    </row>
    <row r="141">
      <c r="A141" s="52" t="n">
        <v>44337</v>
      </c>
      <c r="B141" s="53" t="n">
        <v>36.93</v>
      </c>
      <c r="C141" s="54">
        <f>myParidad('Flujo de Fondos'!$B$5,A141,B141,'Flujo de Fondos'!$B$7,'Flujo de Fondos'!$B$6)</f>
        <v/>
      </c>
      <c r="D141" s="53" t="n">
        <v>40.3</v>
      </c>
      <c r="E141" s="55">
        <f>myParidad('Flujo de Fondos'!$H$5,$A141,D141,'Flujo de Fondos'!$H$7,'Flujo de Fondos'!$H$6)</f>
        <v/>
      </c>
      <c r="F141" s="53" t="n">
        <v>34.4</v>
      </c>
      <c r="G141" s="54">
        <f>myParidad('Flujo de Fondos'!$N$5,$A141,F141,'Flujo de Fondos'!$N$7,'Flujo de Fondos'!$N$6)</f>
        <v/>
      </c>
      <c r="H141" s="56" t="n">
        <v>37.5</v>
      </c>
      <c r="I141" s="54">
        <f>myParidad('Flujo de Fondos'!$T$5,$A141,H141,'Flujo de Fondos'!$T$7,'Flujo de Fondos'!$T$6)</f>
        <v/>
      </c>
      <c r="J141" s="56" t="n">
        <v>32.25</v>
      </c>
      <c r="K141" s="54">
        <f>myParidad('Flujo de Fondos'!$B$34,$A141,J141,'Flujo de Fondos'!$B$36,'Flujo de Fondos'!$B$35)</f>
        <v/>
      </c>
      <c r="L141" s="53" t="n">
        <v>35.07</v>
      </c>
      <c r="M141" s="54">
        <f>myParidad('Flujo de Fondos'!$H$34,'Paridad usd'!$A141,'Paridad usd'!L141,'Flujo de Fondos'!$H$36,'Flujo de Fondos'!$H$35)</f>
        <v/>
      </c>
      <c r="N141" s="56" t="n">
        <v>33.36</v>
      </c>
      <c r="O141" s="54">
        <f>myParidad('Flujo de Fondos'!$N$34,$A141,N141,'Flujo de Fondos'!$N$36,'Flujo de Fondos'!$N$35)</f>
        <v/>
      </c>
      <c r="P141" s="57">
        <f>C141-G141</f>
        <v/>
      </c>
      <c r="Q141" s="57">
        <f>E141-C141</f>
        <v/>
      </c>
      <c r="R141" s="57">
        <f>C141-M141</f>
        <v/>
      </c>
      <c r="S141" s="55">
        <f>C141-O141</f>
        <v/>
      </c>
      <c r="T141" s="57">
        <f>E141-O141</f>
        <v/>
      </c>
      <c r="U141" s="57">
        <f>G141-O141</f>
        <v/>
      </c>
      <c r="V141" s="57">
        <f>G141-K141</f>
        <v/>
      </c>
      <c r="W141" s="57">
        <f>C141-K141</f>
        <v/>
      </c>
      <c r="X141" s="67">
        <f>I141-G141</f>
        <v/>
      </c>
      <c r="Y141" s="75">
        <f>G141-M141</f>
        <v/>
      </c>
    </row>
    <row r="142">
      <c r="A142" s="52" t="n">
        <v>44336</v>
      </c>
      <c r="B142" s="53" t="n">
        <v>37.29</v>
      </c>
      <c r="C142" s="54">
        <f>myParidad('Flujo de Fondos'!$B$5,A142,B142,'Flujo de Fondos'!$B$7,'Flujo de Fondos'!$B$6)</f>
        <v/>
      </c>
      <c r="D142" s="53" t="n">
        <v>40.3</v>
      </c>
      <c r="E142" s="55">
        <f>myParidad('Flujo de Fondos'!$H$5,$A142,D142,'Flujo de Fondos'!$H$7,'Flujo de Fondos'!$H$6)</f>
        <v/>
      </c>
      <c r="F142" s="53" t="n">
        <v>34.78</v>
      </c>
      <c r="G142" s="54">
        <f>myParidad('Flujo de Fondos'!$N$5,$A142,F142,'Flujo de Fondos'!$N$7,'Flujo de Fondos'!$N$6)</f>
        <v/>
      </c>
      <c r="H142" s="56" t="n">
        <v>37.99</v>
      </c>
      <c r="I142" s="54">
        <f>myParidad('Flujo de Fondos'!$T$5,$A142,H142,'Flujo de Fondos'!$T$7,'Flujo de Fondos'!$T$6)</f>
        <v/>
      </c>
      <c r="J142" s="56" t="n">
        <v>32.8</v>
      </c>
      <c r="K142" s="54">
        <f>myParidad('Flujo de Fondos'!$B$34,$A142,J142,'Flujo de Fondos'!$B$36,'Flujo de Fondos'!$B$35)</f>
        <v/>
      </c>
      <c r="L142" s="53" t="n">
        <v>35.25</v>
      </c>
      <c r="M142" s="54">
        <f>myParidad('Flujo de Fondos'!$H$34,'Paridad usd'!$A142,'Paridad usd'!L142,'Flujo de Fondos'!$H$36,'Flujo de Fondos'!$H$35)</f>
        <v/>
      </c>
      <c r="N142" s="56" t="n">
        <v>33</v>
      </c>
      <c r="O142" s="54">
        <f>myParidad('Flujo de Fondos'!$N$34,$A142,N142,'Flujo de Fondos'!$N$36,'Flujo de Fondos'!$N$35)</f>
        <v/>
      </c>
      <c r="P142" s="57">
        <f>C142-G142</f>
        <v/>
      </c>
      <c r="Q142" s="57">
        <f>E142-C142</f>
        <v/>
      </c>
      <c r="R142" s="57">
        <f>C142-M142</f>
        <v/>
      </c>
      <c r="S142" s="55">
        <f>C142-O142</f>
        <v/>
      </c>
      <c r="T142" s="57">
        <f>E142-O142</f>
        <v/>
      </c>
      <c r="U142" s="57">
        <f>G142-O142</f>
        <v/>
      </c>
      <c r="V142" s="57">
        <f>G142-K142</f>
        <v/>
      </c>
      <c r="W142" s="57">
        <f>C142-K142</f>
        <v/>
      </c>
      <c r="X142" s="67">
        <f>I142-G142</f>
        <v/>
      </c>
      <c r="Y142" s="75">
        <f>G142-M142</f>
        <v/>
      </c>
    </row>
    <row r="143">
      <c r="A143" s="52" t="n">
        <v>44335</v>
      </c>
      <c r="B143" s="53" t="n">
        <v>37.45</v>
      </c>
      <c r="C143" s="54">
        <f>myParidad('Flujo de Fondos'!$B$5,A143,B143,'Flujo de Fondos'!$B$7,'Flujo de Fondos'!$B$6)</f>
        <v/>
      </c>
      <c r="D143" s="53" t="n">
        <v>40.1</v>
      </c>
      <c r="E143" s="55">
        <f>myParidad('Flujo de Fondos'!$H$5,$A143,D143,'Flujo de Fondos'!$H$7,'Flujo de Fondos'!$H$6)</f>
        <v/>
      </c>
      <c r="F143" s="53" t="n">
        <v>35.07</v>
      </c>
      <c r="G143" s="54">
        <f>myParidad('Flujo de Fondos'!$N$5,$A143,F143,'Flujo de Fondos'!$N$7,'Flujo de Fondos'!$N$6)</f>
        <v/>
      </c>
      <c r="H143" s="56" t="n">
        <v>37.9</v>
      </c>
      <c r="I143" s="54">
        <f>myParidad('Flujo de Fondos'!$T$5,$A143,H143,'Flujo de Fondos'!$T$7,'Flujo de Fondos'!$T$6)</f>
        <v/>
      </c>
      <c r="J143" s="56" t="n">
        <v>32.9</v>
      </c>
      <c r="K143" s="54">
        <f>myParidad('Flujo de Fondos'!$B$34,$A143,J143,'Flujo de Fondos'!$B$36,'Flujo de Fondos'!$B$35)</f>
        <v/>
      </c>
      <c r="L143" s="53" t="n">
        <v>35.15</v>
      </c>
      <c r="M143" s="54">
        <f>myParidad('Flujo de Fondos'!$H$34,'Paridad usd'!$A143,'Paridad usd'!L143,'Flujo de Fondos'!$H$36,'Flujo de Fondos'!$H$35)</f>
        <v/>
      </c>
      <c r="N143" s="56" t="n">
        <v>33.6</v>
      </c>
      <c r="O143" s="54">
        <f>myParidad('Flujo de Fondos'!$N$34,$A143,N143,'Flujo de Fondos'!$N$36,'Flujo de Fondos'!$N$35)</f>
        <v/>
      </c>
      <c r="P143" s="57">
        <f>C143-G143</f>
        <v/>
      </c>
      <c r="Q143" s="57">
        <f>E143-C143</f>
        <v/>
      </c>
      <c r="R143" s="57">
        <f>C143-M143</f>
        <v/>
      </c>
      <c r="S143" s="55">
        <f>C143-O143</f>
        <v/>
      </c>
      <c r="T143" s="57">
        <f>E143-O143</f>
        <v/>
      </c>
      <c r="U143" s="57">
        <f>G143-O143</f>
        <v/>
      </c>
      <c r="V143" s="57">
        <f>G143-K143</f>
        <v/>
      </c>
      <c r="W143" s="57">
        <f>C143-K143</f>
        <v/>
      </c>
      <c r="X143" s="67">
        <f>I143-G143</f>
        <v/>
      </c>
      <c r="Y143" s="75">
        <f>G143-M143</f>
        <v/>
      </c>
    </row>
    <row r="144">
      <c r="A144" s="52" t="n">
        <v>44334</v>
      </c>
      <c r="B144" s="53" t="n">
        <v>38</v>
      </c>
      <c r="C144" s="54">
        <f>myParidad('Flujo de Fondos'!$B$5,A144,B144,'Flujo de Fondos'!$B$7,'Flujo de Fondos'!$B$6)</f>
        <v/>
      </c>
      <c r="D144" s="53" t="n">
        <v>40.25</v>
      </c>
      <c r="E144" s="55">
        <f>myParidad('Flujo de Fondos'!$H$5,$A144,D144,'Flujo de Fondos'!$H$7,'Flujo de Fondos'!$H$6)</f>
        <v/>
      </c>
      <c r="F144" s="53" t="n">
        <v>35.7</v>
      </c>
      <c r="G144" s="54">
        <f>myParidad('Flujo de Fondos'!$N$5,$A144,F144,'Flujo de Fondos'!$N$7,'Flujo de Fondos'!$N$6)</f>
        <v/>
      </c>
      <c r="H144" s="56" t="n">
        <v>38.38</v>
      </c>
      <c r="I144" s="54">
        <f>myParidad('Flujo de Fondos'!$T$5,$A144,H144,'Flujo de Fondos'!$T$7,'Flujo de Fondos'!$T$6)</f>
        <v/>
      </c>
      <c r="J144" s="56" t="n">
        <v>32.9</v>
      </c>
      <c r="K144" s="54">
        <f>myParidad('Flujo de Fondos'!$B$34,$A144,J144,'Flujo de Fondos'!$B$36,'Flujo de Fondos'!$B$35)</f>
        <v/>
      </c>
      <c r="L144" s="53" t="n">
        <v>35.5</v>
      </c>
      <c r="M144" s="54">
        <f>myParidad('Flujo de Fondos'!$H$34,'Paridad usd'!$A144,'Paridad usd'!L144,'Flujo de Fondos'!$H$36,'Flujo de Fondos'!$H$35)</f>
        <v/>
      </c>
      <c r="N144" s="56" t="n">
        <v>33.5</v>
      </c>
      <c r="O144" s="54">
        <f>myParidad('Flujo de Fondos'!$N$34,$A144,N144,'Flujo de Fondos'!$N$36,'Flujo de Fondos'!$N$35)</f>
        <v/>
      </c>
      <c r="P144" s="57">
        <f>C144-G144</f>
        <v/>
      </c>
      <c r="Q144" s="57">
        <f>E144-C144</f>
        <v/>
      </c>
      <c r="R144" s="57">
        <f>C144-M144</f>
        <v/>
      </c>
      <c r="S144" s="55">
        <f>C144-O144</f>
        <v/>
      </c>
      <c r="T144" s="57">
        <f>E144-O144</f>
        <v/>
      </c>
      <c r="U144" s="57">
        <f>G144-O144</f>
        <v/>
      </c>
      <c r="V144" s="57">
        <f>G144-K144</f>
        <v/>
      </c>
      <c r="W144" s="57">
        <f>C144-K144</f>
        <v/>
      </c>
      <c r="X144" s="67">
        <f>I144-G144</f>
        <v/>
      </c>
      <c r="Y144" s="75">
        <f>G144-M144</f>
        <v/>
      </c>
    </row>
    <row r="145">
      <c r="A145" s="52" t="n">
        <v>44333</v>
      </c>
      <c r="B145" s="53" t="n">
        <v>38.05</v>
      </c>
      <c r="C145" s="54">
        <f>myParidad('Flujo de Fondos'!$B$5,A145,B145,'Flujo de Fondos'!$B$7,'Flujo de Fondos'!$B$6)</f>
        <v/>
      </c>
      <c r="D145" s="53" t="n">
        <v>40.7</v>
      </c>
      <c r="E145" s="55">
        <f>myParidad('Flujo de Fondos'!$H$5,$A145,D145,'Flujo de Fondos'!$H$7,'Flujo de Fondos'!$H$6)</f>
        <v/>
      </c>
      <c r="F145" s="53" t="n">
        <v>35.7</v>
      </c>
      <c r="G145" s="54">
        <f>myParidad('Flujo de Fondos'!$N$5,$A145,F145,'Flujo de Fondos'!$N$7,'Flujo de Fondos'!$N$6)</f>
        <v/>
      </c>
      <c r="H145" s="56" t="n">
        <v>38.38</v>
      </c>
      <c r="I145" s="54">
        <f>myParidad('Flujo de Fondos'!$T$5,$A145,H145,'Flujo de Fondos'!$T$7,'Flujo de Fondos'!$T$6)</f>
        <v/>
      </c>
      <c r="J145" s="56" t="n">
        <v>32.9</v>
      </c>
      <c r="K145" s="54">
        <f>myParidad('Flujo de Fondos'!$B$34,$A145,J145,'Flujo de Fondos'!$B$36,'Flujo de Fondos'!$B$35)</f>
        <v/>
      </c>
      <c r="L145" s="53" t="n">
        <v>35.2</v>
      </c>
      <c r="M145" s="54">
        <f>myParidad('Flujo de Fondos'!$H$34,'Paridad usd'!$A145,'Paridad usd'!L145,'Flujo de Fondos'!$H$36,'Flujo de Fondos'!$H$35)</f>
        <v/>
      </c>
      <c r="N145" s="56" t="n">
        <v>33.79</v>
      </c>
      <c r="O145" s="54">
        <f>myParidad('Flujo de Fondos'!$N$34,$A145,N145,'Flujo de Fondos'!$N$36,'Flujo de Fondos'!$N$35)</f>
        <v/>
      </c>
      <c r="P145" s="57">
        <f>C145-G145</f>
        <v/>
      </c>
      <c r="Q145" s="57">
        <f>E145-C145</f>
        <v/>
      </c>
      <c r="R145" s="57">
        <f>C145-M145</f>
        <v/>
      </c>
      <c r="S145" s="55">
        <f>C145-O145</f>
        <v/>
      </c>
      <c r="T145" s="57">
        <f>E145-O145</f>
        <v/>
      </c>
      <c r="U145" s="57">
        <f>G145-O145</f>
        <v/>
      </c>
      <c r="V145" s="57">
        <f>G145-K145</f>
        <v/>
      </c>
      <c r="W145" s="57">
        <f>C145-K145</f>
        <v/>
      </c>
      <c r="X145" s="67">
        <f>I145-G145</f>
        <v/>
      </c>
      <c r="Y145" s="75">
        <f>G145-M145</f>
        <v/>
      </c>
    </row>
    <row r="146">
      <c r="A146" s="52" t="n">
        <v>44330</v>
      </c>
      <c r="B146" s="53" t="n">
        <v>37.42</v>
      </c>
      <c r="C146" s="54">
        <f>myParidad('Flujo de Fondos'!$B$5,A146,B146,'Flujo de Fondos'!$B$7,'Flujo de Fondos'!$B$6)</f>
        <v/>
      </c>
      <c r="D146" s="53" t="n">
        <v>39.5</v>
      </c>
      <c r="E146" s="55">
        <f>myParidad('Flujo de Fondos'!$H$5,$A146,D146,'Flujo de Fondos'!$H$7,'Flujo de Fondos'!$H$6)</f>
        <v/>
      </c>
      <c r="F146" s="53" t="n">
        <v>35.09</v>
      </c>
      <c r="G146" s="54">
        <f>myParidad('Flujo de Fondos'!$N$5,$A146,F146,'Flujo de Fondos'!$N$7,'Flujo de Fondos'!$N$6)</f>
        <v/>
      </c>
      <c r="H146" s="56" t="n">
        <v>37.45</v>
      </c>
      <c r="I146" s="54">
        <f>myParidad('Flujo de Fondos'!$T$5,$A146,H146,'Flujo de Fondos'!$T$7,'Flujo de Fondos'!$T$6)</f>
        <v/>
      </c>
      <c r="J146" s="56" t="n">
        <v>32.45</v>
      </c>
      <c r="K146" s="54">
        <f>myParidad('Flujo de Fondos'!$B$34,$A146,J146,'Flujo de Fondos'!$B$36,'Flujo de Fondos'!$B$35)</f>
        <v/>
      </c>
      <c r="L146" s="53" t="n">
        <v>34.5</v>
      </c>
      <c r="M146" s="54">
        <f>myParidad('Flujo de Fondos'!$H$34,'Paridad usd'!$A146,'Paridad usd'!L146,'Flujo de Fondos'!$H$36,'Flujo de Fondos'!$H$35)</f>
        <v/>
      </c>
      <c r="N146" s="56" t="n">
        <v>33.05</v>
      </c>
      <c r="O146" s="54">
        <f>myParidad('Flujo de Fondos'!$N$34,$A146,N146,'Flujo de Fondos'!$N$36,'Flujo de Fondos'!$N$35)</f>
        <v/>
      </c>
      <c r="P146" s="57">
        <f>C146-G146</f>
        <v/>
      </c>
      <c r="Q146" s="57">
        <f>E146-C146</f>
        <v/>
      </c>
      <c r="R146" s="57">
        <f>C146-M146</f>
        <v/>
      </c>
      <c r="S146" s="55">
        <f>C146-O146</f>
        <v/>
      </c>
      <c r="T146" s="57">
        <f>E146-O146</f>
        <v/>
      </c>
      <c r="U146" s="57">
        <f>G146-O146</f>
        <v/>
      </c>
      <c r="V146" s="57">
        <f>G146-K146</f>
        <v/>
      </c>
      <c r="W146" s="57">
        <f>C146-K146</f>
        <v/>
      </c>
      <c r="X146" s="67">
        <f>I146-G146</f>
        <v/>
      </c>
      <c r="Y146" s="75">
        <f>G146-M146</f>
        <v/>
      </c>
    </row>
    <row r="147">
      <c r="A147" s="52" t="n">
        <v>44329</v>
      </c>
      <c r="B147" s="53" t="n">
        <v>36.45</v>
      </c>
      <c r="C147" s="54">
        <f>myParidad('Flujo de Fondos'!$B$5,A147,B147,'Flujo de Fondos'!$B$7,'Flujo de Fondos'!$B$6)</f>
        <v/>
      </c>
      <c r="D147" s="53" t="n">
        <v>38.71</v>
      </c>
      <c r="E147" s="55">
        <f>myParidad('Flujo de Fondos'!$H$5,$A147,D147,'Flujo de Fondos'!$H$7,'Flujo de Fondos'!$H$6)</f>
        <v/>
      </c>
      <c r="F147" s="53" t="n">
        <v>34.22</v>
      </c>
      <c r="G147" s="54">
        <f>myParidad('Flujo de Fondos'!$N$5,$A147,F147,'Flujo de Fondos'!$N$7,'Flujo de Fondos'!$N$6)</f>
        <v/>
      </c>
      <c r="H147" s="56" t="n">
        <v>36.45</v>
      </c>
      <c r="I147" s="54">
        <f>myParidad('Flujo de Fondos'!$T$5,$A147,H147,'Flujo de Fondos'!$T$7,'Flujo de Fondos'!$T$6)</f>
        <v/>
      </c>
      <c r="J147" s="56" t="n">
        <v>31.2</v>
      </c>
      <c r="K147" s="54">
        <f>myParidad('Flujo de Fondos'!$B$34,$A147,J147,'Flujo de Fondos'!$B$36,'Flujo de Fondos'!$B$35)</f>
        <v/>
      </c>
      <c r="L147" s="53" t="n">
        <v>33.53</v>
      </c>
      <c r="M147" s="54">
        <f>myParidad('Flujo de Fondos'!$H$34,'Paridad usd'!$A147,'Paridad usd'!L147,'Flujo de Fondos'!$H$36,'Flujo de Fondos'!$H$35)</f>
        <v/>
      </c>
      <c r="N147" s="56" t="n">
        <v>32.21</v>
      </c>
      <c r="O147" s="54">
        <f>myParidad('Flujo de Fondos'!$N$34,$A147,N147,'Flujo de Fondos'!$N$36,'Flujo de Fondos'!$N$35)</f>
        <v/>
      </c>
      <c r="P147" s="57">
        <f>C147-G147</f>
        <v/>
      </c>
      <c r="Q147" s="57">
        <f>E147-C147</f>
        <v/>
      </c>
      <c r="R147" s="57">
        <f>C147-M147</f>
        <v/>
      </c>
      <c r="S147" s="55">
        <f>C147-O147</f>
        <v/>
      </c>
      <c r="T147" s="57">
        <f>E147-O147</f>
        <v/>
      </c>
      <c r="U147" s="57">
        <f>G147-O147</f>
        <v/>
      </c>
      <c r="V147" s="57">
        <f>G147-K147</f>
        <v/>
      </c>
      <c r="W147" s="57">
        <f>C147-K147</f>
        <v/>
      </c>
      <c r="X147" s="67">
        <f>I147-G147</f>
        <v/>
      </c>
      <c r="Y147" s="75">
        <f>G147-M147</f>
        <v/>
      </c>
    </row>
    <row r="148">
      <c r="A148" s="52" t="n">
        <v>44328</v>
      </c>
      <c r="B148" s="53" t="n">
        <v>36.31</v>
      </c>
      <c r="C148" s="54">
        <f>myParidad('Flujo de Fondos'!$B$5,A148,B148,'Flujo de Fondos'!$B$7,'Flujo de Fondos'!$B$6)</f>
        <v/>
      </c>
      <c r="D148" s="53" t="n">
        <v>39.19</v>
      </c>
      <c r="E148" s="55">
        <f>myParidad('Flujo de Fondos'!$H$5,$A148,D148,'Flujo de Fondos'!$H$7,'Flujo de Fondos'!$H$6)</f>
        <v/>
      </c>
      <c r="F148" s="53" t="n">
        <v>34.11</v>
      </c>
      <c r="G148" s="54">
        <f>myParidad('Flujo de Fondos'!$N$5,$A148,F148,'Flujo de Fondos'!$N$7,'Flujo de Fondos'!$N$6)</f>
        <v/>
      </c>
      <c r="H148" s="56" t="n">
        <v>36.4</v>
      </c>
      <c r="I148" s="54">
        <f>myParidad('Flujo de Fondos'!$T$5,$A148,H148,'Flujo de Fondos'!$T$7,'Flujo de Fondos'!$T$6)</f>
        <v/>
      </c>
      <c r="J148" s="56" t="n">
        <v>31.32</v>
      </c>
      <c r="K148" s="54">
        <f>myParidad('Flujo de Fondos'!$B$34,$A148,J148,'Flujo de Fondos'!$B$36,'Flujo de Fondos'!$B$35)</f>
        <v/>
      </c>
      <c r="L148" s="53" t="n">
        <v>33.4</v>
      </c>
      <c r="M148" s="54">
        <f>myParidad('Flujo de Fondos'!$H$34,'Paridad usd'!$A148,'Paridad usd'!L148,'Flujo de Fondos'!$H$36,'Flujo de Fondos'!$H$35)</f>
        <v/>
      </c>
      <c r="N148" s="56" t="n">
        <v>32.25</v>
      </c>
      <c r="O148" s="54">
        <f>myParidad('Flujo de Fondos'!$N$34,$A148,N148,'Flujo de Fondos'!$N$36,'Flujo de Fondos'!$N$35)</f>
        <v/>
      </c>
      <c r="P148" s="57">
        <f>C148-G148</f>
        <v/>
      </c>
      <c r="Q148" s="57">
        <f>E148-C148</f>
        <v/>
      </c>
      <c r="R148" s="57">
        <f>C148-M148</f>
        <v/>
      </c>
      <c r="S148" s="55">
        <f>C148-O148</f>
        <v/>
      </c>
      <c r="T148" s="57">
        <f>E148-O148</f>
        <v/>
      </c>
      <c r="U148" s="57">
        <f>G148-O148</f>
        <v/>
      </c>
      <c r="V148" s="57">
        <f>G148-K148</f>
        <v/>
      </c>
      <c r="W148" s="57">
        <f>C148-K148</f>
        <v/>
      </c>
      <c r="X148" s="67">
        <f>I148-G148</f>
        <v/>
      </c>
      <c r="Y148" s="75">
        <f>G148-M148</f>
        <v/>
      </c>
    </row>
    <row r="149">
      <c r="A149" s="52" t="n">
        <v>44327</v>
      </c>
      <c r="B149" s="53" t="n">
        <v>35.99</v>
      </c>
      <c r="C149" s="54">
        <f>myParidad('Flujo de Fondos'!$B$5,A149,B149,'Flujo de Fondos'!$B$7,'Flujo de Fondos'!$B$6)</f>
        <v/>
      </c>
      <c r="D149" s="53" t="n">
        <v>38.82</v>
      </c>
      <c r="E149" s="55">
        <f>myParidad('Flujo de Fondos'!$H$5,$A149,D149,'Flujo de Fondos'!$H$7,'Flujo de Fondos'!$H$6)</f>
        <v/>
      </c>
      <c r="F149" s="53" t="n">
        <v>33.82</v>
      </c>
      <c r="G149" s="54">
        <f>myParidad('Flujo de Fondos'!$N$5,$A149,F149,'Flujo de Fondos'!$N$7,'Flujo de Fondos'!$N$6)</f>
        <v/>
      </c>
      <c r="H149" s="56" t="n">
        <v>35.9</v>
      </c>
      <c r="I149" s="54">
        <f>myParidad('Flujo de Fondos'!$T$5,$A149,H149,'Flujo de Fondos'!$T$7,'Flujo de Fondos'!$T$6)</f>
        <v/>
      </c>
      <c r="J149" s="56" t="n">
        <v>31.01</v>
      </c>
      <c r="K149" s="54">
        <f>myParidad('Flujo de Fondos'!$B$34,$A149,J149,'Flujo de Fondos'!$B$36,'Flujo de Fondos'!$B$35)</f>
        <v/>
      </c>
      <c r="L149" s="53" t="n">
        <v>33.15</v>
      </c>
      <c r="M149" s="54">
        <f>myParidad('Flujo de Fondos'!$H$34,'Paridad usd'!$A149,'Paridad usd'!L149,'Flujo de Fondos'!$H$36,'Flujo de Fondos'!$H$35)</f>
        <v/>
      </c>
      <c r="N149" s="56" t="n">
        <v>32</v>
      </c>
      <c r="O149" s="54">
        <f>myParidad('Flujo de Fondos'!$N$34,$A149,N149,'Flujo de Fondos'!$N$36,'Flujo de Fondos'!$N$35)</f>
        <v/>
      </c>
      <c r="P149" s="57">
        <f>C149-G149</f>
        <v/>
      </c>
      <c r="Q149" s="57">
        <f>E149-C149</f>
        <v/>
      </c>
      <c r="R149" s="57">
        <f>C149-M149</f>
        <v/>
      </c>
      <c r="S149" s="55">
        <f>C149-O149</f>
        <v/>
      </c>
      <c r="T149" s="57">
        <f>E149-O149</f>
        <v/>
      </c>
      <c r="U149" s="57">
        <f>G149-O149</f>
        <v/>
      </c>
      <c r="V149" s="57">
        <f>G149-K149</f>
        <v/>
      </c>
      <c r="W149" s="57">
        <f>C149-K149</f>
        <v/>
      </c>
      <c r="X149" s="67">
        <f>I149-G149</f>
        <v/>
      </c>
      <c r="Y149" s="75">
        <f>G149-M149</f>
        <v/>
      </c>
    </row>
    <row r="150">
      <c r="A150" s="52" t="n">
        <v>44326</v>
      </c>
      <c r="B150" s="53" t="n">
        <v>36.4</v>
      </c>
      <c r="C150" s="54">
        <f>myParidad('Flujo de Fondos'!$B$5,A150,B150,'Flujo de Fondos'!$B$7,'Flujo de Fondos'!$B$6)</f>
        <v/>
      </c>
      <c r="D150" s="53" t="n">
        <v>39.5</v>
      </c>
      <c r="E150" s="55">
        <f>myParidad('Flujo de Fondos'!$H$5,$A150,D150,'Flujo de Fondos'!$H$7,'Flujo de Fondos'!$H$6)</f>
        <v/>
      </c>
      <c r="F150" s="53" t="n">
        <v>34.4</v>
      </c>
      <c r="G150" s="54">
        <f>myParidad('Flujo de Fondos'!$N$5,$A150,F150,'Flujo de Fondos'!$N$7,'Flujo de Fondos'!$N$6)</f>
        <v/>
      </c>
      <c r="H150" s="56" t="n">
        <v>36.48</v>
      </c>
      <c r="I150" s="54">
        <f>myParidad('Flujo de Fondos'!$T$5,$A150,H150,'Flujo de Fondos'!$T$7,'Flujo de Fondos'!$T$6)</f>
        <v/>
      </c>
      <c r="J150" s="56" t="n">
        <v>31.4</v>
      </c>
      <c r="K150" s="54">
        <f>myParidad('Flujo de Fondos'!$B$34,$A150,J150,'Flujo de Fondos'!$B$36,'Flujo de Fondos'!$B$35)</f>
        <v/>
      </c>
      <c r="L150" s="53" t="n">
        <v>33.54</v>
      </c>
      <c r="M150" s="54">
        <f>myParidad('Flujo de Fondos'!$H$34,'Paridad usd'!$A150,'Paridad usd'!L150,'Flujo de Fondos'!$H$36,'Flujo de Fondos'!$H$35)</f>
        <v/>
      </c>
      <c r="N150" s="56" t="n">
        <v>32.25</v>
      </c>
      <c r="O150" s="54">
        <f>myParidad('Flujo de Fondos'!$N$34,$A150,N150,'Flujo de Fondos'!$N$36,'Flujo de Fondos'!$N$35)</f>
        <v/>
      </c>
      <c r="P150" s="57">
        <f>C150-G150</f>
        <v/>
      </c>
      <c r="Q150" s="57">
        <f>E150-C150</f>
        <v/>
      </c>
      <c r="R150" s="57">
        <f>C150-M150</f>
        <v/>
      </c>
      <c r="S150" s="55">
        <f>C150-O150</f>
        <v/>
      </c>
      <c r="T150" s="57">
        <f>E150-O150</f>
        <v/>
      </c>
      <c r="U150" s="57">
        <f>G150-O150</f>
        <v/>
      </c>
      <c r="V150" s="57">
        <f>G150-K150</f>
        <v/>
      </c>
      <c r="W150" s="57">
        <f>C150-K150</f>
        <v/>
      </c>
      <c r="X150" s="67">
        <f>I150-G150</f>
        <v/>
      </c>
      <c r="Y150" s="75">
        <f>G150-M150</f>
        <v/>
      </c>
    </row>
    <row r="151">
      <c r="A151" s="52" t="n">
        <v>44323</v>
      </c>
      <c r="B151" s="53" t="n">
        <v>36.3</v>
      </c>
      <c r="C151" s="54">
        <f>myParidad('Flujo de Fondos'!$B$5,A151,B151,'Flujo de Fondos'!$B$7,'Flujo de Fondos'!$B$6)</f>
        <v/>
      </c>
      <c r="D151" s="53" t="n">
        <v>38.8</v>
      </c>
      <c r="E151" s="55">
        <f>myParidad('Flujo de Fondos'!$H$5,$A151,D151,'Flujo de Fondos'!$H$7,'Flujo de Fondos'!$H$6)</f>
        <v/>
      </c>
      <c r="F151" s="53" t="n">
        <v>34.3</v>
      </c>
      <c r="G151" s="54">
        <f>myParidad('Flujo de Fondos'!$N$5,$A151,F151,'Flujo de Fondos'!$N$7,'Flujo de Fondos'!$N$6)</f>
        <v/>
      </c>
      <c r="H151" s="56" t="n">
        <v>36.32</v>
      </c>
      <c r="I151" s="54">
        <f>myParidad('Flujo de Fondos'!$T$5,$A151,H151,'Flujo de Fondos'!$T$7,'Flujo de Fondos'!$T$6)</f>
        <v/>
      </c>
      <c r="J151" s="56" t="n">
        <v>31.35</v>
      </c>
      <c r="K151" s="54">
        <f>myParidad('Flujo de Fondos'!$B$34,$A151,J151,'Flujo de Fondos'!$B$36,'Flujo de Fondos'!$B$35)</f>
        <v/>
      </c>
      <c r="L151" s="53" t="n">
        <v>33.45</v>
      </c>
      <c r="M151" s="54">
        <f>myParidad('Flujo de Fondos'!$H$34,'Paridad usd'!$A151,'Paridad usd'!L151,'Flujo de Fondos'!$H$36,'Flujo de Fondos'!$H$35)</f>
        <v/>
      </c>
      <c r="N151" s="56" t="n">
        <v>32.3</v>
      </c>
      <c r="O151" s="54">
        <f>myParidad('Flujo de Fondos'!$N$34,$A151,N151,'Flujo de Fondos'!$N$36,'Flujo de Fondos'!$N$35)</f>
        <v/>
      </c>
      <c r="P151" s="57">
        <f>C151-G151</f>
        <v/>
      </c>
      <c r="Q151" s="57">
        <f>E151-C151</f>
        <v/>
      </c>
      <c r="R151" s="57">
        <f>C151-M151</f>
        <v/>
      </c>
      <c r="S151" s="55">
        <f>C151-O151</f>
        <v/>
      </c>
      <c r="T151" s="57">
        <f>E151-O151</f>
        <v/>
      </c>
      <c r="U151" s="57">
        <f>G151-O151</f>
        <v/>
      </c>
      <c r="V151" s="57">
        <f>G151-K151</f>
        <v/>
      </c>
      <c r="W151" s="57">
        <f>C151-K151</f>
        <v/>
      </c>
      <c r="X151" s="67">
        <f>I151-G151</f>
        <v/>
      </c>
      <c r="Y151" s="75">
        <f>G151-M151</f>
        <v/>
      </c>
    </row>
    <row r="152">
      <c r="A152" s="52" t="n">
        <v>44322</v>
      </c>
      <c r="B152" s="53" t="n">
        <v>36.54</v>
      </c>
      <c r="C152" s="54">
        <f>myParidad('Flujo de Fondos'!$B$5,A152,B152,'Flujo de Fondos'!$B$7,'Flujo de Fondos'!$B$6)</f>
        <v/>
      </c>
      <c r="D152" s="53" t="n">
        <v>39.2</v>
      </c>
      <c r="E152" s="55">
        <f>myParidad('Flujo de Fondos'!$H$5,$A152,D152,'Flujo de Fondos'!$H$7,'Flujo de Fondos'!$H$6)</f>
        <v/>
      </c>
      <c r="F152" s="53" t="n">
        <v>34.77</v>
      </c>
      <c r="G152" s="54">
        <f>myParidad('Flujo de Fondos'!$N$5,$A152,F152,'Flujo de Fondos'!$N$7,'Flujo de Fondos'!$N$6)</f>
        <v/>
      </c>
      <c r="H152" s="56" t="n">
        <v>36.53</v>
      </c>
      <c r="I152" s="54">
        <f>myParidad('Flujo de Fondos'!$T$5,$A152,H152,'Flujo de Fondos'!$T$7,'Flujo de Fondos'!$T$6)</f>
        <v/>
      </c>
      <c r="J152" s="56" t="n">
        <v>31.56</v>
      </c>
      <c r="K152" s="54">
        <f>myParidad('Flujo de Fondos'!$B$34,$A152,J152,'Flujo de Fondos'!$B$36,'Flujo de Fondos'!$B$35)</f>
        <v/>
      </c>
      <c r="L152" s="53" t="n">
        <v>33.52</v>
      </c>
      <c r="M152" s="54">
        <f>myParidad('Flujo de Fondos'!$H$34,'Paridad usd'!$A152,'Paridad usd'!L152,'Flujo de Fondos'!$H$36,'Flujo de Fondos'!$H$35)</f>
        <v/>
      </c>
      <c r="N152" s="56" t="n">
        <v>32.49</v>
      </c>
      <c r="O152" s="54">
        <f>myParidad('Flujo de Fondos'!$N$34,$A152,N152,'Flujo de Fondos'!$N$36,'Flujo de Fondos'!$N$35)</f>
        <v/>
      </c>
      <c r="P152" s="57">
        <f>C152-G152</f>
        <v/>
      </c>
      <c r="Q152" s="57">
        <f>E152-C152</f>
        <v/>
      </c>
      <c r="R152" s="57">
        <f>C152-M152</f>
        <v/>
      </c>
      <c r="S152" s="55">
        <f>C152-O152</f>
        <v/>
      </c>
      <c r="T152" s="57">
        <f>E152-O152</f>
        <v/>
      </c>
      <c r="U152" s="57">
        <f>G152-O152</f>
        <v/>
      </c>
      <c r="V152" s="57">
        <f>G152-K152</f>
        <v/>
      </c>
      <c r="W152" s="57">
        <f>C152-K152</f>
        <v/>
      </c>
      <c r="X152" s="67">
        <f>I152-G152</f>
        <v/>
      </c>
      <c r="Y152" s="75">
        <f>G152-M152</f>
        <v/>
      </c>
    </row>
    <row r="153">
      <c r="A153" s="52" t="n">
        <v>44321</v>
      </c>
      <c r="B153" s="53" t="n">
        <v>36.6</v>
      </c>
      <c r="C153" s="54">
        <f>myParidad('Flujo de Fondos'!$B$5,A153,B153,'Flujo de Fondos'!$B$7,'Flujo de Fondos'!$B$6)</f>
        <v/>
      </c>
      <c r="D153" s="53" t="n">
        <v>38.75</v>
      </c>
      <c r="E153" s="55">
        <f>myParidad('Flujo de Fondos'!$H$5,$A153,D153,'Flujo de Fondos'!$H$7,'Flujo de Fondos'!$H$6)</f>
        <v/>
      </c>
      <c r="F153" s="53" t="n">
        <v>35.04</v>
      </c>
      <c r="G153" s="54">
        <f>myParidad('Flujo de Fondos'!$N$5,$A153,F153,'Flujo de Fondos'!$N$7,'Flujo de Fondos'!$N$6)</f>
        <v/>
      </c>
      <c r="H153" s="56" t="n">
        <v>36.82</v>
      </c>
      <c r="I153" s="54">
        <f>myParidad('Flujo de Fondos'!$T$5,$A153,H153,'Flujo de Fondos'!$T$7,'Flujo de Fondos'!$T$6)</f>
        <v/>
      </c>
      <c r="J153" s="56" t="n">
        <v>31.8</v>
      </c>
      <c r="K153" s="54">
        <f>myParidad('Flujo de Fondos'!$B$34,$A153,J153,'Flujo de Fondos'!$B$36,'Flujo de Fondos'!$B$35)</f>
        <v/>
      </c>
      <c r="L153" s="53" t="n">
        <v>33.87</v>
      </c>
      <c r="M153" s="54">
        <f>myParidad('Flujo de Fondos'!$H$34,'Paridad usd'!$A153,'Paridad usd'!L153,'Flujo de Fondos'!$H$36,'Flujo de Fondos'!$H$35)</f>
        <v/>
      </c>
      <c r="N153" s="56" t="n">
        <v>32.8</v>
      </c>
      <c r="O153" s="54">
        <f>myParidad('Flujo de Fondos'!$N$34,$A153,N153,'Flujo de Fondos'!$N$36,'Flujo de Fondos'!$N$35)</f>
        <v/>
      </c>
      <c r="P153" s="57">
        <f>C153-G153</f>
        <v/>
      </c>
      <c r="Q153" s="57">
        <f>E153-C153</f>
        <v/>
      </c>
      <c r="R153" s="57">
        <f>C153-M153</f>
        <v/>
      </c>
      <c r="S153" s="55">
        <f>C153-O153</f>
        <v/>
      </c>
      <c r="T153" s="57">
        <f>E153-O153</f>
        <v/>
      </c>
      <c r="U153" s="57">
        <f>G153-O153</f>
        <v/>
      </c>
      <c r="V153" s="57">
        <f>G153-K153</f>
        <v/>
      </c>
      <c r="W153" s="57">
        <f>C153-K153</f>
        <v/>
      </c>
      <c r="X153" s="67">
        <f>I153-G153</f>
        <v/>
      </c>
      <c r="Y153" s="75">
        <f>G153-M153</f>
        <v/>
      </c>
    </row>
    <row r="154">
      <c r="A154" s="52" t="n">
        <v>44320</v>
      </c>
      <c r="B154" s="53" t="n">
        <v>36.75</v>
      </c>
      <c r="C154" s="54">
        <f>myParidad('Flujo de Fondos'!$B$5,A154,B154,'Flujo de Fondos'!$B$7,'Flujo de Fondos'!$B$6)</f>
        <v/>
      </c>
      <c r="D154" s="53" t="n">
        <v>36.61</v>
      </c>
      <c r="E154" s="55">
        <f>myParidad('Flujo de Fondos'!$H$5,$A154,D154,'Flujo de Fondos'!$H$7,'Flujo de Fondos'!$H$6)</f>
        <v/>
      </c>
      <c r="F154" s="53" t="n">
        <v>35.12</v>
      </c>
      <c r="G154" s="54">
        <f>myParidad('Flujo de Fondos'!$N$5,$A154,F154,'Flujo de Fondos'!$N$7,'Flujo de Fondos'!$N$6)</f>
        <v/>
      </c>
      <c r="H154" s="56" t="n">
        <v>37.05</v>
      </c>
      <c r="I154" s="54">
        <f>myParidad('Flujo de Fondos'!$T$5,$A154,H154,'Flujo de Fondos'!$T$7,'Flujo de Fondos'!$T$6)</f>
        <v/>
      </c>
      <c r="J154" s="56" t="n">
        <v>32.01</v>
      </c>
      <c r="K154" s="54">
        <f>myParidad('Flujo de Fondos'!$B$34,$A154,J154,'Flujo de Fondos'!$B$36,'Flujo de Fondos'!$B$35)</f>
        <v/>
      </c>
      <c r="L154" s="53" t="n">
        <v>33.65</v>
      </c>
      <c r="M154" s="54">
        <f>myParidad('Flujo de Fondos'!$H$34,'Paridad usd'!$A154,'Paridad usd'!L154,'Flujo de Fondos'!$H$36,'Flujo de Fondos'!$H$35)</f>
        <v/>
      </c>
      <c r="N154" s="56" t="n">
        <v>32.83</v>
      </c>
      <c r="O154" s="54">
        <f>myParidad('Flujo de Fondos'!$N$34,$A154,N154,'Flujo de Fondos'!$N$36,'Flujo de Fondos'!$N$35)</f>
        <v/>
      </c>
      <c r="P154" s="57">
        <f>C154-G154</f>
        <v/>
      </c>
      <c r="Q154" s="57">
        <f>E154-C154</f>
        <v/>
      </c>
      <c r="R154" s="57">
        <f>C154-M154</f>
        <v/>
      </c>
      <c r="S154" s="55">
        <f>C154-O154</f>
        <v/>
      </c>
      <c r="T154" s="57">
        <f>E154-O154</f>
        <v/>
      </c>
      <c r="U154" s="57">
        <f>G154-O154</f>
        <v/>
      </c>
      <c r="V154" s="57">
        <f>G154-K154</f>
        <v/>
      </c>
      <c r="W154" s="57">
        <f>C154-K154</f>
        <v/>
      </c>
      <c r="X154" s="67">
        <f>I154-G154</f>
        <v/>
      </c>
      <c r="Y154" s="75">
        <f>G154-M154</f>
        <v/>
      </c>
    </row>
    <row r="155">
      <c r="A155" s="52" t="n">
        <v>44319</v>
      </c>
      <c r="B155" s="53" t="n">
        <v>36.77</v>
      </c>
      <c r="C155" s="54">
        <f>myParidad('Flujo de Fondos'!$B$5,A155,B155,'Flujo de Fondos'!$B$7,'Flujo de Fondos'!$B$6)</f>
        <v/>
      </c>
      <c r="D155" s="53" t="n">
        <v>39.56</v>
      </c>
      <c r="E155" s="55">
        <f>myParidad('Flujo de Fondos'!$H$5,$A155,D155,'Flujo de Fondos'!$H$7,'Flujo de Fondos'!$H$6)</f>
        <v/>
      </c>
      <c r="F155" s="53" t="n">
        <v>35.18</v>
      </c>
      <c r="G155" s="54">
        <f>myParidad('Flujo de Fondos'!$N$5,$A155,F155,'Flujo de Fondos'!$N$7,'Flujo de Fondos'!$N$6)</f>
        <v/>
      </c>
      <c r="H155" s="56" t="n">
        <v>37.07</v>
      </c>
      <c r="I155" s="54">
        <f>myParidad('Flujo de Fondos'!$T$5,$A155,H155,'Flujo de Fondos'!$T$7,'Flujo de Fondos'!$T$6)</f>
        <v/>
      </c>
      <c r="J155" s="56" t="n">
        <v>32</v>
      </c>
      <c r="K155" s="54">
        <f>myParidad('Flujo de Fondos'!$B$34,$A155,J155,'Flujo de Fondos'!$B$36,'Flujo de Fondos'!$B$35)</f>
        <v/>
      </c>
      <c r="L155" s="53" t="n">
        <v>33.65</v>
      </c>
      <c r="M155" s="54">
        <f>myParidad('Flujo de Fondos'!$H$34,'Paridad usd'!$A155,'Paridad usd'!L155,'Flujo de Fondos'!$H$36,'Flujo de Fondos'!$H$35)</f>
        <v/>
      </c>
      <c r="N155" s="56" t="n">
        <v>32.55</v>
      </c>
      <c r="O155" s="54">
        <f>myParidad('Flujo de Fondos'!$N$34,$A155,N155,'Flujo de Fondos'!$N$36,'Flujo de Fondos'!$N$35)</f>
        <v/>
      </c>
      <c r="P155" s="57">
        <f>C155-G155</f>
        <v/>
      </c>
      <c r="Q155" s="57">
        <f>E155-C155</f>
        <v/>
      </c>
      <c r="R155" s="57">
        <f>C155-M155</f>
        <v/>
      </c>
      <c r="S155" s="55">
        <f>C155-O155</f>
        <v/>
      </c>
      <c r="T155" s="57">
        <f>E155-O155</f>
        <v/>
      </c>
      <c r="U155" s="57">
        <f>G155-O155</f>
        <v/>
      </c>
      <c r="V155" s="57">
        <f>G155-K155</f>
        <v/>
      </c>
      <c r="W155" s="57">
        <f>C155-K155</f>
        <v/>
      </c>
      <c r="X155" s="67">
        <f>I155-G155</f>
        <v/>
      </c>
      <c r="Y155" s="75">
        <f>G155-M155</f>
        <v/>
      </c>
    </row>
    <row r="156">
      <c r="A156" s="52" t="n">
        <v>44316</v>
      </c>
      <c r="B156" s="53" t="n">
        <v>36.85</v>
      </c>
      <c r="C156" s="54">
        <f>myParidad('Flujo de Fondos'!$B$5,A156,B156,'Flujo de Fondos'!$B$7,'Flujo de Fondos'!$B$6)</f>
        <v/>
      </c>
      <c r="D156" s="53" t="n">
        <v>39</v>
      </c>
      <c r="E156" s="55">
        <f>myParidad('Flujo de Fondos'!$H$5,$A156,D156,'Flujo de Fondos'!$H$7,'Flujo de Fondos'!$H$6)</f>
        <v/>
      </c>
      <c r="F156" s="53" t="n">
        <v>35.16</v>
      </c>
      <c r="G156" s="54">
        <f>myParidad('Flujo de Fondos'!$N$5,$A156,F156,'Flujo de Fondos'!$N$7,'Flujo de Fondos'!$N$6)</f>
        <v/>
      </c>
      <c r="H156" s="56" t="n">
        <v>37.21</v>
      </c>
      <c r="I156" s="54">
        <f>myParidad('Flujo de Fondos'!$T$5,$A156,H156,'Flujo de Fondos'!$T$7,'Flujo de Fondos'!$T$6)</f>
        <v/>
      </c>
      <c r="J156" s="56" t="n">
        <v>32</v>
      </c>
      <c r="K156" s="54">
        <f>myParidad('Flujo de Fondos'!$B$34,$A156,J156,'Flujo de Fondos'!$B$36,'Flujo de Fondos'!$B$35)</f>
        <v/>
      </c>
      <c r="L156" s="53" t="n">
        <v>34.06</v>
      </c>
      <c r="M156" s="54">
        <f>myParidad('Flujo de Fondos'!$H$34,'Paridad usd'!$A156,'Paridad usd'!L156,'Flujo de Fondos'!$H$36,'Flujo de Fondos'!$H$35)</f>
        <v/>
      </c>
      <c r="N156" s="56" t="n">
        <v>32.95</v>
      </c>
      <c r="O156" s="54">
        <f>myParidad('Flujo de Fondos'!$N$34,$A156,N156,'Flujo de Fondos'!$N$36,'Flujo de Fondos'!$N$35)</f>
        <v/>
      </c>
      <c r="P156" s="57">
        <f>C156-G156</f>
        <v/>
      </c>
      <c r="Q156" s="57">
        <f>E156-C156</f>
        <v/>
      </c>
      <c r="R156" s="57">
        <f>C156-M156</f>
        <v/>
      </c>
      <c r="S156" s="55">
        <f>C156-O156</f>
        <v/>
      </c>
      <c r="T156" s="57">
        <f>E156-O156</f>
        <v/>
      </c>
      <c r="U156" s="57">
        <f>G156-O156</f>
        <v/>
      </c>
      <c r="V156" s="57">
        <f>G156-K156</f>
        <v/>
      </c>
      <c r="W156" s="57">
        <f>C156-K156</f>
        <v/>
      </c>
      <c r="X156" s="67">
        <f>I156-G156</f>
        <v/>
      </c>
      <c r="Y156" s="75">
        <f>G156-M156</f>
        <v/>
      </c>
    </row>
    <row r="157">
      <c r="A157" s="52" t="n">
        <v>44315</v>
      </c>
      <c r="B157" s="53" t="n">
        <v>36.8</v>
      </c>
      <c r="C157" s="54">
        <f>myParidad('Flujo de Fondos'!$B$5,A157,B157,'Flujo de Fondos'!$B$7,'Flujo de Fondos'!$B$6)</f>
        <v/>
      </c>
      <c r="D157" s="53" t="n">
        <v>39.7</v>
      </c>
      <c r="E157" s="55">
        <f>myParidad('Flujo de Fondos'!$H$5,$A157,D157,'Flujo de Fondos'!$H$7,'Flujo de Fondos'!$H$6)</f>
        <v/>
      </c>
      <c r="F157" s="53" t="n">
        <v>35.23</v>
      </c>
      <c r="G157" s="54">
        <f>myParidad('Flujo de Fondos'!$N$5,$A157,F157,'Flujo de Fondos'!$N$7,'Flujo de Fondos'!$N$6)</f>
        <v/>
      </c>
      <c r="H157" s="56" t="n">
        <v>36.75</v>
      </c>
      <c r="I157" s="54">
        <f>myParidad('Flujo de Fondos'!$T$5,$A157,H157,'Flujo de Fondos'!$T$7,'Flujo de Fondos'!$T$6)</f>
        <v/>
      </c>
      <c r="J157" s="56" t="n">
        <v>31.75</v>
      </c>
      <c r="K157" s="54">
        <f>myParidad('Flujo de Fondos'!$B$34,$A157,J157,'Flujo de Fondos'!$B$36,'Flujo de Fondos'!$B$35)</f>
        <v/>
      </c>
      <c r="L157" s="53" t="n">
        <v>33.9</v>
      </c>
      <c r="M157" s="54">
        <f>myParidad('Flujo de Fondos'!$H$34,'Paridad usd'!$A157,'Paridad usd'!L157,'Flujo de Fondos'!$H$36,'Flujo de Fondos'!$H$35)</f>
        <v/>
      </c>
      <c r="N157" s="56" t="n">
        <v>32.75</v>
      </c>
      <c r="O157" s="54">
        <f>myParidad('Flujo de Fondos'!$N$34,$A157,N157,'Flujo de Fondos'!$N$36,'Flujo de Fondos'!$N$35)</f>
        <v/>
      </c>
      <c r="P157" s="57">
        <f>C157-G157</f>
        <v/>
      </c>
      <c r="Q157" s="57">
        <f>E157-C157</f>
        <v/>
      </c>
      <c r="R157" s="57">
        <f>C157-M157</f>
        <v/>
      </c>
      <c r="S157" s="55">
        <f>C157-O157</f>
        <v/>
      </c>
      <c r="T157" s="57">
        <f>E157-O157</f>
        <v/>
      </c>
      <c r="U157" s="57">
        <f>G157-O157</f>
        <v/>
      </c>
      <c r="V157" s="57">
        <f>G157-K157</f>
        <v/>
      </c>
      <c r="W157" s="57">
        <f>C157-K157</f>
        <v/>
      </c>
      <c r="X157" s="67">
        <f>I157-G157</f>
        <v/>
      </c>
      <c r="Y157" s="75">
        <f>G157-M157</f>
        <v/>
      </c>
    </row>
    <row r="158">
      <c r="A158" s="52" t="n">
        <v>44314</v>
      </c>
      <c r="B158" s="53" t="n">
        <v>37.25</v>
      </c>
      <c r="C158" s="54">
        <f>myParidad('Flujo de Fondos'!$B$5,A158,B158,'Flujo de Fondos'!$B$7,'Flujo de Fondos'!$B$6)</f>
        <v/>
      </c>
      <c r="D158" s="53" t="n">
        <v>39.25</v>
      </c>
      <c r="E158" s="55">
        <f>myParidad('Flujo de Fondos'!$H$5,$A158,D158,'Flujo de Fondos'!$H$7,'Flujo de Fondos'!$H$6)</f>
        <v/>
      </c>
      <c r="F158" s="53" t="n">
        <v>35.35</v>
      </c>
      <c r="G158" s="54">
        <f>myParidad('Flujo de Fondos'!$N$5,$A158,F158,'Flujo de Fondos'!$N$7,'Flujo de Fondos'!$N$6)</f>
        <v/>
      </c>
      <c r="H158" s="56" t="n">
        <v>36.96</v>
      </c>
      <c r="I158" s="54">
        <f>myParidad('Flujo de Fondos'!$T$5,$A158,H158,'Flujo de Fondos'!$T$7,'Flujo de Fondos'!$T$6)</f>
        <v/>
      </c>
      <c r="J158" s="56" t="n">
        <v>32.2</v>
      </c>
      <c r="K158" s="54">
        <f>myParidad('Flujo de Fondos'!$B$34,$A158,J158,'Flujo de Fondos'!$B$36,'Flujo de Fondos'!$B$35)</f>
        <v/>
      </c>
      <c r="L158" s="53" t="n">
        <v>34.3</v>
      </c>
      <c r="M158" s="54">
        <f>myParidad('Flujo de Fondos'!$H$34,'Paridad usd'!$A158,'Paridad usd'!L158,'Flujo de Fondos'!$H$36,'Flujo de Fondos'!$H$35)</f>
        <v/>
      </c>
      <c r="N158" s="56" t="n">
        <v>33.15</v>
      </c>
      <c r="O158" s="54">
        <f>myParidad('Flujo de Fondos'!$N$34,$A158,N158,'Flujo de Fondos'!$N$36,'Flujo de Fondos'!$N$35)</f>
        <v/>
      </c>
      <c r="P158" s="57">
        <f>C158-G158</f>
        <v/>
      </c>
      <c r="Q158" s="57">
        <f>E158-C158</f>
        <v/>
      </c>
      <c r="R158" s="57">
        <f>C158-M158</f>
        <v/>
      </c>
      <c r="S158" s="55">
        <f>C158-O158</f>
        <v/>
      </c>
      <c r="T158" s="57">
        <f>E158-O158</f>
        <v/>
      </c>
      <c r="U158" s="57">
        <f>G158-O158</f>
        <v/>
      </c>
      <c r="V158" s="57">
        <f>G158-K158</f>
        <v/>
      </c>
      <c r="W158" s="57">
        <f>C158-K158</f>
        <v/>
      </c>
      <c r="X158" s="67">
        <f>I158-G158</f>
        <v/>
      </c>
      <c r="Y158" s="75">
        <f>G158-M158</f>
        <v/>
      </c>
    </row>
    <row r="159">
      <c r="A159" s="52" t="n">
        <v>44313</v>
      </c>
      <c r="B159" s="53" t="n">
        <v>36.98</v>
      </c>
      <c r="C159" s="54">
        <f>myParidad('Flujo de Fondos'!$B$5,A159,B159,'Flujo de Fondos'!$B$7,'Flujo de Fondos'!$B$6)</f>
        <v/>
      </c>
      <c r="D159" s="53" t="n">
        <v>39.4</v>
      </c>
      <c r="E159" s="55">
        <f>myParidad('Flujo de Fondos'!$H$5,$A159,D159,'Flujo de Fondos'!$H$7,'Flujo de Fondos'!$H$6)</f>
        <v/>
      </c>
      <c r="F159" s="53" t="n">
        <v>35.25</v>
      </c>
      <c r="G159" s="54">
        <f>myParidad('Flujo de Fondos'!$N$5,$A159,F159,'Flujo de Fondos'!$N$7,'Flujo de Fondos'!$N$6)</f>
        <v/>
      </c>
      <c r="H159" s="56" t="n">
        <v>37.14</v>
      </c>
      <c r="I159" s="54">
        <f>myParidad('Flujo de Fondos'!$T$5,$A159,H159,'Flujo de Fondos'!$T$7,'Flujo de Fondos'!$T$6)</f>
        <v/>
      </c>
      <c r="J159" s="56" t="n">
        <v>32.05</v>
      </c>
      <c r="K159" s="54">
        <f>myParidad('Flujo de Fondos'!$B$34,$A159,J159,'Flujo de Fondos'!$B$36,'Flujo de Fondos'!$B$35)</f>
        <v/>
      </c>
      <c r="L159" s="53" t="n">
        <v>33.9</v>
      </c>
      <c r="M159" s="54">
        <f>myParidad('Flujo de Fondos'!$H$34,'Paridad usd'!$A159,'Paridad usd'!L159,'Flujo de Fondos'!$H$36,'Flujo de Fondos'!$H$35)</f>
        <v/>
      </c>
      <c r="N159" s="56" t="n">
        <v>32.95</v>
      </c>
      <c r="O159" s="54">
        <f>myParidad('Flujo de Fondos'!$N$34,$A159,N159,'Flujo de Fondos'!$N$36,'Flujo de Fondos'!$N$35)</f>
        <v/>
      </c>
      <c r="P159" s="57">
        <f>C159-G159</f>
        <v/>
      </c>
      <c r="Q159" s="57">
        <f>E159-C159</f>
        <v/>
      </c>
      <c r="R159" s="57">
        <f>C159-M159</f>
        <v/>
      </c>
      <c r="S159" s="55">
        <f>C159-O159</f>
        <v/>
      </c>
      <c r="T159" s="57">
        <f>E159-O159</f>
        <v/>
      </c>
      <c r="U159" s="57">
        <f>G159-O159</f>
        <v/>
      </c>
      <c r="V159" s="57">
        <f>G159-K159</f>
        <v/>
      </c>
      <c r="W159" s="57">
        <f>C159-K159</f>
        <v/>
      </c>
      <c r="X159" s="67">
        <f>I159-G159</f>
        <v/>
      </c>
      <c r="Y159" s="75">
        <f>G159-M159</f>
        <v/>
      </c>
    </row>
    <row r="160">
      <c r="A160" s="52" t="n">
        <v>44312</v>
      </c>
      <c r="B160" s="53" t="n">
        <v>36.84</v>
      </c>
      <c r="C160" s="54">
        <f>myParidad('Flujo de Fondos'!$B$5,A160,B160,'Flujo de Fondos'!$B$7,'Flujo de Fondos'!$B$6)</f>
        <v/>
      </c>
      <c r="D160" s="53" t="n">
        <v>39.5</v>
      </c>
      <c r="E160" s="55">
        <f>myParidad('Flujo de Fondos'!$H$5,$A160,D160,'Flujo de Fondos'!$H$7,'Flujo de Fondos'!$H$6)</f>
        <v/>
      </c>
      <c r="F160" s="53" t="n">
        <v>34.87</v>
      </c>
      <c r="G160" s="54">
        <f>myParidad('Flujo de Fondos'!$N$5,$A160,F160,'Flujo de Fondos'!$N$7,'Flujo de Fondos'!$N$6)</f>
        <v/>
      </c>
      <c r="H160" s="56" t="n">
        <v>36.85</v>
      </c>
      <c r="I160" s="54">
        <f>myParidad('Flujo de Fondos'!$T$5,$A160,H160,'Flujo de Fondos'!$T$7,'Flujo de Fondos'!$T$6)</f>
        <v/>
      </c>
      <c r="J160" s="56" t="n">
        <v>31.5</v>
      </c>
      <c r="K160" s="54">
        <f>myParidad('Flujo de Fondos'!$B$34,$A160,J160,'Flujo de Fondos'!$B$36,'Flujo de Fondos'!$B$35)</f>
        <v/>
      </c>
      <c r="L160" s="53" t="n">
        <v>33.75</v>
      </c>
      <c r="M160" s="54">
        <f>myParidad('Flujo de Fondos'!$H$34,'Paridad usd'!$A160,'Paridad usd'!L160,'Flujo de Fondos'!$H$36,'Flujo de Fondos'!$H$35)</f>
        <v/>
      </c>
      <c r="N160" s="56" t="n">
        <v>32.8</v>
      </c>
      <c r="O160" s="54">
        <f>myParidad('Flujo de Fondos'!$N$34,$A160,N160,'Flujo de Fondos'!$N$36,'Flujo de Fondos'!$N$35)</f>
        <v/>
      </c>
      <c r="P160" s="57">
        <f>C160-G160</f>
        <v/>
      </c>
      <c r="Q160" s="57">
        <f>E160-C160</f>
        <v/>
      </c>
      <c r="R160" s="57">
        <f>C160-M160</f>
        <v/>
      </c>
      <c r="S160" s="55">
        <f>C160-O160</f>
        <v/>
      </c>
      <c r="T160" s="57">
        <f>E160-O160</f>
        <v/>
      </c>
      <c r="U160" s="57">
        <f>G160-O160</f>
        <v/>
      </c>
      <c r="V160" s="57">
        <f>G160-K160</f>
        <v/>
      </c>
      <c r="W160" s="57">
        <f>C160-K160</f>
        <v/>
      </c>
      <c r="X160" s="67">
        <f>I160-G160</f>
        <v/>
      </c>
      <c r="Y160" s="75">
        <f>G160-M160</f>
        <v/>
      </c>
    </row>
    <row r="161">
      <c r="A161" s="52" t="n">
        <v>44309</v>
      </c>
      <c r="B161" s="53" t="n">
        <v>36.55</v>
      </c>
      <c r="C161" s="54">
        <f>myParidad('Flujo de Fondos'!$B$5,A161,B161,'Flujo de Fondos'!$B$7,'Flujo de Fondos'!$B$6)</f>
        <v/>
      </c>
      <c r="D161" s="53" t="n">
        <v>39.75</v>
      </c>
      <c r="E161" s="55">
        <f>myParidad('Flujo de Fondos'!$H$5,$A161,D161,'Flujo de Fondos'!$H$7,'Flujo de Fondos'!$H$6)</f>
        <v/>
      </c>
      <c r="F161" s="53" t="n">
        <v>34.22</v>
      </c>
      <c r="G161" s="54">
        <f>myParidad('Flujo de Fondos'!$N$5,$A161,F161,'Flujo de Fondos'!$N$7,'Flujo de Fondos'!$N$6)</f>
        <v/>
      </c>
      <c r="H161" s="56" t="n">
        <v>36.66</v>
      </c>
      <c r="I161" s="54">
        <f>myParidad('Flujo de Fondos'!$T$5,$A161,H161,'Flujo de Fondos'!$T$7,'Flujo de Fondos'!$T$6)</f>
        <v/>
      </c>
      <c r="J161" s="56" t="n">
        <v>31.5</v>
      </c>
      <c r="K161" s="54">
        <f>myParidad('Flujo de Fondos'!$B$34,$A161,J161,'Flujo de Fondos'!$B$36,'Flujo de Fondos'!$B$35)</f>
        <v/>
      </c>
      <c r="L161" s="53" t="n">
        <v>33.87</v>
      </c>
      <c r="M161" s="54">
        <f>myParidad('Flujo de Fondos'!$H$34,'Paridad usd'!$A161,'Paridad usd'!L161,'Flujo de Fondos'!$H$36,'Flujo de Fondos'!$H$35)</f>
        <v/>
      </c>
      <c r="N161" s="56" t="n">
        <v>32.8</v>
      </c>
      <c r="O161" s="54">
        <f>myParidad('Flujo de Fondos'!$N$34,$A161,N161,'Flujo de Fondos'!$N$36,'Flujo de Fondos'!$N$35)</f>
        <v/>
      </c>
      <c r="P161" s="57">
        <f>C161-G161</f>
        <v/>
      </c>
      <c r="Q161" s="57">
        <f>E161-C161</f>
        <v/>
      </c>
      <c r="R161" s="57">
        <f>C161-M161</f>
        <v/>
      </c>
      <c r="S161" s="55">
        <f>C161-O161</f>
        <v/>
      </c>
      <c r="T161" s="57">
        <f>E161-O161</f>
        <v/>
      </c>
      <c r="U161" s="57">
        <f>G161-O161</f>
        <v/>
      </c>
      <c r="V161" s="57">
        <f>G161-K161</f>
        <v/>
      </c>
      <c r="W161" s="57">
        <f>C161-K161</f>
        <v/>
      </c>
      <c r="X161" s="67">
        <f>I161-G161</f>
        <v/>
      </c>
      <c r="Y161" s="75">
        <f>G161-M161</f>
        <v/>
      </c>
    </row>
    <row r="162">
      <c r="A162" s="52" t="n">
        <v>44308</v>
      </c>
      <c r="B162" s="53" t="n">
        <v>36.6</v>
      </c>
      <c r="C162" s="54">
        <f>myParidad('Flujo de Fondos'!$B$5,A162,B162,'Flujo de Fondos'!$B$7,'Flujo de Fondos'!$B$6)</f>
        <v/>
      </c>
      <c r="D162" s="53" t="n">
        <v>39.8</v>
      </c>
      <c r="E162" s="55">
        <f>myParidad('Flujo de Fondos'!$H$5,$A162,D162,'Flujo de Fondos'!$H$7,'Flujo de Fondos'!$H$6)</f>
        <v/>
      </c>
      <c r="F162" s="53" t="n">
        <v>34.37</v>
      </c>
      <c r="G162" s="54">
        <f>myParidad('Flujo de Fondos'!$N$5,$A162,F162,'Flujo de Fondos'!$N$7,'Flujo de Fondos'!$N$6)</f>
        <v/>
      </c>
      <c r="H162" s="56" t="n">
        <v>36.7</v>
      </c>
      <c r="I162" s="54">
        <f>myParidad('Flujo de Fondos'!$T$5,$A162,H162,'Flujo de Fondos'!$T$7,'Flujo de Fondos'!$T$6)</f>
        <v/>
      </c>
      <c r="J162" s="56" t="n">
        <v>31.16</v>
      </c>
      <c r="K162" s="54">
        <f>myParidad('Flujo de Fondos'!$B$34,$A162,J162,'Flujo de Fondos'!$B$36,'Flujo de Fondos'!$B$35)</f>
        <v/>
      </c>
      <c r="L162" s="53" t="n">
        <v>34.2</v>
      </c>
      <c r="M162" s="54">
        <f>myParidad('Flujo de Fondos'!$H$34,'Paridad usd'!$A162,'Paridad usd'!L162,'Flujo de Fondos'!$H$36,'Flujo de Fondos'!$H$35)</f>
        <v/>
      </c>
      <c r="N162" s="56" t="n">
        <v>33.45</v>
      </c>
      <c r="O162" s="54">
        <f>myParidad('Flujo de Fondos'!$N$34,$A162,N162,'Flujo de Fondos'!$N$36,'Flujo de Fondos'!$N$35)</f>
        <v/>
      </c>
      <c r="P162" s="57">
        <f>C162-G162</f>
        <v/>
      </c>
      <c r="Q162" s="57">
        <f>E162-C162</f>
        <v/>
      </c>
      <c r="R162" s="57">
        <f>C162-M162</f>
        <v/>
      </c>
      <c r="S162" s="55">
        <f>C162-O162</f>
        <v/>
      </c>
      <c r="T162" s="57">
        <f>E162-O162</f>
        <v/>
      </c>
      <c r="U162" s="57">
        <f>G162-O162</f>
        <v/>
      </c>
      <c r="V162" s="57">
        <f>G162-K162</f>
        <v/>
      </c>
      <c r="W162" s="57">
        <f>C162-K162</f>
        <v/>
      </c>
      <c r="X162" s="67">
        <f>I162-G162</f>
        <v/>
      </c>
      <c r="Y162" s="75">
        <f>G162-M162</f>
        <v/>
      </c>
    </row>
    <row r="163">
      <c r="A163" s="52" t="n">
        <v>44307</v>
      </c>
      <c r="B163" s="53" t="n">
        <v>36.4</v>
      </c>
      <c r="C163" s="54">
        <f>myParidad('Flujo de Fondos'!$B$5,A163,B163,'Flujo de Fondos'!$B$7,'Flujo de Fondos'!$B$6)</f>
        <v/>
      </c>
      <c r="D163" s="53" t="n">
        <v>39</v>
      </c>
      <c r="E163" s="55">
        <f>myParidad('Flujo de Fondos'!$H$5,$A163,D163,'Flujo de Fondos'!$H$7,'Flujo de Fondos'!$H$6)</f>
        <v/>
      </c>
      <c r="F163" s="53" t="n">
        <v>34.35</v>
      </c>
      <c r="G163" s="54">
        <f>myParidad('Flujo de Fondos'!$N$5,$A163,F163,'Flujo de Fondos'!$N$7,'Flujo de Fondos'!$N$6)</f>
        <v/>
      </c>
      <c r="H163" s="56" t="n">
        <v>36.63</v>
      </c>
      <c r="I163" s="54">
        <f>myParidad('Flujo de Fondos'!$T$5,$A163,H163,'Flujo de Fondos'!$T$7,'Flujo de Fondos'!$T$6)</f>
        <v/>
      </c>
      <c r="J163" s="56" t="n">
        <v>30.95</v>
      </c>
      <c r="K163" s="54">
        <f>myParidad('Flujo de Fondos'!$B$34,$A163,J163,'Flujo de Fondos'!$B$36,'Flujo de Fondos'!$B$35)</f>
        <v/>
      </c>
      <c r="L163" s="53" t="n">
        <v>33.8</v>
      </c>
      <c r="M163" s="54">
        <f>myParidad('Flujo de Fondos'!$H$34,'Paridad usd'!$A163,'Paridad usd'!L163,'Flujo de Fondos'!$H$36,'Flujo de Fondos'!$H$35)</f>
        <v/>
      </c>
      <c r="N163" s="56" t="n">
        <v>33</v>
      </c>
      <c r="O163" s="54">
        <f>myParidad('Flujo de Fondos'!$N$34,$A163,N163,'Flujo de Fondos'!$N$36,'Flujo de Fondos'!$N$35)</f>
        <v/>
      </c>
      <c r="P163" s="57">
        <f>C163-G163</f>
        <v/>
      </c>
      <c r="Q163" s="57">
        <f>E163-C163</f>
        <v/>
      </c>
      <c r="R163" s="57">
        <f>C163-M163</f>
        <v/>
      </c>
      <c r="S163" s="55">
        <f>C163-O163</f>
        <v/>
      </c>
      <c r="T163" s="57">
        <f>E163-O163</f>
        <v/>
      </c>
      <c r="U163" s="57">
        <f>G163-O163</f>
        <v/>
      </c>
      <c r="V163" s="57">
        <f>G163-K163</f>
        <v/>
      </c>
      <c r="W163" s="57">
        <f>C163-K163</f>
        <v/>
      </c>
      <c r="X163" s="67">
        <f>I163-G163</f>
        <v/>
      </c>
      <c r="Y163" s="75">
        <f>G163-M163</f>
        <v/>
      </c>
    </row>
    <row r="164">
      <c r="A164" s="52" t="n">
        <v>44306</v>
      </c>
      <c r="B164" s="53" t="n">
        <v>36.15</v>
      </c>
      <c r="C164" s="54">
        <f>myParidad('Flujo de Fondos'!$B$5,A164,B164,'Flujo de Fondos'!$B$7,'Flujo de Fondos'!$B$6)</f>
        <v/>
      </c>
      <c r="D164" s="53" t="n">
        <v>39.35</v>
      </c>
      <c r="E164" s="55">
        <f>myParidad('Flujo de Fondos'!$H$5,$A164,D164,'Flujo de Fondos'!$H$7,'Flujo de Fondos'!$H$6)</f>
        <v/>
      </c>
      <c r="F164" s="53" t="n">
        <v>34.26</v>
      </c>
      <c r="G164" s="54">
        <f>myParidad('Flujo de Fondos'!$N$5,$A164,F164,'Flujo de Fondos'!$N$7,'Flujo de Fondos'!$N$6)</f>
        <v/>
      </c>
      <c r="H164" s="56" t="n">
        <v>36.2</v>
      </c>
      <c r="I164" s="54">
        <f>myParidad('Flujo de Fondos'!$T$5,$A164,H164,'Flujo de Fondos'!$T$7,'Flujo de Fondos'!$T$6)</f>
        <v/>
      </c>
      <c r="J164" s="56" t="n">
        <v>30.86</v>
      </c>
      <c r="K164" s="54">
        <f>myParidad('Flujo de Fondos'!$B$34,$A164,J164,'Flujo de Fondos'!$B$36,'Flujo de Fondos'!$B$35)</f>
        <v/>
      </c>
      <c r="L164" s="53" t="n">
        <v>33.65</v>
      </c>
      <c r="M164" s="54">
        <f>myParidad('Flujo de Fondos'!$H$34,'Paridad usd'!$A164,'Paridad usd'!L164,'Flujo de Fondos'!$H$36,'Flujo de Fondos'!$H$35)</f>
        <v/>
      </c>
      <c r="N164" s="56" t="n">
        <v>33</v>
      </c>
      <c r="O164" s="54">
        <f>myParidad('Flujo de Fondos'!$N$34,$A164,N164,'Flujo de Fondos'!$N$36,'Flujo de Fondos'!$N$35)</f>
        <v/>
      </c>
      <c r="P164" s="57">
        <f>C164-G164</f>
        <v/>
      </c>
      <c r="Q164" s="57">
        <f>E164-C164</f>
        <v/>
      </c>
      <c r="R164" s="57">
        <f>C164-M164</f>
        <v/>
      </c>
      <c r="S164" s="55">
        <f>C164-O164</f>
        <v/>
      </c>
      <c r="T164" s="57">
        <f>E164-O164</f>
        <v/>
      </c>
      <c r="U164" s="57">
        <f>G164-O164</f>
        <v/>
      </c>
      <c r="V164" s="57">
        <f>G164-K164</f>
        <v/>
      </c>
      <c r="W164" s="57">
        <f>C164-K164</f>
        <v/>
      </c>
      <c r="X164" s="67">
        <f>I164-G164</f>
        <v/>
      </c>
      <c r="Y164" s="75">
        <f>G164-M164</f>
        <v/>
      </c>
    </row>
    <row r="165">
      <c r="A165" s="52" t="n">
        <v>44305</v>
      </c>
      <c r="B165" s="53" t="n">
        <v>36.2</v>
      </c>
      <c r="C165" s="54">
        <f>myParidad('Flujo de Fondos'!$B$5,A165,B165,'Flujo de Fondos'!$B$7,'Flujo de Fondos'!$B$6)</f>
        <v/>
      </c>
      <c r="D165" s="53" t="n">
        <v>39.31</v>
      </c>
      <c r="E165" s="55">
        <f>myParidad('Flujo de Fondos'!$H$5,$A165,D165,'Flujo de Fondos'!$H$7,'Flujo de Fondos'!$H$6)</f>
        <v/>
      </c>
      <c r="F165" s="53" t="n">
        <v>34.37</v>
      </c>
      <c r="G165" s="54">
        <f>myParidad('Flujo de Fondos'!$N$5,$A165,F165,'Flujo de Fondos'!$N$7,'Flujo de Fondos'!$N$6)</f>
        <v/>
      </c>
      <c r="H165" s="56" t="n">
        <v>36.49</v>
      </c>
      <c r="I165" s="54">
        <f>myParidad('Flujo de Fondos'!$T$5,$A165,H165,'Flujo de Fondos'!$T$7,'Flujo de Fondos'!$T$6)</f>
        <v/>
      </c>
      <c r="J165" s="56" t="n">
        <v>30.8</v>
      </c>
      <c r="K165" s="54">
        <f>myParidad('Flujo de Fondos'!$B$34,$A165,J165,'Flujo de Fondos'!$B$36,'Flujo de Fondos'!$B$35)</f>
        <v/>
      </c>
      <c r="L165" s="53" t="n">
        <v>33.5</v>
      </c>
      <c r="M165" s="54">
        <f>myParidad('Flujo de Fondos'!$H$34,'Paridad usd'!$A165,'Paridad usd'!L165,'Flujo de Fondos'!$H$36,'Flujo de Fondos'!$H$35)</f>
        <v/>
      </c>
      <c r="N165" s="56" t="n">
        <v>33.15</v>
      </c>
      <c r="O165" s="54">
        <f>myParidad('Flujo de Fondos'!$N$34,$A165,N165,'Flujo de Fondos'!$N$36,'Flujo de Fondos'!$N$35)</f>
        <v/>
      </c>
      <c r="P165" s="57">
        <f>C165-G165</f>
        <v/>
      </c>
      <c r="Q165" s="57">
        <f>E165-C165</f>
        <v/>
      </c>
      <c r="R165" s="57">
        <f>C165-M165</f>
        <v/>
      </c>
      <c r="S165" s="55">
        <f>C165-O165</f>
        <v/>
      </c>
      <c r="T165" s="57">
        <f>E165-O165</f>
        <v/>
      </c>
      <c r="U165" s="57">
        <f>G165-O165</f>
        <v/>
      </c>
      <c r="V165" s="57">
        <f>G165-K165</f>
        <v/>
      </c>
      <c r="W165" s="57">
        <f>C165-K165</f>
        <v/>
      </c>
      <c r="X165" s="67">
        <f>I165-G165</f>
        <v/>
      </c>
      <c r="Y165" s="75">
        <f>G165-M165</f>
        <v/>
      </c>
    </row>
    <row r="166">
      <c r="A166" s="52" t="n">
        <v>44302</v>
      </c>
      <c r="B166" s="53" t="n">
        <v>36.2</v>
      </c>
      <c r="C166" s="54">
        <f>myParidad('Flujo de Fondos'!$B$5,A166,B166,'Flujo de Fondos'!$B$7,'Flujo de Fondos'!$B$6)</f>
        <v/>
      </c>
      <c r="D166" s="53" t="n">
        <v>38.91</v>
      </c>
      <c r="E166" s="55">
        <f>myParidad('Flujo de Fondos'!$H$5,$A166,D166,'Flujo de Fondos'!$H$7,'Flujo de Fondos'!$H$6)</f>
        <v/>
      </c>
      <c r="F166" s="53" t="n">
        <v>34.2</v>
      </c>
      <c r="G166" s="54">
        <f>myParidad('Flujo de Fondos'!$N$5,$A166,F166,'Flujo de Fondos'!$N$7,'Flujo de Fondos'!$N$6)</f>
        <v/>
      </c>
      <c r="H166" s="56" t="n">
        <v>36.4</v>
      </c>
      <c r="I166" s="54">
        <f>myParidad('Flujo de Fondos'!$T$5,$A166,H166,'Flujo de Fondos'!$T$7,'Flujo de Fondos'!$T$6)</f>
        <v/>
      </c>
      <c r="J166" s="56" t="n">
        <v>31</v>
      </c>
      <c r="K166" s="54">
        <f>myParidad('Flujo de Fondos'!$B$34,$A166,J166,'Flujo de Fondos'!$B$36,'Flujo de Fondos'!$B$35)</f>
        <v/>
      </c>
      <c r="L166" s="53" t="n">
        <v>33.6</v>
      </c>
      <c r="M166" s="54">
        <f>myParidad('Flujo de Fondos'!$H$34,'Paridad usd'!$A166,'Paridad usd'!L166,'Flujo de Fondos'!$H$36,'Flujo de Fondos'!$H$35)</f>
        <v/>
      </c>
      <c r="N166" s="56" t="n">
        <v>33.15</v>
      </c>
      <c r="O166" s="54">
        <f>myParidad('Flujo de Fondos'!$N$34,$A166,N166,'Flujo de Fondos'!$N$36,'Flujo de Fondos'!$N$35)</f>
        <v/>
      </c>
      <c r="P166" s="57">
        <f>C166-G166</f>
        <v/>
      </c>
      <c r="Q166" s="57">
        <f>E166-C166</f>
        <v/>
      </c>
      <c r="R166" s="57">
        <f>C166-M166</f>
        <v/>
      </c>
      <c r="S166" s="55">
        <f>C166-O166</f>
        <v/>
      </c>
      <c r="T166" s="57">
        <f>E166-O166</f>
        <v/>
      </c>
      <c r="U166" s="57">
        <f>G166-O166</f>
        <v/>
      </c>
      <c r="V166" s="57">
        <f>G166-K166</f>
        <v/>
      </c>
      <c r="W166" s="57">
        <f>C166-K166</f>
        <v/>
      </c>
      <c r="X166" s="67">
        <f>I166-G166</f>
        <v/>
      </c>
      <c r="Y166" s="75">
        <f>G166-M166</f>
        <v/>
      </c>
    </row>
    <row r="167">
      <c r="A167" s="52" t="n">
        <v>44301</v>
      </c>
      <c r="B167" s="53" t="n">
        <v>36.1</v>
      </c>
      <c r="C167" s="54">
        <f>myParidad('Flujo de Fondos'!$B$5,A167,B167,'Flujo de Fondos'!$B$7,'Flujo de Fondos'!$B$6)</f>
        <v/>
      </c>
      <c r="D167" s="53" t="n">
        <v>39</v>
      </c>
      <c r="E167" s="55">
        <f>myParidad('Flujo de Fondos'!$H$5,$A167,D167,'Flujo de Fondos'!$H$7,'Flujo de Fondos'!$H$6)</f>
        <v/>
      </c>
      <c r="F167" s="53" t="n">
        <v>34.25</v>
      </c>
      <c r="G167" s="54">
        <f>myParidad('Flujo de Fondos'!$N$5,$A167,F167,'Flujo de Fondos'!$N$7,'Flujo de Fondos'!$N$6)</f>
        <v/>
      </c>
      <c r="H167" s="56" t="n">
        <v>35.98</v>
      </c>
      <c r="I167" s="54">
        <f>myParidad('Flujo de Fondos'!$T$5,$A167,H167,'Flujo de Fondos'!$T$7,'Flujo de Fondos'!$T$6)</f>
        <v/>
      </c>
      <c r="J167" s="56" t="n">
        <v>30.78</v>
      </c>
      <c r="K167" s="54">
        <f>myParidad('Flujo de Fondos'!$B$34,$A167,J167,'Flujo de Fondos'!$B$36,'Flujo de Fondos'!$B$35)</f>
        <v/>
      </c>
      <c r="L167" s="53" t="n">
        <v>33.5</v>
      </c>
      <c r="M167" s="54">
        <f>myParidad('Flujo de Fondos'!$H$34,'Paridad usd'!$A167,'Paridad usd'!L167,'Flujo de Fondos'!$H$36,'Flujo de Fondos'!$H$35)</f>
        <v/>
      </c>
      <c r="N167" s="56" t="n">
        <v>33.1</v>
      </c>
      <c r="O167" s="54">
        <f>myParidad('Flujo de Fondos'!$N$34,$A167,N167,'Flujo de Fondos'!$N$36,'Flujo de Fondos'!$N$35)</f>
        <v/>
      </c>
      <c r="P167" s="57">
        <f>C167-G167</f>
        <v/>
      </c>
      <c r="Q167" s="57">
        <f>E167-C167</f>
        <v/>
      </c>
      <c r="R167" s="57">
        <f>C167-M167</f>
        <v/>
      </c>
      <c r="S167" s="55">
        <f>C167-O167</f>
        <v/>
      </c>
      <c r="T167" s="57">
        <f>E167-O167</f>
        <v/>
      </c>
      <c r="U167" s="57">
        <f>G167-O167</f>
        <v/>
      </c>
      <c r="V167" s="57">
        <f>G167-K167</f>
        <v/>
      </c>
      <c r="W167" s="57">
        <f>C167-K167</f>
        <v/>
      </c>
      <c r="X167" s="67">
        <f>I167-G167</f>
        <v/>
      </c>
      <c r="Y167" s="75">
        <f>G167-M167</f>
        <v/>
      </c>
    </row>
    <row r="168">
      <c r="A168" s="52" t="n">
        <v>44300</v>
      </c>
      <c r="B168" s="53" t="n">
        <v>36.37</v>
      </c>
      <c r="C168" s="54">
        <f>myParidad('Flujo de Fondos'!$B$5,A168,B168,'Flujo de Fondos'!$B$7,'Flujo de Fondos'!$B$6)</f>
        <v/>
      </c>
      <c r="D168" s="53" t="n">
        <v>39.2</v>
      </c>
      <c r="E168" s="55">
        <f>myParidad('Flujo de Fondos'!$H$5,$A168,D168,'Flujo de Fondos'!$H$7,'Flujo de Fondos'!$H$6)</f>
        <v/>
      </c>
      <c r="F168" s="53" t="n">
        <v>34.57</v>
      </c>
      <c r="G168" s="54">
        <f>myParidad('Flujo de Fondos'!$N$5,$A168,F168,'Flujo de Fondos'!$N$7,'Flujo de Fondos'!$N$6)</f>
        <v/>
      </c>
      <c r="H168" s="56" t="n">
        <v>36.1</v>
      </c>
      <c r="I168" s="54">
        <f>myParidad('Flujo de Fondos'!$T$5,$A168,H168,'Flujo de Fondos'!$T$7,'Flujo de Fondos'!$T$6)</f>
        <v/>
      </c>
      <c r="J168" s="56" t="n">
        <v>30.72</v>
      </c>
      <c r="K168" s="54">
        <f>myParidad('Flujo de Fondos'!$B$34,$A168,J168,'Flujo de Fondos'!$B$36,'Flujo de Fondos'!$B$35)</f>
        <v/>
      </c>
      <c r="L168" s="53" t="n">
        <v>33.65</v>
      </c>
      <c r="M168" s="54">
        <f>myParidad('Flujo de Fondos'!$H$34,'Paridad usd'!$A168,'Paridad usd'!L168,'Flujo de Fondos'!$H$36,'Flujo de Fondos'!$H$35)</f>
        <v/>
      </c>
      <c r="N168" s="56" t="n">
        <v>33.48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44299</v>
      </c>
      <c r="B169" s="53" t="n">
        <v>36.4</v>
      </c>
      <c r="C169" s="54">
        <f>myParidad('Flujo de Fondos'!$B$5,A169,B169,'Flujo de Fondos'!$B$7,'Flujo de Fondos'!$B$6)</f>
        <v/>
      </c>
      <c r="D169" s="53" t="n">
        <v>39.9</v>
      </c>
      <c r="E169" s="55">
        <f>myParidad('Flujo de Fondos'!$H$5,$A169,D169,'Flujo de Fondos'!$H$7,'Flujo de Fondos'!$H$6)</f>
        <v/>
      </c>
      <c r="F169" s="53" t="n">
        <v>34.82</v>
      </c>
      <c r="G169" s="54">
        <f>myParidad('Flujo de Fondos'!$N$5,$A169,F169,'Flujo de Fondos'!$N$7,'Flujo de Fondos'!$N$6)</f>
        <v/>
      </c>
      <c r="H169" s="56" t="n">
        <v>36.39</v>
      </c>
      <c r="I169" s="54">
        <f>myParidad('Flujo de Fondos'!$T$5,$A169,H169,'Flujo de Fondos'!$T$7,'Flujo de Fondos'!$T$6)</f>
        <v/>
      </c>
      <c r="J169" s="56" t="n">
        <v>30.85</v>
      </c>
      <c r="K169" s="54">
        <f>myParidad('Flujo de Fondos'!$B$34,$A169,J169,'Flujo de Fondos'!$B$36,'Flujo de Fondos'!$B$35)</f>
        <v/>
      </c>
      <c r="L169" s="53" t="n">
        <v>33.84</v>
      </c>
      <c r="M169" s="54">
        <f>myParidad('Flujo de Fondos'!$H$34,'Paridad usd'!$A169,'Paridad usd'!L169,'Flujo de Fondos'!$H$36,'Flujo de Fondos'!$H$35)</f>
        <v/>
      </c>
      <c r="N169" s="56" t="n">
        <v>33.5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44298</v>
      </c>
      <c r="B170" s="53" t="n">
        <v>36.25</v>
      </c>
      <c r="C170" s="54">
        <f>myParidad('Flujo de Fondos'!$B$5,A170,B170,'Flujo de Fondos'!$B$7,'Flujo de Fondos'!$B$6)</f>
        <v/>
      </c>
      <c r="D170" s="53" t="n">
        <v>38.6</v>
      </c>
      <c r="E170" s="55">
        <f>myParidad('Flujo de Fondos'!$H$5,$A170,D170,'Flujo de Fondos'!$H$7,'Flujo de Fondos'!$H$6)</f>
        <v/>
      </c>
      <c r="F170" s="53" t="n">
        <v>34.65</v>
      </c>
      <c r="G170" s="54">
        <f>myParidad('Flujo de Fondos'!$N$5,$A170,F170,'Flujo de Fondos'!$N$7,'Flujo de Fondos'!$N$6)</f>
        <v/>
      </c>
      <c r="H170" s="56" t="n">
        <v>35.92</v>
      </c>
      <c r="I170" s="54">
        <f>myParidad('Flujo de Fondos'!$T$5,$A170,H170,'Flujo de Fondos'!$T$7,'Flujo de Fondos'!$T$6)</f>
        <v/>
      </c>
      <c r="J170" s="56" t="n">
        <v>30.6</v>
      </c>
      <c r="K170" s="54">
        <f>myParidad('Flujo de Fondos'!$B$34,$A170,J170,'Flujo de Fondos'!$B$36,'Flujo de Fondos'!$B$35)</f>
        <v/>
      </c>
      <c r="L170" s="53" t="n">
        <v>33.7</v>
      </c>
      <c r="M170" s="54">
        <f>myParidad('Flujo de Fondos'!$H$34,'Paridad usd'!$A170,'Paridad usd'!L170,'Flujo de Fondos'!$H$36,'Flujo de Fondos'!$H$35)</f>
        <v/>
      </c>
      <c r="N170" s="56" t="n">
        <v>33.5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44295</v>
      </c>
      <c r="B171" s="53" t="n">
        <v>35.62</v>
      </c>
      <c r="C171" s="54">
        <f>myParidad('Flujo de Fondos'!$B$5,A171,B171,'Flujo de Fondos'!$B$7,'Flujo de Fondos'!$B$6)</f>
        <v/>
      </c>
      <c r="D171" s="53" t="n">
        <v>37.77</v>
      </c>
      <c r="E171" s="55">
        <f>myParidad('Flujo de Fondos'!$H$5,$A171,D171,'Flujo de Fondos'!$H$7,'Flujo de Fondos'!$H$6)</f>
        <v/>
      </c>
      <c r="F171" s="53" t="n">
        <v>34.18</v>
      </c>
      <c r="G171" s="54">
        <f>myParidad('Flujo de Fondos'!$N$5,$A171,F171,'Flujo de Fondos'!$N$7,'Flujo de Fondos'!$N$6)</f>
        <v/>
      </c>
      <c r="H171" s="56" t="n">
        <v>35.15</v>
      </c>
      <c r="I171" s="54">
        <f>myParidad('Flujo de Fondos'!$T$5,$A171,H171,'Flujo de Fondos'!$T$7,'Flujo de Fondos'!$T$6)</f>
        <v/>
      </c>
      <c r="J171" s="56" t="n">
        <v>30.19</v>
      </c>
      <c r="K171" s="54">
        <f>myParidad('Flujo de Fondos'!$B$34,$A171,J171,'Flujo de Fondos'!$B$36,'Flujo de Fondos'!$B$35)</f>
        <v/>
      </c>
      <c r="L171" s="53" t="n">
        <v>33.1</v>
      </c>
      <c r="M171" s="54">
        <f>myParidad('Flujo de Fondos'!$H$34,'Paridad usd'!$A171,'Paridad usd'!L171,'Flujo de Fondos'!$H$36,'Flujo de Fondos'!$H$35)</f>
        <v/>
      </c>
      <c r="N171" s="56" t="n">
        <v>33.13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44294</v>
      </c>
      <c r="B172" s="53" t="n">
        <v>35.88</v>
      </c>
      <c r="C172" s="54">
        <f>myParidad('Flujo de Fondos'!$B$5,A172,B172,'Flujo de Fondos'!$B$7,'Flujo de Fondos'!$B$6)</f>
        <v/>
      </c>
      <c r="D172" s="53" t="n">
        <v>37.51</v>
      </c>
      <c r="E172" s="55">
        <f>myParidad('Flujo de Fondos'!$H$5,$A172,D172,'Flujo de Fondos'!$H$7,'Flujo de Fondos'!$H$6)</f>
        <v/>
      </c>
      <c r="F172" s="53" t="n">
        <v>34.39</v>
      </c>
      <c r="G172" s="54">
        <f>myParidad('Flujo de Fondos'!$N$5,$A172,F172,'Flujo de Fondos'!$N$7,'Flujo de Fondos'!$N$6)</f>
        <v/>
      </c>
      <c r="H172" s="56" t="n">
        <v>35.38</v>
      </c>
      <c r="I172" s="54">
        <f>myParidad('Flujo de Fondos'!$T$5,$A172,H172,'Flujo de Fondos'!$T$7,'Flujo de Fondos'!$T$6)</f>
        <v/>
      </c>
      <c r="J172" s="56" t="n">
        <v>30.4</v>
      </c>
      <c r="K172" s="54">
        <f>myParidad('Flujo de Fondos'!$B$34,$A172,J172,'Flujo de Fondos'!$B$36,'Flujo de Fondos'!$B$35)</f>
        <v/>
      </c>
      <c r="L172" s="53" t="n">
        <v>33.31</v>
      </c>
      <c r="M172" s="54">
        <f>myParidad('Flujo de Fondos'!$H$34,'Paridad usd'!$A172,'Paridad usd'!L172,'Flujo de Fondos'!$H$36,'Flujo de Fondos'!$H$35)</f>
        <v/>
      </c>
      <c r="N172" s="56" t="n">
        <v>33.1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44293</v>
      </c>
      <c r="B173" s="53" t="n">
        <v>35.79</v>
      </c>
      <c r="C173" s="54">
        <f>myParidad('Flujo de Fondos'!$B$5,A173,B173,'Flujo de Fondos'!$B$7,'Flujo de Fondos'!$B$6)</f>
        <v/>
      </c>
      <c r="D173" s="53" t="n">
        <v>37.9</v>
      </c>
      <c r="E173" s="55">
        <f>myParidad('Flujo de Fondos'!$H$5,$A173,D173,'Flujo de Fondos'!$H$7,'Flujo de Fondos'!$H$6)</f>
        <v/>
      </c>
      <c r="F173" s="53" t="n">
        <v>34.57</v>
      </c>
      <c r="G173" s="54">
        <f>myParidad('Flujo de Fondos'!$N$5,$A173,F173,'Flujo de Fondos'!$N$7,'Flujo de Fondos'!$N$6)</f>
        <v/>
      </c>
      <c r="H173" s="56" t="n">
        <v>35.29</v>
      </c>
      <c r="I173" s="54">
        <f>myParidad('Flujo de Fondos'!$T$5,$A173,H173,'Flujo de Fondos'!$T$7,'Flujo de Fondos'!$T$6)</f>
        <v/>
      </c>
      <c r="J173" s="56" t="n">
        <v>30.36</v>
      </c>
      <c r="K173" s="54">
        <f>myParidad('Flujo de Fondos'!$B$34,$A173,J173,'Flujo de Fondos'!$B$36,'Flujo de Fondos'!$B$35)</f>
        <v/>
      </c>
      <c r="L173" s="53" t="n">
        <v>32.42</v>
      </c>
      <c r="M173" s="54">
        <f>myParidad('Flujo de Fondos'!$H$34,'Paridad usd'!$A173,'Paridad usd'!L173,'Flujo de Fondos'!$H$36,'Flujo de Fondos'!$H$35)</f>
        <v/>
      </c>
      <c r="N173" s="56" t="n">
        <v>33.2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44292</v>
      </c>
      <c r="B174" s="53" t="n">
        <v>35.9</v>
      </c>
      <c r="C174" s="54">
        <f>myParidad('Flujo de Fondos'!$B$5,A174,B174,'Flujo de Fondos'!$B$7,'Flujo de Fondos'!$B$6)</f>
        <v/>
      </c>
      <c r="D174" s="53" t="n">
        <v>38.7</v>
      </c>
      <c r="E174" s="55">
        <f>myParidad('Flujo de Fondos'!$H$5,$A174,D174,'Flujo de Fondos'!$H$7,'Flujo de Fondos'!$H$6)</f>
        <v/>
      </c>
      <c r="F174" s="53" t="n">
        <v>34.63</v>
      </c>
      <c r="G174" s="54">
        <f>myParidad('Flujo de Fondos'!$N$5,$A174,F174,'Flujo de Fondos'!$N$7,'Flujo de Fondos'!$N$6)</f>
        <v/>
      </c>
      <c r="H174" s="56" t="n">
        <v>35.4</v>
      </c>
      <c r="I174" s="54">
        <f>myParidad('Flujo de Fondos'!$T$5,$A174,H174,'Flujo de Fondos'!$T$7,'Flujo de Fondos'!$T$6)</f>
        <v/>
      </c>
      <c r="J174" s="56" t="n">
        <v>30.5</v>
      </c>
      <c r="K174" s="54">
        <f>myParidad('Flujo de Fondos'!$B$34,$A174,J174,'Flujo de Fondos'!$B$36,'Flujo de Fondos'!$B$35)</f>
        <v/>
      </c>
      <c r="L174" s="53" t="n">
        <v>33.7</v>
      </c>
      <c r="M174" s="54">
        <f>myParidad('Flujo de Fondos'!$H$34,'Paridad usd'!$A174,'Paridad usd'!L174,'Flujo de Fondos'!$H$36,'Flujo de Fondos'!$H$35)</f>
        <v/>
      </c>
      <c r="N174" s="56" t="n">
        <v>33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44291</v>
      </c>
      <c r="B175" s="53" t="n">
        <v>36.16</v>
      </c>
      <c r="C175" s="54">
        <f>myParidad('Flujo de Fondos'!$B$5,A175,B175,'Flujo de Fondos'!$B$7,'Flujo de Fondos'!$B$6)</f>
        <v/>
      </c>
      <c r="D175" s="53" t="n">
        <v>38.84</v>
      </c>
      <c r="E175" s="55">
        <f>myParidad('Flujo de Fondos'!$H$5,$A175,D175,'Flujo de Fondos'!$H$7,'Flujo de Fondos'!$H$6)</f>
        <v/>
      </c>
      <c r="F175" s="53" t="n">
        <v>34.85</v>
      </c>
      <c r="G175" s="54">
        <f>myParidad('Flujo de Fondos'!$N$5,$A175,F175,'Flujo de Fondos'!$N$7,'Flujo de Fondos'!$N$6)</f>
        <v/>
      </c>
      <c r="H175" s="56" t="n">
        <v>35.35</v>
      </c>
      <c r="I175" s="54">
        <f>myParidad('Flujo de Fondos'!$T$5,$A175,H175,'Flujo de Fondos'!$T$7,'Flujo de Fondos'!$T$6)</f>
        <v/>
      </c>
      <c r="J175" s="56" t="n">
        <v>30.6</v>
      </c>
      <c r="K175" s="54">
        <f>myParidad('Flujo de Fondos'!$B$34,$A175,J175,'Flujo de Fondos'!$B$36,'Flujo de Fondos'!$B$35)</f>
        <v/>
      </c>
      <c r="L175" s="53" t="n">
        <v>33.9</v>
      </c>
      <c r="M175" s="54">
        <f>myParidad('Flujo de Fondos'!$H$34,'Paridad usd'!$A175,'Paridad usd'!L175,'Flujo de Fondos'!$H$36,'Flujo de Fondos'!$H$35)</f>
        <v/>
      </c>
      <c r="N175" s="56" t="n">
        <v>33.25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44286</v>
      </c>
      <c r="B176" s="53" t="n">
        <v>36</v>
      </c>
      <c r="C176" s="54">
        <f>myParidad('Flujo de Fondos'!$B$5,A176,B176,'Flujo de Fondos'!$B$7,'Flujo de Fondos'!$B$6)</f>
        <v/>
      </c>
      <c r="D176" s="53" t="n">
        <v>38.85</v>
      </c>
      <c r="E176" s="55">
        <f>myParidad('Flujo de Fondos'!$H$5,$A176,D176,'Flujo de Fondos'!$H$7,'Flujo de Fondos'!$H$6)</f>
        <v/>
      </c>
      <c r="F176" s="53" t="n">
        <v>34.05</v>
      </c>
      <c r="G176" s="54">
        <f>myParidad('Flujo de Fondos'!$N$5,$A176,F176,'Flujo de Fondos'!$N$7,'Flujo de Fondos'!$N$6)</f>
        <v/>
      </c>
      <c r="H176" s="56" t="n">
        <v>35.01</v>
      </c>
      <c r="I176" s="54">
        <f>myParidad('Flujo de Fondos'!$T$5,$A176,H176,'Flujo de Fondos'!$T$7,'Flujo de Fondos'!$T$6)</f>
        <v/>
      </c>
      <c r="J176" s="56" t="n">
        <v>30.49</v>
      </c>
      <c r="K176" s="54">
        <f>myParidad('Flujo de Fondos'!$B$34,$A176,J176,'Flujo de Fondos'!$B$36,'Flujo de Fondos'!$B$35)</f>
        <v/>
      </c>
      <c r="L176" s="53" t="n">
        <v>33.9</v>
      </c>
      <c r="M176" s="54">
        <f>myParidad('Flujo de Fondos'!$H$34,'Paridad usd'!$A176,'Paridad usd'!L176,'Flujo de Fondos'!$H$36,'Flujo de Fondos'!$H$35)</f>
        <v/>
      </c>
      <c r="N176" s="56" t="n">
        <v>33.55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44285</v>
      </c>
      <c r="B177" s="53" t="n">
        <v>35.8</v>
      </c>
      <c r="C177" s="54">
        <f>myParidad('Flujo de Fondos'!$B$5,A177,B177,'Flujo de Fondos'!$B$7,'Flujo de Fondos'!$B$6)</f>
        <v/>
      </c>
      <c r="D177" s="53" t="n">
        <v>38.1</v>
      </c>
      <c r="E177" s="55">
        <f>myParidad('Flujo de Fondos'!$H$5,$A177,D177,'Flujo de Fondos'!$H$7,'Flujo de Fondos'!$H$6)</f>
        <v/>
      </c>
      <c r="F177" s="53" t="n">
        <v>34.29</v>
      </c>
      <c r="G177" s="54">
        <f>myParidad('Flujo de Fondos'!$N$5,$A177,F177,'Flujo de Fondos'!$N$7,'Flujo de Fondos'!$N$6)</f>
        <v/>
      </c>
      <c r="H177" s="56" t="n">
        <v>35.09</v>
      </c>
      <c r="I177" s="54">
        <f>myParidad('Flujo de Fondos'!$T$5,$A177,H177,'Flujo de Fondos'!$T$7,'Flujo de Fondos'!$T$6)</f>
        <v/>
      </c>
      <c r="J177" s="56" t="n">
        <v>30.69</v>
      </c>
      <c r="K177" s="54">
        <f>myParidad('Flujo de Fondos'!$B$34,$A177,J177,'Flujo de Fondos'!$B$36,'Flujo de Fondos'!$B$35)</f>
        <v/>
      </c>
      <c r="L177" s="53" t="n">
        <v>34</v>
      </c>
      <c r="M177" s="54">
        <f>myParidad('Flujo de Fondos'!$H$34,'Paridad usd'!$A177,'Paridad usd'!L177,'Flujo de Fondos'!$H$36,'Flujo de Fondos'!$H$35)</f>
        <v/>
      </c>
      <c r="N177" s="56" t="n">
        <v>33.9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44284</v>
      </c>
      <c r="B178" s="53" t="n">
        <v>36.18</v>
      </c>
      <c r="C178" s="54">
        <f>myParidad('Flujo de Fondos'!$B$5,A178,B178,'Flujo de Fondos'!$B$7,'Flujo de Fondos'!$B$6)</f>
        <v/>
      </c>
      <c r="D178" s="53" t="n">
        <v>38.11</v>
      </c>
      <c r="E178" s="55">
        <f>myParidad('Flujo de Fondos'!$H$5,$A178,D178,'Flujo de Fondos'!$H$7,'Flujo de Fondos'!$H$6)</f>
        <v/>
      </c>
      <c r="F178" s="53" t="n">
        <v>34.67</v>
      </c>
      <c r="G178" s="54">
        <f>myParidad('Flujo de Fondos'!$N$5,$A178,F178,'Flujo de Fondos'!$N$7,'Flujo de Fondos'!$N$6)</f>
        <v/>
      </c>
      <c r="H178" s="56" t="n">
        <v>35.65</v>
      </c>
      <c r="I178" s="54">
        <f>myParidad('Flujo de Fondos'!$T$5,$A178,H178,'Flujo de Fondos'!$T$7,'Flujo de Fondos'!$T$6)</f>
        <v/>
      </c>
      <c r="J178" s="56" t="n">
        <v>30.81</v>
      </c>
      <c r="K178" s="54">
        <f>myParidad('Flujo de Fondos'!$B$34,$A178,J178,'Flujo de Fondos'!$B$36,'Flujo de Fondos'!$B$35)</f>
        <v/>
      </c>
      <c r="L178" s="53" t="n">
        <v>34.31</v>
      </c>
      <c r="M178" s="54">
        <f>myParidad('Flujo de Fondos'!$H$34,'Paridad usd'!$A178,'Paridad usd'!L178,'Flujo de Fondos'!$H$36,'Flujo de Fondos'!$H$35)</f>
        <v/>
      </c>
      <c r="N178" s="56" t="n">
        <v>33.8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44281</v>
      </c>
      <c r="B179" s="53" t="n">
        <v>36.5</v>
      </c>
      <c r="C179" s="54">
        <f>myParidad('Flujo de Fondos'!$B$5,A179,B179,'Flujo de Fondos'!$B$7,'Flujo de Fondos'!$B$6)</f>
        <v/>
      </c>
      <c r="D179" s="53" t="n">
        <v>39.1</v>
      </c>
      <c r="E179" s="55">
        <f>myParidad('Flujo de Fondos'!$H$5,$A179,D179,'Flujo de Fondos'!$H$7,'Flujo de Fondos'!$H$6)</f>
        <v/>
      </c>
      <c r="F179" s="53" t="n">
        <v>35.32</v>
      </c>
      <c r="G179" s="54">
        <f>myParidad('Flujo de Fondos'!$N$5,$A179,F179,'Flujo de Fondos'!$N$7,'Flujo de Fondos'!$N$6)</f>
        <v/>
      </c>
      <c r="H179" s="56" t="n">
        <v>36.21</v>
      </c>
      <c r="I179" s="54">
        <f>myParidad('Flujo de Fondos'!$T$5,$A179,H179,'Flujo de Fondos'!$T$7,'Flujo de Fondos'!$T$6)</f>
        <v/>
      </c>
      <c r="J179" s="56" t="n">
        <v>31.2</v>
      </c>
      <c r="K179" s="54">
        <f>myParidad('Flujo de Fondos'!$B$34,$A179,J179,'Flujo de Fondos'!$B$36,'Flujo de Fondos'!$B$35)</f>
        <v/>
      </c>
      <c r="L179" s="53" t="n">
        <v>34.74</v>
      </c>
      <c r="M179" s="54">
        <f>myParidad('Flujo de Fondos'!$H$34,'Paridad usd'!$A179,'Paridad usd'!L179,'Flujo de Fondos'!$H$36,'Flujo de Fondos'!$H$35)</f>
        <v/>
      </c>
      <c r="N179" s="56" t="n">
        <v>34.35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44280</v>
      </c>
      <c r="B180" s="53" t="n">
        <v>36.4</v>
      </c>
      <c r="C180" s="54">
        <f>myParidad('Flujo de Fondos'!$B$5,A180,B180,'Flujo de Fondos'!$B$7,'Flujo de Fondos'!$B$6)</f>
        <v/>
      </c>
      <c r="D180" s="53" t="n">
        <v>38.81</v>
      </c>
      <c r="E180" s="55">
        <f>myParidad('Flujo de Fondos'!$H$5,$A180,D180,'Flujo de Fondos'!$H$7,'Flujo de Fondos'!$H$6)</f>
        <v/>
      </c>
      <c r="F180" s="53" t="n">
        <v>35.33</v>
      </c>
      <c r="G180" s="54">
        <f>myParidad('Flujo de Fondos'!$N$5,$A180,F180,'Flujo de Fondos'!$N$7,'Flujo de Fondos'!$N$6)</f>
        <v/>
      </c>
      <c r="H180" s="56" t="n">
        <v>36.3</v>
      </c>
      <c r="I180" s="54">
        <f>myParidad('Flujo de Fondos'!$T$5,$A180,H180,'Flujo de Fondos'!$T$7,'Flujo de Fondos'!$T$6)</f>
        <v/>
      </c>
      <c r="J180" s="56" t="n">
        <v>31.51</v>
      </c>
      <c r="K180" s="54">
        <f>myParidad('Flujo de Fondos'!$B$34,$A180,J180,'Flujo de Fondos'!$B$36,'Flujo de Fondos'!$B$35)</f>
        <v/>
      </c>
      <c r="L180" s="53" t="n">
        <v>34.8</v>
      </c>
      <c r="M180" s="54">
        <f>myParidad('Flujo de Fondos'!$H$34,'Paridad usd'!$A180,'Paridad usd'!L180,'Flujo de Fondos'!$H$36,'Flujo de Fondos'!$H$35)</f>
        <v/>
      </c>
      <c r="N180" s="56" t="n">
        <v>34.6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44278</v>
      </c>
      <c r="B181" s="53" t="n">
        <v>37.25</v>
      </c>
      <c r="C181" s="54">
        <f>myParidad('Flujo de Fondos'!$B$5,A181,B181,'Flujo de Fondos'!$B$7,'Flujo de Fondos'!$B$6)</f>
        <v/>
      </c>
      <c r="D181" s="53" t="n">
        <v>40</v>
      </c>
      <c r="E181" s="55">
        <f>myParidad('Flujo de Fondos'!$H$5,$A181,D181,'Flujo de Fondos'!$H$7,'Flujo de Fondos'!$H$6)</f>
        <v/>
      </c>
      <c r="F181" s="53" t="n">
        <v>36</v>
      </c>
      <c r="G181" s="54">
        <f>myParidad('Flujo de Fondos'!$N$5,$A181,F181,'Flujo de Fondos'!$N$7,'Flujo de Fondos'!$N$6)</f>
        <v/>
      </c>
      <c r="H181" s="56" t="n">
        <v>37.08</v>
      </c>
      <c r="I181" s="54">
        <f>myParidad('Flujo de Fondos'!$T$5,$A181,H181,'Flujo de Fondos'!$T$7,'Flujo de Fondos'!$T$6)</f>
        <v/>
      </c>
      <c r="J181" s="56" t="n">
        <v>32.74</v>
      </c>
      <c r="K181" s="54">
        <f>myParidad('Flujo de Fondos'!$B$34,$A181,J181,'Flujo de Fondos'!$B$36,'Flujo de Fondos'!$B$35)</f>
        <v/>
      </c>
      <c r="L181" s="53" t="n">
        <v>35.32</v>
      </c>
      <c r="M181" s="54">
        <f>myParidad('Flujo de Fondos'!$H$34,'Paridad usd'!$A181,'Paridad usd'!L181,'Flujo de Fondos'!$H$36,'Flujo de Fondos'!$H$35)</f>
        <v/>
      </c>
      <c r="N181" s="56" t="n">
        <v>35.25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 ht="15.75" customHeight="1" s="77">
      <c r="A182" s="52" t="n">
        <v>44277</v>
      </c>
      <c r="B182" s="53" t="n">
        <v>37.55</v>
      </c>
      <c r="C182" s="54">
        <f>myParidad('Flujo de Fondos'!$B$5,A182,B182,'Flujo de Fondos'!$B$7,'Flujo de Fondos'!$B$6)</f>
        <v/>
      </c>
      <c r="D182" s="53" t="n">
        <v>40</v>
      </c>
      <c r="E182" s="55">
        <f>myParidad('Flujo de Fondos'!$H$5,$A182,D182,'Flujo de Fondos'!$H$7,'Flujo de Fondos'!$H$6)</f>
        <v/>
      </c>
      <c r="F182" s="53" t="n">
        <v>36.41</v>
      </c>
      <c r="G182" s="54">
        <f>myParidad('Flujo de Fondos'!$N$5,$A182,F182,'Flujo de Fondos'!$N$7,'Flujo de Fondos'!$N$6)</f>
        <v/>
      </c>
      <c r="H182" s="56" t="n">
        <v>37.55</v>
      </c>
      <c r="I182" s="54">
        <f>myParidad('Flujo de Fondos'!$T$5,$A182,H182,'Flujo de Fondos'!$T$7,'Flujo de Fondos'!$T$6)</f>
        <v/>
      </c>
      <c r="J182" s="56" t="n">
        <v>32.75</v>
      </c>
      <c r="K182" s="54">
        <f>myParidad('Flujo de Fondos'!$B$34,$A182,J182,'Flujo de Fondos'!$B$36,'Flujo de Fondos'!$B$35)</f>
        <v/>
      </c>
      <c r="L182" s="53" t="n">
        <v>35.3</v>
      </c>
      <c r="M182" s="54">
        <f>myParidad('Flujo de Fondos'!$H$34,'Paridad usd'!$A182,'Paridad usd'!L182,'Flujo de Fondos'!$H$36,'Flujo de Fondos'!$H$35)</f>
        <v/>
      </c>
      <c r="N182" s="56" t="n">
        <v>34.85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 ht="15.75" customHeight="1" s="77">
      <c r="A183" s="52" t="n">
        <v>44274</v>
      </c>
      <c r="B183" s="53" t="n">
        <v>37</v>
      </c>
      <c r="C183" s="54">
        <f>myParidad('Flujo de Fondos'!$B$5,A183,B183,'Flujo de Fondos'!$B$7,'Flujo de Fondos'!$B$6)</f>
        <v/>
      </c>
      <c r="D183" s="53" t="n">
        <v>39.6</v>
      </c>
      <c r="E183" s="55">
        <f>myParidad('Flujo de Fondos'!$H$5,$A183,D183,'Flujo de Fondos'!$H$7,'Flujo de Fondos'!$H$6)</f>
        <v/>
      </c>
      <c r="F183" s="53" t="n">
        <v>35.92</v>
      </c>
      <c r="G183" s="54">
        <f>myParidad('Flujo de Fondos'!$N$5,$A183,F183,'Flujo de Fondos'!$N$7,'Flujo de Fondos'!$N$6)</f>
        <v/>
      </c>
      <c r="H183" s="56" t="n">
        <v>36.95</v>
      </c>
      <c r="I183" s="54">
        <f>myParidad('Flujo de Fondos'!$T$5,$A183,H183,'Flujo de Fondos'!$T$7,'Flujo de Fondos'!$T$6)</f>
        <v/>
      </c>
      <c r="J183" s="56" t="n">
        <v>32.16</v>
      </c>
      <c r="K183" s="54">
        <f>myParidad('Flujo de Fondos'!$B$34,$A183,J183,'Flujo de Fondos'!$B$36,'Flujo de Fondos'!$B$35)</f>
        <v/>
      </c>
      <c r="L183" s="53" t="n">
        <v>34.45</v>
      </c>
      <c r="M183" s="54">
        <f>myParidad('Flujo de Fondos'!$H$34,'Paridad usd'!$A183,'Paridad usd'!L183,'Flujo de Fondos'!$H$36,'Flujo de Fondos'!$H$35)</f>
        <v/>
      </c>
      <c r="N183" s="56" t="n">
        <v>34.25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 ht="15.75" customHeight="1" s="77">
      <c r="A184" s="52" t="n">
        <v>44273</v>
      </c>
      <c r="B184" s="53" t="n">
        <v>36.72</v>
      </c>
      <c r="C184" s="54">
        <f>myParidad('Flujo de Fondos'!$B$5,A184,B184,'Flujo de Fondos'!$B$7,'Flujo de Fondos'!$B$6)</f>
        <v/>
      </c>
      <c r="D184" s="53" t="n">
        <v>39.79</v>
      </c>
      <c r="E184" s="55">
        <f>myParidad('Flujo de Fondos'!$H$5,$A184,D184,'Flujo de Fondos'!$H$7,'Flujo de Fondos'!$H$6)</f>
        <v/>
      </c>
      <c r="F184" s="53" t="n">
        <v>35.82</v>
      </c>
      <c r="G184" s="54">
        <f>myParidad('Flujo de Fondos'!$N$5,$A184,F184,'Flujo de Fondos'!$N$7,'Flujo de Fondos'!$N$6)</f>
        <v/>
      </c>
      <c r="H184" s="56" t="n">
        <v>36.61</v>
      </c>
      <c r="I184" s="54">
        <f>myParidad('Flujo de Fondos'!$T$5,$A184,H184,'Flujo de Fondos'!$T$7,'Flujo de Fondos'!$T$6)</f>
        <v/>
      </c>
      <c r="J184" s="56" t="n">
        <v>31.6</v>
      </c>
      <c r="K184" s="54">
        <f>myParidad('Flujo de Fondos'!$B$34,$A184,J184,'Flujo de Fondos'!$B$36,'Flujo de Fondos'!$B$35)</f>
        <v/>
      </c>
      <c r="L184" s="53" t="n">
        <v>33.92</v>
      </c>
      <c r="M184" s="54">
        <f>myParidad('Flujo de Fondos'!$H$34,'Paridad usd'!$A184,'Paridad usd'!L184,'Flujo de Fondos'!$H$36,'Flujo de Fondos'!$H$35)</f>
        <v/>
      </c>
      <c r="N184" s="56" t="n">
        <v>33.95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 ht="15.75" customHeight="1" s="77">
      <c r="A185" s="52" t="n">
        <v>44272</v>
      </c>
      <c r="B185" s="53" t="n">
        <v>36.84</v>
      </c>
      <c r="C185" s="54">
        <f>myParidad('Flujo de Fondos'!$B$5,A185,B185,'Flujo de Fondos'!$B$7,'Flujo de Fondos'!$B$6)</f>
        <v/>
      </c>
      <c r="D185" s="53" t="n">
        <v>39.85</v>
      </c>
      <c r="E185" s="55">
        <f>myParidad('Flujo de Fondos'!$H$5,$A185,D185,'Flujo de Fondos'!$H$7,'Flujo de Fondos'!$H$6)</f>
        <v/>
      </c>
      <c r="F185" s="53" t="n">
        <v>35.8</v>
      </c>
      <c r="G185" s="54">
        <f>myParidad('Flujo de Fondos'!$N$5,$A185,F185,'Flujo de Fondos'!$N$7,'Flujo de Fondos'!$N$6)</f>
        <v/>
      </c>
      <c r="H185" s="56" t="n">
        <v>36.88</v>
      </c>
      <c r="I185" s="54">
        <f>myParidad('Flujo de Fondos'!$T$5,$A185,H185,'Flujo de Fondos'!$T$7,'Flujo de Fondos'!$T$6)</f>
        <v/>
      </c>
      <c r="J185" s="56" t="n">
        <v>31.66</v>
      </c>
      <c r="K185" s="54">
        <f>myParidad('Flujo de Fondos'!$B$34,$A185,J185,'Flujo de Fondos'!$B$36,'Flujo de Fondos'!$B$35)</f>
        <v/>
      </c>
      <c r="L185" s="53" t="n">
        <v>34.05</v>
      </c>
      <c r="M185" s="54">
        <f>myParidad('Flujo de Fondos'!$H$34,'Paridad usd'!$A185,'Paridad usd'!L185,'Flujo de Fondos'!$H$36,'Flujo de Fondos'!$H$35)</f>
        <v/>
      </c>
      <c r="N185" s="56" t="n">
        <v>33.75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 ht="15.75" customHeight="1" s="77">
      <c r="A186" s="52" t="n">
        <v>44271</v>
      </c>
      <c r="B186" s="53" t="n">
        <v>36.65</v>
      </c>
      <c r="C186" s="54">
        <f>myParidad('Flujo de Fondos'!$B$5,A186,B186,'Flujo de Fondos'!$B$7,'Flujo de Fondos'!$B$6)</f>
        <v/>
      </c>
      <c r="D186" s="53" t="n">
        <v>39.99</v>
      </c>
      <c r="E186" s="55">
        <f>myParidad('Flujo de Fondos'!$H$5,$A186,D186,'Flujo de Fondos'!$H$7,'Flujo de Fondos'!$H$6)</f>
        <v/>
      </c>
      <c r="F186" s="53" t="n">
        <v>35.4</v>
      </c>
      <c r="G186" s="54">
        <f>myParidad('Flujo de Fondos'!$N$5,$A186,F186,'Flujo de Fondos'!$N$7,'Flujo de Fondos'!$N$6)</f>
        <v/>
      </c>
      <c r="H186" s="56" t="n">
        <v>36.3</v>
      </c>
      <c r="I186" s="54">
        <f>myParidad('Flujo de Fondos'!$T$5,$A186,H186,'Flujo de Fondos'!$T$7,'Flujo de Fondos'!$T$6)</f>
        <v/>
      </c>
      <c r="J186" s="56" t="n">
        <v>31.29</v>
      </c>
      <c r="K186" s="54">
        <f>myParidad('Flujo de Fondos'!$B$34,$A186,J186,'Flujo de Fondos'!$B$36,'Flujo de Fondos'!$B$35)</f>
        <v/>
      </c>
      <c r="L186" s="53" t="n">
        <v>34.25</v>
      </c>
      <c r="M186" s="54">
        <f>myParidad('Flujo de Fondos'!$H$34,'Paridad usd'!$A186,'Paridad usd'!L186,'Flujo de Fondos'!$H$36,'Flujo de Fondos'!$H$35)</f>
        <v/>
      </c>
      <c r="N186" s="56" t="n">
        <v>33.49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 ht="15.75" customHeight="1" s="77">
      <c r="A187" s="52" t="n">
        <v>44270</v>
      </c>
      <c r="B187" s="53" t="n">
        <v>36.48</v>
      </c>
      <c r="C187" s="54">
        <f>myParidad('Flujo de Fondos'!$B$5,A187,B187,'Flujo de Fondos'!$B$7,'Flujo de Fondos'!$B$6)</f>
        <v/>
      </c>
      <c r="D187" s="53" t="n">
        <v>38.7</v>
      </c>
      <c r="E187" s="55">
        <f>myParidad('Flujo de Fondos'!$H$5,$A187,D187,'Flujo de Fondos'!$H$7,'Flujo de Fondos'!$H$6)</f>
        <v/>
      </c>
      <c r="F187" s="53" t="n">
        <v>34.96</v>
      </c>
      <c r="G187" s="54">
        <f>myParidad('Flujo de Fondos'!$N$5,$A187,F187,'Flujo de Fondos'!$N$7,'Flujo de Fondos'!$N$6)</f>
        <v/>
      </c>
      <c r="H187" s="56" t="n">
        <v>35.95</v>
      </c>
      <c r="I187" s="54">
        <f>myParidad('Flujo de Fondos'!$T$5,$A187,H187,'Flujo de Fondos'!$T$7,'Flujo de Fondos'!$T$6)</f>
        <v/>
      </c>
      <c r="J187" s="56" t="n">
        <v>30.95</v>
      </c>
      <c r="K187" s="54">
        <f>myParidad('Flujo de Fondos'!$B$34,$A187,J187,'Flujo de Fondos'!$B$36,'Flujo de Fondos'!$B$35)</f>
        <v/>
      </c>
      <c r="L187" s="53" t="n">
        <v>33.65</v>
      </c>
      <c r="M187" s="54">
        <f>myParidad('Flujo de Fondos'!$H$34,'Paridad usd'!$A187,'Paridad usd'!L187,'Flujo de Fondos'!$H$36,'Flujo de Fondos'!$H$35)</f>
        <v/>
      </c>
      <c r="N187" s="56" t="n">
        <v>33.45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7">
      <c r="A188" s="52" t="n">
        <v>44267</v>
      </c>
      <c r="B188" s="53" t="n">
        <v>35.51</v>
      </c>
      <c r="C188" s="54">
        <f>myParidad('Flujo de Fondos'!$B$5,A188,B188,'Flujo de Fondos'!$B$7,'Flujo de Fondos'!$B$6)</f>
        <v/>
      </c>
      <c r="D188" s="53" t="n">
        <v>37.8</v>
      </c>
      <c r="E188" s="55">
        <f>myParidad('Flujo de Fondos'!$H$5,$A188,D188,'Flujo de Fondos'!$H$7,'Flujo de Fondos'!$H$6)</f>
        <v/>
      </c>
      <c r="F188" s="53" t="n">
        <v>34.39</v>
      </c>
      <c r="G188" s="54">
        <f>myParidad('Flujo de Fondos'!$N$5,$A188,F188,'Flujo de Fondos'!$N$7,'Flujo de Fondos'!$N$6)</f>
        <v/>
      </c>
      <c r="H188" s="56" t="n">
        <v>35.31</v>
      </c>
      <c r="I188" s="54">
        <f>myParidad('Flujo de Fondos'!$T$5,$A188,H188,'Flujo de Fondos'!$T$7,'Flujo de Fondos'!$T$6)</f>
        <v/>
      </c>
      <c r="J188" s="56" t="n">
        <v>30.5</v>
      </c>
      <c r="K188" s="54">
        <f>myParidad('Flujo de Fondos'!$B$34,$A188,J188,'Flujo de Fondos'!$B$36,'Flujo de Fondos'!$B$35)</f>
        <v/>
      </c>
      <c r="L188" s="53" t="n">
        <v>32.75</v>
      </c>
      <c r="M188" s="54">
        <f>myParidad('Flujo de Fondos'!$H$34,'Paridad usd'!$A188,'Paridad usd'!L188,'Flujo de Fondos'!$H$36,'Flujo de Fondos'!$H$35)</f>
        <v/>
      </c>
      <c r="N188" s="56" t="n">
        <v>32.5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7">
      <c r="A189" s="52" t="n">
        <v>44266</v>
      </c>
      <c r="B189" s="53" t="n">
        <v>34.95</v>
      </c>
      <c r="C189" s="54">
        <f>myParidad('Flujo de Fondos'!$B$5,A189,B189,'Flujo de Fondos'!$B$7,'Flujo de Fondos'!$B$6)</f>
        <v/>
      </c>
      <c r="D189" s="53" t="n">
        <v>37.2</v>
      </c>
      <c r="E189" s="55">
        <f>myParidad('Flujo de Fondos'!$H$5,$A189,D189,'Flujo de Fondos'!$H$7,'Flujo de Fondos'!$H$6)</f>
        <v/>
      </c>
      <c r="F189" s="53" t="n">
        <v>33.51</v>
      </c>
      <c r="G189" s="54">
        <f>myParidad('Flujo de Fondos'!$N$5,$A189,F189,'Flujo de Fondos'!$N$7,'Flujo de Fondos'!$N$6)</f>
        <v/>
      </c>
      <c r="H189" s="56" t="n">
        <v>34.65</v>
      </c>
      <c r="I189" s="54">
        <f>myParidad('Flujo de Fondos'!$T$5,$A189,H189,'Flujo de Fondos'!$T$7,'Flujo de Fondos'!$T$6)</f>
        <v/>
      </c>
      <c r="J189" s="56" t="n">
        <v>30.26</v>
      </c>
      <c r="K189" s="54">
        <f>myParidad('Flujo de Fondos'!$B$34,$A189,J189,'Flujo de Fondos'!$B$36,'Flujo de Fondos'!$B$35)</f>
        <v/>
      </c>
      <c r="L189" s="53" t="n">
        <v>32.05</v>
      </c>
      <c r="M189" s="54">
        <f>myParidad('Flujo de Fondos'!$H$34,'Paridad usd'!$A189,'Paridad usd'!L189,'Flujo de Fondos'!$H$36,'Flujo de Fondos'!$H$35)</f>
        <v/>
      </c>
      <c r="N189" s="56" t="n">
        <v>31.5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7">
      <c r="A190" s="52" t="n">
        <v>44265</v>
      </c>
      <c r="B190" s="53" t="n">
        <v>35</v>
      </c>
      <c r="C190" s="54">
        <f>myParidad('Flujo de Fondos'!$B$5,A190,B190,'Flujo de Fondos'!$B$7,'Flujo de Fondos'!$B$6)</f>
        <v/>
      </c>
      <c r="D190" s="53" t="n">
        <v>37</v>
      </c>
      <c r="E190" s="55">
        <f>myParidad('Flujo de Fondos'!$H$5,$A190,D190,'Flujo de Fondos'!$H$7,'Flujo de Fondos'!$H$6)</f>
        <v/>
      </c>
      <c r="F190" s="53" t="n">
        <v>33.51</v>
      </c>
      <c r="G190" s="54">
        <f>myParidad('Flujo de Fondos'!$N$5,$A190,F190,'Flujo de Fondos'!$N$7,'Flujo de Fondos'!$N$6)</f>
        <v/>
      </c>
      <c r="H190" s="56" t="n">
        <v>34.39</v>
      </c>
      <c r="I190" s="54">
        <f>myParidad('Flujo de Fondos'!$T$5,$A190,H190,'Flujo de Fondos'!$T$7,'Flujo de Fondos'!$T$6)</f>
        <v/>
      </c>
      <c r="J190" s="56" t="n">
        <v>29.8</v>
      </c>
      <c r="K190" s="54">
        <f>myParidad('Flujo de Fondos'!$B$34,$A190,J190,'Flujo de Fondos'!$B$36,'Flujo de Fondos'!$B$35)</f>
        <v/>
      </c>
      <c r="L190" s="53" t="n">
        <v>32.1</v>
      </c>
      <c r="M190" s="54">
        <f>myParidad('Flujo de Fondos'!$H$34,'Paridad usd'!$A190,'Paridad usd'!L190,'Flujo de Fondos'!$H$36,'Flujo de Fondos'!$H$35)</f>
        <v/>
      </c>
      <c r="N190" s="56" t="n">
        <v>31.42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7">
      <c r="A191" s="52" t="n">
        <v>44264</v>
      </c>
      <c r="B191" s="53" t="n">
        <v>36.25</v>
      </c>
      <c r="C191" s="54">
        <f>myParidad('Flujo de Fondos'!$B$5,A191,B191,'Flujo de Fondos'!$B$7,'Flujo de Fondos'!$B$6)</f>
        <v/>
      </c>
      <c r="D191" s="53" t="n">
        <v>38.3</v>
      </c>
      <c r="E191" s="55">
        <f>myParidad('Flujo de Fondos'!$H$5,$A191,D191,'Flujo de Fondos'!$H$7,'Flujo de Fondos'!$H$6)</f>
        <v/>
      </c>
      <c r="F191" s="53" t="n">
        <v>35.14</v>
      </c>
      <c r="G191" s="54">
        <f>myParidad('Flujo de Fondos'!$N$5,$A191,F191,'Flujo de Fondos'!$N$7,'Flujo de Fondos'!$N$6)</f>
        <v/>
      </c>
      <c r="H191" s="56" t="n">
        <v>35.26</v>
      </c>
      <c r="I191" s="54">
        <f>myParidad('Flujo de Fondos'!$T$5,$A191,H191,'Flujo de Fondos'!$T$7,'Flujo de Fondos'!$T$6)</f>
        <v/>
      </c>
      <c r="J191" s="56" t="n">
        <v>30.52</v>
      </c>
      <c r="K191" s="54">
        <f>myParidad('Flujo de Fondos'!$B$34,$A191,J191,'Flujo de Fondos'!$B$36,'Flujo de Fondos'!$B$35)</f>
        <v/>
      </c>
      <c r="L191" s="53" t="n">
        <v>32.6</v>
      </c>
      <c r="M191" s="54">
        <f>myParidad('Flujo de Fondos'!$H$34,'Paridad usd'!$A191,'Paridad usd'!L191,'Flujo de Fondos'!$H$36,'Flujo de Fondos'!$H$35)</f>
        <v/>
      </c>
      <c r="N191" s="56" t="n">
        <v>31.98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7">
      <c r="A192" s="52" t="n">
        <v>44263</v>
      </c>
      <c r="B192" s="53" t="n">
        <v>36.89</v>
      </c>
      <c r="C192" s="54">
        <f>myParidad('Flujo de Fondos'!$B$5,A192,B192,'Flujo de Fondos'!$B$7,'Flujo de Fondos'!$B$6)</f>
        <v/>
      </c>
      <c r="D192" s="53" t="n">
        <v>39.8</v>
      </c>
      <c r="E192" s="55">
        <f>myParidad('Flujo de Fondos'!$H$5,$A192,D192,'Flujo de Fondos'!$H$7,'Flujo de Fondos'!$H$6)</f>
        <v/>
      </c>
      <c r="F192" s="53" t="n">
        <v>35.7</v>
      </c>
      <c r="G192" s="54">
        <f>myParidad('Flujo de Fondos'!$N$5,$A192,F192,'Flujo de Fondos'!$N$7,'Flujo de Fondos'!$N$6)</f>
        <v/>
      </c>
      <c r="H192" s="56" t="n">
        <v>36.08</v>
      </c>
      <c r="I192" s="54">
        <f>myParidad('Flujo de Fondos'!$T$5,$A192,H192,'Flujo de Fondos'!$T$7,'Flujo de Fondos'!$T$6)</f>
        <v/>
      </c>
      <c r="J192" s="56" t="n">
        <v>31.65</v>
      </c>
      <c r="K192" s="54">
        <f>myParidad('Flujo de Fondos'!$B$34,$A192,J192,'Flujo de Fondos'!$B$36,'Flujo de Fondos'!$B$35)</f>
        <v/>
      </c>
      <c r="L192" s="53" t="n">
        <v>33.05</v>
      </c>
      <c r="M192" s="54">
        <f>myParidad('Flujo de Fondos'!$H$34,'Paridad usd'!$A192,'Paridad usd'!L192,'Flujo de Fondos'!$H$36,'Flujo de Fondos'!$H$35)</f>
        <v/>
      </c>
      <c r="N192" s="56" t="n">
        <v>32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7">
      <c r="A193" s="52" t="n">
        <v>44260</v>
      </c>
      <c r="B193" s="53" t="n">
        <v>37.51</v>
      </c>
      <c r="C193" s="54">
        <f>myParidad('Flujo de Fondos'!$B$5,A193,B193,'Flujo de Fondos'!$B$7,'Flujo de Fondos'!$B$6)</f>
        <v/>
      </c>
      <c r="D193" s="53" t="n">
        <v>38.5</v>
      </c>
      <c r="E193" s="55">
        <f>myParidad('Flujo de Fondos'!$H$5,$A193,D193,'Flujo de Fondos'!$H$7,'Flujo de Fondos'!$H$6)</f>
        <v/>
      </c>
      <c r="F193" s="53" t="n">
        <v>35.75</v>
      </c>
      <c r="G193" s="54">
        <f>myParidad('Flujo de Fondos'!$N$5,$A193,F193,'Flujo de Fondos'!$N$7,'Flujo de Fondos'!$N$6)</f>
        <v/>
      </c>
      <c r="H193" s="56" t="n">
        <v>36.08</v>
      </c>
      <c r="I193" s="54">
        <f>myParidad('Flujo de Fondos'!$T$5,$A193,H193,'Flujo de Fondos'!$T$7,'Flujo de Fondos'!$T$6)</f>
        <v/>
      </c>
      <c r="J193" s="56" t="n">
        <v>31.65</v>
      </c>
      <c r="K193" s="54">
        <f>myParidad('Flujo de Fondos'!$B$34,$A193,J193,'Flujo de Fondos'!$B$36,'Flujo de Fondos'!$B$35)</f>
        <v/>
      </c>
      <c r="L193" s="53" t="n">
        <v>33.5</v>
      </c>
      <c r="M193" s="54">
        <f>myParidad('Flujo de Fondos'!$H$34,'Paridad usd'!$A193,'Paridad usd'!L193,'Flujo de Fondos'!$H$36,'Flujo de Fondos'!$H$35)</f>
        <v/>
      </c>
      <c r="N193" s="56" t="n">
        <v>32.26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7">
      <c r="A194" s="52" t="n">
        <v>44259</v>
      </c>
      <c r="B194" s="53" t="n">
        <v>37.8</v>
      </c>
      <c r="C194" s="54">
        <f>myParidad('Flujo de Fondos'!$B$5,A194,B194,'Flujo de Fondos'!$B$7,'Flujo de Fondos'!$B$6)</f>
        <v/>
      </c>
      <c r="D194" s="53" t="n">
        <v>40.4</v>
      </c>
      <c r="E194" s="55">
        <f>myParidad('Flujo de Fondos'!$H$5,$A194,D194,'Flujo de Fondos'!$H$7,'Flujo de Fondos'!$H$6)</f>
        <v/>
      </c>
      <c r="F194" s="53" t="n">
        <v>36.38</v>
      </c>
      <c r="G194" s="54">
        <f>myParidad('Flujo de Fondos'!$N$5,$A194,F194,'Flujo de Fondos'!$N$7,'Flujo de Fondos'!$N$6)</f>
        <v/>
      </c>
      <c r="H194" s="56" t="n">
        <v>36.98</v>
      </c>
      <c r="I194" s="54">
        <f>myParidad('Flujo de Fondos'!$T$5,$A194,H194,'Flujo de Fondos'!$T$7,'Flujo de Fondos'!$T$6)</f>
        <v/>
      </c>
      <c r="J194" s="56" t="n">
        <v>32.56</v>
      </c>
      <c r="K194" s="54">
        <f>myParidad('Flujo de Fondos'!$B$34,$A194,J194,'Flujo de Fondos'!$B$36,'Flujo de Fondos'!$B$35)</f>
        <v/>
      </c>
      <c r="L194" s="53" t="n">
        <v>33.8</v>
      </c>
      <c r="M194" s="54">
        <f>myParidad('Flujo de Fondos'!$H$34,'Paridad usd'!$A194,'Paridad usd'!L194,'Flujo de Fondos'!$H$36,'Flujo de Fondos'!$H$35)</f>
        <v/>
      </c>
      <c r="N194" s="56" t="n">
        <v>32.3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7">
      <c r="A195" s="52" t="n">
        <v>44258</v>
      </c>
      <c r="B195" s="53" t="n">
        <v>37.5</v>
      </c>
      <c r="C195" s="54">
        <f>myParidad('Flujo de Fondos'!$B$5,A195,B195,'Flujo de Fondos'!$B$7,'Flujo de Fondos'!$B$6)</f>
        <v/>
      </c>
      <c r="D195" s="53" t="n">
        <v>40.75</v>
      </c>
      <c r="E195" s="55">
        <f>myParidad('Flujo de Fondos'!$H$5,$A195,D195,'Flujo de Fondos'!$H$7,'Flujo de Fondos'!$H$6)</f>
        <v/>
      </c>
      <c r="F195" s="53" t="n">
        <v>36.22</v>
      </c>
      <c r="G195" s="54">
        <f>myParidad('Flujo de Fondos'!$N$5,$A195,F195,'Flujo de Fondos'!$N$7,'Flujo de Fondos'!$N$6)</f>
        <v/>
      </c>
      <c r="H195" s="56" t="n">
        <v>37</v>
      </c>
      <c r="I195" s="54">
        <f>myParidad('Flujo de Fondos'!$T$5,$A195,H195,'Flujo de Fondos'!$T$7,'Flujo de Fondos'!$T$6)</f>
        <v/>
      </c>
      <c r="J195" s="56" t="n">
        <v>31.85</v>
      </c>
      <c r="K195" s="54">
        <f>myParidad('Flujo de Fondos'!$B$34,$A195,J195,'Flujo de Fondos'!$B$36,'Flujo de Fondos'!$B$35)</f>
        <v/>
      </c>
      <c r="L195" s="53" t="n">
        <v>33.55</v>
      </c>
      <c r="M195" s="54">
        <f>myParidad('Flujo de Fondos'!$H$34,'Paridad usd'!$A195,'Paridad usd'!L195,'Flujo de Fondos'!$H$36,'Flujo de Fondos'!$H$35)</f>
        <v/>
      </c>
      <c r="N195" s="56" t="n">
        <v>32.04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7">
      <c r="A196" s="52" t="n">
        <v>44257</v>
      </c>
      <c r="B196" s="53" t="n">
        <v>37.69</v>
      </c>
      <c r="C196" s="54">
        <f>myParidad('Flujo de Fondos'!$B$5,A196,B196,'Flujo de Fondos'!$B$7,'Flujo de Fondos'!$B$6)</f>
        <v/>
      </c>
      <c r="D196" s="53" t="n">
        <v>41</v>
      </c>
      <c r="E196" s="55">
        <f>myParidad('Flujo de Fondos'!$H$5,$A196,D196,'Flujo de Fondos'!$H$7,'Flujo de Fondos'!$H$6)</f>
        <v/>
      </c>
      <c r="F196" s="53" t="n">
        <v>36.29</v>
      </c>
      <c r="G196" s="54">
        <f>myParidad('Flujo de Fondos'!$N$5,$A196,F196,'Flujo de Fondos'!$N$7,'Flujo de Fondos'!$N$6)</f>
        <v/>
      </c>
      <c r="H196" s="56" t="n">
        <v>36.96</v>
      </c>
      <c r="I196" s="54">
        <f>myParidad('Flujo de Fondos'!$T$5,$A196,H196,'Flujo de Fondos'!$T$7,'Flujo de Fondos'!$T$6)</f>
        <v/>
      </c>
      <c r="J196" s="56" t="n">
        <v>32.21</v>
      </c>
      <c r="K196" s="54">
        <f>myParidad('Flujo de Fondos'!$B$34,$A196,J196,'Flujo de Fondos'!$B$36,'Flujo de Fondos'!$B$35)</f>
        <v/>
      </c>
      <c r="L196" s="53" t="n">
        <v>34.45</v>
      </c>
      <c r="M196" s="54">
        <f>myParidad('Flujo de Fondos'!$H$34,'Paridad usd'!$A196,'Paridad usd'!L196,'Flujo de Fondos'!$H$36,'Flujo de Fondos'!$H$35)</f>
        <v/>
      </c>
      <c r="N196" s="56" t="n">
        <v>32.25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7">
      <c r="A197" s="52" t="n">
        <v>44256</v>
      </c>
      <c r="B197" s="53" t="n">
        <v>38.19</v>
      </c>
      <c r="C197" s="54">
        <f>myParidad('Flujo de Fondos'!$B$5,A197,B197,'Flujo de Fondos'!$B$7,'Flujo de Fondos'!$B$6)</f>
        <v/>
      </c>
      <c r="D197" s="53" t="n">
        <v>41.5</v>
      </c>
      <c r="E197" s="55">
        <f>myParidad('Flujo de Fondos'!$H$5,$A197,D197,'Flujo de Fondos'!$H$7,'Flujo de Fondos'!$H$6)</f>
        <v/>
      </c>
      <c r="F197" s="53" t="n">
        <v>36.78</v>
      </c>
      <c r="G197" s="54">
        <f>myParidad('Flujo de Fondos'!$N$5,$A197,F197,'Flujo de Fondos'!$N$7,'Flujo de Fondos'!$N$6)</f>
        <v/>
      </c>
      <c r="H197" s="56" t="n">
        <v>37.79</v>
      </c>
      <c r="I197" s="54">
        <f>myParidad('Flujo de Fondos'!$T$5,$A197,H197,'Flujo de Fondos'!$T$7,'Flujo de Fondos'!$T$6)</f>
        <v/>
      </c>
      <c r="J197" s="56" t="n">
        <v>33.01</v>
      </c>
      <c r="K197" s="54">
        <f>myParidad('Flujo de Fondos'!$B$34,$A197,J197,'Flujo de Fondos'!$B$36,'Flujo de Fondos'!$B$35)</f>
        <v/>
      </c>
      <c r="L197" s="53" t="n">
        <v>35.05</v>
      </c>
      <c r="M197" s="54">
        <f>myParidad('Flujo de Fondos'!$H$34,'Paridad usd'!$A197,'Paridad usd'!L197,'Flujo de Fondos'!$H$36,'Flujo de Fondos'!$H$35)</f>
        <v/>
      </c>
      <c r="N197" s="56" t="n">
        <v>33.2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7">
      <c r="A198" s="52" t="n">
        <v>44253</v>
      </c>
      <c r="B198" s="53" t="n">
        <v>38.05</v>
      </c>
      <c r="C198" s="54">
        <f>myParidad('Flujo de Fondos'!$B$5,A198,B198,'Flujo de Fondos'!$B$7,'Flujo de Fondos'!$B$6)</f>
        <v/>
      </c>
      <c r="D198" s="53" t="n">
        <v>41.5</v>
      </c>
      <c r="E198" s="55">
        <f>myParidad('Flujo de Fondos'!$H$5,$A198,D198,'Flujo de Fondos'!$H$7,'Flujo de Fondos'!$H$6)</f>
        <v/>
      </c>
      <c r="F198" s="53" t="n">
        <v>36.78</v>
      </c>
      <c r="G198" s="54">
        <f>myParidad('Flujo de Fondos'!$N$5,$A198,F198,'Flujo de Fondos'!$N$7,'Flujo de Fondos'!$N$6)</f>
        <v/>
      </c>
      <c r="H198" s="56" t="n">
        <v>37.63</v>
      </c>
      <c r="I198" s="54">
        <f>myParidad('Flujo de Fondos'!$T$5,$A198,H198,'Flujo de Fondos'!$T$7,'Flujo de Fondos'!$T$6)</f>
        <v/>
      </c>
      <c r="J198" s="56" t="n">
        <v>33</v>
      </c>
      <c r="K198" s="54">
        <f>myParidad('Flujo de Fondos'!$B$34,$A198,J198,'Flujo de Fondos'!$B$36,'Flujo de Fondos'!$B$35)</f>
        <v/>
      </c>
      <c r="L198" s="53" t="n">
        <v>34.85</v>
      </c>
      <c r="M198" s="54">
        <f>myParidad('Flujo de Fondos'!$H$34,'Paridad usd'!$A198,'Paridad usd'!L198,'Flujo de Fondos'!$H$36,'Flujo de Fondos'!$H$35)</f>
        <v/>
      </c>
      <c r="N198" s="56" t="n">
        <v>33.1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7">
      <c r="A199" s="52" t="n">
        <v>44252</v>
      </c>
      <c r="B199" s="53" t="n">
        <v>37.92</v>
      </c>
      <c r="C199" s="54">
        <f>myParidad('Flujo de Fondos'!$B$5,A199,B199,'Flujo de Fondos'!$B$7,'Flujo de Fondos'!$B$6)</f>
        <v/>
      </c>
      <c r="D199" s="53" t="n">
        <v>42</v>
      </c>
      <c r="E199" s="55">
        <f>myParidad('Flujo de Fondos'!$H$5,$A199,D199,'Flujo de Fondos'!$H$7,'Flujo de Fondos'!$H$6)</f>
        <v/>
      </c>
      <c r="F199" s="53" t="n">
        <v>36.47</v>
      </c>
      <c r="G199" s="54">
        <f>myParidad('Flujo de Fondos'!$N$5,$A199,F199,'Flujo de Fondos'!$N$7,'Flujo de Fondos'!$N$6)</f>
        <v/>
      </c>
      <c r="H199" s="56" t="n">
        <v>38.01</v>
      </c>
      <c r="I199" s="54">
        <f>myParidad('Flujo de Fondos'!$T$5,$A199,H199,'Flujo de Fondos'!$T$7,'Flujo de Fondos'!$T$6)</f>
        <v/>
      </c>
      <c r="J199" s="56" t="n">
        <v>32.9</v>
      </c>
      <c r="K199" s="54">
        <f>myParidad('Flujo de Fondos'!$B$34,$A199,J199,'Flujo de Fondos'!$B$36,'Flujo de Fondos'!$B$35)</f>
        <v/>
      </c>
      <c r="L199" s="53" t="n">
        <v>34.6</v>
      </c>
      <c r="M199" s="54">
        <f>myParidad('Flujo de Fondos'!$H$34,'Paridad usd'!$A199,'Paridad usd'!L199,'Flujo de Fondos'!$H$36,'Flujo de Fondos'!$H$35)</f>
        <v/>
      </c>
      <c r="N199" s="56" t="n">
        <v>33.2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7">
      <c r="A200" s="52" t="n">
        <v>44251</v>
      </c>
      <c r="B200" s="53" t="n">
        <v>37.9</v>
      </c>
      <c r="C200" s="54">
        <f>myParidad('Flujo de Fondos'!$B$5,A200,B200,'Flujo de Fondos'!$B$7,'Flujo de Fondos'!$B$6)</f>
        <v/>
      </c>
      <c r="D200" s="53" t="n">
        <v>41.5</v>
      </c>
      <c r="E200" s="55">
        <f>myParidad('Flujo de Fondos'!$H$5,$A200,D200,'Flujo de Fondos'!$H$7,'Flujo de Fondos'!$H$6)</f>
        <v/>
      </c>
      <c r="F200" s="53" t="n">
        <v>36.08</v>
      </c>
      <c r="G200" s="54">
        <f>myParidad('Flujo de Fondos'!$N$5,$A200,F200,'Flujo de Fondos'!$N$7,'Flujo de Fondos'!$N$6)</f>
        <v/>
      </c>
      <c r="H200" s="56" t="n">
        <v>38.11</v>
      </c>
      <c r="I200" s="54">
        <f>myParidad('Flujo de Fondos'!$T$5,$A200,H200,'Flujo de Fondos'!$T$7,'Flujo de Fondos'!$T$6)</f>
        <v/>
      </c>
      <c r="J200" s="56" t="n">
        <v>32.5</v>
      </c>
      <c r="K200" s="54">
        <f>myParidad('Flujo de Fondos'!$B$34,$A200,J200,'Flujo de Fondos'!$B$36,'Flujo de Fondos'!$B$35)</f>
        <v/>
      </c>
      <c r="L200" s="53" t="n">
        <v>34.3</v>
      </c>
      <c r="M200" s="54">
        <f>myParidad('Flujo de Fondos'!$H$34,'Paridad usd'!$A200,'Paridad usd'!L200,'Flujo de Fondos'!$H$36,'Flujo de Fondos'!$H$35)</f>
        <v/>
      </c>
      <c r="N200" s="56" t="n">
        <v>33.1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7">
      <c r="A201" s="52" t="n">
        <v>44250</v>
      </c>
      <c r="B201" s="53" t="n">
        <v>37.69</v>
      </c>
      <c r="C201" s="54">
        <f>myParidad('Flujo de Fondos'!$B$5,A201,B201,'Flujo de Fondos'!$B$7,'Flujo de Fondos'!$B$6)</f>
        <v/>
      </c>
      <c r="D201" s="53" t="n">
        <v>41.8</v>
      </c>
      <c r="E201" s="55">
        <f>myParidad('Flujo de Fondos'!$H$5,$A201,D201,'Flujo de Fondos'!$H$7,'Flujo de Fondos'!$H$6)</f>
        <v/>
      </c>
      <c r="F201" s="53" t="n">
        <v>35.75</v>
      </c>
      <c r="G201" s="54">
        <f>myParidad('Flujo de Fondos'!$N$5,$A201,F201,'Flujo de Fondos'!$N$7,'Flujo de Fondos'!$N$6)</f>
        <v/>
      </c>
      <c r="H201" s="56" t="n">
        <v>37.79</v>
      </c>
      <c r="I201" s="54">
        <f>myParidad('Flujo de Fondos'!$T$5,$A201,H201,'Flujo de Fondos'!$T$7,'Flujo de Fondos'!$T$6)</f>
        <v/>
      </c>
      <c r="J201" s="56" t="n">
        <v>32.11</v>
      </c>
      <c r="K201" s="54">
        <f>myParidad('Flujo de Fondos'!$B$34,$A201,J201,'Flujo de Fondos'!$B$36,'Flujo de Fondos'!$B$35)</f>
        <v/>
      </c>
      <c r="L201" s="53" t="n">
        <v>34.1</v>
      </c>
      <c r="M201" s="54">
        <f>myParidad('Flujo de Fondos'!$H$34,'Paridad usd'!$A201,'Paridad usd'!L201,'Flujo de Fondos'!$H$36,'Flujo de Fondos'!$H$35)</f>
        <v/>
      </c>
      <c r="N201" s="56" t="n">
        <v>32.74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7">
      <c r="A202" s="52" t="n">
        <v>44249</v>
      </c>
      <c r="B202" s="53" t="n">
        <v>38.25</v>
      </c>
      <c r="C202" s="54">
        <f>myParidad('Flujo de Fondos'!$B$5,A202,B202,'Flujo de Fondos'!$B$7,'Flujo de Fondos'!$B$6)</f>
        <v/>
      </c>
      <c r="D202" s="53" t="n">
        <v>42.4</v>
      </c>
      <c r="E202" s="55">
        <f>myParidad('Flujo de Fondos'!$H$5,$A202,D202,'Flujo de Fondos'!$H$7,'Flujo de Fondos'!$H$6)</f>
        <v/>
      </c>
      <c r="F202" s="53" t="n">
        <v>36.35</v>
      </c>
      <c r="G202" s="54">
        <f>myParidad('Flujo de Fondos'!$N$5,$A202,F202,'Flujo de Fondos'!$N$7,'Flujo de Fondos'!$N$6)</f>
        <v/>
      </c>
      <c r="H202" s="56" t="n">
        <v>38.42</v>
      </c>
      <c r="I202" s="54">
        <f>myParidad('Flujo de Fondos'!$T$5,$A202,H202,'Flujo de Fondos'!$T$7,'Flujo de Fondos'!$T$6)</f>
        <v/>
      </c>
      <c r="J202" s="56" t="n">
        <v>32.25</v>
      </c>
      <c r="K202" s="54">
        <f>myParidad('Flujo de Fondos'!$B$34,$A202,J202,'Flujo de Fondos'!$B$36,'Flujo de Fondos'!$B$35)</f>
        <v/>
      </c>
      <c r="L202" s="53" t="n">
        <v>34.4</v>
      </c>
      <c r="M202" s="54">
        <f>myParidad('Flujo de Fondos'!$H$34,'Paridad usd'!$A202,'Paridad usd'!L202,'Flujo de Fondos'!$H$36,'Flujo de Fondos'!$H$35)</f>
        <v/>
      </c>
      <c r="N202" s="56" t="n">
        <v>32.74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7">
      <c r="A203" s="52" t="n">
        <v>44246</v>
      </c>
      <c r="B203" s="53" t="n">
        <v>38.55</v>
      </c>
      <c r="C203" s="54">
        <f>myParidad('Flujo de Fondos'!$B$5,A203,B203,'Flujo de Fondos'!$B$7,'Flujo de Fondos'!$B$6)</f>
        <v/>
      </c>
      <c r="D203" s="53" t="n">
        <v>42.21</v>
      </c>
      <c r="E203" s="55">
        <f>myParidad('Flujo de Fondos'!$H$5,$A203,D203,'Flujo de Fondos'!$H$7,'Flujo de Fondos'!$H$6)</f>
        <v/>
      </c>
      <c r="F203" s="53" t="n">
        <v>36.19</v>
      </c>
      <c r="G203" s="54">
        <f>myParidad('Flujo de Fondos'!$N$5,$A203,F203,'Flujo de Fondos'!$N$7,'Flujo de Fondos'!$N$6)</f>
        <v/>
      </c>
      <c r="H203" s="56" t="n">
        <v>38.6</v>
      </c>
      <c r="I203" s="54">
        <f>myParidad('Flujo de Fondos'!$T$5,$A203,H203,'Flujo de Fondos'!$T$7,'Flujo de Fondos'!$T$6)</f>
        <v/>
      </c>
      <c r="J203" s="56" t="n">
        <v>32.5</v>
      </c>
      <c r="K203" s="54">
        <f>myParidad('Flujo de Fondos'!$B$34,$A203,J203,'Flujo de Fondos'!$B$36,'Flujo de Fondos'!$B$35)</f>
        <v/>
      </c>
      <c r="L203" s="53" t="n">
        <v>34.8</v>
      </c>
      <c r="M203" s="54">
        <f>myParidad('Flujo de Fondos'!$H$34,'Paridad usd'!$A203,'Paridad usd'!L203,'Flujo de Fondos'!$H$36,'Flujo de Fondos'!$H$35)</f>
        <v/>
      </c>
      <c r="N203" s="56" t="n">
        <v>33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7">
      <c r="A204" s="52" t="n">
        <v>44245</v>
      </c>
      <c r="B204" s="53" t="n">
        <v>38.95</v>
      </c>
      <c r="C204" s="54">
        <f>myParidad('Flujo de Fondos'!$B$5,A204,B204,'Flujo de Fondos'!$B$7,'Flujo de Fondos'!$B$6)</f>
        <v/>
      </c>
      <c r="D204" s="53" t="n">
        <v>42.2</v>
      </c>
      <c r="E204" s="55">
        <f>myParidad('Flujo de Fondos'!$H$5,$A204,D204,'Flujo de Fondos'!$H$7,'Flujo de Fondos'!$H$6)</f>
        <v/>
      </c>
      <c r="F204" s="53" t="n">
        <v>36.75</v>
      </c>
      <c r="G204" s="54">
        <f>myParidad('Flujo de Fondos'!$N$5,$A204,F204,'Flujo de Fondos'!$N$7,'Flujo de Fondos'!$N$6)</f>
        <v/>
      </c>
      <c r="H204" s="56" t="n">
        <v>39.05</v>
      </c>
      <c r="I204" s="54">
        <f>myParidad('Flujo de Fondos'!$T$5,$A204,H204,'Flujo de Fondos'!$T$7,'Flujo de Fondos'!$T$6)</f>
        <v/>
      </c>
      <c r="J204" s="56" t="n">
        <v>33.01</v>
      </c>
      <c r="K204" s="54">
        <f>myParidad('Flujo de Fondos'!$B$34,$A204,J204,'Flujo de Fondos'!$B$36,'Flujo de Fondos'!$B$35)</f>
        <v/>
      </c>
      <c r="L204" s="53" t="n">
        <v>34.78</v>
      </c>
      <c r="M204" s="54">
        <f>myParidad('Flujo de Fondos'!$H$34,'Paridad usd'!$A204,'Paridad usd'!L204,'Flujo de Fondos'!$H$36,'Flujo de Fondos'!$H$35)</f>
        <v/>
      </c>
      <c r="N204" s="56" t="n">
        <v>32.86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>
      <c r="A205" s="52" t="n">
        <v>44244</v>
      </c>
      <c r="B205" s="53" t="n">
        <v>38.69</v>
      </c>
      <c r="C205" s="54">
        <f>myParidad('Flujo de Fondos'!$B$5,A205,B205,'Flujo de Fondos'!$B$7,'Flujo de Fondos'!$B$6)</f>
        <v/>
      </c>
      <c r="D205" s="53" t="n">
        <v>42.4</v>
      </c>
      <c r="E205" s="55">
        <f>myParidad('Flujo de Fondos'!$H$5,$A205,D205,'Flujo de Fondos'!$H$7,'Flujo de Fondos'!$H$6)</f>
        <v/>
      </c>
      <c r="F205" s="53" t="n">
        <v>36.14</v>
      </c>
      <c r="G205" s="54">
        <f>myParidad('Flujo de Fondos'!$N$5,$A205,F205,'Flujo de Fondos'!$N$7,'Flujo de Fondos'!$N$6)</f>
        <v/>
      </c>
      <c r="H205" s="56" t="n">
        <v>39.23</v>
      </c>
      <c r="I205" s="54">
        <f>myParidad('Flujo de Fondos'!$T$5,$A205,H205,'Flujo de Fondos'!$T$7,'Flujo de Fondos'!$T$6)</f>
        <v/>
      </c>
      <c r="J205" s="56" t="n">
        <v>32.9</v>
      </c>
      <c r="K205" s="54">
        <f>myParidad('Flujo de Fondos'!$B$34,$A205,J205,'Flujo de Fondos'!$B$36,'Flujo de Fondos'!$B$35)</f>
        <v/>
      </c>
      <c r="L205" s="53" t="n">
        <v>34.69</v>
      </c>
      <c r="M205" s="54">
        <f>myParidad('Flujo de Fondos'!$H$34,'Paridad usd'!$A205,'Paridad usd'!L205,'Flujo de Fondos'!$H$36,'Flujo de Fondos'!$H$35)</f>
        <v/>
      </c>
      <c r="N205" s="56" t="n">
        <v>32.85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>
      <c r="A206" s="52" t="n">
        <v>44239</v>
      </c>
      <c r="B206" s="53" t="n">
        <v>39</v>
      </c>
      <c r="C206" s="54">
        <f>myParidad('Flujo de Fondos'!$B$5,A206,B206,'Flujo de Fondos'!$B$7,'Flujo de Fondos'!$B$6)</f>
        <v/>
      </c>
      <c r="D206" s="53" t="n">
        <v>43.2</v>
      </c>
      <c r="E206" s="55">
        <f>myParidad('Flujo de Fondos'!$H$5,$A206,D206,'Flujo de Fondos'!$H$7,'Flujo de Fondos'!$H$6)</f>
        <v/>
      </c>
      <c r="F206" s="53" t="n">
        <v>36.45</v>
      </c>
      <c r="G206" s="54">
        <f>myParidad('Flujo de Fondos'!$N$5,$A206,F206,'Flujo de Fondos'!$N$7,'Flujo de Fondos'!$N$6)</f>
        <v/>
      </c>
      <c r="H206" s="56" t="n">
        <v>39.8</v>
      </c>
      <c r="I206" s="54">
        <f>myParidad('Flujo de Fondos'!$T$5,$A206,H206,'Flujo de Fondos'!$T$7,'Flujo de Fondos'!$T$6)</f>
        <v/>
      </c>
      <c r="J206" s="56" t="n">
        <v>33.55</v>
      </c>
      <c r="K206" s="54">
        <f>myParidad('Flujo de Fondos'!$B$34,$A206,J206,'Flujo de Fondos'!$B$36,'Flujo de Fondos'!$B$35)</f>
        <v/>
      </c>
      <c r="L206" s="53" t="n">
        <v>35.3</v>
      </c>
      <c r="M206" s="54">
        <f>myParidad('Flujo de Fondos'!$H$34,'Paridad usd'!$A206,'Paridad usd'!L206,'Flujo de Fondos'!$H$36,'Flujo de Fondos'!$H$35)</f>
        <v/>
      </c>
      <c r="N206" s="56" t="n">
        <v>33.4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>
      <c r="A207" s="52" t="n">
        <v>44238</v>
      </c>
      <c r="B207" s="53" t="n">
        <v>39.1</v>
      </c>
      <c r="C207" s="54">
        <f>myParidad('Flujo de Fondos'!$B$5,A207,B207,'Flujo de Fondos'!$B$7,'Flujo de Fondos'!$B$6)</f>
        <v/>
      </c>
      <c r="D207" s="53" t="n">
        <v>42.55</v>
      </c>
      <c r="E207" s="55">
        <f>myParidad('Flujo de Fondos'!$H$5,$A207,D207,'Flujo de Fondos'!$H$7,'Flujo de Fondos'!$H$6)</f>
        <v/>
      </c>
      <c r="F207" s="53" t="n">
        <v>37.01</v>
      </c>
      <c r="G207" s="54">
        <f>myParidad('Flujo de Fondos'!$N$5,$A207,F207,'Flujo de Fondos'!$N$7,'Flujo de Fondos'!$N$6)</f>
        <v/>
      </c>
      <c r="H207" s="56" t="n">
        <v>39.58</v>
      </c>
      <c r="I207" s="54">
        <f>myParidad('Flujo de Fondos'!$T$5,$A207,H207,'Flujo de Fondos'!$T$7,'Flujo de Fondos'!$T$6)</f>
        <v/>
      </c>
      <c r="J207" s="56" t="n">
        <v>33.8</v>
      </c>
      <c r="K207" s="54">
        <f>myParidad('Flujo de Fondos'!$B$34,$A207,J207,'Flujo de Fondos'!$B$36,'Flujo de Fondos'!$B$35)</f>
        <v/>
      </c>
      <c r="L207" s="53" t="n">
        <v>35.5</v>
      </c>
      <c r="M207" s="54">
        <f>myParidad('Flujo de Fondos'!$H$34,'Paridad usd'!$A207,'Paridad usd'!L207,'Flujo de Fondos'!$H$36,'Flujo de Fondos'!$H$35)</f>
        <v/>
      </c>
      <c r="N207" s="56" t="n">
        <v>33.51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>
      <c r="A208" s="52" t="n">
        <v>44237</v>
      </c>
      <c r="B208" s="53" t="n">
        <v>39.41</v>
      </c>
      <c r="C208" s="54">
        <f>myParidad('Flujo de Fondos'!$B$5,A208,B208,'Flujo de Fondos'!$B$7,'Flujo de Fondos'!$B$6)</f>
        <v/>
      </c>
      <c r="D208" s="53" t="n">
        <v>42.8</v>
      </c>
      <c r="E208" s="55">
        <f>myParidad('Flujo de Fondos'!$H$5,$A208,D208,'Flujo de Fondos'!$H$7,'Flujo de Fondos'!$H$6)</f>
        <v/>
      </c>
      <c r="F208" s="53" t="n">
        <v>37.45</v>
      </c>
      <c r="G208" s="54">
        <f>myParidad('Flujo de Fondos'!$N$5,$A208,F208,'Flujo de Fondos'!$N$7,'Flujo de Fondos'!$N$6)</f>
        <v/>
      </c>
      <c r="H208" s="56" t="n">
        <v>39.66</v>
      </c>
      <c r="I208" s="54">
        <f>myParidad('Flujo de Fondos'!$T$5,$A208,H208,'Flujo de Fondos'!$T$7,'Flujo de Fondos'!$T$6)</f>
        <v/>
      </c>
      <c r="J208" s="56" t="n">
        <v>33.89</v>
      </c>
      <c r="K208" s="54">
        <f>myParidad('Flujo de Fondos'!$B$34,$A208,J208,'Flujo de Fondos'!$B$36,'Flujo de Fondos'!$B$35)</f>
        <v/>
      </c>
      <c r="L208" s="53" t="n">
        <v>35.5</v>
      </c>
      <c r="M208" s="54">
        <f>myParidad('Flujo de Fondos'!$H$34,'Paridad usd'!$A208,'Paridad usd'!L208,'Flujo de Fondos'!$H$36,'Flujo de Fondos'!$H$35)</f>
        <v/>
      </c>
      <c r="N208" s="56" t="n">
        <v>33.43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>
      <c r="A209" s="52" t="n">
        <v>44236</v>
      </c>
      <c r="B209" s="53" t="n">
        <v>39.47</v>
      </c>
      <c r="C209" s="54">
        <f>myParidad('Flujo de Fondos'!$B$5,A209,B209,'Flujo de Fondos'!$B$7,'Flujo de Fondos'!$B$6)</f>
        <v/>
      </c>
      <c r="D209" s="53" t="n">
        <v>42.8</v>
      </c>
      <c r="E209" s="55">
        <f>myParidad('Flujo de Fondos'!$H$5,$A209,D209,'Flujo de Fondos'!$H$7,'Flujo de Fondos'!$H$6)</f>
        <v/>
      </c>
      <c r="F209" s="53" t="n">
        <v>37.52</v>
      </c>
      <c r="G209" s="54">
        <f>myParidad('Flujo de Fondos'!$N$5,$A209,F209,'Flujo de Fondos'!$N$7,'Flujo de Fondos'!$N$6)</f>
        <v/>
      </c>
      <c r="H209" s="56" t="n">
        <v>39.89</v>
      </c>
      <c r="I209" s="54">
        <f>myParidad('Flujo de Fondos'!$T$5,$A209,H209,'Flujo de Fondos'!$T$7,'Flujo de Fondos'!$T$6)</f>
        <v/>
      </c>
      <c r="J209" s="56" t="n">
        <v>33.81</v>
      </c>
      <c r="K209" s="54">
        <f>myParidad('Flujo de Fondos'!$B$34,$A209,J209,'Flujo de Fondos'!$B$36,'Flujo de Fondos'!$B$35)</f>
        <v/>
      </c>
      <c r="L209" s="53" t="n">
        <v>35.8</v>
      </c>
      <c r="M209" s="54">
        <f>myParidad('Flujo de Fondos'!$H$34,'Paridad usd'!$A209,'Paridad usd'!L209,'Flujo de Fondos'!$H$36,'Flujo de Fondos'!$H$35)</f>
        <v/>
      </c>
      <c r="N209" s="56" t="n">
        <v>33.68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>
      <c r="A210" s="52" t="n">
        <v>44235</v>
      </c>
      <c r="B210" s="53" t="n">
        <v>39.55</v>
      </c>
      <c r="C210" s="54">
        <f>myParidad('Flujo de Fondos'!$B$5,A210,B210,'Flujo de Fondos'!$B$7,'Flujo de Fondos'!$B$6)</f>
        <v/>
      </c>
      <c r="D210" s="53" t="n">
        <v>43.12</v>
      </c>
      <c r="E210" s="55">
        <f>myParidad('Flujo de Fondos'!$H$5,$A210,D210,'Flujo de Fondos'!$H$7,'Flujo de Fondos'!$H$6)</f>
        <v/>
      </c>
      <c r="F210" s="53" t="n">
        <v>37.65</v>
      </c>
      <c r="G210" s="54">
        <f>myParidad('Flujo de Fondos'!$N$5,$A210,F210,'Flujo de Fondos'!$N$7,'Flujo de Fondos'!$N$6)</f>
        <v/>
      </c>
      <c r="H210" s="56" t="n">
        <v>39.98</v>
      </c>
      <c r="I210" s="54">
        <f>myParidad('Flujo de Fondos'!$T$5,$A210,H210,'Flujo de Fondos'!$T$7,'Flujo de Fondos'!$T$6)</f>
        <v/>
      </c>
      <c r="J210" s="56" t="n">
        <v>34.11</v>
      </c>
      <c r="K210" s="54">
        <f>myParidad('Flujo de Fondos'!$B$34,$A210,J210,'Flujo de Fondos'!$B$36,'Flujo de Fondos'!$B$35)</f>
        <v/>
      </c>
      <c r="L210" s="53" t="n">
        <v>36</v>
      </c>
      <c r="M210" s="54">
        <f>myParidad('Flujo de Fondos'!$H$34,'Paridad usd'!$A210,'Paridad usd'!L210,'Flujo de Fondos'!$H$36,'Flujo de Fondos'!$H$35)</f>
        <v/>
      </c>
      <c r="N210" s="56" t="n">
        <v>33.7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44232</v>
      </c>
      <c r="B211" s="53" t="n">
        <v>39.48</v>
      </c>
      <c r="C211" s="54">
        <f>myParidad('Flujo de Fondos'!$B$5,A211,B211,'Flujo de Fondos'!$B$7,'Flujo de Fondos'!$B$6)</f>
        <v/>
      </c>
      <c r="D211" s="53" t="n">
        <v>43.52</v>
      </c>
      <c r="E211" s="55">
        <f>myParidad('Flujo de Fondos'!$H$5,$A211,D211,'Flujo de Fondos'!$H$7,'Flujo de Fondos'!$H$6)</f>
        <v/>
      </c>
      <c r="F211" s="53" t="n">
        <v>37.62</v>
      </c>
      <c r="G211" s="54">
        <f>myParidad('Flujo de Fondos'!$N$5,$A211,F211,'Flujo de Fondos'!$N$7,'Flujo de Fondos'!$N$6)</f>
        <v/>
      </c>
      <c r="H211" s="56" t="n">
        <v>39.98</v>
      </c>
      <c r="I211" s="54">
        <f>myParidad('Flujo de Fondos'!$T$5,$A211,H211,'Flujo de Fondos'!$T$7,'Flujo de Fondos'!$T$6)</f>
        <v/>
      </c>
      <c r="J211" s="56" t="n">
        <v>34.11</v>
      </c>
      <c r="K211" s="54">
        <f>myParidad('Flujo de Fondos'!$B$34,$A211,J211,'Flujo de Fondos'!$B$36,'Flujo de Fondos'!$B$35)</f>
        <v/>
      </c>
      <c r="L211" s="53" t="n">
        <v>36</v>
      </c>
      <c r="M211" s="54">
        <f>myParidad('Flujo de Fondos'!$H$34,'Paridad usd'!$A211,'Paridad usd'!L211,'Flujo de Fondos'!$H$36,'Flujo de Fondos'!$H$35)</f>
        <v/>
      </c>
      <c r="N211" s="56" t="n">
        <v>33.75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44231</v>
      </c>
      <c r="B212" s="53" t="n">
        <v>39.48</v>
      </c>
      <c r="C212" s="54">
        <f>myParidad('Flujo de Fondos'!$B$5,A212,B212,'Flujo de Fondos'!$B$7,'Flujo de Fondos'!$B$6)</f>
        <v/>
      </c>
      <c r="D212" s="53" t="n">
        <v>42.75</v>
      </c>
      <c r="E212" s="55">
        <f>myParidad('Flujo de Fondos'!$H$5,$A212,D212,'Flujo de Fondos'!$H$7,'Flujo de Fondos'!$H$6)</f>
        <v/>
      </c>
      <c r="F212" s="53" t="n">
        <v>37.64</v>
      </c>
      <c r="G212" s="54">
        <f>myParidad('Flujo de Fondos'!$N$5,$A212,F212,'Flujo de Fondos'!$N$7,'Flujo de Fondos'!$N$6)</f>
        <v/>
      </c>
      <c r="H212" s="56" t="n">
        <v>39.72</v>
      </c>
      <c r="I212" s="54">
        <f>myParidad('Flujo de Fondos'!$T$5,$A212,H212,'Flujo de Fondos'!$T$7,'Flujo de Fondos'!$T$6)</f>
        <v/>
      </c>
      <c r="J212" s="56" t="n">
        <v>34.1</v>
      </c>
      <c r="K212" s="54">
        <f>myParidad('Flujo de Fondos'!$B$34,$A212,J212,'Flujo de Fondos'!$B$36,'Flujo de Fondos'!$B$35)</f>
        <v/>
      </c>
      <c r="L212" s="53" t="n">
        <v>36.28</v>
      </c>
      <c r="M212" s="54">
        <f>myParidad('Flujo de Fondos'!$H$34,'Paridad usd'!$A212,'Paridad usd'!L212,'Flujo de Fondos'!$H$36,'Flujo de Fondos'!$H$35)</f>
        <v/>
      </c>
      <c r="N212" s="56" t="n">
        <v>33.69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44230</v>
      </c>
      <c r="B213" s="53" t="n">
        <v>39.6</v>
      </c>
      <c r="C213" s="54">
        <f>myParidad('Flujo de Fondos'!$B$5,A213,B213,'Flujo de Fondos'!$B$7,'Flujo de Fondos'!$B$6)</f>
        <v/>
      </c>
      <c r="D213" s="53" t="n">
        <v>42.25</v>
      </c>
      <c r="E213" s="55">
        <f>myParidad('Flujo de Fondos'!$H$5,$A213,D213,'Flujo de Fondos'!$H$7,'Flujo de Fondos'!$H$6)</f>
        <v/>
      </c>
      <c r="F213" s="53" t="n">
        <v>37.78</v>
      </c>
      <c r="G213" s="54">
        <f>myParidad('Flujo de Fondos'!$N$5,$A213,F213,'Flujo de Fondos'!$N$7,'Flujo de Fondos'!$N$6)</f>
        <v/>
      </c>
      <c r="H213" s="56" t="n">
        <v>39.61</v>
      </c>
      <c r="I213" s="54">
        <f>myParidad('Flujo de Fondos'!$T$5,$A213,H213,'Flujo de Fondos'!$T$7,'Flujo de Fondos'!$T$6)</f>
        <v/>
      </c>
      <c r="J213" s="56" t="n">
        <v>33.9</v>
      </c>
      <c r="K213" s="54">
        <f>myParidad('Flujo de Fondos'!$B$34,$A213,J213,'Flujo de Fondos'!$B$36,'Flujo de Fondos'!$B$35)</f>
        <v/>
      </c>
      <c r="L213" s="53" t="n">
        <v>36.55</v>
      </c>
      <c r="M213" s="54">
        <f>myParidad('Flujo de Fondos'!$H$34,'Paridad usd'!$A213,'Paridad usd'!L213,'Flujo de Fondos'!$H$36,'Flujo de Fondos'!$H$35)</f>
        <v/>
      </c>
      <c r="N213" s="56" t="n">
        <v>33.35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44229</v>
      </c>
      <c r="B214" s="53" t="n">
        <v>39.85</v>
      </c>
      <c r="C214" s="54">
        <f>myParidad('Flujo de Fondos'!$B$5,A214,B214,'Flujo de Fondos'!$B$7,'Flujo de Fondos'!$B$6)</f>
        <v/>
      </c>
      <c r="D214" s="53" t="n">
        <v>42.75</v>
      </c>
      <c r="E214" s="55">
        <f>myParidad('Flujo de Fondos'!$H$5,$A214,D214,'Flujo de Fondos'!$H$7,'Flujo de Fondos'!$H$6)</f>
        <v/>
      </c>
      <c r="F214" s="53" t="n">
        <v>37.97</v>
      </c>
      <c r="G214" s="54">
        <f>myParidad('Flujo de Fondos'!$N$5,$A214,F214,'Flujo de Fondos'!$N$7,'Flujo de Fondos'!$N$6)</f>
        <v/>
      </c>
      <c r="H214" s="56" t="n">
        <v>39.94</v>
      </c>
      <c r="I214" s="54">
        <f>myParidad('Flujo de Fondos'!$T$5,$A214,H214,'Flujo de Fondos'!$T$7,'Flujo de Fondos'!$T$6)</f>
        <v/>
      </c>
      <c r="J214" s="56" t="n">
        <v>33.8</v>
      </c>
      <c r="K214" s="54">
        <f>myParidad('Flujo de Fondos'!$B$34,$A214,J214,'Flujo de Fondos'!$B$36,'Flujo de Fondos'!$B$35)</f>
        <v/>
      </c>
      <c r="L214" s="53" t="n">
        <v>36.65</v>
      </c>
      <c r="M214" s="54">
        <f>myParidad('Flujo de Fondos'!$H$34,'Paridad usd'!$A214,'Paridad usd'!L214,'Flujo de Fondos'!$H$36,'Flujo de Fondos'!$H$35)</f>
        <v/>
      </c>
      <c r="N214" s="56" t="n">
        <v>33.55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44228</v>
      </c>
      <c r="B215" s="53" t="n">
        <v>39.78</v>
      </c>
      <c r="C215" s="54">
        <f>myParidad('Flujo de Fondos'!$B$5,A215,B215,'Flujo de Fondos'!$B$7,'Flujo de Fondos'!$B$6)</f>
        <v/>
      </c>
      <c r="D215" s="53" t="n">
        <v>43</v>
      </c>
      <c r="E215" s="55">
        <f>myParidad('Flujo de Fondos'!$H$5,$A215,D215,'Flujo de Fondos'!$H$7,'Flujo de Fondos'!$H$6)</f>
        <v/>
      </c>
      <c r="F215" s="53" t="n">
        <v>38.09</v>
      </c>
      <c r="G215" s="54">
        <f>myParidad('Flujo de Fondos'!$N$5,$A215,F215,'Flujo de Fondos'!$N$7,'Flujo de Fondos'!$N$6)</f>
        <v/>
      </c>
      <c r="H215" s="56" t="n">
        <v>40.4</v>
      </c>
      <c r="I215" s="54">
        <f>myParidad('Flujo de Fondos'!$T$5,$A215,H215,'Flujo de Fondos'!$T$7,'Flujo de Fondos'!$T$6)</f>
        <v/>
      </c>
      <c r="J215" s="56" t="n">
        <v>33.8</v>
      </c>
      <c r="K215" s="54">
        <f>myParidad('Flujo de Fondos'!$B$34,$A215,J215,'Flujo de Fondos'!$B$36,'Flujo de Fondos'!$B$35)</f>
        <v/>
      </c>
      <c r="L215" s="53" t="n">
        <v>36.75</v>
      </c>
      <c r="M215" s="54">
        <f>myParidad('Flujo de Fondos'!$H$34,'Paridad usd'!$A215,'Paridad usd'!L215,'Flujo de Fondos'!$H$36,'Flujo de Fondos'!$H$35)</f>
        <v/>
      </c>
      <c r="N215" s="56" t="n">
        <v>33.6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44225</v>
      </c>
      <c r="B216" s="53" t="n">
        <v>39.55</v>
      </c>
      <c r="C216" s="54">
        <f>myParidad('Flujo de Fondos'!$B$5,A216,B216,'Flujo de Fondos'!$B$7,'Flujo de Fondos'!$B$6)</f>
        <v/>
      </c>
      <c r="D216" s="53" t="n">
        <v>43</v>
      </c>
      <c r="E216" s="55">
        <f>myParidad('Flujo de Fondos'!$H$5,$A216,D216,'Flujo de Fondos'!$H$7,'Flujo de Fondos'!$H$6)</f>
        <v/>
      </c>
      <c r="F216" s="53" t="n">
        <v>38.14</v>
      </c>
      <c r="G216" s="54">
        <f>myParidad('Flujo de Fondos'!$N$5,$A216,F216,'Flujo de Fondos'!$N$7,'Flujo de Fondos'!$N$6)</f>
        <v/>
      </c>
      <c r="H216" s="56" t="n">
        <v>40.04</v>
      </c>
      <c r="I216" s="54">
        <f>myParidad('Flujo de Fondos'!$T$5,$A216,H216,'Flujo de Fondos'!$T$7,'Flujo de Fondos'!$T$6)</f>
        <v/>
      </c>
      <c r="J216" s="56" t="n">
        <v>33.63</v>
      </c>
      <c r="K216" s="54">
        <f>myParidad('Flujo de Fondos'!$B$34,$A216,J216,'Flujo de Fondos'!$B$36,'Flujo de Fondos'!$B$35)</f>
        <v/>
      </c>
      <c r="L216" s="53" t="n">
        <v>36.7</v>
      </c>
      <c r="M216" s="54">
        <f>myParidad('Flujo de Fondos'!$H$34,'Paridad usd'!$A216,'Paridad usd'!L216,'Flujo de Fondos'!$H$36,'Flujo de Fondos'!$H$35)</f>
        <v/>
      </c>
      <c r="N216" s="56" t="n">
        <v>33.49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44224</v>
      </c>
      <c r="B217" s="53" t="n">
        <v>39.45</v>
      </c>
      <c r="C217" s="54">
        <f>myParidad('Flujo de Fondos'!$B$5,A217,B217,'Flujo de Fondos'!$B$7,'Flujo de Fondos'!$B$6)</f>
        <v/>
      </c>
      <c r="D217" s="53" t="n">
        <v>43</v>
      </c>
      <c r="E217" s="55">
        <f>myParidad('Flujo de Fondos'!$H$5,$A217,D217,'Flujo de Fondos'!$H$7,'Flujo de Fondos'!$H$6)</f>
        <v/>
      </c>
      <c r="F217" s="53" t="n">
        <v>38.27</v>
      </c>
      <c r="G217" s="54">
        <f>myParidad('Flujo de Fondos'!$N$5,$A217,F217,'Flujo de Fondos'!$N$7,'Flujo de Fondos'!$N$6)</f>
        <v/>
      </c>
      <c r="H217" s="56" t="n">
        <v>40.04</v>
      </c>
      <c r="I217" s="54">
        <f>myParidad('Flujo de Fondos'!$T$5,$A217,H217,'Flujo de Fondos'!$T$7,'Flujo de Fondos'!$T$6)</f>
        <v/>
      </c>
      <c r="J217" s="56" t="n">
        <v>33.9</v>
      </c>
      <c r="K217" s="54">
        <f>myParidad('Flujo de Fondos'!$B$34,$A217,J217,'Flujo de Fondos'!$B$36,'Flujo de Fondos'!$B$35)</f>
        <v/>
      </c>
      <c r="L217" s="53" t="n">
        <v>36.75</v>
      </c>
      <c r="M217" s="54">
        <f>myParidad('Flujo de Fondos'!$H$34,'Paridad usd'!$A217,'Paridad usd'!L217,'Flujo de Fondos'!$H$36,'Flujo de Fondos'!$H$35)</f>
        <v/>
      </c>
      <c r="N217" s="56" t="n">
        <v>33.7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44223</v>
      </c>
      <c r="B218" s="53" t="n">
        <v>39.84</v>
      </c>
      <c r="C218" s="54">
        <f>myParidad('Flujo de Fondos'!$B$5,A218,B218,'Flujo de Fondos'!$B$7,'Flujo de Fondos'!$B$6)</f>
        <v/>
      </c>
      <c r="D218" s="53" t="n">
        <v>43</v>
      </c>
      <c r="E218" s="55">
        <f>myParidad('Flujo de Fondos'!$H$5,$A218,D218,'Flujo de Fondos'!$H$7,'Flujo de Fondos'!$H$6)</f>
        <v/>
      </c>
      <c r="F218" s="53" t="n">
        <v>38.43</v>
      </c>
      <c r="G218" s="54">
        <f>myParidad('Flujo de Fondos'!$N$5,$A218,F218,'Flujo de Fondos'!$N$7,'Flujo de Fondos'!$N$6)</f>
        <v/>
      </c>
      <c r="H218" s="56" t="n">
        <v>40.3</v>
      </c>
      <c r="I218" s="54">
        <f>myParidad('Flujo de Fondos'!$T$5,$A218,H218,'Flujo de Fondos'!$T$7,'Flujo de Fondos'!$T$6)</f>
        <v/>
      </c>
      <c r="J218" s="56" t="n">
        <v>34</v>
      </c>
      <c r="K218" s="54">
        <f>myParidad('Flujo de Fondos'!$B$34,$A218,J218,'Flujo de Fondos'!$B$36,'Flujo de Fondos'!$B$35)</f>
        <v/>
      </c>
      <c r="L218" s="53" t="n">
        <v>36.67</v>
      </c>
      <c r="M218" s="54">
        <f>myParidad('Flujo de Fondos'!$H$34,'Paridad usd'!$A218,'Paridad usd'!L218,'Flujo de Fondos'!$H$36,'Flujo de Fondos'!$H$35)</f>
        <v/>
      </c>
      <c r="N218" s="56" t="n">
        <v>33.89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44222</v>
      </c>
      <c r="B219" s="53" t="n">
        <v>39.85</v>
      </c>
      <c r="C219" s="54">
        <f>myParidad('Flujo de Fondos'!$B$5,A219,B219,'Flujo de Fondos'!$B$7,'Flujo de Fondos'!$B$6)</f>
        <v/>
      </c>
      <c r="D219" s="53" t="n">
        <v>43.15</v>
      </c>
      <c r="E219" s="55">
        <f>myParidad('Flujo de Fondos'!$H$5,$A219,D219,'Flujo de Fondos'!$H$7,'Flujo de Fondos'!$H$6)</f>
        <v/>
      </c>
      <c r="F219" s="53" t="n">
        <v>38.58</v>
      </c>
      <c r="G219" s="54">
        <f>myParidad('Flujo de Fondos'!$N$5,$A219,F219,'Flujo de Fondos'!$N$7,'Flujo de Fondos'!$N$6)</f>
        <v/>
      </c>
      <c r="H219" s="56" t="n">
        <v>40.4</v>
      </c>
      <c r="I219" s="54">
        <f>myParidad('Flujo de Fondos'!$T$5,$A219,H219,'Flujo de Fondos'!$T$7,'Flujo de Fondos'!$T$6)</f>
        <v/>
      </c>
      <c r="J219" s="56" t="n">
        <v>34.05</v>
      </c>
      <c r="K219" s="54">
        <f>myParidad('Flujo de Fondos'!$B$34,$A219,J219,'Flujo de Fondos'!$B$36,'Flujo de Fondos'!$B$35)</f>
        <v/>
      </c>
      <c r="L219" s="53" t="n">
        <v>36.38</v>
      </c>
      <c r="M219" s="54">
        <f>myParidad('Flujo de Fondos'!$H$34,'Paridad usd'!$A219,'Paridad usd'!L219,'Flujo de Fondos'!$H$36,'Flujo de Fondos'!$H$35)</f>
        <v/>
      </c>
      <c r="N219" s="56" t="n">
        <v>33.6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44221</v>
      </c>
      <c r="B220" s="53" t="n">
        <v>39.89</v>
      </c>
      <c r="C220" s="54">
        <f>myParidad('Flujo de Fondos'!$B$5,A220,B220,'Flujo de Fondos'!$B$7,'Flujo de Fondos'!$B$6)</f>
        <v/>
      </c>
      <c r="D220" s="53" t="n">
        <v>43.37</v>
      </c>
      <c r="E220" s="55">
        <f>myParidad('Flujo de Fondos'!$H$5,$A220,D220,'Flujo de Fondos'!$H$7,'Flujo de Fondos'!$H$6)</f>
        <v/>
      </c>
      <c r="F220" s="53" t="n">
        <v>38.59</v>
      </c>
      <c r="G220" s="54">
        <f>myParidad('Flujo de Fondos'!$N$5,$A220,F220,'Flujo de Fondos'!$N$7,'Flujo de Fondos'!$N$6)</f>
        <v/>
      </c>
      <c r="H220" s="56" t="n">
        <v>40.4</v>
      </c>
      <c r="I220" s="54">
        <f>myParidad('Flujo de Fondos'!$T$5,$A220,H220,'Flujo de Fondos'!$T$7,'Flujo de Fondos'!$T$6)</f>
        <v/>
      </c>
      <c r="J220" s="56" t="n">
        <v>34.2</v>
      </c>
      <c r="K220" s="54">
        <f>myParidad('Flujo de Fondos'!$B$34,$A220,J220,'Flujo de Fondos'!$B$36,'Flujo de Fondos'!$B$35)</f>
        <v/>
      </c>
      <c r="L220" s="53" t="n">
        <v>36.5</v>
      </c>
      <c r="M220" s="54">
        <f>myParidad('Flujo de Fondos'!$H$34,'Paridad usd'!$A220,'Paridad usd'!L220,'Flujo de Fondos'!$H$36,'Flujo de Fondos'!$H$35)</f>
        <v/>
      </c>
      <c r="N220" s="56" t="n">
        <v>33.6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44218</v>
      </c>
      <c r="B221" s="53" t="n">
        <v>40</v>
      </c>
      <c r="C221" s="54">
        <f>myParidad('Flujo de Fondos'!$B$5,A221,B221,'Flujo de Fondos'!$B$7,'Flujo de Fondos'!$B$6)</f>
        <v/>
      </c>
      <c r="D221" s="53" t="n">
        <v>43.5</v>
      </c>
      <c r="E221" s="55">
        <f>myParidad('Flujo de Fondos'!$H$5,$A221,D221,'Flujo de Fondos'!$H$7,'Flujo de Fondos'!$H$6)</f>
        <v/>
      </c>
      <c r="F221" s="53" t="n">
        <v>38.69</v>
      </c>
      <c r="G221" s="54">
        <f>myParidad('Flujo de Fondos'!$N$5,$A221,F221,'Flujo de Fondos'!$N$7,'Flujo de Fondos'!$N$6)</f>
        <v/>
      </c>
      <c r="H221" s="56" t="n">
        <v>40.5</v>
      </c>
      <c r="I221" s="54">
        <f>myParidad('Flujo de Fondos'!$T$5,$A221,H221,'Flujo de Fondos'!$T$7,'Flujo de Fondos'!$T$6)</f>
        <v/>
      </c>
      <c r="J221" s="56" t="n">
        <v>34.04</v>
      </c>
      <c r="K221" s="54">
        <f>myParidad('Flujo de Fondos'!$B$34,$A221,J221,'Flujo de Fondos'!$B$36,'Flujo de Fondos'!$B$35)</f>
        <v/>
      </c>
      <c r="L221" s="53" t="n">
        <v>36.2</v>
      </c>
      <c r="M221" s="54">
        <f>myParidad('Flujo de Fondos'!$H$34,'Paridad usd'!$A221,'Paridad usd'!L221,'Flujo de Fondos'!$H$36,'Flujo de Fondos'!$H$35)</f>
        <v/>
      </c>
      <c r="N221" s="56" t="n">
        <v>33.7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44217</v>
      </c>
      <c r="B222" s="53" t="n">
        <v>39.9</v>
      </c>
      <c r="C222" s="54">
        <f>myParidad('Flujo de Fondos'!$B$5,A222,B222,'Flujo de Fondos'!$B$7,'Flujo de Fondos'!$B$6)</f>
        <v/>
      </c>
      <c r="D222" s="53" t="n">
        <v>43.05</v>
      </c>
      <c r="E222" s="55">
        <f>myParidad('Flujo de Fondos'!$H$5,$A222,D222,'Flujo de Fondos'!$H$7,'Flujo de Fondos'!$H$6)</f>
        <v/>
      </c>
      <c r="F222" s="53" t="n">
        <v>38.69</v>
      </c>
      <c r="G222" s="54">
        <f>myParidad('Flujo de Fondos'!$N$5,$A222,F222,'Flujo de Fondos'!$N$7,'Flujo de Fondos'!$N$6)</f>
        <v/>
      </c>
      <c r="H222" s="56" t="n">
        <v>39.9</v>
      </c>
      <c r="I222" s="54">
        <f>myParidad('Flujo de Fondos'!$T$5,$A222,H222,'Flujo de Fondos'!$T$7,'Flujo de Fondos'!$T$6)</f>
        <v/>
      </c>
      <c r="J222" s="56" t="n">
        <v>33.7</v>
      </c>
      <c r="K222" s="54">
        <f>myParidad('Flujo de Fondos'!$B$34,$A222,J222,'Flujo de Fondos'!$B$36,'Flujo de Fondos'!$B$35)</f>
        <v/>
      </c>
      <c r="L222" s="53" t="n">
        <v>36.01</v>
      </c>
      <c r="M222" s="54">
        <f>myParidad('Flujo de Fondos'!$H$34,'Paridad usd'!$A222,'Paridad usd'!L222,'Flujo de Fondos'!$H$36,'Flujo de Fondos'!$H$35)</f>
        <v/>
      </c>
      <c r="N222" s="56" t="n">
        <v>33.4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44216</v>
      </c>
      <c r="B223" s="53" t="n">
        <v>39.97</v>
      </c>
      <c r="C223" s="54">
        <f>myParidad('Flujo de Fondos'!$B$5,A223,B223,'Flujo de Fondos'!$B$7,'Flujo de Fondos'!$B$6)</f>
        <v/>
      </c>
      <c r="D223" s="53" t="n">
        <v>42.87</v>
      </c>
      <c r="E223" s="55">
        <f>myParidad('Flujo de Fondos'!$H$5,$A223,D223,'Flujo de Fondos'!$H$7,'Flujo de Fondos'!$H$6)</f>
        <v/>
      </c>
      <c r="F223" s="53" t="n">
        <v>38.74</v>
      </c>
      <c r="G223" s="54">
        <f>myParidad('Flujo de Fondos'!$N$5,$A223,F223,'Flujo de Fondos'!$N$7,'Flujo de Fondos'!$N$6)</f>
        <v/>
      </c>
      <c r="H223" s="56" t="n">
        <v>40.12</v>
      </c>
      <c r="I223" s="54">
        <f>myParidad('Flujo de Fondos'!$T$5,$A223,H223,'Flujo de Fondos'!$T$7,'Flujo de Fondos'!$T$6)</f>
        <v/>
      </c>
      <c r="J223" s="56" t="n">
        <v>34.1</v>
      </c>
      <c r="K223" s="54">
        <f>myParidad('Flujo de Fondos'!$B$34,$A223,J223,'Flujo de Fondos'!$B$36,'Flujo de Fondos'!$B$35)</f>
        <v/>
      </c>
      <c r="L223" s="53" t="n">
        <v>36.36</v>
      </c>
      <c r="M223" s="54">
        <f>myParidad('Flujo de Fondos'!$H$34,'Paridad usd'!$A223,'Paridad usd'!L223,'Flujo de Fondos'!$H$36,'Flujo de Fondos'!$H$35)</f>
        <v/>
      </c>
      <c r="N223" s="56" t="n">
        <v>33.87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44215</v>
      </c>
      <c r="B224" s="53" t="n">
        <v>40.2</v>
      </c>
      <c r="C224" s="54">
        <f>myParidad('Flujo de Fondos'!$B$5,A224,B224,'Flujo de Fondos'!$B$7,'Flujo de Fondos'!$B$6)</f>
        <v/>
      </c>
      <c r="D224" s="53" t="n">
        <v>43.1</v>
      </c>
      <c r="E224" s="55">
        <f>myParidad('Flujo de Fondos'!$H$5,$A224,D224,'Flujo de Fondos'!$H$7,'Flujo de Fondos'!$H$6)</f>
        <v/>
      </c>
      <c r="F224" s="53" t="n">
        <v>38.79</v>
      </c>
      <c r="G224" s="54">
        <f>myParidad('Flujo de Fondos'!$N$5,$A224,F224,'Flujo de Fondos'!$N$7,'Flujo de Fondos'!$N$6)</f>
        <v/>
      </c>
      <c r="H224" s="56" t="n">
        <v>39.95</v>
      </c>
      <c r="I224" s="54">
        <f>myParidad('Flujo de Fondos'!$T$5,$A224,H224,'Flujo de Fondos'!$T$7,'Flujo de Fondos'!$T$6)</f>
        <v/>
      </c>
      <c r="J224" s="56" t="n">
        <v>34.4</v>
      </c>
      <c r="K224" s="54">
        <f>myParidad('Flujo de Fondos'!$B$34,$A224,J224,'Flujo de Fondos'!$B$36,'Flujo de Fondos'!$B$35)</f>
        <v/>
      </c>
      <c r="L224" s="53" t="n">
        <v>35.85</v>
      </c>
      <c r="M224" s="54">
        <f>myParidad('Flujo de Fondos'!$H$34,'Paridad usd'!$A224,'Paridad usd'!L224,'Flujo de Fondos'!$H$36,'Flujo de Fondos'!$H$35)</f>
        <v/>
      </c>
      <c r="N224" s="56" t="n">
        <v>33.85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44214</v>
      </c>
      <c r="B225" s="53" t="n">
        <v>40.1</v>
      </c>
      <c r="C225" s="54">
        <f>myParidad('Flujo de Fondos'!$B$5,A225,B225,'Flujo de Fondos'!$B$7,'Flujo de Fondos'!$B$6)</f>
        <v/>
      </c>
      <c r="D225" s="53" t="n">
        <v>42</v>
      </c>
      <c r="E225" s="55">
        <f>myParidad('Flujo de Fondos'!$H$5,$A225,D225,'Flujo de Fondos'!$H$7,'Flujo de Fondos'!$H$6)</f>
        <v/>
      </c>
      <c r="F225" s="53" t="n">
        <v>38.8</v>
      </c>
      <c r="G225" s="54">
        <f>myParidad('Flujo de Fondos'!$N$5,$A225,F225,'Flujo de Fondos'!$N$7,'Flujo de Fondos'!$N$6)</f>
        <v/>
      </c>
      <c r="H225" s="53" t="n">
        <v>39.68</v>
      </c>
      <c r="I225" s="54">
        <f>myParidad('Flujo de Fondos'!$T$5,$A225,H225,'Flujo de Fondos'!$T$7,'Flujo de Fondos'!$T$6)</f>
        <v/>
      </c>
      <c r="J225" s="53" t="n">
        <v>34.25</v>
      </c>
      <c r="K225" s="54">
        <f>myParidad('Flujo de Fondos'!$B$34,$A225,J225,'Flujo de Fondos'!$B$36,'Flujo de Fondos'!$B$35)</f>
        <v/>
      </c>
      <c r="L225" s="53" t="n">
        <v>35.8</v>
      </c>
      <c r="M225" s="54">
        <f>myParidad('Flujo de Fondos'!$H$34,'Paridad usd'!$A225,'Paridad usd'!L225,'Flujo de Fondos'!$H$36,'Flujo de Fondos'!$H$35)</f>
        <v/>
      </c>
      <c r="N225" s="56" t="n">
        <v>33.8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44211</v>
      </c>
      <c r="B226" s="53" t="n">
        <v>40.08</v>
      </c>
      <c r="C226" s="54">
        <f>myParidad('Flujo de Fondos'!$B$5,A226,B226,'Flujo de Fondos'!$B$7,'Flujo de Fondos'!$B$6)</f>
        <v/>
      </c>
      <c r="D226" s="53" t="n">
        <v>42</v>
      </c>
      <c r="E226" s="55">
        <f>myParidad('Flujo de Fondos'!$H$5,$A226,D226,'Flujo de Fondos'!$H$7,'Flujo de Fondos'!$H$6)</f>
        <v/>
      </c>
      <c r="F226" s="53" t="n">
        <v>38.69</v>
      </c>
      <c r="G226" s="54">
        <f>myParidad('Flujo de Fondos'!$N$5,$A226,F226,'Flujo de Fondos'!$N$7,'Flujo de Fondos'!$N$6)</f>
        <v/>
      </c>
      <c r="H226" s="53" t="n">
        <v>39.09</v>
      </c>
      <c r="I226" s="54">
        <f>myParidad('Flujo de Fondos'!$T$5,$A226,H226,'Flujo de Fondos'!$T$7,'Flujo de Fondos'!$T$6)</f>
        <v/>
      </c>
      <c r="J226" s="53" t="n">
        <v>34.25</v>
      </c>
      <c r="K226" s="54">
        <f>myParidad('Flujo de Fondos'!$B$34,$A226,J226,'Flujo de Fondos'!$B$36,'Flujo de Fondos'!$B$35)</f>
        <v/>
      </c>
      <c r="L226" s="53" t="n">
        <v>35.7</v>
      </c>
      <c r="M226" s="54">
        <f>myParidad('Flujo de Fondos'!$H$34,'Paridad usd'!$A226,'Paridad usd'!L226,'Flujo de Fondos'!$H$36,'Flujo de Fondos'!$H$35)</f>
        <v/>
      </c>
      <c r="N226" s="56" t="n">
        <v>33.65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44210</v>
      </c>
      <c r="B227" s="53" t="n">
        <v>40.23</v>
      </c>
      <c r="C227" s="54">
        <f>myParidad('Flujo de Fondos'!$B$5,A227,B227,'Flujo de Fondos'!$B$7,'Flujo de Fondos'!$B$6)</f>
        <v/>
      </c>
      <c r="D227" s="53" t="n">
        <v>41.66</v>
      </c>
      <c r="E227" s="55">
        <f>myParidad('Flujo de Fondos'!$H$5,$A227,D227,'Flujo de Fondos'!$H$7,'Flujo de Fondos'!$H$6)</f>
        <v/>
      </c>
      <c r="F227" s="53" t="n">
        <v>38.75</v>
      </c>
      <c r="G227" s="54">
        <f>myParidad('Flujo de Fondos'!$N$5,$A227,F227,'Flujo de Fondos'!$N$7,'Flujo de Fondos'!$N$6)</f>
        <v/>
      </c>
      <c r="H227" s="53" t="n">
        <v>39</v>
      </c>
      <c r="I227" s="54">
        <f>myParidad('Flujo de Fondos'!$T$5,$A227,H227,'Flujo de Fondos'!$T$7,'Flujo de Fondos'!$T$6)</f>
        <v/>
      </c>
      <c r="J227" s="53" t="n">
        <v>34.39</v>
      </c>
      <c r="K227" s="54">
        <f>myParidad('Flujo de Fondos'!$B$34,$A227,J227,'Flujo de Fondos'!$B$36,'Flujo de Fondos'!$B$35)</f>
        <v/>
      </c>
      <c r="L227" s="53" t="n">
        <v>35.69</v>
      </c>
      <c r="M227" s="54">
        <f>myParidad('Flujo de Fondos'!$H$34,'Paridad usd'!$A227,'Paridad usd'!L227,'Flujo de Fondos'!$H$36,'Flujo de Fondos'!$H$35)</f>
        <v/>
      </c>
      <c r="N227" s="56" t="n">
        <v>33.8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44209</v>
      </c>
      <c r="B228" s="53" t="n">
        <v>40.54</v>
      </c>
      <c r="C228" s="54">
        <f>myParidad('Flujo de Fondos'!$B$5,A228,B228,'Flujo de Fondos'!$B$7,'Flujo de Fondos'!$B$6)</f>
        <v/>
      </c>
      <c r="D228" s="53" t="n">
        <v>42.2</v>
      </c>
      <c r="E228" s="55">
        <f>myParidad('Flujo de Fondos'!$H$5,$A228,D228,'Flujo de Fondos'!$H$7,'Flujo de Fondos'!$H$6)</f>
        <v/>
      </c>
      <c r="F228" s="53" t="n">
        <v>38.98</v>
      </c>
      <c r="G228" s="54">
        <f>myParidad('Flujo de Fondos'!$N$5,$A228,F228,'Flujo de Fondos'!$N$7,'Flujo de Fondos'!$N$6)</f>
        <v/>
      </c>
      <c r="H228" s="53" t="n">
        <v>39.36</v>
      </c>
      <c r="I228" s="54">
        <f>myParidad('Flujo de Fondos'!$T$5,$A228,H228,'Flujo de Fondos'!$T$7,'Flujo de Fondos'!$T$6)</f>
        <v/>
      </c>
      <c r="J228" s="53" t="n">
        <v>34.4</v>
      </c>
      <c r="K228" s="54">
        <f>myParidad('Flujo de Fondos'!$B$34,$A228,J228,'Flujo de Fondos'!$B$36,'Flujo de Fondos'!$B$35)</f>
        <v/>
      </c>
      <c r="L228" s="53" t="n">
        <v>36.22</v>
      </c>
      <c r="M228" s="54">
        <f>myParidad('Flujo de Fondos'!$H$34,'Paridad usd'!$A228,'Paridad usd'!L228,'Flujo de Fondos'!$H$36,'Flujo de Fondos'!$H$35)</f>
        <v/>
      </c>
      <c r="N228" s="56" t="n">
        <v>34.25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44208</v>
      </c>
      <c r="B229" s="53" t="n">
        <v>40.95</v>
      </c>
      <c r="C229" s="54">
        <f>myParidad('Flujo de Fondos'!$B$5,A229,B229,'Flujo de Fondos'!$B$7,'Flujo de Fondos'!$B$6)</f>
        <v/>
      </c>
      <c r="D229" s="53" t="n">
        <v>43.01</v>
      </c>
      <c r="E229" s="55">
        <f>myParidad('Flujo de Fondos'!$H$5,$A229,D229,'Flujo de Fondos'!$H$7,'Flujo de Fondos'!$H$6)</f>
        <v/>
      </c>
      <c r="F229" s="53" t="n">
        <v>39.04</v>
      </c>
      <c r="G229" s="54">
        <f>myParidad('Flujo de Fondos'!$N$5,$A229,F229,'Flujo de Fondos'!$N$7,'Flujo de Fondos'!$N$6)</f>
        <v/>
      </c>
      <c r="H229" s="53" t="n">
        <v>40.35</v>
      </c>
      <c r="I229" s="54">
        <f>myParidad('Flujo de Fondos'!$T$5,$A229,H229,'Flujo de Fondos'!$T$7,'Flujo de Fondos'!$T$6)</f>
        <v/>
      </c>
      <c r="J229" s="53" t="n">
        <v>34.8</v>
      </c>
      <c r="K229" s="54">
        <f>myParidad('Flujo de Fondos'!$B$34,$A229,J229,'Flujo de Fondos'!$B$36,'Flujo de Fondos'!$B$35)</f>
        <v/>
      </c>
      <c r="L229" s="53" t="n">
        <v>36.35</v>
      </c>
      <c r="M229" s="54">
        <f>myParidad('Flujo de Fondos'!$H$34,'Paridad usd'!$A229,'Paridad usd'!L229,'Flujo de Fondos'!$H$36,'Flujo de Fondos'!$H$35)</f>
        <v/>
      </c>
      <c r="N229" s="56" t="n">
        <v>34.7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44207</v>
      </c>
      <c r="B230" s="53" t="n">
        <v>40.77</v>
      </c>
      <c r="C230" s="54">
        <f>myParidad('Flujo de Fondos'!$B$5,A230,B230,'Flujo de Fondos'!$B$7,'Flujo de Fondos'!$B$6)</f>
        <v/>
      </c>
      <c r="D230" s="53" t="n">
        <v>43.1</v>
      </c>
      <c r="E230" s="55">
        <f>myParidad('Flujo de Fondos'!$H$5,$A230,D230,'Flujo de Fondos'!$H$7,'Flujo de Fondos'!$H$6)</f>
        <v/>
      </c>
      <c r="F230" s="53" t="n">
        <v>39.04</v>
      </c>
      <c r="G230" s="54">
        <f>myParidad('Flujo de Fondos'!$N$5,$A230,F230,'Flujo de Fondos'!$N$7,'Flujo de Fondos'!$N$6)</f>
        <v/>
      </c>
      <c r="H230" s="53" t="n">
        <v>40.27</v>
      </c>
      <c r="I230" s="54">
        <f>myParidad('Flujo de Fondos'!$T$5,$A230,H230,'Flujo de Fondos'!$T$7,'Flujo de Fondos'!$T$6)</f>
        <v/>
      </c>
      <c r="J230" s="53" t="n">
        <v>35</v>
      </c>
      <c r="K230" s="54">
        <f>myParidad('Flujo de Fondos'!$B$34,$A230,J230,'Flujo de Fondos'!$B$36,'Flujo de Fondos'!$B$35)</f>
        <v/>
      </c>
      <c r="L230" s="53" t="n">
        <v>36.39</v>
      </c>
      <c r="M230" s="54">
        <f>myParidad('Flujo de Fondos'!$H$34,'Paridad usd'!$A230,'Paridad usd'!L230,'Flujo de Fondos'!$H$36,'Flujo de Fondos'!$H$35)</f>
        <v/>
      </c>
      <c r="N230" s="56" t="n">
        <v>34.5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44204</v>
      </c>
      <c r="B231" s="53" t="n">
        <v>40.85</v>
      </c>
      <c r="C231" s="54">
        <f>myParidad('Flujo de Fondos'!$B$5,A231,B231,'Flujo de Fondos'!$B$7,'Flujo de Fondos'!$B$6)</f>
        <v/>
      </c>
      <c r="D231" s="53" t="n">
        <v>43</v>
      </c>
      <c r="E231" s="55">
        <f>myParidad('Flujo de Fondos'!$H$5,$A231,D231,'Flujo de Fondos'!$H$7,'Flujo de Fondos'!$H$6)</f>
        <v/>
      </c>
      <c r="F231" s="53" t="n">
        <v>39.5</v>
      </c>
      <c r="G231" s="54">
        <f>myParidad('Flujo de Fondos'!$N$5,$A231,F231,'Flujo de Fondos'!$N$7,'Flujo de Fondos'!$N$6)</f>
        <v/>
      </c>
      <c r="H231" s="53" t="n">
        <v>40.46</v>
      </c>
      <c r="I231" s="54">
        <f>myParidad('Flujo de Fondos'!$T$5,$A231,H231,'Flujo de Fondos'!$T$7,'Flujo de Fondos'!$T$6)</f>
        <v/>
      </c>
      <c r="J231" s="53" t="n">
        <v>35</v>
      </c>
      <c r="K231" s="54">
        <f>myParidad('Flujo de Fondos'!$B$34,$A231,J231,'Flujo de Fondos'!$B$36,'Flujo de Fondos'!$B$35)</f>
        <v/>
      </c>
      <c r="L231" s="53" t="n">
        <v>37</v>
      </c>
      <c r="M231" s="54">
        <f>myParidad('Flujo de Fondos'!$H$34,'Paridad usd'!$A231,'Paridad usd'!L231,'Flujo de Fondos'!$H$36,'Flujo de Fondos'!$H$35)</f>
        <v/>
      </c>
      <c r="N231" s="56" t="n">
        <v>34.6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44203</v>
      </c>
      <c r="B232" s="53" t="n">
        <v>41.23</v>
      </c>
      <c r="C232" s="54">
        <f>myParidad('Flujo de Fondos'!$B$5,A232,B232,'Flujo de Fondos'!$B$7,'Flujo de Fondos'!$B$6)</f>
        <v/>
      </c>
      <c r="D232" s="53" t="n">
        <v>43</v>
      </c>
      <c r="E232" s="55">
        <f>myParidad('Flujo de Fondos'!$H$5,$A232,D232,'Flujo de Fondos'!$H$7,'Flujo de Fondos'!$H$6)</f>
        <v/>
      </c>
      <c r="F232" s="53" t="n">
        <v>39.55</v>
      </c>
      <c r="G232" s="54">
        <f>myParidad('Flujo de Fondos'!$N$5,$A232,F232,'Flujo de Fondos'!$N$7,'Flujo de Fondos'!$N$6)</f>
        <v/>
      </c>
      <c r="H232" s="53" t="n">
        <v>40.6</v>
      </c>
      <c r="I232" s="54">
        <f>myParidad('Flujo de Fondos'!$T$5,$A232,H232,'Flujo de Fondos'!$T$7,'Flujo de Fondos'!$T$6)</f>
        <v/>
      </c>
      <c r="J232" s="53" t="n">
        <v>35.11</v>
      </c>
      <c r="K232" s="54">
        <f>myParidad('Flujo de Fondos'!$B$34,$A232,J232,'Flujo de Fondos'!$B$36,'Flujo de Fondos'!$B$35)</f>
        <v/>
      </c>
      <c r="L232" s="53" t="n">
        <v>37.11</v>
      </c>
      <c r="M232" s="54">
        <f>myParidad('Flujo de Fondos'!$H$34,'Paridad usd'!$A232,'Paridad usd'!L232,'Flujo de Fondos'!$H$36,'Flujo de Fondos'!$H$35)</f>
        <v/>
      </c>
      <c r="N232" s="56" t="n">
        <v>34.85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44202</v>
      </c>
      <c r="B233" s="53" t="n">
        <v>41.5</v>
      </c>
      <c r="C233" s="54">
        <f>myParidad('Flujo de Fondos'!$B$5,A233,B233,'Flujo de Fondos'!$B$7,'Flujo de Fondos'!$B$6)</f>
        <v/>
      </c>
      <c r="D233" s="53" t="n">
        <v>43.85</v>
      </c>
      <c r="E233" s="55">
        <f>myParidad('Flujo de Fondos'!$H$5,$A233,D233,'Flujo de Fondos'!$H$7,'Flujo de Fondos'!$H$6)</f>
        <v/>
      </c>
      <c r="F233" s="53" t="n">
        <v>40.1</v>
      </c>
      <c r="G233" s="54">
        <f>myParidad('Flujo de Fondos'!$N$5,$A233,F233,'Flujo de Fondos'!$N$7,'Flujo de Fondos'!$N$6)</f>
        <v/>
      </c>
      <c r="H233" s="53" t="n">
        <v>40.95</v>
      </c>
      <c r="I233" s="54">
        <f>myParidad('Flujo de Fondos'!$T$5,$A233,H233,'Flujo de Fondos'!$T$7,'Flujo de Fondos'!$T$6)</f>
        <v/>
      </c>
      <c r="J233" s="53" t="n">
        <v>35.75</v>
      </c>
      <c r="K233" s="54">
        <f>myParidad('Flujo de Fondos'!$B$34,$A233,J233,'Flujo de Fondos'!$B$36,'Flujo de Fondos'!$B$35)</f>
        <v/>
      </c>
      <c r="L233" s="53" t="n">
        <v>37.38</v>
      </c>
      <c r="M233" s="54">
        <f>myParidad('Flujo de Fondos'!$H$34,'Paridad usd'!$A233,'Paridad usd'!L233,'Flujo de Fondos'!$H$36,'Flujo de Fondos'!$H$35)</f>
        <v/>
      </c>
      <c r="N233" s="56" t="n">
        <v>34.6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44201</v>
      </c>
      <c r="B234" s="53" t="n">
        <v>41.25</v>
      </c>
      <c r="C234" s="54">
        <f>myParidad('Flujo de Fondos'!$B$5,A234,B234,'Flujo de Fondos'!$B$7,'Flujo de Fondos'!$B$6)</f>
        <v/>
      </c>
      <c r="D234" s="53" t="n">
        <v>42.8</v>
      </c>
      <c r="E234" s="55">
        <f>myParidad('Flujo de Fondos'!$H$5,$A234,D234,'Flujo de Fondos'!$H$7,'Flujo de Fondos'!$H$6)</f>
        <v/>
      </c>
      <c r="F234" s="53" t="n">
        <v>40.25</v>
      </c>
      <c r="G234" s="54">
        <f>myParidad('Flujo de Fondos'!$N$5,$A234,F234,'Flujo de Fondos'!$N$7,'Flujo de Fondos'!$N$6)</f>
        <v/>
      </c>
      <c r="H234" s="53" t="n">
        <v>40.27</v>
      </c>
      <c r="I234" s="54">
        <f>myParidad('Flujo de Fondos'!$T$5,$A234,H234,'Flujo de Fondos'!$T$7,'Flujo de Fondos'!$T$6)</f>
        <v/>
      </c>
      <c r="J234" s="53" t="n">
        <v>35.64</v>
      </c>
      <c r="K234" s="54">
        <f>myParidad('Flujo de Fondos'!$B$34,$A234,J234,'Flujo de Fondos'!$B$36,'Flujo de Fondos'!$B$35)</f>
        <v/>
      </c>
      <c r="L234" s="53" t="n">
        <v>36.9</v>
      </c>
      <c r="M234" s="54">
        <f>myParidad('Flujo de Fondos'!$H$34,'Paridad usd'!$A234,'Paridad usd'!L234,'Flujo de Fondos'!$H$36,'Flujo de Fondos'!$H$35)</f>
        <v/>
      </c>
      <c r="N234" s="56" t="n">
        <v>34.5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44200</v>
      </c>
      <c r="B235" s="53" t="n">
        <v>41.36</v>
      </c>
      <c r="C235" s="54">
        <f>myParidad('Flujo de Fondos'!$B$5,A235,B235,'Flujo de Fondos'!$B$7,'Flujo de Fondos'!$B$6)</f>
        <v/>
      </c>
      <c r="D235" s="53" t="n">
        <v>43.11</v>
      </c>
      <c r="E235" s="55">
        <f>myParidad('Flujo de Fondos'!$H$5,$A235,D235,'Flujo de Fondos'!$H$7,'Flujo de Fondos'!$H$6)</f>
        <v/>
      </c>
      <c r="F235" s="53" t="n">
        <v>40.55</v>
      </c>
      <c r="G235" s="54">
        <f>myParidad('Flujo de Fondos'!$N$5,$A235,F235,'Flujo de Fondos'!$N$7,'Flujo de Fondos'!$N$6)</f>
        <v/>
      </c>
      <c r="H235" s="53" t="n">
        <v>40.5</v>
      </c>
      <c r="I235" s="54">
        <f>myParidad('Flujo de Fondos'!$T$5,$A235,H235,'Flujo de Fondos'!$T$7,'Flujo de Fondos'!$T$6)</f>
        <v/>
      </c>
      <c r="J235" s="53" t="n">
        <v>36.1</v>
      </c>
      <c r="K235" s="54">
        <f>myParidad('Flujo de Fondos'!$B$34,$A235,J235,'Flujo de Fondos'!$B$36,'Flujo de Fondos'!$B$35)</f>
        <v/>
      </c>
      <c r="L235" s="53" t="n">
        <v>37.23</v>
      </c>
      <c r="M235" s="54">
        <f>myParidad('Flujo de Fondos'!$H$34,'Paridad usd'!$A235,'Paridad usd'!L235,'Flujo de Fondos'!$H$36,'Flujo de Fondos'!$H$35)</f>
        <v/>
      </c>
      <c r="N235" s="56" t="n">
        <v>34.8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44195</v>
      </c>
      <c r="B236" s="53" t="n">
        <v>42.35</v>
      </c>
      <c r="C236" s="54">
        <f>myParidad('Flujo de Fondos'!$B$5,A236,B236,'Flujo de Fondos'!$B$7,'Flujo de Fondos'!$B$6)</f>
        <v/>
      </c>
      <c r="D236" s="53" t="n">
        <v>44.9</v>
      </c>
      <c r="E236" s="55">
        <f>myParidad('Flujo de Fondos'!$H$5,$A236,D236,'Flujo de Fondos'!$H$7,'Flujo de Fondos'!$H$6)</f>
        <v/>
      </c>
      <c r="F236" s="53" t="n">
        <v>40.94</v>
      </c>
      <c r="G236" s="54">
        <f>myParidad('Flujo de Fondos'!$N$5,$A236,F236,'Flujo de Fondos'!$N$7,'Flujo de Fondos'!$N$6)</f>
        <v/>
      </c>
      <c r="H236" s="53" t="n">
        <v>41.59</v>
      </c>
      <c r="I236" s="54">
        <f>myParidad('Flujo de Fondos'!$T$5,$A236,H236,'Flujo de Fondos'!$T$7,'Flujo de Fondos'!$T$6)</f>
        <v/>
      </c>
      <c r="J236" s="53" t="n">
        <v>36.5</v>
      </c>
      <c r="K236" s="54">
        <f>myParidad('Flujo de Fondos'!$B$34,$A236,J236,'Flujo de Fondos'!$B$36,'Flujo de Fondos'!$B$35)</f>
        <v/>
      </c>
      <c r="L236" s="53" t="n">
        <v>38.2</v>
      </c>
      <c r="M236" s="54">
        <f>myParidad('Flujo de Fondos'!$H$34,'Paridad usd'!$A236,'Paridad usd'!L236,'Flujo de Fondos'!$H$36,'Flujo de Fondos'!$H$35)</f>
        <v/>
      </c>
      <c r="N236" s="56" t="n">
        <v>35.9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 ht="15.75" customHeight="1" s="77">
      <c r="A237" s="52" t="n">
        <v>44194</v>
      </c>
      <c r="B237" s="53" t="n">
        <v>42.35</v>
      </c>
      <c r="C237" s="54">
        <f>myParidad('Flujo de Fondos'!$B$5,A237,B237,'Flujo de Fondos'!$B$7,'Flujo de Fondos'!$B$6)</f>
        <v/>
      </c>
      <c r="D237" s="53" t="n">
        <v>44.78</v>
      </c>
      <c r="E237" s="55">
        <f>myParidad('Flujo de Fondos'!$H$5,$A237,D237,'Flujo de Fondos'!$H$7,'Flujo de Fondos'!$H$6)</f>
        <v/>
      </c>
      <c r="F237" s="53" t="n">
        <v>40.93</v>
      </c>
      <c r="G237" s="54">
        <f>myParidad('Flujo de Fondos'!$N$5,$A237,F237,'Flujo de Fondos'!$N$7,'Flujo de Fondos'!$N$6)</f>
        <v/>
      </c>
      <c r="H237" s="53" t="n">
        <v>41.19</v>
      </c>
      <c r="I237" s="54">
        <f>myParidad('Flujo de Fondos'!$T$5,$A237,H237,'Flujo de Fondos'!$T$7,'Flujo de Fondos'!$T$6)</f>
        <v/>
      </c>
      <c r="J237" s="53" t="n">
        <v>36.6</v>
      </c>
      <c r="K237" s="54">
        <f>myParidad('Flujo de Fondos'!$B$34,$A237,J237,'Flujo de Fondos'!$B$36,'Flujo de Fondos'!$B$35)</f>
        <v/>
      </c>
      <c r="L237" s="53" t="n">
        <v>38.8</v>
      </c>
      <c r="M237" s="54">
        <f>myParidad('Flujo de Fondos'!$H$34,'Paridad usd'!$A237,'Paridad usd'!L237,'Flujo de Fondos'!$H$36,'Flujo de Fondos'!$H$35)</f>
        <v/>
      </c>
      <c r="N237" s="56" t="n">
        <v>35.75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44193</v>
      </c>
      <c r="B238" s="53" t="n">
        <v>42.24</v>
      </c>
      <c r="C238" s="54">
        <f>myParidad('Flujo de Fondos'!$B$5,A238,B238,'Flujo de Fondos'!$B$7,'Flujo de Fondos'!$B$6)</f>
        <v/>
      </c>
      <c r="D238" s="53" t="n">
        <v>44</v>
      </c>
      <c r="E238" s="55">
        <f>myParidad('Flujo de Fondos'!$H$5,$A238,D238,'Flujo de Fondos'!$H$7,'Flujo de Fondos'!$H$6)</f>
        <v/>
      </c>
      <c r="F238" s="53" t="n">
        <v>40.9</v>
      </c>
      <c r="G238" s="54">
        <f>myParidad('Flujo de Fondos'!$N$5,$A238,F238,'Flujo de Fondos'!$N$7,'Flujo de Fondos'!$N$6)</f>
        <v/>
      </c>
      <c r="H238" s="53" t="n">
        <v>41.89</v>
      </c>
      <c r="I238" s="54">
        <f>myParidad('Flujo de Fondos'!$T$5,$A238,H238,'Flujo de Fondos'!$T$7,'Flujo de Fondos'!$T$6)</f>
        <v/>
      </c>
      <c r="J238" s="53" t="n">
        <v>36.75</v>
      </c>
      <c r="K238" s="54">
        <f>myParidad('Flujo de Fondos'!$B$34,$A238,J238,'Flujo de Fondos'!$B$36,'Flujo de Fondos'!$B$35)</f>
        <v/>
      </c>
      <c r="L238" s="53" t="n">
        <v>39</v>
      </c>
      <c r="M238" s="54">
        <f>myParidad('Flujo de Fondos'!$H$34,'Paridad usd'!$A238,'Paridad usd'!L238,'Flujo de Fondos'!$H$36,'Flujo de Fondos'!$H$35)</f>
        <v/>
      </c>
      <c r="N238" s="56" t="n">
        <v>35.7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44188</v>
      </c>
      <c r="B239" s="53" t="n">
        <v>42.27</v>
      </c>
      <c r="C239" s="54">
        <f>myParidad('Flujo de Fondos'!$B$5,A239,B239,'Flujo de Fondos'!$B$7,'Flujo de Fondos'!$B$6)</f>
        <v/>
      </c>
      <c r="D239" s="53" t="n">
        <v>44</v>
      </c>
      <c r="E239" s="55">
        <f>myParidad('Flujo de Fondos'!$H$5,$A239,D239,'Flujo de Fondos'!$H$7,'Flujo de Fondos'!$H$6)</f>
        <v/>
      </c>
      <c r="F239" s="53" t="n">
        <v>40.62</v>
      </c>
      <c r="G239" s="54">
        <f>myParidad('Flujo de Fondos'!$N$5,$A239,F239,'Flujo de Fondos'!$N$7,'Flujo de Fondos'!$N$6)</f>
        <v/>
      </c>
      <c r="H239" s="53" t="n">
        <v>41.3</v>
      </c>
      <c r="I239" s="54">
        <f>myParidad('Flujo de Fondos'!$T$5,$A239,H239,'Flujo de Fondos'!$T$7,'Flujo de Fondos'!$T$6)</f>
        <v/>
      </c>
      <c r="J239" s="53" t="n">
        <v>36.3</v>
      </c>
      <c r="K239" s="54">
        <f>myParidad('Flujo de Fondos'!$B$34,$A239,J239,'Flujo de Fondos'!$B$36,'Flujo de Fondos'!$B$35)</f>
        <v/>
      </c>
      <c r="L239" s="53" t="n">
        <v>38.58</v>
      </c>
      <c r="M239" s="54">
        <f>myParidad('Flujo de Fondos'!$H$34,'Paridad usd'!$A239,'Paridad usd'!L239,'Flujo de Fondos'!$H$36,'Flujo de Fondos'!$H$35)</f>
        <v/>
      </c>
      <c r="N239" s="56" t="n">
        <v>35.7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44187</v>
      </c>
      <c r="B240" s="53" t="n">
        <v>42.3</v>
      </c>
      <c r="C240" s="54">
        <f>myParidad('Flujo de Fondos'!$B$5,A240,B240,'Flujo de Fondos'!$B$7,'Flujo de Fondos'!$B$6)</f>
        <v/>
      </c>
      <c r="D240" s="53" t="n">
        <v>43.51</v>
      </c>
      <c r="E240" s="55">
        <f>myParidad('Flujo de Fondos'!$H$5,$A240,D240,'Flujo de Fondos'!$H$7,'Flujo de Fondos'!$H$6)</f>
        <v/>
      </c>
      <c r="F240" s="53" t="n">
        <v>40.71</v>
      </c>
      <c r="G240" s="54">
        <f>myParidad('Flujo de Fondos'!$N$5,$A240,F240,'Flujo de Fondos'!$N$7,'Flujo de Fondos'!$N$6)</f>
        <v/>
      </c>
      <c r="H240" s="53" t="n">
        <v>41.25</v>
      </c>
      <c r="I240" s="54">
        <f>myParidad('Flujo de Fondos'!$T$5,$A240,H240,'Flujo de Fondos'!$T$7,'Flujo de Fondos'!$T$6)</f>
        <v/>
      </c>
      <c r="J240" s="53" t="n">
        <v>36.5</v>
      </c>
      <c r="K240" s="54">
        <f>myParidad('Flujo de Fondos'!$B$34,$A240,J240,'Flujo de Fondos'!$B$36,'Flujo de Fondos'!$B$35)</f>
        <v/>
      </c>
      <c r="L240" s="53" t="n">
        <v>38.65</v>
      </c>
      <c r="M240" s="54">
        <f>myParidad('Flujo de Fondos'!$H$34,'Paridad usd'!$A240,'Paridad usd'!L240,'Flujo de Fondos'!$H$36,'Flujo de Fondos'!$H$35)</f>
        <v/>
      </c>
      <c r="N240" s="56" t="n">
        <v>35.95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44186</v>
      </c>
      <c r="B241" s="53" t="n">
        <v>42.21</v>
      </c>
      <c r="C241" s="54">
        <f>myParidad('Flujo de Fondos'!$B$5,A241,B241,'Flujo de Fondos'!$B$7,'Flujo de Fondos'!$B$6)</f>
        <v/>
      </c>
      <c r="D241" s="53" t="n">
        <v>44.38</v>
      </c>
      <c r="E241" s="55">
        <f>myParidad('Flujo de Fondos'!$H$5,$A241,D241,'Flujo de Fondos'!$H$7,'Flujo de Fondos'!$H$6)</f>
        <v/>
      </c>
      <c r="F241" s="53" t="n">
        <v>40.74</v>
      </c>
      <c r="G241" s="54">
        <f>myParidad('Flujo de Fondos'!$N$5,$A241,F241,'Flujo de Fondos'!$N$7,'Flujo de Fondos'!$N$6)</f>
        <v/>
      </c>
      <c r="H241" s="53" t="n">
        <v>41.15</v>
      </c>
      <c r="I241" s="54">
        <f>myParidad('Flujo de Fondos'!$T$5,$A241,H241,'Flujo de Fondos'!$T$7,'Flujo de Fondos'!$T$6)</f>
        <v/>
      </c>
      <c r="J241" s="53" t="n">
        <v>37</v>
      </c>
      <c r="K241" s="54">
        <f>myParidad('Flujo de Fondos'!$B$34,$A241,J241,'Flujo de Fondos'!$B$36,'Flujo de Fondos'!$B$35)</f>
        <v/>
      </c>
      <c r="L241" s="53" t="n">
        <v>38.61</v>
      </c>
      <c r="M241" s="54">
        <f>myParidad('Flujo de Fondos'!$H$34,'Paridad usd'!$A241,'Paridad usd'!L241,'Flujo de Fondos'!$H$36,'Flujo de Fondos'!$H$35)</f>
        <v/>
      </c>
      <c r="N241" s="56" t="n">
        <v>35.55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44183</v>
      </c>
      <c r="B242" s="53" t="n">
        <v>41.75</v>
      </c>
      <c r="C242" s="54">
        <f>myParidad('Flujo de Fondos'!$B$5,A242,B242,'Flujo de Fondos'!$B$7,'Flujo de Fondos'!$B$6)</f>
        <v/>
      </c>
      <c r="D242" s="53" t="n">
        <v>43.5</v>
      </c>
      <c r="E242" s="55">
        <f>myParidad('Flujo de Fondos'!$H$5,$A242,D242,'Flujo de Fondos'!$H$7,'Flujo de Fondos'!$H$6)</f>
        <v/>
      </c>
      <c r="F242" s="53" t="n">
        <v>40.22</v>
      </c>
      <c r="G242" s="54">
        <f>myParidad('Flujo de Fondos'!$N$5,$A242,F242,'Flujo de Fondos'!$N$7,'Flujo de Fondos'!$N$6)</f>
        <v/>
      </c>
      <c r="H242" s="53" t="n">
        <v>41.4</v>
      </c>
      <c r="I242" s="54">
        <f>myParidad('Flujo de Fondos'!$T$5,$A242,H242,'Flujo de Fondos'!$T$7,'Flujo de Fondos'!$T$6)</f>
        <v/>
      </c>
      <c r="J242" s="53" t="n">
        <v>36.18</v>
      </c>
      <c r="K242" s="54">
        <f>myParidad('Flujo de Fondos'!$B$34,$A242,J242,'Flujo de Fondos'!$B$36,'Flujo de Fondos'!$B$35)</f>
        <v/>
      </c>
      <c r="L242" s="53" t="n">
        <v>38.26</v>
      </c>
      <c r="M242" s="54">
        <f>myParidad('Flujo de Fondos'!$H$34,'Paridad usd'!$A242,'Paridad usd'!L242,'Flujo de Fondos'!$H$36,'Flujo de Fondos'!$H$35)</f>
        <v/>
      </c>
      <c r="N242" s="56" t="n">
        <v>35.5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44182</v>
      </c>
      <c r="B243" s="53" t="n">
        <v>41.57</v>
      </c>
      <c r="C243" s="54">
        <f>myParidad('Flujo de Fondos'!$B$5,A243,B243,'Flujo de Fondos'!$B$7,'Flujo de Fondos'!$B$6)</f>
        <v/>
      </c>
      <c r="D243" s="53" t="n">
        <v>43.47</v>
      </c>
      <c r="E243" s="55">
        <f>myParidad('Flujo de Fondos'!$H$5,$A243,D243,'Flujo de Fondos'!$H$7,'Flujo de Fondos'!$H$6)</f>
        <v/>
      </c>
      <c r="F243" s="53" t="n">
        <v>39.84</v>
      </c>
      <c r="G243" s="54">
        <f>myParidad('Flujo de Fondos'!$N$5,$A243,F243,'Flujo de Fondos'!$N$7,'Flujo de Fondos'!$N$6)</f>
        <v/>
      </c>
      <c r="H243" s="53" t="n">
        <v>41.01</v>
      </c>
      <c r="I243" s="54">
        <f>myParidad('Flujo de Fondos'!$T$5,$A243,H243,'Flujo de Fondos'!$T$7,'Flujo de Fondos'!$T$6)</f>
        <v/>
      </c>
      <c r="J243" s="53" t="n">
        <v>35.85</v>
      </c>
      <c r="K243" s="54">
        <f>myParidad('Flujo de Fondos'!$B$34,$A243,J243,'Flujo de Fondos'!$B$36,'Flujo de Fondos'!$B$35)</f>
        <v/>
      </c>
      <c r="L243" s="53" t="n">
        <v>37.9</v>
      </c>
      <c r="M243" s="54">
        <f>myParidad('Flujo de Fondos'!$H$34,'Paridad usd'!$A243,'Paridad usd'!L243,'Flujo de Fondos'!$H$36,'Flujo de Fondos'!$H$35)</f>
        <v/>
      </c>
      <c r="N243" s="56" t="n">
        <v>35.05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44181</v>
      </c>
      <c r="B244" s="53" t="n">
        <v>41.55</v>
      </c>
      <c r="C244" s="54">
        <f>myParidad('Flujo de Fondos'!$B$5,A244,B244,'Flujo de Fondos'!$B$7,'Flujo de Fondos'!$B$6)</f>
        <v/>
      </c>
      <c r="D244" s="53" t="n">
        <v>43.48</v>
      </c>
      <c r="E244" s="55">
        <f>myParidad('Flujo de Fondos'!$H$5,$A244,D244,'Flujo de Fondos'!$H$7,'Flujo de Fondos'!$H$6)</f>
        <v/>
      </c>
      <c r="F244" s="53" t="n">
        <v>39.78</v>
      </c>
      <c r="G244" s="54">
        <f>myParidad('Flujo de Fondos'!$N$5,$A244,F244,'Flujo de Fondos'!$N$7,'Flujo de Fondos'!$N$6)</f>
        <v/>
      </c>
      <c r="H244" s="53" t="n">
        <v>40.8</v>
      </c>
      <c r="I244" s="54">
        <f>myParidad('Flujo de Fondos'!$T$5,$A244,H244,'Flujo de Fondos'!$T$7,'Flujo de Fondos'!$T$6)</f>
        <v/>
      </c>
      <c r="J244" s="53" t="n">
        <v>35.1</v>
      </c>
      <c r="K244" s="54">
        <f>myParidad('Flujo de Fondos'!$B$34,$A244,J244,'Flujo de Fondos'!$B$36,'Flujo de Fondos'!$B$35)</f>
        <v/>
      </c>
      <c r="L244" s="53" t="n">
        <v>37.28</v>
      </c>
      <c r="M244" s="54">
        <f>myParidad('Flujo de Fondos'!$H$34,'Paridad usd'!$A244,'Paridad usd'!L244,'Flujo de Fondos'!$H$36,'Flujo de Fondos'!$H$35)</f>
        <v/>
      </c>
      <c r="N244" s="56" t="n">
        <v>34.8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 ht="15.75" customHeight="1" s="77" thickBot="1">
      <c r="A245" s="52" t="n">
        <v>44180</v>
      </c>
      <c r="B245" s="53" t="n">
        <v>41.75</v>
      </c>
      <c r="C245" s="54">
        <f>myParidad('Flujo de Fondos'!$B$5,A245,B245,'Flujo de Fondos'!$B$7,'Flujo de Fondos'!$B$6)</f>
        <v/>
      </c>
      <c r="D245" s="53" t="n">
        <v>43.9</v>
      </c>
      <c r="E245" s="55">
        <f>myParidad('Flujo de Fondos'!$H$5,$A245,D245,'Flujo de Fondos'!$H$7,'Flujo de Fondos'!$H$6)</f>
        <v/>
      </c>
      <c r="F245" s="53" t="n">
        <v>40.03</v>
      </c>
      <c r="G245" s="54">
        <f>myParidad('Flujo de Fondos'!$N$5,$A245,F245,'Flujo de Fondos'!$N$7,'Flujo de Fondos'!$N$6)</f>
        <v/>
      </c>
      <c r="H245" s="53" t="n">
        <v>40.66</v>
      </c>
      <c r="I245" s="54">
        <f>myParidad('Flujo de Fondos'!$T$5,$A245,H245,'Flujo de Fondos'!$T$7,'Flujo de Fondos'!$T$6)</f>
        <v/>
      </c>
      <c r="J245" s="53" t="n">
        <v>35.1</v>
      </c>
      <c r="K245" s="54">
        <f>myParidad('Flujo de Fondos'!$B$34,$A245,J245,'Flujo de Fondos'!$B$36,'Flujo de Fondos'!$B$35)</f>
        <v/>
      </c>
      <c r="L245" s="53" t="n">
        <v>37</v>
      </c>
      <c r="M245" s="54">
        <f>myParidad('Flujo de Fondos'!$H$34,'Paridad usd'!$A245,'Paridad usd'!L245,'Flujo de Fondos'!$H$36,'Flujo de Fondos'!$H$35)</f>
        <v/>
      </c>
      <c r="N245" s="56" t="n">
        <v>34.8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44179</v>
      </c>
      <c r="B246" s="53" t="n">
        <v>42.1</v>
      </c>
      <c r="C246" s="54">
        <f>myParidad('Flujo de Fondos'!$B$5,A246,B246,'Flujo de Fondos'!$B$7,'Flujo de Fondos'!$B$6)</f>
        <v/>
      </c>
      <c r="D246" s="53" t="n">
        <v>44.3</v>
      </c>
      <c r="E246" s="55">
        <f>myParidad('Flujo de Fondos'!$H$5,$A246,D246,'Flujo de Fondos'!$H$7,'Flujo de Fondos'!$H$6)</f>
        <v/>
      </c>
      <c r="F246" s="53" t="n">
        <v>40.33</v>
      </c>
      <c r="G246" s="54">
        <f>myParidad('Flujo de Fondos'!$N$5,$A246,F246,'Flujo de Fondos'!$N$7,'Flujo de Fondos'!$N$6)</f>
        <v/>
      </c>
      <c r="H246" s="53" t="n">
        <v>41.5</v>
      </c>
      <c r="I246" s="54">
        <f>myParidad('Flujo de Fondos'!$T$5,$A246,H246,'Flujo de Fondos'!$T$7,'Flujo de Fondos'!$T$6)</f>
        <v/>
      </c>
      <c r="J246" s="53" t="n">
        <v>35.6</v>
      </c>
      <c r="K246" s="54">
        <f>myParidad('Flujo de Fondos'!$B$34,$A246,J246,'Flujo de Fondos'!$B$36,'Flujo de Fondos'!$B$35)</f>
        <v/>
      </c>
      <c r="L246" s="53" t="n">
        <v>37.42</v>
      </c>
      <c r="M246" s="54">
        <f>myParidad('Flujo de Fondos'!$H$34,'Paridad usd'!$A246,'Paridad usd'!L246,'Flujo de Fondos'!$H$36,'Flujo de Fondos'!$H$35)</f>
        <v/>
      </c>
      <c r="N246" s="56" t="n">
        <v>34.8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44176</v>
      </c>
      <c r="B247" s="53" t="n">
        <v>41.92</v>
      </c>
      <c r="C247" s="54">
        <f>myParidad('Flujo de Fondos'!$B$5,A247,B247,'Flujo de Fondos'!$B$7,'Flujo de Fondos'!$B$6)</f>
        <v/>
      </c>
      <c r="D247" s="53" t="n">
        <v>43.69</v>
      </c>
      <c r="E247" s="55">
        <f>myParidad('Flujo de Fondos'!$H$5,$A247,D247,'Flujo de Fondos'!$H$7,'Flujo de Fondos'!$H$6)</f>
        <v/>
      </c>
      <c r="F247" s="53" t="n">
        <v>39.85</v>
      </c>
      <c r="G247" s="54">
        <f>myParidad('Flujo de Fondos'!$N$5,$A247,F247,'Flujo de Fondos'!$N$7,'Flujo de Fondos'!$N$6)</f>
        <v/>
      </c>
      <c r="H247" s="53" t="n">
        <v>40.79</v>
      </c>
      <c r="I247" s="54">
        <f>myParidad('Flujo de Fondos'!$T$5,$A247,H247,'Flujo de Fondos'!$T$7,'Flujo de Fondos'!$T$6)</f>
        <v/>
      </c>
      <c r="J247" s="53" t="n">
        <v>35.6</v>
      </c>
      <c r="K247" s="54">
        <f>myParidad('Flujo de Fondos'!$B$34,$A247,J247,'Flujo de Fondos'!$B$36,'Flujo de Fondos'!$B$35)</f>
        <v/>
      </c>
      <c r="L247" s="53" t="n">
        <v>37.32</v>
      </c>
      <c r="M247" s="54">
        <f>myParidad('Flujo de Fondos'!$H$34,'Paridad usd'!$A247,'Paridad usd'!L247,'Flujo de Fondos'!$H$36,'Flujo de Fondos'!$H$35)</f>
        <v/>
      </c>
      <c r="N247" s="56" t="n">
        <v>34.92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44175</v>
      </c>
      <c r="B248" s="53" t="n">
        <v>42.12</v>
      </c>
      <c r="C248" s="54">
        <f>myParidad('Flujo de Fondos'!$B$5,A248,B248,'Flujo de Fondos'!$B$7,'Flujo de Fondos'!$B$6)</f>
        <v/>
      </c>
      <c r="D248" s="53" t="n">
        <v>43.5</v>
      </c>
      <c r="E248" s="55">
        <f>myParidad('Flujo de Fondos'!$H$5,$A248,D248,'Flujo de Fondos'!$H$7,'Flujo de Fondos'!$H$6)</f>
        <v/>
      </c>
      <c r="F248" s="53" t="n">
        <v>39.67</v>
      </c>
      <c r="G248" s="54">
        <f>myParidad('Flujo de Fondos'!$N$5,$A248,F248,'Flujo de Fondos'!$N$7,'Flujo de Fondos'!$N$6)</f>
        <v/>
      </c>
      <c r="H248" s="53" t="n">
        <v>40.6</v>
      </c>
      <c r="I248" s="54">
        <f>myParidad('Flujo de Fondos'!$T$5,$A248,H248,'Flujo de Fondos'!$T$7,'Flujo de Fondos'!$T$6)</f>
        <v/>
      </c>
      <c r="J248" s="53" t="n">
        <v>35.51</v>
      </c>
      <c r="K248" s="54">
        <f>myParidad('Flujo de Fondos'!$B$34,$A248,J248,'Flujo de Fondos'!$B$36,'Flujo de Fondos'!$B$35)</f>
        <v/>
      </c>
      <c r="L248" s="53" t="n">
        <v>37.35</v>
      </c>
      <c r="M248" s="54">
        <f>myParidad('Flujo de Fondos'!$H$34,'Paridad usd'!$A248,'Paridad usd'!L248,'Flujo de Fondos'!$H$36,'Flujo de Fondos'!$H$35)</f>
        <v/>
      </c>
      <c r="N248" s="56" t="n">
        <v>34.75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44174</v>
      </c>
      <c r="B249" s="53" t="n">
        <v>41.7</v>
      </c>
      <c r="C249" s="54">
        <f>myParidad('Flujo de Fondos'!$B$5,A249,B249,'Flujo de Fondos'!$B$7,'Flujo de Fondos'!$B$6)</f>
        <v/>
      </c>
      <c r="D249" s="53" t="n">
        <v>43.5</v>
      </c>
      <c r="E249" s="55">
        <f>myParidad('Flujo de Fondos'!$H$5,$A249,D249,'Flujo de Fondos'!$H$7,'Flujo de Fondos'!$H$6)</f>
        <v/>
      </c>
      <c r="F249" s="53" t="n">
        <v>39.12</v>
      </c>
      <c r="G249" s="54">
        <f>myParidad('Flujo de Fondos'!$N$5,$A249,F249,'Flujo de Fondos'!$N$7,'Flujo de Fondos'!$N$6)</f>
        <v/>
      </c>
      <c r="H249" s="53" t="n">
        <v>40</v>
      </c>
      <c r="I249" s="54">
        <f>myParidad('Flujo de Fondos'!$T$5,$A249,H249,'Flujo de Fondos'!$T$7,'Flujo de Fondos'!$T$6)</f>
        <v/>
      </c>
      <c r="J249" s="53" t="n">
        <v>34.9</v>
      </c>
      <c r="K249" s="54">
        <f>myParidad('Flujo de Fondos'!$B$34,$A249,J249,'Flujo de Fondos'!$B$36,'Flujo de Fondos'!$B$35)</f>
        <v/>
      </c>
      <c r="L249" s="53" t="n">
        <v>37.13</v>
      </c>
      <c r="M249" s="54">
        <f>myParidad('Flujo de Fondos'!$H$34,'Paridad usd'!$A249,'Paridad usd'!L249,'Flujo de Fondos'!$H$36,'Flujo de Fondos'!$H$35)</f>
        <v/>
      </c>
      <c r="N249" s="56" t="n">
        <v>34.47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44169</v>
      </c>
      <c r="B250" s="53" t="n">
        <v>41.76</v>
      </c>
      <c r="C250" s="54">
        <f>myParidad('Flujo de Fondos'!$B$5,A250,B250,'Flujo de Fondos'!$B$7,'Flujo de Fondos'!$B$6)</f>
        <v/>
      </c>
      <c r="D250" s="53" t="n">
        <v>43.7</v>
      </c>
      <c r="E250" s="55">
        <f>myParidad('Flujo de Fondos'!$H$5,$A250,D250,'Flujo de Fondos'!$H$7,'Flujo de Fondos'!$H$6)</f>
        <v/>
      </c>
      <c r="F250" s="53" t="n">
        <v>38.6</v>
      </c>
      <c r="G250" s="54">
        <f>myParidad('Flujo de Fondos'!$N$5,$A250,F250,'Flujo de Fondos'!$N$7,'Flujo de Fondos'!$N$6)</f>
        <v/>
      </c>
      <c r="H250" s="53" t="n">
        <v>39.94</v>
      </c>
      <c r="I250" s="54">
        <f>myParidad('Flujo de Fondos'!$T$5,$A250,H250,'Flujo de Fondos'!$T$7,'Flujo de Fondos'!$T$6)</f>
        <v/>
      </c>
      <c r="J250" s="53" t="n">
        <v>35.3</v>
      </c>
      <c r="K250" s="54">
        <f>myParidad('Flujo de Fondos'!$B$34,$A250,J250,'Flujo de Fondos'!$B$36,'Flujo de Fondos'!$B$35)</f>
        <v/>
      </c>
      <c r="L250" s="53" t="n">
        <v>37.13</v>
      </c>
      <c r="M250" s="54">
        <f>myParidad('Flujo de Fondos'!$H$34,'Paridad usd'!$A250,'Paridad usd'!L250,'Flujo de Fondos'!$H$36,'Flujo de Fondos'!$H$35)</f>
        <v/>
      </c>
      <c r="N250" s="56" t="n">
        <v>34.47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44168</v>
      </c>
      <c r="B251" s="53" t="n">
        <v>41.8</v>
      </c>
      <c r="C251" s="54">
        <f>myParidad('Flujo de Fondos'!$B$5,A251,B251,'Flujo de Fondos'!$B$7,'Flujo de Fondos'!$B$6)</f>
        <v/>
      </c>
      <c r="D251" s="53" t="n">
        <v>44</v>
      </c>
      <c r="E251" s="55">
        <f>myParidad('Flujo de Fondos'!$H$5,$A251,D251,'Flujo de Fondos'!$H$7,'Flujo de Fondos'!$H$6)</f>
        <v/>
      </c>
      <c r="F251" s="53" t="n">
        <v>38.84</v>
      </c>
      <c r="G251" s="54">
        <f>myParidad('Flujo de Fondos'!$N$5,$A251,F251,'Flujo de Fondos'!$N$7,'Flujo de Fondos'!$N$6)</f>
        <v/>
      </c>
      <c r="H251" s="53" t="n">
        <v>40.5</v>
      </c>
      <c r="I251" s="54">
        <f>myParidad('Flujo de Fondos'!$T$5,$A251,H251,'Flujo de Fondos'!$T$7,'Flujo de Fondos'!$T$6)</f>
        <v/>
      </c>
      <c r="J251" s="53" t="n">
        <v>35.68</v>
      </c>
      <c r="K251" s="54">
        <f>myParidad('Flujo de Fondos'!$B$34,$A251,J251,'Flujo de Fondos'!$B$36,'Flujo de Fondos'!$B$35)</f>
        <v/>
      </c>
      <c r="L251" s="53" t="n">
        <v>37.39</v>
      </c>
      <c r="M251" s="54">
        <f>myParidad('Flujo de Fondos'!$H$34,'Paridad usd'!$A251,'Paridad usd'!L251,'Flujo de Fondos'!$H$36,'Flujo de Fondos'!$H$35)</f>
        <v/>
      </c>
      <c r="N251" s="56" t="n">
        <v>34.7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44167</v>
      </c>
      <c r="B252" s="53" t="n">
        <v>41.76</v>
      </c>
      <c r="C252" s="54">
        <f>myParidad('Flujo de Fondos'!$B$5,A252,B252,'Flujo de Fondos'!$B$7,'Flujo de Fondos'!$B$6)</f>
        <v/>
      </c>
      <c r="D252" s="53" t="n">
        <v>44</v>
      </c>
      <c r="E252" s="55">
        <f>myParidad('Flujo de Fondos'!$H$5,$A252,D252,'Flujo de Fondos'!$H$7,'Flujo de Fondos'!$H$6)</f>
        <v/>
      </c>
      <c r="F252" s="53" t="n">
        <v>38.65</v>
      </c>
      <c r="G252" s="54">
        <f>myParidad('Flujo de Fondos'!$N$5,$A252,F252,'Flujo de Fondos'!$N$7,'Flujo de Fondos'!$N$6)</f>
        <v/>
      </c>
      <c r="H252" s="53" t="n">
        <v>40.61</v>
      </c>
      <c r="I252" s="54">
        <f>myParidad('Flujo de Fondos'!$T$5,$A252,H252,'Flujo de Fondos'!$T$7,'Flujo de Fondos'!$T$6)</f>
        <v/>
      </c>
      <c r="J252" s="53" t="n">
        <v>35.6</v>
      </c>
      <c r="K252" s="54">
        <f>myParidad('Flujo de Fondos'!$B$34,$A252,J252,'Flujo de Fondos'!$B$36,'Flujo de Fondos'!$B$35)</f>
        <v/>
      </c>
      <c r="L252" s="53" t="n">
        <v>37.98</v>
      </c>
      <c r="M252" s="54">
        <f>myParidad('Flujo de Fondos'!$H$34,'Paridad usd'!$A252,'Paridad usd'!L252,'Flujo de Fondos'!$H$36,'Flujo de Fondos'!$H$35)</f>
        <v/>
      </c>
      <c r="N252" s="56" t="n">
        <v>34.7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44166</v>
      </c>
      <c r="B253" s="53" t="n">
        <v>41.86</v>
      </c>
      <c r="C253" s="54">
        <f>myParidad('Flujo de Fondos'!$B$5,A253,B253,'Flujo de Fondos'!$B$7,'Flujo de Fondos'!$B$6)</f>
        <v/>
      </c>
      <c r="D253" s="53" t="n">
        <v>44.22</v>
      </c>
      <c r="E253" s="55">
        <f>myParidad('Flujo de Fondos'!$H$5,$A253,D253,'Flujo de Fondos'!$H$7,'Flujo de Fondos'!$H$6)</f>
        <v/>
      </c>
      <c r="F253" s="53" t="n">
        <v>38.48</v>
      </c>
      <c r="G253" s="54">
        <f>myParidad('Flujo de Fondos'!$N$5,$A253,F253,'Flujo de Fondos'!$N$7,'Flujo de Fondos'!$N$6)</f>
        <v/>
      </c>
      <c r="H253" s="53" t="n">
        <v>40.68</v>
      </c>
      <c r="I253" s="54">
        <f>myParidad('Flujo de Fondos'!$T$5,$A253,H253,'Flujo de Fondos'!$T$7,'Flujo de Fondos'!$T$6)</f>
        <v/>
      </c>
      <c r="J253" s="53" t="n">
        <v>35.36</v>
      </c>
      <c r="K253" s="54">
        <f>myParidad('Flujo de Fondos'!$B$34,$A253,J253,'Flujo de Fondos'!$B$36,'Flujo de Fondos'!$B$35)</f>
        <v/>
      </c>
      <c r="L253" s="53" t="n">
        <v>36.95</v>
      </c>
      <c r="M253" s="54">
        <f>myParidad('Flujo de Fondos'!$H$34,'Paridad usd'!$A253,'Paridad usd'!L253,'Flujo de Fondos'!$H$36,'Flujo de Fondos'!$H$35)</f>
        <v/>
      </c>
      <c r="N253" s="56" t="n">
        <v>34.6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44165</v>
      </c>
      <c r="B254" s="53" t="n">
        <v>42.2</v>
      </c>
      <c r="C254" s="54">
        <f>myParidad('Flujo de Fondos'!$B$5,A254,B254,'Flujo de Fondos'!$B$7,'Flujo de Fondos'!$B$6)</f>
        <v/>
      </c>
      <c r="D254" s="53" t="n">
        <v>44.16</v>
      </c>
      <c r="E254" s="55">
        <f>myParidad('Flujo de Fondos'!$H$5,$A254,D254,'Flujo de Fondos'!$H$7,'Flujo de Fondos'!$H$6)</f>
        <v/>
      </c>
      <c r="F254" s="53" t="n">
        <v>38.61</v>
      </c>
      <c r="G254" s="54">
        <f>myParidad('Flujo de Fondos'!$N$5,$A254,F254,'Flujo de Fondos'!$N$7,'Flujo de Fondos'!$N$6)</f>
        <v/>
      </c>
      <c r="H254" s="53" t="n">
        <v>40.7</v>
      </c>
      <c r="I254" s="54">
        <f>myParidad('Flujo de Fondos'!$T$5,$A254,H254,'Flujo de Fondos'!$T$7,'Flujo de Fondos'!$T$6)</f>
        <v/>
      </c>
      <c r="J254" s="53" t="n">
        <v>35.99</v>
      </c>
      <c r="K254" s="54">
        <f>myParidad('Flujo de Fondos'!$B$34,$A254,J254,'Flujo de Fondos'!$B$36,'Flujo de Fondos'!$B$35)</f>
        <v/>
      </c>
      <c r="L254" s="53" t="n">
        <v>37.15</v>
      </c>
      <c r="M254" s="54">
        <f>myParidad('Flujo de Fondos'!$H$34,'Paridad usd'!$A254,'Paridad usd'!L254,'Flujo de Fondos'!$H$36,'Flujo de Fondos'!$H$35)</f>
        <v/>
      </c>
      <c r="N254" s="56" t="n">
        <v>35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44162</v>
      </c>
      <c r="B255" s="53" t="n">
        <v>42.97</v>
      </c>
      <c r="C255" s="54">
        <f>myParidad('Flujo de Fondos'!$B$5,A255,B255,'Flujo de Fondos'!$B$7,'Flujo de Fondos'!$B$6)</f>
        <v/>
      </c>
      <c r="D255" s="53" t="n">
        <v>45.1</v>
      </c>
      <c r="E255" s="55">
        <f>myParidad('Flujo de Fondos'!$H$5,$A255,D255,'Flujo de Fondos'!$H$7,'Flujo de Fondos'!$H$6)</f>
        <v/>
      </c>
      <c r="F255" s="53" t="n">
        <v>39.01</v>
      </c>
      <c r="G255" s="54">
        <f>myParidad('Flujo de Fondos'!$N$5,$A255,F255,'Flujo de Fondos'!$N$7,'Flujo de Fondos'!$N$6)</f>
        <v/>
      </c>
      <c r="H255" s="53" t="n">
        <v>41.49</v>
      </c>
      <c r="I255" s="54">
        <f>myParidad('Flujo de Fondos'!$T$5,$A255,H255,'Flujo de Fondos'!$T$7,'Flujo de Fondos'!$T$6)</f>
        <v/>
      </c>
      <c r="J255" s="53" t="n">
        <v>36.23</v>
      </c>
      <c r="K255" s="54">
        <f>myParidad('Flujo de Fondos'!$B$34,$A255,J255,'Flujo de Fondos'!$B$36,'Flujo de Fondos'!$B$35)</f>
        <v/>
      </c>
      <c r="L255" s="53" t="n">
        <v>37.5</v>
      </c>
      <c r="M255" s="54">
        <f>myParidad('Flujo de Fondos'!$H$34,'Paridad usd'!$A255,'Paridad usd'!L255,'Flujo de Fondos'!$H$36,'Flujo de Fondos'!$H$35)</f>
        <v/>
      </c>
      <c r="N255" s="56" t="n">
        <v>35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44161</v>
      </c>
      <c r="B256" s="53" t="n">
        <v>43.2</v>
      </c>
      <c r="C256" s="54">
        <f>myParidad('Flujo de Fondos'!$B$5,A256,B256,'Flujo de Fondos'!$B$7,'Flujo de Fondos'!$B$6)</f>
        <v/>
      </c>
      <c r="D256" s="53" t="n">
        <v>45.1</v>
      </c>
      <c r="E256" s="55">
        <f>myParidad('Flujo de Fondos'!$H$5,$A256,D256,'Flujo de Fondos'!$H$7,'Flujo de Fondos'!$H$6)</f>
        <v/>
      </c>
      <c r="F256" s="53" t="n">
        <v>39</v>
      </c>
      <c r="G256" s="54">
        <f>myParidad('Flujo de Fondos'!$N$5,$A256,F256,'Flujo de Fondos'!$N$7,'Flujo de Fondos'!$N$6)</f>
        <v/>
      </c>
      <c r="H256" s="53" t="n">
        <v>41.2</v>
      </c>
      <c r="I256" s="54">
        <f>myParidad('Flujo de Fondos'!$T$5,$A256,H256,'Flujo de Fondos'!$T$7,'Flujo de Fondos'!$T$6)</f>
        <v/>
      </c>
      <c r="J256" s="53" t="n">
        <v>35.71</v>
      </c>
      <c r="K256" s="54">
        <f>myParidad('Flujo de Fondos'!$B$34,$A256,J256,'Flujo de Fondos'!$B$36,'Flujo de Fondos'!$B$35)</f>
        <v/>
      </c>
      <c r="L256" s="53" t="n">
        <v>37.51</v>
      </c>
      <c r="M256" s="54">
        <f>myParidad('Flujo de Fondos'!$H$34,'Paridad usd'!$A256,'Paridad usd'!L256,'Flujo de Fondos'!$H$36,'Flujo de Fondos'!$H$35)</f>
        <v/>
      </c>
      <c r="N256" s="56" t="n">
        <v>34.9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44160</v>
      </c>
      <c r="B257" s="53" t="n">
        <v>43.39</v>
      </c>
      <c r="C257" s="54">
        <f>myParidad('Flujo de Fondos'!$B$5,A257,B257,'Flujo de Fondos'!$B$7,'Flujo de Fondos'!$B$6)</f>
        <v/>
      </c>
      <c r="D257" s="53" t="n">
        <v>45</v>
      </c>
      <c r="E257" s="55">
        <f>myParidad('Flujo de Fondos'!$H$5,$A257,D257,'Flujo de Fondos'!$H$7,'Flujo de Fondos'!$H$6)</f>
        <v/>
      </c>
      <c r="F257" s="53" t="n">
        <v>39.2</v>
      </c>
      <c r="G257" s="54">
        <f>myParidad('Flujo de Fondos'!$N$5,$A257,F257,'Flujo de Fondos'!$N$7,'Flujo de Fondos'!$N$6)</f>
        <v/>
      </c>
      <c r="H257" s="53" t="n">
        <v>41.6</v>
      </c>
      <c r="I257" s="54">
        <f>myParidad('Flujo de Fondos'!$T$5,$A257,H257,'Flujo de Fondos'!$T$7,'Flujo de Fondos'!$T$6)</f>
        <v/>
      </c>
      <c r="J257" s="53" t="n">
        <v>36.4</v>
      </c>
      <c r="K257" s="54">
        <f>myParidad('Flujo de Fondos'!$B$34,$A257,J257,'Flujo de Fondos'!$B$36,'Flujo de Fondos'!$B$35)</f>
        <v/>
      </c>
      <c r="L257" s="53" t="n">
        <v>38</v>
      </c>
      <c r="M257" s="54">
        <f>myParidad('Flujo de Fondos'!$H$34,'Paridad usd'!$A257,'Paridad usd'!L257,'Flujo de Fondos'!$H$36,'Flujo de Fondos'!$H$35)</f>
        <v/>
      </c>
      <c r="N257" s="56" t="n">
        <v>35.4</v>
      </c>
      <c r="O257" s="54">
        <f>myParidad('Flujo de Fondos'!$N$34,$A252,N257,'Flujo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44159</v>
      </c>
      <c r="B258" s="53" t="n">
        <v>42.65</v>
      </c>
      <c r="C258" s="54">
        <f>myParidad('Flujo de Fondos'!$B$5,A258,B258,'Flujo de Fondos'!$B$7,'Flujo de Fondos'!$B$6)</f>
        <v/>
      </c>
      <c r="D258" s="53" t="n">
        <v>44.31</v>
      </c>
      <c r="E258" s="55">
        <f>myParidad('Flujo de Fondos'!$H$5,$A258,D258,'Flujo de Fondos'!$H$7,'Flujo de Fondos'!$H$6)</f>
        <v/>
      </c>
      <c r="F258" s="53" t="n">
        <v>38.85</v>
      </c>
      <c r="G258" s="54">
        <f>myParidad('Flujo de Fondos'!$N$5,$A258,F258,'Flujo de Fondos'!$N$7,'Flujo de Fondos'!$N$6)</f>
        <v/>
      </c>
      <c r="H258" s="53" t="n">
        <v>41.2</v>
      </c>
      <c r="I258" s="54">
        <f>myParidad('Flujo de Fondos'!$T$5,$A258,H258,'Flujo de Fondos'!$T$7,'Flujo de Fondos'!$T$6)</f>
        <v/>
      </c>
      <c r="J258" s="53" t="n">
        <v>36.18</v>
      </c>
      <c r="K258" s="54">
        <f>myParidad('Flujo de Fondos'!$B$34,$A258,J258,'Flujo de Fondos'!$B$36,'Flujo de Fondos'!$B$35)</f>
        <v/>
      </c>
      <c r="L258" s="58" t="n">
        <v>38.05</v>
      </c>
      <c r="M258" s="54">
        <f>myParidad('Flujo de Fondos'!$H$34,'Paridad usd'!$A258,'Paridad usd'!L258,'Flujo de Fondos'!$H$36,'Flujo de Fondos'!$H$35)</f>
        <v/>
      </c>
      <c r="N258" s="56" t="n">
        <v>35</v>
      </c>
      <c r="O258" s="54">
        <f>myParidad('Flujo de Fondos'!$N$34,'Paridad usd'!$A258,'Paridad usd'!N258,'Flujo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44155</v>
      </c>
      <c r="B259" s="53" t="n">
        <v>42.2</v>
      </c>
      <c r="C259" s="54">
        <f>myParidad('Flujo de Fondos'!$B$5,A259,B259,'Flujo de Fondos'!$B$7,'Flujo de Fondos'!$B$6)</f>
        <v/>
      </c>
      <c r="D259" s="53" t="n">
        <v>44.01</v>
      </c>
      <c r="E259" s="55">
        <f>myParidad('Flujo de Fondos'!$H$5,$A259,D259,'Flujo de Fondos'!$H$7,'Flujo de Fondos'!$H$6)</f>
        <v/>
      </c>
      <c r="F259" s="53" t="n">
        <v>39.05</v>
      </c>
      <c r="G259" s="54">
        <f>myParidad('Flujo de Fondos'!$N$5,$A259,F259,'Flujo de Fondos'!$N$7,'Flujo de Fondos'!$N$6)</f>
        <v/>
      </c>
      <c r="H259" s="53" t="n">
        <v>40.85</v>
      </c>
      <c r="I259" s="54">
        <f>myParidad('Flujo de Fondos'!$T$5,$A259,H259,'Flujo de Fondos'!$T$7,'Flujo de Fondos'!$T$6)</f>
        <v/>
      </c>
      <c r="J259" s="53" t="n">
        <v>36.75</v>
      </c>
      <c r="K259" s="54">
        <f>myParidad('Flujo de Fondos'!$B$34,$A259,J259,'Flujo de Fondos'!$B$36,'Flujo de Fondos'!$B$35)</f>
        <v/>
      </c>
      <c r="L259" s="53" t="n">
        <v>38.79</v>
      </c>
      <c r="M259" s="54">
        <f>myParidad('Flujo de Fondos'!$H$34,'Paridad usd'!$A259,'Paridad usd'!L259,'Flujo de Fondos'!$H$36,'Flujo de Fondos'!$H$35)</f>
        <v/>
      </c>
      <c r="N259" s="56" t="n">
        <v>35.2</v>
      </c>
      <c r="O259" s="54">
        <f>myParidad('Flujo de Fondos'!$N$34,'Paridad usd'!$A259,'Paridad usd'!N259,'Flujo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44154</v>
      </c>
      <c r="B260" s="53" t="n">
        <v>42.3</v>
      </c>
      <c r="C260" s="54">
        <f>myParidad('Flujo de Fondos'!$B$5,A260,B260,'Flujo de Fondos'!$B$7,'Flujo de Fondos'!$B$6)</f>
        <v/>
      </c>
      <c r="D260" s="53" t="n">
        <v>44.5</v>
      </c>
      <c r="E260" s="55">
        <f>myParidad('Flujo de Fondos'!$H$5,$A260,D260,'Flujo de Fondos'!$H$7,'Flujo de Fondos'!$H$6)</f>
        <v/>
      </c>
      <c r="F260" s="53" t="n">
        <v>39.43</v>
      </c>
      <c r="G260" s="54">
        <f>myParidad('Flujo de Fondos'!$N$5,$A260,F260,'Flujo de Fondos'!$N$7,'Flujo de Fondos'!$N$6)</f>
        <v/>
      </c>
      <c r="H260" s="53" t="n">
        <v>40.9</v>
      </c>
      <c r="I260" s="54">
        <f>myParidad('Flujo de Fondos'!$T$5,$A260,H260,'Flujo de Fondos'!$T$7,'Flujo de Fondos'!$T$6)</f>
        <v/>
      </c>
      <c r="J260" s="53" t="n">
        <v>36.89</v>
      </c>
      <c r="K260" s="54">
        <f>myParidad('Flujo de Fondos'!$B$34,$A260,J260,'Flujo de Fondos'!$B$36,'Flujo de Fondos'!$B$35)</f>
        <v/>
      </c>
      <c r="L260" s="53" t="n">
        <v>39</v>
      </c>
      <c r="M260" s="54">
        <f>myParidad('Flujo de Fondos'!$H$34,'Paridad usd'!$A260,'Paridad usd'!L260,'Flujo de Fondos'!$H$36,'Flujo de Fondos'!$H$35)</f>
        <v/>
      </c>
      <c r="N260" s="56" t="n">
        <v>35.25</v>
      </c>
      <c r="O260" s="54">
        <f>myParidad('Flujo de Fondos'!$N$34,'Paridad usd'!$A260,'Paridad usd'!N260,'Flujo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44153</v>
      </c>
      <c r="B261" s="53" t="n">
        <v>43.5</v>
      </c>
      <c r="C261" s="54">
        <f>myParidad('Flujo de Fondos'!$B$5,A261,B261,'Flujo de Fondos'!$B$7,'Flujo de Fondos'!$B$6)</f>
        <v/>
      </c>
      <c r="D261" s="53" t="n">
        <v>44.5</v>
      </c>
      <c r="E261" s="55">
        <f>myParidad('Flujo de Fondos'!$H$5,$A261,D261,'Flujo de Fondos'!$H$7,'Flujo de Fondos'!$H$6)</f>
        <v/>
      </c>
      <c r="F261" s="53" t="n">
        <v>39.74</v>
      </c>
      <c r="G261" s="54">
        <f>myParidad('Flujo de Fondos'!$N$5,$A261,F261,'Flujo de Fondos'!$N$7,'Flujo de Fondos'!$N$6)</f>
        <v/>
      </c>
      <c r="H261" s="53" t="n">
        <v>41.41</v>
      </c>
      <c r="I261" s="54">
        <f>myParidad('Flujo de Fondos'!$T$5,$A261,H261,'Flujo de Fondos'!$T$7,'Flujo de Fondos'!$T$6)</f>
        <v/>
      </c>
      <c r="J261" s="53" t="n">
        <v>37.5</v>
      </c>
      <c r="K261" s="54">
        <f>myParidad('Flujo de Fondos'!$B$34,$A261,J261,'Flujo de Fondos'!$B$36,'Flujo de Fondos'!$B$35)</f>
        <v/>
      </c>
      <c r="L261" s="53" t="n">
        <v>39.4</v>
      </c>
      <c r="M261" s="54">
        <f>myParidad('Flujo de Fondos'!$H$34,'Paridad usd'!$A261,'Paridad usd'!L261,'Flujo de Fondos'!$H$36,'Flujo de Fondos'!$H$35)</f>
        <v/>
      </c>
      <c r="N261" s="56" t="n">
        <v>35.65</v>
      </c>
      <c r="O261" s="54">
        <f>myParidad('Flujo de Fondos'!$N$34,'Paridad usd'!$A261,'Paridad usd'!N261,'Flujo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44152</v>
      </c>
      <c r="B262" s="53" t="n">
        <v>44.05</v>
      </c>
      <c r="C262" s="54">
        <f>myParidad('Flujo de Fondos'!$B$5,A262,B262,'Flujo de Fondos'!$B$7,'Flujo de Fondos'!$B$6)</f>
        <v/>
      </c>
      <c r="D262" s="53" t="n">
        <v>45.7</v>
      </c>
      <c r="E262" s="55">
        <f>myParidad('Flujo de Fondos'!$H$5,$A262,D262,'Flujo de Fondos'!$H$7,'Flujo de Fondos'!$H$6)</f>
        <v/>
      </c>
      <c r="F262" s="53" t="n">
        <v>40.18</v>
      </c>
      <c r="G262" s="54">
        <f>myParidad('Flujo de Fondos'!$N$5,$A262,F262,'Flujo de Fondos'!$N$7,'Flujo de Fondos'!$N$6)</f>
        <v/>
      </c>
      <c r="H262" s="53" t="n">
        <v>41.69</v>
      </c>
      <c r="I262" s="54">
        <f>myParidad('Flujo de Fondos'!$T$5,$A262,H262,'Flujo de Fondos'!$T$7,'Flujo de Fondos'!$T$6)</f>
        <v/>
      </c>
      <c r="J262" s="53" t="n">
        <v>37.2</v>
      </c>
      <c r="K262" s="54">
        <f>myParidad('Flujo de Fondos'!$B$34,$A262,J262,'Flujo de Fondos'!$B$36,'Flujo de Fondos'!$B$35)</f>
        <v/>
      </c>
      <c r="L262" s="53" t="n">
        <v>39.65</v>
      </c>
      <c r="M262" s="54">
        <f>myParidad('Flujo de Fondos'!$H$34,'Paridad usd'!$A262,'Paridad usd'!L262,'Flujo de Fondos'!$H$36,'Flujo de Fondos'!$H$35)</f>
        <v/>
      </c>
      <c r="N262" s="56" t="n">
        <v>35.8</v>
      </c>
      <c r="O262" s="54">
        <f>myParidad('Flujo de Fondos'!$N$34,'Paridad usd'!$A262,'Paridad usd'!N262,'Flujo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44151</v>
      </c>
      <c r="B263" s="53" t="n">
        <v>45</v>
      </c>
      <c r="C263" s="54">
        <f>myParidad('Flujo de Fondos'!$B$5,A263,B263,'Flujo de Fondos'!$B$7,'Flujo de Fondos'!$B$6)</f>
        <v/>
      </c>
      <c r="D263" s="53" t="n">
        <v>46.01</v>
      </c>
      <c r="E263" s="55">
        <f>myParidad('Flujo de Fondos'!$H$5,$A263,D263,'Flujo de Fondos'!$H$7,'Flujo de Fondos'!$H$6)</f>
        <v/>
      </c>
      <c r="F263" s="53" t="n">
        <v>40.26</v>
      </c>
      <c r="G263" s="54">
        <f>myParidad('Flujo de Fondos'!$N$5,$A263,F263,'Flujo de Fondos'!$N$7,'Flujo de Fondos'!$N$6)</f>
        <v/>
      </c>
      <c r="H263" s="53" t="n">
        <v>42.84</v>
      </c>
      <c r="I263" s="54">
        <f>myParidad('Flujo de Fondos'!$T$5,$A263,H263,'Flujo de Fondos'!$T$7,'Flujo de Fondos'!$T$6)</f>
        <v/>
      </c>
      <c r="J263" s="53" t="n">
        <v>37.25</v>
      </c>
      <c r="K263" s="54">
        <f>myParidad('Flujo de Fondos'!$B$34,$A263,J263,'Flujo de Fondos'!$B$36,'Flujo de Fondos'!$B$35)</f>
        <v/>
      </c>
      <c r="L263" s="53" t="n">
        <v>39.8</v>
      </c>
      <c r="M263" s="54">
        <f>myParidad('Flujo de Fondos'!$H$34,'Paridad usd'!$A263,'Paridad usd'!L263,'Flujo de Fondos'!$H$36,'Flujo de Fondos'!$H$35)</f>
        <v/>
      </c>
      <c r="N263" s="56" t="n">
        <v>36.18</v>
      </c>
      <c r="O263" s="54">
        <f>myParidad('Flujo de Fondos'!$N$34,'Paridad usd'!$A263,'Paridad usd'!N263,'Flujo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44148</v>
      </c>
      <c r="B264" s="53" t="n">
        <v>45</v>
      </c>
      <c r="C264" s="54">
        <f>myParidad('Flujo de Fondos'!$B$5,A264,B264,'Flujo de Fondos'!$B$7,'Flujo de Fondos'!$B$6)</f>
        <v/>
      </c>
      <c r="D264" s="53" t="n">
        <v>46.25</v>
      </c>
      <c r="E264" s="55">
        <f>myParidad('Flujo de Fondos'!$H$5,$A264,D264,'Flujo de Fondos'!$H$7,'Flujo de Fondos'!$H$6)</f>
        <v/>
      </c>
      <c r="F264" s="53" t="n">
        <v>39.9</v>
      </c>
      <c r="G264" s="54">
        <f>myParidad('Flujo de Fondos'!$N$5,$A264,F264,'Flujo de Fondos'!$N$7,'Flujo de Fondos'!$N$6)</f>
        <v/>
      </c>
      <c r="H264" s="53" t="n">
        <v>42.5</v>
      </c>
      <c r="I264" s="54">
        <f>myParidad('Flujo de Fondos'!$T$5,$A264,H264,'Flujo de Fondos'!$T$7,'Flujo de Fondos'!$T$6)</f>
        <v/>
      </c>
      <c r="J264" s="53" t="n">
        <v>36.83</v>
      </c>
      <c r="K264" s="54">
        <f>myParidad('Flujo de Fondos'!$B$34,$A264,J264,'Flujo de Fondos'!$B$36,'Flujo de Fondos'!$B$35)</f>
        <v/>
      </c>
      <c r="L264" s="53" t="n">
        <v>39.67</v>
      </c>
      <c r="M264" s="54">
        <f>myParidad('Flujo de Fondos'!$H$34,'Paridad usd'!$A264,'Paridad usd'!L264,'Flujo de Fondos'!$H$36,'Flujo de Fondos'!$H$35)</f>
        <v/>
      </c>
      <c r="N264" s="56" t="n">
        <v>35.89</v>
      </c>
      <c r="O264" s="54">
        <f>myParidad('Flujo de Fondos'!$N$34,'Paridad usd'!$A264,'Paridad usd'!N264,'Flujo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44147</v>
      </c>
      <c r="B265" s="53" t="n">
        <v>44</v>
      </c>
      <c r="C265" s="54">
        <f>myParidad('Flujo de Fondos'!$B$5,A265,B265,'Flujo de Fondos'!$B$7,'Flujo de Fondos'!$B$6)</f>
        <v/>
      </c>
      <c r="D265" s="53" t="n">
        <v>46.25</v>
      </c>
      <c r="E265" s="55">
        <f>myParidad('Flujo de Fondos'!$H$5,$A265,D265,'Flujo de Fondos'!$H$7,'Flujo de Fondos'!$H$6)</f>
        <v/>
      </c>
      <c r="F265" s="53" t="n">
        <v>39.47</v>
      </c>
      <c r="G265" s="54">
        <f>myParidad('Flujo de Fondos'!$N$5,$A265,F265,'Flujo de Fondos'!$N$7,'Flujo de Fondos'!$N$6)</f>
        <v/>
      </c>
      <c r="H265" s="53" t="n">
        <v>42.25</v>
      </c>
      <c r="I265" s="54">
        <f>myParidad('Flujo de Fondos'!$T$5,$A265,H265,'Flujo de Fondos'!$T$7,'Flujo de Fondos'!$T$6)</f>
        <v/>
      </c>
      <c r="J265" s="53" t="n">
        <v>36.6</v>
      </c>
      <c r="K265" s="54">
        <f>myParidad('Flujo de Fondos'!$B$34,$A265,J265,'Flujo de Fondos'!$B$36,'Flujo de Fondos'!$B$35)</f>
        <v/>
      </c>
      <c r="L265" s="53" t="n">
        <v>39</v>
      </c>
      <c r="M265" s="54">
        <f>myParidad('Flujo de Fondos'!$H$34,'Paridad usd'!$A265,'Paridad usd'!L265,'Flujo de Fondos'!$H$36,'Flujo de Fondos'!$H$35)</f>
        <v/>
      </c>
      <c r="N265" s="56" t="n">
        <v>35.65</v>
      </c>
      <c r="O265" s="54">
        <f>myParidad('Flujo de Fondos'!$N$34,'Paridad usd'!$A265,'Paridad usd'!N265,'Flujo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44146</v>
      </c>
      <c r="B266" s="53" t="n">
        <v>44.8</v>
      </c>
      <c r="C266" s="54">
        <f>myParidad('Flujo de Fondos'!$B$5,A266,B266,'Flujo de Fondos'!$B$7,'Flujo de Fondos'!$B$6)</f>
        <v/>
      </c>
      <c r="D266" s="53" t="n">
        <v>46.2</v>
      </c>
      <c r="E266" s="55">
        <f>myParidad('Flujo de Fondos'!$H$5,$A266,D266,'Flujo de Fondos'!$H$7,'Flujo de Fondos'!$H$6)</f>
        <v/>
      </c>
      <c r="F266" s="53" t="n">
        <v>39.2</v>
      </c>
      <c r="G266" s="54">
        <f>myParidad('Flujo de Fondos'!$N$5,$A266,F266,'Flujo de Fondos'!$N$7,'Flujo de Fondos'!$N$6)</f>
        <v/>
      </c>
      <c r="H266" s="53" t="n">
        <v>41.9</v>
      </c>
      <c r="I266" s="54">
        <f>myParidad('Flujo de Fondos'!$T$5,$A266,H266,'Flujo de Fondos'!$T$7,'Flujo de Fondos'!$T$6)</f>
        <v/>
      </c>
      <c r="J266" s="53" t="n">
        <v>37.3</v>
      </c>
      <c r="K266" s="54">
        <f>myParidad('Flujo de Fondos'!$B$34,$A266,J266,'Flujo de Fondos'!$B$36,'Flujo de Fondos'!$B$35)</f>
        <v/>
      </c>
      <c r="L266" s="53" t="n">
        <v>38.45</v>
      </c>
      <c r="M266" s="54">
        <f>myParidad('Flujo de Fondos'!$H$34,'Paridad usd'!$A266,'Paridad usd'!L266,'Flujo de Fondos'!$H$36,'Flujo de Fondos'!$H$35)</f>
        <v/>
      </c>
      <c r="N266" s="56" t="n">
        <v>35.39</v>
      </c>
      <c r="O266" s="54">
        <f>myParidad('Flujo de Fondos'!$N$34,'Paridad usd'!$A266,'Paridad usd'!N266,'Flujo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44145</v>
      </c>
      <c r="B267" s="53" t="n">
        <v>45.15</v>
      </c>
      <c r="C267" s="54">
        <f>myParidad('Flujo de Fondos'!$B$5,A267,B267,'Flujo de Fondos'!$B$7,'Flujo de Fondos'!$B$6)</f>
        <v/>
      </c>
      <c r="D267" s="53" t="n">
        <v>46.49</v>
      </c>
      <c r="E267" s="55">
        <f>myParidad('Flujo de Fondos'!$H$5,$A267,D267,'Flujo de Fondos'!$H$7,'Flujo de Fondos'!$H$6)</f>
        <v/>
      </c>
      <c r="F267" s="53" t="n">
        <v>38.4</v>
      </c>
      <c r="G267" s="54">
        <f>myParidad('Flujo de Fondos'!$N$5,$A267,F267,'Flujo de Fondos'!$N$7,'Flujo de Fondos'!$N$6)</f>
        <v/>
      </c>
      <c r="H267" s="53" t="n">
        <v>41.5</v>
      </c>
      <c r="I267" s="54">
        <f>myParidad('Flujo de Fondos'!$T$5,$A267,H267,'Flujo de Fondos'!$T$7,'Flujo de Fondos'!$T$6)</f>
        <v/>
      </c>
      <c r="J267" s="53" t="n">
        <v>37.1</v>
      </c>
      <c r="K267" s="54">
        <f>myParidad('Flujo de Fondos'!$B$34,$A267,J267,'Flujo de Fondos'!$B$36,'Flujo de Fondos'!$B$35)</f>
        <v/>
      </c>
      <c r="L267" s="53" t="n">
        <v>38.5</v>
      </c>
      <c r="M267" s="54">
        <f>myParidad('Flujo de Fondos'!$H$34,'Paridad usd'!$A267,'Paridad usd'!L267,'Flujo de Fondos'!$H$36,'Flujo de Fondos'!$H$35)</f>
        <v/>
      </c>
      <c r="N267" s="56" t="n">
        <v>35.2</v>
      </c>
      <c r="O267" s="54">
        <f>myParidad('Flujo de Fondos'!$N$34,'Paridad usd'!$A267,'Paridad usd'!N267,'Flujo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44144</v>
      </c>
      <c r="B268" s="53" t="n">
        <v>45.7</v>
      </c>
      <c r="C268" s="54">
        <f>myParidad('Flujo de Fondos'!$B$5,A268,B268,'Flujo de Fondos'!$B$7,'Flujo de Fondos'!$B$6)</f>
        <v/>
      </c>
      <c r="D268" s="53" t="n">
        <v>46</v>
      </c>
      <c r="E268" s="55">
        <f>myParidad('Flujo de Fondos'!$H$5,$A268,D268,'Flujo de Fondos'!$H$7,'Flujo de Fondos'!$H$6)</f>
        <v/>
      </c>
      <c r="F268" s="53" t="n">
        <v>38.35</v>
      </c>
      <c r="G268" s="54">
        <f>myParidad('Flujo de Fondos'!$N$5,$A268,F268,'Flujo de Fondos'!$N$7,'Flujo de Fondos'!$N$6)</f>
        <v/>
      </c>
      <c r="H268" s="53" t="n">
        <v>41.64</v>
      </c>
      <c r="I268" s="54">
        <f>myParidad('Flujo de Fondos'!$T$5,$A268,H268,'Flujo de Fondos'!$T$7,'Flujo de Fondos'!$T$6)</f>
        <v/>
      </c>
      <c r="J268" s="53" t="n">
        <v>37.25</v>
      </c>
      <c r="K268" s="54">
        <f>myParidad('Flujo de Fondos'!$B$34,$A268,J268,'Flujo de Fondos'!$B$36,'Flujo de Fondos'!$B$35)</f>
        <v/>
      </c>
      <c r="L268" s="53" t="n">
        <v>37.9</v>
      </c>
      <c r="M268" s="54">
        <f>myParidad('Flujo de Fondos'!$H$34,'Paridad usd'!$A268,'Paridad usd'!L268,'Flujo de Fondos'!$H$36,'Flujo de Fondos'!$H$35)</f>
        <v/>
      </c>
      <c r="N268" s="56" t="n">
        <v>34.75</v>
      </c>
      <c r="O268" s="54">
        <f>myParidad('Flujo de Fondos'!$N$34,'Paridad usd'!$A268,'Paridad usd'!N268,'Flujo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44141</v>
      </c>
      <c r="B269" s="53" t="n">
        <v>45.41</v>
      </c>
      <c r="C269" s="54">
        <f>myParidad('Flujo de Fondos'!$B$5,A269,B269,'Flujo de Fondos'!$B$7,'Flujo de Fondos'!$B$6)</f>
        <v/>
      </c>
      <c r="D269" s="53" t="n">
        <v>45.6</v>
      </c>
      <c r="E269" s="55">
        <f>myParidad('Flujo de Fondos'!$H$5,$A269,D269,'Flujo de Fondos'!$H$7,'Flujo de Fondos'!$H$6)</f>
        <v/>
      </c>
      <c r="F269" s="53" t="n">
        <v>38</v>
      </c>
      <c r="G269" s="54">
        <f>myParidad('Flujo de Fondos'!$N$5,$A269,F269,'Flujo de Fondos'!$N$7,'Flujo de Fondos'!$N$6)</f>
        <v/>
      </c>
      <c r="H269" s="53" t="n">
        <v>40.5</v>
      </c>
      <c r="I269" s="54">
        <f>myParidad('Flujo de Fondos'!$T$5,$A269,H269,'Flujo de Fondos'!$T$7,'Flujo de Fondos'!$T$6)</f>
        <v/>
      </c>
      <c r="J269" s="53" t="n">
        <v>35.8</v>
      </c>
      <c r="K269" s="54">
        <f>myParidad('Flujo de Fondos'!$B$34,$A269,J269,'Flujo de Fondos'!$B$36,'Flujo de Fondos'!$B$35)</f>
        <v/>
      </c>
      <c r="L269" s="53" t="n">
        <v>37.38</v>
      </c>
      <c r="M269" s="54">
        <f>myParidad('Flujo de Fondos'!$H$34,'Paridad usd'!$A269,'Paridad usd'!L269,'Flujo de Fondos'!$H$36,'Flujo de Fondos'!$H$35)</f>
        <v/>
      </c>
      <c r="N269" s="56" t="n">
        <v>34.59</v>
      </c>
      <c r="O269" s="54">
        <f>myParidad('Flujo de Fondos'!$N$34,'Paridad usd'!$A269,'Paridad usd'!N269,'Flujo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44140</v>
      </c>
      <c r="B270" s="53" t="n">
        <v>45.5</v>
      </c>
      <c r="C270" s="54">
        <f>myParidad('Flujo de Fondos'!$B$5,A270,B270,'Flujo de Fondos'!$B$7,'Flujo de Fondos'!$B$6)</f>
        <v/>
      </c>
      <c r="D270" s="53" t="n">
        <v>46.5</v>
      </c>
      <c r="E270" s="55">
        <f>myParidad('Flujo de Fondos'!$H$5,$A270,D270,'Flujo de Fondos'!$H$7,'Flujo de Fondos'!$H$6)</f>
        <v/>
      </c>
      <c r="F270" s="53" t="n">
        <v>37.99</v>
      </c>
      <c r="G270" s="54">
        <f>myParidad('Flujo de Fondos'!$N$5,$A270,F270,'Flujo de Fondos'!$N$7,'Flujo de Fondos'!$N$6)</f>
        <v/>
      </c>
      <c r="H270" s="53" t="n">
        <v>40.65</v>
      </c>
      <c r="I270" s="54">
        <f>myParidad('Flujo de Fondos'!$T$5,$A270,H270,'Flujo de Fondos'!$T$7,'Flujo de Fondos'!$T$6)</f>
        <v/>
      </c>
      <c r="J270" s="53" t="n">
        <v>36.25</v>
      </c>
      <c r="K270" s="54">
        <f>myParidad('Flujo de Fondos'!$B$34,$A270,J270,'Flujo de Fondos'!$B$36,'Flujo de Fondos'!$B$35)</f>
        <v/>
      </c>
      <c r="L270" s="53" t="n">
        <v>37.4</v>
      </c>
      <c r="M270" s="54">
        <f>myParidad('Flujo de Fondos'!$H$34,'Paridad usd'!$A270,'Paridad usd'!L270,'Flujo de Fondos'!$H$36,'Flujo de Fondos'!$H$35)</f>
        <v/>
      </c>
      <c r="N270" s="56" t="n">
        <v>34.61</v>
      </c>
      <c r="O270" s="54">
        <f>myParidad('Flujo de Fondos'!$N$34,'Paridad usd'!$A270,'Paridad usd'!N270,'Flujo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44139</v>
      </c>
      <c r="B271" s="53" t="n">
        <v>44.9</v>
      </c>
      <c r="C271" s="54">
        <f>myParidad('Flujo de Fondos'!$B$5,A271,B271,'Flujo de Fondos'!$B$7,'Flujo de Fondos'!$B$6)</f>
        <v/>
      </c>
      <c r="D271" s="53" t="n">
        <v>45.45</v>
      </c>
      <c r="E271" s="55">
        <f>myParidad('Flujo de Fondos'!$H$5,$A271,D271,'Flujo de Fondos'!$H$7,'Flujo de Fondos'!$H$6)</f>
        <v/>
      </c>
      <c r="F271" s="53" t="n">
        <v>38.39</v>
      </c>
      <c r="G271" s="54">
        <f>myParidad('Flujo de Fondos'!$N$5,$A271,F271,'Flujo de Fondos'!$N$7,'Flujo de Fondos'!$N$6)</f>
        <v/>
      </c>
      <c r="H271" s="53" t="n">
        <v>40.92</v>
      </c>
      <c r="I271" s="54">
        <f>myParidad('Flujo de Fondos'!$T$5,$A271,H271,'Flujo de Fondos'!$T$7,'Flujo de Fondos'!$T$6)</f>
        <v/>
      </c>
      <c r="J271" s="53" t="n">
        <v>35.6</v>
      </c>
      <c r="K271" s="54">
        <f>myParidad('Flujo de Fondos'!$B$34,$A271,J271,'Flujo de Fondos'!$B$36,'Flujo de Fondos'!$B$35)</f>
        <v/>
      </c>
      <c r="L271" s="53" t="n">
        <v>37.25</v>
      </c>
      <c r="M271" s="54">
        <f>myParidad('Flujo de Fondos'!$H$34,'Paridad usd'!$A271,'Paridad usd'!L271,'Flujo de Fondos'!$H$36,'Flujo de Fondos'!$H$35)</f>
        <v/>
      </c>
      <c r="N271" s="56" t="n">
        <v>34</v>
      </c>
      <c r="O271" s="54">
        <f>myParidad('Flujo de Fondos'!$N$34,'Paridad usd'!$A271,'Paridad usd'!N271,'Flujo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44138</v>
      </c>
      <c r="B272" s="53" t="n">
        <v>44.8</v>
      </c>
      <c r="C272" s="54">
        <f>myParidad('Flujo de Fondos'!$B$5,A272,B272,'Flujo de Fondos'!$B$7,'Flujo de Fondos'!$B$6)</f>
        <v/>
      </c>
      <c r="D272" s="53" t="n">
        <v>44.76</v>
      </c>
      <c r="E272" s="55">
        <f>myParidad('Flujo de Fondos'!$H$5,$A272,D272,'Flujo de Fondos'!$H$7,'Flujo de Fondos'!$H$6)</f>
        <v/>
      </c>
      <c r="F272" s="53" t="n">
        <v>38.38</v>
      </c>
      <c r="G272" s="54">
        <f>myParidad('Flujo de Fondos'!$N$5,$A272,F272,'Flujo de Fondos'!$N$7,'Flujo de Fondos'!$N$6)</f>
        <v/>
      </c>
      <c r="H272" s="53" t="n">
        <v>41.15</v>
      </c>
      <c r="I272" s="54">
        <f>myParidad('Flujo de Fondos'!$T$5,$A272,H272,'Flujo de Fondos'!$T$7,'Flujo de Fondos'!$T$6)</f>
        <v/>
      </c>
      <c r="J272" s="53" t="n">
        <v>35.5</v>
      </c>
      <c r="K272" s="54">
        <f>myParidad('Flujo de Fondos'!$B$34,$A272,J272,'Flujo de Fondos'!$B$36,'Flujo de Fondos'!$B$35)</f>
        <v/>
      </c>
      <c r="L272" s="53" t="n">
        <v>36.85</v>
      </c>
      <c r="M272" s="54">
        <f>myParidad('Flujo de Fondos'!$H$34,'Paridad usd'!$A272,'Paridad usd'!L272,'Flujo de Fondos'!$H$36,'Flujo de Fondos'!$H$35)</f>
        <v/>
      </c>
      <c r="N272" s="56" t="n">
        <v>34.02</v>
      </c>
      <c r="O272" s="54">
        <f>myParidad('Flujo de Fondos'!$N$34,'Paridad usd'!$A272,'Paridad usd'!N272,'Flujo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44137</v>
      </c>
      <c r="B273" s="53" t="n">
        <v>43.71</v>
      </c>
      <c r="C273" s="54">
        <f>myParidad('Flujo de Fondos'!$B$5,A273,B273,'Flujo de Fondos'!$B$7,'Flujo de Fondos'!$B$6)</f>
        <v/>
      </c>
      <c r="D273" s="53" t="n">
        <v>44.83</v>
      </c>
      <c r="E273" s="55">
        <f>myParidad('Flujo de Fondos'!$H$5,$A273,D273,'Flujo de Fondos'!$H$7,'Flujo de Fondos'!$H$6)</f>
        <v/>
      </c>
      <c r="F273" s="53" t="n">
        <v>38.64</v>
      </c>
      <c r="G273" s="54">
        <f>myParidad('Flujo de Fondos'!$N$5,$A273,F273,'Flujo de Fondos'!$N$7,'Flujo de Fondos'!$N$6)</f>
        <v/>
      </c>
      <c r="H273" s="53" t="n">
        <v>40.47</v>
      </c>
      <c r="I273" s="54">
        <f>myParidad('Flujo de Fondos'!$T$5,$A273,H273,'Flujo de Fondos'!$T$7,'Flujo de Fondos'!$T$6)</f>
        <v/>
      </c>
      <c r="J273" s="53" t="n">
        <v>35.06</v>
      </c>
      <c r="K273" s="54">
        <f>myParidad('Flujo de Fondos'!$B$34,$A273,J273,'Flujo de Fondos'!$B$36,'Flujo de Fondos'!$B$35)</f>
        <v/>
      </c>
      <c r="L273" s="53" t="n">
        <v>36.25</v>
      </c>
      <c r="M273" s="54">
        <f>myParidad('Flujo de Fondos'!$H$34,'Paridad usd'!$A273,'Paridad usd'!L273,'Flujo de Fondos'!$H$36,'Flujo de Fondos'!$H$35)</f>
        <v/>
      </c>
      <c r="N273" s="56" t="n">
        <v>33.6</v>
      </c>
      <c r="O273" s="54">
        <f>myParidad('Flujo de Fondos'!$N$34,'Paridad usd'!$A273,'Paridad usd'!N273,'Flujo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44134</v>
      </c>
      <c r="B274" s="53" t="n">
        <v>44.9</v>
      </c>
      <c r="C274" s="54">
        <f>myParidad('Flujo de Fondos'!$B$5,A274,B274,'Flujo de Fondos'!$B$7,'Flujo de Fondos'!$B$6)</f>
        <v/>
      </c>
      <c r="D274" s="53" t="n">
        <v>46.5</v>
      </c>
      <c r="E274" s="55">
        <f>myParidad('Flujo de Fondos'!$H$5,$A274,D274,'Flujo de Fondos'!$H$7,'Flujo de Fondos'!$H$6)</f>
        <v/>
      </c>
      <c r="F274" s="53" t="n">
        <v>38.05</v>
      </c>
      <c r="G274" s="54">
        <f>myParidad('Flujo de Fondos'!$N$5,$A274,F274,'Flujo de Fondos'!$N$7,'Flujo de Fondos'!$N$6)</f>
        <v/>
      </c>
      <c r="H274" s="53" t="n">
        <v>39.85</v>
      </c>
      <c r="I274" s="54">
        <f>myParidad('Flujo de Fondos'!$T$5,$A274,H274,'Flujo de Fondos'!$T$7,'Flujo de Fondos'!$T$6)</f>
        <v/>
      </c>
      <c r="J274" s="53" t="n">
        <v>35.1</v>
      </c>
      <c r="K274" s="54">
        <f>myParidad('Flujo de Fondos'!$B$34,$A274,J274,'Flujo de Fondos'!$B$36,'Flujo de Fondos'!$B$35)</f>
        <v/>
      </c>
      <c r="L274" s="53" t="n">
        <v>35.98</v>
      </c>
      <c r="M274" s="54">
        <f>myParidad('Flujo de Fondos'!$H$34,'Paridad usd'!$A274,'Paridad usd'!L274,'Flujo de Fondos'!$H$36,'Flujo de Fondos'!$H$35)</f>
        <v/>
      </c>
      <c r="N274" s="56" t="n">
        <v>33.5</v>
      </c>
      <c r="O274" s="54">
        <f>myParidad('Flujo de Fondos'!$N$34,'Paridad usd'!$A274,'Paridad usd'!N274,'Flujo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44133</v>
      </c>
      <c r="B275" s="53" t="n">
        <v>45.45</v>
      </c>
      <c r="C275" s="54">
        <f>myParidad('Flujo de Fondos'!$B$5,A275,B275,'Flujo de Fondos'!$B$7,'Flujo de Fondos'!$B$6)</f>
        <v/>
      </c>
      <c r="D275" s="53" t="n">
        <v>46.7</v>
      </c>
      <c r="E275" s="55">
        <f>myParidad('Flujo de Fondos'!$H$5,$A275,D275,'Flujo de Fondos'!$H$7,'Flujo de Fondos'!$H$6)</f>
        <v/>
      </c>
      <c r="F275" s="53" t="n">
        <v>38.74</v>
      </c>
      <c r="G275" s="54">
        <f>myParidad('Flujo de Fondos'!$N$5,$A275,F275,'Flujo de Fondos'!$N$7,'Flujo de Fondos'!$N$6)</f>
        <v/>
      </c>
      <c r="H275" s="53" t="n">
        <v>39.58</v>
      </c>
      <c r="I275" s="54">
        <f>myParidad('Flujo de Fondos'!$T$5,$A275,H275,'Flujo de Fondos'!$T$7,'Flujo de Fondos'!$T$6)</f>
        <v/>
      </c>
      <c r="J275" s="53" t="n">
        <v>35.01</v>
      </c>
      <c r="K275" s="54">
        <f>myParidad('Flujo de Fondos'!$B$34,$A275,J275,'Flujo de Fondos'!$B$36,'Flujo de Fondos'!$B$35)</f>
        <v/>
      </c>
      <c r="L275" s="53" t="n">
        <v>36.09</v>
      </c>
      <c r="M275" s="54">
        <f>myParidad('Flujo de Fondos'!$H$34,'Paridad usd'!$A275,'Paridad usd'!L275,'Flujo de Fondos'!$H$36,'Flujo de Fondos'!$H$35)</f>
        <v/>
      </c>
      <c r="N275" s="56" t="n">
        <v>33.65</v>
      </c>
      <c r="O275" s="54">
        <f>myParidad('Flujo de Fondos'!$N$34,'Paridad usd'!$A275,'Paridad usd'!N275,'Flujo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44132</v>
      </c>
      <c r="B276" s="53" t="n">
        <v>44.2</v>
      </c>
      <c r="C276" s="54">
        <f>myParidad('Flujo de Fondos'!$B$5,A276,B276,'Flujo de Fondos'!$B$7,'Flujo de Fondos'!$B$6)</f>
        <v/>
      </c>
      <c r="D276" s="53" t="n">
        <v>48</v>
      </c>
      <c r="E276" s="55">
        <f>myParidad('Flujo de Fondos'!$H$5,$A276,D276,'Flujo de Fondos'!$H$7,'Flujo de Fondos'!$H$6)</f>
        <v/>
      </c>
      <c r="F276" s="53" t="n">
        <v>38.8</v>
      </c>
      <c r="G276" s="54">
        <f>myParidad('Flujo de Fondos'!$N$5,$A276,F276,'Flujo de Fondos'!$N$7,'Flujo de Fondos'!$N$6)</f>
        <v/>
      </c>
      <c r="H276" s="53" t="n">
        <v>40.5</v>
      </c>
      <c r="I276" s="54">
        <f>myParidad('Flujo de Fondos'!$T$5,$A276,H276,'Flujo de Fondos'!$T$7,'Flujo de Fondos'!$T$6)</f>
        <v/>
      </c>
      <c r="J276" s="53" t="n">
        <v>35</v>
      </c>
      <c r="K276" s="54">
        <f>myParidad('Flujo de Fondos'!$B$34,$A276,J276,'Flujo de Fondos'!$B$36,'Flujo de Fondos'!$B$35)</f>
        <v/>
      </c>
      <c r="L276" s="53" t="n">
        <v>36.1</v>
      </c>
      <c r="M276" s="54">
        <f>myParidad('Flujo de Fondos'!$H$34,'Paridad usd'!$A276,'Paridad usd'!L276,'Flujo de Fondos'!$H$36,'Flujo de Fondos'!$H$35)</f>
        <v/>
      </c>
      <c r="N276" s="56" t="n">
        <v>33.79</v>
      </c>
      <c r="O276" s="54">
        <f>myParidad('Flujo de Fondos'!$N$34,'Paridad usd'!$A276,'Paridad usd'!N276,'Flujo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44131</v>
      </c>
      <c r="B277" s="53" t="n">
        <v>43</v>
      </c>
      <c r="C277" s="54">
        <f>myParidad('Flujo de Fondos'!$B$5,A277,B277,'Flujo de Fondos'!$B$7,'Flujo de Fondos'!$B$6)</f>
        <v/>
      </c>
      <c r="D277" s="53" t="n">
        <v>45</v>
      </c>
      <c r="E277" s="55">
        <f>myParidad('Flujo de Fondos'!$H$5,$A277,D277,'Flujo de Fondos'!$H$7,'Flujo de Fondos'!$H$6)</f>
        <v/>
      </c>
      <c r="F277" s="53" t="n">
        <v>39.22</v>
      </c>
      <c r="G277" s="54">
        <f>myParidad('Flujo de Fondos'!$N$5,$A277,F277,'Flujo de Fondos'!$N$7,'Flujo de Fondos'!$N$6)</f>
        <v/>
      </c>
      <c r="H277" s="53" t="n">
        <v>40.5</v>
      </c>
      <c r="I277" s="54">
        <f>myParidad('Flujo de Fondos'!$T$5,$A277,H277,'Flujo de Fondos'!$T$7,'Flujo de Fondos'!$T$6)</f>
        <v/>
      </c>
      <c r="J277" s="53" t="n">
        <v>35.2</v>
      </c>
      <c r="K277" s="54">
        <f>myParidad('Flujo de Fondos'!$B$34,$A277,J277,'Flujo de Fondos'!$B$36,'Flujo de Fondos'!$B$35)</f>
        <v/>
      </c>
      <c r="L277" s="53" t="n">
        <v>36.6</v>
      </c>
      <c r="M277" s="54">
        <f>myParidad('Flujo de Fondos'!$H$34,'Paridad usd'!$A277,'Paridad usd'!L277,'Flujo de Fondos'!$H$36,'Flujo de Fondos'!$H$35)</f>
        <v/>
      </c>
      <c r="N277" s="56" t="n">
        <v>34</v>
      </c>
      <c r="O277" s="54">
        <f>myParidad('Flujo de Fondos'!$N$34,'Paridad usd'!$A277,'Paridad usd'!N277,'Flujo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44130</v>
      </c>
      <c r="B278" s="53" t="n">
        <v>40.56</v>
      </c>
      <c r="C278" s="54">
        <f>myParidad('Flujo de Fondos'!$B$5,A278,B278,'Flujo de Fondos'!$B$7,'Flujo de Fondos'!$B$6)</f>
        <v/>
      </c>
      <c r="D278" s="53" t="n">
        <v>47</v>
      </c>
      <c r="E278" s="55">
        <f>myParidad('Flujo de Fondos'!$H$5,$A278,D278,'Flujo de Fondos'!$H$7,'Flujo de Fondos'!$H$6)</f>
        <v/>
      </c>
      <c r="F278" s="53" t="n">
        <v>38.23</v>
      </c>
      <c r="G278" s="54">
        <f>myParidad('Flujo de Fondos'!$N$5,$A278,F278,'Flujo de Fondos'!$N$7,'Flujo de Fondos'!$N$6)</f>
        <v/>
      </c>
      <c r="H278" s="53" t="n">
        <v>40.5</v>
      </c>
      <c r="I278" s="54">
        <f>myParidad('Flujo de Fondos'!$T$5,$A278,H278,'Flujo de Fondos'!$T$7,'Flujo de Fondos'!$T$6)</f>
        <v/>
      </c>
      <c r="J278" s="53" t="n">
        <v>34.2</v>
      </c>
      <c r="K278" s="54">
        <f>myParidad('Flujo de Fondos'!$B$34,$A278,J278,'Flujo de Fondos'!$B$36,'Flujo de Fondos'!$B$35)</f>
        <v/>
      </c>
      <c r="L278" s="53" t="n">
        <v>36</v>
      </c>
      <c r="M278" s="54">
        <f>myParidad('Flujo de Fondos'!$H$34,'Paridad usd'!$A278,'Paridad usd'!L278,'Flujo de Fondos'!$H$36,'Flujo de Fondos'!$H$35)</f>
        <v/>
      </c>
      <c r="N278" s="56" t="n">
        <v>33.4</v>
      </c>
      <c r="O278" s="54">
        <f>myParidad('Flujo de Fondos'!$N$34,'Paridad usd'!$A278,'Paridad usd'!N278,'Flujo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44127</v>
      </c>
      <c r="B279" s="53" t="n">
        <v>43.66</v>
      </c>
      <c r="C279" s="54">
        <f>myParidad('Flujo de Fondos'!$B$5,A279,B279,'Flujo de Fondos'!$B$7,'Flujo de Fondos'!$B$6)</f>
        <v/>
      </c>
      <c r="D279" s="53" t="n">
        <v>49</v>
      </c>
      <c r="E279" s="55">
        <f>myParidad('Flujo de Fondos'!$H$5,$A279,D279,'Flujo de Fondos'!$H$7,'Flujo de Fondos'!$H$6)</f>
        <v/>
      </c>
      <c r="F279" s="53" t="n">
        <v>40.15</v>
      </c>
      <c r="G279" s="54">
        <f>myParidad('Flujo de Fondos'!$N$5,$A279,F279,'Flujo de Fondos'!$N$7,'Flujo de Fondos'!$N$6)</f>
        <v/>
      </c>
      <c r="H279" s="53" t="n">
        <v>42.5</v>
      </c>
      <c r="I279" s="54">
        <f>myParidad('Flujo de Fondos'!$T$5,$A279,H279,'Flujo de Fondos'!$T$7,'Flujo de Fondos'!$T$6)</f>
        <v/>
      </c>
      <c r="J279" s="53" t="n">
        <v>35.45</v>
      </c>
      <c r="K279" s="54">
        <f>myParidad('Flujo de Fondos'!$B$34,$A279,J279,'Flujo de Fondos'!$B$36,'Flujo de Fondos'!$B$35)</f>
        <v/>
      </c>
      <c r="L279" s="53" t="n">
        <v>37.28</v>
      </c>
      <c r="M279" s="54">
        <f>myParidad('Flujo de Fondos'!$H$34,'Paridad usd'!$A279,'Paridad usd'!L279,'Flujo de Fondos'!$H$36,'Flujo de Fondos'!$H$35)</f>
        <v/>
      </c>
      <c r="N279" s="56" t="n">
        <v>34.15</v>
      </c>
      <c r="O279" s="54">
        <f>myParidad('Flujo de Fondos'!$N$34,'Paridad usd'!$A279,'Paridad usd'!N279,'Flujo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44126</v>
      </c>
      <c r="B280" s="53" t="n">
        <v>42.1</v>
      </c>
      <c r="C280" s="54">
        <f>myParidad('Flujo de Fondos'!$B$5,A280,B280,'Flujo de Fondos'!$B$7,'Flujo de Fondos'!$B$6)</f>
        <v/>
      </c>
      <c r="D280" s="53" t="n">
        <v>48</v>
      </c>
      <c r="E280" s="55">
        <f>myParidad('Flujo de Fondos'!$H$5,$A280,D280,'Flujo de Fondos'!$H$7,'Flujo de Fondos'!$H$6)</f>
        <v/>
      </c>
      <c r="F280" s="53" t="n">
        <v>40.1</v>
      </c>
      <c r="G280" s="54">
        <f>myParidad('Flujo de Fondos'!$N$5,$A280,F280,'Flujo de Fondos'!$N$7,'Flujo de Fondos'!$N$6)</f>
        <v/>
      </c>
      <c r="H280" s="53" t="n">
        <v>41.5</v>
      </c>
      <c r="I280" s="54">
        <f>myParidad('Flujo de Fondos'!$T$5,$A280,H280,'Flujo de Fondos'!$T$7,'Flujo de Fondos'!$T$6)</f>
        <v/>
      </c>
      <c r="J280" s="53" t="n">
        <v>35</v>
      </c>
      <c r="K280" s="54">
        <f>myParidad('Flujo de Fondos'!$B$34,$A280,J280,'Flujo de Fondos'!$B$36,'Flujo de Fondos'!$B$35)</f>
        <v/>
      </c>
      <c r="L280" s="53" t="n">
        <v>37.74</v>
      </c>
      <c r="M280" s="54">
        <f>myParidad('Flujo de Fondos'!$H$34,'Paridad usd'!$A280,'Paridad usd'!L280,'Flujo de Fondos'!$H$36,'Flujo de Fondos'!$H$35)</f>
        <v/>
      </c>
      <c r="N280" s="56" t="n">
        <v>34.6</v>
      </c>
      <c r="O280" s="54">
        <f>myParidad('Flujo de Fondos'!$N$34,'Paridad usd'!$A280,'Paridad usd'!N280,'Flujo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44125</v>
      </c>
      <c r="B281" s="53" t="n">
        <v>41.18</v>
      </c>
      <c r="C281" s="54">
        <f>myParidad('Flujo de Fondos'!$B$5,A281,B281,'Flujo de Fondos'!$B$7,'Flujo de Fondos'!$B$6)</f>
        <v/>
      </c>
      <c r="D281" s="53" t="n">
        <v>44.3</v>
      </c>
      <c r="E281" s="55">
        <f>myParidad('Flujo de Fondos'!$H$5,$A281,D281,'Flujo de Fondos'!$H$7,'Flujo de Fondos'!$H$6)</f>
        <v/>
      </c>
      <c r="F281" s="53" t="n">
        <v>40.3</v>
      </c>
      <c r="G281" s="54">
        <f>myParidad('Flujo de Fondos'!$N$5,$A281,F281,'Flujo de Fondos'!$N$7,'Flujo de Fondos'!$N$6)</f>
        <v/>
      </c>
      <c r="H281" s="53" t="n">
        <v>40.55</v>
      </c>
      <c r="I281" s="54">
        <f>myParidad('Flujo de Fondos'!$T$5,$A281,H281,'Flujo de Fondos'!$T$7,'Flujo de Fondos'!$T$6)</f>
        <v/>
      </c>
      <c r="J281" s="53" t="n">
        <v>34.5</v>
      </c>
      <c r="K281" s="54">
        <f>myParidad('Flujo de Fondos'!$B$34,$A281,J281,'Flujo de Fondos'!$B$36,'Flujo de Fondos'!$B$35)</f>
        <v/>
      </c>
      <c r="L281" s="53" t="n">
        <v>36.75</v>
      </c>
      <c r="M281" s="54">
        <f>myParidad('Flujo de Fondos'!$H$34,'Paridad usd'!$A281,'Paridad usd'!L281,'Flujo de Fondos'!$H$36,'Flujo de Fondos'!$H$35)</f>
        <v/>
      </c>
      <c r="N281" s="56" t="n">
        <v>33.95</v>
      </c>
      <c r="O281" s="54">
        <f>myParidad('Flujo de Fondos'!$N$34,'Paridad usd'!$A281,'Paridad usd'!N281,'Flujo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44124</v>
      </c>
      <c r="B282" s="53" t="n">
        <v>41.7</v>
      </c>
      <c r="C282" s="54">
        <f>myParidad('Flujo de Fondos'!$B$5,A282,B282,'Flujo de Fondos'!$B$7,'Flujo de Fondos'!$B$6)</f>
        <v/>
      </c>
      <c r="D282" s="53" t="n">
        <v>44.5</v>
      </c>
      <c r="E282" s="55">
        <f>myParidad('Flujo de Fondos'!$H$5,$A282,D282,'Flujo de Fondos'!$H$7,'Flujo de Fondos'!$H$6)</f>
        <v/>
      </c>
      <c r="F282" s="53" t="n">
        <v>41.38</v>
      </c>
      <c r="G282" s="54">
        <f>myParidad('Flujo de Fondos'!$N$5,$A282,F282,'Flujo de Fondos'!$N$7,'Flujo de Fondos'!$N$6)</f>
        <v/>
      </c>
      <c r="H282" s="53" t="n">
        <v>41.7</v>
      </c>
      <c r="I282" s="54">
        <f>myParidad('Flujo de Fondos'!$T$5,$A282,H282,'Flujo de Fondos'!$T$7,'Flujo de Fondos'!$T$6)</f>
        <v/>
      </c>
      <c r="J282" s="53" t="n">
        <v>36.04</v>
      </c>
      <c r="K282" s="54">
        <f>myParidad('Flujo de Fondos'!$B$34,$A282,J282,'Flujo de Fondos'!$B$36,'Flujo de Fondos'!$B$35)</f>
        <v/>
      </c>
      <c r="L282" s="53" t="n">
        <v>37.8</v>
      </c>
      <c r="M282" s="54">
        <f>myParidad('Flujo de Fondos'!$H$34,'Paridad usd'!$A282,'Paridad usd'!L282,'Flujo de Fondos'!$H$36,'Flujo de Fondos'!$H$35)</f>
        <v/>
      </c>
      <c r="N282" s="56" t="n">
        <v>34.8</v>
      </c>
      <c r="O282" s="54">
        <f>myParidad('Flujo de Fondos'!$N$34,'Paridad usd'!$A282,'Paridad usd'!N282,'Flujo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44123</v>
      </c>
      <c r="B283" s="53" t="n">
        <v>43.51</v>
      </c>
      <c r="C283" s="54">
        <f>myParidad('Flujo de Fondos'!$B$5,A283,B283,'Flujo de Fondos'!$B$7,'Flujo de Fondos'!$B$6)</f>
        <v/>
      </c>
      <c r="D283" s="53" t="n">
        <v>45.1</v>
      </c>
      <c r="E283" s="55">
        <f>myParidad('Flujo de Fondos'!$H$5,$A283,D283,'Flujo de Fondos'!$H$7,'Flujo de Fondos'!$H$6)</f>
        <v/>
      </c>
      <c r="F283" s="53" t="n">
        <v>43.35</v>
      </c>
      <c r="G283" s="54">
        <f>myParidad('Flujo de Fondos'!$N$5,$A283,F283,'Flujo de Fondos'!$N$7,'Flujo de Fondos'!$N$6)</f>
        <v/>
      </c>
      <c r="H283" s="53" t="n">
        <v>43.8</v>
      </c>
      <c r="I283" s="54">
        <f>myParidad('Flujo de Fondos'!$T$5,$A283,H283,'Flujo de Fondos'!$T$7,'Flujo de Fondos'!$T$6)</f>
        <v/>
      </c>
      <c r="J283" s="53" t="n">
        <v>35.95</v>
      </c>
      <c r="K283" s="54">
        <f>myParidad('Flujo de Fondos'!$B$34,$A283,J283,'Flujo de Fondos'!$B$36,'Flujo de Fondos'!$B$35)</f>
        <v/>
      </c>
      <c r="L283" s="53" t="n">
        <v>38.85</v>
      </c>
      <c r="M283" s="54">
        <f>myParidad('Flujo de Fondos'!$H$34,'Paridad usd'!$A283,'Paridad usd'!L283,'Flujo de Fondos'!$H$36,'Flujo de Fondos'!$H$35)</f>
        <v/>
      </c>
      <c r="N283" s="56" t="n">
        <v>35.8</v>
      </c>
      <c r="O283" s="54">
        <f>myParidad('Flujo de Fondos'!$N$34,'Paridad usd'!$A283,'Paridad usd'!N283,'Flujo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44120</v>
      </c>
      <c r="B284" s="53" t="n">
        <v>44.3</v>
      </c>
      <c r="C284" s="54">
        <f>myParidad('Flujo de Fondos'!$B$5,A284,B284,'Flujo de Fondos'!$B$7,'Flujo de Fondos'!$B$6)</f>
        <v/>
      </c>
      <c r="D284" s="53" t="n">
        <v>47</v>
      </c>
      <c r="E284" s="55">
        <f>myParidad('Flujo de Fondos'!$H$5,$A284,D284,'Flujo de Fondos'!$H$7,'Flujo de Fondos'!$H$6)</f>
        <v/>
      </c>
      <c r="F284" s="53" t="n">
        <v>44.19</v>
      </c>
      <c r="G284" s="54">
        <f>myParidad('Flujo de Fondos'!$N$5,$A284,F284,'Flujo de Fondos'!$N$7,'Flujo de Fondos'!$N$6)</f>
        <v/>
      </c>
      <c r="H284" s="53" t="n">
        <v>44.3</v>
      </c>
      <c r="I284" s="54">
        <f>myParidad('Flujo de Fondos'!$T$5,$A284,H284,'Flujo de Fondos'!$T$7,'Flujo de Fondos'!$T$6)</f>
        <v/>
      </c>
      <c r="J284" s="53" t="n">
        <v>37.67</v>
      </c>
      <c r="K284" s="54">
        <f>myParidad('Flujo de Fondos'!$B$34,$A284,J284,'Flujo de Fondos'!$B$36,'Flujo de Fondos'!$B$35)</f>
        <v/>
      </c>
      <c r="L284" s="53" t="n">
        <v>39.8</v>
      </c>
      <c r="M284" s="54">
        <f>myParidad('Flujo de Fondos'!$H$34,'Paridad usd'!$A284,'Paridad usd'!L284,'Flujo de Fondos'!$H$36,'Flujo de Fondos'!$H$35)</f>
        <v/>
      </c>
      <c r="N284" s="56" t="n">
        <v>35.8</v>
      </c>
      <c r="O284" s="54">
        <f>myParidad('Flujo de Fondos'!$N$34,'Paridad usd'!$A284,'Paridad usd'!N284,'Flujo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44119</v>
      </c>
      <c r="B285" s="53" t="n">
        <v>44.56</v>
      </c>
      <c r="C285" s="54">
        <f>myParidad('Flujo de Fondos'!$B$5,A285,B285,'Flujo de Fondos'!$B$7,'Flujo de Fondos'!$B$6)</f>
        <v/>
      </c>
      <c r="D285" s="53" t="n">
        <v>46.46</v>
      </c>
      <c r="E285" s="55">
        <f>myParidad('Flujo de Fondos'!$H$5,$A285,D285,'Flujo de Fondos'!$H$7,'Flujo de Fondos'!$H$6)</f>
        <v/>
      </c>
      <c r="F285" s="53" t="n">
        <v>44.4</v>
      </c>
      <c r="G285" s="54">
        <f>myParidad('Flujo de Fondos'!$N$5,$A285,F285,'Flujo de Fondos'!$N$7,'Flujo de Fondos'!$N$6)</f>
        <v/>
      </c>
      <c r="H285" s="53" t="n">
        <v>44.5</v>
      </c>
      <c r="I285" s="54">
        <f>myParidad('Flujo de Fondos'!$T$5,$A285,H285,'Flujo de Fondos'!$T$7,'Flujo de Fondos'!$T$6)</f>
        <v/>
      </c>
      <c r="J285" s="53" t="n">
        <v>38</v>
      </c>
      <c r="K285" s="54">
        <f>myParidad('Flujo de Fondos'!$B$34,$A285,J285,'Flujo de Fondos'!$B$36,'Flujo de Fondos'!$B$35)</f>
        <v/>
      </c>
      <c r="L285" s="53" t="n">
        <v>40.39</v>
      </c>
      <c r="M285" s="54">
        <f>myParidad('Flujo de Fondos'!$H$34,'Paridad usd'!$A285,'Paridad usd'!L285,'Flujo de Fondos'!$H$36,'Flujo de Fondos'!$H$35)</f>
        <v/>
      </c>
      <c r="N285" s="56" t="n">
        <v>36.5</v>
      </c>
      <c r="O285" s="54">
        <f>myParidad('Flujo de Fondos'!$N$34,'Paridad usd'!$A285,'Paridad usd'!N285,'Flujo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44118</v>
      </c>
      <c r="B286" s="53" t="n">
        <v>44.9</v>
      </c>
      <c r="C286" s="54">
        <f>myParidad('Flujo de Fondos'!$B$5,A286,B286,'Flujo de Fondos'!$B$7,'Flujo de Fondos'!$B$6)</f>
        <v/>
      </c>
      <c r="D286" s="53" t="n">
        <v>48.4</v>
      </c>
      <c r="E286" s="55">
        <f>myParidad('Flujo de Fondos'!$H$5,$A286,D286,'Flujo de Fondos'!$H$7,'Flujo de Fondos'!$H$6)</f>
        <v/>
      </c>
      <c r="F286" s="53" t="n">
        <v>44.45</v>
      </c>
      <c r="G286" s="54">
        <f>myParidad('Flujo de Fondos'!$N$5,$A286,F286,'Flujo de Fondos'!$N$7,'Flujo de Fondos'!$N$6)</f>
        <v/>
      </c>
      <c r="H286" s="53" t="n">
        <v>45.5</v>
      </c>
      <c r="I286" s="54">
        <f>myParidad('Flujo de Fondos'!$T$5,$A286,H286,'Flujo de Fondos'!$T$7,'Flujo de Fondos'!$T$6)</f>
        <v/>
      </c>
      <c r="J286" s="53" t="n">
        <v>39.38</v>
      </c>
      <c r="K286" s="54">
        <f>myParidad('Flujo de Fondos'!$B$34,$A286,J286,'Flujo de Fondos'!$B$36,'Flujo de Fondos'!$B$35)</f>
        <v/>
      </c>
      <c r="L286" s="53" t="n">
        <v>41.08</v>
      </c>
      <c r="M286" s="54">
        <f>myParidad('Flujo de Fondos'!$H$34,'Paridad usd'!$A286,'Paridad usd'!L286,'Flujo de Fondos'!$H$36,'Flujo de Fondos'!$H$35)</f>
        <v/>
      </c>
      <c r="N286" s="56" t="n">
        <v>38.2</v>
      </c>
      <c r="O286" s="54">
        <f>myParidad('Flujo de Fondos'!$N$34,'Paridad usd'!$A286,'Paridad usd'!N286,'Flujo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44117</v>
      </c>
      <c r="B287" s="53" t="n">
        <v>45.45</v>
      </c>
      <c r="C287" s="54">
        <f>myParidad('Flujo de Fondos'!$B$5,A287,B287,'Flujo de Fondos'!$B$7,'Flujo de Fondos'!$B$6)</f>
        <v/>
      </c>
      <c r="D287" s="53" t="n">
        <v>48.4</v>
      </c>
      <c r="E287" s="55">
        <f>myParidad('Flujo de Fondos'!$H$5,$A287,D287,'Flujo de Fondos'!$H$7,'Flujo de Fondos'!$H$6)</f>
        <v/>
      </c>
      <c r="F287" s="53" t="n">
        <v>44.74</v>
      </c>
      <c r="G287" s="54">
        <f>myParidad('Flujo de Fondos'!$N$5,$A287,F287,'Flujo de Fondos'!$N$7,'Flujo de Fondos'!$N$6)</f>
        <v/>
      </c>
      <c r="H287" s="53" t="n">
        <v>45.01</v>
      </c>
      <c r="I287" s="54">
        <f>myParidad('Flujo de Fondos'!$T$5,$A287,H287,'Flujo de Fondos'!$T$7,'Flujo de Fondos'!$T$6)</f>
        <v/>
      </c>
      <c r="J287" s="53" t="n">
        <v>39.7</v>
      </c>
      <c r="K287" s="54">
        <f>myParidad('Flujo de Fondos'!$B$34,$A287,J287,'Flujo de Fondos'!$B$36,'Flujo de Fondos'!$B$35)</f>
        <v/>
      </c>
      <c r="L287" s="53" t="n">
        <v>41.56</v>
      </c>
      <c r="M287" s="54">
        <f>myParidad('Flujo de Fondos'!$H$34,'Paridad usd'!$A287,'Paridad usd'!L287,'Flujo de Fondos'!$H$36,'Flujo de Fondos'!$H$35)</f>
        <v/>
      </c>
      <c r="N287" s="56" t="n">
        <v>39.25</v>
      </c>
      <c r="O287" s="54">
        <f>myParidad('Flujo de Fondos'!$N$34,'Paridad usd'!$A287,'Paridad usd'!N287,'Flujo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44113</v>
      </c>
      <c r="B288" s="53" t="n">
        <v>45.63</v>
      </c>
      <c r="C288" s="54">
        <f>myParidad('Flujo de Fondos'!$B$5,A288,B288,'Flujo de Fondos'!$B$7,'Flujo de Fondos'!$B$6)</f>
        <v/>
      </c>
      <c r="D288" s="53" t="n">
        <v>48.6</v>
      </c>
      <c r="E288" s="55">
        <f>myParidad('Flujo de Fondos'!$H$5,$A288,D288,'Flujo de Fondos'!$H$7,'Flujo de Fondos'!$H$6)</f>
        <v/>
      </c>
      <c r="F288" s="53" t="n">
        <v>44.73</v>
      </c>
      <c r="G288" s="54">
        <f>myParidad('Flujo de Fondos'!$N$5,$A288,F288,'Flujo de Fondos'!$N$7,'Flujo de Fondos'!$N$6)</f>
        <v/>
      </c>
      <c r="H288" s="53" t="n">
        <v>45.02</v>
      </c>
      <c r="I288" s="54">
        <f>myParidad('Flujo de Fondos'!$T$5,$A288,H288,'Flujo de Fondos'!$T$7,'Flujo de Fondos'!$T$6)</f>
        <v/>
      </c>
      <c r="J288" s="53" t="n">
        <v>40</v>
      </c>
      <c r="K288" s="54">
        <f>myParidad('Flujo de Fondos'!$B$34,$A288,J288,'Flujo de Fondos'!$B$36,'Flujo de Fondos'!$B$35)</f>
        <v/>
      </c>
      <c r="L288" s="53" t="n">
        <v>41.56</v>
      </c>
      <c r="M288" s="54">
        <f>myParidad('Flujo de Fondos'!$H$34,'Paridad usd'!$A288,'Paridad usd'!L288,'Flujo de Fondos'!$H$36,'Flujo de Fondos'!$H$35)</f>
        <v/>
      </c>
      <c r="N288" s="56" t="n">
        <v>39.5</v>
      </c>
      <c r="O288" s="54">
        <f>myParidad('Flujo de Fondos'!$N$34,'Paridad usd'!$A288,'Paridad usd'!N288,'Flujo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44112</v>
      </c>
      <c r="B289" s="53" t="n">
        <v>45.32</v>
      </c>
      <c r="C289" s="54">
        <f>myParidad('Flujo de Fondos'!$B$5,A289,B289,'Flujo de Fondos'!$B$7,'Flujo de Fondos'!$B$6)</f>
        <v/>
      </c>
      <c r="D289" s="53" t="n">
        <v>48.75</v>
      </c>
      <c r="E289" s="55">
        <f>myParidad('Flujo de Fondos'!$H$5,$A289,D289,'Flujo de Fondos'!$H$7,'Flujo de Fondos'!$H$6)</f>
        <v/>
      </c>
      <c r="F289" s="53" t="n">
        <v>44.7</v>
      </c>
      <c r="G289" s="54">
        <f>myParidad('Flujo de Fondos'!$N$5,$A289,F289,'Flujo de Fondos'!$N$7,'Flujo de Fondos'!$N$6)</f>
        <v/>
      </c>
      <c r="H289" s="53" t="n">
        <v>44.8</v>
      </c>
      <c r="I289" s="54">
        <f>myParidad('Flujo de Fondos'!$T$5,$A289,H289,'Flujo de Fondos'!$T$7,'Flujo de Fondos'!$T$6)</f>
        <v/>
      </c>
      <c r="J289" s="53" t="n">
        <v>39.88</v>
      </c>
      <c r="K289" s="54">
        <f>myParidad('Flujo de Fondos'!$B$34,$A289,J289,'Flujo de Fondos'!$B$36,'Flujo de Fondos'!$B$35)</f>
        <v/>
      </c>
      <c r="L289" s="53" t="n">
        <v>41.44</v>
      </c>
      <c r="M289" s="54">
        <f>myParidad('Flujo de Fondos'!$H$34,'Paridad usd'!$A289,'Paridad usd'!L289,'Flujo de Fondos'!$H$36,'Flujo de Fondos'!$H$35)</f>
        <v/>
      </c>
      <c r="N289" s="56" t="n">
        <v>39.5</v>
      </c>
      <c r="O289" s="54">
        <f>myParidad('Flujo de Fondos'!$N$34,'Paridad usd'!$A289,'Paridad usd'!N289,'Flujo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44111</v>
      </c>
      <c r="B290" s="53" t="n">
        <v>45.44</v>
      </c>
      <c r="C290" s="54">
        <f>myParidad('Flujo de Fondos'!$B$5,A290,B290,'Flujo de Fondos'!$B$7,'Flujo de Fondos'!$B$6)</f>
        <v/>
      </c>
      <c r="D290" s="53" t="n">
        <v>47.7</v>
      </c>
      <c r="E290" s="55">
        <f>myParidad('Flujo de Fondos'!$H$5,$A290,D290,'Flujo de Fondos'!$H$7,'Flujo de Fondos'!$H$6)</f>
        <v/>
      </c>
      <c r="F290" s="53" t="n">
        <v>44.8</v>
      </c>
      <c r="G290" s="54">
        <f>myParidad('Flujo de Fondos'!$N$5,$A290,F290,'Flujo de Fondos'!$N$7,'Flujo de Fondos'!$N$6)</f>
        <v/>
      </c>
      <c r="H290" s="53" t="n">
        <v>44.5</v>
      </c>
      <c r="I290" s="54">
        <f>myParidad('Flujo de Fondos'!$T$5,$A290,H290,'Flujo de Fondos'!$T$7,'Flujo de Fondos'!$T$6)</f>
        <v/>
      </c>
      <c r="J290" s="53" t="n">
        <v>40.1</v>
      </c>
      <c r="K290" s="54">
        <f>myParidad('Flujo de Fondos'!$B$34,$A290,J290,'Flujo de Fondos'!$B$36,'Flujo de Fondos'!$B$35)</f>
        <v/>
      </c>
      <c r="L290" s="53" t="n">
        <v>41.6</v>
      </c>
      <c r="M290" s="54">
        <f>myParidad('Flujo de Fondos'!$H$34,'Paridad usd'!$A290,'Paridad usd'!L290,'Flujo de Fondos'!$H$36,'Flujo de Fondos'!$H$35)</f>
        <v/>
      </c>
      <c r="N290" s="56" t="n">
        <v>39.9</v>
      </c>
      <c r="O290" s="54">
        <f>myParidad('Flujo de Fondos'!$N$34,'Paridad usd'!$A290,'Paridad usd'!N290,'Flujo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44110</v>
      </c>
      <c r="B291" s="53" t="n">
        <v>45.3</v>
      </c>
      <c r="C291" s="54">
        <f>myParidad('Flujo de Fondos'!$B$5,A291,B291,'Flujo de Fondos'!$B$7,'Flujo de Fondos'!$B$6)</f>
        <v/>
      </c>
      <c r="D291" s="53" t="n">
        <v>47.6</v>
      </c>
      <c r="E291" s="55">
        <f>myParidad('Flujo de Fondos'!$H$5,$A291,D291,'Flujo de Fondos'!$H$7,'Flujo de Fondos'!$H$6)</f>
        <v/>
      </c>
      <c r="F291" s="53" t="n">
        <v>44.45</v>
      </c>
      <c r="G291" s="54">
        <f>myParidad('Flujo de Fondos'!$N$5,$A291,F291,'Flujo de Fondos'!$N$7,'Flujo de Fondos'!$N$6)</f>
        <v/>
      </c>
      <c r="H291" s="53" t="n">
        <v>44</v>
      </c>
      <c r="I291" s="54">
        <f>myParidad('Flujo de Fondos'!$T$5,$A291,H291,'Flujo de Fondos'!$T$7,'Flujo de Fondos'!$T$6)</f>
        <v/>
      </c>
      <c r="J291" s="53" t="n">
        <v>39.96</v>
      </c>
      <c r="K291" s="54">
        <f>myParidad('Flujo de Fondos'!$B$34,$A291,J291,'Flujo de Fondos'!$B$36,'Flujo de Fondos'!$B$35)</f>
        <v/>
      </c>
      <c r="L291" s="53" t="n">
        <v>41.4</v>
      </c>
      <c r="M291" s="54">
        <f>myParidad('Flujo de Fondos'!$H$34,'Paridad usd'!$A291,'Paridad usd'!L291,'Flujo de Fondos'!$H$36,'Flujo de Fondos'!$H$35)</f>
        <v/>
      </c>
      <c r="N291" s="56" t="n">
        <v>39.99</v>
      </c>
      <c r="O291" s="54">
        <f>myParidad('Flujo de Fondos'!$N$34,'Paridad usd'!$A291,'Paridad usd'!N291,'Flujo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44109</v>
      </c>
      <c r="B292" s="53" t="n">
        <v>45.39</v>
      </c>
      <c r="C292" s="54">
        <f>myParidad('Flujo de Fondos'!$B$5,A292,B292,'Flujo de Fondos'!$B$7,'Flujo de Fondos'!$B$6)</f>
        <v/>
      </c>
      <c r="D292" s="53" t="n">
        <v>47.99</v>
      </c>
      <c r="E292" s="55">
        <f>myParidad('Flujo de Fondos'!$H$5,$A292,D292,'Flujo de Fondos'!$H$7,'Flujo de Fondos'!$H$6)</f>
        <v/>
      </c>
      <c r="F292" s="53" t="n">
        <v>44.4</v>
      </c>
      <c r="G292" s="54">
        <f>myParidad('Flujo de Fondos'!$N$5,$A292,F292,'Flujo de Fondos'!$N$7,'Flujo de Fondos'!$N$6)</f>
        <v/>
      </c>
      <c r="H292" s="53" t="n">
        <v>43.45</v>
      </c>
      <c r="I292" s="54">
        <f>myParidad('Flujo de Fondos'!$T$5,$A292,H292,'Flujo de Fondos'!$T$7,'Flujo de Fondos'!$T$6)</f>
        <v/>
      </c>
      <c r="J292" s="53" t="n">
        <v>39.5</v>
      </c>
      <c r="K292" s="54">
        <f>myParidad('Flujo de Fondos'!$B$34,$A292,J292,'Flujo de Fondos'!$B$36,'Flujo de Fondos'!$B$35)</f>
        <v/>
      </c>
      <c r="L292" s="53" t="n">
        <v>41.65</v>
      </c>
      <c r="M292" s="54">
        <f>myParidad('Flujo de Fondos'!$H$34,'Paridad usd'!$A292,'Paridad usd'!L292,'Flujo de Fondos'!$H$36,'Flujo de Fondos'!$H$35)</f>
        <v/>
      </c>
      <c r="N292" s="56" t="n">
        <v>40</v>
      </c>
      <c r="O292" s="54">
        <f>myParidad('Flujo de Fondos'!$N$34,'Paridad usd'!$A292,'Paridad usd'!N292,'Flujo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44106</v>
      </c>
      <c r="B293" s="53" t="n">
        <v>45.45</v>
      </c>
      <c r="C293" s="54">
        <f>myParidad('Flujo de Fondos'!$B$5,A293,B293,'Flujo de Fondos'!$B$7,'Flujo de Fondos'!$B$6)</f>
        <v/>
      </c>
      <c r="D293" s="53" t="n">
        <v>47.32</v>
      </c>
      <c r="E293" s="55">
        <f>myParidad('Flujo de Fondos'!$H$5,$A293,D293,'Flujo de Fondos'!$H$7,'Flujo de Fondos'!$H$6)</f>
        <v/>
      </c>
      <c r="F293" s="53" t="n">
        <v>44.3</v>
      </c>
      <c r="G293" s="54">
        <f>myParidad('Flujo de Fondos'!$N$5,$A293,F293,'Flujo de Fondos'!$N$7,'Flujo de Fondos'!$N$6)</f>
        <v/>
      </c>
      <c r="H293" s="53" t="n">
        <v>43.99</v>
      </c>
      <c r="I293" s="54">
        <f>myParidad('Flujo de Fondos'!$T$5,$A293,H293,'Flujo de Fondos'!$T$7,'Flujo de Fondos'!$T$6)</f>
        <v/>
      </c>
      <c r="J293" s="53" t="n">
        <v>40.05</v>
      </c>
      <c r="K293" s="54">
        <f>myParidad('Flujo de Fondos'!$B$34,$A293,J293,'Flujo de Fondos'!$B$36,'Flujo de Fondos'!$B$35)</f>
        <v/>
      </c>
      <c r="L293" s="53" t="n">
        <v>42.15</v>
      </c>
      <c r="M293" s="54">
        <f>myParidad('Flujo de Fondos'!$H$34,'Paridad usd'!$A293,'Paridad usd'!L293,'Flujo de Fondos'!$H$36,'Flujo de Fondos'!$H$35)</f>
        <v/>
      </c>
      <c r="N293" s="56" t="n">
        <v>40</v>
      </c>
      <c r="O293" s="54">
        <f>myParidad('Flujo de Fondos'!$N$34,'Paridad usd'!$A293,'Paridad usd'!N293,'Flujo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44105</v>
      </c>
      <c r="B294" s="53" t="n">
        <v>46.25</v>
      </c>
      <c r="C294" s="54">
        <f>myParidad('Flujo de Fondos'!$B$5,A294,B294,'Flujo de Fondos'!$B$7,'Flujo de Fondos'!$B$6)</f>
        <v/>
      </c>
      <c r="D294" s="53" t="n">
        <v>48.32</v>
      </c>
      <c r="E294" s="55">
        <f>myParidad('Flujo de Fondos'!$H$5,$A294,D294,'Flujo de Fondos'!$H$7,'Flujo de Fondos'!$H$6)</f>
        <v/>
      </c>
      <c r="F294" s="53" t="n">
        <v>44.7</v>
      </c>
      <c r="G294" s="54">
        <f>myParidad('Flujo de Fondos'!$N$5,$A294,F294,'Flujo de Fondos'!$N$7,'Flujo de Fondos'!$N$6)</f>
        <v/>
      </c>
      <c r="H294" s="53" t="n">
        <v>44.4</v>
      </c>
      <c r="I294" s="54">
        <f>myParidad('Flujo de Fondos'!$T$5,$A294,H294,'Flujo de Fondos'!$T$7,'Flujo de Fondos'!$T$6)</f>
        <v/>
      </c>
      <c r="J294" s="53" t="n">
        <v>40.8</v>
      </c>
      <c r="K294" s="54">
        <f>myParidad('Flujo de Fondos'!$B$34,$A294,J294,'Flujo de Fondos'!$B$36,'Flujo de Fondos'!$B$35)</f>
        <v/>
      </c>
      <c r="L294" s="53" t="n">
        <v>42.9</v>
      </c>
      <c r="M294" s="54">
        <f>myParidad('Flujo de Fondos'!$H$34,'Paridad usd'!$A294,'Paridad usd'!L294,'Flujo de Fondos'!$H$36,'Flujo de Fondos'!$H$35)</f>
        <v/>
      </c>
      <c r="N294" s="56" t="n">
        <v>39.8</v>
      </c>
      <c r="O294" s="54">
        <f>myParidad('Flujo de Fondos'!$N$34,'Paridad usd'!$A294,'Paridad usd'!N294,'Flujo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44104</v>
      </c>
      <c r="B295" s="53" t="n">
        <v>45.86</v>
      </c>
      <c r="C295" s="54">
        <f>myParidad('Flujo de Fondos'!$B$5,A295,B295,'Flujo de Fondos'!$B$7,'Flujo de Fondos'!$B$6)</f>
        <v/>
      </c>
      <c r="D295" s="53" t="n">
        <v>47.9</v>
      </c>
      <c r="E295" s="55">
        <f>myParidad('Flujo de Fondos'!$H$5,$A295,D295,'Flujo de Fondos'!$H$7,'Flujo de Fondos'!$H$6)</f>
        <v/>
      </c>
      <c r="F295" s="53" t="n">
        <v>44.6</v>
      </c>
      <c r="G295" s="54">
        <f>myParidad('Flujo de Fondos'!$N$5,$A295,F295,'Flujo de Fondos'!$N$7,'Flujo de Fondos'!$N$6)</f>
        <v/>
      </c>
      <c r="H295" s="53" t="n">
        <v>44.71</v>
      </c>
      <c r="I295" s="54">
        <f>myParidad('Flujo de Fondos'!$T$5,$A295,H295,'Flujo de Fondos'!$T$7,'Flujo de Fondos'!$T$6)</f>
        <v/>
      </c>
      <c r="J295" s="53" t="n">
        <v>40.74</v>
      </c>
      <c r="K295" s="54">
        <f>myParidad('Flujo de Fondos'!$B$34,$A295,J295,'Flujo de Fondos'!$B$36,'Flujo de Fondos'!$B$35)</f>
        <v/>
      </c>
      <c r="L295" s="53" t="n">
        <v>42.4</v>
      </c>
      <c r="M295" s="54">
        <f>myParidad('Flujo de Fondos'!$H$34,'Paridad usd'!$A295,'Paridad usd'!L295,'Flujo de Fondos'!$H$36,'Flujo de Fondos'!$H$35)</f>
        <v/>
      </c>
      <c r="N295" s="56" t="n">
        <v>39.02</v>
      </c>
      <c r="O295" s="54">
        <f>myParidad('Flujo de Fondos'!$N$34,'Paridad usd'!$A295,'Paridad usd'!N295,'Flujo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44103</v>
      </c>
      <c r="B296" s="53" t="n">
        <v>46</v>
      </c>
      <c r="C296" s="54">
        <f>myParidad('Flujo de Fondos'!$B$5,A296,B296,'Flujo de Fondos'!$B$7,'Flujo de Fondos'!$B$6)</f>
        <v/>
      </c>
      <c r="D296" s="53" t="n">
        <v>47.5</v>
      </c>
      <c r="E296" s="55">
        <f>myParidad('Flujo de Fondos'!$H$5,$A296,D296,'Flujo de Fondos'!$H$7,'Flujo de Fondos'!$H$6)</f>
        <v/>
      </c>
      <c r="F296" s="53" t="n">
        <v>44.67</v>
      </c>
      <c r="G296" s="54">
        <f>myParidad('Flujo de Fondos'!$N$5,$A296,F296,'Flujo de Fondos'!$N$7,'Flujo de Fondos'!$N$6)</f>
        <v/>
      </c>
      <c r="H296" s="53" t="n">
        <v>44.47</v>
      </c>
      <c r="I296" s="54">
        <f>myParidad('Flujo de Fondos'!$T$5,$A296,H296,'Flujo de Fondos'!$T$7,'Flujo de Fondos'!$T$6)</f>
        <v/>
      </c>
      <c r="J296" s="53" t="n">
        <v>39.9</v>
      </c>
      <c r="K296" s="54">
        <f>myParidad('Flujo de Fondos'!$B$34,$A296,J296,'Flujo de Fondos'!$B$36,'Flujo de Fondos'!$B$35)</f>
        <v/>
      </c>
      <c r="L296" s="53" t="n">
        <v>41.8</v>
      </c>
      <c r="M296" s="54">
        <f>myParidad('Flujo de Fondos'!$H$34,'Paridad usd'!$A296,'Paridad usd'!L296,'Flujo de Fondos'!$H$36,'Flujo de Fondos'!$H$35)</f>
        <v/>
      </c>
      <c r="N296" s="56" t="n">
        <v>39.04</v>
      </c>
      <c r="O296" s="54">
        <f>myParidad('Flujo de Fondos'!$N$34,'Paridad usd'!$A296,'Paridad usd'!N296,'Flujo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44102</v>
      </c>
      <c r="B297" s="53" t="n">
        <v>46.29</v>
      </c>
      <c r="C297" s="54">
        <f>myParidad('Flujo de Fondos'!$B$5,A297,B297,'Flujo de Fondos'!$B$7,'Flujo de Fondos'!$B$6)</f>
        <v/>
      </c>
      <c r="D297" s="53" t="n">
        <v>48.3</v>
      </c>
      <c r="E297" s="55">
        <f>myParidad('Flujo de Fondos'!$H$5,$A297,D297,'Flujo de Fondos'!$H$7,'Flujo de Fondos'!$H$6)</f>
        <v/>
      </c>
      <c r="F297" s="53" t="n">
        <v>44.9</v>
      </c>
      <c r="G297" s="54">
        <f>myParidad('Flujo de Fondos'!$N$5,$A297,F297,'Flujo de Fondos'!$N$7,'Flujo de Fondos'!$N$6)</f>
        <v/>
      </c>
      <c r="H297" s="53" t="n">
        <v>44.85</v>
      </c>
      <c r="I297" s="54">
        <f>myParidad('Flujo de Fondos'!$T$5,$A297,H297,'Flujo de Fondos'!$T$7,'Flujo de Fondos'!$T$6)</f>
        <v/>
      </c>
      <c r="J297" s="53" t="n">
        <v>41</v>
      </c>
      <c r="K297" s="54">
        <f>myParidad('Flujo de Fondos'!$B$34,$A297,J297,'Flujo de Fondos'!$B$36,'Flujo de Fondos'!$B$35)</f>
        <v/>
      </c>
      <c r="L297" s="53" t="n">
        <v>42.43</v>
      </c>
      <c r="M297" s="54">
        <f>myParidad('Flujo de Fondos'!$H$34,'Paridad usd'!$A297,'Paridad usd'!L297,'Flujo de Fondos'!$H$36,'Flujo de Fondos'!$H$35)</f>
        <v/>
      </c>
      <c r="N297" s="56" t="n">
        <v>39.5</v>
      </c>
      <c r="O297" s="54">
        <f>myParidad('Flujo de Fondos'!$N$34,'Paridad usd'!$A297,'Paridad usd'!N297,'Flujo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44099</v>
      </c>
      <c r="B298" s="53" t="n">
        <v>46.44</v>
      </c>
      <c r="C298" s="54">
        <f>myParidad('Flujo de Fondos'!$B$5,A298,B298,'Flujo de Fondos'!$B$7,'Flujo de Fondos'!$B$6)</f>
        <v/>
      </c>
      <c r="D298" s="53" t="n">
        <v>48</v>
      </c>
      <c r="E298" s="55">
        <f>myParidad('Flujo de Fondos'!$H$5,$A298,D298,'Flujo de Fondos'!$H$7,'Flujo de Fondos'!$H$6)</f>
        <v/>
      </c>
      <c r="F298" s="53" t="n">
        <v>45.2</v>
      </c>
      <c r="G298" s="54">
        <f>myParidad('Flujo de Fondos'!$N$5,$A298,F298,'Flujo de Fondos'!$N$7,'Flujo de Fondos'!$N$6)</f>
        <v/>
      </c>
      <c r="H298" s="53" t="n">
        <v>45.29</v>
      </c>
      <c r="I298" s="54">
        <f>myParidad('Flujo de Fondos'!$T$5,$A298,H298,'Flujo de Fondos'!$T$7,'Flujo de Fondos'!$T$6)</f>
        <v/>
      </c>
      <c r="J298" s="53" t="n">
        <v>41.5</v>
      </c>
      <c r="K298" s="54">
        <f>myParidad('Flujo de Fondos'!$B$34,$A298,J298,'Flujo de Fondos'!$B$36,'Flujo de Fondos'!$B$35)</f>
        <v/>
      </c>
      <c r="L298" s="53" t="n">
        <v>42.89</v>
      </c>
      <c r="M298" s="54">
        <f>myParidad('Flujo de Fondos'!$H$34,'Paridad usd'!$A298,'Paridad usd'!L298,'Flujo de Fondos'!$H$36,'Flujo de Fondos'!$H$35)</f>
        <v/>
      </c>
      <c r="N298" s="56" t="n">
        <v>40</v>
      </c>
      <c r="O298" s="54">
        <f>myParidad('Flujo de Fondos'!$N$34,'Paridad usd'!$A298,'Paridad usd'!N298,'Flujo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44098</v>
      </c>
      <c r="B299" s="53" t="n">
        <v>47.57</v>
      </c>
      <c r="C299" s="54">
        <f>myParidad('Flujo de Fondos'!$B$5,A299,B299,'Flujo de Fondos'!$B$7,'Flujo de Fondos'!$B$6)</f>
        <v/>
      </c>
      <c r="D299" s="53" t="n">
        <v>47.8</v>
      </c>
      <c r="E299" s="55">
        <f>myParidad('Flujo de Fondos'!$H$5,$A299,D299,'Flujo de Fondos'!$H$7,'Flujo de Fondos'!$H$6)</f>
        <v/>
      </c>
      <c r="F299" s="53" t="n">
        <v>46</v>
      </c>
      <c r="G299" s="54">
        <f>myParidad('Flujo de Fondos'!$N$5,$A299,F299,'Flujo de Fondos'!$N$7,'Flujo de Fondos'!$N$6)</f>
        <v/>
      </c>
      <c r="H299" s="53" t="n">
        <v>45.7</v>
      </c>
      <c r="I299" s="54">
        <f>myParidad('Flujo de Fondos'!$T$5,$A299,H299,'Flujo de Fondos'!$T$7,'Flujo de Fondos'!$T$6)</f>
        <v/>
      </c>
      <c r="J299" s="53" t="n">
        <v>41.9</v>
      </c>
      <c r="K299" s="54">
        <f>myParidad('Flujo de Fondos'!$B$34,$A299,J299,'Flujo de Fondos'!$B$36,'Flujo de Fondos'!$B$35)</f>
        <v/>
      </c>
      <c r="L299" s="53" t="n">
        <v>43.4</v>
      </c>
      <c r="M299" s="54">
        <f>myParidad('Flujo de Fondos'!$H$34,'Paridad usd'!$A299,'Paridad usd'!L299,'Flujo de Fondos'!$H$36,'Flujo de Fondos'!$H$35)</f>
        <v/>
      </c>
      <c r="N299" s="56" t="n">
        <v>39.45</v>
      </c>
      <c r="O299" s="54">
        <f>myParidad('Flujo de Fondos'!$N$34,'Paridad usd'!$A299,'Paridad usd'!N299,'Flujo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44097</v>
      </c>
      <c r="B300" s="53" t="n">
        <v>47.6</v>
      </c>
      <c r="C300" s="54">
        <f>myParidad('Flujo de Fondos'!$B$5,A300,B300,'Flujo de Fondos'!$B$7,'Flujo de Fondos'!$B$6)</f>
        <v/>
      </c>
      <c r="D300" s="53" t="n">
        <v>47.1</v>
      </c>
      <c r="E300" s="55">
        <f>myParidad('Flujo de Fondos'!$H$5,$A300,D300,'Flujo de Fondos'!$H$7,'Flujo de Fondos'!$H$6)</f>
        <v/>
      </c>
      <c r="F300" s="53" t="n">
        <v>46.55</v>
      </c>
      <c r="G300" s="54">
        <f>myParidad('Flujo de Fondos'!$N$5,$A300,F300,'Flujo de Fondos'!$N$7,'Flujo de Fondos'!$N$6)</f>
        <v/>
      </c>
      <c r="H300" s="53" t="n">
        <v>46.3</v>
      </c>
      <c r="I300" s="54">
        <f>myParidad('Flujo de Fondos'!$T$5,$A300,H300,'Flujo de Fondos'!$T$7,'Flujo de Fondos'!$T$6)</f>
        <v/>
      </c>
      <c r="J300" s="53" t="n">
        <v>39.75</v>
      </c>
      <c r="K300" s="54">
        <f>myParidad('Flujo de Fondos'!$B$34,$A300,J300,'Flujo de Fondos'!$B$36,'Flujo de Fondos'!$B$35)</f>
        <v/>
      </c>
      <c r="L300" s="53" t="n">
        <v>43</v>
      </c>
      <c r="M300" s="54">
        <f>myParidad('Flujo de Fondos'!$H$34,'Paridad usd'!$A300,'Paridad usd'!L300,'Flujo de Fondos'!$H$36,'Flujo de Fondos'!$H$35)</f>
        <v/>
      </c>
      <c r="N300" s="56" t="n">
        <v>38.55</v>
      </c>
      <c r="O300" s="54">
        <f>myParidad('Flujo de Fondos'!$N$34,'Paridad usd'!$A300,'Paridad usd'!N300,'Flujo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44096</v>
      </c>
      <c r="B301" s="53" t="n">
        <v>46.5</v>
      </c>
      <c r="C301" s="54">
        <f>myParidad('Flujo de Fondos'!$B$5,A301,B301,'Flujo de Fondos'!$B$7,'Flujo de Fondos'!$B$6)</f>
        <v/>
      </c>
      <c r="D301" s="53" t="n">
        <v>47</v>
      </c>
      <c r="E301" s="55">
        <f>myParidad('Flujo de Fondos'!$H$5,$A301,D301,'Flujo de Fondos'!$H$7,'Flujo de Fondos'!$H$6)</f>
        <v/>
      </c>
      <c r="F301" s="53" t="n">
        <v>45.39</v>
      </c>
      <c r="G301" s="54">
        <f>myParidad('Flujo de Fondos'!$N$5,$A301,F301,'Flujo de Fondos'!$N$7,'Flujo de Fondos'!$N$6)</f>
        <v/>
      </c>
      <c r="H301" s="53" t="n">
        <v>45.33</v>
      </c>
      <c r="I301" s="54">
        <f>myParidad('Flujo de Fondos'!$T$5,$A301,H301,'Flujo de Fondos'!$T$7,'Flujo de Fondos'!$T$6)</f>
        <v/>
      </c>
      <c r="J301" s="53" t="n">
        <v>38.5</v>
      </c>
      <c r="K301" s="54">
        <f>myParidad('Flujo de Fondos'!$B$34,$A301,J301,'Flujo de Fondos'!$B$36,'Flujo de Fondos'!$B$35)</f>
        <v/>
      </c>
      <c r="L301" s="53" t="n">
        <v>42.65</v>
      </c>
      <c r="M301" s="54">
        <f>myParidad('Flujo de Fondos'!$H$34,'Paridad usd'!$A301,'Paridad usd'!L301,'Flujo de Fondos'!$H$36,'Flujo de Fondos'!$H$35)</f>
        <v/>
      </c>
      <c r="N301" s="56" t="n">
        <v>37.75</v>
      </c>
      <c r="O301" s="54">
        <f>myParidad('Flujo de Fondos'!$N$34,'Paridad usd'!$A301,'Paridad usd'!N301,'Flujo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44095</v>
      </c>
      <c r="B302" s="53" t="n">
        <v>47.4</v>
      </c>
      <c r="C302" s="54">
        <f>myParidad('Flujo de Fondos'!$B$5,A302,B302,'Flujo de Fondos'!$B$7,'Flujo de Fondos'!$B$6)</f>
        <v/>
      </c>
      <c r="D302" s="53" t="n">
        <v>47</v>
      </c>
      <c r="E302" s="55">
        <f>myParidad('Flujo de Fondos'!$H$5,$A302,D302,'Flujo de Fondos'!$H$7,'Flujo de Fondos'!$H$6)</f>
        <v/>
      </c>
      <c r="F302" s="53" t="n">
        <v>46.12</v>
      </c>
      <c r="G302" s="54">
        <f>myParidad('Flujo de Fondos'!$N$5,$A302,F302,'Flujo de Fondos'!$N$7,'Flujo de Fondos'!$N$6)</f>
        <v/>
      </c>
      <c r="H302" s="53" t="n">
        <v>45.75</v>
      </c>
      <c r="I302" s="54">
        <f>myParidad('Flujo de Fondos'!$T$5,$A302,H302,'Flujo de Fondos'!$T$7,'Flujo de Fondos'!$T$6)</f>
        <v/>
      </c>
      <c r="J302" s="53" t="n">
        <v>40.24</v>
      </c>
      <c r="K302" s="54">
        <f>myParidad('Flujo de Fondos'!$B$34,$A302,J302,'Flujo de Fondos'!$B$36,'Flujo de Fondos'!$B$35)</f>
        <v/>
      </c>
      <c r="L302" s="53" t="n">
        <v>43.35</v>
      </c>
      <c r="M302" s="54">
        <f>myParidad('Flujo de Fondos'!$H$34,'Paridad usd'!$A302,'Paridad usd'!L302,'Flujo de Fondos'!$H$36,'Flujo de Fondos'!$H$35)</f>
        <v/>
      </c>
      <c r="N302" s="56" t="n">
        <v>38.6</v>
      </c>
      <c r="O302" s="54">
        <f>myParidad('Flujo de Fondos'!$N$34,'Paridad usd'!$A302,'Paridad usd'!N302,'Flujo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44092</v>
      </c>
      <c r="B303" s="53" t="n">
        <v>48.35</v>
      </c>
      <c r="C303" s="54">
        <f>myParidad('Flujo de Fondos'!$B$5,A303,B303,'Flujo de Fondos'!$B$7,'Flujo de Fondos'!$B$6)</f>
        <v/>
      </c>
      <c r="D303" s="53" t="n">
        <v>48.45</v>
      </c>
      <c r="E303" s="55">
        <f>myParidad('Flujo de Fondos'!$H$5,$A303,D303,'Flujo de Fondos'!$H$7,'Flujo de Fondos'!$H$6)</f>
        <v/>
      </c>
      <c r="F303" s="53" t="n">
        <v>47.1</v>
      </c>
      <c r="G303" s="54">
        <f>myParidad('Flujo de Fondos'!$N$5,$A303,F303,'Flujo de Fondos'!$N$7,'Flujo de Fondos'!$N$6)</f>
        <v/>
      </c>
      <c r="H303" s="53" t="n">
        <v>46.89</v>
      </c>
      <c r="I303" s="54">
        <f>myParidad('Flujo de Fondos'!$T$5,$A303,H303,'Flujo de Fondos'!$T$7,'Flujo de Fondos'!$T$6)</f>
        <v/>
      </c>
      <c r="J303" s="53" t="n">
        <v>41.6</v>
      </c>
      <c r="K303" s="54">
        <f>myParidad('Flujo de Fondos'!$B$34,$A303,J303,'Flujo de Fondos'!$B$36,'Flujo de Fondos'!$B$35)</f>
        <v/>
      </c>
      <c r="L303" s="53" t="n">
        <v>44.25</v>
      </c>
      <c r="M303" s="54">
        <f>myParidad('Flujo de Fondos'!$H$34,'Paridad usd'!$A303,'Paridad usd'!L303,'Flujo de Fondos'!$H$36,'Flujo de Fondos'!$H$35)</f>
        <v/>
      </c>
      <c r="N303" s="56" t="n">
        <v>40</v>
      </c>
      <c r="O303" s="54">
        <f>myParidad('Flujo de Fondos'!$N$34,'Paridad usd'!$A303,'Paridad usd'!N303,'Flujo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44091</v>
      </c>
      <c r="B304" s="53" t="n">
        <v>48.51</v>
      </c>
      <c r="C304" s="54">
        <f>myParidad('Flujo de Fondos'!$B$5,A304,B304,'Flujo de Fondos'!$B$7,'Flujo de Fondos'!$B$6)</f>
        <v/>
      </c>
      <c r="D304" s="53" t="n">
        <v>48.01</v>
      </c>
      <c r="E304" s="55">
        <f>myParidad('Flujo de Fondos'!$H$5,$A304,D304,'Flujo de Fondos'!$H$7,'Flujo de Fondos'!$H$6)</f>
        <v/>
      </c>
      <c r="F304" s="53" t="n">
        <v>46.9</v>
      </c>
      <c r="G304" s="54">
        <f>myParidad('Flujo de Fondos'!$N$5,$A304,F304,'Flujo de Fondos'!$N$7,'Flujo de Fondos'!$N$6)</f>
        <v/>
      </c>
      <c r="H304" s="53" t="n">
        <v>46.25</v>
      </c>
      <c r="I304" s="54">
        <f>myParidad('Flujo de Fondos'!$T$5,$A304,H304,'Flujo de Fondos'!$T$7,'Flujo de Fondos'!$T$6)</f>
        <v/>
      </c>
      <c r="J304" s="53" t="n">
        <v>41.75</v>
      </c>
      <c r="K304" s="54">
        <f>myParidad('Flujo de Fondos'!$B$34,$A304,J304,'Flujo de Fondos'!$B$36,'Flujo de Fondos'!$B$35)</f>
        <v/>
      </c>
      <c r="L304" s="53" t="n">
        <v>44.25</v>
      </c>
      <c r="M304" s="54">
        <f>myParidad('Flujo de Fondos'!$H$34,'Paridad usd'!$A304,'Paridad usd'!L304,'Flujo de Fondos'!$H$36,'Flujo de Fondos'!$H$35)</f>
        <v/>
      </c>
      <c r="N304" s="56" t="n">
        <v>40</v>
      </c>
      <c r="O304" s="54">
        <f>myParidad('Flujo de Fondos'!$N$34,'Paridad usd'!$A304,'Paridad usd'!N304,'Flujo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44090</v>
      </c>
      <c r="B305" s="53" t="n">
        <v>48.85</v>
      </c>
      <c r="C305" s="54">
        <f>myParidad('Flujo de Fondos'!$B$5,A305,B305,'Flujo de Fondos'!$B$7,'Flujo de Fondos'!$B$6)</f>
        <v/>
      </c>
      <c r="D305" s="53" t="n">
        <v>51</v>
      </c>
      <c r="E305" s="55">
        <f>myParidad('Flujo de Fondos'!$H$5,$A305,D305,'Flujo de Fondos'!$H$7,'Flujo de Fondos'!$H$6)</f>
        <v/>
      </c>
      <c r="F305" s="53" t="n">
        <v>47.96</v>
      </c>
      <c r="G305" s="54">
        <f>myParidad('Flujo de Fondos'!$N$5,$A305,F305,'Flujo de Fondos'!$N$7,'Flujo de Fondos'!$N$6)</f>
        <v/>
      </c>
      <c r="H305" s="53" t="n">
        <v>48.1</v>
      </c>
      <c r="I305" s="54">
        <f>myParidad('Flujo de Fondos'!$T$5,$A305,H305,'Flujo de Fondos'!$T$7,'Flujo de Fondos'!$T$6)</f>
        <v/>
      </c>
      <c r="J305" s="53" t="n">
        <v>41.9</v>
      </c>
      <c r="K305" s="54">
        <f>myParidad('Flujo de Fondos'!$B$34,$A305,J305,'Flujo de Fondos'!$B$36,'Flujo de Fondos'!$B$35)</f>
        <v/>
      </c>
      <c r="L305" s="53" t="n">
        <v>45.15</v>
      </c>
      <c r="M305" s="54">
        <f>myParidad('Flujo de Fondos'!$H$34,'Paridad usd'!$A305,'Paridad usd'!L305,'Flujo de Fondos'!$H$36,'Flujo de Fondos'!$H$35)</f>
        <v/>
      </c>
      <c r="N305" s="56" t="n">
        <v>41</v>
      </c>
      <c r="O305" s="54">
        <f>myParidad('Flujo de Fondos'!$N$34,'Paridad usd'!$A305,'Paridad usd'!N305,'Flujo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44089</v>
      </c>
      <c r="B306" s="53" t="n">
        <v>51.4</v>
      </c>
      <c r="C306" s="54">
        <f>myParidad('Flujo de Fondos'!$B$5,A306,B306,'Flujo de Fondos'!$B$7,'Flujo de Fondos'!$B$6)</f>
        <v/>
      </c>
      <c r="D306" s="53" t="n">
        <v>53.75</v>
      </c>
      <c r="E306" s="55">
        <f>myParidad('Flujo de Fondos'!$H$5,$A306,D306,'Flujo de Fondos'!$H$7,'Flujo de Fondos'!$H$6)</f>
        <v/>
      </c>
      <c r="F306" s="53" t="n">
        <v>51.08</v>
      </c>
      <c r="G306" s="54">
        <f>myParidad('Flujo de Fondos'!$N$5,$A306,F306,'Flujo de Fondos'!$N$7,'Flujo de Fondos'!$N$6)</f>
        <v/>
      </c>
      <c r="H306" s="53" t="n">
        <v>50</v>
      </c>
      <c r="I306" s="54">
        <f>myParidad('Flujo de Fondos'!$T$5,$A306,H306,'Flujo de Fondos'!$T$7,'Flujo de Fondos'!$T$6)</f>
        <v/>
      </c>
      <c r="J306" s="53" t="n">
        <v>44.55</v>
      </c>
      <c r="K306" s="54">
        <f>myParidad('Flujo de Fondos'!$B$34,$A306,J306,'Flujo de Fondos'!$B$36,'Flujo de Fondos'!$B$35)</f>
        <v/>
      </c>
      <c r="L306" s="53" t="n">
        <v>48.35</v>
      </c>
      <c r="M306" s="54">
        <f>myParidad('Flujo de Fondos'!$H$34,'Paridad usd'!$A306,'Paridad usd'!L306,'Flujo de Fondos'!$H$36,'Flujo de Fondos'!$H$35)</f>
        <v/>
      </c>
      <c r="N306" s="56" t="n">
        <v>43.1</v>
      </c>
      <c r="O306" s="54">
        <f>myParidad('Flujo de Fondos'!$N$34,'Paridad usd'!$A306,'Paridad usd'!N306,'Flujo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9" t="n">
        <v>44088</v>
      </c>
      <c r="B307" s="60" t="n">
        <v>51.8</v>
      </c>
      <c r="C307" s="61">
        <f>myParidad('Flujo de Fondos'!$B$5,A307,B307,'Flujo de Fondos'!$B$7,'Flujo de Fondos'!$B$6)</f>
        <v/>
      </c>
      <c r="D307" s="60" t="n">
        <v>53.75</v>
      </c>
      <c r="E307" s="62">
        <f>myParidad('Flujo de Fondos'!$H$5,$A307,D307,'Flujo de Fondos'!$H$7,'Flujo de Fondos'!$H$6)</f>
        <v/>
      </c>
      <c r="F307" s="60" t="n">
        <v>51.87</v>
      </c>
      <c r="G307" s="61">
        <f>myParidad('Flujo de Fondos'!$N$5,$A307,F307,'Flujo de Fondos'!$N$7,'Flujo de Fondos'!$N$6)</f>
        <v/>
      </c>
      <c r="H307" s="53" t="n">
        <v>50</v>
      </c>
      <c r="I307" s="54">
        <f>myParidad('Flujo de Fondos'!$T$5,$A307,H307,'Flujo de Fondos'!$T$7,'Flujo de Fondos'!$T$6)</f>
        <v/>
      </c>
      <c r="J307" s="60" t="n">
        <v>44.54</v>
      </c>
      <c r="K307" s="54">
        <f>myParidad('Flujo de Fondos'!$B$34,$A307,J307,'Flujo de Fondos'!$B$36,'Flujo de Fondos'!$B$35)</f>
        <v/>
      </c>
      <c r="L307" s="60" t="n">
        <v>49.2</v>
      </c>
      <c r="M307" s="61">
        <f>myParidad('Flujo de Fondos'!$H$34,'Paridad usd'!$A307,'Paridad usd'!L307,'Flujo de Fondos'!$H$36,'Flujo de Fondos'!$H$35)</f>
        <v/>
      </c>
      <c r="N307" s="63" t="n">
        <v>43.99</v>
      </c>
      <c r="O307" s="61">
        <f>myParidad('Flujo de Fondos'!$N$34,'Paridad usd'!$A307,'Paridad usd'!N307,'Flujo de Fondos'!$N$36,'Flujo de Fondos'!$N$35)</f>
        <v/>
      </c>
      <c r="P307" s="64">
        <f>C307-G307</f>
        <v/>
      </c>
      <c r="Q307" s="64">
        <f>E307-C307</f>
        <v/>
      </c>
      <c r="R307" s="64">
        <f>C307-M307</f>
        <v/>
      </c>
      <c r="S307" s="62">
        <f>C307-O307</f>
        <v/>
      </c>
      <c r="T307" s="62">
        <f>E307-O307</f>
        <v/>
      </c>
      <c r="U307" s="62">
        <f>G307-O307</f>
        <v/>
      </c>
      <c r="V307" s="62">
        <f>G307-K307</f>
        <v/>
      </c>
      <c r="W307" s="62">
        <f>C307-K307</f>
        <v/>
      </c>
      <c r="X307" s="62">
        <f>I307-G307</f>
        <v/>
      </c>
      <c r="Y307" s="75">
        <f>G307-M307</f>
        <v/>
      </c>
    </row>
    <row r="308">
      <c r="A308" s="24" t="n"/>
      <c r="B308" s="21" t="n"/>
      <c r="C308" s="21" t="n"/>
      <c r="F308" s="21" t="n"/>
      <c r="G308" s="21" t="n"/>
    </row>
    <row r="309">
      <c r="A309" s="24" t="n"/>
      <c r="B309" s="21" t="n"/>
      <c r="C309" s="21" t="n"/>
      <c r="F309" s="21" t="n"/>
      <c r="G309" s="21" t="n"/>
    </row>
    <row r="310">
      <c r="A310" s="24" t="n"/>
      <c r="B310" s="21" t="n"/>
      <c r="C310" s="21" t="n"/>
      <c r="F310" s="21" t="n"/>
      <c r="G310" s="21" t="n"/>
    </row>
    <row r="311">
      <c r="A311" s="24" t="n"/>
      <c r="B311" s="21" t="n"/>
      <c r="C311" s="21" t="n"/>
      <c r="F311" s="21" t="n"/>
      <c r="G311" s="21" t="n"/>
    </row>
    <row r="312">
      <c r="A312" s="24" t="n"/>
      <c r="B312" s="21" t="n"/>
      <c r="C312" s="21" t="n"/>
      <c r="F312" s="25" t="n"/>
      <c r="G312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abSelected="1" topLeftCell="H1" workbookViewId="0">
      <selection activeCell="A3" sqref="A3"/>
    </sheetView>
  </sheetViews>
  <sheetFormatPr baseColWidth="10" defaultRowHeight="15"/>
  <cols>
    <col width="17.5703125" bestFit="1" customWidth="1" style="77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7" min="7" max="7"/>
    <col width="12.140625" bestFit="1" customWidth="1" style="77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bestFit="1" customWidth="1" style="77" min="2" max="2"/>
    <col width="21" bestFit="1" customWidth="1" style="77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customWidth="1" style="77" min="2" max="2"/>
    <col width="9.7109375" bestFit="1" customWidth="1" style="77" min="3" max="21"/>
    <col width="10.7109375" customWidth="1" style="77" min="22" max="35"/>
    <col width="9.7109375" bestFit="1" customWidth="1" style="77" min="36" max="41"/>
    <col width="10.7109375" customWidth="1" style="77" min="42" max="55"/>
    <col width="9.7109375" bestFit="1" customWidth="1" style="77" min="56" max="60"/>
    <col width="10.7109375" customWidth="1" style="77" min="61" max="73"/>
    <col width="8.7109375" bestFit="1" customWidth="1" style="77" min="74" max="78"/>
    <col width="9.7109375" bestFit="1" customWidth="1" style="77" min="79" max="93"/>
    <col width="8.7109375" bestFit="1" customWidth="1" style="77" min="94" max="100"/>
    <col width="9.7109375" bestFit="1" customWidth="1" style="77" min="101" max="111"/>
    <col width="8.7109375" bestFit="1" customWidth="1" style="77" min="112" max="118"/>
    <col width="9.7109375" bestFit="1" customWidth="1" style="77" min="119" max="133"/>
    <col width="8.7109375" bestFit="1" customWidth="1" style="77" min="134" max="138"/>
    <col width="9.7109375" bestFit="1" customWidth="1" style="77" min="139" max="153"/>
    <col width="8.7109375" bestFit="1" customWidth="1" style="77" min="154" max="158"/>
    <col width="9.7109375" bestFit="1" customWidth="1" style="77" min="159" max="172"/>
    <col width="8.7109375" bestFit="1" customWidth="1" style="77" min="173" max="179"/>
    <col width="9.7109375" bestFit="1" customWidth="1" style="77" min="180" max="193"/>
    <col width="8.7109375" bestFit="1" customWidth="1" style="77" min="194" max="199"/>
    <col width="9.7109375" bestFit="1" customWidth="1" style="77" min="200" max="204"/>
    <col width="12.5703125" bestFit="1" customWidth="1" style="77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bestFit="1" customWidth="1" style="77" min="2" max="2"/>
    <col width="18.85546875" bestFit="1" customWidth="1" style="77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bestFit="1" customWidth="1" style="77" min="2" max="2"/>
    <col width="19.28515625" bestFit="1" customWidth="1" style="77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7" min="1" max="1"/>
    <col width="13.7109375" bestFit="1" customWidth="1" style="77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bestFit="1" customWidth="1" style="77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6"/>
  <sheetViews>
    <sheetView workbookViewId="0">
      <selection activeCell="G10" sqref="G10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0.326</v>
      </c>
      <c r="C3" t="n">
        <v>0.364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1000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2021-11-17T20:29:14Z</dcterms:modified>
  <cp:lastModifiedBy>Adrian</cp:lastModifiedBy>
</cp:coreProperties>
</file>