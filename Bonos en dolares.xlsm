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3" activeTab="4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Paridad usd" sheetId="5" state="visible" r:id="rId5"/>
    <sheet xmlns:r="http://schemas.openxmlformats.org/officeDocument/2006/relationships" name="Grafico Paridades" sheetId="6" state="visible" r:id="rId6"/>
    <sheet xmlns:r="http://schemas.openxmlformats.org/officeDocument/2006/relationships" name="g29-41" sheetId="7" state="visible" r:id="rId7"/>
    <sheet xmlns:r="http://schemas.openxmlformats.org/officeDocument/2006/relationships" name="g29-29" sheetId="8" state="visible" r:id="rId8"/>
    <sheet xmlns:r="http://schemas.openxmlformats.org/officeDocument/2006/relationships" name="29-35" sheetId="9" state="visible" r:id="rId9"/>
    <sheet xmlns:r="http://schemas.openxmlformats.org/officeDocument/2006/relationships" name="29-41" sheetId="10" state="visible" r:id="rId10"/>
    <sheet xmlns:r="http://schemas.openxmlformats.org/officeDocument/2006/relationships" name="30-35" sheetId="11" state="visible" r:id="rId11"/>
    <sheet xmlns:r="http://schemas.openxmlformats.org/officeDocument/2006/relationships" name="29-30" sheetId="12" state="visible" r:id="rId12"/>
    <sheet xmlns:r="http://schemas.openxmlformats.org/officeDocument/2006/relationships" name="29-38" sheetId="13" state="visible" r:id="rId13"/>
    <sheet xmlns:r="http://schemas.openxmlformats.org/officeDocument/2006/relationships" name="30-41" sheetId="14" state="visible" r:id="rId14"/>
    <sheet xmlns:r="http://schemas.openxmlformats.org/officeDocument/2006/relationships" name="Aribtrar" sheetId="15" state="visible" r:id="rId15"/>
  </sheets>
  <definedNames/>
  <calcPr calcId="162913" fullCalcOnLoad="1"/>
  <pivotCaches>
    <pivotCache xmlns:r="http://schemas.openxmlformats.org/officeDocument/2006/relationships" cacheId="0" r:id="rId16"/>
    <pivotCache xmlns:r="http://schemas.openxmlformats.org/officeDocument/2006/relationships" cacheId="1" r:id="rId17"/>
    <pivotCache xmlns:r="http://schemas.openxmlformats.org/officeDocument/2006/relationships" cacheId="2" r:id="rId18"/>
    <pivotCache xmlns:r="http://schemas.openxmlformats.org/officeDocument/2006/relationships" cacheId="3" r:id="rId19"/>
    <pivotCache xmlns:r="http://schemas.openxmlformats.org/officeDocument/2006/relationships" cacheId="4" r:id="rId20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/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Paridades'!$B$3:$B$248</f>
              <numCache>
                <formatCode>0.00%</formatCode>
                <ptCount val="245"/>
                <pt idx="0">
                  <v>0.4012414886926085</v>
                </pt>
                <pt idx="1">
                  <v>0.4002324309543342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Paridades'!$C$3:$C$248</f>
              <numCache>
                <formatCode>0.00%</formatCode>
                <ptCount val="245"/>
                <pt idx="0">
                  <v>0.381709801451027</v>
                </pt>
                <pt idx="1">
                  <v>0.3809086862738385</v>
                </pt>
                <pt idx="2">
                  <v>0.4800866631928256</v>
                </pt>
                <pt idx="3">
                  <v>0.4694742976637356</v>
                </pt>
                <pt idx="4">
                  <v>0.4714747039827772</v>
                </pt>
                <pt idx="5">
                  <v>0.4616600790513834</v>
                </pt>
                <pt idx="6">
                  <v>0.4543512392444551</v>
                </pt>
                <pt idx="7">
                  <v>0.4659611739015669</v>
                </pt>
                <pt idx="8">
                  <v>0.4604541465555068</v>
                </pt>
                <pt idx="9">
                  <v>0.4524446973566485</v>
                </pt>
                <pt idx="10">
                  <v>0.449437123777921</v>
                </pt>
                <pt idx="11">
                  <v>0.4471333518444246</v>
                </pt>
                <pt idx="12">
                  <v>0.4464311424046511</v>
                </pt>
                <pt idx="13">
                  <v>0.4474305753139151</v>
                </pt>
                <pt idx="14">
                  <v>0.4434252022487316</v>
                </pt>
                <pt idx="15">
                  <v>0.4444215917154287</v>
                </pt>
                <pt idx="16">
                  <v>0.4449205413335893</v>
                </pt>
                <pt idx="17">
                  <v>0.4484223155368926</v>
                </pt>
                <pt idx="18">
                  <v>0.4474198391641472</v>
                </pt>
                <pt idx="19">
                  <v>0.447718586212452</v>
                </pt>
                <pt idx="20">
                  <v>0.447812539634115</v>
                </pt>
                <pt idx="21">
                  <v>0.4449083405317209</v>
                </pt>
                <pt idx="22">
                  <v>0.4444063578683248</v>
                </pt>
                <pt idx="23">
                  <v>0.4423029197830901</v>
                </pt>
                <pt idx="24">
                  <v>0.4338907989044928</v>
                </pt>
                <pt idx="25">
                  <v>0.4141716197410005</v>
                </pt>
                <pt idx="26">
                  <v>0.4033605380151437</v>
                </pt>
                <pt idx="27">
                  <v>0.4013573730033592</v>
                </pt>
                <pt idx="28">
                  <v>0.4018564411584247</v>
                </pt>
                <pt idx="29">
                  <v>0.3826354612262806</v>
                </pt>
                <pt idx="30">
                  <v>0.3925428027901078</v>
                </pt>
                <pt idx="31">
                  <v>0.388337800689641</v>
                </pt>
                <pt idx="32">
                  <v>0.3877359492985361</v>
                </pt>
                <pt idx="33">
                  <v>0.3808286603507136</v>
                </pt>
                <pt idx="34">
                  <v>0.386729779846513</v>
                </pt>
                <pt idx="35">
                  <v>0.384126244207409</v>
                </pt>
                <pt idx="36">
                  <v>0.3842250122535158</v>
                </pt>
                <pt idx="37">
                  <v>0.3802203226005471</v>
                </pt>
                <pt idx="38">
                  <v>0.3803191033572689</v>
                </pt>
                <pt idx="39">
                  <v>0.3838180958191378</v>
                </pt>
                <pt idx="40">
                  <v>0.3843171932999496</v>
                </pt>
                <pt idx="41">
                  <v>0.3923224568138196</v>
                </pt>
                <pt idx="42">
                  <v>0.3950233238849606</v>
                </pt>
                <pt idx="43">
                  <v>0.3993254776153166</v>
                </pt>
                <pt idx="44">
                  <v>0.4029242712456943</v>
                </pt>
                <pt idx="45">
                  <v>0.4021222486513165</v>
                </pt>
                <pt idx="46">
                  <v>0.3977173566578812</v>
                </pt>
                <pt idx="47">
                  <v>0.3946135285569357</v>
                </pt>
                <pt idx="48">
                  <v>0.390809167526365</v>
                </pt>
                <pt idx="49">
                  <v>0.3888022538068979</v>
                </pt>
                <pt idx="50">
                  <v>0.3923036322633272</v>
                </pt>
                <pt idx="51">
                  <v>0.3903007454374089</v>
                </pt>
                <pt idx="52">
                  <v>0.3903994845360825</v>
                </pt>
                <pt idx="53">
                  <v>0.3863924408542082</v>
                </pt>
                <pt idx="54">
                  <v>0.3850901364041401</v>
                </pt>
                <pt idx="55">
                  <v>0.386790092569427</v>
                </pt>
                <pt idx="56">
                  <v>0.3886901865091061</v>
                </pt>
                <pt idx="57">
                  <v>0.3862870695002794</v>
                </pt>
                <pt idx="58">
                  <v>0.3914842282753231</v>
                </pt>
                <pt idx="59">
                  <v>0.3969868637954138</v>
                </pt>
                <pt idx="60">
                  <v>0.3987867987251105</v>
                </pt>
                <pt idx="61">
                  <v>0.4035861038475906</v>
                </pt>
                <pt idx="62">
                  <v>0.4005826027951226</v>
                </pt>
                <pt idx="63">
                  <v>0.3980794736030432</v>
                </pt>
                <pt idx="64">
                  <v>0.3986785288352137</v>
                </pt>
                <pt idx="65">
                  <v>0.4024798061666158</v>
                </pt>
                <pt idx="66">
                  <v>0.4076792323509253</v>
                </pt>
                <pt idx="67">
                  <v>0.4073776306455427</v>
                </pt>
                <pt idx="68">
                  <v>0.4064756238819473</v>
                </pt>
                <pt idx="69">
                  <v>0.4092705109884273</v>
                </pt>
                <pt idx="70">
                  <v>0.4095693058449391</v>
                </pt>
                <pt idx="71">
                  <v>0.4096679677460257</v>
                </pt>
                <pt idx="72">
                  <v>0.4057584625823298</v>
                </pt>
                <pt idx="73">
                  <v>0.4027551702277128</v>
                </pt>
                <pt idx="74">
                  <v>0.4012528442580256</v>
                </pt>
                <pt idx="75">
                  <v>0.3957480201633215</v>
                </pt>
                <pt idx="76">
                  <v>0.3952463521784126</v>
                </pt>
                <pt idx="77">
                  <v>0.3906394673447079</v>
                </pt>
                <pt idx="78">
                  <v>0.3906381287223033</v>
                </pt>
                <pt idx="79">
                  <v>0.3900364261898479</v>
                </pt>
                <pt idx="80">
                  <v>0.3877337025056198</v>
                </pt>
                <pt idx="81">
                  <v>0.387132014049516</v>
                </pt>
                <pt idx="82">
                  <v>0.3882286826486834</v>
                </pt>
                <pt idx="83">
                  <v>0.3881272937233791</v>
                </pt>
                <pt idx="84">
                  <v>0.3876256724805537</v>
                </pt>
                <pt idx="85">
                  <v>0.3871240546754799</v>
                </pt>
                <pt idx="86">
                  <v>0.3871227281449601</v>
                </pt>
                <pt idx="87">
                  <v>0.3861181832199702</v>
                </pt>
                <pt idx="88">
                  <v>0.3860168039583876</v>
                </pt>
                <pt idx="89">
                  <v>0.3845146434482262</v>
                </pt>
                <pt idx="90">
                  <v>0.382912437722298</v>
                </pt>
                <pt idx="91">
                  <v>0.3816104084786475</v>
                </pt>
                <pt idx="92">
                  <v>0.3811062150067502</v>
                </pt>
                <pt idx="93">
                  <v>0.3799042635937816</v>
                </pt>
                <pt idx="94">
                  <v>0.3780019462452543</v>
                </pt>
                <pt idx="95">
                  <v>0.3765999074851377</v>
                </pt>
                <pt idx="96">
                  <v>0.3763985115437594</v>
                </pt>
                <pt idx="97">
                  <v>0.3766947976522105</v>
                </pt>
                <pt idx="98">
                  <v>0.3753928387870482</v>
                </pt>
                <pt idx="99">
                  <v>0.374691195164656</v>
                </pt>
                <pt idx="100">
                  <v>0.3702876800570152</v>
                </pt>
                <pt idx="101">
                  <v>0.3646835907117625</v>
                </pt>
                <pt idx="102">
                  <v>0.3615758348237842</v>
                </pt>
                <pt idx="103">
                  <v>0.3676775429231238</v>
                </pt>
                <pt idx="104">
                  <v>0.3620735969300349</v>
                </pt>
                <pt idx="105">
                  <v>0.3636706262869908</v>
                </pt>
                <pt idx="106">
                  <v>0.3576665844365869</v>
                </pt>
                <pt idx="107">
                  <v>0.3609668853750878</v>
                </pt>
                <pt idx="108">
                  <v>0.3648674391672891</v>
                </pt>
                <pt idx="109">
                  <v>0.3679676016815879</v>
                </pt>
                <pt idx="110">
                  <v>0.3679638195086854</v>
                </pt>
                <pt idx="111">
                  <v>0.3630603931188778</v>
                </pt>
                <pt idx="112">
                  <v>0.3623588422322114</v>
                </pt>
                <pt idx="113">
                  <v>0.3639582969305143</v>
                </pt>
                <pt idx="114">
                  <v>0.3576543302932087</v>
                </pt>
                <pt idx="115">
                  <v>0.3571504435087383</v>
                </pt>
                <pt idx="116">
                  <v>0.3515468791755459</v>
                </pt>
                <pt idx="117">
                  <v>0.3352389174966339</v>
                </pt>
                <pt idx="118">
                  <v>0.3352377689461422</v>
                </pt>
                <pt idx="119">
                  <v>0.344040208167027</v>
                </pt>
                <pt idx="120">
                  <v>0.3497389373860849</v>
                </pt>
                <pt idx="121">
                  <v>0.3541394727375508</v>
                </pt>
                <pt idx="122">
                  <v>0.358139821711216</v>
                </pt>
                <pt idx="123">
                  <v>0.358338672157376</v>
                </pt>
                <pt idx="124">
                  <v>0.3593378282080798</v>
                </pt>
                <pt idx="125">
                  <v>0.3642359647950776</v>
                </pt>
                <pt idx="126">
                  <v>0.3601331999506667</v>
                </pt>
                <pt idx="127">
                  <v>0.3534282993141346</v>
                </pt>
                <pt idx="128">
                  <v>0.3533270525360147</v>
                </pt>
                <pt idx="129">
                  <v>0.346821149853716</v>
                </pt>
                <pt idx="130">
                  <v>0.3430186468607292</v>
                </pt>
                <pt idx="131">
                  <v>0.3406166495375128</v>
                </pt>
                <pt idx="132">
                  <v>0.3486134187492506</v>
                </pt>
                <pt idx="133">
                  <v>0.3464115160359842</v>
                </pt>
                <pt idx="134">
                  <v>0.3458101381604415</v>
                </pt>
                <pt idx="135">
                  <v>0.3440083862038725</v>
                </pt>
                <pt idx="136">
                  <v>0.341906553069621</v>
                </pt>
                <pt idx="137">
                  <v>0.346604456137466</v>
                </pt>
                <pt idx="138">
                  <v>0.3483037754399427</v>
                </pt>
                <pt idx="139">
                  <v>0.3458018457490905</v>
                </pt>
                <pt idx="140">
                  <v>0.3425997293732765</v>
                </pt>
                <pt idx="141">
                  <v>0.3420984118719084</v>
                </pt>
                <pt idx="142">
                  <v>0.3437953678931484</v>
                </pt>
                <pt idx="143">
                  <v>0.3426938887366401</v>
                </pt>
                <pt idx="144">
                  <v>0.3435929583688738</v>
                </pt>
                <pt idx="145">
                  <v>0.3437918348051877</v>
                </pt>
                <pt idx="146">
                  <v>0.3422902614730597</v>
                </pt>
                <pt idx="147">
                  <v>0.3487883915786877</v>
                </pt>
                <pt idx="148">
                  <v>0.3525881470367592</v>
                </pt>
                <pt idx="149">
                  <v>0.3535871858814502</v>
                </pt>
                <pt idx="150">
                  <v>0.3523856828201378</v>
                </pt>
                <pt idx="151">
                  <v>0.3516843078820265</v>
                </pt>
                <pt idx="152">
                  <v>0.3518807397587803</v>
                </pt>
                <pt idx="153">
                  <v>0.3512793987682147</v>
                </pt>
                <pt idx="154">
                  <v>0.3504780173668796</v>
                </pt>
                <pt idx="155">
                  <v>0.3477762249260112</v>
                </pt>
                <pt idx="156">
                  <v>0.3430740193945954</v>
                </pt>
                <pt idx="157">
                  <v>0.3440706994587929</v>
                </pt>
                <pt idx="158">
                  <v>0.3382683487416978</v>
                </pt>
                <pt idx="159">
                  <v>0.3411677662001356</v>
                </pt>
                <pt idx="160">
                  <v>0.3422668123572067</v>
                </pt>
                <pt idx="161">
                  <v>0.3509673087989478</v>
                </pt>
                <pt idx="162">
                  <v>0.3570648097086115</v>
                </pt>
                <pt idx="163">
                  <v>0.3570635866661186</v>
                </pt>
                <pt idx="164">
                  <v>0.3507612630973218</v>
                </pt>
                <pt idx="165">
                  <v>0.3478595649940058</v>
                </pt>
                <pt idx="166">
                  <v>0.3440577357159249</v>
                </pt>
                <pt idx="167">
                  <v>0.354553425858691</v>
                </pt>
                <pt idx="168">
                  <v>0.3566525207479183</v>
                </pt>
                <pt idx="169">
                  <v>0.353550853204913</v>
                </pt>
                <pt idx="170">
                  <v>0.3530471535581807</v>
                </pt>
                <pt idx="171">
                  <v>0.3560463347969942</v>
                </pt>
                <pt idx="172">
                  <v>0.3630460024044142</v>
                </pt>
                <pt idx="173">
                  <v>0.360544450685701</v>
                </pt>
                <pt idx="174">
                  <v>0.3585429760416489</v>
                </pt>
                <pt idx="175">
                  <v>0.3650400043840421</v>
                </pt>
                <pt idx="176">
                  <v>0.370239306227716</v>
                </pt>
                <pt idx="177">
                  <v>0.3765386854813851</v>
                </pt>
                <pt idx="178">
                  <v>0.3797377136770432</v>
                </pt>
                <pt idx="179">
                  <v>0.3830367295494088</v>
                </pt>
                <pt idx="180">
                  <v>0.3830327939035876</v>
                </pt>
                <pt idx="181">
                  <v>0.3806312847631312</v>
                </pt>
                <pt idx="182">
                  <v>0.3796299023553225</v>
                </pt>
                <pt idx="183">
                  <v>0.3753282781579434</v>
                </pt>
                <pt idx="184">
                  <v>0.3730268272718243</v>
                </pt>
                <pt idx="185">
                  <v>0.3665213385710812</v>
                </pt>
                <pt idx="186">
                  <v>0.3654200230149597</v>
                </pt>
                <pt idx="187">
                  <v>0.3600184941007243</v>
                </pt>
                <pt idx="188">
                  <v>0.3499167768317659</v>
                </pt>
                <pt idx="189">
                  <v>0.3485131289192401</v>
                </pt>
                <pt idx="190">
                  <v>0.3415116956060139</v>
                </pt>
                <pt idx="191">
                  <v>0.3393104581990541</v>
                </pt>
                <pt idx="192">
                  <v>0.3380092605276857</v>
                </pt>
                <pt idx="193">
                  <v>0.3406081652642358</v>
                </pt>
                <pt idx="194">
                  <v>0.3380046302004137</v>
                </pt>
                <pt idx="195">
                  <v>0.3377034695561941</v>
                </pt>
                <pt idx="196">
                  <v>0.3376023123446051</v>
                </pt>
                <pt idx="197">
                  <v>0.3386011595930123</v>
                </pt>
                <pt idx="198">
                  <v>0.3428964770909888</v>
                </pt>
                <pt idx="199">
                  <v>0.3474952397912358</v>
                </pt>
                <pt idx="200">
                  <v>0.3508939915412408</v>
                </pt>
                <pt idx="201">
                  <v>0.3528927487791347</v>
                </pt>
                <pt idx="202">
                  <v>0.3556914731496163</v>
                </pt>
                <pt idx="203">
                  <v>0.3583877264477244</v>
                </pt>
                <pt idx="204">
                  <v>0.3618863672943827</v>
                </pt>
                <pt idx="205">
                  <v>0.3631850745859759</v>
                </pt>
                <pt idx="206">
                  <v>0.3629838397605586</v>
                </pt>
                <pt idx="207">
                  <v>0.3627826063133959</v>
                </pt>
                <pt idx="208">
                  <v>0.3621789142412942</v>
                </pt>
                <pt idx="209">
                  <v>0.3611777356190372</v>
                </pt>
                <pt idx="210">
                  <v>0.3600765703601478</v>
                </pt>
                <pt idx="211">
                  <v>0.3590754057941237</v>
                </pt>
                <pt idx="212">
                  <v>0.3586742049373161</v>
                </pt>
                <pt idx="213">
                  <v>0.357771819342997</v>
                </pt>
                <pt idx="214">
                  <v>0.3558707503492864</v>
                </pt>
                <pt idx="215">
                  <v>0.3540696858145707</v>
                </pt>
                <pt idx="216">
                  <v>0.3518686692280824</v>
                </pt>
                <pt idx="217">
                  <v>0.3496676677156564</v>
                </pt>
                <pt idx="218">
                  <v>0.3509627402570275</v>
                </pt>
                <pt idx="219">
                  <v>0.3534612645189568</v>
                </pt>
                <pt idx="220">
                  <v>0.3552598507702897</v>
                </pt>
                <pt idx="221">
                  <v>0.3567584596314128</v>
                </pt>
                <pt idx="222">
                  <v>0.3511579091547246</v>
                </pt>
                <pt idx="223">
                  <v>0.352652899099093</v>
                </pt>
                <pt idx="224">
                  <v>0.3510519106971648</v>
                </pt>
                <pt idx="225">
                  <v>0.3525504980465071</v>
                </pt>
                <pt idx="226">
                  <v>0.3526492764739318</v>
                </pt>
                <pt idx="227">
                  <v>0.3525456693317811</v>
                </pt>
                <pt idx="228">
                  <v>0.3538442574115037</v>
                </pt>
                <pt idx="229">
                  <v>0.3536430779977195</v>
                </pt>
                <pt idx="230">
                  <v>0.3541417849120693</v>
                </pt>
                <pt idx="231">
                  <v>0.3562402199630884</v>
                </pt>
                <pt idx="232">
                  <v>0.3600358840206538</v>
                </pt>
                <pt idx="233">
                  <v>0.3630341068230766</v>
                </pt>
                <pt idx="234">
                  <v>0.3687318098707774</v>
                </pt>
                <pt idx="235">
                  <v>0.3745294550683946</v>
                </pt>
                <pt idx="236">
                  <v>0.3761278658887336</v>
                </pt>
                <pt idx="237">
                  <v>0.3775237195224252</v>
                </pt>
                <pt idx="238">
                  <v>0.3784222420050675</v>
                </pt>
                <pt idx="239">
                  <v>0.3778210716254481</v>
                </pt>
                <pt idx="240">
                  <v>0.3773198841341907</v>
                </pt>
                <pt idx="241">
                  <v>0.3767187216456723</v>
                </pt>
                <pt idx="242">
                  <v>0.3842131573000623</v>
                </pt>
                <pt idx="243">
                  <v>0.3826122088424916</v>
                </pt>
                <pt idx="244">
                  <v>0.3815111549365216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Paridades'!$D$3:$D$248</f>
              <numCache>
                <formatCode>0.00%</formatCode>
                <ptCount val="245"/>
                <pt idx="0">
                  <v>0.4291886570592578</v>
                </pt>
                <pt idx="1">
                  <v>0.4341673502871206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Paridades'!$E$3:$E$248</f>
              <numCache>
                <formatCode>0.00%</formatCode>
                <ptCount val="245"/>
                <pt idx="0">
                  <v>0.3949066830098367</v>
                </pt>
                <pt idx="1">
                  <v>0.3919060499195399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Paridades'!$F$3:$F$248</f>
              <numCache>
                <formatCode>0.00%</formatCode>
                <ptCount val="245"/>
                <pt idx="0">
                  <v>0.3924072736236985</v>
                </pt>
                <pt idx="1">
                  <v>0.3914061697538261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Paridades'!$G$3:$G$248</f>
              <numCache>
                <formatCode>0.00%</formatCode>
                <ptCount val="245"/>
                <pt idx="0">
                  <v>0.4123647731198205</v>
                </pt>
                <pt idx="1">
                  <v>0.4079690813325125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Paridades'!$A$3:$A$248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'Grafico Paridades'!$H$3:$H$248</f>
              <numCache>
                <formatCode>0.00%</formatCode>
                <ptCount val="245"/>
                <pt idx="0">
                  <v>0.3579154240949912</v>
                </pt>
                <pt idx="1">
                  <v>0.3579141986510083</v>
                </pt>
                <pt idx="2">
                  <v>0.4194251707210048</v>
                </pt>
                <pt idx="3">
                  <v>0.417922215937334</v>
                </pt>
                <pt idx="4">
                  <v>0.4164192714582491</v>
                </pt>
                <pt idx="5">
                  <v>0.4028014219650405</v>
                </pt>
                <pt idx="6">
                  <v>0.3853827431353056</v>
                </pt>
                <pt idx="7">
                  <v>0.3978938058557956</v>
                </pt>
                <pt idx="8">
                  <v>0.4194136682755594</v>
                </pt>
                <pt idx="9">
                  <v>0.4154082951394007</v>
                </pt>
                <pt idx="10">
                  <v>0.4103991553428677</v>
                </pt>
                <pt idx="11">
                  <v>0.3993870772015343</v>
                </pt>
                <pt idx="12">
                  <v>0.4077938282862216</v>
                </pt>
                <pt idx="13">
                  <v>0.4083930083402178</v>
                </pt>
                <pt idx="14">
                  <v>0.4008844097079391</v>
                </pt>
                <pt idx="15">
                  <v>0.395375064701789</v>
                </pt>
                <pt idx="16">
                  <v>0.3999780614553482</v>
                </pt>
                <pt idx="17">
                  <v>0.4013780101122633</v>
                </pt>
                <pt idx="18">
                  <v>0.3991745679164696</v>
                </pt>
                <pt idx="19">
                  <v>0.4003743225687029</v>
                </pt>
                <pt idx="20">
                  <v>0.3973660666847199</v>
                </pt>
                <pt idx="21">
                  <v>0.3941617649075179</v>
                </pt>
                <pt idx="22">
                  <v>0.3803477837611789</v>
                </pt>
                <pt idx="23">
                  <v>0.3770434711072416</v>
                </pt>
                <pt idx="24">
                  <v>0.3598240881341757</v>
                </pt>
                <pt idx="25">
                  <v>0.3607236630127031</v>
                </pt>
                <pt idx="26">
                  <v>0.3453086491692917</v>
                </pt>
                <pt idx="27">
                  <v>0.3503119215740043</v>
                </pt>
                <pt idx="28">
                  <v>0.3548147157924323</v>
                </pt>
                <pt idx="29">
                  <v>0.3423000987166832</v>
                </pt>
                <pt idx="30">
                  <v>0.3523076659411473</v>
                </pt>
                <pt idx="31">
                  <v>0.3503047171169442</v>
                </pt>
                <pt idx="32">
                  <v>0.350403603121883</v>
                </pt>
                <pt idx="33">
                  <v>0.3513031794562431</v>
                </pt>
                <pt idx="34">
                  <v>0.3508992257095949</v>
                </pt>
                <pt idx="35">
                  <v>0.3553017631412981</v>
                </pt>
                <pt idx="36">
                  <v>0.3563013919308456</v>
                </pt>
                <pt idx="37">
                  <v>0.3628056513363999</v>
                </pt>
                <pt idx="38">
                  <v>0.3583006289523744</v>
                </pt>
                <pt idx="39">
                  <v>0.3728089718191104</v>
                </pt>
                <pt idx="40">
                  <v>0.3713064549851076</v>
                </pt>
                <pt idx="41">
                  <v>0.3733068275294762</v>
                </pt>
                <pt idx="42">
                  <v>0.3662998138887651</v>
                </pt>
                <pt idx="43">
                  <v>0.3686004346008048</v>
                </pt>
                <pt idx="44">
                  <v>0.3728000274193272</v>
                </pt>
                <pt idx="45">
                  <v>0.3722983486766793</v>
                </pt>
                <pt idx="46">
                  <v>0.3752994684114379</v>
                </pt>
                <pt idx="47">
                  <v>0.3691933316881906</v>
                </pt>
                <pt idx="48">
                  <v>0.3677909579153371</v>
                </pt>
                <pt idx="49">
                  <v>0.3620814811514431</v>
                </pt>
                <pt idx="50">
                  <v>0.364281944244518</v>
                </pt>
                <pt idx="51">
                  <v>0.357375374860766</v>
                </pt>
                <pt idx="52">
                  <v>0.3625781421364334</v>
                </pt>
                <pt idx="53">
                  <v>0.3601725963828789</v>
                </pt>
                <pt idx="54">
                  <v>0.3538666118308315</v>
                </pt>
                <pt idx="55">
                  <v>0.3562672004003002</v>
                </pt>
                <pt idx="56">
                  <v>0.3570665771020831</v>
                </pt>
                <pt idx="57">
                  <v>0.3532625272891155</v>
                </pt>
                <pt idx="58">
                  <v>0.3492535676587111</v>
                </pt>
                <pt idx="59">
                  <v>0.3553567817840974</v>
                </pt>
                <pt idx="60">
                  <v>0.3562562116590699</v>
                </pt>
                <pt idx="61">
                  <v>0.3562525488959639</v>
                </pt>
                <pt idx="62">
                  <v>0.351247798104142</v>
                </pt>
                <pt idx="63">
                  <v>0.3512465943556264</v>
                </pt>
                <pt idx="64">
                  <v>0.3587506340045786</v>
                </pt>
                <pt idx="65">
                  <v>0.3620517003259115</v>
                </pt>
                <pt idx="66">
                  <v>0.3702535983550377</v>
                </pt>
                <pt idx="67">
                  <v>0.3652489196404399</v>
                </pt>
                <pt idx="68">
                  <v>0.3632463108546206</v>
                </pt>
                <pt idx="69">
                  <v>0.3677430630519487</v>
                </pt>
                <pt idx="70">
                  <v>0.3662408158789341</v>
                </pt>
                <pt idx="71">
                  <v>0.3652389062708827</v>
                </pt>
                <pt idx="72">
                  <v>0.3612300986244663</v>
                </pt>
                <pt idx="73">
                  <v>0.3566259445196443</v>
                </pt>
                <pt idx="74">
                  <v>0.3577254160155715</v>
                </pt>
                <pt idx="75">
                  <v>0.3513201766860738</v>
                </pt>
                <pt idx="76">
                  <v>0.3502182867403656</v>
                </pt>
                <pt idx="77">
                  <v>0.3502146864002248</v>
                </pt>
                <pt idx="78">
                  <v>0.3482122663815613</v>
                </pt>
                <pt idx="79">
                  <v>0.3442086470223389</v>
                </pt>
                <pt idx="80">
                  <v>0.3441074072043424</v>
                </pt>
                <pt idx="81">
                  <v>0.3427053885033839</v>
                </pt>
                <pt idx="82">
                  <v>0.3427018654824074</v>
                </pt>
                <pt idx="83">
                  <v>0.3442015700975571</v>
                </pt>
                <pt idx="84">
                  <v>0.3411986430456088</v>
                </pt>
                <pt idx="85">
                  <v>0.3371951574712762</v>
                </pt>
                <pt idx="86">
                  <v>0.3405959593190603</v>
                </pt>
                <pt idx="87">
                  <v>0.3421933626878202</v>
                </pt>
                <pt idx="88">
                  <v>0.3406913471949999</v>
                </pt>
                <pt idx="89">
                  <v>0.3401899005266639</v>
                </pt>
                <pt idx="90">
                  <v>0.3391881797435564</v>
                </pt>
                <pt idx="91">
                  <v>0.3364855279794682</v>
                </pt>
                <pt idx="92">
                  <v>0.3381829894257852</v>
                </pt>
                <pt idx="93">
                  <v>0.3381818306418177</v>
                </pt>
                <pt idx="94">
                  <v>0.3391812063979386</v>
                </pt>
                <pt idx="95">
                  <v>0.3411811064092241</v>
                </pt>
                <pt idx="96">
                  <v>0.3412799901317818</v>
                </pt>
                <pt idx="97">
                  <v>0.3412764820163852</v>
                </pt>
                <pt idx="98">
                  <v>0.3382737707726572</v>
                </pt>
                <pt idx="99">
                  <v>0.3390730201369877</v>
                </pt>
                <pt idx="100">
                  <v>0.3381714019434507</v>
                </pt>
                <pt idx="101">
                  <v>0.3356689840433368</v>
                </pt>
                <pt idx="102">
                  <v>0.3291600709934283</v>
                </pt>
                <pt idx="103">
                  <v>0.3302594746093148</v>
                </pt>
                <pt idx="104">
                  <v>0.3251558966627836</v>
                </pt>
                <pt idx="105">
                  <v>0.3226513809561335</v>
                </pt>
                <pt idx="106">
                  <v>0.3212496231121344</v>
                </pt>
                <pt idx="107">
                  <v>0.3251503263495109</v>
                </pt>
                <pt idx="108">
                  <v>0.3291510487689556</v>
                </pt>
                <pt idx="109">
                  <v>0.3301503767126808</v>
                </pt>
                <pt idx="110">
                  <v>0.3302470277863432</v>
                </pt>
                <pt idx="111">
                  <v>0.3222423604948761</v>
                </pt>
                <pt idx="112">
                  <v>0.3186396776669225</v>
                </pt>
                <pt idx="113">
                  <v>0.3257416753176895</v>
                </pt>
                <pt idx="114">
                  <v>0.3166366308749666</v>
                </pt>
                <pt idx="115">
                  <v>0.316633376387999</v>
                </pt>
                <pt idx="116">
                  <v>0.3053275683676057</v>
                </pt>
                <pt idx="117">
                  <v>0.2981235374932764</v>
                </pt>
                <pt idx="118">
                  <v>0.3027244072906674</v>
                </pt>
                <pt idx="119">
                  <v>0.3051243486215273</v>
                </pt>
                <pt idx="120">
                  <v>0.309623000918173</v>
                </pt>
                <pt idx="121">
                  <v>0.3130232797163267</v>
                </pt>
                <pt idx="122">
                  <v>0.3167236523848352</v>
                </pt>
                <pt idx="123">
                  <v>0.3161223350132072</v>
                </pt>
                <pt idx="124">
                  <v>0.3217234007564545</v>
                </pt>
                <pt idx="125">
                  <v>0.3276222973644271</v>
                </pt>
                <pt idx="126">
                  <v>0.3275211379551341</v>
                </pt>
                <pt idx="127">
                  <v>0.3152144271550631</v>
                </pt>
                <pt idx="128">
                  <v>0.3121122321382689</v>
                </pt>
                <pt idx="129">
                  <v>0.3082076615804151</v>
                </pt>
                <pt idx="130">
                  <v>0.3070061904973981</v>
                </pt>
                <pt idx="131">
                  <v>0.3050044535799931</v>
                </pt>
                <pt idx="132">
                  <v>0.306099587194464</v>
                </pt>
                <pt idx="133">
                  <v>0.3050982165491631</v>
                </pt>
                <pt idx="134">
                  <v>0.3036967253269021</v>
                </pt>
                <pt idx="135">
                  <v>0.304095811008948</v>
                </pt>
                <pt idx="136">
                  <v>0.3019941146042089</v>
                </pt>
                <pt idx="137">
                  <v>0.3060922469785415</v>
                </pt>
                <pt idx="138">
                  <v>0.3085919434900125</v>
                </pt>
                <pt idx="139">
                  <v>0.3072905033674301</v>
                </pt>
                <pt idx="140">
                  <v>0.3078896254046555</v>
                </pt>
                <pt idx="141">
                  <v>0.3100892037435427</v>
                </pt>
                <pt idx="142">
                  <v>0.3080854620631066</v>
                </pt>
                <pt idx="143">
                  <v>0.3086845711153741</v>
                </pt>
                <pt idx="144">
                  <v>0.3095837572493928</v>
                </pt>
                <pt idx="145">
                  <v>0.3116832578565507</v>
                </pt>
                <pt idx="146">
                  <v>0.3150830869784155</v>
                </pt>
                <pt idx="147">
                  <v>0.3150798490028295</v>
                </pt>
                <pt idx="148">
                  <v>0.320580145036259</v>
                </pt>
                <pt idx="149">
                  <v>0.3220794168425091</v>
                </pt>
                <pt idx="150">
                  <v>0.3175772191183472</v>
                </pt>
                <pt idx="151">
                  <v>0.3200767307231185</v>
                </pt>
                <pt idx="152">
                  <v>0.3200734415088394</v>
                </pt>
                <pt idx="153">
                  <v>0.320172367726952</v>
                </pt>
                <pt idx="154">
                  <v>0.3180708034322709</v>
                </pt>
                <pt idx="155">
                  <v>0.3156691877671818</v>
                </pt>
                <pt idx="156">
                  <v>0.3135676532950603</v>
                </pt>
                <pt idx="157">
                  <v>0.3140645338083168</v>
                </pt>
                <pt idx="158">
                  <v>0.3101626698545254</v>
                </pt>
                <pt idx="159">
                  <v>0.3132622233183304</v>
                </pt>
                <pt idx="160">
                  <v>0.3120609160007262</v>
                </pt>
                <pt idx="161">
                  <v>0.324562244814074</v>
                </pt>
                <pt idx="162">
                  <v>0.3290597265942106</v>
                </pt>
                <pt idx="163">
                  <v>0.3290585994766191</v>
                </pt>
                <pt idx="164">
                  <v>0.329057472366749</v>
                </pt>
                <pt idx="165">
                  <v>0.3280561740023976</v>
                </pt>
                <pt idx="166">
                  <v>0.3225541272336796</v>
                </pt>
                <pt idx="167">
                  <v>0.3345504117058735</v>
                </pt>
                <pt idx="168">
                  <v>0.3380497813034111</v>
                </pt>
                <pt idx="169">
                  <v>0.3350481918632132</v>
                </pt>
                <pt idx="170">
                  <v>0.334044615547967</v>
                </pt>
                <pt idx="171">
                  <v>0.3371438748878279</v>
                </pt>
                <pt idx="172">
                  <v>0.3420433411082912</v>
                </pt>
                <pt idx="173">
                  <v>0.3327410228658328</v>
                </pt>
                <pt idx="174">
                  <v>0.3354402068741116</v>
                </pt>
                <pt idx="175">
                  <v>0.3380370451556335</v>
                </pt>
                <pt idx="176">
                  <v>0.3409361952810059</v>
                </pt>
                <pt idx="177">
                  <v>0.3474356954481625</v>
                </pt>
                <pt idx="178">
                  <v>0.3505348133890009</v>
                </pt>
                <pt idx="179">
                  <v>0.3515337087117943</v>
                </pt>
                <pt idx="180">
                  <v>0.3509300453805977</v>
                </pt>
                <pt idx="181">
                  <v>0.3473285475518536</v>
                </pt>
                <pt idx="182">
                  <v>0.3444271295341756</v>
                </pt>
                <pt idx="183">
                  <v>0.341425723855907</v>
                </pt>
                <pt idx="184">
                  <v>0.3381243171597957</v>
                </pt>
                <pt idx="185">
                  <v>0.3335194172263454</v>
                </pt>
                <pt idx="186">
                  <v>0.3330182475752096</v>
                </pt>
                <pt idx="187">
                  <v>0.329516927239413</v>
                </pt>
                <pt idx="188">
                  <v>0.320615371969889</v>
                </pt>
                <pt idx="189">
                  <v>0.3200120552486566</v>
                </pt>
                <pt idx="190">
                  <v>0.3140107537929381</v>
                </pt>
                <pt idx="191">
                  <v>0.3130096475576302</v>
                </pt>
                <pt idx="192">
                  <v>0.3135085892764186</v>
                </pt>
                <pt idx="193">
                  <v>0.3175076114838369</v>
                </pt>
                <pt idx="194">
                  <v>0.3150043151276045</v>
                </pt>
                <pt idx="195">
                  <v>0.3108031931834916</v>
                </pt>
                <pt idx="196">
                  <v>0.3126021411105556</v>
                </pt>
                <pt idx="197">
                  <v>0.3150010787708177</v>
                </pt>
                <pt idx="198">
                  <v>0.3189967226364113</v>
                </pt>
                <pt idx="199">
                  <v>0.3274955137600855</v>
                </pt>
                <pt idx="200">
                  <v>0.325994417903803</v>
                </pt>
                <pt idx="201">
                  <v>0.3271932768504757</v>
                </pt>
                <pt idx="202">
                  <v>0.3264921731328359</v>
                </pt>
                <pt idx="203">
                  <v>0.3293887195643985</v>
                </pt>
                <pt idx="204">
                  <v>0.3311875237576666</v>
                </pt>
                <pt idx="205">
                  <v>0.3325863320685451</v>
                </pt>
                <pt idx="206">
                  <v>0.3329851753175372</v>
                </pt>
                <pt idx="207">
                  <v>0.3333840158348573</v>
                </pt>
                <pt idx="208">
                  <v>0.3349804977107497</v>
                </pt>
                <pt idx="209">
                  <v>0.3344793814079954</v>
                </pt>
                <pt idx="210">
                  <v>0.3370780668381167</v>
                </pt>
                <pt idx="211">
                  <v>0.3349770563660023</v>
                </pt>
                <pt idx="212">
                  <v>0.3357758517366902</v>
                </pt>
                <pt idx="213">
                  <v>0.3359735363310424</v>
                </pt>
                <pt idx="214">
                  <v>0.3369723036462757</v>
                </pt>
                <pt idx="215">
                  <v>0.3342713808749251</v>
                </pt>
                <pt idx="216">
                  <v>0.3301706012478342</v>
                </pt>
                <pt idx="217">
                  <v>0.3274697202655919</v>
                </pt>
                <pt idx="218">
                  <v>0.3269652879317607</v>
                </pt>
                <pt idx="219">
                  <v>0.3290639381985536</v>
                </pt>
                <pt idx="220">
                  <v>0.3302626757934891</v>
                </pt>
                <pt idx="221">
                  <v>0.3379606484176499</v>
                </pt>
                <pt idx="222">
                  <v>0.3324601503244474</v>
                </pt>
                <pt idx="223">
                  <v>0.3269563311749458</v>
                </pt>
                <pt idx="224">
                  <v>0.3317545541706616</v>
                </pt>
                <pt idx="225">
                  <v>0.3319533901061837</v>
                </pt>
                <pt idx="226">
                  <v>0.3269529725176516</v>
                </pt>
                <pt idx="227">
                  <v>0.3289493057576743</v>
                </pt>
                <pt idx="228">
                  <v>0.3379467618114954</v>
                </pt>
                <pt idx="229">
                  <v>0.3349460874448291</v>
                </pt>
                <pt idx="230">
                  <v>0.3399441187749959</v>
                </pt>
                <pt idx="231">
                  <v>0.341242736664053</v>
                </pt>
                <pt idx="232">
                  <v>0.3499376823305439</v>
                </pt>
                <pt idx="233">
                  <v>0.349936484131305</v>
                </pt>
                <pt idx="234">
                  <v>0.3559341765563903</v>
                </pt>
                <pt idx="235">
                  <v>0.3579325811918987</v>
                </pt>
                <pt idx="236">
                  <v>0.3569315473744761</v>
                </pt>
                <pt idx="237">
                  <v>0.3594273759754023</v>
                </pt>
                <pt idx="238">
                  <v>0.3634253235636513</v>
                </pt>
                <pt idx="239">
                  <v>0.3586250817466214</v>
                </pt>
                <pt idx="240">
                  <v>0.3559244270052249</v>
                </pt>
                <pt idx="241">
                  <v>0.3450255595539318</v>
                </pt>
                <pt idx="242">
                  <v>0.3560195298322982</v>
                </pt>
                <pt idx="243">
                  <v>0.3561182879270852</v>
                </pt>
                <pt idx="244">
                  <v>0.3559171151923525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'g29-41'!$A$2:$A$247</f>
              <strCache>
                <ptCount val="245"/>
                <pt idx="0">
                  <v>16/09/2021</v>
                </pt>
                <pt idx="1">
                  <v>17/09/2021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</strCache>
            </strRef>
          </cat>
          <val>
            <numRef>
              <f>'g29-41'!$B$2:$B$247</f>
              <numCache>
                <formatCode>0.00%</formatCode>
                <ptCount val="245"/>
                <pt idx="0">
                  <v>0.03678138343555937</v>
                </pt>
                <pt idx="1">
                  <v>0.04276118053329447</v>
                </pt>
                <pt idx="2">
                  <v>0.1037536668292869</v>
                </pt>
                <pt idx="3">
                  <v>0.08360735854928097</v>
                </pt>
                <pt idx="4">
                  <v>0.08803109178628055</v>
                </pt>
                <pt idx="5">
                  <v>0.08739217587802117</v>
                </pt>
                <pt idx="6">
                  <v>0.09588886644854122</v>
                </pt>
                <pt idx="7">
                  <v>0.08887713373993383</v>
                </pt>
                <pt idx="8">
                  <v>0.08691213268996034</v>
                </pt>
                <pt idx="9">
                  <v>0.08341062124376908</v>
                </pt>
                <pt idx="10">
                  <v>0.09140305558859357</v>
                </pt>
                <pt idx="11">
                  <v>0.08793292056361246</v>
                </pt>
                <pt idx="12">
                  <v>0.09215238070609372</v>
                </pt>
                <pt idx="13">
                  <v>0.08856546322429149</v>
                </pt>
                <pt idx="14">
                  <v>0.0764741596576462</v>
                </pt>
                <pt idx="15">
                  <v>0.08319001896639827</v>
                </pt>
                <pt idx="16">
                  <v>0.07934842149918264</v>
                </pt>
                <pt idx="17">
                  <v>0.08124499323737744</v>
                </pt>
                <pt idx="18">
                  <v>0.09581626999849963</v>
                </pt>
                <pt idx="19">
                  <v>0.09429276295580102</v>
                </pt>
                <pt idx="20">
                  <v>0.09473157996709552</v>
                </pt>
                <pt idx="21">
                  <v>0.1052291149224613</v>
                </pt>
                <pt idx="22">
                  <v>0.1026895694175374</v>
                </pt>
                <pt idx="23">
                  <v>0.115123929856068</v>
                </pt>
                <pt idx="24">
                  <v>0.09595052072733445</v>
                </pt>
                <pt idx="25">
                  <v>0.09990481391945577</v>
                </pt>
                <pt idx="26">
                  <v>0.1063868394971224</v>
                </pt>
                <pt idx="27">
                  <v>0.1371353518532559</v>
                </pt>
                <pt idx="28">
                  <v>0.151698660204576</v>
                </pt>
                <pt idx="29">
                  <v>0.1390266430213404</v>
                </pt>
                <pt idx="30">
                  <v>0.1128687765951621</v>
                </pt>
                <pt idx="31">
                  <v>0.1451694988987826</v>
                </pt>
                <pt idx="32">
                  <v>0.1334677983500155</v>
                </pt>
                <pt idx="33">
                  <v>0.1329433707715701</v>
                </pt>
                <pt idx="34">
                  <v>0.1150925072120124</v>
                </pt>
                <pt idx="35">
                  <v>0.110172849846154</v>
                </pt>
                <pt idx="36">
                  <v>0.1173087664680334</v>
                </pt>
                <pt idx="37">
                  <v>0.1217634147943457</v>
                </pt>
                <pt idx="38">
                  <v>0.1128910379694901</v>
                </pt>
                <pt idx="39">
                  <v>0.1152819835307431</v>
                </pt>
                <pt idx="40">
                  <v>0.1156992557468683</v>
                </pt>
                <pt idx="41">
                  <v>0.1108667990721734</v>
                </pt>
                <pt idx="42">
                  <v>0.1087563534832835</v>
                </pt>
                <pt idx="43">
                  <v>0.1063427801463448</v>
                </pt>
                <pt idx="44">
                  <v>0.1009900743420118</v>
                </pt>
                <pt idx="45">
                  <v>0.1016615917918302</v>
                </pt>
                <pt idx="46">
                  <v>0.09107424048360802</v>
                </pt>
                <pt idx="47">
                  <v>0.09506629533229355</v>
                </pt>
                <pt idx="48">
                  <v>0.09062434391497998</v>
                </pt>
                <pt idx="49">
                  <v>0.09560066263424277</v>
                </pt>
                <pt idx="50">
                  <v>0.09853796174996937</v>
                </pt>
                <pt idx="51">
                  <v>0.1045282525070977</v>
                </pt>
                <pt idx="52">
                  <v>0.1035161722642554</v>
                </pt>
                <pt idx="53">
                  <v>0.0940249872738031</v>
                </pt>
                <pt idx="54">
                  <v>0.09862059591196426</v>
                </pt>
                <pt idx="55">
                  <v>0.09539549027968158</v>
                </pt>
                <pt idx="56">
                  <v>0.09538447998811805</v>
                </pt>
                <pt idx="57">
                  <v>0.09465723859163805</v>
                </pt>
                <pt idx="58">
                  <v>0.09259089250617775</v>
                </pt>
                <pt idx="59">
                  <v>0.08977799281279902</v>
                </pt>
                <pt idx="60">
                  <v>0.08997689941120446</v>
                </pt>
                <pt idx="61">
                  <v>0.0972798119468774</v>
                </pt>
                <pt idx="62">
                  <v>0.09324602644654589</v>
                </pt>
                <pt idx="63">
                  <v>0.08901133364937008</v>
                </pt>
                <pt idx="64">
                  <v>0.08639817031707381</v>
                </pt>
                <pt idx="65">
                  <v>0.08218587604987404</v>
                </pt>
                <pt idx="66">
                  <v>0.09050151902223691</v>
                </pt>
                <pt idx="67">
                  <v>0.07774002444882222</v>
                </pt>
                <pt idx="68">
                  <v>0.0851576281750549</v>
                </pt>
                <pt idx="69">
                  <v>0.0851028245102507</v>
                </pt>
                <pt idx="70">
                  <v>0.09243278389035348</v>
                </pt>
                <pt idx="71">
                  <v>0.09212694224222134</v>
                </pt>
                <pt idx="72">
                  <v>0.08508627801917579</v>
                </pt>
                <pt idx="73">
                  <v>0.0849616489018063</v>
                </pt>
                <pt idx="74">
                  <v>0.09450355558277984</v>
                </pt>
                <pt idx="75">
                  <v>0.08344820764964683</v>
                </pt>
                <pt idx="76">
                  <v>0.08593906230743809</v>
                </pt>
                <pt idx="77">
                  <v>0.0879124685415219</v>
                </pt>
                <pt idx="78">
                  <v>0.08499609645634937</v>
                </pt>
                <pt idx="79">
                  <v>0.08134864578373513</v>
                </pt>
                <pt idx="80">
                  <v>0.08041469531796785</v>
                </pt>
                <pt idx="81">
                  <v>0.08532160940574451</v>
                </pt>
                <pt idx="82">
                  <v>0.08378933554260892</v>
                </pt>
                <pt idx="83">
                  <v>0.0943303625262939</v>
                </pt>
                <pt idx="84">
                  <v>0.09180872485149028</v>
                </pt>
                <pt idx="85">
                  <v>0.09830912587065621</v>
                </pt>
                <pt idx="86">
                  <v>0.09981744793290204</v>
                </pt>
                <pt idx="87">
                  <v>0.09947949434349029</v>
                </pt>
                <pt idx="88">
                  <v>0.09725872675685721</v>
                </pt>
                <pt idx="89">
                  <v>0.09283960176778733</v>
                </pt>
                <pt idx="90">
                  <v>0.09472993194746804</v>
                </pt>
                <pt idx="91">
                  <v>0.0968203600800846</v>
                </pt>
                <pt idx="92">
                  <v>0.09568755568196857</v>
                </pt>
                <pt idx="93">
                  <v>0.09366629355663042</v>
                </pt>
                <pt idx="94">
                  <v>0.09063523782118943</v>
                </pt>
                <pt idx="95">
                  <v>0.09224422423248929</v>
                </pt>
                <pt idx="96">
                  <v>0.09936587582388284</v>
                </pt>
                <pt idx="97">
                  <v>0.09581691827586253</v>
                </pt>
                <pt idx="98">
                  <v>0.09279305968965706</v>
                </pt>
                <pt idx="99">
                  <v>0.09528366795466603</v>
                </pt>
                <pt idx="100">
                  <v>0.09196240801353128</v>
                </pt>
                <pt idx="101">
                  <v>0.09957864243375125</v>
                </pt>
                <pt idx="102">
                  <v>0.09699614895194347</v>
                </pt>
                <pt idx="103">
                  <v>0.09487776371116868</v>
                </pt>
                <pt idx="104">
                  <v>0.09356695245177227</v>
                </pt>
                <pt idx="105">
                  <v>0.09804376694746908</v>
                </pt>
                <pt idx="106">
                  <v>0.09201074564097433</v>
                </pt>
                <pt idx="107">
                  <v>0.0853875281211911</v>
                </pt>
                <pt idx="108">
                  <v>0.08939517329268515</v>
                </pt>
                <pt idx="109">
                  <v>0.08536688971101586</v>
                </pt>
                <pt idx="110">
                  <v>0.0843354913575361</v>
                </pt>
                <pt idx="111">
                  <v>0.08881164324313545</v>
                </pt>
                <pt idx="112">
                  <v>0.08839355925497072</v>
                </pt>
                <pt idx="113">
                  <v>0.08227006276502941</v>
                </pt>
                <pt idx="114">
                  <v>0.06359438070815382</v>
                </pt>
                <pt idx="115">
                  <v>0.07921088911602886</v>
                </pt>
                <pt idx="116">
                  <v>0.0643507867219314</v>
                </pt>
                <pt idx="117">
                  <v>0.05690040175835143</v>
                </pt>
                <pt idx="118">
                  <v>0.05809754255233635</v>
                </pt>
                <pt idx="119">
                  <v>0.05410391198252645</v>
                </pt>
                <pt idx="120">
                  <v>0.05360090267814854</v>
                </pt>
                <pt idx="121">
                  <v>0.06613199367097855</v>
                </pt>
                <pt idx="122">
                  <v>0.06211671449354922</v>
                </pt>
                <pt idx="123">
                  <v>0.05950424761341677</v>
                </pt>
                <pt idx="124">
                  <v>0.05458744309075897</v>
                </pt>
                <pt idx="125">
                  <v>0.05256795909809758</v>
                </pt>
                <pt idx="126">
                  <v>0.04855664913052143</v>
                </pt>
                <pt idx="127">
                  <v>0.04310471929121917</v>
                </pt>
                <pt idx="128">
                  <v>0.0485044762982611</v>
                </pt>
                <pt idx="129">
                  <v>0.04404986651176568</v>
                </pt>
                <pt idx="130">
                  <v>0.04293990195224084</v>
                </pt>
                <pt idx="131">
                  <v>0.05395237107017686</v>
                </pt>
                <pt idx="132">
                  <v>0.05680533052018211</v>
                </pt>
                <pt idx="133">
                  <v>0.05789296381002645</v>
                </pt>
                <pt idx="134">
                  <v>0.04786236458130511</v>
                </pt>
                <pt idx="135">
                  <v>0.04494352608776686</v>
                </pt>
                <pt idx="136">
                  <v>0.04724073680005542</v>
                </pt>
                <pt idx="137">
                  <v>0.05183188993131721</v>
                </pt>
                <pt idx="138">
                  <v>0.06485347198599117</v>
                </pt>
                <pt idx="139">
                  <v>0.05802716324074081</v>
                </pt>
                <pt idx="140">
                  <v>0.05981395835017672</v>
                </pt>
                <pt idx="141">
                  <v>0.05840213810408684</v>
                </pt>
                <pt idx="142">
                  <v>0.06238231642204339</v>
                </pt>
                <pt idx="143">
                  <v>0.06427392450580749</v>
                </pt>
                <pt idx="144">
                  <v>0.06075663554561828</v>
                </pt>
                <pt idx="145">
                  <v>0.06426296537680315</v>
                </pt>
                <pt idx="146">
                  <v>0.07025381843925904</v>
                </pt>
                <pt idx="147">
                  <v>0.06771930444180568</v>
                </pt>
                <pt idx="148">
                  <v>0.0652071835594169</v>
                </pt>
                <pt idx="149">
                  <v>0.06169401698893212</v>
                </pt>
                <pt idx="150">
                  <v>0.07019410046478991</v>
                </pt>
                <pt idx="151">
                  <v>0.0611703737107005</v>
                </pt>
                <pt idx="152">
                  <v>0.07075280149889895</v>
                </pt>
                <pt idx="153">
                  <v>0.03838896666014452</v>
                </pt>
                <pt idx="154">
                  <v>0.06011826961928662</v>
                </pt>
                <pt idx="155">
                  <v>0.06771732321571888</v>
                </pt>
                <pt idx="156">
                  <v>0.06560115315200604</v>
                </pt>
                <pt idx="157">
                  <v>0.07308410345057598</v>
                </pt>
                <pt idx="158">
                  <v>0.06876384672813013</v>
                </pt>
                <pt idx="159">
                  <v>0.06995966540257087</v>
                </pt>
                <pt idx="160">
                  <v>0.06554256987726187</v>
                </pt>
                <pt idx="161">
                  <v>0.06504356290171959</v>
                </pt>
                <pt idx="162">
                  <v>0.06963050339531623</v>
                </pt>
                <pt idx="163">
                  <v>0.06801457459672089</v>
                </pt>
                <pt idx="164">
                  <v>0.06550239016907305</v>
                </pt>
                <pt idx="165">
                  <v>0.07349629554452802</v>
                </pt>
                <pt idx="166">
                  <v>0.06988575074978948</v>
                </pt>
                <pt idx="167">
                  <v>0.05943771980959861</v>
                </pt>
                <pt idx="168">
                  <v>0.05793166650775045</v>
                </pt>
                <pt idx="169">
                  <v>0.05451114513151806</v>
                </pt>
                <pt idx="170">
                  <v>0.06138725125722205</v>
                </pt>
                <pt idx="171">
                  <v>0.05937978608794564</v>
                </pt>
                <pt idx="172">
                  <v>0.06578035956342665</v>
                </pt>
                <pt idx="173">
                  <v>0.07337014150926863</v>
                </pt>
                <pt idx="174">
                  <v>0.0715590451972532</v>
                </pt>
                <pt idx="175">
                  <v>0.07033286949740086</v>
                </pt>
                <pt idx="176">
                  <v>0.06632314867216715</v>
                </pt>
                <pt idx="177">
                  <v>0.07632454021878116</v>
                </pt>
                <pt idx="178">
                  <v>0.07031311679243685</v>
                </pt>
                <pt idx="179">
                  <v>0.0723085486339306</v>
                </pt>
                <pt idx="180">
                  <v>0.07277760690192131</v>
                </pt>
                <pt idx="181">
                  <v>0.05745803982831443</v>
                </pt>
                <pt idx="182">
                  <v>0.06324497874651203</v>
                </pt>
                <pt idx="183">
                  <v>0.06123205868378601</v>
                </pt>
                <pt idx="184">
                  <v>0.06322215144781335</v>
                </pt>
                <pt idx="185">
                  <v>0.05967532997598801</v>
                </pt>
                <pt idx="186">
                  <v>0.05616270902805387</v>
                </pt>
                <pt idx="187">
                  <v>0.04964896336986196</v>
                </pt>
                <pt idx="188">
                  <v>0.05263682177017298</v>
                </pt>
                <pt idx="189">
                  <v>0.06010909452428814</v>
                </pt>
                <pt idx="190">
                  <v>0.05409657035315751</v>
                </pt>
                <pt idx="191">
                  <v>0.05658709564784459</v>
                </pt>
                <pt idx="192">
                  <v>0.05657827923595632</v>
                </pt>
                <pt idx="193">
                  <v>0.04956782091155598</v>
                </pt>
                <pt idx="194">
                  <v>0.04653856632872388</v>
                </pt>
                <pt idx="195">
                  <v>0.0520291601866299</v>
                </pt>
                <pt idx="196">
                  <v>0.04201893950789837</v>
                </pt>
                <pt idx="197">
                  <v>0.03990949583688058</v>
                </pt>
                <pt idx="198">
                  <v>0.03897144610049963</v>
                </pt>
                <pt idx="199">
                  <v>0.03306185670775913</v>
                </pt>
                <pt idx="200">
                  <v>0.03215211004460955</v>
                </pt>
                <pt idx="201">
                  <v>0.03144254818967784</v>
                </pt>
                <pt idx="202">
                  <v>0.0295326681584227</v>
                </pt>
                <pt idx="203">
                  <v>0.03290324868997263</v>
                </pt>
                <pt idx="204">
                  <v>0.03289094071175958</v>
                </pt>
                <pt idx="205">
                  <v>0.021883926197377</v>
                </pt>
                <pt idx="206">
                  <v>0.02377245928833399</v>
                </pt>
                <pt idx="207">
                  <v>0.02036298340665865</v>
                </pt>
                <pt idx="208">
                  <v>0.02233352155605955</v>
                </pt>
                <pt idx="209">
                  <v>0.0198249663680406</v>
                </pt>
                <pt idx="210">
                  <v>0.02281505274085982</v>
                </pt>
                <pt idx="211">
                  <v>0.02830159384573055</v>
                </pt>
                <pt idx="212">
                  <v>0.02779221895488559</v>
                </pt>
                <pt idx="213">
                  <v>0.02427492376356444</v>
                </pt>
                <pt idx="214">
                  <v>0.02086824154283817</v>
                </pt>
                <pt idx="215">
                  <v>0.02875498163271512</v>
                </pt>
                <pt idx="216">
                  <v>0.03824122891844028</v>
                </pt>
                <pt idx="217">
                  <v>0.03373558075373112</v>
                </pt>
                <pt idx="218">
                  <v>0.02939949953964333</v>
                </pt>
                <pt idx="219">
                  <v>0.02968633391434478</v>
                </pt>
                <pt idx="220">
                  <v>0.02917659821858665</v>
                </pt>
                <pt idx="221">
                  <v>0.02766535453875091</v>
                </pt>
                <pt idx="222">
                  <v>0.03165588128415098</v>
                </pt>
                <pt idx="223">
                  <v>0.0337236968393882</v>
                </pt>
                <pt idx="224">
                  <v>0.03301233599973974</v>
                </pt>
                <pt idx="225">
                  <v>0.03260271266272674</v>
                </pt>
                <pt idx="226">
                  <v>0.02360438493740696</v>
                </pt>
                <pt idx="227">
                  <v>0.02956446832229098</v>
                </pt>
                <pt idx="228">
                  <v>0.03804245280520085</v>
                </pt>
                <pt idx="229">
                  <v>0.04202737628873293</v>
                </pt>
                <pt idx="230">
                  <v>0.04551331293104055</v>
                </pt>
                <pt idx="231">
                  <v>0.0466982958208586</v>
                </pt>
                <pt idx="232">
                  <v>0.04246339720659509</v>
                </pt>
                <pt idx="233">
                  <v>0.03645925728907068</v>
                </pt>
                <pt idx="234">
                  <v>0.0384435320963411</v>
                </pt>
                <pt idx="235">
                  <v>0.04142083306441996</v>
                </pt>
                <pt idx="236">
                  <v>0.02942803336572447</v>
                </pt>
                <pt idx="237">
                  <v>0.03338958030307998</v>
                </pt>
                <pt idx="238">
                  <v>0.03537525299423655</v>
                </pt>
                <pt idx="239">
                  <v>0.03387247109668462</v>
                </pt>
                <pt idx="240">
                  <v>0.02887439057927516</v>
                </pt>
                <pt idx="241">
                  <v>0.02736464305398834</v>
                </pt>
                <pt idx="242">
                  <v>0.03830590999295352</v>
                </pt>
                <pt idx="243">
                  <v>0.03530251452744615</v>
                </pt>
                <pt idx="244">
                  <v>0.04128259528015688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/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'29-38'!$B$2:$B$205</f>
              <numCache>
                <formatCode>General</formatCode>
                <ptCount val="203"/>
                <pt idx="0">
                  <v>0.02976134077750286</v>
                </pt>
                <pt idx="1">
                  <v>0.03422444255221735</v>
                </pt>
                <pt idx="2">
                  <v>0.04053577396650743</v>
                </pt>
                <pt idx="3">
                  <v>0.04610511871305395</v>
                </pt>
                <pt idx="4">
                  <v>0.04448013736170986</v>
                </pt>
                <pt idx="5">
                  <v>0.04387693803083703</v>
                </pt>
                <pt idx="6">
                  <v>0.04180010949917717</v>
                </pt>
                <pt idx="7">
                  <v>0.04937295229945848</v>
                </pt>
                <pt idx="8">
                  <v>0.04505484304389146</v>
                </pt>
                <pt idx="9">
                  <v>0.03875855300192271</v>
                </pt>
                <pt idx="10">
                  <v>0.04181690964380225</v>
                </pt>
                <pt idx="11">
                  <v>0.04518893514861433</v>
                </pt>
                <pt idx="12">
                  <v>0.03776086853851501</v>
                </pt>
                <pt idx="13">
                  <v>0.03667500426782178</v>
                </pt>
                <pt idx="14">
                  <v>0.03610896241511441</v>
                </pt>
                <pt idx="15">
                  <v>0.04047552775507035</v>
                </pt>
                <pt idx="16">
                  <v>0.04205983856001316</v>
                </pt>
                <pt idx="17">
                  <v>0.0414574012733685</v>
                </pt>
                <pt idx="18">
                  <v>0.04183861633909797</v>
                </pt>
                <pt idx="19">
                  <v>0.04374967161342203</v>
                </pt>
                <pt idx="20">
                  <v>0.04189125472107591</v>
                </pt>
                <pt idx="21">
                  <v>0.04114377059158975</v>
                </pt>
                <pt idx="22">
                  <v>0.04461395685536079</v>
                </pt>
                <pt idx="23">
                  <v>0.04788924665135164</v>
                </pt>
                <pt idx="24">
                  <v>0.04940762644628693</v>
                </pt>
                <pt idx="25">
                  <v>0.04167543250904177</v>
                </pt>
                <pt idx="26">
                  <v>0.0469370815221577</v>
                </pt>
                <pt idx="27">
                  <v>0.04628407884882224</v>
                </pt>
                <pt idx="28">
                  <v>0.06658924434411367</v>
                </pt>
                <pt idx="29">
                  <v>0.04814895596839369</v>
                </pt>
                <pt idx="30">
                  <v>0.06670534220664459</v>
                </pt>
                <pt idx="31">
                  <v>0.08378309611621432</v>
                </pt>
                <pt idx="32">
                  <v>0.09645939032089978</v>
                </pt>
                <pt idx="33">
                  <v>0.09201071582179227</v>
                </pt>
                <pt idx="34">
                  <v>0.0772929600313747</v>
                </pt>
                <pt idx="35">
                  <v>0.0822515301993022</v>
                </pt>
                <pt idx="36">
                  <v>0.07924377899437046</v>
                </pt>
                <pt idx="37">
                  <v>0.08377203559958074</v>
                </pt>
                <pt idx="38">
                  <v>0.08305476945677115</v>
                </pt>
                <pt idx="39">
                  <v>0.0807358325451818</v>
                </pt>
                <pt idx="40">
                  <v>0.06918293216373816</v>
                </pt>
                <pt idx="41">
                  <v>0.06614896360577738</v>
                </pt>
                <pt idx="42">
                  <v>0.0525806116754019</v>
                </pt>
                <pt idx="43">
                  <v>0.05592990361804362</v>
                </pt>
                <pt idx="44">
                  <v>0.05459546853513714</v>
                </pt>
                <pt idx="45">
                  <v>0.04652425095371321</v>
                </pt>
                <pt idx="46">
                  <v>0.04348004790942867</v>
                </pt>
                <pt idx="47">
                  <v>0.03539574700034748</v>
                </pt>
                <pt idx="48">
                  <v>0.0364806408204375</v>
                </pt>
                <pt idx="49">
                  <v>0.04837304913894896</v>
                </pt>
                <pt idx="50">
                  <v>0.05630901486520595</v>
                </pt>
                <pt idx="51">
                  <v>0.05929027593826874</v>
                </pt>
                <pt idx="52">
                  <v>0.05706545448362532</v>
                </pt>
                <pt idx="53">
                  <v>0.05278930579227592</v>
                </pt>
                <pt idx="54">
                  <v>0.05135976793166197</v>
                </pt>
                <pt idx="55">
                  <v>0.0400356605482281</v>
                </pt>
                <pt idx="56">
                  <v>0.04633219534754851</v>
                </pt>
                <pt idx="57">
                  <v>0.0485214292926277</v>
                </pt>
                <pt idx="58">
                  <v>0.04786640741578485</v>
                </pt>
                <pt idx="59">
                  <v>0.04987895236478679</v>
                </pt>
                <pt idx="60">
                  <v>0.04815720180464383</v>
                </pt>
                <pt idx="61">
                  <v>0.04893574674072848</v>
                </pt>
                <pt idx="62">
                  <v>0.04960846375171468</v>
                </pt>
                <pt idx="63">
                  <v>0.04478490095298965</v>
                </pt>
                <pt idx="64">
                  <v>0.03877145681120281</v>
                </pt>
                <pt idx="65">
                  <v>0.03696880192752672</v>
                </pt>
                <pt idx="66">
                  <v>0.03806098652422413</v>
                </pt>
                <pt idx="67">
                  <v>0.03855527970912681</v>
                </pt>
                <pt idx="68">
                  <v>0.03894372771928545</v>
                </pt>
                <pt idx="69">
                  <v>0.03438744072413691</v>
                </pt>
                <pt idx="70">
                  <v>0.03748421529451523</v>
                </pt>
                <pt idx="71">
                  <v>0.04347774757867262</v>
                </pt>
                <pt idx="72">
                  <v>0.04318115453443294</v>
                </pt>
                <pt idx="73">
                  <v>0.04536747192114859</v>
                </pt>
                <pt idx="74">
                  <v>0.0430669607525524</v>
                </pt>
                <pt idx="75">
                  <v>0.04304484543317783</v>
                </pt>
                <pt idx="76">
                  <v>0.04031635135670303</v>
                </pt>
                <pt idx="77">
                  <v>0.04558604658903986</v>
                </pt>
                <pt idx="78">
                  <v>0.04778507951133487</v>
                </pt>
                <pt idx="79">
                  <v>0.04495580620693812</v>
                </pt>
                <pt idx="80">
                  <v>0.04713400914332549</v>
                </pt>
                <pt idx="81">
                  <v>0.04551681779984262</v>
                </pt>
                <pt idx="82">
                  <v>0.04468758961821712</v>
                </pt>
                <pt idx="83">
                  <v>0.04518214081592642</v>
                </pt>
                <pt idx="84">
                  <v>0.03775851930846058</v>
                </pt>
                <pt idx="85">
                  <v>0.04054748354225901</v>
                </pt>
                <pt idx="86">
                  <v>0.03964121528952308</v>
                </pt>
                <pt idx="87">
                  <v>0.03550506864399344</v>
                </pt>
                <pt idx="88">
                  <v>0.0362941610871319</v>
                </pt>
                <pt idx="89">
                  <v>0.033282323774593</v>
                </pt>
                <pt idx="90">
                  <v>0.0285547372453992</v>
                </pt>
                <pt idx="91">
                  <v>0.03004979903597982</v>
                </pt>
                <pt idx="92">
                  <v>0.03183050963829182</v>
                </pt>
                <pt idx="93">
                  <v>0.03352433818618611</v>
                </pt>
                <pt idx="94">
                  <v>0.03200438636940706</v>
                </pt>
                <pt idx="95">
                  <v>0.03349101342224897</v>
                </pt>
                <pt idx="96">
                  <v>0.03628282610304207</v>
                </pt>
                <pt idx="97">
                  <v>0.03695671434414766</v>
                </pt>
                <pt idx="98">
                  <v>0.03814474965117232</v>
                </pt>
                <pt idx="99">
                  <v>0.04053414635447133</v>
                </pt>
                <pt idx="100">
                  <v>0.03741185665015095</v>
                </pt>
                <pt idx="101">
                  <v>0.03839923787089844</v>
                </pt>
                <pt idx="102">
                  <v>0.04134229869403921</v>
                </pt>
                <pt idx="103">
                  <v>0.04304245317982719</v>
                </pt>
                <pt idx="104">
                  <v>0.038817394082655</v>
                </pt>
                <pt idx="105">
                  <v>0.03977962094926868</v>
                </pt>
                <pt idx="106">
                  <v>0.03715069597995185</v>
                </pt>
                <pt idx="107">
                  <v>0.03724833262151162</v>
                </pt>
                <pt idx="108">
                  <v>0.03443840745748045</v>
                </pt>
                <pt idx="109">
                  <v>0.03323274310929097</v>
                </pt>
                <pt idx="110">
                  <v>0.0326089395922507</v>
                </pt>
                <pt idx="111">
                  <v>0.03358452129260053</v>
                </pt>
                <pt idx="112">
                  <v>0.04067256348000825</v>
                </pt>
                <pt idx="113">
                  <v>0.04117275432997886</v>
                </pt>
                <pt idx="114">
                  <v>0.04125473398708035</v>
                </pt>
                <pt idx="115">
                  <v>0.03950806971696025</v>
                </pt>
                <pt idx="116">
                  <v>0.0375794448846109</v>
                </pt>
                <pt idx="117">
                  <v>0.03003106088749524</v>
                </pt>
                <pt idx="118">
                  <v>0.03002106474657329</v>
                </pt>
                <pt idx="119">
                  <v>0.02862798824842105</v>
                </pt>
                <pt idx="120">
                  <v>0.02932932947772759</v>
                </pt>
                <pt idx="121">
                  <v>0.02502343386073946</v>
                </pt>
                <pt idx="122">
                  <v>0.02892123730111562</v>
                </pt>
                <pt idx="123">
                  <v>0.02900902475955619</v>
                </pt>
                <pt idx="124">
                  <v>0.02650664929079544</v>
                </pt>
                <pt idx="125">
                  <v>0.02349289514740177</v>
                </pt>
                <pt idx="126">
                  <v>0.02027477878746498</v>
                </pt>
                <pt idx="127">
                  <v>0.01693380011123052</v>
                </pt>
                <pt idx="128">
                  <v>0.01852806309291954</v>
                </pt>
                <pt idx="129">
                  <v>0.01959399899308456</v>
                </pt>
                <pt idx="130">
                  <v>0.01887573550752092</v>
                </pt>
                <pt idx="131">
                  <v>0.02187287532611276</v>
                </pt>
                <pt idx="132">
                  <v>0.02343327965749314</v>
                </pt>
                <pt idx="133">
                  <v>0.02281841388429606</v>
                </pt>
                <pt idx="134">
                  <v>0.03451095064387627</v>
                </pt>
                <pt idx="135">
                  <v>0.02650167548567711</v>
                </pt>
                <pt idx="136">
                  <v>0.02598709360890178</v>
                </pt>
                <pt idx="137">
                  <v>0.02627449254652509</v>
                </pt>
                <pt idx="138">
                  <v>0.02636883468993345</v>
                </pt>
                <pt idx="139">
                  <v>0.02795982547745302</v>
                </pt>
                <pt idx="140">
                  <v>0.026745101742357</v>
                </pt>
                <pt idx="141">
                  <v>0.02673833222685268</v>
                </pt>
                <pt idx="142">
                  <v>0.02771217532346715</v>
                </pt>
                <pt idx="143">
                  <v>0.02570185214698523</v>
                </pt>
                <pt idx="144">
                  <v>0.02669807454107426</v>
                </pt>
                <pt idx="145">
                  <v>0.02469243140750627</v>
                </pt>
                <pt idx="146">
                  <v>0.02748334655758483</v>
                </pt>
                <pt idx="147">
                  <v>0.03156285797300207</v>
                </pt>
                <pt idx="148">
                  <v>0.03145631097153045</v>
                </pt>
                <pt idx="149">
                  <v>0.03015165064128461</v>
                </pt>
                <pt idx="150">
                  <v>0.02963478264816616</v>
                </pt>
                <pt idx="151">
                  <v>0.02852640000833473</v>
                </pt>
                <pt idx="152">
                  <v>0.03179896906681406</v>
                </pt>
                <pt idx="153">
                  <v>0.03158964890912819</v>
                </pt>
                <pt idx="154">
                  <v>0.02787753126325104</v>
                </pt>
                <pt idx="155">
                  <v>0.03076834216537389</v>
                </pt>
                <pt idx="156">
                  <v>0.02905544615921579</v>
                </pt>
                <pt idx="157">
                  <v>0.02913040941077238</v>
                </pt>
                <pt idx="158">
                  <v>0.02891570335889354</v>
                </pt>
                <pt idx="159">
                  <v>0.02961154348139605</v>
                </pt>
                <pt idx="160">
                  <v>0.02970464430962527</v>
                </pt>
                <pt idx="161">
                  <v>0.02970882018100862</v>
                </pt>
                <pt idx="162">
                  <v>0.0289894082765576</v>
                </pt>
                <pt idx="163">
                  <v>0.02547891179172912</v>
                </pt>
                <pt idx="164">
                  <v>0.02346260329781563</v>
                </pt>
                <pt idx="165">
                  <v>0.02085115270738758</v>
                </pt>
                <pt idx="166">
                  <v>0.01903757883547558</v>
                </pt>
                <pt idx="167">
                  <v>0.01160062476745916</v>
                </pt>
                <pt idx="168">
                  <v>0.01489539988078648</v>
                </pt>
                <pt idx="169">
                  <v>0.0135813681533945</v>
                </pt>
                <pt idx="170">
                  <v>0.01385376059131599</v>
                </pt>
                <pt idx="171">
                  <v>0.01084656882681745</v>
                </pt>
                <pt idx="172">
                  <v>0.007841498029911242</v>
                </pt>
                <pt idx="173">
                  <v>0.01273156635424993</v>
                </pt>
                <pt idx="174">
                  <v>0.01072084659886785</v>
                </pt>
                <pt idx="175">
                  <v>0.008994053544844505</v>
                </pt>
                <pt idx="176">
                  <v>0.01228952038568387</v>
                </pt>
                <pt idx="177">
                  <v>0.01178408017493449</v>
                </pt>
                <pt idx="178">
                  <v>0.01197601391675268</v>
                </pt>
                <pt idx="179">
                  <v>0.01266924238682565</v>
                </pt>
                <pt idx="180">
                  <v>0.01173999588372088</v>
                </pt>
                <pt idx="181">
                  <v>0.0147297719119352</v>
                </pt>
                <pt idx="182">
                  <v>0.009718638758113796</v>
                </pt>
                <pt idx="183">
                  <v>0.01360852296950421</v>
                </pt>
                <pt idx="184">
                  <v>0.01329846283836261</v>
                </pt>
                <pt idx="185">
                  <v>0.01295813593218353</v>
                </pt>
                <pt idx="186">
                  <v>0.01214859353514547</v>
                </pt>
                <pt idx="187">
                  <v>0.01063782205617109</v>
                </pt>
                <pt idx="188">
                  <v>0.01262634195645479</v>
                </pt>
                <pt idx="189">
                  <v>0.01249870181522483</v>
                </pt>
                <pt idx="190">
                  <v>0.0137885237306814</v>
                </pt>
                <pt idx="191">
                  <v>0.0135788858206079</v>
                </pt>
                <pt idx="192">
                  <v>0.01006981167391735</v>
                </pt>
                <pt idx="193">
                  <v>0.00776144781093363</v>
                </pt>
                <pt idx="194">
                  <v>0.00743500978456535</v>
                </pt>
                <pt idx="195">
                  <v>0.009026201045214288</v>
                </pt>
                <pt idx="196">
                  <v>-0.000982937303985465</v>
                </pt>
                <pt idx="197">
                  <v>-0.00119148398398361</v>
                </pt>
                <pt idx="198">
                  <v>-0.001625727756677076</v>
                </pt>
                <pt idx="199">
                  <v>-0.004534502588763978</v>
                </pt>
                <pt idx="200">
                  <v>-0.004243551497520814</v>
                </pt>
                <pt idx="201">
                  <v>-0.006352173891591428</v>
                </pt>
                <pt idx="202">
                  <v>-0.008060877239426278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/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'30-41'!$B$2:$B$205</f>
              <numCache>
                <formatCode>General</formatCode>
                <ptCount val="203"/>
                <pt idx="0">
                  <v>0.07888050133355262</v>
                </pt>
                <pt idx="1">
                  <v>0.07988124907868616</v>
                </pt>
                <pt idx="2">
                  <v>0.06967062501714066</v>
                </pt>
                <pt idx="3">
                  <v>0.06906977940042164</v>
                </pt>
                <pt idx="4">
                  <v>0.07107155834984541</v>
                </pt>
                <pt idx="5">
                  <v>0.07527501722607116</v>
                </pt>
                <pt idx="6">
                  <v>0.0764759521442529</v>
                </pt>
                <pt idx="7">
                  <v>0.08007925652443687</v>
                </pt>
                <pt idx="8">
                  <v>0.06556466652040366</v>
                </pt>
                <pt idx="9">
                  <v>0.05205115987288877</v>
                </pt>
                <pt idx="10">
                  <v>0.05405257167930455</v>
                </pt>
                <pt idx="11">
                  <v>0.05635461766026667</v>
                </pt>
                <pt idx="12">
                  <v>0.05585394113493169</v>
                </pt>
                <pt idx="13">
                  <v>0.04904719953105563</v>
                </pt>
                <pt idx="14">
                  <v>0.04304127245303713</v>
                </pt>
                <pt idx="15">
                  <v>0.04404177935918663</v>
                </pt>
                <pt idx="16">
                  <v>0.04464219604831965</v>
                </pt>
                <pt idx="17">
                  <v>0.04904619076184763</v>
                </pt>
                <pt idx="18">
                  <v>0.05204884035019164</v>
                </pt>
                <pt idx="19">
                  <v>0.05234894267585788</v>
                </pt>
                <pt idx="20">
                  <v>0.05495062231987685</v>
                </pt>
                <pt idx="21">
                  <v>0.06255741571030943</v>
                </pt>
                <pt idx="22">
                  <v>0.07907230241350821</v>
                </pt>
                <pt idx="23">
                  <v>0.08397649913962718</v>
                </pt>
                <pt idx="24">
                  <v>0.07556806301566144</v>
                </pt>
                <pt idx="25">
                  <v>0.06585909274760238</v>
                </pt>
                <pt idx="26">
                  <v>0.06355680933985508</v>
                </pt>
                <pt idx="27">
                  <v>0.05504901624734354</v>
                </pt>
                <pt idx="28">
                  <v>0.06005326642467118</v>
                </pt>
                <pt idx="29">
                  <v>0.04834238236261929</v>
                </pt>
                <pt idx="30">
                  <v>0.05224562546059058</v>
                </pt>
                <pt idx="31">
                  <v>0.05014361807873974</v>
                </pt>
                <pt idx="32">
                  <v>0.05094413995688046</v>
                </pt>
                <pt idx="33">
                  <v>0.04553930104062409</v>
                </pt>
                <pt idx="34">
                  <v>0.05044301476258867</v>
                </pt>
                <pt idx="35">
                  <v>0.04363706161397352</v>
                </pt>
                <pt idx="36">
                  <v>0.04393716602742731</v>
                </pt>
                <pt idx="37">
                  <v>0.03382849935219401</v>
                </pt>
                <pt idx="38">
                  <v>0.03412863532758648</v>
                </pt>
                <pt idx="39">
                  <v>0.03602986036372613</v>
                </pt>
                <pt idx="40">
                  <v>0.03202643277499578</v>
                </pt>
                <pt idx="41">
                  <v>0.0381313408280779</v>
                </pt>
                <pt idx="42">
                  <v>0.03823129205068532</v>
                </pt>
                <pt idx="43">
                  <v>0.04013271090820597</v>
                </pt>
                <pt idx="44">
                  <v>0.04083286206364711</v>
                </pt>
                <pt idx="45">
                  <v>0.04383512815064128</v>
                </pt>
                <pt idx="46">
                  <v>0.04093266202140755</v>
                </pt>
                <pt idx="47">
                  <v>0.04183323736667488</v>
                </pt>
                <pt idx="48">
                  <v>0.03853048130541625</v>
                </pt>
                <pt idx="49">
                  <v>0.03852995307996288</v>
                </pt>
                <pt idx="50">
                  <v>0.03803793298887131</v>
                </pt>
                <pt idx="51">
                  <v>0.0410316168280353</v>
                </pt>
                <pt idx="52">
                  <v>0.04013078525992542</v>
                </pt>
                <pt idx="53">
                  <v>0.03612734295477055</v>
                </pt>
                <pt idx="54">
                  <v>0.03882925491808892</v>
                </pt>
                <pt idx="55">
                  <v>0.03952964723542651</v>
                </pt>
                <pt idx="56">
                  <v>0.04143093131173275</v>
                </pt>
                <pt idx="57">
                  <v>0.04133071494912322</v>
                </pt>
                <pt idx="58">
                  <v>0.0465337848026649</v>
                </pt>
                <pt idx="59">
                  <v>0.04923557776338383</v>
                </pt>
                <pt idx="60">
                  <v>0.04933548099660712</v>
                </pt>
                <pt idx="61">
                  <v>0.05533923020771575</v>
                </pt>
                <pt idx="62">
                  <v>0.05233692262349471</v>
                </pt>
                <pt idx="63">
                  <v>0.04983498689148208</v>
                </pt>
                <pt idx="64">
                  <v>0.04793348777913342</v>
                </pt>
                <pt idx="65">
                  <v>0.04723283652676347</v>
                </pt>
                <pt idx="66">
                  <v>0.05193557230980128</v>
                </pt>
                <pt idx="67">
                  <v>0.04763246184899977</v>
                </pt>
                <pt idx="68">
                  <v>0.04923338428112206</v>
                </pt>
                <pt idx="69">
                  <v>0.05203439259510562</v>
                </pt>
                <pt idx="70">
                  <v>0.05183408268450485</v>
                </pt>
                <pt idx="71">
                  <v>0.05043298870151369</v>
                </pt>
                <pt idx="72">
                  <v>0.05753665005791364</v>
                </pt>
                <pt idx="73">
                  <v>0.0575364528896733</v>
                </pt>
                <pt idx="74">
                  <v>0.05503467938701095</v>
                </pt>
                <pt idx="75">
                  <v>0.04702947395114054</v>
                </pt>
                <pt idx="76">
                  <v>0.0490305601436512</v>
                </pt>
                <pt idx="77">
                  <v>0.04542784789305776</v>
                </pt>
                <pt idx="78">
                  <v>0.04342647230160845</v>
                </pt>
                <pt idx="79">
                  <v>0.04732868896557157</v>
                </pt>
                <pt idx="80">
                  <v>0.04952985361039536</v>
                </pt>
                <pt idx="81">
                  <v>0.05043022359290672</v>
                </pt>
                <pt idx="82">
                  <v>0.05002946941349012</v>
                </pt>
                <pt idx="83">
                  <v>0.04942894640354456</v>
                </pt>
                <pt idx="84">
                  <v>0.04872836925607377</v>
                </pt>
                <pt idx="85">
                  <v>0.05293063451106972</v>
                </pt>
                <pt idx="86">
                  <v>0.04992872611639565</v>
                </pt>
                <pt idx="87">
                  <v>0.04992821286000654</v>
                </pt>
                <pt idx="88">
                  <v>0.0498279855809427</v>
                </pt>
                <pt idx="89">
                  <v>0.0454253573056192</v>
                </pt>
                <pt idx="90">
                  <v>0.04572536818371836</v>
                </pt>
                <pt idx="91">
                  <v>0.04652565284283455</v>
                </pt>
                <pt idx="92">
                  <v>0.04492430835863243</v>
                </pt>
                <pt idx="93">
                  <v>0.04422377785316084</v>
                </pt>
                <pt idx="94">
                  <v>0.04432367977412593</v>
                </pt>
                <pt idx="95">
                  <v>0.03952097860165504</v>
                </pt>
                <pt idx="96">
                  <v>0.03872042104397522</v>
                </pt>
                <pt idx="97">
                  <v>0.03952043693827967</v>
                </pt>
                <pt idx="98">
                  <v>0.03841973616583866</v>
                </pt>
                <pt idx="99">
                  <v>0.04022052348629956</v>
                </pt>
                <pt idx="100">
                  <v>0.03501774872195496</v>
                </pt>
                <pt idx="101">
                  <v>0.03051536218575795</v>
                </pt>
                <pt idx="102">
                  <v>0.03291600709934284</v>
                </pt>
                <pt idx="103">
                  <v>0.03891879297880141</v>
                </pt>
                <pt idx="104">
                  <v>0.03191530185705471</v>
                </pt>
                <pt idx="105">
                  <v>0.03611694527912068</v>
                </pt>
                <pt idx="106">
                  <v>0.0301140257106049</v>
                </pt>
                <pt idx="107">
                  <v>0.02981378376989358</v>
                </pt>
                <pt idx="108">
                  <v>0.03271501305393565</v>
                </pt>
                <pt idx="109">
                  <v>0.03681676928189898</v>
                </pt>
                <pt idx="110">
                  <v>0.03581594545516842</v>
                </pt>
                <pt idx="111">
                  <v>0.04041785583357027</v>
                </pt>
                <pt idx="112">
                  <v>0.0418183313233198</v>
                </pt>
                <pt idx="113">
                  <v>0.04081775292678674</v>
                </pt>
                <pt idx="114">
                  <v>0.03491506609016221</v>
                </pt>
                <pt idx="115">
                  <v>0.03701559218437905</v>
                </pt>
                <pt idx="116">
                  <v>0.03161320825824487</v>
                </pt>
                <pt idx="117">
                  <v>0.0209086642067432</v>
                </pt>
                <pt idx="118">
                  <v>0.02010826367000135</v>
                </pt>
                <pt idx="119">
                  <v>0.01890770553753068</v>
                </pt>
                <pt idx="120">
                  <v>0.01510600101410148</v>
                </pt>
                <pt idx="121">
                  <v>0.01910752522397519</v>
                </pt>
                <pt idx="122">
                  <v>0.02050800655050256</v>
                </pt>
                <pt idx="123">
                  <v>0.01870723944540181</v>
                </pt>
                <pt idx="124">
                  <v>0.016706407937291</v>
                </pt>
                <pt idx="125">
                  <v>0.01560582546224443</v>
                </pt>
                <pt idx="126">
                  <v>0.007502774998972228</v>
                </pt>
                <pt idx="127">
                  <v>0.007302650962335622</v>
                </pt>
                <pt idx="128">
                  <v>0.009703489268401311</v>
                </pt>
                <pt idx="129">
                  <v>0.008703040103049731</v>
                </pt>
                <pt idx="130">
                  <v>0.003901349439360879</v>
                </pt>
                <pt idx="131">
                  <v>0.005001712915381984</v>
                </pt>
                <pt idx="132">
                  <v>0.01600520717356674</v>
                </pt>
                <pt idx="133">
                  <v>0.01630524895000446</v>
                </pt>
                <pt idx="134">
                  <v>0.01370436474630621</v>
                </pt>
                <pt idx="135">
                  <v>0.01290406566452446</v>
                </pt>
                <pt idx="136">
                  <v>0.01050327328037159</v>
                </pt>
                <pt idx="137">
                  <v>0.01150346679821312</v>
                </pt>
                <pt idx="138">
                  <v>0.01320393404884335</v>
                </pt>
                <pt idx="139">
                  <v>0.01090321121974286</v>
                </pt>
                <pt idx="140">
                  <v>0.01150334857749685</v>
                </pt>
                <pt idx="141">
                  <v>0.01050302141712001</v>
                </pt>
                <pt idx="142">
                  <v>0.01220338518561653</v>
                </pt>
                <pt idx="143">
                  <v>0.01260345300082211</v>
                </pt>
                <pt idx="144">
                  <v>0.01350365338567627</v>
                </pt>
                <pt idx="145">
                  <v>0.009202458190886553</v>
                </pt>
                <pt idx="146">
                  <v>0.01420374550823339</v>
                </pt>
                <pt idx="147">
                  <v>0.02070524722018596</v>
                </pt>
                <pt idx="148">
                  <v>0.02300575143785943</v>
                </pt>
                <pt idx="149">
                  <v>0.02200542599545097</v>
                </pt>
                <pt idx="150">
                  <v>0.02480603160357486</v>
                </pt>
                <pt idx="151">
                  <v>0.02210529921556531</v>
                </pt>
                <pt idx="152">
                  <v>0.02630603597400777</v>
                </pt>
                <pt idx="153">
                  <v>0.02290517719758578</v>
                </pt>
                <pt idx="154">
                  <v>0.02240498741158137</v>
                </pt>
                <pt idx="155">
                  <v>0.02280499835580407</v>
                </pt>
                <pt idx="156">
                  <v>0.02000431599968483</v>
                </pt>
                <pt idx="157">
                  <v>0.02150441871617453</v>
                </pt>
                <pt idx="158">
                  <v>0.01820367814044621</v>
                </pt>
                <pt idx="159">
                  <v>0.01860369525453681</v>
                </pt>
                <pt idx="160">
                  <v>0.02010392439620057</v>
                </pt>
                <pt idx="161">
                  <v>0.02040391307922074</v>
                </pt>
                <pt idx="162">
                  <v>0.01910346741018065</v>
                </pt>
                <pt idx="163">
                  <v>0.02200391850603534</v>
                </pt>
                <pt idx="164">
                  <v>0.014702567914259</v>
                </pt>
                <pt idx="165">
                  <v>0.01780304846720332</v>
                </pt>
                <pt idx="166">
                  <v>0.0104017454983884</v>
                </pt>
                <pt idx="167">
                  <v>0.007501130307306536</v>
                </pt>
                <pt idx="168">
                  <v>0.004100603856047269</v>
                </pt>
                <pt idx="169">
                  <v>0.007501078922310722</v>
                </pt>
                <pt idx="170">
                  <v>0.009001202215364323</v>
                </pt>
                <pt idx="171">
                  <v>0.00700091107746903</v>
                </pt>
                <pt idx="172">
                  <v>0.009401191246836027</v>
                </pt>
                <pt idx="173">
                  <v>0.01550191119453082</v>
                </pt>
                <pt idx="174">
                  <v>0.01240148647954381</v>
                </pt>
                <pt idx="175">
                  <v>0.01150126041209998</v>
                </pt>
                <pt idx="176">
                  <v>0.0112011891673432</v>
                </pt>
                <pt idx="177">
                  <v>0.01250128437853204</v>
                </pt>
                <pt idx="178">
                  <v>0.00970096345184962</v>
                </pt>
                <pt idx="179">
                  <v>0.006000575397640817</v>
                </pt>
                <pt idx="180">
                  <v>0.00300025687130745</v>
                </pt>
                <pt idx="181">
                  <v>-0.002200180836781085</v>
                </pt>
                <pt idx="182">
                  <v>0.007600598677293069</v>
                </pt>
                <pt idx="183">
                  <v>0.005300399345156137</v>
                </pt>
                <pt idx="184">
                  <v>0.00400028769192301</v>
                </pt>
                <pt idx="185">
                  <v>0.004500262001554844</v>
                </pt>
                <pt idx="186">
                  <v>0.005400295906625052</v>
                </pt>
                <pt idx="187">
                  <v>0.002500128431255022</v>
                </pt>
                <pt idx="188">
                  <v>0.002400115074010389</v>
                </pt>
                <pt idx="189">
                  <v>0.003500131854282218</v>
                </pt>
                <pt idx="190">
                  <v>0.0005000171238740969</v>
                </pt>
                <pt idx="191">
                  <v>0.0003000092468603555</v>
                </pt>
                <pt idx="192">
                  <v>-0.005500150689060013</v>
                </pt>
                <pt idx="193">
                  <v>-0.006900165414924275</v>
                </pt>
                <pt idx="194">
                  <v>-0.01100015068699572</v>
                </pt>
                <pt idx="195">
                  <v>-0.008300085274848656</v>
                </pt>
                <pt idx="196">
                  <v>-0.009400064384002649</v>
                </pt>
                <pt idx="197">
                  <v>-0.01190004075356421</v>
                </pt>
                <pt idx="198">
                  <v>-0.009599901370876296</v>
                </pt>
                <pt idx="199">
                  <v>-0.01249982876946887</v>
                </pt>
                <pt idx="200">
                  <v>-0.01189979623636578</v>
                </pt>
                <pt idx="201">
                  <v>-0.01059978219625624</v>
                </pt>
                <pt idx="202">
                  <v>-0.01179971713006878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190499</colOff>
      <row>1</row>
      <rowOff>28575</rowOff>
    </from>
    <to>
      <col>19</col>
      <colOff>438150</colOff>
      <row>26</row>
      <rowOff>28575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393.813165625" createdVersion="6" refreshedVersion="6" minRefreshableVersion="3" recordCount="203" r:id="rId1">
  <cacheSource type="worksheet">
    <worksheetSource ref="A1:U246" sheet="Paridad usd"/>
  </cacheSource>
  <cacheFields count="21">
    <cacheField name="Fecha" uniqueList="1" numFmtId="14" sqlType="0" hierarchy="0" level="0" databaseField="1">
      <sharedItems count="203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  <cacheField name="g29-41" uniqueList="1" numFmtId="10" sqlType="0" hierarchy="0" level="0" databaseField="1">
      <sharedItems count="0" containsNumber="1" containsSemiMixedTypes="0" containsString="0" minValue="0.0295326681584227" maxValue="0.151698660204576"/>
    </cacheField>
    <cacheField name="30-41" uniqueList="1" numFmtId="10" sqlType="0" hierarchy="0" level="0" databaseField="1">
      <sharedItems count="0" containsNumber="1" containsSemiMixedTypes="0" containsString="0" minValue="-0.01249982876946887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456.75800902778" createdVersion="4" refreshedVersion="6" minRefreshableVersion="3" recordCount="245" r:id="rId1">
  <cacheSource type="worksheet">
    <worksheetSource ref="A1:T246" sheet="Paridad usd"/>
  </cacheSource>
  <cacheFields count="20">
    <cacheField name="Fecha" uniqueList="1" numFmtId="14" sqlType="0" hierarchy="0" level="0" databaseField="1">
      <sharedItems count="248" containsDate="1" containsMixedTypes="1" minDate="2020-09-14T00:00:00" maxDate="2021-09-16T00:00:00"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 u="1"/>
        <d v="2020-12-05T00:00:00" u="1"/>
        <d v="2020-09-14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8.85"/>
    </cacheField>
    <cacheField name="P29" uniqueList="1" numFmtId="10" sqlType="0" hierarchy="0" level="0" databaseField="1">
      <sharedItems count="0" containsNumber="1" containsSemiMixedTypes="0" containsString="0" minValue="0.3506528312259484" maxValue="0.4924939233233897"/>
    </cacheField>
    <cacheField name="GD29d" uniqueList="1" numFmtId="2" sqlType="0" hierarchy="0" level="0" databaseField="1">
      <sharedItems count="0" containsNumber="1" containsSemiMixedTypes="0" containsString="0" minValue="36.61" maxValue="51"/>
    </cacheField>
    <cacheField name="PG29" uniqueList="1" numFmtId="10" sqlType="0" hierarchy="0" level="0" databaseField="1">
      <sharedItems count="0" containsNumber="1" containsSemiMixedTypes="0" containsString="0" minValue="0.3667631882307735" maxValue="0.5141697050049718"/>
    </cacheField>
    <cacheField name="AL30D" uniqueList="1" numFmtId="2" sqlType="0" hierarchy="0" level="0" databaseField="1">
      <sharedItems count="0" containsNumber="1" containsSemiMixedTypes="0" containsString="0" minValue="33.51" maxValue="47.96"/>
    </cacheField>
    <cacheField name="P30" uniqueList="1" numFmtId="10" sqlType="0" hierarchy="0" level="0" databaseField="1">
      <sharedItems count="0" containsNumber="1" containsSemiMixedTypes="0" containsString="0" minValue="0.3352377689461422" maxValue="0.4800866631928256"/>
    </cacheField>
    <cacheField name="GD30D" uniqueList="1" numFmtId="2" sqlType="0" hierarchy="0" level="0" databaseField="1">
      <sharedItems count="0" containsBlank="1" containsNumber="1" containsString="0" minValue="34.39" maxValue="41.57"/>
    </cacheField>
    <cacheField name="PG30" uniqueList="1" numFmtId="10" sqlType="0" hierarchy="0" level="0" databaseField="1">
      <sharedItems count="0" containsNumber="1" containsSemiMixedTypes="0" containsString="0" minValue="0" maxValue="0.4151654034530878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251707210048"/>
    </cacheField>
    <cacheField name="AE38D" uniqueList="1" numFmtId="0" sqlType="0" hierarchy="0" level="0" databaseField="1">
      <sharedItems count="0" containsNumber="1" containsSemiMixedTypes="0" containsString="0" minValue="32.05" maxValue="45.15"/>
    </cacheField>
    <cacheField name="P38" uniqueList="1" numFmtId="10" sqlType="0" hierarchy="0" level="0" databaseField="1">
      <sharedItems count="0" containsNumber="1" containsSemiMixedTypes="0" containsString="0" minValue="0.3206317664793751" maxValue="0.4519581493568823"/>
    </cacheField>
    <cacheField name="AL41D" uniqueList="1" numFmtId="2" sqlType="0" hierarchy="0" level="0" databaseField="1">
      <sharedItems count="0" containsNumber="1" containsSemiMixedTypes="0" containsString="0" minValue="31.42" maxValue="41"/>
    </cacheField>
    <cacheField name="P41" uniqueList="1" numFmtId="10" sqlType="0" hierarchy="0" level="0" databaseField="1">
      <sharedItems count="0" containsNumber="1" containsSemiMixedTypes="0" containsString="0" minValue="0.3143302532898907" maxValue="0.4104160381756849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6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6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Records1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2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3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4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5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05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03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 dinámica1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48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49">
        <item t="data" sd="1" x="1"/>
        <item t="data" sd="1" x="0"/>
        <item t="data" sd="1" m="1" x="247"/>
        <item t="data" sd="1" m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m="1" x="246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6">
    <i t="data" r="0" i="0">
      <x v="0"/>
    </i>
    <i t="data" r="0" i="0">
      <x v="1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4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7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49">
        <item t="data" sd="1" x="1"/>
        <item t="data" sd="1" x="0"/>
        <item t="data" sd="1" m="1" x="247"/>
        <item t="data" sd="1" m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m="1" x="246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6">
    <i t="data" r="0" i="0">
      <x v="0"/>
    </i>
    <i t="data" r="0" i="0">
      <x v="1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Dinámica3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 dinámica2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Dinámica4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 dinámica7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04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04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B8" sqref="B8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2" workbookViewId="0">
      <selection activeCell="E40" sqref="E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usd'!B49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usd'!D49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usd'!F49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usd'!J49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usd'!L49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usd'!N49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44088</v>
      </c>
    </row>
    <row r="3">
      <c r="A3" s="36" t="n">
        <v>44089</v>
      </c>
    </row>
    <row r="4">
      <c r="A4" s="36" t="n">
        <v>44090</v>
      </c>
    </row>
    <row r="5">
      <c r="A5" s="36" t="n">
        <v>44091</v>
      </c>
    </row>
    <row r="6">
      <c r="A6" s="36" t="n">
        <v>44092</v>
      </c>
    </row>
    <row r="7">
      <c r="A7" s="36" t="n">
        <v>44095</v>
      </c>
    </row>
    <row r="8">
      <c r="A8" s="36" t="n">
        <v>44096</v>
      </c>
    </row>
    <row r="9">
      <c r="A9" s="36" t="n">
        <v>44097</v>
      </c>
    </row>
    <row r="10">
      <c r="A10" s="36" t="n">
        <v>44098</v>
      </c>
    </row>
    <row r="11">
      <c r="A11" s="36" t="n">
        <v>44099</v>
      </c>
    </row>
    <row r="12">
      <c r="A12" s="36" t="n">
        <v>44102</v>
      </c>
    </row>
    <row r="13">
      <c r="A13" s="36" t="n">
        <v>44103</v>
      </c>
    </row>
    <row r="14">
      <c r="A14" s="36" t="n">
        <v>44104</v>
      </c>
    </row>
    <row r="15">
      <c r="A15" s="36" t="n">
        <v>44105</v>
      </c>
    </row>
    <row r="16">
      <c r="A16" s="36" t="n">
        <v>44106</v>
      </c>
    </row>
    <row r="17">
      <c r="A17" s="36" t="n">
        <v>44109</v>
      </c>
    </row>
    <row r="18">
      <c r="A18" s="36" t="n">
        <v>44110</v>
      </c>
    </row>
    <row r="19">
      <c r="A19" s="36" t="n">
        <v>44111</v>
      </c>
    </row>
    <row r="20">
      <c r="A20" s="36" t="n">
        <v>44112</v>
      </c>
    </row>
    <row r="21">
      <c r="A21" s="36" t="n">
        <v>44113</v>
      </c>
    </row>
    <row r="22">
      <c r="A22" s="36" t="n">
        <v>44117</v>
      </c>
    </row>
    <row r="23">
      <c r="A23" s="36" t="n">
        <v>44118</v>
      </c>
    </row>
    <row r="24">
      <c r="A24" s="36" t="n">
        <v>44119</v>
      </c>
    </row>
    <row r="25">
      <c r="A25" s="36" t="n">
        <v>44120</v>
      </c>
    </row>
    <row r="26">
      <c r="A26" s="36" t="n">
        <v>44123</v>
      </c>
    </row>
    <row r="27">
      <c r="A27" s="36" t="n">
        <v>44124</v>
      </c>
    </row>
    <row r="28">
      <c r="A28" s="36" t="n">
        <v>44125</v>
      </c>
    </row>
    <row r="29">
      <c r="A29" s="36" t="n">
        <v>44126</v>
      </c>
    </row>
    <row r="30">
      <c r="A30" s="36" t="n">
        <v>44127</v>
      </c>
    </row>
    <row r="31">
      <c r="A31" s="36" t="n">
        <v>44130</v>
      </c>
    </row>
    <row r="32">
      <c r="A32" s="36" t="n">
        <v>44131</v>
      </c>
    </row>
    <row r="33">
      <c r="A33" s="36" t="n">
        <v>44132</v>
      </c>
    </row>
    <row r="34">
      <c r="A34" s="36" t="n">
        <v>44133</v>
      </c>
    </row>
    <row r="35">
      <c r="A35" s="36" t="n">
        <v>44134</v>
      </c>
    </row>
    <row r="36">
      <c r="A36" s="36" t="n">
        <v>44137</v>
      </c>
    </row>
    <row r="37">
      <c r="A37" s="36" t="n">
        <v>44138</v>
      </c>
    </row>
    <row r="38">
      <c r="A38" s="36" t="n">
        <v>44139</v>
      </c>
    </row>
    <row r="39">
      <c r="A39" s="36" t="n">
        <v>44140</v>
      </c>
    </row>
    <row r="40">
      <c r="A40" s="36" t="n">
        <v>44141</v>
      </c>
    </row>
    <row r="41">
      <c r="A41" s="36" t="n">
        <v>44144</v>
      </c>
    </row>
    <row r="42">
      <c r="A42" s="36" t="n">
        <v>44145</v>
      </c>
    </row>
    <row r="43">
      <c r="A43" s="36" t="n">
        <v>44146</v>
      </c>
    </row>
    <row r="44">
      <c r="A44" s="36" t="n">
        <v>44147</v>
      </c>
    </row>
    <row r="45">
      <c r="A45" s="36" t="n">
        <v>44148</v>
      </c>
    </row>
    <row r="46">
      <c r="A46" s="36" t="n">
        <v>44151</v>
      </c>
    </row>
    <row r="47">
      <c r="A47" s="36" t="n">
        <v>44152</v>
      </c>
    </row>
    <row r="48">
      <c r="A48" s="36" t="n">
        <v>44153</v>
      </c>
    </row>
    <row r="49">
      <c r="A49" s="36" t="n">
        <v>44154</v>
      </c>
    </row>
    <row r="50">
      <c r="A50" s="36" t="n">
        <v>44155</v>
      </c>
    </row>
    <row r="51">
      <c r="A51" s="36" t="n">
        <v>44159</v>
      </c>
    </row>
    <row r="52">
      <c r="A52" s="36" t="n">
        <v>44160</v>
      </c>
    </row>
    <row r="53">
      <c r="A53" s="36" t="n">
        <v>44161</v>
      </c>
    </row>
    <row r="54">
      <c r="A54" s="36" t="n">
        <v>44162</v>
      </c>
    </row>
    <row r="55">
      <c r="A55" s="36" t="n">
        <v>44165</v>
      </c>
    </row>
    <row r="56">
      <c r="A56" s="36" t="n">
        <v>44166</v>
      </c>
    </row>
    <row r="57">
      <c r="A57" s="36" t="n">
        <v>44167</v>
      </c>
    </row>
    <row r="58">
      <c r="A58" s="36" t="n">
        <v>44168</v>
      </c>
    </row>
    <row r="59">
      <c r="A59" s="36" t="n">
        <v>44169</v>
      </c>
    </row>
    <row r="60">
      <c r="A60" s="36" t="n">
        <v>44174</v>
      </c>
    </row>
    <row r="61">
      <c r="A61" s="36" t="n">
        <v>44175</v>
      </c>
    </row>
    <row r="62">
      <c r="A62" s="36" t="n">
        <v>44176</v>
      </c>
    </row>
    <row r="63">
      <c r="A63" s="36" t="n">
        <v>44179</v>
      </c>
    </row>
    <row r="64">
      <c r="A64" s="36" t="n">
        <v>44180</v>
      </c>
    </row>
    <row r="65">
      <c r="A65" s="36" t="n">
        <v>44181</v>
      </c>
    </row>
    <row r="66">
      <c r="A66" s="36" t="n">
        <v>44182</v>
      </c>
    </row>
    <row r="67">
      <c r="A67" s="36" t="n">
        <v>44183</v>
      </c>
    </row>
    <row r="68">
      <c r="A68" s="36" t="n">
        <v>44186</v>
      </c>
    </row>
    <row r="69">
      <c r="A69" s="36" t="n">
        <v>44187</v>
      </c>
    </row>
    <row r="70">
      <c r="A70" s="36" t="n">
        <v>44188</v>
      </c>
    </row>
    <row r="71">
      <c r="A71" s="36" t="n">
        <v>44193</v>
      </c>
    </row>
    <row r="72">
      <c r="A72" s="36" t="n">
        <v>44194</v>
      </c>
    </row>
    <row r="73">
      <c r="A73" s="36" t="n">
        <v>44195</v>
      </c>
    </row>
    <row r="74">
      <c r="A74" s="36" t="n">
        <v>44200</v>
      </c>
    </row>
    <row r="75">
      <c r="A75" s="36" t="n">
        <v>44201</v>
      </c>
    </row>
    <row r="76">
      <c r="A76" s="36" t="n">
        <v>44202</v>
      </c>
    </row>
    <row r="77">
      <c r="A77" s="36" t="n">
        <v>44203</v>
      </c>
    </row>
    <row r="78">
      <c r="A78" s="36" t="n">
        <v>44204</v>
      </c>
    </row>
    <row r="79">
      <c r="A79" s="36" t="n">
        <v>44207</v>
      </c>
    </row>
    <row r="80">
      <c r="A80" s="36" t="n">
        <v>44208</v>
      </c>
    </row>
    <row r="81">
      <c r="A81" s="36" t="n">
        <v>44209</v>
      </c>
    </row>
    <row r="82">
      <c r="A82" s="36" t="n">
        <v>44210</v>
      </c>
    </row>
    <row r="83">
      <c r="A83" s="36" t="n">
        <v>44211</v>
      </c>
    </row>
    <row r="84">
      <c r="A84" s="36" t="n">
        <v>44214</v>
      </c>
    </row>
    <row r="85">
      <c r="A85" s="36" t="n">
        <v>44215</v>
      </c>
    </row>
    <row r="86">
      <c r="A86" s="36" t="n">
        <v>44216</v>
      </c>
    </row>
    <row r="87">
      <c r="A87" s="36" t="n">
        <v>44217</v>
      </c>
    </row>
    <row r="88">
      <c r="A88" s="36" t="n">
        <v>44218</v>
      </c>
    </row>
    <row r="89">
      <c r="A89" s="36" t="n">
        <v>44221</v>
      </c>
    </row>
    <row r="90">
      <c r="A90" s="36" t="n">
        <v>44222</v>
      </c>
    </row>
    <row r="91">
      <c r="A91" s="36" t="n">
        <v>44223</v>
      </c>
    </row>
    <row r="92">
      <c r="A92" s="36" t="n">
        <v>44224</v>
      </c>
    </row>
    <row r="93">
      <c r="A93" s="36" t="n">
        <v>44225</v>
      </c>
    </row>
    <row r="94">
      <c r="A94" s="36" t="n">
        <v>44228</v>
      </c>
    </row>
    <row r="95">
      <c r="A95" s="36" t="n">
        <v>44229</v>
      </c>
    </row>
    <row r="96">
      <c r="A96" s="36" t="n">
        <v>44230</v>
      </c>
    </row>
    <row r="97">
      <c r="A97" s="36" t="n">
        <v>44231</v>
      </c>
    </row>
    <row r="98">
      <c r="A98" s="36" t="n">
        <v>44232</v>
      </c>
    </row>
    <row r="99">
      <c r="A99" s="36" t="n">
        <v>44235</v>
      </c>
    </row>
    <row r="100">
      <c r="A100" s="36" t="n">
        <v>44236</v>
      </c>
    </row>
    <row r="101">
      <c r="A101" s="36" t="n">
        <v>44237</v>
      </c>
    </row>
    <row r="102">
      <c r="A102" s="36" t="n">
        <v>44238</v>
      </c>
    </row>
    <row r="103">
      <c r="A103" s="36" t="n">
        <v>44239</v>
      </c>
    </row>
    <row r="104">
      <c r="A104" s="36" t="n">
        <v>44244</v>
      </c>
    </row>
    <row r="105">
      <c r="A105" s="36" t="n">
        <v>44245</v>
      </c>
    </row>
    <row r="106">
      <c r="A106" s="36" t="n">
        <v>44246</v>
      </c>
    </row>
    <row r="107">
      <c r="A107" s="36" t="n">
        <v>44249</v>
      </c>
    </row>
    <row r="108">
      <c r="A108" s="36" t="n">
        <v>44250</v>
      </c>
    </row>
    <row r="109">
      <c r="A109" s="36" t="n">
        <v>44251</v>
      </c>
    </row>
    <row r="110">
      <c r="A110" s="36" t="n">
        <v>44252</v>
      </c>
    </row>
    <row r="111">
      <c r="A111" s="36" t="n">
        <v>44253</v>
      </c>
    </row>
    <row r="112">
      <c r="A112" s="36" t="n">
        <v>44256</v>
      </c>
    </row>
    <row r="113">
      <c r="A113" s="36" t="n">
        <v>44257</v>
      </c>
    </row>
    <row r="114">
      <c r="A114" s="36" t="n">
        <v>44258</v>
      </c>
    </row>
    <row r="115">
      <c r="A115" s="36" t="n">
        <v>44259</v>
      </c>
    </row>
    <row r="116">
      <c r="A116" s="36" t="n">
        <v>44260</v>
      </c>
    </row>
    <row r="117">
      <c r="A117" s="36" t="n">
        <v>44263</v>
      </c>
    </row>
    <row r="118">
      <c r="A118" s="36" t="n">
        <v>44264</v>
      </c>
    </row>
    <row r="119">
      <c r="A119" s="36" t="n">
        <v>44265</v>
      </c>
    </row>
    <row r="120">
      <c r="A120" s="36" t="n">
        <v>44266</v>
      </c>
    </row>
    <row r="121">
      <c r="A121" s="36" t="n">
        <v>44267</v>
      </c>
    </row>
    <row r="122">
      <c r="A122" s="36" t="n">
        <v>44270</v>
      </c>
    </row>
    <row r="123">
      <c r="A123" s="36" t="n">
        <v>44271</v>
      </c>
    </row>
    <row r="124">
      <c r="A124" s="36" t="n">
        <v>44272</v>
      </c>
    </row>
    <row r="125">
      <c r="A125" s="36" t="n">
        <v>44273</v>
      </c>
    </row>
    <row r="126">
      <c r="A126" s="36" t="n">
        <v>44274</v>
      </c>
    </row>
    <row r="127">
      <c r="A127" s="36" t="n">
        <v>44277</v>
      </c>
    </row>
    <row r="128">
      <c r="A128" s="36" t="n">
        <v>44278</v>
      </c>
    </row>
    <row r="129">
      <c r="A129" s="36" t="n">
        <v>44280</v>
      </c>
    </row>
    <row r="130">
      <c r="A130" s="36" t="n">
        <v>44281</v>
      </c>
    </row>
    <row r="131">
      <c r="A131" s="36" t="n">
        <v>44284</v>
      </c>
    </row>
    <row r="132">
      <c r="A132" s="36" t="n">
        <v>44285</v>
      </c>
    </row>
    <row r="133">
      <c r="A133" s="36" t="n">
        <v>44286</v>
      </c>
    </row>
    <row r="134">
      <c r="A134" s="36" t="n">
        <v>44291</v>
      </c>
    </row>
    <row r="135">
      <c r="A135" s="36" t="n">
        <v>44292</v>
      </c>
    </row>
    <row r="136">
      <c r="A136" s="36" t="n">
        <v>44293</v>
      </c>
    </row>
    <row r="137">
      <c r="A137" s="36" t="n">
        <v>44294</v>
      </c>
    </row>
    <row r="138">
      <c r="A138" s="36" t="n">
        <v>44295</v>
      </c>
    </row>
    <row r="139">
      <c r="A139" s="36" t="n">
        <v>44298</v>
      </c>
    </row>
    <row r="140">
      <c r="A140" s="36" t="n">
        <v>44299</v>
      </c>
    </row>
    <row r="141">
      <c r="A141" s="36" t="n">
        <v>44300</v>
      </c>
    </row>
    <row r="142">
      <c r="A142" s="36" t="n">
        <v>44301</v>
      </c>
    </row>
    <row r="143">
      <c r="A143" s="36" t="n">
        <v>44302</v>
      </c>
    </row>
    <row r="144">
      <c r="A144" s="36" t="n">
        <v>44305</v>
      </c>
    </row>
    <row r="145">
      <c r="A145" s="36" t="n">
        <v>44306</v>
      </c>
    </row>
    <row r="146">
      <c r="A146" s="36" t="n">
        <v>44307</v>
      </c>
    </row>
    <row r="147">
      <c r="A147" s="36" t="n">
        <v>44308</v>
      </c>
    </row>
    <row r="148">
      <c r="A148" s="36" t="n">
        <v>44309</v>
      </c>
    </row>
    <row r="149">
      <c r="A149" s="36" t="n">
        <v>44312</v>
      </c>
    </row>
    <row r="150">
      <c r="A150" s="36" t="n">
        <v>44313</v>
      </c>
    </row>
    <row r="151">
      <c r="A151" s="36" t="n">
        <v>44314</v>
      </c>
    </row>
    <row r="152">
      <c r="A152" s="36" t="n">
        <v>44315</v>
      </c>
    </row>
    <row r="153">
      <c r="A153" s="36" t="n">
        <v>44316</v>
      </c>
    </row>
    <row r="154">
      <c r="A154" s="36" t="n">
        <v>44319</v>
      </c>
    </row>
    <row r="155">
      <c r="A155" s="36" t="n">
        <v>44320</v>
      </c>
    </row>
    <row r="156">
      <c r="A156" s="36" t="n">
        <v>44321</v>
      </c>
    </row>
    <row r="157">
      <c r="A157" s="36" t="n">
        <v>44322</v>
      </c>
    </row>
    <row r="158">
      <c r="A158" s="36" t="n">
        <v>44323</v>
      </c>
    </row>
    <row r="159">
      <c r="A159" s="36" t="n">
        <v>44326</v>
      </c>
    </row>
    <row r="160">
      <c r="A160" s="36" t="n">
        <v>44327</v>
      </c>
    </row>
    <row r="161">
      <c r="A161" s="36" t="n">
        <v>44328</v>
      </c>
    </row>
    <row r="162">
      <c r="A162" s="36" t="n">
        <v>44329</v>
      </c>
    </row>
    <row r="163">
      <c r="A163" s="36" t="n">
        <v>44330</v>
      </c>
    </row>
    <row r="164">
      <c r="A164" s="36" t="n">
        <v>44333</v>
      </c>
    </row>
    <row r="165">
      <c r="A165" s="36" t="n">
        <v>44334</v>
      </c>
    </row>
    <row r="166">
      <c r="A166" s="36" t="n">
        <v>44335</v>
      </c>
    </row>
    <row r="167">
      <c r="A167" s="36" t="n">
        <v>44336</v>
      </c>
    </row>
    <row r="168">
      <c r="A168" s="36" t="n">
        <v>44337</v>
      </c>
    </row>
    <row r="169">
      <c r="A169" s="36" t="n">
        <v>44342</v>
      </c>
    </row>
    <row r="170">
      <c r="A170" s="36" t="n">
        <v>44343</v>
      </c>
    </row>
    <row r="171">
      <c r="A171" s="36" t="n">
        <v>44344</v>
      </c>
    </row>
    <row r="172">
      <c r="A172" s="36" t="n">
        <v>44347</v>
      </c>
    </row>
    <row r="173">
      <c r="A173" s="36" t="n">
        <v>44348</v>
      </c>
    </row>
    <row r="174">
      <c r="A174" s="36" t="n">
        <v>44349</v>
      </c>
    </row>
    <row r="175">
      <c r="A175" s="36" t="n">
        <v>44350</v>
      </c>
    </row>
    <row r="176">
      <c r="A176" s="36" t="n">
        <v>44351</v>
      </c>
    </row>
    <row r="177">
      <c r="A177" s="36" t="n">
        <v>44354</v>
      </c>
    </row>
    <row r="178">
      <c r="A178" s="36" t="n">
        <v>44355</v>
      </c>
    </row>
    <row r="179">
      <c r="A179" s="36" t="n">
        <v>44356</v>
      </c>
    </row>
    <row r="180">
      <c r="A180" s="36" t="n">
        <v>44357</v>
      </c>
    </row>
    <row r="181">
      <c r="A181" s="36" t="n">
        <v>44358</v>
      </c>
    </row>
    <row r="182">
      <c r="A182" s="36" t="n">
        <v>44361</v>
      </c>
    </row>
    <row r="183">
      <c r="A183" s="36" t="n">
        <v>44362</v>
      </c>
    </row>
    <row r="184">
      <c r="A184" s="36" t="n">
        <v>44363</v>
      </c>
    </row>
    <row r="185">
      <c r="A185" s="36" t="n">
        <v>44364</v>
      </c>
    </row>
    <row r="186">
      <c r="A186" s="36" t="n">
        <v>44365</v>
      </c>
    </row>
    <row r="187">
      <c r="A187" s="36" t="n">
        <v>44369</v>
      </c>
    </row>
    <row r="188">
      <c r="A188" s="36" t="n">
        <v>44370</v>
      </c>
    </row>
    <row r="189">
      <c r="A189" s="36" t="n">
        <v>44371</v>
      </c>
    </row>
    <row r="190">
      <c r="A190" s="36" t="n">
        <v>44372</v>
      </c>
    </row>
    <row r="191">
      <c r="A191" s="36" t="n">
        <v>44375</v>
      </c>
    </row>
    <row r="192">
      <c r="A192" s="36" t="n">
        <v>44376</v>
      </c>
    </row>
    <row r="193">
      <c r="A193" s="36" t="n">
        <v>44377</v>
      </c>
    </row>
    <row r="194">
      <c r="A194" s="36" t="n">
        <v>44378</v>
      </c>
    </row>
    <row r="195">
      <c r="A195" s="36" t="n">
        <v>44379</v>
      </c>
    </row>
    <row r="196">
      <c r="A196" s="36" t="n">
        <v>44382</v>
      </c>
    </row>
    <row r="197">
      <c r="A197" s="36" t="n">
        <v>44383</v>
      </c>
    </row>
    <row r="198">
      <c r="A198" s="36" t="n">
        <v>44384</v>
      </c>
    </row>
    <row r="199">
      <c r="A199" s="36" t="n">
        <v>44385</v>
      </c>
    </row>
    <row r="200">
      <c r="A200" s="36" t="n">
        <v>44389</v>
      </c>
    </row>
    <row r="201">
      <c r="A201" s="36" t="n">
        <v>44390</v>
      </c>
    </row>
    <row r="202">
      <c r="A202" s="36" t="n">
        <v>44391</v>
      </c>
    </row>
    <row r="203">
      <c r="A203" s="36" t="n">
        <v>44392</v>
      </c>
    </row>
    <row r="204">
      <c r="A204" s="36" t="n">
        <v>44393</v>
      </c>
    </row>
    <row r="205">
      <c r="A205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8">
    <outlinePr summaryBelow="1" summaryRight="1"/>
    <pageSetUpPr/>
  </sheetPr>
  <dimension ref="A1:Y258"/>
  <sheetViews>
    <sheetView tabSelected="1" zoomScaleNormal="100" workbookViewId="0">
      <pane xSplit="1" topLeftCell="B1" activePane="topRight" state="frozen"/>
      <selection pane="topRight" activeCell="L2" sqref="L2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inlineStr">
        <is>
          <t>24/09/2021</t>
        </is>
      </c>
      <c r="B2" s="66" t="n">
        <v>38.56</v>
      </c>
      <c r="C2" s="67">
        <f>myParidad('Flujo de Fondos'!$B$5,A2,B2,'Flujo de Fondos'!$B$7,'Flujo de Fondos'!$B$6)</f>
        <v/>
      </c>
      <c r="D2" s="66" t="n">
        <v>40.9</v>
      </c>
      <c r="E2" s="75">
        <f>myParidad('Flujo de Fondos'!$H$5,$A2,D2,'Flujo de Fondos'!$H$7,'Flujo de Fondos'!$H$6)</f>
        <v/>
      </c>
      <c r="F2" s="66" t="n">
        <v>37.36</v>
      </c>
      <c r="G2" s="67">
        <f>myParidad('Flujo de Fondos'!$N$5,$A2,F2,'Flujo de Fondos'!$N$7,'Flujo de Fondos'!$N$6)</f>
        <v/>
      </c>
      <c r="H2" s="68" t="n">
        <v>38.6</v>
      </c>
      <c r="I2" s="67">
        <f>myParidad('Flujo de Fondos'!$T$5,$A2,H2,'Flujo de Fondos'!$T$7,'Flujo de Fondos'!$T$6)</f>
        <v/>
      </c>
      <c r="J2" s="68" t="n">
        <v>34.44</v>
      </c>
      <c r="K2" s="67">
        <f>myParidad('Flujo de Fondos'!$B$34,$A2,J2,'Flujo de Fondos'!$B$36,'Flujo de Fondos'!$B$35)</f>
        <v/>
      </c>
      <c r="L2" s="66" t="n">
        <v>37.35</v>
      </c>
      <c r="M2" s="67">
        <f>myParidad('Flujo de Fondos'!$H$34,'Paridad usd'!$A2,'Paridad usd'!L2,'Flujo de Fondos'!$H$36,'Flujo de Fondos'!$H$35)</f>
        <v/>
      </c>
      <c r="N2" s="68" t="n">
        <v>37.95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inlineStr">
        <is>
          <t>23/09/2021</t>
        </is>
      </c>
      <c r="B3" s="66" t="n">
        <v>39.3</v>
      </c>
      <c r="C3" s="67">
        <f>myParidad('Flujo de Fondos'!$B$5,A3,B3,'Flujo de Fondos'!$B$7,'Flujo de Fondos'!$B$6)</f>
        <v/>
      </c>
      <c r="D3" s="66" t="n">
        <v>41.41</v>
      </c>
      <c r="E3" s="75">
        <f>myParidad('Flujo de Fondos'!$H$5,$A3,D3,'Flujo de Fondos'!$H$7,'Flujo de Fondos'!$H$6)</f>
        <v/>
      </c>
      <c r="F3" s="66" t="n">
        <v>37.64</v>
      </c>
      <c r="G3" s="67">
        <f>myParidad('Flujo de Fondos'!$N$5,$A3,F3,'Flujo de Fondos'!$N$7,'Flujo de Fondos'!$N$6)</f>
        <v/>
      </c>
      <c r="H3" s="68" t="n">
        <v>39.1</v>
      </c>
      <c r="I3" s="67">
        <f>myParidad('Flujo de Fondos'!$T$5,$A3,H3,'Flujo de Fondos'!$T$7,'Flujo de Fondos'!$T$6)</f>
        <v/>
      </c>
      <c r="J3" s="68" t="n">
        <v>34.55</v>
      </c>
      <c r="K3" s="67">
        <f>myParidad('Flujo de Fondos'!$B$34,$A3,J3,'Flujo de Fondos'!$B$36,'Flujo de Fondos'!$B$35)</f>
        <v/>
      </c>
      <c r="L3" s="66" t="n">
        <v>38</v>
      </c>
      <c r="M3" s="67">
        <f>myParidad('Flujo de Fondos'!$H$34,'Paridad usd'!$A3,'Paridad usd'!L3,'Flujo de Fondos'!$H$36,'Flujo de Fondos'!$H$35)</f>
        <v/>
      </c>
      <c r="N3" s="68" t="n">
        <v>37.9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inlineStr">
        <is>
          <t>22/09/2021</t>
        </is>
      </c>
      <c r="B4" s="66" t="n">
        <v>39.6</v>
      </c>
      <c r="C4" s="67">
        <f>myParidad('Flujo de Fondos'!$B$5,A4,B4,'Flujo de Fondos'!$B$7,'Flujo de Fondos'!$B$6)</f>
        <v/>
      </c>
      <c r="D4" s="66" t="n">
        <v>41.5</v>
      </c>
      <c r="E4" s="75">
        <f>myParidad('Flujo de Fondos'!$H$5,$A4,D4,'Flujo de Fondos'!$H$7,'Flujo de Fondos'!$H$6)</f>
        <v/>
      </c>
      <c r="F4" s="66" t="n">
        <v>37.69</v>
      </c>
      <c r="G4" s="67">
        <f>myParidad('Flujo de Fondos'!$N$5,$A4,F4,'Flujo de Fondos'!$N$7,'Flujo de Fondos'!$N$6)</f>
        <v/>
      </c>
      <c r="H4" s="68" t="n">
        <v>39.4</v>
      </c>
      <c r="I4" s="67">
        <f>myParidad('Flujo de Fondos'!$T$5,$A4,H4,'Flujo de Fondos'!$T$7,'Flujo de Fondos'!$T$6)</f>
        <v/>
      </c>
      <c r="J4" s="68" t="n">
        <v>34.25</v>
      </c>
      <c r="K4" s="67">
        <f>myParidad('Flujo de Fondos'!$B$34,$A4,J4,'Flujo de Fondos'!$B$36,'Flujo de Fondos'!$B$35)</f>
        <v/>
      </c>
      <c r="L4" s="66" t="n">
        <v>38.36</v>
      </c>
      <c r="M4" s="67">
        <f>myParidad('Flujo de Fondos'!$H$34,'Paridad usd'!$A4,'Paridad usd'!L4,'Flujo de Fondos'!$H$36,'Flujo de Fondos'!$H$35)</f>
        <v/>
      </c>
      <c r="N4" s="68" t="n">
        <v>38.2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inlineStr">
        <is>
          <t>21/09/2021</t>
        </is>
      </c>
      <c r="B5" s="66" t="n">
        <v>39.8</v>
      </c>
      <c r="C5" s="67">
        <f>myParidad('Flujo de Fondos'!$B$5,A5,B5,'Flujo de Fondos'!$B$7,'Flujo de Fondos'!$B$6)</f>
        <v/>
      </c>
      <c r="D5" s="66" t="n">
        <v>41.2</v>
      </c>
      <c r="E5" s="75">
        <f>myParidad('Flujo de Fondos'!$H$5,$A5,D5,'Flujo de Fondos'!$H$7,'Flujo de Fondos'!$H$6)</f>
        <v/>
      </c>
      <c r="F5" s="66" t="n">
        <v>37.76</v>
      </c>
      <c r="G5" s="67">
        <f>myParidad('Flujo de Fondos'!$N$5,$A5,F5,'Flujo de Fondos'!$N$7,'Flujo de Fondos'!$N$6)</f>
        <v/>
      </c>
      <c r="H5" s="68" t="n">
        <v>39.64</v>
      </c>
      <c r="I5" s="67">
        <f>myParidad('Flujo de Fondos'!$T$5,$A5,H5,'Flujo de Fondos'!$T$7,'Flujo de Fondos'!$T$6)</f>
        <v/>
      </c>
      <c r="J5" s="68" t="n">
        <v>35</v>
      </c>
      <c r="K5" s="67">
        <f>myParidad('Flujo de Fondos'!$B$34,$A5,J5,'Flujo de Fondos'!$B$36,'Flujo de Fondos'!$B$35)</f>
        <v/>
      </c>
      <c r="L5" s="66" t="n">
        <v>38.74</v>
      </c>
      <c r="M5" s="67">
        <f>myParidad('Flujo de Fondos'!$H$34,'Paridad usd'!$A5,'Paridad usd'!L5,'Flujo de Fondos'!$H$36,'Flujo de Fondos'!$H$35)</f>
        <v/>
      </c>
      <c r="N5" s="68" t="n">
        <v>38.5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inlineStr">
        <is>
          <t>20/09/2021</t>
        </is>
      </c>
      <c r="B6" s="66" t="n">
        <v>40</v>
      </c>
      <c r="C6" s="67">
        <f>myParidad('Flujo de Fondos'!$B$5,A6,B6,'Flujo de Fondos'!$B$7,'Flujo de Fondos'!$B$6)</f>
        <v/>
      </c>
      <c r="D6" s="66" t="n">
        <v>43.5</v>
      </c>
      <c r="E6" s="75">
        <f>myParidad('Flujo de Fondos'!$H$5,$A6,D6,'Flujo de Fondos'!$H$7,'Flujo de Fondos'!$H$6)</f>
        <v/>
      </c>
      <c r="F6" s="66" t="n">
        <v>37.88</v>
      </c>
      <c r="G6" s="67">
        <f>myParidad('Flujo de Fondos'!$N$5,$A6,F6,'Flujo de Fondos'!$N$7,'Flujo de Fondos'!$N$6)</f>
        <v/>
      </c>
      <c r="H6" s="68" t="n">
        <v>40.04</v>
      </c>
      <c r="I6" s="67">
        <f>myParidad('Flujo de Fondos'!$T$5,$A6,H6,'Flujo de Fondos'!$T$7,'Flujo de Fondos'!$T$6)</f>
        <v/>
      </c>
      <c r="J6" s="68" t="n">
        <v>35.15</v>
      </c>
      <c r="K6" s="67">
        <f>myParidad('Flujo de Fondos'!$B$34,$A6,J6,'Flujo de Fondos'!$B$36,'Flujo de Fondos'!$B$35)</f>
        <v/>
      </c>
      <c r="L6" s="66" t="n">
        <v>38.62</v>
      </c>
      <c r="M6" s="67">
        <f>myParidad('Flujo de Fondos'!$H$34,'Paridad usd'!$A6,'Paridad usd'!L6,'Flujo de Fondos'!$H$36,'Flujo de Fondos'!$H$35)</f>
        <v/>
      </c>
      <c r="N6" s="68" t="n">
        <v>38.5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inlineStr">
        <is>
          <t>17/09/2021</t>
        </is>
      </c>
      <c r="B7" s="66" t="n">
        <v>40.1</v>
      </c>
      <c r="C7" s="67">
        <f>myParidad('Flujo de Fondos'!$B$5,A7,B7,'Flujo de Fondos'!$B$7,'Flujo de Fondos'!$B$6)</f>
        <v/>
      </c>
      <c r="D7" s="66" t="n">
        <v>43.5</v>
      </c>
      <c r="E7" s="75">
        <f>myParidad('Flujo de Fondos'!$H$5,$A7,D7,'Flujo de Fondos'!$H$7,'Flujo de Fondos'!$H$6)</f>
        <v/>
      </c>
      <c r="F7" s="66" t="n">
        <v>38.1</v>
      </c>
      <c r="G7" s="67">
        <f>myParidad('Flujo de Fondos'!$N$5,$A7,F7,'Flujo de Fondos'!$N$7,'Flujo de Fondos'!$N$6)</f>
        <v/>
      </c>
      <c r="H7" s="68" t="n">
        <v>40.85</v>
      </c>
      <c r="I7" s="67">
        <f>myParidad('Flujo de Fondos'!$T$5,$A7,H7,'Flujo de Fondos'!$T$7,'Flujo de Fondos'!$T$6)</f>
        <v/>
      </c>
      <c r="J7" s="68" t="n">
        <v>35.8</v>
      </c>
      <c r="K7" s="67">
        <f>myParidad('Flujo de Fondos'!$B$34,$A7,J7,'Flujo de Fondos'!$B$36,'Flujo de Fondos'!$B$35)</f>
        <v/>
      </c>
      <c r="L7" s="66" t="n">
        <v>39.2</v>
      </c>
      <c r="M7" s="67">
        <f>myParidad('Flujo de Fondos'!$H$34,'Paridad usd'!$A7,'Paridad usd'!L7,'Flujo de Fondos'!$H$36,'Flujo de Fondos'!$H$35)</f>
        <v/>
      </c>
      <c r="N7" s="68" t="n">
        <v>39.15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inlineStr">
        <is>
          <t>16/09/2021</t>
        </is>
      </c>
      <c r="B8" s="66" t="n">
        <v>40.2</v>
      </c>
      <c r="C8" s="67">
        <f>myParidad('Flujo de Fondos'!$B$5,A8,B8,'Flujo de Fondos'!$B$7,'Flujo de Fondos'!$B$6)</f>
        <v/>
      </c>
      <c r="D8" s="66" t="n">
        <v>43</v>
      </c>
      <c r="E8" s="75">
        <f>myParidad('Flujo de Fondos'!$H$5,$A8,D8,'Flujo de Fondos'!$H$7,'Flujo de Fondos'!$H$6)</f>
        <v/>
      </c>
      <c r="F8" s="66" t="n">
        <v>38.18</v>
      </c>
      <c r="G8" s="67">
        <f>myParidad('Flujo de Fondos'!$N$5,$A8,F8,'Flujo de Fondos'!$N$7,'Flujo de Fondos'!$N$6)</f>
        <v/>
      </c>
      <c r="H8" s="68" t="n">
        <v>41.29</v>
      </c>
      <c r="I8" s="67">
        <f>myParidad('Flujo de Fondos'!$T$5,$A8,H8,'Flujo de Fondos'!$T$7,'Flujo de Fondos'!$T$6)</f>
        <v/>
      </c>
      <c r="J8" s="68" t="n">
        <v>35.8</v>
      </c>
      <c r="K8" s="67">
        <f>myParidad('Flujo de Fondos'!$B$34,$A8,J8,'Flujo de Fondos'!$B$36,'Flujo de Fondos'!$B$35)</f>
        <v/>
      </c>
      <c r="L8" s="66" t="n">
        <v>39.5</v>
      </c>
      <c r="M8" s="67">
        <f>myParidad('Flujo de Fondos'!$H$34,'Paridad usd'!$A8,'Paridad usd'!L8,'Flujo de Fondos'!$H$36,'Flujo de Fondos'!$H$35)</f>
        <v/>
      </c>
      <c r="N8" s="68" t="n">
        <v>39.25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44454</v>
      </c>
      <c r="B9" s="66" t="n">
        <v>39.8</v>
      </c>
      <c r="C9" s="67">
        <f>myParidad('Flujo de Fondos'!$B$5,A9,B9,'Flujo de Fondos'!$B$7,'Flujo de Fondos'!$B$6)</f>
        <v/>
      </c>
      <c r="D9" s="66" t="n">
        <v>43.5</v>
      </c>
      <c r="E9" s="75">
        <f>myParidad('Flujo de Fondos'!$H$5,$A9,D9,'Flujo de Fondos'!$H$7,'Flujo de Fondos'!$H$6)</f>
        <v/>
      </c>
      <c r="F9" s="66" t="n">
        <v>38.16</v>
      </c>
      <c r="G9" s="67">
        <f>myParidad('Flujo de Fondos'!$N$5,$A9,F9,'Flujo de Fondos'!$N$7,'Flujo de Fondos'!$N$6)</f>
        <v/>
      </c>
      <c r="H9" s="68" t="n">
        <v>41.41</v>
      </c>
      <c r="I9" s="67">
        <f>myParidad('Flujo de Fondos'!$T$5,$A9,H9,'Flujo de Fondos'!$T$7,'Flujo de Fondos'!$T$6)</f>
        <v/>
      </c>
      <c r="J9" s="68" t="n">
        <v>35.6</v>
      </c>
      <c r="K9" s="67">
        <f>myParidad('Flujo de Fondos'!$B$34,$A9,J9,'Flujo de Fondos'!$B$36,'Flujo de Fondos'!$B$35)</f>
        <v/>
      </c>
      <c r="L9" s="66" t="n">
        <v>39.45</v>
      </c>
      <c r="M9" s="67">
        <f>myParidad('Flujo de Fondos'!$H$34,'Paridad usd'!$A9,'Paridad usd'!L9,'Flujo de Fondos'!$H$36,'Flujo de Fondos'!$H$35)</f>
        <v/>
      </c>
      <c r="N9" s="68" t="n">
        <v>39.3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44453</v>
      </c>
      <c r="B10" s="66" t="n">
        <v>39.35</v>
      </c>
      <c r="C10" s="67">
        <f>myParidad('Flujo de Fondos'!$B$5,A10,B10,'Flujo de Fondos'!$B$7,'Flujo de Fondos'!$B$6)</f>
        <v/>
      </c>
      <c r="D10" s="66" t="n">
        <v>43</v>
      </c>
      <c r="E10" s="75">
        <f>myParidad('Flujo de Fondos'!$H$5,$A10,D10,'Flujo de Fondos'!$H$7,'Flujo de Fondos'!$H$6)</f>
        <v/>
      </c>
      <c r="F10" s="66" t="n">
        <v>38.27</v>
      </c>
      <c r="G10" s="67">
        <f>myParidad('Flujo de Fondos'!$N$5,$A10,F10,'Flujo de Fondos'!$N$7,'Flujo de Fondos'!$N$6)</f>
        <v/>
      </c>
      <c r="H10" s="68" t="n">
        <v>41.1</v>
      </c>
      <c r="I10" s="67">
        <f>myParidad('Flujo de Fondos'!$T$5,$A10,H10,'Flujo de Fondos'!$T$7,'Flujo de Fondos'!$T$6)</f>
        <v/>
      </c>
      <c r="J10" s="68" t="n">
        <v>35.62</v>
      </c>
      <c r="K10" s="67">
        <f>myParidad('Flujo de Fondos'!$B$34,$A10,J10,'Flujo de Fondos'!$B$36,'Flujo de Fondos'!$B$35)</f>
        <v/>
      </c>
      <c r="L10" s="66" t="n">
        <v>39.4</v>
      </c>
      <c r="M10" s="67">
        <f>myParidad('Flujo de Fondos'!$H$34,'Paridad usd'!$A10,'Paridad usd'!L10,'Flujo de Fondos'!$H$36,'Flujo de Fondos'!$H$35)</f>
        <v/>
      </c>
      <c r="N10" s="68" t="n">
        <v>39.4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44452</v>
      </c>
      <c r="B11" s="66" t="n">
        <v>39.6</v>
      </c>
      <c r="C11" s="67">
        <f>myParidad('Flujo de Fondos'!$B$5,A11,B11,'Flujo de Fondos'!$B$7,'Flujo de Fondos'!$B$6)</f>
        <v/>
      </c>
      <c r="D11" s="66" t="n">
        <v>43.4</v>
      </c>
      <c r="E11" s="75">
        <f>myParidad('Flujo de Fondos'!$H$5,$A11,D11,'Flujo de Fondos'!$H$7,'Flujo de Fondos'!$H$6)</f>
        <v/>
      </c>
      <c r="F11" s="66" t="n">
        <v>38.43</v>
      </c>
      <c r="G11" s="67">
        <f>myParidad('Flujo de Fondos'!$N$5,$A11,F11,'Flujo de Fondos'!$N$7,'Flujo de Fondos'!$N$6)</f>
        <v/>
      </c>
      <c r="H11" s="68" t="n">
        <v>41.57</v>
      </c>
      <c r="I11" s="67">
        <f>myParidad('Flujo de Fondos'!$T$5,$A11,H11,'Flujo de Fondos'!$T$7,'Flujo de Fondos'!$T$6)</f>
        <v/>
      </c>
      <c r="J11" s="68" t="n">
        <v>35.61</v>
      </c>
      <c r="K11" s="67">
        <f>myParidad('Flujo de Fondos'!$B$34,$A11,J11,'Flujo de Fondos'!$B$36,'Flujo de Fondos'!$B$35)</f>
        <v/>
      </c>
      <c r="L11" s="66" t="n">
        <v>39.65</v>
      </c>
      <c r="M11" s="67">
        <f>myParidad('Flujo de Fondos'!$H$34,'Paridad usd'!$A11,'Paridad usd'!L11,'Flujo de Fondos'!$H$36,'Flujo de Fondos'!$H$35)</f>
        <v/>
      </c>
      <c r="N11" s="68" t="n">
        <v>39.5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44449</v>
      </c>
      <c r="B12" s="66" t="n">
        <v>38.9</v>
      </c>
      <c r="C12" s="67">
        <f>myParidad('Flujo de Fondos'!$B$5,A12,B12,'Flujo de Fondos'!$B$7,'Flujo de Fondos'!$B$6)</f>
        <v/>
      </c>
      <c r="D12" s="66" t="n">
        <v>41.75</v>
      </c>
      <c r="E12" s="75">
        <f>myParidad('Flujo de Fondos'!$H$5,$A12,D12,'Flujo de Fondos'!$H$7,'Flujo de Fondos'!$H$6)</f>
        <v/>
      </c>
      <c r="F12" s="66" t="n">
        <v>37.68</v>
      </c>
      <c r="G12" s="67">
        <f>myParidad('Flujo de Fondos'!$N$5,$A12,F12,'Flujo de Fondos'!$N$7,'Flujo de Fondos'!$N$6)</f>
        <v/>
      </c>
      <c r="H12" s="68" t="n">
        <v>39.5</v>
      </c>
      <c r="I12" s="67">
        <f>myParidad('Flujo de Fondos'!$T$5,$A12,H12,'Flujo de Fondos'!$T$7,'Flujo de Fondos'!$T$6)</f>
        <v/>
      </c>
      <c r="J12" s="68" t="n">
        <v>34.51</v>
      </c>
      <c r="K12" s="67">
        <f>myParidad('Flujo de Fondos'!$B$34,$A12,J12,'Flujo de Fondos'!$B$36,'Flujo de Fondos'!$B$35)</f>
        <v/>
      </c>
      <c r="L12" s="66" t="n">
        <v>38.6</v>
      </c>
      <c r="M12" s="67">
        <f>myParidad('Flujo de Fondos'!$H$34,'Paridad usd'!$A12,'Paridad usd'!L12,'Flujo de Fondos'!$H$36,'Flujo de Fondos'!$H$35)</f>
        <v/>
      </c>
      <c r="N12" s="68" t="n">
        <v>38.95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44448</v>
      </c>
      <c r="B13" s="66" t="n">
        <v>38.7</v>
      </c>
      <c r="C13" s="67">
        <f>myParidad('Flujo de Fondos'!$B$5,A13,B13,'Flujo de Fondos'!$B$7,'Flujo de Fondos'!$B$6)</f>
        <v/>
      </c>
      <c r="D13" s="66" t="n">
        <v>41.75</v>
      </c>
      <c r="E13" s="75">
        <f>myParidad('Flujo de Fondos'!$H$5,$A13,D13,'Flujo de Fondos'!$H$7,'Flujo de Fondos'!$H$6)</f>
        <v/>
      </c>
      <c r="F13" s="66" t="n">
        <v>37.74</v>
      </c>
      <c r="G13" s="67">
        <f>myParidad('Flujo de Fondos'!$N$5,$A13,F13,'Flujo de Fondos'!$N$7,'Flujo de Fondos'!$N$6)</f>
        <v/>
      </c>
      <c r="H13" s="68" t="n">
        <v>40.1</v>
      </c>
      <c r="I13" s="67">
        <f>myParidad('Flujo de Fondos'!$T$5,$A13,H13,'Flujo de Fondos'!$T$7,'Flujo de Fondos'!$T$6)</f>
        <v/>
      </c>
      <c r="J13" s="68" t="n">
        <v>35.6</v>
      </c>
      <c r="K13" s="67">
        <f>myParidad('Flujo de Fondos'!$B$34,$A13,J13,'Flujo de Fondos'!$B$36,'Flujo de Fondos'!$B$35)</f>
        <v/>
      </c>
      <c r="L13" s="66" t="n">
        <v>38.9</v>
      </c>
      <c r="M13" s="67">
        <f>myParidad('Flujo de Fondos'!$H$34,'Paridad usd'!$A13,'Paridad usd'!L13,'Flujo de Fondos'!$H$36,'Flujo de Fondos'!$H$35)</f>
        <v/>
      </c>
      <c r="N13" s="68" t="n">
        <v>38.8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44447</v>
      </c>
      <c r="B14" s="66" t="n">
        <v>38.8</v>
      </c>
      <c r="C14" s="67">
        <f>myParidad('Flujo de Fondos'!$B$5,A14,B14,'Flujo de Fondos'!$B$7,'Flujo de Fondos'!$B$6)</f>
        <v/>
      </c>
      <c r="D14" s="66" t="n">
        <v>42.5</v>
      </c>
      <c r="E14" s="75">
        <f>myParidad('Flujo de Fondos'!$H$5,$A14,D14,'Flujo de Fondos'!$H$7,'Flujo de Fondos'!$H$6)</f>
        <v/>
      </c>
      <c r="F14" s="66" t="n">
        <v>37.79</v>
      </c>
      <c r="G14" s="67">
        <f>myParidad('Flujo de Fondos'!$N$5,$A14,F14,'Flujo de Fondos'!$N$7,'Flujo de Fondos'!$N$6)</f>
        <v/>
      </c>
      <c r="H14" s="68" t="n">
        <v>40.35</v>
      </c>
      <c r="I14" s="67">
        <f>myParidad('Flujo de Fondos'!$T$5,$A14,H14,'Flujo de Fondos'!$T$7,'Flujo de Fondos'!$T$6)</f>
        <v/>
      </c>
      <c r="J14" s="68" t="n">
        <v>35.87</v>
      </c>
      <c r="K14" s="67">
        <f>myParidad('Flujo de Fondos'!$B$34,$A14,J14,'Flujo de Fondos'!$B$36,'Flujo de Fondos'!$B$35)</f>
        <v/>
      </c>
      <c r="L14" s="66" t="n">
        <v>39.15</v>
      </c>
      <c r="M14" s="67">
        <f>myParidad('Flujo de Fondos'!$H$34,'Paridad usd'!$A14,'Paridad usd'!L14,'Flujo de Fondos'!$H$36,'Flujo de Fondos'!$H$35)</f>
        <v/>
      </c>
      <c r="N14" s="68" t="n">
        <v>39.05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44446</v>
      </c>
      <c r="B15" s="66" t="n">
        <v>39</v>
      </c>
      <c r="C15" s="67">
        <f>myParidad('Flujo de Fondos'!$B$5,A15,B15,'Flujo de Fondos'!$B$7,'Flujo de Fondos'!$B$6)</f>
        <v/>
      </c>
      <c r="D15" s="66" t="n">
        <v>43</v>
      </c>
      <c r="E15" s="75">
        <f>myParidad('Flujo de Fondos'!$H$5,$A15,D15,'Flujo de Fondos'!$H$7,'Flujo de Fondos'!$H$6)</f>
        <v/>
      </c>
      <c r="F15" s="66" t="n">
        <v>37.85</v>
      </c>
      <c r="G15" s="67">
        <f>myParidad('Flujo de Fondos'!$N$5,$A15,F15,'Flujo de Fondos'!$N$7,'Flujo de Fondos'!$N$6)</f>
        <v/>
      </c>
      <c r="H15" s="68" t="n">
        <v>41.22</v>
      </c>
      <c r="I15" s="67">
        <f>myParidad('Flujo de Fondos'!$T$5,$A15,H15,'Flujo de Fondos'!$T$7,'Flujo de Fondos'!$T$6)</f>
        <v/>
      </c>
      <c r="J15" s="68" t="n">
        <v>36.35</v>
      </c>
      <c r="K15" s="67">
        <f>myParidad('Flujo de Fondos'!$B$34,$A15,J15,'Flujo de Fondos'!$B$36,'Flujo de Fondos'!$B$35)</f>
        <v/>
      </c>
      <c r="L15" s="66" t="n">
        <v>39.7</v>
      </c>
      <c r="M15" s="67">
        <f>myParidad('Flujo de Fondos'!$H$34,'Paridad usd'!$A15,'Paridad usd'!L15,'Flujo de Fondos'!$H$36,'Flujo de Fondos'!$H$35)</f>
        <v/>
      </c>
      <c r="N15" s="68" t="n">
        <v>39.4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44445</v>
      </c>
      <c r="B16" s="66" t="n">
        <v>38.6</v>
      </c>
      <c r="C16" s="67">
        <f>myParidad('Flujo de Fondos'!$B$5,A16,B16,'Flujo de Fondos'!$B$7,'Flujo de Fondos'!$B$6)</f>
        <v/>
      </c>
      <c r="D16" s="66" t="n">
        <v>42.75</v>
      </c>
      <c r="E16" s="75">
        <f>myParidad('Flujo de Fondos'!$H$5,$A16,D16,'Flujo de Fondos'!$H$7,'Flujo de Fondos'!$H$6)</f>
        <v/>
      </c>
      <c r="F16" s="66" t="n">
        <v>37.76</v>
      </c>
      <c r="G16" s="67">
        <f>myParidad('Flujo de Fondos'!$N$5,$A16,F16,'Flujo de Fondos'!$N$7,'Flujo de Fondos'!$N$6)</f>
        <v/>
      </c>
      <c r="H16" s="68" t="n">
        <v>41.39</v>
      </c>
      <c r="I16" s="67">
        <f>myParidad('Flujo de Fondos'!$T$5,$A16,H16,'Flujo de Fondos'!$T$7,'Flujo de Fondos'!$T$6)</f>
        <v/>
      </c>
      <c r="J16" s="68" t="n">
        <v>35.95</v>
      </c>
      <c r="K16" s="67">
        <f>myParidad('Flujo de Fondos'!$B$34,$A16,J16,'Flujo de Fondos'!$B$36,'Flujo de Fondos'!$B$35)</f>
        <v/>
      </c>
      <c r="L16" s="66" t="n">
        <v>39.6</v>
      </c>
      <c r="M16" s="67">
        <f>myParidad('Flujo de Fondos'!$H$34,'Paridad usd'!$A16,'Paridad usd'!L16,'Flujo de Fondos'!$H$36,'Flujo de Fondos'!$H$35)</f>
        <v/>
      </c>
      <c r="N16" s="68" t="n">
        <v>39.35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44442</v>
      </c>
      <c r="B17" s="66" t="n">
        <v>38.5</v>
      </c>
      <c r="C17" s="67">
        <f>myParidad('Flujo de Fondos'!$B$5,A17,B17,'Flujo de Fondos'!$B$7,'Flujo de Fondos'!$B$6)</f>
        <v/>
      </c>
      <c r="D17" s="66" t="n">
        <v>42.25</v>
      </c>
      <c r="E17" s="75">
        <f>myParidad('Flujo de Fondos'!$H$5,$A17,D17,'Flujo de Fondos'!$H$7,'Flujo de Fondos'!$H$6)</f>
        <v/>
      </c>
      <c r="F17" s="66" t="n">
        <v>37.62</v>
      </c>
      <c r="G17" s="67">
        <f>myParidad('Flujo de Fondos'!$N$5,$A17,F17,'Flujo de Fondos'!$N$7,'Flujo de Fondos'!$N$6)</f>
        <v/>
      </c>
      <c r="H17" s="68" t="n">
        <v>40.92</v>
      </c>
      <c r="I17" s="67">
        <f>myParidad('Flujo de Fondos'!$T$5,$A17,H17,'Flujo de Fondos'!$T$7,'Flujo de Fondos'!$T$6)</f>
        <v/>
      </c>
      <c r="J17" s="68" t="n">
        <v>35.7</v>
      </c>
      <c r="K17" s="67">
        <f>myParidad('Flujo de Fondos'!$B$34,$A17,J17,'Flujo de Fondos'!$B$36,'Flujo de Fondos'!$B$35)</f>
        <v/>
      </c>
      <c r="L17" s="66" t="n">
        <v>39.25</v>
      </c>
      <c r="M17" s="67">
        <f>myParidad('Flujo de Fondos'!$H$34,'Paridad usd'!$A17,'Paridad usd'!L17,'Flujo de Fondos'!$H$36,'Flujo de Fondos'!$H$35)</f>
        <v/>
      </c>
      <c r="N17" s="68" t="n">
        <v>39.25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44441</v>
      </c>
      <c r="B18" s="66" t="n">
        <v>38.4</v>
      </c>
      <c r="C18" s="67">
        <f>myParidad('Flujo de Fondos'!$B$5,A18,B18,'Flujo de Fondos'!$B$7,'Flujo de Fondos'!$B$6)</f>
        <v/>
      </c>
      <c r="D18" s="66" t="n">
        <v>43.4</v>
      </c>
      <c r="E18" s="75">
        <f>myParidad('Flujo de Fondos'!$H$5,$A18,D18,'Flujo de Fondos'!$H$7,'Flujo de Fondos'!$H$6)</f>
        <v/>
      </c>
      <c r="F18" s="66" t="n">
        <v>37.46</v>
      </c>
      <c r="G18" s="67">
        <f>myParidad('Flujo de Fondos'!$N$5,$A18,F18,'Flujo de Fondos'!$N$7,'Flujo de Fondos'!$N$6)</f>
        <v/>
      </c>
      <c r="H18" s="68" t="n">
        <v>40.95</v>
      </c>
      <c r="I18" s="67">
        <f>myParidad('Flujo de Fondos'!$T$5,$A18,H18,'Flujo de Fondos'!$T$7,'Flujo de Fondos'!$T$6)</f>
        <v/>
      </c>
      <c r="J18" s="68" t="n">
        <v>35.8</v>
      </c>
      <c r="K18" s="67">
        <f>myParidad('Flujo de Fondos'!$B$34,$A18,J18,'Flujo de Fondos'!$B$36,'Flujo de Fondos'!$B$35)</f>
        <v/>
      </c>
      <c r="L18" s="66" t="n">
        <v>39.4</v>
      </c>
      <c r="M18" s="67">
        <f>myParidad('Flujo de Fondos'!$H$34,'Paridad usd'!$A18,'Paridad usd'!L18,'Flujo de Fondos'!$H$36,'Flujo de Fondos'!$H$35)</f>
        <v/>
      </c>
      <c r="N18" s="68" t="n">
        <v>39.2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44440</v>
      </c>
      <c r="B19" s="66" t="n">
        <v>37.94</v>
      </c>
      <c r="C19" s="67">
        <f>myParidad('Flujo de Fondos'!$B$5,A19,B19,'Flujo de Fondos'!$B$7,'Flujo de Fondos'!$B$6)</f>
        <v/>
      </c>
      <c r="D19" s="66" t="n">
        <v>42.5</v>
      </c>
      <c r="E19" s="75">
        <f>myParidad('Flujo de Fondos'!$H$5,$A19,D19,'Flujo de Fondos'!$H$7,'Flujo de Fondos'!$H$6)</f>
        <v/>
      </c>
      <c r="F19" s="66" t="n">
        <v>36.88</v>
      </c>
      <c r="G19" s="67">
        <f>myParidad('Flujo de Fondos'!$N$5,$A19,F19,'Flujo de Fondos'!$N$7,'Flujo de Fondos'!$N$6)</f>
        <v/>
      </c>
      <c r="H19" s="68" t="n">
        <v>40.68</v>
      </c>
      <c r="I19" s="67">
        <f>myParidad('Flujo de Fondos'!$T$5,$A19,H19,'Flujo de Fondos'!$T$7,'Flujo de Fondos'!$T$6)</f>
        <v/>
      </c>
      <c r="J19" s="68" t="n">
        <v>35.6</v>
      </c>
      <c r="K19" s="67">
        <f>myParidad('Flujo de Fondos'!$B$34,$A19,J19,'Flujo de Fondos'!$B$36,'Flujo de Fondos'!$B$35)</f>
        <v/>
      </c>
      <c r="L19" s="66" t="n">
        <v>38.7</v>
      </c>
      <c r="M19" s="67">
        <f>myParidad('Flujo de Fondos'!$H$34,'Paridad usd'!$A19,'Paridad usd'!L19,'Flujo de Fondos'!$H$36,'Flujo de Fondos'!$H$35)</f>
        <v/>
      </c>
      <c r="N19" s="68" t="n">
        <v>38.6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44439</v>
      </c>
      <c r="B20" s="66" t="n">
        <v>37.57</v>
      </c>
      <c r="C20" s="67">
        <f>myParidad('Flujo de Fondos'!$B$5,A20,B20,'Flujo de Fondos'!$B$7,'Flujo de Fondos'!$B$6)</f>
        <v/>
      </c>
      <c r="D20" s="66" t="n">
        <v>42.1</v>
      </c>
      <c r="E20" s="75">
        <f>myParidad('Flujo de Fondos'!$H$5,$A20,D20,'Flujo de Fondos'!$H$7,'Flujo de Fondos'!$H$6)</f>
        <v/>
      </c>
      <c r="F20" s="66" t="n">
        <v>36.31</v>
      </c>
      <c r="G20" s="67">
        <f>myParidad('Flujo de Fondos'!$N$5,$A20,F20,'Flujo de Fondos'!$N$7,'Flujo de Fondos'!$N$6)</f>
        <v/>
      </c>
      <c r="H20" s="68" t="n">
        <v>40.32</v>
      </c>
      <c r="I20" s="67">
        <f>myParidad('Flujo de Fondos'!$T$5,$A20,H20,'Flujo de Fondos'!$T$7,'Flujo de Fondos'!$T$6)</f>
        <v/>
      </c>
      <c r="J20" s="68" t="n">
        <v>35</v>
      </c>
      <c r="K20" s="67">
        <f>myParidad('Flujo de Fondos'!$B$34,$A20,J20,'Flujo de Fondos'!$B$36,'Flujo de Fondos'!$B$35)</f>
        <v/>
      </c>
      <c r="L20" s="66" t="n">
        <v>38.45</v>
      </c>
      <c r="M20" s="67">
        <f>myParidad('Flujo de Fondos'!$H$34,'Paridad usd'!$A20,'Paridad usd'!L20,'Flujo de Fondos'!$H$36,'Flujo de Fondos'!$H$35)</f>
        <v/>
      </c>
      <c r="N20" s="68" t="n">
        <v>38.4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44438</v>
      </c>
      <c r="B21" s="66" t="n">
        <v>37.26</v>
      </c>
      <c r="C21" s="67">
        <f>myParidad('Flujo de Fondos'!$B$5,A21,B21,'Flujo de Fondos'!$B$7,'Flujo de Fondos'!$B$6)</f>
        <v/>
      </c>
      <c r="D21" s="66" t="n">
        <v>42.5</v>
      </c>
      <c r="E21" s="75">
        <f>myParidad('Flujo de Fondos'!$H$5,$A21,D21,'Flujo de Fondos'!$H$7,'Flujo de Fondos'!$H$6)</f>
        <v/>
      </c>
      <c r="F21" s="66" t="n">
        <v>36.01</v>
      </c>
      <c r="G21" s="67">
        <f>myParidad('Flujo de Fondos'!$N$5,$A21,F21,'Flujo de Fondos'!$N$7,'Flujo de Fondos'!$N$6)</f>
        <v/>
      </c>
      <c r="H21" s="68" t="n">
        <v>40.2</v>
      </c>
      <c r="I21" s="67">
        <f>myParidad('Flujo de Fondos'!$T$5,$A21,H21,'Flujo de Fondos'!$T$7,'Flujo de Fondos'!$T$6)</f>
        <v/>
      </c>
      <c r="J21" s="68" t="n">
        <v>35</v>
      </c>
      <c r="K21" s="67">
        <f>myParidad('Flujo de Fondos'!$B$34,$A21,J21,'Flujo de Fondos'!$B$36,'Flujo de Fondos'!$B$35)</f>
        <v/>
      </c>
      <c r="L21" s="66" t="n">
        <v>38.4</v>
      </c>
      <c r="M21" s="67">
        <f>myParidad('Flujo de Fondos'!$H$34,'Paridad usd'!$A21,'Paridad usd'!L21,'Flujo de Fondos'!$H$36,'Flujo de Fondos'!$H$35)</f>
        <v/>
      </c>
      <c r="N21" s="68" t="n">
        <v>38.2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44435</v>
      </c>
      <c r="B22" s="66" t="n">
        <v>36.7</v>
      </c>
      <c r="C22" s="67">
        <f>myParidad('Flujo de Fondos'!$B$5,A22,B22,'Flujo de Fondos'!$B$7,'Flujo de Fondos'!$B$6)</f>
        <v/>
      </c>
      <c r="D22" s="66" t="n">
        <v>42.1</v>
      </c>
      <c r="E22" s="75">
        <f>myParidad('Flujo de Fondos'!$H$5,$A22,D22,'Flujo de Fondos'!$H$7,'Flujo de Fondos'!$H$6)</f>
        <v/>
      </c>
      <c r="F22" s="66" t="n">
        <v>35.63</v>
      </c>
      <c r="G22" s="67">
        <f>myParidad('Flujo de Fondos'!$N$5,$A22,F22,'Flujo de Fondos'!$N$7,'Flujo de Fondos'!$N$6)</f>
        <v/>
      </c>
      <c r="H22" s="68" t="n">
        <v>39.6</v>
      </c>
      <c r="I22" s="67">
        <f>myParidad('Flujo de Fondos'!$T$5,$A22,H22,'Flujo de Fondos'!$T$7,'Flujo de Fondos'!$T$6)</f>
        <v/>
      </c>
      <c r="J22" s="68" t="n">
        <v>34.13</v>
      </c>
      <c r="K22" s="67">
        <f>myParidad('Flujo de Fondos'!$B$34,$A22,J22,'Flujo de Fondos'!$B$36,'Flujo de Fondos'!$B$35)</f>
        <v/>
      </c>
      <c r="L22" s="66" t="n">
        <v>37.8</v>
      </c>
      <c r="M22" s="67">
        <f>myParidad('Flujo de Fondos'!$H$34,'Paridad usd'!$A22,'Paridad usd'!L22,'Flujo de Fondos'!$H$36,'Flujo de Fondos'!$H$35)</f>
        <v/>
      </c>
      <c r="N22" s="68" t="n">
        <v>37.38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44434</v>
      </c>
      <c r="B23" s="66" t="n">
        <v>36.58</v>
      </c>
      <c r="C23" s="67">
        <f>myParidad('Flujo de Fondos'!$B$5,A23,B23,'Flujo de Fondos'!$B$7,'Flujo de Fondos'!$B$6)</f>
        <v/>
      </c>
      <c r="D23" s="66" t="n">
        <v>41.7</v>
      </c>
      <c r="E23" s="75">
        <f>myParidad('Flujo de Fondos'!$H$5,$A23,D23,'Flujo de Fondos'!$H$7,'Flujo de Fondos'!$H$6)</f>
        <v/>
      </c>
      <c r="F23" s="66" t="n">
        <v>35.42</v>
      </c>
      <c r="G23" s="67">
        <f>myParidad('Flujo de Fondos'!$N$5,$A23,F23,'Flujo de Fondos'!$N$7,'Flujo de Fondos'!$N$6)</f>
        <v/>
      </c>
      <c r="H23" s="68" t="n">
        <v>39.3</v>
      </c>
      <c r="I23" s="67">
        <f>myParidad('Flujo de Fondos'!$T$5,$A23,H23,'Flujo de Fondos'!$T$7,'Flujo de Fondos'!$T$6)</f>
        <v/>
      </c>
      <c r="J23" s="68" t="n">
        <v>34</v>
      </c>
      <c r="K23" s="67">
        <f>myParidad('Flujo de Fondos'!$B$34,$A23,J23,'Flujo de Fondos'!$B$36,'Flujo de Fondos'!$B$35)</f>
        <v/>
      </c>
      <c r="L23" s="66" t="n">
        <v>37.5</v>
      </c>
      <c r="M23" s="67">
        <f>myParidad('Flujo de Fondos'!$H$34,'Paridad usd'!$A23,'Paridad usd'!L23,'Flujo de Fondos'!$H$36,'Flujo de Fondos'!$H$35)</f>
        <v/>
      </c>
      <c r="N23" s="68" t="n">
        <v>37.1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44433</v>
      </c>
      <c r="B24" s="66" t="n">
        <v>36.7</v>
      </c>
      <c r="C24" s="67">
        <f>myParidad('Flujo de Fondos'!$B$5,A24,B24,'Flujo de Fondos'!$B$7,'Flujo de Fondos'!$B$6)</f>
        <v/>
      </c>
      <c r="D24" s="66" t="n">
        <v>41.4</v>
      </c>
      <c r="E24" s="75">
        <f>myParidad('Flujo de Fondos'!$H$5,$A24,D24,'Flujo de Fondos'!$H$7,'Flujo de Fondos'!$H$6)</f>
        <v/>
      </c>
      <c r="F24" s="66" t="n">
        <v>35.37</v>
      </c>
      <c r="G24" s="67">
        <f>myParidad('Flujo de Fondos'!$N$5,$A24,F24,'Flujo de Fondos'!$N$7,'Flujo de Fondos'!$N$6)</f>
        <v/>
      </c>
      <c r="H24" s="68" t="n">
        <v>39.49</v>
      </c>
      <c r="I24" s="67">
        <f>myParidad('Flujo de Fondos'!$T$5,$A24,H24,'Flujo de Fondos'!$T$7,'Flujo de Fondos'!$T$6)</f>
        <v/>
      </c>
      <c r="J24" s="68" t="n">
        <v>33.5</v>
      </c>
      <c r="K24" s="67">
        <f>myParidad('Flujo de Fondos'!$B$34,$A24,J24,'Flujo de Fondos'!$B$36,'Flujo de Fondos'!$B$35)</f>
        <v/>
      </c>
      <c r="L24" s="66" t="n">
        <v>37.67</v>
      </c>
      <c r="M24" s="67">
        <f>myParidad('Flujo de Fondos'!$H$34,'Paridad usd'!$A24,'Paridad usd'!L24,'Flujo de Fondos'!$H$36,'Flujo de Fondos'!$H$35)</f>
        <v/>
      </c>
      <c r="N24" s="68" t="n">
        <v>37.15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44432</v>
      </c>
      <c r="B25" s="66" t="n">
        <v>36.7</v>
      </c>
      <c r="C25" s="67">
        <f>myParidad('Flujo de Fondos'!$B$5,A25,B25,'Flujo de Fondos'!$B$7,'Flujo de Fondos'!$B$6)</f>
        <v/>
      </c>
      <c r="D25" s="66" t="n">
        <v>41</v>
      </c>
      <c r="E25" s="75">
        <f>myParidad('Flujo de Fondos'!$H$5,$A25,D25,'Flujo de Fondos'!$H$7,'Flujo de Fondos'!$H$6)</f>
        <v/>
      </c>
      <c r="F25" s="66" t="n">
        <v>35.39</v>
      </c>
      <c r="G25" s="67">
        <f>myParidad('Flujo de Fondos'!$N$5,$A25,F25,'Flujo de Fondos'!$N$7,'Flujo de Fondos'!$N$6)</f>
        <v/>
      </c>
      <c r="H25" s="68" t="n">
        <v>39.59</v>
      </c>
      <c r="I25" s="67">
        <f>myParidad('Flujo de Fondos'!$T$5,$A25,H25,'Flujo de Fondos'!$T$7,'Flujo de Fondos'!$T$6)</f>
        <v/>
      </c>
      <c r="J25" s="68" t="n">
        <v>33.8</v>
      </c>
      <c r="K25" s="67">
        <f>myParidad('Flujo de Fondos'!$B$34,$A25,J25,'Flujo de Fondos'!$B$36,'Flujo de Fondos'!$B$35)</f>
        <v/>
      </c>
      <c r="L25" s="66" t="n">
        <v>37.75</v>
      </c>
      <c r="M25" s="67">
        <f>myParidad('Flujo de Fondos'!$H$34,'Paridad usd'!$A25,'Paridad usd'!L25,'Flujo de Fondos'!$H$36,'Flujo de Fondos'!$H$35)</f>
        <v/>
      </c>
      <c r="N25" s="68" t="n">
        <v>37.15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44431</v>
      </c>
      <c r="B26" s="66" t="n">
        <v>36.45</v>
      </c>
      <c r="C26" s="67">
        <f>myParidad('Flujo de Fondos'!$B$5,A26,B26,'Flujo de Fondos'!$B$7,'Flujo de Fondos'!$B$6)</f>
        <v/>
      </c>
      <c r="D26" s="66" t="n">
        <v>40</v>
      </c>
      <c r="E26" s="75">
        <f>myParidad('Flujo de Fondos'!$H$5,$A26,D26,'Flujo de Fondos'!$H$7,'Flujo de Fondos'!$H$6)</f>
        <v/>
      </c>
      <c r="F26" s="66" t="n">
        <v>35.26</v>
      </c>
      <c r="G26" s="67">
        <f>myParidad('Flujo de Fondos'!$N$5,$A26,F26,'Flujo de Fondos'!$N$7,'Flujo de Fondos'!$N$6)</f>
        <v/>
      </c>
      <c r="H26" s="68" t="n">
        <v>38.75</v>
      </c>
      <c r="I26" s="67">
        <f>myParidad('Flujo de Fondos'!$T$5,$A26,H26,'Flujo de Fondos'!$T$7,'Flujo de Fondos'!$T$6)</f>
        <v/>
      </c>
      <c r="J26" s="68" t="n">
        <v>32.9</v>
      </c>
      <c r="K26" s="67">
        <f>myParidad('Flujo de Fondos'!$B$34,$A26,J26,'Flujo de Fondos'!$B$36,'Flujo de Fondos'!$B$35)</f>
        <v/>
      </c>
      <c r="L26" s="66" t="n">
        <v>37.4</v>
      </c>
      <c r="M26" s="67">
        <f>myParidad('Flujo de Fondos'!$H$34,'Paridad usd'!$A26,'Paridad usd'!L26,'Flujo de Fondos'!$H$36,'Flujo de Fondos'!$H$35)</f>
        <v/>
      </c>
      <c r="N26" s="68" t="n">
        <v>37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44428</v>
      </c>
      <c r="B27" s="66" t="n">
        <v>36.21</v>
      </c>
      <c r="C27" s="67">
        <f>myParidad('Flujo de Fondos'!$B$5,A27,B27,'Flujo de Fondos'!$B$7,'Flujo de Fondos'!$B$6)</f>
        <v/>
      </c>
      <c r="D27" s="66" t="n">
        <v>39</v>
      </c>
      <c r="E27" s="75">
        <f>myParidad('Flujo de Fondos'!$H$5,$A27,D27,'Flujo de Fondos'!$H$7,'Flujo de Fondos'!$H$6)</f>
        <v/>
      </c>
      <c r="F27" s="66" t="n">
        <v>35.27</v>
      </c>
      <c r="G27" s="67">
        <f>myParidad('Flujo de Fondos'!$N$5,$A27,F27,'Flujo de Fondos'!$N$7,'Flujo de Fondos'!$N$6)</f>
        <v/>
      </c>
      <c r="H27" s="68" t="n">
        <v>37.99</v>
      </c>
      <c r="I27" s="67">
        <f>myParidad('Flujo de Fondos'!$T$5,$A27,H27,'Flujo de Fondos'!$T$7,'Flujo de Fondos'!$T$6)</f>
        <v/>
      </c>
      <c r="J27" s="68" t="n">
        <v>32.7</v>
      </c>
      <c r="K27" s="67">
        <f>myParidad('Flujo de Fondos'!$B$34,$A27,J27,'Flujo de Fondos'!$B$36,'Flujo de Fondos'!$B$35)</f>
        <v/>
      </c>
      <c r="L27" s="66" t="n">
        <v>37.2</v>
      </c>
      <c r="M27" s="67">
        <f>myParidad('Flujo de Fondos'!$H$34,'Paridad usd'!$A27,'Paridad usd'!L27,'Flujo de Fondos'!$H$36,'Flujo de Fondos'!$H$35)</f>
        <v/>
      </c>
      <c r="N27" s="68" t="n">
        <v>36.6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44427</v>
      </c>
      <c r="B28" s="66" t="n">
        <v>36.15</v>
      </c>
      <c r="C28" s="67">
        <f>myParidad('Flujo de Fondos'!$B$5,A28,B28,'Flujo de Fondos'!$B$7,'Flujo de Fondos'!$B$6)</f>
        <v/>
      </c>
      <c r="D28" s="66" t="n">
        <v>40</v>
      </c>
      <c r="E28" s="75">
        <f>myParidad('Flujo de Fondos'!$H$5,$A28,D28,'Flujo de Fondos'!$H$7,'Flujo de Fondos'!$H$6)</f>
        <v/>
      </c>
      <c r="F28" s="66" t="n">
        <v>35.26</v>
      </c>
      <c r="G28" s="67">
        <f>myParidad('Flujo de Fondos'!$N$5,$A28,F28,'Flujo de Fondos'!$N$7,'Flujo de Fondos'!$N$6)</f>
        <v/>
      </c>
      <c r="H28" s="68" t="n">
        <v>37.91</v>
      </c>
      <c r="I28" s="67">
        <f>myParidad('Flujo de Fondos'!$T$5,$A28,H28,'Flujo de Fondos'!$T$7,'Flujo de Fondos'!$T$6)</f>
        <v/>
      </c>
      <c r="J28" s="68" t="n">
        <v>33.2</v>
      </c>
      <c r="K28" s="67">
        <f>myParidad('Flujo de Fondos'!$B$34,$A28,J28,'Flujo de Fondos'!$B$36,'Flujo de Fondos'!$B$35)</f>
        <v/>
      </c>
      <c r="L28" s="66" t="n">
        <v>37.25</v>
      </c>
      <c r="M28" s="67">
        <f>myParidad('Flujo de Fondos'!$H$34,'Paridad usd'!$A28,'Paridad usd'!L28,'Flujo de Fondos'!$H$36,'Flujo de Fondos'!$H$35)</f>
        <v/>
      </c>
      <c r="N28" s="68" t="n">
        <v>36.7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44426</v>
      </c>
      <c r="B29" s="66" t="n">
        <v>36</v>
      </c>
      <c r="C29" s="67">
        <f>myParidad('Flujo de Fondos'!$B$5,A29,B29,'Flujo de Fondos'!$B$7,'Flujo de Fondos'!$B$6)</f>
        <v/>
      </c>
      <c r="D29" s="66" t="n">
        <v>40</v>
      </c>
      <c r="E29" s="75">
        <f>myParidad('Flujo de Fondos'!$H$5,$A29,D29,'Flujo de Fondos'!$H$7,'Flujo de Fondos'!$H$6)</f>
        <v/>
      </c>
      <c r="F29" s="66" t="n">
        <v>35.11</v>
      </c>
      <c r="G29" s="67">
        <f>myParidad('Flujo de Fondos'!$N$5,$A29,F29,'Flujo de Fondos'!$N$7,'Flujo de Fondos'!$N$6)</f>
        <v/>
      </c>
      <c r="H29" s="68" t="n">
        <v>38.25</v>
      </c>
      <c r="I29" s="67">
        <f>myParidad('Flujo de Fondos'!$T$5,$A29,H29,'Flujo de Fondos'!$T$7,'Flujo de Fondos'!$T$6)</f>
        <v/>
      </c>
      <c r="J29" s="68" t="n">
        <v>33.18</v>
      </c>
      <c r="K29" s="67">
        <f>myParidad('Flujo de Fondos'!$B$34,$A29,J29,'Flujo de Fondos'!$B$36,'Flujo de Fondos'!$B$35)</f>
        <v/>
      </c>
      <c r="L29" s="66" t="n">
        <v>37.65</v>
      </c>
      <c r="M29" s="67">
        <f>myParidad('Flujo de Fondos'!$H$34,'Paridad usd'!$A29,'Paridad usd'!L29,'Flujo de Fondos'!$H$36,'Flujo de Fondos'!$H$35)</f>
        <v/>
      </c>
      <c r="N29" s="68" t="n">
        <v>36.66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44425</v>
      </c>
      <c r="B30" s="66" t="n">
        <v>36.09</v>
      </c>
      <c r="C30" s="67">
        <f>myParidad('Flujo de Fondos'!$B$5,A30,B30,'Flujo de Fondos'!$B$7,'Flujo de Fondos'!$B$6)</f>
        <v/>
      </c>
      <c r="D30" s="66" t="n">
        <v>39.81</v>
      </c>
      <c r="E30" s="75">
        <f>myParidad('Flujo de Fondos'!$H$5,$A30,D30,'Flujo de Fondos'!$H$7,'Flujo de Fondos'!$H$6)</f>
        <v/>
      </c>
      <c r="F30" s="66" t="n">
        <v>35.27</v>
      </c>
      <c r="G30" s="67">
        <f>myParidad('Flujo de Fondos'!$N$5,$A30,F30,'Flujo de Fondos'!$N$7,'Flujo de Fondos'!$N$6)</f>
        <v/>
      </c>
      <c r="H30" s="68" t="n">
        <v>38.4</v>
      </c>
      <c r="I30" s="67">
        <f>myParidad('Flujo de Fondos'!$T$5,$A30,H30,'Flujo de Fondos'!$T$7,'Flujo de Fondos'!$T$6)</f>
        <v/>
      </c>
      <c r="J30" s="68" t="n">
        <v>32.7</v>
      </c>
      <c r="K30" s="67">
        <f>myParidad('Flujo de Fondos'!$B$34,$A30,J30,'Flujo de Fondos'!$B$36,'Flujo de Fondos'!$B$35)</f>
        <v/>
      </c>
      <c r="L30" s="66" t="n">
        <v>37.75</v>
      </c>
      <c r="M30" s="67">
        <f>myParidad('Flujo de Fondos'!$H$34,'Paridad usd'!$A30,'Paridad usd'!L30,'Flujo de Fondos'!$H$36,'Flujo de Fondos'!$H$35)</f>
        <v/>
      </c>
      <c r="N30" s="68" t="n">
        <v>36.4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44421</v>
      </c>
      <c r="B31" s="66" t="n">
        <v>36.15</v>
      </c>
      <c r="C31" s="67">
        <f>myParidad('Flujo de Fondos'!$B$5,A31,B31,'Flujo de Fondos'!$B$7,'Flujo de Fondos'!$B$6)</f>
        <v/>
      </c>
      <c r="D31" s="66" t="n">
        <v>40.6</v>
      </c>
      <c r="E31" s="75">
        <f>myParidad('Flujo de Fondos'!$H$5,$A31,D31,'Flujo de Fondos'!$H$7,'Flujo de Fondos'!$H$6)</f>
        <v/>
      </c>
      <c r="F31" s="66" t="n">
        <v>35.12</v>
      </c>
      <c r="G31" s="67">
        <f>myParidad('Flujo de Fondos'!$N$5,$A31,F31,'Flujo de Fondos'!$N$7,'Flujo de Fondos'!$N$6)</f>
        <v/>
      </c>
      <c r="H31" s="68" t="n">
        <v>38.8</v>
      </c>
      <c r="I31" s="67">
        <f>myParidad('Flujo de Fondos'!$T$5,$A31,H31,'Flujo de Fondos'!$T$7,'Flujo de Fondos'!$T$6)</f>
        <v/>
      </c>
      <c r="J31" s="68" t="n">
        <v>33.25</v>
      </c>
      <c r="K31" s="67">
        <f>myParidad('Flujo de Fondos'!$B$34,$A31,J31,'Flujo de Fondos'!$B$36,'Flujo de Fondos'!$B$35)</f>
        <v/>
      </c>
      <c r="L31" s="66" t="n">
        <v>37.75</v>
      </c>
      <c r="M31" s="67">
        <f>myParidad('Flujo de Fondos'!$H$34,'Paridad usd'!$A31,'Paridad usd'!L31,'Flujo de Fondos'!$H$36,'Flujo de Fondos'!$H$35)</f>
        <v/>
      </c>
      <c r="N31" s="68" t="n">
        <v>37.4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44420</v>
      </c>
      <c r="B32" s="66" t="n">
        <v>37.02</v>
      </c>
      <c r="C32" s="67">
        <f>myParidad('Flujo de Fondos'!$B$5,A32,B32,'Flujo de Fondos'!$B$7,'Flujo de Fondos'!$B$6)</f>
        <v/>
      </c>
      <c r="D32" s="66" t="n">
        <v>40.7</v>
      </c>
      <c r="E32" s="75">
        <f>myParidad('Flujo de Fondos'!$H$5,$A32,D32,'Flujo de Fondos'!$H$7,'Flujo de Fondos'!$H$6)</f>
        <v/>
      </c>
      <c r="F32" s="66" t="n">
        <v>35.68</v>
      </c>
      <c r="G32" s="67">
        <f>myParidad('Flujo de Fondos'!$N$5,$A32,F32,'Flujo de Fondos'!$N$7,'Flujo de Fondos'!$N$6)</f>
        <v/>
      </c>
      <c r="H32" s="68" t="n">
        <v>39.14</v>
      </c>
      <c r="I32" s="67">
        <f>myParidad('Flujo de Fondos'!$T$5,$A32,H32,'Flujo de Fondos'!$T$7,'Flujo de Fondos'!$T$6)</f>
        <v/>
      </c>
      <c r="J32" s="68" t="n">
        <v>33.8</v>
      </c>
      <c r="K32" s="67">
        <f>myParidad('Flujo de Fondos'!$B$34,$A32,J32,'Flujo de Fondos'!$B$36,'Flujo de Fondos'!$B$35)</f>
        <v/>
      </c>
      <c r="L32" s="66" t="n">
        <v>38.4</v>
      </c>
      <c r="M32" s="67">
        <f>myParidad('Flujo de Fondos'!$H$34,'Paridad usd'!$A32,'Paridad usd'!L32,'Flujo de Fondos'!$H$36,'Flujo de Fondos'!$H$35)</f>
        <v/>
      </c>
      <c r="N32" s="68" t="n">
        <v>37.9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44419</v>
      </c>
      <c r="B33" s="66" t="n">
        <v>36.65</v>
      </c>
      <c r="C33" s="67">
        <f>myParidad('Flujo de Fondos'!$B$5,A33,B33,'Flujo de Fondos'!$B$7,'Flujo de Fondos'!$B$6)</f>
        <v/>
      </c>
      <c r="D33" s="66" t="n">
        <v>40.5</v>
      </c>
      <c r="E33" s="75">
        <f>myParidad('Flujo de Fondos'!$H$5,$A33,D33,'Flujo de Fondos'!$H$7,'Flujo de Fondos'!$H$6)</f>
        <v/>
      </c>
      <c r="F33" s="66" t="n">
        <v>35.53</v>
      </c>
      <c r="G33" s="67">
        <f>myParidad('Flujo de Fondos'!$N$5,$A33,F33,'Flujo de Fondos'!$N$7,'Flujo de Fondos'!$N$6)</f>
        <v/>
      </c>
      <c r="H33" s="68" t="n">
        <v>38.7</v>
      </c>
      <c r="I33" s="67">
        <f>myParidad('Flujo de Fondos'!$T$5,$A33,H33,'Flujo de Fondos'!$T$7,'Flujo de Fondos'!$T$6)</f>
        <v/>
      </c>
      <c r="J33" s="68" t="n">
        <v>33.03</v>
      </c>
      <c r="K33" s="67">
        <f>myParidad('Flujo de Fondos'!$B$34,$A33,J33,'Flujo de Fondos'!$B$36,'Flujo de Fondos'!$B$35)</f>
        <v/>
      </c>
      <c r="L33" s="66" t="n">
        <v>37.81</v>
      </c>
      <c r="M33" s="67">
        <f>myParidad('Flujo de Fondos'!$H$34,'Paridad usd'!$A33,'Paridad usd'!L33,'Flujo de Fondos'!$H$36,'Flujo de Fondos'!$H$35)</f>
        <v/>
      </c>
      <c r="N33" s="68" t="n">
        <v>37.55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44418</v>
      </c>
      <c r="B34" s="66" t="n">
        <v>36.5</v>
      </c>
      <c r="C34" s="67">
        <f>myParidad('Flujo de Fondos'!$B$5,A34,B34,'Flujo de Fondos'!$B$7,'Flujo de Fondos'!$B$6)</f>
        <v/>
      </c>
      <c r="D34" s="66" t="n">
        <v>40.5</v>
      </c>
      <c r="E34" s="75">
        <f>myParidad('Flujo de Fondos'!$H$5,$A34,D34,'Flujo de Fondos'!$H$7,'Flujo de Fondos'!$H$6)</f>
        <v/>
      </c>
      <c r="F34" s="66" t="n">
        <v>35.35</v>
      </c>
      <c r="G34" s="67">
        <f>myParidad('Flujo de Fondos'!$N$5,$A34,F34,'Flujo de Fondos'!$N$7,'Flujo de Fondos'!$N$6)</f>
        <v/>
      </c>
      <c r="H34" s="68" t="n">
        <v>38.69</v>
      </c>
      <c r="I34" s="67">
        <f>myParidad('Flujo de Fondos'!$T$5,$A34,H34,'Flujo de Fondos'!$T$7,'Flujo de Fondos'!$T$6)</f>
        <v/>
      </c>
      <c r="J34" s="68" t="n">
        <v>32.91</v>
      </c>
      <c r="K34" s="67">
        <f>myParidad('Flujo de Fondos'!$B$34,$A34,J34,'Flujo de Fondos'!$B$36,'Flujo de Fondos'!$B$35)</f>
        <v/>
      </c>
      <c r="L34" s="66" t="n">
        <v>37.74</v>
      </c>
      <c r="M34" s="67">
        <f>myParidad('Flujo de Fondos'!$H$34,'Paridad usd'!$A34,'Paridad usd'!L34,'Flujo de Fondos'!$H$36,'Flujo de Fondos'!$H$35)</f>
        <v/>
      </c>
      <c r="N34" s="68" t="n">
        <v>37.5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44417</v>
      </c>
      <c r="B35" s="66" t="n">
        <v>36.12</v>
      </c>
      <c r="C35" s="67">
        <f>myParidad('Flujo de Fondos'!$B$5,A35,B35,'Flujo de Fondos'!$B$7,'Flujo de Fondos'!$B$6)</f>
        <v/>
      </c>
      <c r="D35" s="66" t="n">
        <v>40.05</v>
      </c>
      <c r="E35" s="75">
        <f>myParidad('Flujo de Fondos'!$H$5,$A35,D35,'Flujo de Fondos'!$H$7,'Flujo de Fondos'!$H$6)</f>
        <v/>
      </c>
      <c r="F35" s="66" t="n">
        <v>35.1</v>
      </c>
      <c r="G35" s="67">
        <f>myParidad('Flujo de Fondos'!$N$5,$A35,F35,'Flujo de Fondos'!$N$7,'Flujo de Fondos'!$N$6)</f>
        <v/>
      </c>
      <c r="H35" s="68" t="n">
        <v>38.33</v>
      </c>
      <c r="I35" s="67">
        <f>myParidad('Flujo de Fondos'!$T$5,$A35,H35,'Flujo de Fondos'!$T$7,'Flujo de Fondos'!$T$6)</f>
        <v/>
      </c>
      <c r="J35" s="68" t="n">
        <v>32.7</v>
      </c>
      <c r="K35" s="67">
        <f>myParidad('Flujo de Fondos'!$B$34,$A35,J35,'Flujo de Fondos'!$B$36,'Flujo de Fondos'!$B$35)</f>
        <v/>
      </c>
      <c r="L35" s="66" t="n">
        <v>37.4</v>
      </c>
      <c r="M35" s="67">
        <f>myParidad('Flujo de Fondos'!$H$34,'Paridad usd'!$A35,'Paridad usd'!L35,'Flujo de Fondos'!$H$36,'Flujo de Fondos'!$H$35)</f>
        <v/>
      </c>
      <c r="N35" s="68" t="n">
        <v>37.08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44413</v>
      </c>
      <c r="B36" s="66" t="n">
        <v>36.25</v>
      </c>
      <c r="C36" s="67">
        <f>myParidad('Flujo de Fondos'!$B$5,A36,B36,'Flujo de Fondos'!$B$7,'Flujo de Fondos'!$B$6)</f>
        <v/>
      </c>
      <c r="D36" s="66" t="n">
        <v>40.4</v>
      </c>
      <c r="E36" s="75">
        <f>myParidad('Flujo de Fondos'!$H$5,$A36,D36,'Flujo de Fondos'!$H$7,'Flujo de Fondos'!$H$6)</f>
        <v/>
      </c>
      <c r="F36" s="66" t="n">
        <v>34.97</v>
      </c>
      <c r="G36" s="67">
        <f>myParidad('Flujo de Fondos'!$N$5,$A36,F36,'Flujo de Fondos'!$N$7,'Flujo de Fondos'!$N$6)</f>
        <v/>
      </c>
      <c r="H36" s="68" t="n">
        <v>38.4</v>
      </c>
      <c r="I36" s="67">
        <f>myParidad('Flujo de Fondos'!$T$5,$A36,H36,'Flujo de Fondos'!$T$7,'Flujo de Fondos'!$T$6)</f>
        <v/>
      </c>
      <c r="J36" s="68" t="n">
        <v>32.75</v>
      </c>
      <c r="K36" s="67">
        <f>myParidad('Flujo de Fondos'!$B$34,$A36,J36,'Flujo de Fondos'!$B$36,'Flujo de Fondos'!$B$35)</f>
        <v/>
      </c>
      <c r="L36" s="66" t="n">
        <v>37.4</v>
      </c>
      <c r="M36" s="67">
        <f>myParidad('Flujo de Fondos'!$H$34,'Paridad usd'!$A36,'Paridad usd'!L36,'Flujo de Fondos'!$H$36,'Flujo de Fondos'!$H$35)</f>
        <v/>
      </c>
      <c r="N36" s="68" t="n">
        <v>37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44412</v>
      </c>
      <c r="B37" s="66" t="n">
        <v>36.3</v>
      </c>
      <c r="C37" s="67">
        <f>myParidad('Flujo de Fondos'!$B$5,A37,B37,'Flujo de Fondos'!$B$7,'Flujo de Fondos'!$B$6)</f>
        <v/>
      </c>
      <c r="D37" s="66" t="n">
        <v>41</v>
      </c>
      <c r="E37" s="75">
        <f>myParidad('Flujo de Fondos'!$H$5,$A37,D37,'Flujo de Fondos'!$H$7,'Flujo de Fondos'!$H$6)</f>
        <v/>
      </c>
      <c r="F37" s="66" t="n">
        <v>35.19</v>
      </c>
      <c r="G37" s="67">
        <f>myParidad('Flujo de Fondos'!$N$5,$A37,F37,'Flujo de Fondos'!$N$7,'Flujo de Fondos'!$N$6)</f>
        <v/>
      </c>
      <c r="H37" s="68" t="n">
        <v>38.7</v>
      </c>
      <c r="I37" s="67">
        <f>myParidad('Flujo de Fondos'!$T$5,$A37,H37,'Flujo de Fondos'!$T$7,'Flujo de Fondos'!$T$6)</f>
        <v/>
      </c>
      <c r="J37" s="68" t="n">
        <v>33.02</v>
      </c>
      <c r="K37" s="67">
        <f>myParidad('Flujo de Fondos'!$B$34,$A37,J37,'Flujo de Fondos'!$B$36,'Flujo de Fondos'!$B$35)</f>
        <v/>
      </c>
      <c r="L37" s="66" t="n">
        <v>37.7</v>
      </c>
      <c r="M37" s="67">
        <f>myParidad('Flujo de Fondos'!$H$34,'Paridad usd'!$A37,'Paridad usd'!L37,'Flujo de Fondos'!$H$36,'Flujo de Fondos'!$H$35)</f>
        <v/>
      </c>
      <c r="N37" s="68" t="n">
        <v>37.15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44411</v>
      </c>
      <c r="B38" s="66" t="n">
        <v>36.43</v>
      </c>
      <c r="C38" s="67">
        <f>myParidad('Flujo de Fondos'!$B$5,A38,B38,'Flujo de Fondos'!$B$7,'Flujo de Fondos'!$B$6)</f>
        <v/>
      </c>
      <c r="D38" s="66" t="n">
        <v>40.5</v>
      </c>
      <c r="E38" s="75">
        <f>myParidad('Flujo de Fondos'!$H$5,$A38,D38,'Flujo de Fondos'!$H$7,'Flujo de Fondos'!$H$6)</f>
        <v/>
      </c>
      <c r="F38" s="66" t="n">
        <v>35.41</v>
      </c>
      <c r="G38" s="67">
        <f>myParidad('Flujo de Fondos'!$N$5,$A38,F38,'Flujo de Fondos'!$N$7,'Flujo de Fondos'!$N$6)</f>
        <v/>
      </c>
      <c r="H38" s="68" t="n">
        <v>38.79</v>
      </c>
      <c r="I38" s="67">
        <f>myParidad('Flujo de Fondos'!$T$5,$A38,H38,'Flujo de Fondos'!$T$7,'Flujo de Fondos'!$T$6)</f>
        <v/>
      </c>
      <c r="J38" s="68" t="n">
        <v>33.43</v>
      </c>
      <c r="K38" s="67">
        <f>myParidad('Flujo de Fondos'!$B$34,$A38,J38,'Flujo de Fondos'!$B$36,'Flujo de Fondos'!$B$35)</f>
        <v/>
      </c>
      <c r="L38" s="66" t="n">
        <v>38.15</v>
      </c>
      <c r="M38" s="67">
        <f>myParidad('Flujo de Fondos'!$H$34,'Paridad usd'!$A38,'Paridad usd'!L38,'Flujo de Fondos'!$H$36,'Flujo de Fondos'!$H$35)</f>
        <v/>
      </c>
      <c r="N38" s="68" t="n">
        <v>37.6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44410</v>
      </c>
      <c r="B39" s="66" t="n">
        <v>36.65</v>
      </c>
      <c r="C39" s="67">
        <f>myParidad('Flujo de Fondos'!$B$5,A39,B39,'Flujo de Fondos'!$B$7,'Flujo de Fondos'!$B$6)</f>
        <v/>
      </c>
      <c r="D39" s="66" t="n">
        <v>40.01</v>
      </c>
      <c r="E39" s="75">
        <f>myParidad('Flujo de Fondos'!$H$5,$A39,D39,'Flujo de Fondos'!$H$7,'Flujo de Fondos'!$H$6)</f>
        <v/>
      </c>
      <c r="F39" s="66" t="n">
        <v>35.59</v>
      </c>
      <c r="G39" s="67">
        <f>myParidad('Flujo de Fondos'!$N$5,$A39,F39,'Flujo de Fondos'!$N$7,'Flujo de Fondos'!$N$6)</f>
        <v/>
      </c>
      <c r="H39" s="68" t="n">
        <v>38.96</v>
      </c>
      <c r="I39" s="67">
        <f>myParidad('Flujo de Fondos'!$T$5,$A39,H39,'Flujo de Fondos'!$T$7,'Flujo de Fondos'!$T$6)</f>
        <v/>
      </c>
      <c r="J39" s="68" t="n">
        <v>33.7</v>
      </c>
      <c r="K39" s="67">
        <f>myParidad('Flujo de Fondos'!$B$34,$A39,J39,'Flujo de Fondos'!$B$36,'Flujo de Fondos'!$B$35)</f>
        <v/>
      </c>
      <c r="L39" s="66" t="n">
        <v>38.23</v>
      </c>
      <c r="M39" s="67">
        <f>myParidad('Flujo de Fondos'!$H$34,'Paridad usd'!$A39,'Paridad usd'!L39,'Flujo de Fondos'!$H$36,'Flujo de Fondos'!$H$35)</f>
        <v/>
      </c>
      <c r="N39" s="68" t="n">
        <v>37.9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44409</v>
      </c>
      <c r="B40" s="66" t="n">
        <v>36.75</v>
      </c>
      <c r="C40" s="67">
        <f>myParidad('Flujo de Fondos'!$B$5,A40,B40,'Flujo de Fondos'!$B$7,'Flujo de Fondos'!$B$6)</f>
        <v/>
      </c>
      <c r="D40" s="66" t="n">
        <v>40.5</v>
      </c>
      <c r="E40" s="75">
        <f>myParidad('Flujo de Fondos'!$H$5,$A40,D40,'Flujo de Fondos'!$H$7,'Flujo de Fondos'!$H$6)</f>
        <v/>
      </c>
      <c r="F40" s="66" t="n">
        <v>35.78</v>
      </c>
      <c r="G40" s="67">
        <f>myParidad('Flujo de Fondos'!$N$5,$A40,F40,'Flujo de Fondos'!$N$7,'Flujo de Fondos'!$N$6)</f>
        <v/>
      </c>
      <c r="H40" s="68" t="n">
        <v>39</v>
      </c>
      <c r="I40" s="67">
        <f>myParidad('Flujo de Fondos'!$T$5,$A40,H40,'Flujo de Fondos'!$T$7,'Flujo de Fondos'!$T$6)</f>
        <v/>
      </c>
      <c r="J40" s="68" t="n">
        <v>33.6</v>
      </c>
      <c r="K40" s="67">
        <f>myParidad('Flujo de Fondos'!$B$34,$A40,J40,'Flujo de Fondos'!$B$36,'Flujo de Fondos'!$B$35)</f>
        <v/>
      </c>
      <c r="L40" s="66" t="n">
        <v>38.3</v>
      </c>
      <c r="M40" s="67">
        <f>myParidad('Flujo de Fondos'!$H$34,'Paridad usd'!$A40,'Paridad usd'!L40,'Flujo de Fondos'!$H$36,'Flujo de Fondos'!$H$35)</f>
        <v/>
      </c>
      <c r="N40" s="68" t="n">
        <v>38.05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44407</v>
      </c>
      <c r="B41" s="66" t="n">
        <v>36.8</v>
      </c>
      <c r="C41" s="67">
        <f>myParidad('Flujo de Fondos'!$B$5,A41,B41,'Flujo de Fondos'!$B$7,'Flujo de Fondos'!$B$6)</f>
        <v/>
      </c>
      <c r="D41" s="66" t="n">
        <v>40.9</v>
      </c>
      <c r="E41" s="75">
        <f>myParidad('Flujo de Fondos'!$H$5,$A41,D41,'Flujo de Fondos'!$H$7,'Flujo de Fondos'!$H$6)</f>
        <v/>
      </c>
      <c r="F41" s="66" t="n">
        <v>35.87</v>
      </c>
      <c r="G41" s="67">
        <f>myParidad('Flujo de Fondos'!$N$5,$A41,F41,'Flujo de Fondos'!$N$7,'Flujo de Fondos'!$N$6)</f>
        <v/>
      </c>
      <c r="H41" s="68" t="n">
        <v>38.82</v>
      </c>
      <c r="I41" s="67">
        <f>myParidad('Flujo de Fondos'!$T$5,$A41,H41,'Flujo de Fondos'!$T$7,'Flujo de Fondos'!$T$6)</f>
        <v/>
      </c>
      <c r="J41" s="68" t="n">
        <v>33.58</v>
      </c>
      <c r="K41" s="67">
        <f>myParidad('Flujo de Fondos'!$B$34,$A41,J41,'Flujo de Fondos'!$B$36,'Flujo de Fondos'!$B$35)</f>
        <v/>
      </c>
      <c r="L41" s="66" t="n">
        <v>38.48</v>
      </c>
      <c r="M41" s="67">
        <f>myParidad('Flujo de Fondos'!$H$34,'Paridad usd'!$A41,'Paridad usd'!L41,'Flujo de Fondos'!$H$36,'Flujo de Fondos'!$H$35)</f>
        <v/>
      </c>
      <c r="N41" s="68" t="n">
        <v>38.1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44406</v>
      </c>
      <c r="B42" s="66" t="n">
        <v>36.86</v>
      </c>
      <c r="C42" s="67">
        <f>myParidad('Flujo de Fondos'!$B$5,A42,B42,'Flujo de Fondos'!$B$7,'Flujo de Fondos'!$B$6)</f>
        <v/>
      </c>
      <c r="D42" s="66" t="n">
        <v>41</v>
      </c>
      <c r="E42" s="75">
        <f>myParidad('Flujo de Fondos'!$H$5,$A42,D42,'Flujo de Fondos'!$H$7,'Flujo de Fondos'!$H$6)</f>
        <v/>
      </c>
      <c r="F42" s="66" t="n">
        <v>35.91</v>
      </c>
      <c r="G42" s="67">
        <f>myParidad('Flujo de Fondos'!$N$5,$A42,F42,'Flujo de Fondos'!$N$7,'Flujo de Fondos'!$N$6)</f>
        <v/>
      </c>
      <c r="H42" s="68" t="n">
        <v>38.68</v>
      </c>
      <c r="I42" s="67">
        <f>myParidad('Flujo de Fondos'!$T$5,$A42,H42,'Flujo de Fondos'!$T$7,'Flujo de Fondos'!$T$6)</f>
        <v/>
      </c>
      <c r="J42" s="68" t="n">
        <v>33.5</v>
      </c>
      <c r="K42" s="67">
        <f>myParidad('Flujo de Fondos'!$B$34,$A42,J42,'Flujo de Fondos'!$B$36,'Flujo de Fondos'!$B$35)</f>
        <v/>
      </c>
      <c r="L42" s="66" t="n">
        <v>38.45</v>
      </c>
      <c r="M42" s="67">
        <f>myParidad('Flujo de Fondos'!$H$34,'Paridad usd'!$A42,'Paridad usd'!L42,'Flujo de Fondos'!$H$36,'Flujo de Fondos'!$H$35)</f>
        <v/>
      </c>
      <c r="N42" s="68" t="n">
        <v>38.15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44405</v>
      </c>
      <c r="B43" s="66" t="n">
        <v>36.98</v>
      </c>
      <c r="C43" s="67">
        <f>myParidad('Flujo de Fondos'!$B$5,A43,B43,'Flujo de Fondos'!$B$7,'Flujo de Fondos'!$B$6)</f>
        <v/>
      </c>
      <c r="D43" s="66" t="n">
        <v>40.3</v>
      </c>
      <c r="E43" s="75">
        <f>myParidad('Flujo de Fondos'!$H$5,$A43,D43,'Flujo de Fondos'!$H$7,'Flujo de Fondos'!$H$6)</f>
        <v/>
      </c>
      <c r="F43" s="66" t="n">
        <v>36.01</v>
      </c>
      <c r="G43" s="67">
        <f>myParidad('Flujo de Fondos'!$N$5,$A43,F43,'Flujo de Fondos'!$N$7,'Flujo de Fondos'!$N$6)</f>
        <v/>
      </c>
      <c r="H43" s="68" t="n">
        <v>38.69</v>
      </c>
      <c r="I43" s="67">
        <f>myParidad('Flujo de Fondos'!$T$5,$A43,H43,'Flujo de Fondos'!$T$7,'Flujo de Fondos'!$T$6)</f>
        <v/>
      </c>
      <c r="J43" s="68" t="n">
        <v>33.71</v>
      </c>
      <c r="K43" s="67">
        <f>myParidad('Flujo de Fondos'!$B$34,$A43,J43,'Flujo de Fondos'!$B$36,'Flujo de Fondos'!$B$35)</f>
        <v/>
      </c>
      <c r="L43" s="66" t="n">
        <v>38.45</v>
      </c>
      <c r="M43" s="67">
        <f>myParidad('Flujo de Fondos'!$H$34,'Paridad usd'!$A43,'Paridad usd'!L43,'Flujo de Fondos'!$H$36,'Flujo de Fondos'!$H$35)</f>
        <v/>
      </c>
      <c r="N43" s="68" t="n">
        <v>38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44404</v>
      </c>
      <c r="B44" s="66" t="n">
        <v>37.05</v>
      </c>
      <c r="C44" s="67">
        <f>myParidad('Flujo de Fondos'!$B$5,A44,B44,'Flujo de Fondos'!$B$7,'Flujo de Fondos'!$B$6)</f>
        <v/>
      </c>
      <c r="D44" s="66" t="n">
        <v>40.3</v>
      </c>
      <c r="E44" s="75">
        <f>myParidad('Flujo de Fondos'!$H$5,$A44,D44,'Flujo de Fondos'!$H$7,'Flujo de Fondos'!$H$6)</f>
        <v/>
      </c>
      <c r="F44" s="66" t="n">
        <v>36.12</v>
      </c>
      <c r="G44" s="67">
        <f>myParidad('Flujo de Fondos'!$N$5,$A44,F44,'Flujo de Fondos'!$N$7,'Flujo de Fondos'!$N$6)</f>
        <v/>
      </c>
      <c r="H44" s="68" t="n">
        <v>38.62</v>
      </c>
      <c r="I44" s="67">
        <f>myParidad('Flujo de Fondos'!$T$5,$A44,H44,'Flujo de Fondos'!$T$7,'Flujo de Fondos'!$T$6)</f>
        <v/>
      </c>
      <c r="J44" s="68" t="n">
        <v>33.45</v>
      </c>
      <c r="K44" s="67">
        <f>myParidad('Flujo de Fondos'!$B$34,$A44,J44,'Flujo de Fondos'!$B$36,'Flujo de Fondos'!$B$35)</f>
        <v/>
      </c>
      <c r="L44" s="66" t="n">
        <v>38.4</v>
      </c>
      <c r="M44" s="67">
        <f>myParidad('Flujo de Fondos'!$H$34,'Paridad usd'!$A44,'Paridad usd'!L44,'Flujo de Fondos'!$H$36,'Flujo de Fondos'!$H$35)</f>
        <v/>
      </c>
      <c r="N44" s="68" t="n">
        <v>38.3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44403</v>
      </c>
      <c r="B45" s="66" t="n">
        <v>37.06</v>
      </c>
      <c r="C45" s="67">
        <f>myParidad('Flujo de Fondos'!$B$5,A45,B45,'Flujo de Fondos'!$B$7,'Flujo de Fondos'!$B$6)</f>
        <v/>
      </c>
      <c r="D45" s="66" t="n">
        <v>40.55</v>
      </c>
      <c r="E45" s="75">
        <f>myParidad('Flujo de Fondos'!$H$5,$A45,D45,'Flujo de Fondos'!$H$7,'Flujo de Fondos'!$H$6)</f>
        <v/>
      </c>
      <c r="F45" s="66" t="n">
        <v>36.22</v>
      </c>
      <c r="G45" s="67">
        <f>myParidad('Flujo de Fondos'!$N$5,$A45,F45,'Flujo de Fondos'!$N$7,'Flujo de Fondos'!$N$6)</f>
        <v/>
      </c>
      <c r="H45" s="68" t="n">
        <v>38.6</v>
      </c>
      <c r="I45" s="67">
        <f>myParidad('Flujo de Fondos'!$T$5,$A45,H45,'Flujo de Fondos'!$T$7,'Flujo de Fondos'!$T$6)</f>
        <v/>
      </c>
      <c r="J45" s="68" t="n">
        <v>33.5</v>
      </c>
      <c r="K45" s="67">
        <f>myParidad('Flujo de Fondos'!$B$34,$A45,J45,'Flujo de Fondos'!$B$36,'Flujo de Fondos'!$B$35)</f>
        <v/>
      </c>
      <c r="L45" s="66" t="n">
        <v>38.45</v>
      </c>
      <c r="M45" s="67">
        <f>myParidad('Flujo de Fondos'!$H$34,'Paridad usd'!$A45,'Paridad usd'!L45,'Flujo de Fondos'!$H$36,'Flujo de Fondos'!$H$35)</f>
        <v/>
      </c>
      <c r="N45" s="68" t="n">
        <v>38.3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 customFormat="1" s="69">
      <c r="A46" s="65" t="n">
        <v>44400</v>
      </c>
      <c r="B46" s="66" t="n">
        <v>37</v>
      </c>
      <c r="C46" s="67">
        <f>myParidad('Flujo de Fondos'!$B$5,A46,B46,'Flujo de Fondos'!$B$7,'Flujo de Fondos'!$B$6)</f>
        <v/>
      </c>
      <c r="D46" s="66" t="n">
        <v>40.55</v>
      </c>
      <c r="E46" s="75">
        <f>myParidad('Flujo de Fondos'!$H$5,$A46,D46,'Flujo de Fondos'!$H$7,'Flujo de Fondos'!$H$6)</f>
        <v/>
      </c>
      <c r="F46" s="66" t="n">
        <v>36.28</v>
      </c>
      <c r="G46" s="67">
        <f>myParidad('Flujo de Fondos'!$N$5,$A46,F46,'Flujo de Fondos'!$N$7,'Flujo de Fondos'!$N$6)</f>
        <v/>
      </c>
      <c r="H46" s="68" t="n">
        <v>38.95</v>
      </c>
      <c r="I46" s="67">
        <f>myParidad('Flujo de Fondos'!$T$5,$A46,H46,'Flujo de Fondos'!$T$7,'Flujo de Fondos'!$T$6)</f>
        <v/>
      </c>
      <c r="J46" s="68" t="n">
        <v>33.34</v>
      </c>
      <c r="K46" s="67">
        <f>myParidad('Flujo de Fondos'!$B$34,$A46,J46,'Flujo de Fondos'!$B$36,'Flujo de Fondos'!$B$35)</f>
        <v/>
      </c>
      <c r="L46" s="66" t="n">
        <v>38.59</v>
      </c>
      <c r="M46" s="67">
        <f>myParidad('Flujo de Fondos'!$H$34,'Paridad usd'!$A46,'Paridad usd'!L46,'Flujo de Fondos'!$H$36,'Flujo de Fondos'!$H$35)</f>
        <v/>
      </c>
      <c r="N46" s="68" t="n">
        <v>38.5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 customFormat="1" s="69">
      <c r="A47" s="65" t="n">
        <v>44399</v>
      </c>
      <c r="B47" s="66" t="n">
        <v>37.2</v>
      </c>
      <c r="C47" s="67">
        <f>myParidad('Flujo de Fondos'!$B$5,A47,B47,'Flujo de Fondos'!$B$7,'Flujo de Fondos'!$B$6)</f>
        <v/>
      </c>
      <c r="D47" s="66" t="n">
        <v>40.6</v>
      </c>
      <c r="E47" s="75">
        <f>myParidad('Flujo de Fondos'!$H$5,$A47,D47,'Flujo de Fondos'!$H$7,'Flujo de Fondos'!$H$6)</f>
        <v/>
      </c>
      <c r="F47" s="66" t="n">
        <v>36.3</v>
      </c>
      <c r="G47" s="67">
        <f>myParidad('Flujo de Fondos'!$N$5,$A47,F47,'Flujo de Fondos'!$N$7,'Flujo de Fondos'!$N$6)</f>
        <v/>
      </c>
      <c r="H47" s="68" t="n">
        <v>38.58</v>
      </c>
      <c r="I47" s="67">
        <f>myParidad('Flujo de Fondos'!$T$5,$A47,H47,'Flujo de Fondos'!$T$7,'Flujo de Fondos'!$T$6)</f>
        <v/>
      </c>
      <c r="J47" s="68" t="n">
        <v>33.3</v>
      </c>
      <c r="K47" s="67">
        <f>myParidad('Flujo de Fondos'!$B$34,$A47,J47,'Flujo de Fondos'!$B$36,'Flujo de Fondos'!$B$35)</f>
        <v/>
      </c>
      <c r="L47" s="66" t="n">
        <v>38.55</v>
      </c>
      <c r="M47" s="67">
        <f>myParidad('Flujo de Fondos'!$H$34,'Paridad usd'!$A47,'Paridad usd'!L47,'Flujo de Fondos'!$H$36,'Flujo de Fondos'!$H$35)</f>
        <v/>
      </c>
      <c r="N47" s="68" t="n">
        <v>38.21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 customFormat="1" s="69">
      <c r="A48" s="65" t="n">
        <v>44398</v>
      </c>
      <c r="B48" s="66" t="n">
        <v>37.2</v>
      </c>
      <c r="C48" s="67">
        <f>myParidad('Flujo de Fondos'!$B$5,A48,B48,'Flujo de Fondos'!$B$7,'Flujo de Fondos'!$B$6)</f>
        <v/>
      </c>
      <c r="D48" s="66" t="n">
        <v>40.05</v>
      </c>
      <c r="E48" s="75">
        <f>myParidad('Flujo de Fondos'!$H$5,$A48,D48,'Flujo de Fondos'!$H$7,'Flujo de Fondos'!$H$6)</f>
        <v/>
      </c>
      <c r="F48" s="66" t="n">
        <v>36.32</v>
      </c>
      <c r="G48" s="67">
        <f>myParidad('Flujo de Fondos'!$N$5,$A48,F48,'Flujo de Fondos'!$N$7,'Flujo de Fondos'!$N$6)</f>
        <v/>
      </c>
      <c r="H48" s="68" t="n">
        <v>38.39</v>
      </c>
      <c r="I48" s="67">
        <f>myParidad('Flujo de Fondos'!$T$5,$A48,H48,'Flujo de Fondos'!$T$7,'Flujo de Fondos'!$T$6)</f>
        <v/>
      </c>
      <c r="J48" s="68" t="n">
        <v>33.26</v>
      </c>
      <c r="K48" s="67">
        <f>myParidad('Flujo de Fondos'!$B$34,$A48,J48,'Flujo de Fondos'!$B$36,'Flujo de Fondos'!$B$35)</f>
        <v/>
      </c>
      <c r="L48" s="66" t="n">
        <v>38.15</v>
      </c>
      <c r="M48" s="67">
        <f>myParidad('Flujo de Fondos'!$H$34,'Paridad usd'!$A48,'Paridad usd'!L48,'Flujo de Fondos'!$H$36,'Flujo de Fondos'!$H$35)</f>
        <v/>
      </c>
      <c r="N48" s="68" t="n">
        <v>37.85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44397</v>
      </c>
      <c r="B49" s="66" t="n">
        <v>37</v>
      </c>
      <c r="C49" s="67">
        <f>myParidad('Flujo de Fondos'!$B$5,A49,B49,'Flujo de Fondos'!$B$7,'Flujo de Fondos'!$B$6)</f>
        <v/>
      </c>
      <c r="D49" s="66" t="n">
        <v>40.9</v>
      </c>
      <c r="E49" s="75">
        <f>myParidad('Flujo de Fondos'!$H$5,$A49,D49,'Flujo de Fondos'!$H$7,'Flujo de Fondos'!$H$6)</f>
        <v/>
      </c>
      <c r="F49" s="66" t="n">
        <v>36.19</v>
      </c>
      <c r="G49" s="67">
        <f>myParidad('Flujo de Fondos'!$N$5,$A49,F49,'Flujo de Fondos'!$N$7,'Flujo de Fondos'!$N$6)</f>
        <v/>
      </c>
      <c r="H49" s="68" t="n">
        <v>38.23</v>
      </c>
      <c r="I49" s="67">
        <f>myParidad('Flujo de Fondos'!$T$5,$A49,H49,'Flujo de Fondos'!$T$7,'Flujo de Fondos'!$T$6)</f>
        <v/>
      </c>
      <c r="J49" s="68" t="n">
        <v>33.12</v>
      </c>
      <c r="K49" s="67">
        <f>myParidad('Flujo de Fondos'!$B$34,$A49,J49,'Flujo de Fondos'!$B$36,'Flujo de Fondos'!$B$35)</f>
        <v/>
      </c>
      <c r="L49" s="66" t="n">
        <v>38.2</v>
      </c>
      <c r="M49" s="67">
        <f>myParidad('Flujo de Fondos'!$H$34,'Paridad usd'!$A49,'Paridad usd'!L49,'Flujo de Fondos'!$H$36,'Flujo de Fondos'!$H$35)</f>
        <v/>
      </c>
      <c r="N49" s="68" t="n">
        <v>37.6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44396</v>
      </c>
      <c r="B50" s="66" t="n">
        <v>36.6</v>
      </c>
      <c r="C50" s="67">
        <f>myParidad('Flujo de Fondos'!$B$5,A50,B50,'Flujo de Fondos'!$B$7,'Flujo de Fondos'!$B$6)</f>
        <v/>
      </c>
      <c r="D50" s="66" t="n">
        <v>39.9</v>
      </c>
      <c r="E50" s="75">
        <f>myParidad('Flujo de Fondos'!$H$5,$A50,D50,'Flujo de Fondos'!$H$7,'Flujo de Fondos'!$H$6)</f>
        <v/>
      </c>
      <c r="F50" s="66" t="n">
        <v>35.84</v>
      </c>
      <c r="G50" s="67">
        <f>myParidad('Flujo de Fondos'!$N$5,$A50,F50,'Flujo de Fondos'!$N$7,'Flujo de Fondos'!$N$6)</f>
        <v/>
      </c>
      <c r="H50" s="68" t="n">
        <v>38.03</v>
      </c>
      <c r="I50" s="67">
        <f>myParidad('Flujo de Fondos'!$T$5,$A50,H50,'Flujo de Fondos'!$T$7,'Flujo de Fondos'!$T$6)</f>
        <v/>
      </c>
      <c r="J50" s="68" t="n">
        <v>32.94</v>
      </c>
      <c r="K50" s="67">
        <f>myParidad('Flujo de Fondos'!$B$34,$A50,J50,'Flujo de Fondos'!$B$36,'Flujo de Fondos'!$B$35)</f>
        <v/>
      </c>
      <c r="L50" s="66" t="n">
        <v>37.65</v>
      </c>
      <c r="M50" s="67">
        <f>myParidad('Flujo de Fondos'!$H$34,'Paridad usd'!$A50,'Paridad usd'!L50,'Flujo de Fondos'!$H$36,'Flujo de Fondos'!$H$35)</f>
        <v/>
      </c>
      <c r="N50" s="68" t="n">
        <v>36.6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44393</v>
      </c>
      <c r="B51" s="66" t="n">
        <v>36.4</v>
      </c>
      <c r="C51" s="67">
        <f>myParidad('Flujo de Fondos'!$B$5,A51,B51,'Flujo de Fondos'!$B$7,'Flujo de Fondos'!$B$6)</f>
        <v/>
      </c>
      <c r="D51" s="66" t="n">
        <v>39.71</v>
      </c>
      <c r="E51" s="75">
        <f>myParidad('Flujo de Fondos'!$H$5,$A51,D51,'Flujo de Fondos'!$H$7,'Flujo de Fondos'!$H$6)</f>
        <v/>
      </c>
      <c r="F51" s="66" t="n">
        <v>35.57</v>
      </c>
      <c r="G51" s="67">
        <f>myParidad('Flujo de Fondos'!$N$5,$A51,F51,'Flujo de Fondos'!$N$7,'Flujo de Fondos'!$N$6)</f>
        <v/>
      </c>
      <c r="H51" s="68" t="n">
        <v>37.79</v>
      </c>
      <c r="I51" s="67">
        <f>myParidad('Flujo de Fondos'!$T$5,$A51,H51,'Flujo de Fondos'!$T$7,'Flujo de Fondos'!$T$6)</f>
        <v/>
      </c>
      <c r="J51" s="68" t="n">
        <v>32.65</v>
      </c>
      <c r="K51" s="67">
        <f>myParidad('Flujo de Fondos'!$B$34,$A51,J51,'Flujo de Fondos'!$B$36,'Flujo de Fondos'!$B$35)</f>
        <v/>
      </c>
      <c r="L51" s="66" t="n">
        <v>37.2</v>
      </c>
      <c r="M51" s="67">
        <f>myParidad('Flujo de Fondos'!$H$34,'Paridad usd'!$A51,'Paridad usd'!L51,'Flujo de Fondos'!$H$36,'Flujo de Fondos'!$H$35)</f>
        <v/>
      </c>
      <c r="N51" s="68" t="n">
        <v>36.75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44392</v>
      </c>
      <c r="B52" s="66" t="n">
        <v>36.37</v>
      </c>
      <c r="C52" s="67">
        <f>myParidad('Flujo de Fondos'!$B$5,A52,B52,'Flujo de Fondos'!$B$7,'Flujo de Fondos'!$B$6)</f>
        <v/>
      </c>
      <c r="D52" s="66" t="n">
        <v>39.5</v>
      </c>
      <c r="E52" s="75">
        <f>myParidad('Flujo de Fondos'!$H$5,$A52,D52,'Flujo de Fondos'!$H$7,'Flujo de Fondos'!$H$6)</f>
        <v/>
      </c>
      <c r="F52" s="66" t="n">
        <v>35.29</v>
      </c>
      <c r="G52" s="67">
        <f>myParidad('Flujo de Fondos'!$N$5,$A52,F52,'Flujo de Fondos'!$N$7,'Flujo de Fondos'!$N$6)</f>
        <v/>
      </c>
      <c r="H52" s="68" t="n">
        <v>37.55</v>
      </c>
      <c r="I52" s="67">
        <f>myParidad('Flujo de Fondos'!$T$5,$A52,H52,'Flujo de Fondos'!$T$7,'Flujo de Fondos'!$T$6)</f>
        <v/>
      </c>
      <c r="J52" s="68" t="n">
        <v>32.72</v>
      </c>
      <c r="K52" s="67">
        <f>myParidad('Flujo de Fondos'!$B$34,$A52,J52,'Flujo de Fondos'!$B$36,'Flujo de Fondos'!$B$35)</f>
        <v/>
      </c>
      <c r="L52" s="66" t="n">
        <v>37</v>
      </c>
      <c r="M52" s="67">
        <f>myParidad('Flujo de Fondos'!$H$34,'Paridad usd'!$A52,'Paridad usd'!L52,'Flujo de Fondos'!$H$36,'Flujo de Fondos'!$H$35)</f>
        <v/>
      </c>
      <c r="N52" s="68" t="n">
        <v>36.35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44391</v>
      </c>
      <c r="B53" s="66" t="n">
        <v>36.4</v>
      </c>
      <c r="C53" s="67">
        <f>myParidad('Flujo de Fondos'!$B$5,A53,B53,'Flujo de Fondos'!$B$7,'Flujo de Fondos'!$B$6)</f>
        <v/>
      </c>
      <c r="D53" s="66" t="n">
        <v>39.5</v>
      </c>
      <c r="E53" s="75">
        <f>myParidad('Flujo de Fondos'!$H$5,$A53,D53,'Flujo de Fondos'!$H$7,'Flujo de Fondos'!$H$6)</f>
        <v/>
      </c>
      <c r="F53" s="66" t="n">
        <v>35.09</v>
      </c>
      <c r="G53" s="67">
        <f>myParidad('Flujo de Fondos'!$N$5,$A53,F53,'Flujo de Fondos'!$N$7,'Flujo de Fondos'!$N$6)</f>
        <v/>
      </c>
      <c r="H53" s="68" t="n">
        <v>37.7</v>
      </c>
      <c r="I53" s="67">
        <f>myParidad('Flujo de Fondos'!$T$5,$A53,H53,'Flujo de Fondos'!$T$7,'Flujo de Fondos'!$T$6)</f>
        <v/>
      </c>
      <c r="J53" s="68" t="n">
        <v>32.6</v>
      </c>
      <c r="K53" s="67">
        <f>myParidad('Flujo de Fondos'!$B$34,$A53,J53,'Flujo de Fondos'!$B$36,'Flujo de Fondos'!$B$35)</f>
        <v/>
      </c>
      <c r="L53" s="66" t="n">
        <v>36.82</v>
      </c>
      <c r="M53" s="67">
        <f>myParidad('Flujo de Fondos'!$H$34,'Paridad usd'!$A53,'Paridad usd'!L53,'Flujo de Fondos'!$H$36,'Flujo de Fondos'!$H$35)</f>
        <v/>
      </c>
      <c r="N53" s="68" t="n">
        <v>36.28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44390</v>
      </c>
      <c r="B54" s="66" t="n">
        <v>36.05</v>
      </c>
      <c r="C54" s="67">
        <f>myParidad('Flujo de Fondos'!$B$5,A54,B54,'Flujo de Fondos'!$B$7,'Flujo de Fondos'!$B$6)</f>
        <v/>
      </c>
      <c r="D54" s="66" t="n">
        <v>39.31</v>
      </c>
      <c r="E54" s="75">
        <f>myParidad('Flujo de Fondos'!$H$5,$A54,D54,'Flujo de Fondos'!$H$7,'Flujo de Fondos'!$H$6)</f>
        <v/>
      </c>
      <c r="F54" s="66" t="n">
        <v>34.75</v>
      </c>
      <c r="G54" s="67">
        <f>myParidad('Flujo de Fondos'!$N$5,$A54,F54,'Flujo de Fondos'!$N$7,'Flujo de Fondos'!$N$6)</f>
        <v/>
      </c>
      <c r="H54" s="68" t="n">
        <v>37.41</v>
      </c>
      <c r="I54" s="67">
        <f>myParidad('Flujo de Fondos'!$T$5,$A54,H54,'Flujo de Fondos'!$T$7,'Flujo de Fondos'!$T$6)</f>
        <v/>
      </c>
      <c r="J54" s="68" t="n">
        <v>32.75</v>
      </c>
      <c r="K54" s="67">
        <f>myParidad('Flujo de Fondos'!$B$34,$A54,J54,'Flujo de Fondos'!$B$36,'Flujo de Fondos'!$B$35)</f>
        <v/>
      </c>
      <c r="L54" s="66" t="n">
        <v>36.5</v>
      </c>
      <c r="M54" s="67">
        <f>myParidad('Flujo de Fondos'!$H$34,'Paridad usd'!$A54,'Paridad usd'!L54,'Flujo de Fondos'!$H$36,'Flujo de Fondos'!$H$35)</f>
        <v/>
      </c>
      <c r="N54" s="68" t="n">
        <v>36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44389</v>
      </c>
      <c r="B55" s="66" t="n">
        <v>35.8</v>
      </c>
      <c r="C55" s="67">
        <f>myParidad('Flujo de Fondos'!$B$5,A55,B55,'Flujo de Fondos'!$B$7,'Flujo de Fondos'!$B$6)</f>
        <v/>
      </c>
      <c r="D55" s="66" t="n">
        <v>39.15</v>
      </c>
      <c r="E55" s="75">
        <f>myParidad('Flujo de Fondos'!$H$5,$A55,D55,'Flujo de Fondos'!$H$7,'Flujo de Fondos'!$H$6)</f>
        <v/>
      </c>
      <c r="F55" s="66" t="n">
        <v>34.29</v>
      </c>
      <c r="G55" s="67">
        <f>myParidad('Flujo de Fondos'!$N$5,$A55,F55,'Flujo de Fondos'!$N$7,'Flujo de Fondos'!$N$6)</f>
        <v/>
      </c>
      <c r="H55" s="68" t="n">
        <v>37.1</v>
      </c>
      <c r="I55" s="67">
        <f>myParidad('Flujo de Fondos'!$T$5,$A55,H55,'Flujo de Fondos'!$T$7,'Flujo de Fondos'!$T$6)</f>
        <v/>
      </c>
      <c r="J55" s="68" t="n">
        <v>31.9</v>
      </c>
      <c r="K55" s="67">
        <f>myParidad('Flujo de Fondos'!$B$34,$A55,J55,'Flujo de Fondos'!$B$36,'Flujo de Fondos'!$B$35)</f>
        <v/>
      </c>
      <c r="L55" s="66" t="n">
        <v>35.96</v>
      </c>
      <c r="M55" s="67">
        <f>myParidad('Flujo de Fondos'!$H$34,'Paridad usd'!$A55,'Paridad usd'!L55,'Flujo de Fondos'!$H$36,'Flujo de Fondos'!$H$35)</f>
        <v/>
      </c>
      <c r="N55" s="68" t="n">
        <v>35.25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52" t="n">
        <v>44385</v>
      </c>
      <c r="B56" s="53" t="n">
        <v>35.54</v>
      </c>
      <c r="C56" s="54">
        <f>myParidad('Flujo de Fondos'!$B$5,A56,B56,'Flujo de Fondos'!$B$7,'Flujo de Fondos'!$B$6)</f>
        <v/>
      </c>
      <c r="D56" s="53" t="n">
        <v>39.04</v>
      </c>
      <c r="E56" s="55">
        <f>myParidad('Flujo de Fondos'!$H$5,$A56,D56,'Flujo de Fondos'!$H$7,'Flujo de Fondos'!$H$6)</f>
        <v/>
      </c>
      <c r="F56" s="53" t="n">
        <v>33.86</v>
      </c>
      <c r="G56" s="54">
        <f>myParidad('Flujo de Fondos'!$N$5,$A56,F56,'Flujo de Fondos'!$N$7,'Flujo de Fondos'!$N$6)</f>
        <v/>
      </c>
      <c r="H56" s="56" t="n">
        <v>36.85</v>
      </c>
      <c r="I56" s="54">
        <f>myParidad('Flujo de Fondos'!$T$5,$A56,H56,'Flujo de Fondos'!$T$7,'Flujo de Fondos'!$T$6)</f>
        <v/>
      </c>
      <c r="J56" s="56" t="n">
        <v>31.5</v>
      </c>
      <c r="K56" s="54">
        <f>myParidad('Flujo de Fondos'!$B$34,$A56,J56,'Flujo de Fondos'!$B$36,'Flujo de Fondos'!$B$35)</f>
        <v/>
      </c>
      <c r="L56" s="53" t="n">
        <v>35.66</v>
      </c>
      <c r="M56" s="54">
        <f>myParidad('Flujo de Fondos'!$H$34,'Paridad usd'!$A56,'Paridad usd'!L56,'Flujo de Fondos'!$H$36,'Flujo de Fondos'!$H$35)</f>
        <v/>
      </c>
      <c r="N56" s="56" t="n">
        <v>35.05</v>
      </c>
      <c r="O56" s="54">
        <f>myParidad('Flujo de Fondos'!$N$34,$A56,N56,'Flujo de Fondos'!$N$36,'Flujo de Fondos'!$N$35)</f>
        <v/>
      </c>
      <c r="P56" s="57">
        <f>C56-G56</f>
        <v/>
      </c>
      <c r="Q56" s="57">
        <f>E56-C56</f>
        <v/>
      </c>
      <c r="R56" s="57">
        <f>C56-M56</f>
        <v/>
      </c>
      <c r="S56" s="55">
        <f>C56-O56</f>
        <v/>
      </c>
      <c r="T56" s="57">
        <f>E56-O56</f>
        <v/>
      </c>
      <c r="U56" s="57">
        <f>G56-O56</f>
        <v/>
      </c>
      <c r="V56" s="57">
        <f>G56-K56</f>
        <v/>
      </c>
      <c r="W56" s="57">
        <f>C56-K56</f>
        <v/>
      </c>
      <c r="X56" s="67">
        <f>I56-G56</f>
        <v/>
      </c>
      <c r="Y56" s="75">
        <f>G56-M56</f>
        <v/>
      </c>
    </row>
    <row r="57">
      <c r="A57" s="52" t="n">
        <v>44384</v>
      </c>
      <c r="B57" s="53" t="n">
        <v>35.6</v>
      </c>
      <c r="C57" s="54">
        <f>myParidad('Flujo de Fondos'!$B$5,A57,B57,'Flujo de Fondos'!$B$7,'Flujo de Fondos'!$B$6)</f>
        <v/>
      </c>
      <c r="D57" s="53" t="n">
        <v>38.9</v>
      </c>
      <c r="E57" s="55">
        <f>myParidad('Flujo de Fondos'!$H$5,$A57,D57,'Flujo de Fondos'!$H$7,'Flujo de Fondos'!$H$6)</f>
        <v/>
      </c>
      <c r="F57" s="53" t="n">
        <v>33.76</v>
      </c>
      <c r="G57" s="54">
        <f>myParidad('Flujo de Fondos'!$N$5,$A57,F57,'Flujo de Fondos'!$N$7,'Flujo de Fondos'!$N$6)</f>
        <v/>
      </c>
      <c r="H57" s="56" t="n">
        <v>37.01</v>
      </c>
      <c r="I57" s="54">
        <f>myParidad('Flujo de Fondos'!$T$5,$A57,H57,'Flujo de Fondos'!$T$7,'Flujo de Fondos'!$T$6)</f>
        <v/>
      </c>
      <c r="J57" s="56" t="n">
        <v>31.26</v>
      </c>
      <c r="K57" s="54">
        <f>myParidad('Flujo de Fondos'!$B$34,$A57,J57,'Flujo de Fondos'!$B$36,'Flujo de Fondos'!$B$35)</f>
        <v/>
      </c>
      <c r="L57" s="53" t="n">
        <v>35.7</v>
      </c>
      <c r="M57" s="54">
        <f>myParidad('Flujo de Fondos'!$H$34,'Paridad usd'!$A57,'Paridad usd'!L57,'Flujo de Fondos'!$H$36,'Flujo de Fondos'!$H$35)</f>
        <v/>
      </c>
      <c r="N57" s="56" t="n">
        <v>34.7</v>
      </c>
      <c r="O57" s="54">
        <f>myParidad('Flujo de Fondos'!$N$34,$A57,N57,'Flujo de Fondos'!$N$36,'Flujo de Fondos'!$N$35)</f>
        <v/>
      </c>
      <c r="P57" s="57">
        <f>C57-G57</f>
        <v/>
      </c>
      <c r="Q57" s="57">
        <f>E57-C57</f>
        <v/>
      </c>
      <c r="R57" s="57">
        <f>C57-M57</f>
        <v/>
      </c>
      <c r="S57" s="55">
        <f>C57-O57</f>
        <v/>
      </c>
      <c r="T57" s="57">
        <f>E57-O57</f>
        <v/>
      </c>
      <c r="U57" s="57">
        <f>G57-O57</f>
        <v/>
      </c>
      <c r="V57" s="57">
        <f>G57-K57</f>
        <v/>
      </c>
      <c r="W57" s="57">
        <f>C57-K57</f>
        <v/>
      </c>
      <c r="X57" s="67">
        <f>I57-G57</f>
        <v/>
      </c>
      <c r="Y57" s="75">
        <f>G57-M57</f>
        <v/>
      </c>
    </row>
    <row r="58">
      <c r="A58" s="52" t="n">
        <v>44383</v>
      </c>
      <c r="B58" s="53" t="n">
        <v>36.3</v>
      </c>
      <c r="C58" s="54">
        <f>myParidad('Flujo de Fondos'!$B$5,A58,B58,'Flujo de Fondos'!$B$7,'Flujo de Fondos'!$B$6)</f>
        <v/>
      </c>
      <c r="D58" s="53" t="n">
        <v>39.8</v>
      </c>
      <c r="E58" s="55">
        <f>myParidad('Flujo de Fondos'!$H$5,$A58,D58,'Flujo de Fondos'!$H$7,'Flujo de Fondos'!$H$6)</f>
        <v/>
      </c>
      <c r="F58" s="53" t="n">
        <v>33.77</v>
      </c>
      <c r="G58" s="54">
        <f>myParidad('Flujo de Fondos'!$N$5,$A58,F58,'Flujo de Fondos'!$N$7,'Flujo de Fondos'!$N$6)</f>
        <v/>
      </c>
      <c r="H58" s="56" t="n">
        <v>37.02</v>
      </c>
      <c r="I58" s="54">
        <f>myParidad('Flujo de Fondos'!$T$5,$A58,H58,'Flujo de Fondos'!$T$7,'Flujo de Fondos'!$T$6)</f>
        <v/>
      </c>
      <c r="J58" s="56" t="n">
        <v>31.08</v>
      </c>
      <c r="K58" s="54">
        <f>myParidad('Flujo de Fondos'!$B$34,$A58,J58,'Flujo de Fondos'!$B$36,'Flujo de Fondos'!$B$35)</f>
        <v/>
      </c>
      <c r="L58" s="53" t="n">
        <v>35.4</v>
      </c>
      <c r="M58" s="54">
        <f>myParidad('Flujo de Fondos'!$H$34,'Paridad usd'!$A58,'Paridad usd'!L58,'Flujo de Fondos'!$H$36,'Flujo de Fondos'!$H$35)</f>
        <v/>
      </c>
      <c r="N58" s="56" t="n">
        <v>34.6</v>
      </c>
      <c r="O58" s="54">
        <f>myParidad('Flujo de Fondos'!$N$34,$A58,N58,'Flujo de Fondos'!$N$36,'Flujo de Fondos'!$N$35)</f>
        <v/>
      </c>
      <c r="P58" s="57">
        <f>C58-G58</f>
        <v/>
      </c>
      <c r="Q58" s="57">
        <f>E58-C58</f>
        <v/>
      </c>
      <c r="R58" s="57">
        <f>C58-M58</f>
        <v/>
      </c>
      <c r="S58" s="55">
        <f>C58-O58</f>
        <v/>
      </c>
      <c r="T58" s="57">
        <f>E58-O58</f>
        <v/>
      </c>
      <c r="U58" s="57">
        <f>G58-O58</f>
        <v/>
      </c>
      <c r="V58" s="57">
        <f>G58-K58</f>
        <v/>
      </c>
      <c r="W58" s="57">
        <f>C58-K58</f>
        <v/>
      </c>
      <c r="X58" s="67">
        <f>I58-G58</f>
        <v/>
      </c>
      <c r="Y58" s="75">
        <f>G58-M58</f>
        <v/>
      </c>
    </row>
    <row r="59">
      <c r="A59" s="52" t="n">
        <v>44382</v>
      </c>
      <c r="B59" s="53" t="n">
        <v>36.4</v>
      </c>
      <c r="C59" s="54">
        <f>myParidad('Flujo de Fondos'!$B$5,A59,B59,'Flujo de Fondos'!$B$7,'Flujo de Fondos'!$B$6)</f>
        <v/>
      </c>
      <c r="D59" s="53" t="n">
        <v>39.55</v>
      </c>
      <c r="E59" s="55">
        <f>myParidad('Flujo de Fondos'!$H$5,$A59,D59,'Flujo de Fondos'!$H$7,'Flujo de Fondos'!$H$6)</f>
        <v/>
      </c>
      <c r="F59" s="53" t="n">
        <v>33.8</v>
      </c>
      <c r="G59" s="54">
        <f>myParidad('Flujo de Fondos'!$N$5,$A59,F59,'Flujo de Fondos'!$N$7,'Flujo de Fondos'!$N$6)</f>
        <v/>
      </c>
      <c r="H59" s="56" t="n">
        <v>37.45</v>
      </c>
      <c r="I59" s="54">
        <f>myParidad('Flujo de Fondos'!$T$5,$A59,H59,'Flujo de Fondos'!$T$7,'Flujo de Fondos'!$T$6)</f>
        <v/>
      </c>
      <c r="J59" s="56" t="n">
        <v>31.5</v>
      </c>
      <c r="K59" s="54">
        <f>myParidad('Flujo de Fondos'!$B$34,$A59,J59,'Flujo de Fondos'!$B$36,'Flujo de Fondos'!$B$35)</f>
        <v/>
      </c>
      <c r="L59" s="53" t="n">
        <v>35.66</v>
      </c>
      <c r="M59" s="54">
        <f>myParidad('Flujo de Fondos'!$H$34,'Paridad usd'!$A59,'Paridad usd'!L59,'Flujo de Fondos'!$H$36,'Flujo de Fondos'!$H$35)</f>
        <v/>
      </c>
      <c r="N59" s="56" t="n">
        <v>34.9</v>
      </c>
      <c r="O59" s="54">
        <f>myParidad('Flujo de Fondos'!$N$34,$A59,N59,'Flujo de Fondos'!$N$36,'Flujo de Fondos'!$N$35)</f>
        <v/>
      </c>
      <c r="P59" s="57">
        <f>C59-G59</f>
        <v/>
      </c>
      <c r="Q59" s="57">
        <f>E59-C59</f>
        <v/>
      </c>
      <c r="R59" s="57">
        <f>C59-M59</f>
        <v/>
      </c>
      <c r="S59" s="55">
        <f>C59-O59</f>
        <v/>
      </c>
      <c r="T59" s="57">
        <f>E59-O59</f>
        <v/>
      </c>
      <c r="U59" s="57">
        <f>G59-O59</f>
        <v/>
      </c>
      <c r="V59" s="57">
        <f>G59-K59</f>
        <v/>
      </c>
      <c r="W59" s="57">
        <f>C59-K59</f>
        <v/>
      </c>
      <c r="X59" s="67">
        <f>I59-G59</f>
        <v/>
      </c>
      <c r="Y59" s="75">
        <f>G59-M59</f>
        <v/>
      </c>
    </row>
    <row r="60">
      <c r="A60" s="52" t="n">
        <v>44379</v>
      </c>
      <c r="B60" s="53" t="n">
        <v>36.5</v>
      </c>
      <c r="C60" s="54">
        <f>myParidad('Flujo de Fondos'!$B$5,A60,B60,'Flujo de Fondos'!$B$7,'Flujo de Fondos'!$B$6)</f>
        <v/>
      </c>
      <c r="D60" s="53" t="n">
        <v>39.7</v>
      </c>
      <c r="E60" s="55">
        <f>myParidad('Flujo de Fondos'!$H$5,$A60,D60,'Flujo de Fondos'!$H$7,'Flujo de Fondos'!$H$6)</f>
        <v/>
      </c>
      <c r="F60" s="53" t="n">
        <v>34.06</v>
      </c>
      <c r="G60" s="54">
        <f>myParidad('Flujo de Fondos'!$N$5,$A60,F60,'Flujo de Fondos'!$N$7,'Flujo de Fondos'!$N$6)</f>
        <v/>
      </c>
      <c r="H60" s="56" t="n">
        <v>37.22</v>
      </c>
      <c r="I60" s="54">
        <f>myParidad('Flujo de Fondos'!$T$5,$A60,H60,'Flujo de Fondos'!$T$7,'Flujo de Fondos'!$T$6)</f>
        <v/>
      </c>
      <c r="J60" s="56" t="n">
        <v>31.75</v>
      </c>
      <c r="K60" s="54">
        <f>myParidad('Flujo de Fondos'!$B$34,$A60,J60,'Flujo de Fondos'!$B$36,'Flujo de Fondos'!$B$35)</f>
        <v/>
      </c>
      <c r="L60" s="53" t="n">
        <v>35.73</v>
      </c>
      <c r="M60" s="54">
        <f>myParidad('Flujo de Fondos'!$H$34,'Paridad usd'!$A60,'Paridad usd'!L60,'Flujo de Fondos'!$H$36,'Flujo de Fondos'!$H$35)</f>
        <v/>
      </c>
      <c r="N60" s="56" t="n">
        <v>34.75</v>
      </c>
      <c r="O60" s="54">
        <f>myParidad('Flujo de Fondos'!$N$34,$A60,N60,'Flujo de Fondos'!$N$36,'Flujo de Fondos'!$N$35)</f>
        <v/>
      </c>
      <c r="P60" s="57">
        <f>C60-G60</f>
        <v/>
      </c>
      <c r="Q60" s="57">
        <f>E60-C60</f>
        <v/>
      </c>
      <c r="R60" s="57">
        <f>C60-M60</f>
        <v/>
      </c>
      <c r="S60" s="55">
        <f>C60-O60</f>
        <v/>
      </c>
      <c r="T60" s="57">
        <f>E60-O60</f>
        <v/>
      </c>
      <c r="U60" s="57">
        <f>G60-O60</f>
        <v/>
      </c>
      <c r="V60" s="57">
        <f>G60-K60</f>
        <v/>
      </c>
      <c r="W60" s="57">
        <f>C60-K60</f>
        <v/>
      </c>
      <c r="X60" s="67">
        <f>I60-G60</f>
        <v/>
      </c>
      <c r="Y60" s="75">
        <f>G60-M60</f>
        <v/>
      </c>
    </row>
    <row r="61">
      <c r="A61" s="52" t="n">
        <v>44378</v>
      </c>
      <c r="B61" s="53" t="n">
        <v>36.25</v>
      </c>
      <c r="C61" s="54">
        <f>myParidad('Flujo de Fondos'!$B$5,A61,B61,'Flujo de Fondos'!$B$7,'Flujo de Fondos'!$B$6)</f>
        <v/>
      </c>
      <c r="D61" s="53" t="n">
        <v>40</v>
      </c>
      <c r="E61" s="55">
        <f>myParidad('Flujo de Fondos'!$H$5,$A61,D61,'Flujo de Fondos'!$H$7,'Flujo de Fondos'!$H$6)</f>
        <v/>
      </c>
      <c r="F61" s="53" t="n">
        <v>33.8</v>
      </c>
      <c r="G61" s="54">
        <f>myParidad('Flujo de Fondos'!$N$5,$A61,F61,'Flujo de Fondos'!$N$7,'Flujo de Fondos'!$N$6)</f>
        <v/>
      </c>
      <c r="H61" s="56" t="n">
        <v>37.54</v>
      </c>
      <c r="I61" s="54">
        <f>myParidad('Flujo de Fondos'!$T$5,$A61,H61,'Flujo de Fondos'!$T$7,'Flujo de Fondos'!$T$6)</f>
        <v/>
      </c>
      <c r="J61" s="56" t="n">
        <v>31.35</v>
      </c>
      <c r="K61" s="54">
        <f>myParidad('Flujo de Fondos'!$B$34,$A61,J61,'Flujo de Fondos'!$B$36,'Flujo de Fondos'!$B$35)</f>
        <v/>
      </c>
      <c r="L61" s="53" t="n">
        <v>35.25</v>
      </c>
      <c r="M61" s="54">
        <f>myParidad('Flujo de Fondos'!$H$34,'Paridad usd'!$A61,'Paridad usd'!L61,'Flujo de Fondos'!$H$36,'Flujo de Fondos'!$H$35)</f>
        <v/>
      </c>
      <c r="N61" s="56" t="n">
        <v>34.35</v>
      </c>
      <c r="O61" s="54">
        <f>myParidad('Flujo de Fondos'!$N$34,$A61,N61,'Flujo de Fondos'!$N$36,'Flujo de Fondos'!$N$35)</f>
        <v/>
      </c>
      <c r="P61" s="57">
        <f>C61-G61</f>
        <v/>
      </c>
      <c r="Q61" s="57">
        <f>E61-C61</f>
        <v/>
      </c>
      <c r="R61" s="57">
        <f>C61-M61</f>
        <v/>
      </c>
      <c r="S61" s="55">
        <f>C61-O61</f>
        <v/>
      </c>
      <c r="T61" s="57">
        <f>E61-O61</f>
        <v/>
      </c>
      <c r="U61" s="57">
        <f>G61-O61</f>
        <v/>
      </c>
      <c r="V61" s="57">
        <f>G61-K61</f>
        <v/>
      </c>
      <c r="W61" s="57">
        <f>C61-K61</f>
        <v/>
      </c>
      <c r="X61" s="67">
        <f>I61-G61</f>
        <v/>
      </c>
      <c r="Y61" s="75">
        <f>G61-M61</f>
        <v/>
      </c>
    </row>
    <row r="62">
      <c r="A62" s="52" t="n">
        <v>44377</v>
      </c>
      <c r="B62" s="53" t="n">
        <v>36.36</v>
      </c>
      <c r="C62" s="54">
        <f>myParidad('Flujo de Fondos'!$B$5,A62,B62,'Flujo de Fondos'!$B$7,'Flujo de Fondos'!$B$6)</f>
        <v/>
      </c>
      <c r="D62" s="53" t="n">
        <v>39.55</v>
      </c>
      <c r="E62" s="55">
        <f>myParidad('Flujo de Fondos'!$H$5,$A62,D62,'Flujo de Fondos'!$H$7,'Flujo de Fondos'!$H$6)</f>
        <v/>
      </c>
      <c r="F62" s="53" t="n">
        <v>33.93</v>
      </c>
      <c r="G62" s="54">
        <f>myParidad('Flujo de Fondos'!$N$5,$A62,F62,'Flujo de Fondos'!$N$7,'Flujo de Fondos'!$N$6)</f>
        <v/>
      </c>
      <c r="H62" s="56" t="n">
        <v>37.59</v>
      </c>
      <c r="I62" s="54">
        <f>myParidad('Flujo de Fondos'!$T$5,$A62,H62,'Flujo de Fondos'!$T$7,'Flujo de Fondos'!$T$6)</f>
        <v/>
      </c>
      <c r="J62" s="56" t="n">
        <v>31.3</v>
      </c>
      <c r="K62" s="54">
        <f>myParidad('Flujo de Fondos'!$B$34,$A62,J62,'Flujo de Fondos'!$B$36,'Flujo de Fondos'!$B$35)</f>
        <v/>
      </c>
      <c r="L62" s="53" t="n">
        <v>35.01</v>
      </c>
      <c r="M62" s="54">
        <f>myParidad('Flujo de Fondos'!$H$34,'Paridad usd'!$A62,'Paridad usd'!L62,'Flujo de Fondos'!$H$36,'Flujo de Fondos'!$H$35)</f>
        <v/>
      </c>
      <c r="N62" s="56" t="n">
        <v>33.9</v>
      </c>
      <c r="O62" s="54">
        <f>myParidad('Flujo de Fondos'!$N$34,$A62,N62,'Flujo de Fondos'!$N$36,'Flujo de Fondos'!$N$35)</f>
        <v/>
      </c>
      <c r="P62" s="57">
        <f>C62-G62</f>
        <v/>
      </c>
      <c r="Q62" s="57">
        <f>E62-C62</f>
        <v/>
      </c>
      <c r="R62" s="57">
        <f>C62-M62</f>
        <v/>
      </c>
      <c r="S62" s="55">
        <f>C62-O62</f>
        <v/>
      </c>
      <c r="T62" s="57">
        <f>E62-O62</f>
        <v/>
      </c>
      <c r="U62" s="57">
        <f>G62-O62</f>
        <v/>
      </c>
      <c r="V62" s="57">
        <f>G62-K62</f>
        <v/>
      </c>
      <c r="W62" s="57">
        <f>C62-K62</f>
        <v/>
      </c>
      <c r="X62" s="67">
        <f>I62-G62</f>
        <v/>
      </c>
      <c r="Y62" s="75">
        <f>G62-M62</f>
        <v/>
      </c>
    </row>
    <row r="63">
      <c r="A63" s="52" t="n">
        <v>44376</v>
      </c>
      <c r="B63" s="53" t="n">
        <v>36.72</v>
      </c>
      <c r="C63" s="54">
        <f>myParidad('Flujo de Fondos'!$B$5,A63,B63,'Flujo de Fondos'!$B$7,'Flujo de Fondos'!$B$6)</f>
        <v/>
      </c>
      <c r="D63" s="53" t="n">
        <v>39.5</v>
      </c>
      <c r="E63" s="55">
        <f>myParidad('Flujo de Fondos'!$H$5,$A63,D63,'Flujo de Fondos'!$H$7,'Flujo de Fondos'!$H$6)</f>
        <v/>
      </c>
      <c r="F63" s="53" t="n">
        <v>34.15</v>
      </c>
      <c r="G63" s="54">
        <f>myParidad('Flujo de Fondos'!$N$5,$A63,F63,'Flujo de Fondos'!$N$7,'Flujo de Fondos'!$N$6)</f>
        <v/>
      </c>
      <c r="H63" s="56" t="n">
        <v>37.4</v>
      </c>
      <c r="I63" s="54">
        <f>myParidad('Flujo de Fondos'!$T$5,$A63,H63,'Flujo de Fondos'!$T$7,'Flujo de Fondos'!$T$6)</f>
        <v/>
      </c>
      <c r="J63" s="56" t="n">
        <v>31.4</v>
      </c>
      <c r="K63" s="54">
        <f>myParidad('Flujo de Fondos'!$B$34,$A63,J63,'Flujo de Fondos'!$B$36,'Flujo de Fondos'!$B$35)</f>
        <v/>
      </c>
      <c r="L63" s="53" t="n">
        <v>35.35</v>
      </c>
      <c r="M63" s="54">
        <f>myParidad('Flujo de Fondos'!$H$34,'Paridad usd'!$A63,'Paridad usd'!L63,'Flujo de Fondos'!$H$36,'Flujo de Fondos'!$H$35)</f>
        <v/>
      </c>
      <c r="N63" s="56" t="n">
        <v>34.1</v>
      </c>
      <c r="O63" s="54">
        <f>myParidad('Flujo de Fondos'!$N$34,$A63,N63,'Flujo de Fondos'!$N$36,'Flujo de Fondos'!$N$35)</f>
        <v/>
      </c>
      <c r="P63" s="57">
        <f>C63-G63</f>
        <v/>
      </c>
      <c r="Q63" s="57">
        <f>E63-C63</f>
        <v/>
      </c>
      <c r="R63" s="57">
        <f>C63-M63</f>
        <v/>
      </c>
      <c r="S63" s="55">
        <f>C63-O63</f>
        <v/>
      </c>
      <c r="T63" s="57">
        <f>E63-O63</f>
        <v/>
      </c>
      <c r="U63" s="57">
        <f>G63-O63</f>
        <v/>
      </c>
      <c r="V63" s="57">
        <f>G63-K63</f>
        <v/>
      </c>
      <c r="W63" s="57">
        <f>C63-K63</f>
        <v/>
      </c>
      <c r="X63" s="67">
        <f>I63-G63</f>
        <v/>
      </c>
      <c r="Y63" s="75">
        <f>G63-M63</f>
        <v/>
      </c>
    </row>
    <row r="64">
      <c r="A64" s="52" t="n">
        <v>44375</v>
      </c>
      <c r="B64" s="53" t="n">
        <v>37.24</v>
      </c>
      <c r="C64" s="54">
        <f>myParidad('Flujo de Fondos'!$B$5,A64,B64,'Flujo de Fondos'!$B$7,'Flujo de Fondos'!$B$6)</f>
        <v/>
      </c>
      <c r="D64" s="53" t="n">
        <v>40.5</v>
      </c>
      <c r="E64" s="55">
        <f>myParidad('Flujo de Fondos'!$H$5,$A64,D64,'Flujo de Fondos'!$H$7,'Flujo de Fondos'!$H$6)</f>
        <v/>
      </c>
      <c r="F64" s="53" t="n">
        <v>34.85</v>
      </c>
      <c r="G64" s="54">
        <f>myParidad('Flujo de Fondos'!$N$5,$A64,F64,'Flujo de Fondos'!$N$7,'Flujo de Fondos'!$N$6)</f>
        <v/>
      </c>
      <c r="H64" s="56" t="n">
        <v>37.53</v>
      </c>
      <c r="I64" s="54">
        <f>myParidad('Flujo de Fondos'!$T$5,$A64,H64,'Flujo de Fondos'!$T$7,'Flujo de Fondos'!$T$6)</f>
        <v/>
      </c>
      <c r="J64" s="56" t="n">
        <v>32</v>
      </c>
      <c r="K64" s="54">
        <f>myParidad('Flujo de Fondos'!$B$34,$A64,J64,'Flujo de Fondos'!$B$36,'Flujo de Fondos'!$B$35)</f>
        <v/>
      </c>
      <c r="L64" s="53" t="n">
        <v>36</v>
      </c>
      <c r="M64" s="54">
        <f>myParidad('Flujo de Fondos'!$H$34,'Paridad usd'!$A64,'Paridad usd'!L64,'Flujo de Fondos'!$H$36,'Flujo de Fondos'!$H$35)</f>
        <v/>
      </c>
      <c r="N64" s="56" t="n">
        <v>34.5</v>
      </c>
      <c r="O64" s="54">
        <f>myParidad('Flujo de Fondos'!$N$34,$A64,N64,'Flujo de Fondos'!$N$36,'Flujo de Fondos'!$N$35)</f>
        <v/>
      </c>
      <c r="P64" s="57">
        <f>C64-G64</f>
        <v/>
      </c>
      <c r="Q64" s="57">
        <f>E64-C64</f>
        <v/>
      </c>
      <c r="R64" s="57">
        <f>C64-M64</f>
        <v/>
      </c>
      <c r="S64" s="55">
        <f>C64-O64</f>
        <v/>
      </c>
      <c r="T64" s="57">
        <f>E64-O64</f>
        <v/>
      </c>
      <c r="U64" s="57">
        <f>G64-O64</f>
        <v/>
      </c>
      <c r="V64" s="57">
        <f>G64-K64</f>
        <v/>
      </c>
      <c r="W64" s="57">
        <f>C64-K64</f>
        <v/>
      </c>
      <c r="X64" s="67">
        <f>I64-G64</f>
        <v/>
      </c>
      <c r="Y64" s="75">
        <f>G64-M64</f>
        <v/>
      </c>
    </row>
    <row r="65">
      <c r="A65" s="52" t="n">
        <v>44372</v>
      </c>
      <c r="B65" s="53" t="n">
        <v>37.45</v>
      </c>
      <c r="C65" s="54">
        <f>myParidad('Flujo de Fondos'!$B$5,A65,B65,'Flujo de Fondos'!$B$7,'Flujo de Fondos'!$B$6)</f>
        <v/>
      </c>
      <c r="D65" s="53" t="n">
        <v>40</v>
      </c>
      <c r="E65" s="55">
        <f>myParidad('Flujo de Fondos'!$H$5,$A65,D65,'Flujo de Fondos'!$H$7,'Flujo de Fondos'!$H$6)</f>
        <v/>
      </c>
      <c r="F65" s="53" t="n">
        <v>34.99</v>
      </c>
      <c r="G65" s="54">
        <f>myParidad('Flujo de Fondos'!$N$5,$A65,F65,'Flujo de Fondos'!$N$7,'Flujo de Fondos'!$N$6)</f>
        <v/>
      </c>
      <c r="H65" s="56" t="n">
        <v>37.51</v>
      </c>
      <c r="I65" s="54">
        <f>myParidad('Flujo de Fondos'!$T$5,$A65,H65,'Flujo de Fondos'!$T$7,'Flujo de Fondos'!$T$6)</f>
        <v/>
      </c>
      <c r="J65" s="56" t="n">
        <v>32.06</v>
      </c>
      <c r="K65" s="54">
        <f>myParidad('Flujo de Fondos'!$B$34,$A65,J65,'Flujo de Fondos'!$B$36,'Flujo de Fondos'!$B$35)</f>
        <v/>
      </c>
      <c r="L65" s="53" t="n">
        <v>36.2</v>
      </c>
      <c r="M65" s="54">
        <f>myParidad('Flujo de Fondos'!$H$34,'Paridad usd'!$A65,'Paridad usd'!L65,'Flujo de Fondos'!$H$36,'Flujo de Fondos'!$H$35)</f>
        <v/>
      </c>
      <c r="N65" s="56" t="n">
        <v>34.75</v>
      </c>
      <c r="O65" s="54">
        <f>myParidad('Flujo de Fondos'!$N$34,$A65,N65,'Flujo de Fondos'!$N$36,'Flujo de Fondos'!$N$35)</f>
        <v/>
      </c>
      <c r="P65" s="57">
        <f>C65-G65</f>
        <v/>
      </c>
      <c r="Q65" s="57">
        <f>E65-C65</f>
        <v/>
      </c>
      <c r="R65" s="57">
        <f>C65-M65</f>
        <v/>
      </c>
      <c r="S65" s="55">
        <f>C65-O65</f>
        <v/>
      </c>
      <c r="T65" s="57">
        <f>E65-O65</f>
        <v/>
      </c>
      <c r="U65" s="57">
        <f>G65-O65</f>
        <v/>
      </c>
      <c r="V65" s="57">
        <f>G65-K65</f>
        <v/>
      </c>
      <c r="W65" s="57">
        <f>C65-K65</f>
        <v/>
      </c>
      <c r="X65" s="67">
        <f>I65-G65</f>
        <v/>
      </c>
      <c r="Y65" s="75">
        <f>G65-M65</f>
        <v/>
      </c>
    </row>
    <row r="66">
      <c r="A66" s="52" t="n">
        <v>44371</v>
      </c>
      <c r="B66" s="53" t="n">
        <v>38.16</v>
      </c>
      <c r="C66" s="54">
        <f>myParidad('Flujo de Fondos'!$B$5,A66,B66,'Flujo de Fondos'!$B$7,'Flujo de Fondos'!$B$6)</f>
        <v/>
      </c>
      <c r="D66" s="53" t="n">
        <v>40.7</v>
      </c>
      <c r="E66" s="55">
        <f>myParidad('Flujo de Fondos'!$H$5,$A66,D66,'Flujo de Fondos'!$H$7,'Flujo de Fondos'!$H$6)</f>
        <v/>
      </c>
      <c r="F66" s="53" t="n">
        <v>36</v>
      </c>
      <c r="G66" s="54">
        <f>myParidad('Flujo de Fondos'!$N$5,$A66,F66,'Flujo de Fondos'!$N$7,'Flujo de Fondos'!$N$6)</f>
        <v/>
      </c>
      <c r="H66" s="56" t="n">
        <v>38.45</v>
      </c>
      <c r="I66" s="54">
        <f>myParidad('Flujo de Fondos'!$T$5,$A66,H66,'Flujo de Fondos'!$T$7,'Flujo de Fondos'!$T$6)</f>
        <v/>
      </c>
      <c r="J66" s="56" t="n">
        <v>32.95</v>
      </c>
      <c r="K66" s="54">
        <f>myParidad('Flujo de Fondos'!$B$34,$A66,J66,'Flujo de Fondos'!$B$36,'Flujo de Fondos'!$B$35)</f>
        <v/>
      </c>
      <c r="L66" s="53" t="n">
        <v>37.11</v>
      </c>
      <c r="M66" s="54">
        <f>myParidad('Flujo de Fondos'!$H$34,'Paridad usd'!$A66,'Paridad usd'!L66,'Flujo de Fondos'!$H$36,'Flujo de Fondos'!$H$35)</f>
        <v/>
      </c>
      <c r="N66" s="56" t="n">
        <v>35.75</v>
      </c>
      <c r="O66" s="54">
        <f>myParidad('Flujo de Fondos'!$N$34,$A66,N66,'Flujo de Fondos'!$N$36,'Flujo de Fondos'!$N$35)</f>
        <v/>
      </c>
      <c r="P66" s="57">
        <f>C66-G66</f>
        <v/>
      </c>
      <c r="Q66" s="57">
        <f>E66-C66</f>
        <v/>
      </c>
      <c r="R66" s="57">
        <f>C66-M66</f>
        <v/>
      </c>
      <c r="S66" s="55">
        <f>C66-O66</f>
        <v/>
      </c>
      <c r="T66" s="57">
        <f>E66-O66</f>
        <v/>
      </c>
      <c r="U66" s="57">
        <f>G66-O66</f>
        <v/>
      </c>
      <c r="V66" s="57">
        <f>G66-K66</f>
        <v/>
      </c>
      <c r="W66" s="57">
        <f>C66-K66</f>
        <v/>
      </c>
      <c r="X66" s="67">
        <f>I66-G66</f>
        <v/>
      </c>
      <c r="Y66" s="75">
        <f>G66-M66</f>
        <v/>
      </c>
    </row>
    <row r="67">
      <c r="A67" s="52" t="n">
        <v>44370</v>
      </c>
      <c r="B67" s="53" t="n">
        <v>38.55</v>
      </c>
      <c r="C67" s="54">
        <f>myParidad('Flujo de Fondos'!$B$5,A67,B67,'Flujo de Fondos'!$B$7,'Flujo de Fondos'!$B$6)</f>
        <v/>
      </c>
      <c r="D67" s="53" t="n">
        <v>41.6</v>
      </c>
      <c r="E67" s="55">
        <f>myParidad('Flujo de Fondos'!$H$5,$A67,D67,'Flujo de Fondos'!$H$7,'Flujo de Fondos'!$H$6)</f>
        <v/>
      </c>
      <c r="F67" s="53" t="n">
        <v>36.54</v>
      </c>
      <c r="G67" s="54">
        <f>myParidad('Flujo de Fondos'!$N$5,$A67,F67,'Flujo de Fondos'!$N$7,'Flujo de Fondos'!$N$6)</f>
        <v/>
      </c>
      <c r="H67" s="56" t="n">
        <v>38.92</v>
      </c>
      <c r="I67" s="54">
        <f>myParidad('Flujo de Fondos'!$T$5,$A67,H67,'Flujo de Fondos'!$T$7,'Flujo de Fondos'!$T$6)</f>
        <v/>
      </c>
      <c r="J67" s="56" t="n">
        <v>33.3</v>
      </c>
      <c r="K67" s="54">
        <f>myParidad('Flujo de Fondos'!$B$34,$A67,J67,'Flujo de Fondos'!$B$36,'Flujo de Fondos'!$B$35)</f>
        <v/>
      </c>
      <c r="L67" s="53" t="n">
        <v>37.35</v>
      </c>
      <c r="M67" s="54">
        <f>myParidad('Flujo de Fondos'!$H$34,'Paridad usd'!$A67,'Paridad usd'!L67,'Flujo de Fondos'!$H$36,'Flujo de Fondos'!$H$35)</f>
        <v/>
      </c>
      <c r="N67" s="56" t="n">
        <v>36</v>
      </c>
      <c r="O67" s="54">
        <f>myParidad('Flujo de Fondos'!$N$34,$A67,N67,'Flujo de Fondos'!$N$36,'Flujo de Fondos'!$N$35)</f>
        <v/>
      </c>
      <c r="P67" s="57">
        <f>C67-G67</f>
        <v/>
      </c>
      <c r="Q67" s="57">
        <f>E67-C67</f>
        <v/>
      </c>
      <c r="R67" s="57">
        <f>C67-M67</f>
        <v/>
      </c>
      <c r="S67" s="55">
        <f>C67-O67</f>
        <v/>
      </c>
      <c r="T67" s="57">
        <f>E67-O67</f>
        <v/>
      </c>
      <c r="U67" s="57">
        <f>G67-O67</f>
        <v/>
      </c>
      <c r="V67" s="57">
        <f>G67-K67</f>
        <v/>
      </c>
      <c r="W67" s="57">
        <f>C67-K67</f>
        <v/>
      </c>
      <c r="X67" s="67">
        <f>I67-G67</f>
        <v/>
      </c>
      <c r="Y67" s="75">
        <f>G67-M67</f>
        <v/>
      </c>
    </row>
    <row r="68">
      <c r="A68" s="52" t="n">
        <v>44369</v>
      </c>
      <c r="B68" s="53" t="n">
        <v>38.6</v>
      </c>
      <c r="C68" s="54">
        <f>myParidad('Flujo de Fondos'!$B$5,A68,B68,'Flujo de Fondos'!$B$7,'Flujo de Fondos'!$B$6)</f>
        <v/>
      </c>
      <c r="D68" s="53" t="n">
        <v>42.15</v>
      </c>
      <c r="E68" s="55">
        <f>myParidad('Flujo de Fondos'!$H$5,$A68,D68,'Flujo de Fondos'!$H$7,'Flujo de Fondos'!$H$6)</f>
        <v/>
      </c>
      <c r="F68" s="53" t="n">
        <v>36.65</v>
      </c>
      <c r="G68" s="54">
        <f>myParidad('Flujo de Fondos'!$N$5,$A68,F68,'Flujo de Fondos'!$N$7,'Flujo de Fondos'!$N$6)</f>
        <v/>
      </c>
      <c r="H68" s="56" t="n">
        <v>38.75</v>
      </c>
      <c r="I68" s="54">
        <f>myParidad('Flujo de Fondos'!$T$5,$A68,H68,'Flujo de Fondos'!$T$7,'Flujo de Fondos'!$T$6)</f>
        <v/>
      </c>
      <c r="J68" s="56" t="n">
        <v>33.35</v>
      </c>
      <c r="K68" s="54">
        <f>myParidad('Flujo de Fondos'!$B$34,$A68,J68,'Flujo de Fondos'!$B$36,'Flujo de Fondos'!$B$35)</f>
        <v/>
      </c>
      <c r="L68" s="53" t="n">
        <v>37.32</v>
      </c>
      <c r="M68" s="54">
        <f>myParidad('Flujo de Fondos'!$H$34,'Paridad usd'!$A68,'Paridad usd'!L68,'Flujo de Fondos'!$H$36,'Flujo de Fondos'!$H$35)</f>
        <v/>
      </c>
      <c r="N68" s="56" t="n">
        <v>36.2</v>
      </c>
      <c r="O68" s="54">
        <f>myParidad('Flujo de Fondos'!$N$34,$A68,N68,'Flujo de Fondos'!$N$36,'Flujo de Fondos'!$N$35)</f>
        <v/>
      </c>
      <c r="P68" s="57">
        <f>C68-G68</f>
        <v/>
      </c>
      <c r="Q68" s="57">
        <f>E68-C68</f>
        <v/>
      </c>
      <c r="R68" s="57">
        <f>C68-M68</f>
        <v/>
      </c>
      <c r="S68" s="55">
        <f>C68-O68</f>
        <v/>
      </c>
      <c r="T68" s="57">
        <f>E68-O68</f>
        <v/>
      </c>
      <c r="U68" s="57">
        <f>G68-O68</f>
        <v/>
      </c>
      <c r="V68" s="57">
        <f>G68-K68</f>
        <v/>
      </c>
      <c r="W68" s="57">
        <f>C68-K68</f>
        <v/>
      </c>
      <c r="X68" s="67">
        <f>I68-G68</f>
        <v/>
      </c>
      <c r="Y68" s="75">
        <f>G68-M68</f>
        <v/>
      </c>
    </row>
    <row r="69">
      <c r="A69" s="52" t="n">
        <v>44365</v>
      </c>
      <c r="B69" s="53" t="n">
        <v>39.21</v>
      </c>
      <c r="C69" s="54">
        <f>myParidad('Flujo de Fondos'!$B$5,A69,B69,'Flujo de Fondos'!$B$7,'Flujo de Fondos'!$B$6)</f>
        <v/>
      </c>
      <c r="D69" s="53" t="n">
        <v>43.2</v>
      </c>
      <c r="E69" s="55">
        <f>myParidad('Flujo de Fondos'!$H$5,$A69,D69,'Flujo de Fondos'!$H$7,'Flujo de Fondos'!$H$6)</f>
        <v/>
      </c>
      <c r="F69" s="53" t="n">
        <v>37.3</v>
      </c>
      <c r="G69" s="54">
        <f>myParidad('Flujo de Fondos'!$N$5,$A69,F69,'Flujo de Fondos'!$N$7,'Flujo de Fondos'!$N$6)</f>
        <v/>
      </c>
      <c r="H69" s="56" t="n">
        <v>39.71</v>
      </c>
      <c r="I69" s="54">
        <f>myParidad('Flujo de Fondos'!$T$5,$A69,H69,'Flujo de Fondos'!$T$7,'Flujo de Fondos'!$T$6)</f>
        <v/>
      </c>
      <c r="J69" s="56" t="n">
        <v>33.81</v>
      </c>
      <c r="K69" s="54">
        <f>myParidad('Flujo de Fondos'!$B$34,$A69,J69,'Flujo de Fondos'!$B$36,'Flujo de Fondos'!$B$35)</f>
        <v/>
      </c>
      <c r="L69" s="53" t="n">
        <v>37.9</v>
      </c>
      <c r="M69" s="54">
        <f>myParidad('Flujo de Fondos'!$H$34,'Paridad usd'!$A69,'Paridad usd'!L69,'Flujo de Fondos'!$H$36,'Flujo de Fondos'!$H$35)</f>
        <v/>
      </c>
      <c r="N69" s="56" t="n">
        <v>36.9</v>
      </c>
      <c r="O69" s="54">
        <f>myParidad('Flujo de Fondos'!$N$34,$A69,N69,'Flujo de Fondos'!$N$36,'Flujo de Fondos'!$N$35)</f>
        <v/>
      </c>
      <c r="P69" s="57">
        <f>C69-G69</f>
        <v/>
      </c>
      <c r="Q69" s="57">
        <f>E69-C69</f>
        <v/>
      </c>
      <c r="R69" s="57">
        <f>C69-M69</f>
        <v/>
      </c>
      <c r="S69" s="55">
        <f>C69-O69</f>
        <v/>
      </c>
      <c r="T69" s="57">
        <f>E69-O69</f>
        <v/>
      </c>
      <c r="U69" s="57">
        <f>G69-O69</f>
        <v/>
      </c>
      <c r="V69" s="57">
        <f>G69-K69</f>
        <v/>
      </c>
      <c r="W69" s="57">
        <f>C69-K69</f>
        <v/>
      </c>
      <c r="X69" s="67">
        <f>I69-G69</f>
        <v/>
      </c>
      <c r="Y69" s="75">
        <f>G69-M69</f>
        <v/>
      </c>
    </row>
    <row r="70">
      <c r="A70" s="52" t="n">
        <v>44364</v>
      </c>
      <c r="B70" s="53" t="n">
        <v>39.32</v>
      </c>
      <c r="C70" s="54">
        <f>myParidad('Flujo de Fondos'!$B$5,A70,B70,'Flujo de Fondos'!$B$7,'Flujo de Fondos'!$B$6)</f>
        <v/>
      </c>
      <c r="D70" s="53" t="n">
        <v>43.1</v>
      </c>
      <c r="E70" s="55">
        <f>myParidad('Flujo de Fondos'!$H$5,$A70,D70,'Flujo de Fondos'!$H$7,'Flujo de Fondos'!$H$6)</f>
        <v/>
      </c>
      <c r="F70" s="53" t="n">
        <v>37.53</v>
      </c>
      <c r="G70" s="54">
        <f>myParidad('Flujo de Fondos'!$N$5,$A70,F70,'Flujo de Fondos'!$N$7,'Flujo de Fondos'!$N$6)</f>
        <v/>
      </c>
      <c r="H70" s="56" t="n">
        <v>39.68</v>
      </c>
      <c r="I70" s="54">
        <f>myParidad('Flujo de Fondos'!$T$5,$A70,H70,'Flujo de Fondos'!$T$7,'Flujo de Fondos'!$T$6)</f>
        <v/>
      </c>
      <c r="J70" s="56" t="n">
        <v>34.14</v>
      </c>
      <c r="K70" s="54">
        <f>myParidad('Flujo de Fondos'!$B$34,$A70,J70,'Flujo de Fondos'!$B$36,'Flujo de Fondos'!$B$35)</f>
        <v/>
      </c>
      <c r="L70" s="53" t="n">
        <v>37.98</v>
      </c>
      <c r="M70" s="54">
        <f>myParidad('Flujo de Fondos'!$H$34,'Paridad usd'!$A70,'Paridad usd'!L70,'Flujo de Fondos'!$H$36,'Flujo de Fondos'!$H$35)</f>
        <v/>
      </c>
      <c r="N70" s="56" t="n">
        <v>37</v>
      </c>
      <c r="O70" s="54">
        <f>myParidad('Flujo de Fondos'!$N$34,$A70,N70,'Flujo de Fondos'!$N$36,'Flujo de Fondos'!$N$35)</f>
        <v/>
      </c>
      <c r="P70" s="57">
        <f>C70-G70</f>
        <v/>
      </c>
      <c r="Q70" s="57">
        <f>E70-C70</f>
        <v/>
      </c>
      <c r="R70" s="57">
        <f>C70-M70</f>
        <v/>
      </c>
      <c r="S70" s="55">
        <f>C70-O70</f>
        <v/>
      </c>
      <c r="T70" s="57">
        <f>E70-O70</f>
        <v/>
      </c>
      <c r="U70" s="57">
        <f>G70-O70</f>
        <v/>
      </c>
      <c r="V70" s="57">
        <f>G70-K70</f>
        <v/>
      </c>
      <c r="W70" s="57">
        <f>C70-K70</f>
        <v/>
      </c>
      <c r="X70" s="67">
        <f>I70-G70</f>
        <v/>
      </c>
      <c r="Y70" s="75">
        <f>G70-M70</f>
        <v/>
      </c>
    </row>
    <row r="71">
      <c r="A71" s="52" t="n">
        <v>44363</v>
      </c>
      <c r="B71" s="53" t="n">
        <v>39.49</v>
      </c>
      <c r="C71" s="54">
        <f>myParidad('Flujo de Fondos'!$B$5,A71,B71,'Flujo de Fondos'!$B$7,'Flujo de Fondos'!$B$6)</f>
        <v/>
      </c>
      <c r="D71" s="53" t="n">
        <v>43.5</v>
      </c>
      <c r="E71" s="55">
        <f>myParidad('Flujo de Fondos'!$H$5,$A71,D71,'Flujo de Fondos'!$H$7,'Flujo de Fondos'!$H$6)</f>
        <v/>
      </c>
      <c r="F71" s="53" t="n">
        <v>37.96</v>
      </c>
      <c r="G71" s="54">
        <f>myParidad('Flujo de Fondos'!$N$5,$A71,F71,'Flujo de Fondos'!$N$7,'Flujo de Fondos'!$N$6)</f>
        <v/>
      </c>
      <c r="H71" s="56" t="n">
        <v>40.08</v>
      </c>
      <c r="I71" s="54">
        <f>myParidad('Flujo de Fondos'!$T$5,$A71,H71,'Flujo de Fondos'!$T$7,'Flujo de Fondos'!$T$6)</f>
        <v/>
      </c>
      <c r="J71" s="56" t="n">
        <v>34.44</v>
      </c>
      <c r="K71" s="54">
        <f>myParidad('Flujo de Fondos'!$B$34,$A71,J71,'Flujo de Fondos'!$B$36,'Flujo de Fondos'!$B$35)</f>
        <v/>
      </c>
      <c r="L71" s="53" t="n">
        <v>38.54</v>
      </c>
      <c r="M71" s="54">
        <f>myParidad('Flujo de Fondos'!$H$34,'Paridad usd'!$A71,'Paridad usd'!L71,'Flujo de Fondos'!$H$36,'Flujo de Fondos'!$H$35)</f>
        <v/>
      </c>
      <c r="N71" s="56" t="n">
        <v>37.2</v>
      </c>
      <c r="O71" s="54">
        <f>myParidad('Flujo de Fondos'!$N$34,$A71,N71,'Flujo de Fondos'!$N$36,'Flujo de Fondos'!$N$35)</f>
        <v/>
      </c>
      <c r="P71" s="57">
        <f>C71-G71</f>
        <v/>
      </c>
      <c r="Q71" s="57">
        <f>E71-C71</f>
        <v/>
      </c>
      <c r="R71" s="57">
        <f>C71-M71</f>
        <v/>
      </c>
      <c r="S71" s="55">
        <f>C71-O71</f>
        <v/>
      </c>
      <c r="T71" s="57">
        <f>E71-O71</f>
        <v/>
      </c>
      <c r="U71" s="57">
        <f>G71-O71</f>
        <v/>
      </c>
      <c r="V71" s="57">
        <f>G71-K71</f>
        <v/>
      </c>
      <c r="W71" s="57">
        <f>C71-K71</f>
        <v/>
      </c>
      <c r="X71" s="67">
        <f>I71-G71</f>
        <v/>
      </c>
      <c r="Y71" s="75">
        <f>G71-M71</f>
        <v/>
      </c>
    </row>
    <row r="72">
      <c r="A72" s="52" t="n">
        <v>44362</v>
      </c>
      <c r="B72" s="53" t="n">
        <v>39.7</v>
      </c>
      <c r="C72" s="54">
        <f>myParidad('Flujo de Fondos'!$B$5,A72,B72,'Flujo de Fondos'!$B$7,'Flujo de Fondos'!$B$6)</f>
        <v/>
      </c>
      <c r="D72" s="53" t="n">
        <v>44</v>
      </c>
      <c r="E72" s="55">
        <f>myParidad('Flujo de Fondos'!$H$5,$A72,D72,'Flujo de Fondos'!$H$7,'Flujo de Fondos'!$H$6)</f>
        <v/>
      </c>
      <c r="F72" s="53" t="n">
        <v>38.06</v>
      </c>
      <c r="G72" s="54">
        <f>myParidad('Flujo de Fondos'!$N$5,$A72,F72,'Flujo de Fondos'!$N$7,'Flujo de Fondos'!$N$6)</f>
        <v/>
      </c>
      <c r="H72" s="56" t="n">
        <v>40.33</v>
      </c>
      <c r="I72" s="54">
        <f>myParidad('Flujo de Fondos'!$T$5,$A72,H72,'Flujo de Fondos'!$T$7,'Flujo de Fondos'!$T$6)</f>
        <v/>
      </c>
      <c r="J72" s="56" t="n">
        <v>34.73</v>
      </c>
      <c r="K72" s="54">
        <f>myParidad('Flujo de Fondos'!$B$34,$A72,J72,'Flujo de Fondos'!$B$36,'Flujo de Fondos'!$B$35)</f>
        <v/>
      </c>
      <c r="L72" s="53" t="n">
        <v>38.25</v>
      </c>
      <c r="M72" s="54">
        <f>myParidad('Flujo de Fondos'!$H$34,'Paridad usd'!$A72,'Paridad usd'!L72,'Flujo de Fondos'!$H$36,'Flujo de Fondos'!$H$35)</f>
        <v/>
      </c>
      <c r="N72" s="56" t="n">
        <v>38.28</v>
      </c>
      <c r="O72" s="54">
        <f>myParidad('Flujo de Fondos'!$N$34,$A72,N72,'Flujo de Fondos'!$N$36,'Flujo de Fondos'!$N$35)</f>
        <v/>
      </c>
      <c r="P72" s="57">
        <f>C72-G72</f>
        <v/>
      </c>
      <c r="Q72" s="57">
        <f>E72-C72</f>
        <v/>
      </c>
      <c r="R72" s="57">
        <f>C72-M72</f>
        <v/>
      </c>
      <c r="S72" s="55">
        <f>C72-O72</f>
        <v/>
      </c>
      <c r="T72" s="57">
        <f>E72-O72</f>
        <v/>
      </c>
      <c r="U72" s="57">
        <f>G72-O72</f>
        <v/>
      </c>
      <c r="V72" s="57">
        <f>G72-K72</f>
        <v/>
      </c>
      <c r="W72" s="57">
        <f>C72-K72</f>
        <v/>
      </c>
      <c r="X72" s="67">
        <f>I72-G72</f>
        <v/>
      </c>
      <c r="Y72" s="75">
        <f>G72-M72</f>
        <v/>
      </c>
    </row>
    <row r="73">
      <c r="A73" s="52" t="n">
        <v>44361</v>
      </c>
      <c r="B73" s="53" t="n">
        <v>39.85</v>
      </c>
      <c r="C73" s="54">
        <f>myParidad('Flujo de Fondos'!$B$5,A73,B73,'Flujo de Fondos'!$B$7,'Flujo de Fondos'!$B$6)</f>
        <v/>
      </c>
      <c r="D73" s="53" t="n">
        <v>45.25</v>
      </c>
      <c r="E73" s="55">
        <f>myParidad('Flujo de Fondos'!$H$5,$A73,D73,'Flujo de Fondos'!$H$7,'Flujo de Fondos'!$H$6)</f>
        <v/>
      </c>
      <c r="F73" s="53" t="n">
        <v>38.3</v>
      </c>
      <c r="G73" s="54">
        <f>myParidad('Flujo de Fondos'!$N$5,$A73,F73,'Flujo de Fondos'!$N$7,'Flujo de Fondos'!$N$6)</f>
        <v/>
      </c>
      <c r="H73" s="56" t="n">
        <v>40.62</v>
      </c>
      <c r="I73" s="54">
        <f>myParidad('Flujo de Fondos'!$T$5,$A73,H73,'Flujo de Fondos'!$T$7,'Flujo de Fondos'!$T$6)</f>
        <v/>
      </c>
      <c r="J73" s="56" t="n">
        <v>35.09</v>
      </c>
      <c r="K73" s="54">
        <f>myParidad('Flujo de Fondos'!$B$34,$A73,J73,'Flujo de Fondos'!$B$36,'Flujo de Fondos'!$B$35)</f>
        <v/>
      </c>
      <c r="L73" s="53" t="n">
        <v>38.7</v>
      </c>
      <c r="M73" s="54">
        <f>myParidad('Flujo de Fondos'!$H$34,'Paridad usd'!$A73,'Paridad usd'!L73,'Flujo de Fondos'!$H$36,'Flujo de Fondos'!$H$35)</f>
        <v/>
      </c>
      <c r="N73" s="56" t="n">
        <v>38</v>
      </c>
      <c r="O73" s="54">
        <f>myParidad('Flujo de Fondos'!$N$34,$A73,N73,'Flujo de Fondos'!$N$36,'Flujo de Fondos'!$N$35)</f>
        <v/>
      </c>
      <c r="P73" s="57">
        <f>C73-G73</f>
        <v/>
      </c>
      <c r="Q73" s="57">
        <f>E73-C73</f>
        <v/>
      </c>
      <c r="R73" s="57">
        <f>C73-M73</f>
        <v/>
      </c>
      <c r="S73" s="55">
        <f>C73-O73</f>
        <v/>
      </c>
      <c r="T73" s="57">
        <f>E73-O73</f>
        <v/>
      </c>
      <c r="U73" s="57">
        <f>G73-O73</f>
        <v/>
      </c>
      <c r="V73" s="57">
        <f>G73-K73</f>
        <v/>
      </c>
      <c r="W73" s="57">
        <f>C73-K73</f>
        <v/>
      </c>
      <c r="X73" s="67">
        <f>I73-G73</f>
        <v/>
      </c>
      <c r="Y73" s="75">
        <f>G73-M73</f>
        <v/>
      </c>
    </row>
    <row r="74">
      <c r="A74" s="52" t="n">
        <v>44358</v>
      </c>
      <c r="B74" s="53" t="n">
        <v>39.9</v>
      </c>
      <c r="C74" s="54">
        <f>myParidad('Flujo de Fondos'!$B$5,A74,B74,'Flujo de Fondos'!$B$7,'Flujo de Fondos'!$B$6)</f>
        <v/>
      </c>
      <c r="D74" s="53" t="n">
        <v>44.9</v>
      </c>
      <c r="E74" s="55">
        <f>myParidad('Flujo de Fondos'!$H$5,$A74,D74,'Flujo de Fondos'!$H$7,'Flujo de Fondos'!$H$6)</f>
        <v/>
      </c>
      <c r="F74" s="53" t="n">
        <v>38.3</v>
      </c>
      <c r="G74" s="54">
        <f>myParidad('Flujo de Fondos'!$N$5,$A74,F74,'Flujo de Fondos'!$N$7,'Flujo de Fondos'!$N$6)</f>
        <v/>
      </c>
      <c r="H74" s="56" t="n">
        <v>40.6</v>
      </c>
      <c r="I74" s="54">
        <f>myParidad('Flujo de Fondos'!$T$5,$A74,H74,'Flujo de Fondos'!$T$7,'Flujo de Fondos'!$T$6)</f>
        <v/>
      </c>
      <c r="J74" s="56" t="n">
        <v>35.15</v>
      </c>
      <c r="K74" s="54">
        <f>myParidad('Flujo de Fondos'!$B$34,$A74,J74,'Flujo de Fondos'!$B$36,'Flujo de Fondos'!$B$35)</f>
        <v/>
      </c>
      <c r="L74" s="53" t="n">
        <v>38.66</v>
      </c>
      <c r="M74" s="54">
        <f>myParidad('Flujo de Fondos'!$H$34,'Paridad usd'!$A74,'Paridad usd'!L74,'Flujo de Fondos'!$H$36,'Flujo de Fondos'!$H$35)</f>
        <v/>
      </c>
      <c r="N74" s="56" t="n">
        <v>37.7</v>
      </c>
      <c r="O74" s="54">
        <f>myParidad('Flujo de Fondos'!$N$34,$A74,N74,'Flujo de Fondos'!$N$36,'Flujo de Fondos'!$N$35)</f>
        <v/>
      </c>
      <c r="P74" s="57">
        <f>C74-G74</f>
        <v/>
      </c>
      <c r="Q74" s="57">
        <f>E74-C74</f>
        <v/>
      </c>
      <c r="R74" s="57">
        <f>C74-M74</f>
        <v/>
      </c>
      <c r="S74" s="55">
        <f>C74-O74</f>
        <v/>
      </c>
      <c r="T74" s="57">
        <f>E74-O74</f>
        <v/>
      </c>
      <c r="U74" s="57">
        <f>G74-O74</f>
        <v/>
      </c>
      <c r="V74" s="57">
        <f>G74-K74</f>
        <v/>
      </c>
      <c r="W74" s="57">
        <f>C74-K74</f>
        <v/>
      </c>
      <c r="X74" s="67">
        <f>I74-G74</f>
        <v/>
      </c>
      <c r="Y74" s="75">
        <f>G74-M74</f>
        <v/>
      </c>
    </row>
    <row r="75">
      <c r="A75" s="52" t="n">
        <v>44357</v>
      </c>
      <c r="B75" s="53" t="n">
        <v>39.5</v>
      </c>
      <c r="C75" s="54">
        <f>myParidad('Flujo de Fondos'!$B$5,A75,B75,'Flujo de Fondos'!$B$7,'Flujo de Fondos'!$B$6)</f>
        <v/>
      </c>
      <c r="D75" s="53" t="n">
        <v>44</v>
      </c>
      <c r="E75" s="55">
        <f>myParidad('Flujo de Fondos'!$H$5,$A75,D75,'Flujo de Fondos'!$H$7,'Flujo de Fondos'!$H$6)</f>
        <v/>
      </c>
      <c r="F75" s="53" t="n">
        <v>37.97</v>
      </c>
      <c r="G75" s="54">
        <f>myParidad('Flujo de Fondos'!$N$5,$A75,F75,'Flujo de Fondos'!$N$7,'Flujo de Fondos'!$N$6)</f>
        <v/>
      </c>
      <c r="H75" s="56" t="n">
        <v>40.46</v>
      </c>
      <c r="I75" s="54">
        <f>myParidad('Flujo de Fondos'!$T$5,$A75,H75,'Flujo de Fondos'!$T$7,'Flujo de Fondos'!$T$6)</f>
        <v/>
      </c>
      <c r="J75" s="56" t="n">
        <v>35.05</v>
      </c>
      <c r="K75" s="54">
        <f>myParidad('Flujo de Fondos'!$B$34,$A75,J75,'Flujo de Fondos'!$B$36,'Flujo de Fondos'!$B$35)</f>
        <v/>
      </c>
      <c r="L75" s="53" t="n">
        <v>38.33</v>
      </c>
      <c r="M75" s="54">
        <f>myParidad('Flujo de Fondos'!$H$34,'Paridad usd'!$A75,'Paridad usd'!L75,'Flujo de Fondos'!$H$36,'Flujo de Fondos'!$H$35)</f>
        <v/>
      </c>
      <c r="N75" s="56" t="n">
        <v>37</v>
      </c>
      <c r="O75" s="54">
        <f>myParidad('Flujo de Fondos'!$N$34,$A75,N75,'Flujo de Fondos'!$N$36,'Flujo de Fondos'!$N$35)</f>
        <v/>
      </c>
      <c r="P75" s="57">
        <f>C75-G75</f>
        <v/>
      </c>
      <c r="Q75" s="57">
        <f>E75-C75</f>
        <v/>
      </c>
      <c r="R75" s="57">
        <f>C75-M75</f>
        <v/>
      </c>
      <c r="S75" s="55">
        <f>C75-O75</f>
        <v/>
      </c>
      <c r="T75" s="57">
        <f>E75-O75</f>
        <v/>
      </c>
      <c r="U75" s="57">
        <f>G75-O75</f>
        <v/>
      </c>
      <c r="V75" s="57">
        <f>G75-K75</f>
        <v/>
      </c>
      <c r="W75" s="57">
        <f>C75-K75</f>
        <v/>
      </c>
      <c r="X75" s="67">
        <f>I75-G75</f>
        <v/>
      </c>
      <c r="Y75" s="75">
        <f>G75-M75</f>
        <v/>
      </c>
    </row>
    <row r="76">
      <c r="A76" s="52" t="n">
        <v>44356</v>
      </c>
      <c r="B76" s="53" t="n">
        <v>39.3</v>
      </c>
      <c r="C76" s="54">
        <f>myParidad('Flujo de Fondos'!$B$5,A76,B76,'Flujo de Fondos'!$B$7,'Flujo de Fondos'!$B$6)</f>
        <v/>
      </c>
      <c r="D76" s="53" t="n">
        <v>44</v>
      </c>
      <c r="E76" s="55">
        <f>myParidad('Flujo de Fondos'!$H$5,$A76,D76,'Flujo de Fondos'!$H$7,'Flujo de Fondos'!$H$6)</f>
        <v/>
      </c>
      <c r="F76" s="53" t="n">
        <v>37.65</v>
      </c>
      <c r="G76" s="54">
        <f>myParidad('Flujo de Fondos'!$N$5,$A76,F76,'Flujo de Fondos'!$N$7,'Flujo de Fondos'!$N$6)</f>
        <v/>
      </c>
      <c r="H76" s="56" t="n">
        <v>40.47</v>
      </c>
      <c r="I76" s="54">
        <f>myParidad('Flujo de Fondos'!$T$5,$A76,H76,'Flujo de Fondos'!$T$7,'Flujo de Fondos'!$T$6)</f>
        <v/>
      </c>
      <c r="J76" s="56" t="n">
        <v>34.74</v>
      </c>
      <c r="K76" s="54">
        <f>myParidad('Flujo de Fondos'!$B$34,$A76,J76,'Flujo de Fondos'!$B$36,'Flujo de Fondos'!$B$35)</f>
        <v/>
      </c>
      <c r="L76" s="53" t="n">
        <v>38.15</v>
      </c>
      <c r="M76" s="54">
        <f>myParidad('Flujo de Fondos'!$H$34,'Paridad usd'!$A76,'Paridad usd'!L76,'Flujo de Fondos'!$H$36,'Flujo de Fondos'!$H$35)</f>
        <v/>
      </c>
      <c r="N76" s="56" t="n">
        <v>36.4</v>
      </c>
      <c r="O76" s="54">
        <f>myParidad('Flujo de Fondos'!$N$34,$A76,N76,'Flujo de Fondos'!$N$36,'Flujo de Fondos'!$N$35)</f>
        <v/>
      </c>
      <c r="P76" s="57">
        <f>C76-G76</f>
        <v/>
      </c>
      <c r="Q76" s="57">
        <f>E76-C76</f>
        <v/>
      </c>
      <c r="R76" s="57">
        <f>C76-M76</f>
        <v/>
      </c>
      <c r="S76" s="55">
        <f>C76-O76</f>
        <v/>
      </c>
      <c r="T76" s="57">
        <f>E76-O76</f>
        <v/>
      </c>
      <c r="U76" s="57">
        <f>G76-O76</f>
        <v/>
      </c>
      <c r="V76" s="57">
        <f>G76-K76</f>
        <v/>
      </c>
      <c r="W76" s="57">
        <f>C76-K76</f>
        <v/>
      </c>
      <c r="X76" s="67">
        <f>I76-G76</f>
        <v/>
      </c>
      <c r="Y76" s="75">
        <f>G76-M76</f>
        <v/>
      </c>
    </row>
    <row r="77">
      <c r="A77" s="52" t="n">
        <v>44355</v>
      </c>
      <c r="B77" s="53" t="n">
        <v>38.75</v>
      </c>
      <c r="C77" s="54">
        <f>myParidad('Flujo de Fondos'!$B$5,A77,B77,'Flujo de Fondos'!$B$7,'Flujo de Fondos'!$B$6)</f>
        <v/>
      </c>
      <c r="D77" s="53" t="n">
        <v>42.5</v>
      </c>
      <c r="E77" s="55">
        <f>myParidad('Flujo de Fondos'!$H$5,$A77,D77,'Flujo de Fondos'!$H$7,'Flujo de Fondos'!$H$6)</f>
        <v/>
      </c>
      <c r="F77" s="53" t="n">
        <v>37.02</v>
      </c>
      <c r="G77" s="54">
        <f>myParidad('Flujo de Fondos'!$N$5,$A77,F77,'Flujo de Fondos'!$N$7,'Flujo de Fondos'!$N$6)</f>
        <v/>
      </c>
      <c r="H77" s="56" t="n">
        <v>39.96</v>
      </c>
      <c r="I77" s="54">
        <f>myParidad('Flujo de Fondos'!$T$5,$A77,H77,'Flujo de Fondos'!$T$7,'Flujo de Fondos'!$T$6)</f>
        <v/>
      </c>
      <c r="J77" s="56" t="n">
        <v>34.09</v>
      </c>
      <c r="K77" s="54">
        <f>myParidad('Flujo de Fondos'!$B$34,$A77,J77,'Flujo de Fondos'!$B$36,'Flujo de Fondos'!$B$35)</f>
        <v/>
      </c>
      <c r="L77" s="53" t="n">
        <v>37.55</v>
      </c>
      <c r="M77" s="54">
        <f>myParidad('Flujo de Fondos'!$H$34,'Paridad usd'!$A77,'Paridad usd'!L77,'Flujo de Fondos'!$H$36,'Flujo de Fondos'!$H$35)</f>
        <v/>
      </c>
      <c r="N77" s="56" t="n">
        <v>35.9</v>
      </c>
      <c r="O77" s="54">
        <f>myParidad('Flujo de Fondos'!$N$34,$A77,N77,'Flujo de Fondos'!$N$36,'Flujo de Fondos'!$N$35)</f>
        <v/>
      </c>
      <c r="P77" s="57">
        <f>C77-G77</f>
        <v/>
      </c>
      <c r="Q77" s="57">
        <f>E77-C77</f>
        <v/>
      </c>
      <c r="R77" s="57">
        <f>C77-M77</f>
        <v/>
      </c>
      <c r="S77" s="55">
        <f>C77-O77</f>
        <v/>
      </c>
      <c r="T77" s="57">
        <f>E77-O77</f>
        <v/>
      </c>
      <c r="U77" s="57">
        <f>G77-O77</f>
        <v/>
      </c>
      <c r="V77" s="57">
        <f>G77-K77</f>
        <v/>
      </c>
      <c r="W77" s="57">
        <f>C77-K77</f>
        <v/>
      </c>
      <c r="X77" s="67">
        <f>I77-G77</f>
        <v/>
      </c>
      <c r="Y77" s="75">
        <f>G77-M77</f>
        <v/>
      </c>
    </row>
    <row r="78">
      <c r="A78" s="52" t="n">
        <v>44354</v>
      </c>
      <c r="B78" s="53" t="n">
        <v>38.17</v>
      </c>
      <c r="C78" s="54">
        <f>myParidad('Flujo de Fondos'!$B$5,A78,B78,'Flujo de Fondos'!$B$7,'Flujo de Fondos'!$B$6)</f>
        <v/>
      </c>
      <c r="D78" s="53" t="n">
        <v>42.35</v>
      </c>
      <c r="E78" s="55">
        <f>myParidad('Flujo de Fondos'!$H$5,$A78,D78,'Flujo de Fondos'!$H$7,'Flujo de Fondos'!$H$6)</f>
        <v/>
      </c>
      <c r="F78" s="53" t="n">
        <v>36.5</v>
      </c>
      <c r="G78" s="54">
        <f>myParidad('Flujo de Fondos'!$N$5,$A78,F78,'Flujo de Fondos'!$N$7,'Flujo de Fondos'!$N$6)</f>
        <v/>
      </c>
      <c r="H78" s="56" t="n">
        <v>39.53</v>
      </c>
      <c r="I78" s="54">
        <f>myParidad('Flujo de Fondos'!$T$5,$A78,H78,'Flujo de Fondos'!$T$7,'Flujo de Fondos'!$T$6)</f>
        <v/>
      </c>
      <c r="J78" s="56" t="n">
        <v>33.8</v>
      </c>
      <c r="K78" s="54">
        <f>myParidad('Flujo de Fondos'!$B$34,$A78,J78,'Flujo de Fondos'!$B$36,'Flujo de Fondos'!$B$35)</f>
        <v/>
      </c>
      <c r="L78" s="53" t="n">
        <v>37.3</v>
      </c>
      <c r="M78" s="54">
        <f>myParidad('Flujo de Fondos'!$H$34,'Paridad usd'!$A78,'Paridad usd'!L78,'Flujo de Fondos'!$H$36,'Flujo de Fondos'!$H$35)</f>
        <v/>
      </c>
      <c r="N78" s="56" t="n">
        <v>35.35</v>
      </c>
      <c r="O78" s="54">
        <f>myParidad('Flujo de Fondos'!$N$34,$A78,N78,'Flujo de Fondos'!$N$36,'Flujo de Fondos'!$N$35)</f>
        <v/>
      </c>
      <c r="P78" s="57">
        <f>C78-G78</f>
        <v/>
      </c>
      <c r="Q78" s="57">
        <f>E78-C78</f>
        <v/>
      </c>
      <c r="R78" s="57">
        <f>C78-M78</f>
        <v/>
      </c>
      <c r="S78" s="55">
        <f>C78-O78</f>
        <v/>
      </c>
      <c r="T78" s="57">
        <f>E78-O78</f>
        <v/>
      </c>
      <c r="U78" s="57">
        <f>G78-O78</f>
        <v/>
      </c>
      <c r="V78" s="57">
        <f>G78-K78</f>
        <v/>
      </c>
      <c r="W78" s="57">
        <f>C78-K78</f>
        <v/>
      </c>
      <c r="X78" s="67">
        <f>I78-G78</f>
        <v/>
      </c>
      <c r="Y78" s="75">
        <f>G78-M78</f>
        <v/>
      </c>
    </row>
    <row r="79">
      <c r="A79" s="52" t="n">
        <v>44351</v>
      </c>
      <c r="B79" s="53" t="n">
        <v>38.05</v>
      </c>
      <c r="C79" s="54">
        <f>myParidad('Flujo de Fondos'!$B$5,A79,B79,'Flujo de Fondos'!$B$7,'Flujo de Fondos'!$B$6)</f>
        <v/>
      </c>
      <c r="D79" s="53" t="n">
        <v>41.73</v>
      </c>
      <c r="E79" s="55">
        <f>myParidad('Flujo de Fondos'!$H$5,$A79,D79,'Flujo de Fondos'!$H$7,'Flujo de Fondos'!$H$6)</f>
        <v/>
      </c>
      <c r="F79" s="53" t="n">
        <v>35.85</v>
      </c>
      <c r="G79" s="54">
        <f>myParidad('Flujo de Fondos'!$N$5,$A79,F79,'Flujo de Fondos'!$N$7,'Flujo de Fondos'!$N$6)</f>
        <v/>
      </c>
      <c r="H79" s="56" t="n">
        <v>39.12</v>
      </c>
      <c r="I79" s="54">
        <f>myParidad('Flujo de Fondos'!$T$5,$A79,H79,'Flujo de Fondos'!$T$7,'Flujo de Fondos'!$T$6)</f>
        <v/>
      </c>
      <c r="J79" s="56" t="n">
        <v>33.54</v>
      </c>
      <c r="K79" s="54">
        <f>myParidad('Flujo de Fondos'!$B$34,$A79,J79,'Flujo de Fondos'!$B$36,'Flujo de Fondos'!$B$35)</f>
        <v/>
      </c>
      <c r="L79" s="53" t="n">
        <v>37.01</v>
      </c>
      <c r="M79" s="54">
        <f>myParidad('Flujo de Fondos'!$H$34,'Paridad usd'!$A79,'Paridad usd'!L79,'Flujo de Fondos'!$H$36,'Flujo de Fondos'!$H$35)</f>
        <v/>
      </c>
      <c r="N79" s="56" t="n">
        <v>34.61</v>
      </c>
      <c r="O79" s="54">
        <f>myParidad('Flujo de Fondos'!$N$34,$A79,N79,'Flujo de Fondos'!$N$36,'Flujo de Fondos'!$N$35)</f>
        <v/>
      </c>
      <c r="P79" s="57">
        <f>C79-G79</f>
        <v/>
      </c>
      <c r="Q79" s="57">
        <f>E79-C79</f>
        <v/>
      </c>
      <c r="R79" s="57">
        <f>C79-M79</f>
        <v/>
      </c>
      <c r="S79" s="55">
        <f>C79-O79</f>
        <v/>
      </c>
      <c r="T79" s="57">
        <f>E79-O79</f>
        <v/>
      </c>
      <c r="U79" s="57">
        <f>G79-O79</f>
        <v/>
      </c>
      <c r="V79" s="57">
        <f>G79-K79</f>
        <v/>
      </c>
      <c r="W79" s="57">
        <f>C79-K79</f>
        <v/>
      </c>
      <c r="X79" s="67">
        <f>I79-G79</f>
        <v/>
      </c>
      <c r="Y79" s="75">
        <f>G79-M79</f>
        <v/>
      </c>
    </row>
    <row r="80">
      <c r="A80" s="52" t="n">
        <v>44350</v>
      </c>
      <c r="B80" s="53" t="n">
        <v>38.2</v>
      </c>
      <c r="C80" s="54">
        <f>myParidad('Flujo de Fondos'!$B$5,A80,B80,'Flujo de Fondos'!$B$7,'Flujo de Fondos'!$B$6)</f>
        <v/>
      </c>
      <c r="D80" s="53" t="n">
        <v>41.8</v>
      </c>
      <c r="E80" s="55">
        <f>myParidad('Flujo de Fondos'!$H$5,$A80,D80,'Flujo de Fondos'!$H$7,'Flujo de Fondos'!$H$6)</f>
        <v/>
      </c>
      <c r="F80" s="53" t="n">
        <v>36.05</v>
      </c>
      <c r="G80" s="54">
        <f>myParidad('Flujo de Fondos'!$N$5,$A80,F80,'Flujo de Fondos'!$N$7,'Flujo de Fondos'!$N$6)</f>
        <v/>
      </c>
      <c r="H80" s="56" t="n">
        <v>38.86</v>
      </c>
      <c r="I80" s="54">
        <f>myParidad('Flujo de Fondos'!$T$5,$A80,H80,'Flujo de Fondos'!$T$7,'Flujo de Fondos'!$T$6)</f>
        <v/>
      </c>
      <c r="J80" s="56" t="n">
        <v>33.27</v>
      </c>
      <c r="K80" s="54">
        <f>myParidad('Flujo de Fondos'!$B$34,$A80,J80,'Flujo de Fondos'!$B$36,'Flujo de Fondos'!$B$35)</f>
        <v/>
      </c>
      <c r="L80" s="53" t="n">
        <v>36.96</v>
      </c>
      <c r="M80" s="54">
        <f>myParidad('Flujo de Fondos'!$H$34,'Paridad usd'!$A80,'Paridad usd'!L80,'Flujo de Fondos'!$H$36,'Flujo de Fondos'!$H$35)</f>
        <v/>
      </c>
      <c r="N80" s="56" t="n">
        <v>34.5</v>
      </c>
      <c r="O80" s="54">
        <f>myParidad('Flujo de Fondos'!$N$34,$A80,N80,'Flujo de Fondos'!$N$36,'Flujo de Fondos'!$N$35)</f>
        <v/>
      </c>
      <c r="P80" s="57">
        <f>C80-G80</f>
        <v/>
      </c>
      <c r="Q80" s="57">
        <f>E80-C80</f>
        <v/>
      </c>
      <c r="R80" s="57">
        <f>C80-M80</f>
        <v/>
      </c>
      <c r="S80" s="55">
        <f>C80-O80</f>
        <v/>
      </c>
      <c r="T80" s="57">
        <f>E80-O80</f>
        <v/>
      </c>
      <c r="U80" s="57">
        <f>G80-O80</f>
        <v/>
      </c>
      <c r="V80" s="57">
        <f>G80-K80</f>
        <v/>
      </c>
      <c r="W80" s="57">
        <f>C80-K80</f>
        <v/>
      </c>
      <c r="X80" s="67">
        <f>I80-G80</f>
        <v/>
      </c>
      <c r="Y80" s="75">
        <f>G80-M80</f>
        <v/>
      </c>
    </row>
    <row r="81">
      <c r="A81" s="52" t="n">
        <v>44349</v>
      </c>
      <c r="B81" s="53" t="n">
        <v>38.35</v>
      </c>
      <c r="C81" s="54">
        <f>myParidad('Flujo de Fondos'!$B$5,A81,B81,'Flujo de Fondos'!$B$7,'Flujo de Fondos'!$B$6)</f>
        <v/>
      </c>
      <c r="D81" s="53" t="n">
        <v>41.9</v>
      </c>
      <c r="E81" s="55">
        <f>myParidad('Flujo de Fondos'!$H$5,$A81,D81,'Flujo de Fondos'!$H$7,'Flujo de Fondos'!$H$6)</f>
        <v/>
      </c>
      <c r="F81" s="53" t="n">
        <v>36.3</v>
      </c>
      <c r="G81" s="54">
        <f>myParidad('Flujo de Fondos'!$N$5,$A81,F81,'Flujo de Fondos'!$N$7,'Flujo de Fondos'!$N$6)</f>
        <v/>
      </c>
      <c r="H81" s="56" t="n">
        <v>39.51</v>
      </c>
      <c r="I81" s="54">
        <f>myParidad('Flujo de Fondos'!$T$5,$A81,H81,'Flujo de Fondos'!$T$7,'Flujo de Fondos'!$T$6)</f>
        <v/>
      </c>
      <c r="J81" s="56" t="n">
        <v>34.2</v>
      </c>
      <c r="K81" s="54">
        <f>myParidad('Flujo de Fondos'!$B$34,$A81,J81,'Flujo de Fondos'!$B$36,'Flujo de Fondos'!$B$35)</f>
        <v/>
      </c>
      <c r="L81" s="53" t="n">
        <v>37.6</v>
      </c>
      <c r="M81" s="54">
        <f>myParidad('Flujo de Fondos'!$H$34,'Paridad usd'!$A81,'Paridad usd'!L81,'Flujo de Fondos'!$H$36,'Flujo de Fondos'!$H$35)</f>
        <v/>
      </c>
      <c r="N81" s="56" t="n">
        <v>35.36</v>
      </c>
      <c r="O81" s="54">
        <f>myParidad('Flujo de Fondos'!$N$34,$A81,N81,'Flujo de Fondos'!$N$36,'Flujo de Fondos'!$N$35)</f>
        <v/>
      </c>
      <c r="P81" s="57">
        <f>C81-G81</f>
        <v/>
      </c>
      <c r="Q81" s="57">
        <f>E81-C81</f>
        <v/>
      </c>
      <c r="R81" s="57">
        <f>C81-M81</f>
        <v/>
      </c>
      <c r="S81" s="55">
        <f>C81-O81</f>
        <v/>
      </c>
      <c r="T81" s="57">
        <f>E81-O81</f>
        <v/>
      </c>
      <c r="U81" s="57">
        <f>G81-O81</f>
        <v/>
      </c>
      <c r="V81" s="57">
        <f>G81-K81</f>
        <v/>
      </c>
      <c r="W81" s="57">
        <f>C81-K81</f>
        <v/>
      </c>
      <c r="X81" s="67">
        <f>I81-G81</f>
        <v/>
      </c>
      <c r="Y81" s="75">
        <f>G81-M81</f>
        <v/>
      </c>
    </row>
    <row r="82">
      <c r="A82" s="52" t="n">
        <v>44348</v>
      </c>
      <c r="B82" s="53" t="n">
        <v>37.85</v>
      </c>
      <c r="C82" s="54">
        <f>myParidad('Flujo de Fondos'!$B$5,A82,B82,'Flujo de Fondos'!$B$7,'Flujo de Fondos'!$B$6)</f>
        <v/>
      </c>
      <c r="D82" s="53" t="n">
        <v>40.8</v>
      </c>
      <c r="E82" s="55">
        <f>myParidad('Flujo de Fondos'!$H$5,$A82,D82,'Flujo de Fondos'!$H$7,'Flujo de Fondos'!$H$6)</f>
        <v/>
      </c>
      <c r="F82" s="53" t="n">
        <v>35.6</v>
      </c>
      <c r="G82" s="54">
        <f>myParidad('Flujo de Fondos'!$N$5,$A82,F82,'Flujo de Fondos'!$N$7,'Flujo de Fondos'!$N$6)</f>
        <v/>
      </c>
      <c r="H82" s="56" t="n">
        <v>38.8</v>
      </c>
      <c r="I82" s="54">
        <f>myParidad('Flujo de Fondos'!$T$5,$A82,H82,'Flujo de Fondos'!$T$7,'Flujo de Fondos'!$T$6)</f>
        <v/>
      </c>
      <c r="J82" s="56" t="n">
        <v>33.71</v>
      </c>
      <c r="K82" s="54">
        <f>myParidad('Flujo de Fondos'!$B$34,$A82,J82,'Flujo de Fondos'!$B$36,'Flujo de Fondos'!$B$35)</f>
        <v/>
      </c>
      <c r="L82" s="53" t="n">
        <v>36.8</v>
      </c>
      <c r="M82" s="54">
        <f>myParidad('Flujo de Fondos'!$H$34,'Paridad usd'!$A82,'Paridad usd'!L82,'Flujo de Fondos'!$H$36,'Flujo de Fondos'!$H$35)</f>
        <v/>
      </c>
      <c r="N82" s="56" t="n">
        <v>34.9</v>
      </c>
      <c r="O82" s="54">
        <f>myParidad('Flujo de Fondos'!$N$34,$A82,N82,'Flujo de Fondos'!$N$36,'Flujo de Fondos'!$N$35)</f>
        <v/>
      </c>
      <c r="P82" s="57">
        <f>C82-G82</f>
        <v/>
      </c>
      <c r="Q82" s="57">
        <f>E82-C82</f>
        <v/>
      </c>
      <c r="R82" s="57">
        <f>C82-M82</f>
        <v/>
      </c>
      <c r="S82" s="55">
        <f>C82-O82</f>
        <v/>
      </c>
      <c r="T82" s="57">
        <f>E82-O82</f>
        <v/>
      </c>
      <c r="U82" s="57">
        <f>G82-O82</f>
        <v/>
      </c>
      <c r="V82" s="57">
        <f>G82-K82</f>
        <v/>
      </c>
      <c r="W82" s="57">
        <f>C82-K82</f>
        <v/>
      </c>
      <c r="X82" s="67">
        <f>I82-G82</f>
        <v/>
      </c>
      <c r="Y82" s="75">
        <f>G82-M82</f>
        <v/>
      </c>
    </row>
    <row r="83">
      <c r="A83" s="52" t="n">
        <v>44347</v>
      </c>
      <c r="B83" s="53" t="n">
        <v>37.6</v>
      </c>
      <c r="C83" s="54">
        <f>myParidad('Flujo de Fondos'!$B$5,A83,B83,'Flujo de Fondos'!$B$7,'Flujo de Fondos'!$B$6)</f>
        <v/>
      </c>
      <c r="D83" s="53" t="n">
        <v>40.5</v>
      </c>
      <c r="E83" s="55">
        <f>myParidad('Flujo de Fondos'!$H$5,$A83,D83,'Flujo de Fondos'!$H$7,'Flujo de Fondos'!$H$6)</f>
        <v/>
      </c>
      <c r="F83" s="53" t="n">
        <v>35.3</v>
      </c>
      <c r="G83" s="54">
        <f>myParidad('Flujo de Fondos'!$N$5,$A83,F83,'Flujo de Fondos'!$N$7,'Flujo de Fondos'!$N$6)</f>
        <v/>
      </c>
      <c r="H83" s="56" t="n">
        <v>38.58</v>
      </c>
      <c r="I83" s="54">
        <f>myParidad('Flujo de Fondos'!$T$5,$A83,H83,'Flujo de Fondos'!$T$7,'Flujo de Fondos'!$T$6)</f>
        <v/>
      </c>
      <c r="J83" s="56" t="n">
        <v>33.4</v>
      </c>
      <c r="K83" s="54">
        <f>myParidad('Flujo de Fondos'!$B$34,$A83,J83,'Flujo de Fondos'!$B$36,'Flujo de Fondos'!$B$35)</f>
        <v/>
      </c>
      <c r="L83" s="53" t="n">
        <v>36.25</v>
      </c>
      <c r="M83" s="54">
        <f>myParidad('Flujo de Fondos'!$H$34,'Paridad usd'!$A83,'Paridad usd'!L83,'Flujo de Fondos'!$H$36,'Flujo de Fondos'!$H$35)</f>
        <v/>
      </c>
      <c r="N83" s="56" t="n">
        <v>34.4</v>
      </c>
      <c r="O83" s="54">
        <f>myParidad('Flujo de Fondos'!$N$34,$A83,N83,'Flujo de Fondos'!$N$36,'Flujo de Fondos'!$N$35)</f>
        <v/>
      </c>
      <c r="P83" s="57">
        <f>C83-G83</f>
        <v/>
      </c>
      <c r="Q83" s="57">
        <f>E83-C83</f>
        <v/>
      </c>
      <c r="R83" s="57">
        <f>C83-M83</f>
        <v/>
      </c>
      <c r="S83" s="55">
        <f>C83-O83</f>
        <v/>
      </c>
      <c r="T83" s="57">
        <f>E83-O83</f>
        <v/>
      </c>
      <c r="U83" s="57">
        <f>G83-O83</f>
        <v/>
      </c>
      <c r="V83" s="57">
        <f>G83-K83</f>
        <v/>
      </c>
      <c r="W83" s="57">
        <f>C83-K83</f>
        <v/>
      </c>
      <c r="X83" s="67">
        <f>I83-G83</f>
        <v/>
      </c>
      <c r="Y83" s="75">
        <f>G83-M83</f>
        <v/>
      </c>
    </row>
    <row r="84">
      <c r="A84" s="52" t="n">
        <v>44344</v>
      </c>
      <c r="B84" s="53" t="n">
        <v>37.64</v>
      </c>
      <c r="C84" s="54">
        <f>myParidad('Flujo de Fondos'!$B$5,A84,B84,'Flujo de Fondos'!$B$7,'Flujo de Fondos'!$B$6)</f>
        <v/>
      </c>
      <c r="D84" s="53" t="n">
        <v>40.01</v>
      </c>
      <c r="E84" s="55">
        <f>myParidad('Flujo de Fondos'!$H$5,$A84,D84,'Flujo de Fondos'!$H$7,'Flujo de Fondos'!$H$6)</f>
        <v/>
      </c>
      <c r="F84" s="53" t="n">
        <v>35.35</v>
      </c>
      <c r="G84" s="54">
        <f>myParidad('Flujo de Fondos'!$N$5,$A84,F84,'Flujo de Fondos'!$N$7,'Flujo de Fondos'!$N$6)</f>
        <v/>
      </c>
      <c r="H84" s="56" t="n">
        <v>38.55</v>
      </c>
      <c r="I84" s="54">
        <f>myParidad('Flujo de Fondos'!$T$5,$A84,H84,'Flujo de Fondos'!$T$7,'Flujo de Fondos'!$T$6)</f>
        <v/>
      </c>
      <c r="J84" s="56" t="n">
        <v>33.5</v>
      </c>
      <c r="K84" s="54">
        <f>myParidad('Flujo de Fondos'!$B$34,$A84,J84,'Flujo de Fondos'!$B$36,'Flujo de Fondos'!$B$35)</f>
        <v/>
      </c>
      <c r="L84" s="53" t="n">
        <v>36.32</v>
      </c>
      <c r="M84" s="54">
        <f>myParidad('Flujo de Fondos'!$H$34,'Paridad usd'!$A84,'Paridad usd'!L84,'Flujo de Fondos'!$H$36,'Flujo de Fondos'!$H$35)</f>
        <v/>
      </c>
      <c r="N84" s="56" t="n">
        <v>34.6</v>
      </c>
      <c r="O84" s="54">
        <f>myParidad('Flujo de Fondos'!$N$34,$A84,N84,'Flujo de Fondos'!$N$36,'Flujo de Fondos'!$N$35)</f>
        <v/>
      </c>
      <c r="P84" s="57">
        <f>C84-G84</f>
        <v/>
      </c>
      <c r="Q84" s="57">
        <f>E84-C84</f>
        <v/>
      </c>
      <c r="R84" s="57">
        <f>C84-M84</f>
        <v/>
      </c>
      <c r="S84" s="55">
        <f>C84-O84</f>
        <v/>
      </c>
      <c r="T84" s="57">
        <f>E84-O84</f>
        <v/>
      </c>
      <c r="U84" s="57">
        <f>G84-O84</f>
        <v/>
      </c>
      <c r="V84" s="57">
        <f>G84-K84</f>
        <v/>
      </c>
      <c r="W84" s="57">
        <f>C84-K84</f>
        <v/>
      </c>
      <c r="X84" s="67">
        <f>I84-G84</f>
        <v/>
      </c>
      <c r="Y84" s="75">
        <f>G84-M84</f>
        <v/>
      </c>
    </row>
    <row r="85">
      <c r="A85" s="52" t="n">
        <v>44343</v>
      </c>
      <c r="B85" s="53" t="n">
        <v>38.1</v>
      </c>
      <c r="C85" s="54">
        <f>myParidad('Flujo de Fondos'!$B$5,A85,B85,'Flujo de Fondos'!$B$7,'Flujo de Fondos'!$B$6)</f>
        <v/>
      </c>
      <c r="D85" s="53" t="n">
        <v>41</v>
      </c>
      <c r="E85" s="55">
        <f>myParidad('Flujo de Fondos'!$H$5,$A85,D85,'Flujo de Fondos'!$H$7,'Flujo de Fondos'!$H$6)</f>
        <v/>
      </c>
      <c r="F85" s="53" t="n">
        <v>35.66</v>
      </c>
      <c r="G85" s="54">
        <f>myParidad('Flujo de Fondos'!$N$5,$A85,F85,'Flujo de Fondos'!$N$7,'Flujo de Fondos'!$N$6)</f>
        <v/>
      </c>
      <c r="H85" s="56" t="n">
        <v>38.71</v>
      </c>
      <c r="I85" s="54">
        <f>myParidad('Flujo de Fondos'!$T$5,$A85,H85,'Flujo de Fondos'!$T$7,'Flujo de Fondos'!$T$6)</f>
        <v/>
      </c>
      <c r="J85" s="56" t="n">
        <v>33.8</v>
      </c>
      <c r="K85" s="54">
        <f>myParidad('Flujo de Fondos'!$B$34,$A85,J85,'Flujo de Fondos'!$B$36,'Flujo de Fondos'!$B$35)</f>
        <v/>
      </c>
      <c r="L85" s="53" t="n">
        <v>36.65</v>
      </c>
      <c r="M85" s="54">
        <f>myParidad('Flujo de Fondos'!$H$34,'Paridad usd'!$A85,'Paridad usd'!L85,'Flujo de Fondos'!$H$36,'Flujo de Fondos'!$H$35)</f>
        <v/>
      </c>
      <c r="N85" s="56" t="n">
        <v>35.25</v>
      </c>
      <c r="O85" s="54">
        <f>myParidad('Flujo de Fondos'!$N$34,$A85,N85,'Flujo de Fondos'!$N$36,'Flujo de Fondos'!$N$35)</f>
        <v/>
      </c>
      <c r="P85" s="57">
        <f>C85-G85</f>
        <v/>
      </c>
      <c r="Q85" s="57">
        <f>E85-C85</f>
        <v/>
      </c>
      <c r="R85" s="57">
        <f>C85-M85</f>
        <v/>
      </c>
      <c r="S85" s="55">
        <f>C85-O85</f>
        <v/>
      </c>
      <c r="T85" s="57">
        <f>E85-O85</f>
        <v/>
      </c>
      <c r="U85" s="57">
        <f>G85-O85</f>
        <v/>
      </c>
      <c r="V85" s="57">
        <f>G85-K85</f>
        <v/>
      </c>
      <c r="W85" s="57">
        <f>C85-K85</f>
        <v/>
      </c>
      <c r="X85" s="67">
        <f>I85-G85</f>
        <v/>
      </c>
      <c r="Y85" s="75">
        <f>G85-M85</f>
        <v/>
      </c>
    </row>
    <row r="86">
      <c r="A86" s="52" t="n">
        <v>44342</v>
      </c>
      <c r="B86" s="53" t="n">
        <v>37.77</v>
      </c>
      <c r="C86" s="54">
        <f>myParidad('Flujo de Fondos'!$B$5,A86,B86,'Flujo de Fondos'!$B$7,'Flujo de Fondos'!$B$6)</f>
        <v/>
      </c>
      <c r="D86" s="53" t="n">
        <v>40.6</v>
      </c>
      <c r="E86" s="55">
        <f>myParidad('Flujo de Fondos'!$H$5,$A86,D86,'Flujo de Fondos'!$H$7,'Flujo de Fondos'!$H$6)</f>
        <v/>
      </c>
      <c r="F86" s="53" t="n">
        <v>35.45</v>
      </c>
      <c r="G86" s="54">
        <f>myParidad('Flujo de Fondos'!$N$5,$A86,F86,'Flujo de Fondos'!$N$7,'Flujo de Fondos'!$N$6)</f>
        <v/>
      </c>
      <c r="H86" s="56" t="n">
        <v>38.75</v>
      </c>
      <c r="I86" s="54">
        <f>myParidad('Flujo de Fondos'!$T$5,$A86,H86,'Flujo de Fondos'!$T$7,'Flujo de Fondos'!$T$6)</f>
        <v/>
      </c>
      <c r="J86" s="56" t="n">
        <v>33.45</v>
      </c>
      <c r="K86" s="54">
        <f>myParidad('Flujo de Fondos'!$B$34,$A86,J86,'Flujo de Fondos'!$B$36,'Flujo de Fondos'!$B$35)</f>
        <v/>
      </c>
      <c r="L86" s="53" t="n">
        <v>36.65</v>
      </c>
      <c r="M86" s="54">
        <f>myParidad('Flujo de Fondos'!$H$34,'Paridad usd'!$A86,'Paridad usd'!L86,'Flujo de Fondos'!$H$36,'Flujo de Fondos'!$H$35)</f>
        <v/>
      </c>
      <c r="N86" s="56" t="n">
        <v>34.7</v>
      </c>
      <c r="O86" s="54">
        <f>myParidad('Flujo de Fondos'!$N$34,$A86,N86,'Flujo de Fondos'!$N$36,'Flujo de Fondos'!$N$35)</f>
        <v/>
      </c>
      <c r="P86" s="57">
        <f>C86-G86</f>
        <v/>
      </c>
      <c r="Q86" s="57">
        <f>E86-C86</f>
        <v/>
      </c>
      <c r="R86" s="57">
        <f>C86-M86</f>
        <v/>
      </c>
      <c r="S86" s="55">
        <f>C86-O86</f>
        <v/>
      </c>
      <c r="T86" s="57">
        <f>E86-O86</f>
        <v/>
      </c>
      <c r="U86" s="57">
        <f>G86-O86</f>
        <v/>
      </c>
      <c r="V86" s="57">
        <f>G86-K86</f>
        <v/>
      </c>
      <c r="W86" s="57">
        <f>C86-K86</f>
        <v/>
      </c>
      <c r="X86" s="67">
        <f>I86-G86</f>
        <v/>
      </c>
      <c r="Y86" s="75">
        <f>G86-M86</f>
        <v/>
      </c>
    </row>
    <row r="87">
      <c r="A87" s="52" t="n">
        <v>44337</v>
      </c>
      <c r="B87" s="53" t="n">
        <v>36.93</v>
      </c>
      <c r="C87" s="54">
        <f>myParidad('Flujo de Fondos'!$B$5,A87,B87,'Flujo de Fondos'!$B$7,'Flujo de Fondos'!$B$6)</f>
        <v/>
      </c>
      <c r="D87" s="53" t="n">
        <v>40.3</v>
      </c>
      <c r="E87" s="55">
        <f>myParidad('Flujo de Fondos'!$H$5,$A87,D87,'Flujo de Fondos'!$H$7,'Flujo de Fondos'!$H$6)</f>
        <v/>
      </c>
      <c r="F87" s="53" t="n">
        <v>34.4</v>
      </c>
      <c r="G87" s="54">
        <f>myParidad('Flujo de Fondos'!$N$5,$A87,F87,'Flujo de Fondos'!$N$7,'Flujo de Fondos'!$N$6)</f>
        <v/>
      </c>
      <c r="H87" s="56" t="n">
        <v>37.5</v>
      </c>
      <c r="I87" s="54">
        <f>myParidad('Flujo de Fondos'!$T$5,$A87,H87,'Flujo de Fondos'!$T$7,'Flujo de Fondos'!$T$6)</f>
        <v/>
      </c>
      <c r="J87" s="56" t="n">
        <v>32.25</v>
      </c>
      <c r="K87" s="54">
        <f>myParidad('Flujo de Fondos'!$B$34,$A87,J87,'Flujo de Fondos'!$B$36,'Flujo de Fondos'!$B$35)</f>
        <v/>
      </c>
      <c r="L87" s="53" t="n">
        <v>35.07</v>
      </c>
      <c r="M87" s="54">
        <f>myParidad('Flujo de Fondos'!$H$34,'Paridad usd'!$A87,'Paridad usd'!L87,'Flujo de Fondos'!$H$36,'Flujo de Fondos'!$H$35)</f>
        <v/>
      </c>
      <c r="N87" s="56" t="n">
        <v>33.36</v>
      </c>
      <c r="O87" s="54">
        <f>myParidad('Flujo de Fondos'!$N$34,$A87,N87,'Flujo de Fondos'!$N$36,'Flujo de Fondos'!$N$35)</f>
        <v/>
      </c>
      <c r="P87" s="57">
        <f>C87-G87</f>
        <v/>
      </c>
      <c r="Q87" s="57">
        <f>E87-C87</f>
        <v/>
      </c>
      <c r="R87" s="57">
        <f>C87-M87</f>
        <v/>
      </c>
      <c r="S87" s="55">
        <f>C87-O87</f>
        <v/>
      </c>
      <c r="T87" s="57">
        <f>E87-O87</f>
        <v/>
      </c>
      <c r="U87" s="57">
        <f>G87-O87</f>
        <v/>
      </c>
      <c r="V87" s="57">
        <f>G87-K87</f>
        <v/>
      </c>
      <c r="W87" s="57">
        <f>C87-K87</f>
        <v/>
      </c>
      <c r="X87" s="67">
        <f>I87-G87</f>
        <v/>
      </c>
      <c r="Y87" s="75">
        <f>G87-M87</f>
        <v/>
      </c>
    </row>
    <row r="88">
      <c r="A88" s="52" t="n">
        <v>44336</v>
      </c>
      <c r="B88" s="53" t="n">
        <v>37.29</v>
      </c>
      <c r="C88" s="54">
        <f>myParidad('Flujo de Fondos'!$B$5,A88,B88,'Flujo de Fondos'!$B$7,'Flujo de Fondos'!$B$6)</f>
        <v/>
      </c>
      <c r="D88" s="53" t="n">
        <v>40.3</v>
      </c>
      <c r="E88" s="55">
        <f>myParidad('Flujo de Fondos'!$H$5,$A88,D88,'Flujo de Fondos'!$H$7,'Flujo de Fondos'!$H$6)</f>
        <v/>
      </c>
      <c r="F88" s="53" t="n">
        <v>34.78</v>
      </c>
      <c r="G88" s="54">
        <f>myParidad('Flujo de Fondos'!$N$5,$A88,F88,'Flujo de Fondos'!$N$7,'Flujo de Fondos'!$N$6)</f>
        <v/>
      </c>
      <c r="H88" s="56" t="n">
        <v>37.99</v>
      </c>
      <c r="I88" s="54">
        <f>myParidad('Flujo de Fondos'!$T$5,$A88,H88,'Flujo de Fondos'!$T$7,'Flujo de Fondos'!$T$6)</f>
        <v/>
      </c>
      <c r="J88" s="56" t="n">
        <v>32.8</v>
      </c>
      <c r="K88" s="54">
        <f>myParidad('Flujo de Fondos'!$B$34,$A88,J88,'Flujo de Fondos'!$B$36,'Flujo de Fondos'!$B$35)</f>
        <v/>
      </c>
      <c r="L88" s="53" t="n">
        <v>35.25</v>
      </c>
      <c r="M88" s="54">
        <f>myParidad('Flujo de Fondos'!$H$34,'Paridad usd'!$A88,'Paridad usd'!L88,'Flujo de Fondos'!$H$36,'Flujo de Fondos'!$H$35)</f>
        <v/>
      </c>
      <c r="N88" s="56" t="n">
        <v>33</v>
      </c>
      <c r="O88" s="54">
        <f>myParidad('Flujo de Fondos'!$N$34,$A88,N88,'Flujo de Fondos'!$N$36,'Flujo de Fondos'!$N$35)</f>
        <v/>
      </c>
      <c r="P88" s="57">
        <f>C88-G88</f>
        <v/>
      </c>
      <c r="Q88" s="57">
        <f>E88-C88</f>
        <v/>
      </c>
      <c r="R88" s="57">
        <f>C88-M88</f>
        <v/>
      </c>
      <c r="S88" s="55">
        <f>C88-O88</f>
        <v/>
      </c>
      <c r="T88" s="57">
        <f>E88-O88</f>
        <v/>
      </c>
      <c r="U88" s="57">
        <f>G88-O88</f>
        <v/>
      </c>
      <c r="V88" s="57">
        <f>G88-K88</f>
        <v/>
      </c>
      <c r="W88" s="57">
        <f>C88-K88</f>
        <v/>
      </c>
      <c r="X88" s="67">
        <f>I88-G88</f>
        <v/>
      </c>
      <c r="Y88" s="75">
        <f>G88-M88</f>
        <v/>
      </c>
    </row>
    <row r="89">
      <c r="A89" s="52" t="n">
        <v>44335</v>
      </c>
      <c r="B89" s="53" t="n">
        <v>37.45</v>
      </c>
      <c r="C89" s="54">
        <f>myParidad('Flujo de Fondos'!$B$5,A89,B89,'Flujo de Fondos'!$B$7,'Flujo de Fondos'!$B$6)</f>
        <v/>
      </c>
      <c r="D89" s="53" t="n">
        <v>40.1</v>
      </c>
      <c r="E89" s="55">
        <f>myParidad('Flujo de Fondos'!$H$5,$A89,D89,'Flujo de Fondos'!$H$7,'Flujo de Fondos'!$H$6)</f>
        <v/>
      </c>
      <c r="F89" s="53" t="n">
        <v>35.07</v>
      </c>
      <c r="G89" s="54">
        <f>myParidad('Flujo de Fondos'!$N$5,$A89,F89,'Flujo de Fondos'!$N$7,'Flujo de Fondos'!$N$6)</f>
        <v/>
      </c>
      <c r="H89" s="56" t="n">
        <v>37.9</v>
      </c>
      <c r="I89" s="54">
        <f>myParidad('Flujo de Fondos'!$T$5,$A89,H89,'Flujo de Fondos'!$T$7,'Flujo de Fondos'!$T$6)</f>
        <v/>
      </c>
      <c r="J89" s="56" t="n">
        <v>32.9</v>
      </c>
      <c r="K89" s="54">
        <f>myParidad('Flujo de Fondos'!$B$34,$A89,J89,'Flujo de Fondos'!$B$36,'Flujo de Fondos'!$B$35)</f>
        <v/>
      </c>
      <c r="L89" s="53" t="n">
        <v>35.15</v>
      </c>
      <c r="M89" s="54">
        <f>myParidad('Flujo de Fondos'!$H$34,'Paridad usd'!$A89,'Paridad usd'!L89,'Flujo de Fondos'!$H$36,'Flujo de Fondos'!$H$35)</f>
        <v/>
      </c>
      <c r="N89" s="56" t="n">
        <v>33.6</v>
      </c>
      <c r="O89" s="54">
        <f>myParidad('Flujo de Fondos'!$N$34,$A89,N89,'Flujo de Fondos'!$N$36,'Flujo de Fondos'!$N$35)</f>
        <v/>
      </c>
      <c r="P89" s="57">
        <f>C89-G89</f>
        <v/>
      </c>
      <c r="Q89" s="57">
        <f>E89-C89</f>
        <v/>
      </c>
      <c r="R89" s="57">
        <f>C89-M89</f>
        <v/>
      </c>
      <c r="S89" s="55">
        <f>C89-O89</f>
        <v/>
      </c>
      <c r="T89" s="57">
        <f>E89-O89</f>
        <v/>
      </c>
      <c r="U89" s="57">
        <f>G89-O89</f>
        <v/>
      </c>
      <c r="V89" s="57">
        <f>G89-K89</f>
        <v/>
      </c>
      <c r="W89" s="57">
        <f>C89-K89</f>
        <v/>
      </c>
      <c r="X89" s="67">
        <f>I89-G89</f>
        <v/>
      </c>
      <c r="Y89" s="75">
        <f>G89-M89</f>
        <v/>
      </c>
    </row>
    <row r="90">
      <c r="A90" s="52" t="n">
        <v>44334</v>
      </c>
      <c r="B90" s="53" t="n">
        <v>38</v>
      </c>
      <c r="C90" s="54">
        <f>myParidad('Flujo de Fondos'!$B$5,A90,B90,'Flujo de Fondos'!$B$7,'Flujo de Fondos'!$B$6)</f>
        <v/>
      </c>
      <c r="D90" s="53" t="n">
        <v>40.25</v>
      </c>
      <c r="E90" s="55">
        <f>myParidad('Flujo de Fondos'!$H$5,$A90,D90,'Flujo de Fondos'!$H$7,'Flujo de Fondos'!$H$6)</f>
        <v/>
      </c>
      <c r="F90" s="53" t="n">
        <v>35.7</v>
      </c>
      <c r="G90" s="54">
        <f>myParidad('Flujo de Fondos'!$N$5,$A90,F90,'Flujo de Fondos'!$N$7,'Flujo de Fondos'!$N$6)</f>
        <v/>
      </c>
      <c r="H90" s="56" t="n">
        <v>38.38</v>
      </c>
      <c r="I90" s="54">
        <f>myParidad('Flujo de Fondos'!$T$5,$A90,H90,'Flujo de Fondos'!$T$7,'Flujo de Fondos'!$T$6)</f>
        <v/>
      </c>
      <c r="J90" s="56" t="n">
        <v>32.9</v>
      </c>
      <c r="K90" s="54">
        <f>myParidad('Flujo de Fondos'!$B$34,$A90,J90,'Flujo de Fondos'!$B$36,'Flujo de Fondos'!$B$35)</f>
        <v/>
      </c>
      <c r="L90" s="53" t="n">
        <v>35.5</v>
      </c>
      <c r="M90" s="54">
        <f>myParidad('Flujo de Fondos'!$H$34,'Paridad usd'!$A90,'Paridad usd'!L90,'Flujo de Fondos'!$H$36,'Flujo de Fondos'!$H$35)</f>
        <v/>
      </c>
      <c r="N90" s="56" t="n">
        <v>33.5</v>
      </c>
      <c r="O90" s="54">
        <f>myParidad('Flujo de Fondos'!$N$34,$A90,N90,'Flujo de Fondos'!$N$36,'Flujo de Fondos'!$N$35)</f>
        <v/>
      </c>
      <c r="P90" s="57">
        <f>C90-G90</f>
        <v/>
      </c>
      <c r="Q90" s="57">
        <f>E90-C90</f>
        <v/>
      </c>
      <c r="R90" s="57">
        <f>C90-M90</f>
        <v/>
      </c>
      <c r="S90" s="55">
        <f>C90-O90</f>
        <v/>
      </c>
      <c r="T90" s="57">
        <f>E90-O90</f>
        <v/>
      </c>
      <c r="U90" s="57">
        <f>G90-O90</f>
        <v/>
      </c>
      <c r="V90" s="57">
        <f>G90-K90</f>
        <v/>
      </c>
      <c r="W90" s="57">
        <f>C90-K90</f>
        <v/>
      </c>
      <c r="X90" s="67">
        <f>I90-G90</f>
        <v/>
      </c>
      <c r="Y90" s="75">
        <f>G90-M90</f>
        <v/>
      </c>
    </row>
    <row r="91">
      <c r="A91" s="52" t="n">
        <v>44333</v>
      </c>
      <c r="B91" s="53" t="n">
        <v>38.05</v>
      </c>
      <c r="C91" s="54">
        <f>myParidad('Flujo de Fondos'!$B$5,A91,B91,'Flujo de Fondos'!$B$7,'Flujo de Fondos'!$B$6)</f>
        <v/>
      </c>
      <c r="D91" s="53" t="n">
        <v>40.7</v>
      </c>
      <c r="E91" s="55">
        <f>myParidad('Flujo de Fondos'!$H$5,$A91,D91,'Flujo de Fondos'!$H$7,'Flujo de Fondos'!$H$6)</f>
        <v/>
      </c>
      <c r="F91" s="53" t="n">
        <v>35.7</v>
      </c>
      <c r="G91" s="54">
        <f>myParidad('Flujo de Fondos'!$N$5,$A91,F91,'Flujo de Fondos'!$N$7,'Flujo de Fondos'!$N$6)</f>
        <v/>
      </c>
      <c r="H91" s="56" t="n">
        <v>38.38</v>
      </c>
      <c r="I91" s="54">
        <f>myParidad('Flujo de Fondos'!$T$5,$A91,H91,'Flujo de Fondos'!$T$7,'Flujo de Fondos'!$T$6)</f>
        <v/>
      </c>
      <c r="J91" s="56" t="n">
        <v>32.9</v>
      </c>
      <c r="K91" s="54">
        <f>myParidad('Flujo de Fondos'!$B$34,$A91,J91,'Flujo de Fondos'!$B$36,'Flujo de Fondos'!$B$35)</f>
        <v/>
      </c>
      <c r="L91" s="53" t="n">
        <v>35.2</v>
      </c>
      <c r="M91" s="54">
        <f>myParidad('Flujo de Fondos'!$H$34,'Paridad usd'!$A91,'Paridad usd'!L91,'Flujo de Fondos'!$H$36,'Flujo de Fondos'!$H$35)</f>
        <v/>
      </c>
      <c r="N91" s="56" t="n">
        <v>33.79</v>
      </c>
      <c r="O91" s="54">
        <f>myParidad('Flujo de Fondos'!$N$34,$A91,N91,'Flujo de Fondos'!$N$36,'Flujo de Fondos'!$N$35)</f>
        <v/>
      </c>
      <c r="P91" s="57">
        <f>C91-G91</f>
        <v/>
      </c>
      <c r="Q91" s="57">
        <f>E91-C91</f>
        <v/>
      </c>
      <c r="R91" s="57">
        <f>C91-M91</f>
        <v/>
      </c>
      <c r="S91" s="55">
        <f>C91-O91</f>
        <v/>
      </c>
      <c r="T91" s="57">
        <f>E91-O91</f>
        <v/>
      </c>
      <c r="U91" s="57">
        <f>G91-O91</f>
        <v/>
      </c>
      <c r="V91" s="57">
        <f>G91-K91</f>
        <v/>
      </c>
      <c r="W91" s="57">
        <f>C91-K91</f>
        <v/>
      </c>
      <c r="X91" s="67">
        <f>I91-G91</f>
        <v/>
      </c>
      <c r="Y91" s="75">
        <f>G91-M91</f>
        <v/>
      </c>
    </row>
    <row r="92">
      <c r="A92" s="52" t="n">
        <v>44330</v>
      </c>
      <c r="B92" s="53" t="n">
        <v>37.42</v>
      </c>
      <c r="C92" s="54">
        <f>myParidad('Flujo de Fondos'!$B$5,A92,B92,'Flujo de Fondos'!$B$7,'Flujo de Fondos'!$B$6)</f>
        <v/>
      </c>
      <c r="D92" s="53" t="n">
        <v>39.5</v>
      </c>
      <c r="E92" s="55">
        <f>myParidad('Flujo de Fondos'!$H$5,$A92,D92,'Flujo de Fondos'!$H$7,'Flujo de Fondos'!$H$6)</f>
        <v/>
      </c>
      <c r="F92" s="53" t="n">
        <v>35.09</v>
      </c>
      <c r="G92" s="54">
        <f>myParidad('Flujo de Fondos'!$N$5,$A92,F92,'Flujo de Fondos'!$N$7,'Flujo de Fondos'!$N$6)</f>
        <v/>
      </c>
      <c r="H92" s="56" t="n">
        <v>37.45</v>
      </c>
      <c r="I92" s="54">
        <f>myParidad('Flujo de Fondos'!$T$5,$A92,H92,'Flujo de Fondos'!$T$7,'Flujo de Fondos'!$T$6)</f>
        <v/>
      </c>
      <c r="J92" s="56" t="n">
        <v>32.45</v>
      </c>
      <c r="K92" s="54">
        <f>myParidad('Flujo de Fondos'!$B$34,$A92,J92,'Flujo de Fondos'!$B$36,'Flujo de Fondos'!$B$35)</f>
        <v/>
      </c>
      <c r="L92" s="53" t="n">
        <v>34.5</v>
      </c>
      <c r="M92" s="54">
        <f>myParidad('Flujo de Fondos'!$H$34,'Paridad usd'!$A92,'Paridad usd'!L92,'Flujo de Fondos'!$H$36,'Flujo de Fondos'!$H$35)</f>
        <v/>
      </c>
      <c r="N92" s="56" t="n">
        <v>33.05</v>
      </c>
      <c r="O92" s="54">
        <f>myParidad('Flujo de Fondos'!$N$34,$A92,N92,'Flujo de Fondos'!$N$36,'Flujo de Fondos'!$N$35)</f>
        <v/>
      </c>
      <c r="P92" s="57">
        <f>C92-G92</f>
        <v/>
      </c>
      <c r="Q92" s="57">
        <f>E92-C92</f>
        <v/>
      </c>
      <c r="R92" s="57">
        <f>C92-M92</f>
        <v/>
      </c>
      <c r="S92" s="55">
        <f>C92-O92</f>
        <v/>
      </c>
      <c r="T92" s="57">
        <f>E92-O92</f>
        <v/>
      </c>
      <c r="U92" s="57">
        <f>G92-O92</f>
        <v/>
      </c>
      <c r="V92" s="57">
        <f>G92-K92</f>
        <v/>
      </c>
      <c r="W92" s="57">
        <f>C92-K92</f>
        <v/>
      </c>
      <c r="X92" s="67">
        <f>I92-G92</f>
        <v/>
      </c>
      <c r="Y92" s="75">
        <f>G92-M92</f>
        <v/>
      </c>
    </row>
    <row r="93">
      <c r="A93" s="52" t="n">
        <v>44329</v>
      </c>
      <c r="B93" s="53" t="n">
        <v>36.45</v>
      </c>
      <c r="C93" s="54">
        <f>myParidad('Flujo de Fondos'!$B$5,A93,B93,'Flujo de Fondos'!$B$7,'Flujo de Fondos'!$B$6)</f>
        <v/>
      </c>
      <c r="D93" s="53" t="n">
        <v>38.71</v>
      </c>
      <c r="E93" s="55">
        <f>myParidad('Flujo de Fondos'!$H$5,$A93,D93,'Flujo de Fondos'!$H$7,'Flujo de Fondos'!$H$6)</f>
        <v/>
      </c>
      <c r="F93" s="53" t="n">
        <v>34.22</v>
      </c>
      <c r="G93" s="54">
        <f>myParidad('Flujo de Fondos'!$N$5,$A93,F93,'Flujo de Fondos'!$N$7,'Flujo de Fondos'!$N$6)</f>
        <v/>
      </c>
      <c r="H93" s="56" t="n">
        <v>36.45</v>
      </c>
      <c r="I93" s="54">
        <f>myParidad('Flujo de Fondos'!$T$5,$A93,H93,'Flujo de Fondos'!$T$7,'Flujo de Fondos'!$T$6)</f>
        <v/>
      </c>
      <c r="J93" s="56" t="n">
        <v>31.2</v>
      </c>
      <c r="K93" s="54">
        <f>myParidad('Flujo de Fondos'!$B$34,$A93,J93,'Flujo de Fondos'!$B$36,'Flujo de Fondos'!$B$35)</f>
        <v/>
      </c>
      <c r="L93" s="53" t="n">
        <v>33.53</v>
      </c>
      <c r="M93" s="54">
        <f>myParidad('Flujo de Fondos'!$H$34,'Paridad usd'!$A93,'Paridad usd'!L93,'Flujo de Fondos'!$H$36,'Flujo de Fondos'!$H$35)</f>
        <v/>
      </c>
      <c r="N93" s="56" t="n">
        <v>32.21</v>
      </c>
      <c r="O93" s="54">
        <f>myParidad('Flujo de Fondos'!$N$34,$A93,N93,'Flujo de Fondos'!$N$36,'Flujo de Fondos'!$N$35)</f>
        <v/>
      </c>
      <c r="P93" s="57">
        <f>C93-G93</f>
        <v/>
      </c>
      <c r="Q93" s="57">
        <f>E93-C93</f>
        <v/>
      </c>
      <c r="R93" s="57">
        <f>C93-M93</f>
        <v/>
      </c>
      <c r="S93" s="55">
        <f>C93-O93</f>
        <v/>
      </c>
      <c r="T93" s="57">
        <f>E93-O93</f>
        <v/>
      </c>
      <c r="U93" s="57">
        <f>G93-O93</f>
        <v/>
      </c>
      <c r="V93" s="57">
        <f>G93-K93</f>
        <v/>
      </c>
      <c r="W93" s="57">
        <f>C93-K93</f>
        <v/>
      </c>
      <c r="X93" s="67">
        <f>I93-G93</f>
        <v/>
      </c>
      <c r="Y93" s="75">
        <f>G93-M93</f>
        <v/>
      </c>
    </row>
    <row r="94">
      <c r="A94" s="52" t="n">
        <v>44328</v>
      </c>
      <c r="B94" s="53" t="n">
        <v>36.31</v>
      </c>
      <c r="C94" s="54">
        <f>myParidad('Flujo de Fondos'!$B$5,A94,B94,'Flujo de Fondos'!$B$7,'Flujo de Fondos'!$B$6)</f>
        <v/>
      </c>
      <c r="D94" s="53" t="n">
        <v>39.19</v>
      </c>
      <c r="E94" s="55">
        <f>myParidad('Flujo de Fondos'!$H$5,$A94,D94,'Flujo de Fondos'!$H$7,'Flujo de Fondos'!$H$6)</f>
        <v/>
      </c>
      <c r="F94" s="53" t="n">
        <v>34.11</v>
      </c>
      <c r="G94" s="54">
        <f>myParidad('Flujo de Fondos'!$N$5,$A94,F94,'Flujo de Fondos'!$N$7,'Flujo de Fondos'!$N$6)</f>
        <v/>
      </c>
      <c r="H94" s="56" t="n">
        <v>36.4</v>
      </c>
      <c r="I94" s="54">
        <f>myParidad('Flujo de Fondos'!$T$5,$A94,H94,'Flujo de Fondos'!$T$7,'Flujo de Fondos'!$T$6)</f>
        <v/>
      </c>
      <c r="J94" s="56" t="n">
        <v>31.32</v>
      </c>
      <c r="K94" s="54">
        <f>myParidad('Flujo de Fondos'!$B$34,$A94,J94,'Flujo de Fondos'!$B$36,'Flujo de Fondos'!$B$35)</f>
        <v/>
      </c>
      <c r="L94" s="53" t="n">
        <v>33.4</v>
      </c>
      <c r="M94" s="54">
        <f>myParidad('Flujo de Fondos'!$H$34,'Paridad usd'!$A94,'Paridad usd'!L94,'Flujo de Fondos'!$H$36,'Flujo de Fondos'!$H$35)</f>
        <v/>
      </c>
      <c r="N94" s="56" t="n">
        <v>32.25</v>
      </c>
      <c r="O94" s="54">
        <f>myParidad('Flujo de Fondos'!$N$34,$A94,N94,'Flujo de Fondos'!$N$36,'Flujo de Fondos'!$N$35)</f>
        <v/>
      </c>
      <c r="P94" s="57">
        <f>C94-G94</f>
        <v/>
      </c>
      <c r="Q94" s="57">
        <f>E94-C94</f>
        <v/>
      </c>
      <c r="R94" s="57">
        <f>C94-M94</f>
        <v/>
      </c>
      <c r="S94" s="55">
        <f>C94-O94</f>
        <v/>
      </c>
      <c r="T94" s="57">
        <f>E94-O94</f>
        <v/>
      </c>
      <c r="U94" s="57">
        <f>G94-O94</f>
        <v/>
      </c>
      <c r="V94" s="57">
        <f>G94-K94</f>
        <v/>
      </c>
      <c r="W94" s="57">
        <f>C94-K94</f>
        <v/>
      </c>
      <c r="X94" s="67">
        <f>I94-G94</f>
        <v/>
      </c>
      <c r="Y94" s="75">
        <f>G94-M94</f>
        <v/>
      </c>
    </row>
    <row r="95">
      <c r="A95" s="52" t="n">
        <v>44327</v>
      </c>
      <c r="B95" s="53" t="n">
        <v>35.99</v>
      </c>
      <c r="C95" s="54">
        <f>myParidad('Flujo de Fondos'!$B$5,A95,B95,'Flujo de Fondos'!$B$7,'Flujo de Fondos'!$B$6)</f>
        <v/>
      </c>
      <c r="D95" s="53" t="n">
        <v>38.82</v>
      </c>
      <c r="E95" s="55">
        <f>myParidad('Flujo de Fondos'!$H$5,$A95,D95,'Flujo de Fondos'!$H$7,'Flujo de Fondos'!$H$6)</f>
        <v/>
      </c>
      <c r="F95" s="53" t="n">
        <v>33.82</v>
      </c>
      <c r="G95" s="54">
        <f>myParidad('Flujo de Fondos'!$N$5,$A95,F95,'Flujo de Fondos'!$N$7,'Flujo de Fondos'!$N$6)</f>
        <v/>
      </c>
      <c r="H95" s="56" t="n">
        <v>35.9</v>
      </c>
      <c r="I95" s="54">
        <f>myParidad('Flujo de Fondos'!$T$5,$A95,H95,'Flujo de Fondos'!$T$7,'Flujo de Fondos'!$T$6)</f>
        <v/>
      </c>
      <c r="J95" s="56" t="n">
        <v>31.01</v>
      </c>
      <c r="K95" s="54">
        <f>myParidad('Flujo de Fondos'!$B$34,$A95,J95,'Flujo de Fondos'!$B$36,'Flujo de Fondos'!$B$35)</f>
        <v/>
      </c>
      <c r="L95" s="53" t="n">
        <v>33.15</v>
      </c>
      <c r="M95" s="54">
        <f>myParidad('Flujo de Fondos'!$H$34,'Paridad usd'!$A95,'Paridad usd'!L95,'Flujo de Fondos'!$H$36,'Flujo de Fondos'!$H$35)</f>
        <v/>
      </c>
      <c r="N95" s="56" t="n">
        <v>32</v>
      </c>
      <c r="O95" s="54">
        <f>myParidad('Flujo de Fondos'!$N$34,$A95,N95,'Flujo de Fondos'!$N$36,'Flujo de Fondos'!$N$35)</f>
        <v/>
      </c>
      <c r="P95" s="57">
        <f>C95-G95</f>
        <v/>
      </c>
      <c r="Q95" s="57">
        <f>E95-C95</f>
        <v/>
      </c>
      <c r="R95" s="57">
        <f>C95-M95</f>
        <v/>
      </c>
      <c r="S95" s="55">
        <f>C95-O95</f>
        <v/>
      </c>
      <c r="T95" s="57">
        <f>E95-O95</f>
        <v/>
      </c>
      <c r="U95" s="57">
        <f>G95-O95</f>
        <v/>
      </c>
      <c r="V95" s="57">
        <f>G95-K95</f>
        <v/>
      </c>
      <c r="W95" s="57">
        <f>C95-K95</f>
        <v/>
      </c>
      <c r="X95" s="67">
        <f>I95-G95</f>
        <v/>
      </c>
      <c r="Y95" s="75">
        <f>G95-M95</f>
        <v/>
      </c>
    </row>
    <row r="96">
      <c r="A96" s="52" t="n">
        <v>44326</v>
      </c>
      <c r="B96" s="53" t="n">
        <v>36.4</v>
      </c>
      <c r="C96" s="54">
        <f>myParidad('Flujo de Fondos'!$B$5,A96,B96,'Flujo de Fondos'!$B$7,'Flujo de Fondos'!$B$6)</f>
        <v/>
      </c>
      <c r="D96" s="53" t="n">
        <v>39.5</v>
      </c>
      <c r="E96" s="55">
        <f>myParidad('Flujo de Fondos'!$H$5,$A96,D96,'Flujo de Fondos'!$H$7,'Flujo de Fondos'!$H$6)</f>
        <v/>
      </c>
      <c r="F96" s="53" t="n">
        <v>34.4</v>
      </c>
      <c r="G96" s="54">
        <f>myParidad('Flujo de Fondos'!$N$5,$A96,F96,'Flujo de Fondos'!$N$7,'Flujo de Fondos'!$N$6)</f>
        <v/>
      </c>
      <c r="H96" s="56" t="n">
        <v>36.48</v>
      </c>
      <c r="I96" s="54">
        <f>myParidad('Flujo de Fondos'!$T$5,$A96,H96,'Flujo de Fondos'!$T$7,'Flujo de Fondos'!$T$6)</f>
        <v/>
      </c>
      <c r="J96" s="56" t="n">
        <v>31.4</v>
      </c>
      <c r="K96" s="54">
        <f>myParidad('Flujo de Fondos'!$B$34,$A96,J96,'Flujo de Fondos'!$B$36,'Flujo de Fondos'!$B$35)</f>
        <v/>
      </c>
      <c r="L96" s="53" t="n">
        <v>33.54</v>
      </c>
      <c r="M96" s="54">
        <f>myParidad('Flujo de Fondos'!$H$34,'Paridad usd'!$A96,'Paridad usd'!L96,'Flujo de Fondos'!$H$36,'Flujo de Fondos'!$H$35)</f>
        <v/>
      </c>
      <c r="N96" s="56" t="n">
        <v>32.25</v>
      </c>
      <c r="O96" s="54">
        <f>myParidad('Flujo de Fondos'!$N$34,$A96,N96,'Flujo de Fondos'!$N$36,'Flujo de Fondos'!$N$35)</f>
        <v/>
      </c>
      <c r="P96" s="57">
        <f>C96-G96</f>
        <v/>
      </c>
      <c r="Q96" s="57">
        <f>E96-C96</f>
        <v/>
      </c>
      <c r="R96" s="57">
        <f>C96-M96</f>
        <v/>
      </c>
      <c r="S96" s="55">
        <f>C96-O96</f>
        <v/>
      </c>
      <c r="T96" s="57">
        <f>E96-O96</f>
        <v/>
      </c>
      <c r="U96" s="57">
        <f>G96-O96</f>
        <v/>
      </c>
      <c r="V96" s="57">
        <f>G96-K96</f>
        <v/>
      </c>
      <c r="W96" s="57">
        <f>C96-K96</f>
        <v/>
      </c>
      <c r="X96" s="67">
        <f>I96-G96</f>
        <v/>
      </c>
      <c r="Y96" s="75">
        <f>G96-M96</f>
        <v/>
      </c>
    </row>
    <row r="97">
      <c r="A97" s="52" t="n">
        <v>44323</v>
      </c>
      <c r="B97" s="53" t="n">
        <v>36.3</v>
      </c>
      <c r="C97" s="54">
        <f>myParidad('Flujo de Fondos'!$B$5,A97,B97,'Flujo de Fondos'!$B$7,'Flujo de Fondos'!$B$6)</f>
        <v/>
      </c>
      <c r="D97" s="53" t="n">
        <v>38.8</v>
      </c>
      <c r="E97" s="55">
        <f>myParidad('Flujo de Fondos'!$H$5,$A97,D97,'Flujo de Fondos'!$H$7,'Flujo de Fondos'!$H$6)</f>
        <v/>
      </c>
      <c r="F97" s="53" t="n">
        <v>34.3</v>
      </c>
      <c r="G97" s="54">
        <f>myParidad('Flujo de Fondos'!$N$5,$A97,F97,'Flujo de Fondos'!$N$7,'Flujo de Fondos'!$N$6)</f>
        <v/>
      </c>
      <c r="H97" s="56" t="n">
        <v>36.32</v>
      </c>
      <c r="I97" s="54">
        <f>myParidad('Flujo de Fondos'!$T$5,$A97,H97,'Flujo de Fondos'!$T$7,'Flujo de Fondos'!$T$6)</f>
        <v/>
      </c>
      <c r="J97" s="56" t="n">
        <v>31.35</v>
      </c>
      <c r="K97" s="54">
        <f>myParidad('Flujo de Fondos'!$B$34,$A97,J97,'Flujo de Fondos'!$B$36,'Flujo de Fondos'!$B$35)</f>
        <v/>
      </c>
      <c r="L97" s="53" t="n">
        <v>33.45</v>
      </c>
      <c r="M97" s="54">
        <f>myParidad('Flujo de Fondos'!$H$34,'Paridad usd'!$A97,'Paridad usd'!L97,'Flujo de Fondos'!$H$36,'Flujo de Fondos'!$H$35)</f>
        <v/>
      </c>
      <c r="N97" s="56" t="n">
        <v>32.3</v>
      </c>
      <c r="O97" s="54">
        <f>myParidad('Flujo de Fondos'!$N$34,$A97,N97,'Flujo de Fondos'!$N$36,'Flujo de Fondos'!$N$35)</f>
        <v/>
      </c>
      <c r="P97" s="57">
        <f>C97-G97</f>
        <v/>
      </c>
      <c r="Q97" s="57">
        <f>E97-C97</f>
        <v/>
      </c>
      <c r="R97" s="57">
        <f>C97-M97</f>
        <v/>
      </c>
      <c r="S97" s="55">
        <f>C97-O97</f>
        <v/>
      </c>
      <c r="T97" s="57">
        <f>E97-O97</f>
        <v/>
      </c>
      <c r="U97" s="57">
        <f>G97-O97</f>
        <v/>
      </c>
      <c r="V97" s="57">
        <f>G97-K97</f>
        <v/>
      </c>
      <c r="W97" s="57">
        <f>C97-K97</f>
        <v/>
      </c>
      <c r="X97" s="67">
        <f>I97-G97</f>
        <v/>
      </c>
      <c r="Y97" s="75">
        <f>G97-M97</f>
        <v/>
      </c>
    </row>
    <row r="98">
      <c r="A98" s="52" t="n">
        <v>44322</v>
      </c>
      <c r="B98" s="53" t="n">
        <v>36.54</v>
      </c>
      <c r="C98" s="54">
        <f>myParidad('Flujo de Fondos'!$B$5,A98,B98,'Flujo de Fondos'!$B$7,'Flujo de Fondos'!$B$6)</f>
        <v/>
      </c>
      <c r="D98" s="53" t="n">
        <v>39.2</v>
      </c>
      <c r="E98" s="55">
        <f>myParidad('Flujo de Fondos'!$H$5,$A98,D98,'Flujo de Fondos'!$H$7,'Flujo de Fondos'!$H$6)</f>
        <v/>
      </c>
      <c r="F98" s="53" t="n">
        <v>34.77</v>
      </c>
      <c r="G98" s="54">
        <f>myParidad('Flujo de Fondos'!$N$5,$A98,F98,'Flujo de Fondos'!$N$7,'Flujo de Fondos'!$N$6)</f>
        <v/>
      </c>
      <c r="H98" s="56" t="n">
        <v>36.53</v>
      </c>
      <c r="I98" s="54">
        <f>myParidad('Flujo de Fondos'!$T$5,$A98,H98,'Flujo de Fondos'!$T$7,'Flujo de Fondos'!$T$6)</f>
        <v/>
      </c>
      <c r="J98" s="56" t="n">
        <v>31.56</v>
      </c>
      <c r="K98" s="54">
        <f>myParidad('Flujo de Fondos'!$B$34,$A98,J98,'Flujo de Fondos'!$B$36,'Flujo de Fondos'!$B$35)</f>
        <v/>
      </c>
      <c r="L98" s="53" t="n">
        <v>33.52</v>
      </c>
      <c r="M98" s="54">
        <f>myParidad('Flujo de Fondos'!$H$34,'Paridad usd'!$A98,'Paridad usd'!L98,'Flujo de Fondos'!$H$36,'Flujo de Fondos'!$H$35)</f>
        <v/>
      </c>
      <c r="N98" s="56" t="n">
        <v>32.49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44321</v>
      </c>
      <c r="B99" s="53" t="n">
        <v>36.6</v>
      </c>
      <c r="C99" s="54">
        <f>myParidad('Flujo de Fondos'!$B$5,A99,B99,'Flujo de Fondos'!$B$7,'Flujo de Fondos'!$B$6)</f>
        <v/>
      </c>
      <c r="D99" s="53" t="n">
        <v>38.75</v>
      </c>
      <c r="E99" s="55">
        <f>myParidad('Flujo de Fondos'!$H$5,$A99,D99,'Flujo de Fondos'!$H$7,'Flujo de Fondos'!$H$6)</f>
        <v/>
      </c>
      <c r="F99" s="53" t="n">
        <v>35.04</v>
      </c>
      <c r="G99" s="54">
        <f>myParidad('Flujo de Fondos'!$N$5,$A99,F99,'Flujo de Fondos'!$N$7,'Flujo de Fondos'!$N$6)</f>
        <v/>
      </c>
      <c r="H99" s="56" t="n">
        <v>36.82</v>
      </c>
      <c r="I99" s="54">
        <f>myParidad('Flujo de Fondos'!$T$5,$A99,H99,'Flujo de Fondos'!$T$7,'Flujo de Fondos'!$T$6)</f>
        <v/>
      </c>
      <c r="J99" s="56" t="n">
        <v>31.8</v>
      </c>
      <c r="K99" s="54">
        <f>myParidad('Flujo de Fondos'!$B$34,$A99,J99,'Flujo de Fondos'!$B$36,'Flujo de Fondos'!$B$35)</f>
        <v/>
      </c>
      <c r="L99" s="53" t="n">
        <v>33.87</v>
      </c>
      <c r="M99" s="54">
        <f>myParidad('Flujo de Fondos'!$H$34,'Paridad usd'!$A99,'Paridad usd'!L99,'Flujo de Fondos'!$H$36,'Flujo de Fondos'!$H$35)</f>
        <v/>
      </c>
      <c r="N99" s="56" t="n">
        <v>32.8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44320</v>
      </c>
      <c r="B100" s="53" t="n">
        <v>36.75</v>
      </c>
      <c r="C100" s="54">
        <f>myParidad('Flujo de Fondos'!$B$5,A100,B100,'Flujo de Fondos'!$B$7,'Flujo de Fondos'!$B$6)</f>
        <v/>
      </c>
      <c r="D100" s="53" t="n">
        <v>36.61</v>
      </c>
      <c r="E100" s="55">
        <f>myParidad('Flujo de Fondos'!$H$5,$A100,D100,'Flujo de Fondos'!$H$7,'Flujo de Fondos'!$H$6)</f>
        <v/>
      </c>
      <c r="F100" s="53" t="n">
        <v>35.12</v>
      </c>
      <c r="G100" s="54">
        <f>myParidad('Flujo de Fondos'!$N$5,$A100,F100,'Flujo de Fondos'!$N$7,'Flujo de Fondos'!$N$6)</f>
        <v/>
      </c>
      <c r="H100" s="56" t="n">
        <v>37.05</v>
      </c>
      <c r="I100" s="54">
        <f>myParidad('Flujo de Fondos'!$T$5,$A100,H100,'Flujo de Fondos'!$T$7,'Flujo de Fondos'!$T$6)</f>
        <v/>
      </c>
      <c r="J100" s="56" t="n">
        <v>32.01</v>
      </c>
      <c r="K100" s="54">
        <f>myParidad('Flujo de Fondos'!$B$34,$A100,J100,'Flujo de Fondos'!$B$36,'Flujo de Fondos'!$B$35)</f>
        <v/>
      </c>
      <c r="L100" s="53" t="n">
        <v>33.65</v>
      </c>
      <c r="M100" s="54">
        <f>myParidad('Flujo de Fondos'!$H$34,'Paridad usd'!$A100,'Paridad usd'!L100,'Flujo de Fondos'!$H$36,'Flujo de Fondos'!$H$35)</f>
        <v/>
      </c>
      <c r="N100" s="56" t="n">
        <v>32.83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44319</v>
      </c>
      <c r="B101" s="53" t="n">
        <v>36.77</v>
      </c>
      <c r="C101" s="54">
        <f>myParidad('Flujo de Fondos'!$B$5,A101,B101,'Flujo de Fondos'!$B$7,'Flujo de Fondos'!$B$6)</f>
        <v/>
      </c>
      <c r="D101" s="53" t="n">
        <v>39.56</v>
      </c>
      <c r="E101" s="55">
        <f>myParidad('Flujo de Fondos'!$H$5,$A101,D101,'Flujo de Fondos'!$H$7,'Flujo de Fondos'!$H$6)</f>
        <v/>
      </c>
      <c r="F101" s="53" t="n">
        <v>35.18</v>
      </c>
      <c r="G101" s="54">
        <f>myParidad('Flujo de Fondos'!$N$5,$A101,F101,'Flujo de Fondos'!$N$7,'Flujo de Fondos'!$N$6)</f>
        <v/>
      </c>
      <c r="H101" s="56" t="n">
        <v>37.07</v>
      </c>
      <c r="I101" s="54">
        <f>myParidad('Flujo de Fondos'!$T$5,$A101,H101,'Flujo de Fondos'!$T$7,'Flujo de Fondos'!$T$6)</f>
        <v/>
      </c>
      <c r="J101" s="56" t="n">
        <v>32</v>
      </c>
      <c r="K101" s="54">
        <f>myParidad('Flujo de Fondos'!$B$34,$A101,J101,'Flujo de Fondos'!$B$36,'Flujo de Fondos'!$B$35)</f>
        <v/>
      </c>
      <c r="L101" s="53" t="n">
        <v>33.65</v>
      </c>
      <c r="M101" s="54">
        <f>myParidad('Flujo de Fondos'!$H$34,'Paridad usd'!$A101,'Paridad usd'!L101,'Flujo de Fondos'!$H$36,'Flujo de Fondos'!$H$35)</f>
        <v/>
      </c>
      <c r="N101" s="56" t="n">
        <v>32.55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44316</v>
      </c>
      <c r="B102" s="53" t="n">
        <v>36.85</v>
      </c>
      <c r="C102" s="54">
        <f>myParidad('Flujo de Fondos'!$B$5,A102,B102,'Flujo de Fondos'!$B$7,'Flujo de Fondos'!$B$6)</f>
        <v/>
      </c>
      <c r="D102" s="53" t="n">
        <v>39</v>
      </c>
      <c r="E102" s="55">
        <f>myParidad('Flujo de Fondos'!$H$5,$A102,D102,'Flujo de Fondos'!$H$7,'Flujo de Fondos'!$H$6)</f>
        <v/>
      </c>
      <c r="F102" s="53" t="n">
        <v>35.16</v>
      </c>
      <c r="G102" s="54">
        <f>myParidad('Flujo de Fondos'!$N$5,$A102,F102,'Flujo de Fondos'!$N$7,'Flujo de Fondos'!$N$6)</f>
        <v/>
      </c>
      <c r="H102" s="56" t="n">
        <v>37.21</v>
      </c>
      <c r="I102" s="54">
        <f>myParidad('Flujo de Fondos'!$T$5,$A102,H102,'Flujo de Fondos'!$T$7,'Flujo de Fondos'!$T$6)</f>
        <v/>
      </c>
      <c r="J102" s="56" t="n">
        <v>32</v>
      </c>
      <c r="K102" s="54">
        <f>myParidad('Flujo de Fondos'!$B$34,$A102,J102,'Flujo de Fondos'!$B$36,'Flujo de Fondos'!$B$35)</f>
        <v/>
      </c>
      <c r="L102" s="53" t="n">
        <v>34.06</v>
      </c>
      <c r="M102" s="54">
        <f>myParidad('Flujo de Fondos'!$H$34,'Paridad usd'!$A102,'Paridad usd'!L102,'Flujo de Fondos'!$H$36,'Flujo de Fondos'!$H$35)</f>
        <v/>
      </c>
      <c r="N102" s="56" t="n">
        <v>32.95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44315</v>
      </c>
      <c r="B103" s="53" t="n">
        <v>36.8</v>
      </c>
      <c r="C103" s="54">
        <f>myParidad('Flujo de Fondos'!$B$5,A103,B103,'Flujo de Fondos'!$B$7,'Flujo de Fondos'!$B$6)</f>
        <v/>
      </c>
      <c r="D103" s="53" t="n">
        <v>39.7</v>
      </c>
      <c r="E103" s="55">
        <f>myParidad('Flujo de Fondos'!$H$5,$A103,D103,'Flujo de Fondos'!$H$7,'Flujo de Fondos'!$H$6)</f>
        <v/>
      </c>
      <c r="F103" s="53" t="n">
        <v>35.23</v>
      </c>
      <c r="G103" s="54">
        <f>myParidad('Flujo de Fondos'!$N$5,$A103,F103,'Flujo de Fondos'!$N$7,'Flujo de Fondos'!$N$6)</f>
        <v/>
      </c>
      <c r="H103" s="56" t="n">
        <v>36.75</v>
      </c>
      <c r="I103" s="54">
        <f>myParidad('Flujo de Fondos'!$T$5,$A103,H103,'Flujo de Fondos'!$T$7,'Flujo de Fondos'!$T$6)</f>
        <v/>
      </c>
      <c r="J103" s="56" t="n">
        <v>31.75</v>
      </c>
      <c r="K103" s="54">
        <f>myParidad('Flujo de Fondos'!$B$34,$A103,J103,'Flujo de Fondos'!$B$36,'Flujo de Fondos'!$B$35)</f>
        <v/>
      </c>
      <c r="L103" s="53" t="n">
        <v>33.9</v>
      </c>
      <c r="M103" s="54">
        <f>myParidad('Flujo de Fondos'!$H$34,'Paridad usd'!$A103,'Paridad usd'!L103,'Flujo de Fondos'!$H$36,'Flujo de Fondos'!$H$35)</f>
        <v/>
      </c>
      <c r="N103" s="56" t="n">
        <v>32.75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44314</v>
      </c>
      <c r="B104" s="53" t="n">
        <v>37.25</v>
      </c>
      <c r="C104" s="54">
        <f>myParidad('Flujo de Fondos'!$B$5,A104,B104,'Flujo de Fondos'!$B$7,'Flujo de Fondos'!$B$6)</f>
        <v/>
      </c>
      <c r="D104" s="53" t="n">
        <v>39.25</v>
      </c>
      <c r="E104" s="55">
        <f>myParidad('Flujo de Fondos'!$H$5,$A104,D104,'Flujo de Fondos'!$H$7,'Flujo de Fondos'!$H$6)</f>
        <v/>
      </c>
      <c r="F104" s="53" t="n">
        <v>35.35</v>
      </c>
      <c r="G104" s="54">
        <f>myParidad('Flujo de Fondos'!$N$5,$A104,F104,'Flujo de Fondos'!$N$7,'Flujo de Fondos'!$N$6)</f>
        <v/>
      </c>
      <c r="H104" s="56" t="n">
        <v>36.96</v>
      </c>
      <c r="I104" s="54">
        <f>myParidad('Flujo de Fondos'!$T$5,$A104,H104,'Flujo de Fondos'!$T$7,'Flujo de Fondos'!$T$6)</f>
        <v/>
      </c>
      <c r="J104" s="56" t="n">
        <v>32.2</v>
      </c>
      <c r="K104" s="54">
        <f>myParidad('Flujo de Fondos'!$B$34,$A104,J104,'Flujo de Fondos'!$B$36,'Flujo de Fondos'!$B$35)</f>
        <v/>
      </c>
      <c r="L104" s="53" t="n">
        <v>34.3</v>
      </c>
      <c r="M104" s="54">
        <f>myParidad('Flujo de Fondos'!$H$34,'Paridad usd'!$A104,'Paridad usd'!L104,'Flujo de Fondos'!$H$36,'Flujo de Fondos'!$H$35)</f>
        <v/>
      </c>
      <c r="N104" s="56" t="n">
        <v>33.15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44313</v>
      </c>
      <c r="B105" s="53" t="n">
        <v>36.98</v>
      </c>
      <c r="C105" s="54">
        <f>myParidad('Flujo de Fondos'!$B$5,A105,B105,'Flujo de Fondos'!$B$7,'Flujo de Fondos'!$B$6)</f>
        <v/>
      </c>
      <c r="D105" s="53" t="n">
        <v>39.4</v>
      </c>
      <c r="E105" s="55">
        <f>myParidad('Flujo de Fondos'!$H$5,$A105,D105,'Flujo de Fondos'!$H$7,'Flujo de Fondos'!$H$6)</f>
        <v/>
      </c>
      <c r="F105" s="53" t="n">
        <v>35.25</v>
      </c>
      <c r="G105" s="54">
        <f>myParidad('Flujo de Fondos'!$N$5,$A105,F105,'Flujo de Fondos'!$N$7,'Flujo de Fondos'!$N$6)</f>
        <v/>
      </c>
      <c r="H105" s="56" t="n">
        <v>37.14</v>
      </c>
      <c r="I105" s="54">
        <f>myParidad('Flujo de Fondos'!$T$5,$A105,H105,'Flujo de Fondos'!$T$7,'Flujo de Fondos'!$T$6)</f>
        <v/>
      </c>
      <c r="J105" s="56" t="n">
        <v>32.05</v>
      </c>
      <c r="K105" s="54">
        <f>myParidad('Flujo de Fondos'!$B$34,$A105,J105,'Flujo de Fondos'!$B$36,'Flujo de Fondos'!$B$35)</f>
        <v/>
      </c>
      <c r="L105" s="53" t="n">
        <v>33.9</v>
      </c>
      <c r="M105" s="54">
        <f>myParidad('Flujo de Fondos'!$H$34,'Paridad usd'!$A105,'Paridad usd'!L105,'Flujo de Fondos'!$H$36,'Flujo de Fondos'!$H$35)</f>
        <v/>
      </c>
      <c r="N105" s="56" t="n">
        <v>32.95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44312</v>
      </c>
      <c r="B106" s="53" t="n">
        <v>36.84</v>
      </c>
      <c r="C106" s="54">
        <f>myParidad('Flujo de Fondos'!$B$5,A106,B106,'Flujo de Fondos'!$B$7,'Flujo de Fondos'!$B$6)</f>
        <v/>
      </c>
      <c r="D106" s="53" t="n">
        <v>39.5</v>
      </c>
      <c r="E106" s="55">
        <f>myParidad('Flujo de Fondos'!$H$5,$A106,D106,'Flujo de Fondos'!$H$7,'Flujo de Fondos'!$H$6)</f>
        <v/>
      </c>
      <c r="F106" s="53" t="n">
        <v>34.87</v>
      </c>
      <c r="G106" s="54">
        <f>myParidad('Flujo de Fondos'!$N$5,$A106,F106,'Flujo de Fondos'!$N$7,'Flujo de Fondos'!$N$6)</f>
        <v/>
      </c>
      <c r="H106" s="56" t="n">
        <v>36.85</v>
      </c>
      <c r="I106" s="54">
        <f>myParidad('Flujo de Fondos'!$T$5,$A106,H106,'Flujo de Fondos'!$T$7,'Flujo de Fondos'!$T$6)</f>
        <v/>
      </c>
      <c r="J106" s="56" t="n">
        <v>31.5</v>
      </c>
      <c r="K106" s="54">
        <f>myParidad('Flujo de Fondos'!$B$34,$A106,J106,'Flujo de Fondos'!$B$36,'Flujo de Fondos'!$B$35)</f>
        <v/>
      </c>
      <c r="L106" s="53" t="n">
        <v>33.75</v>
      </c>
      <c r="M106" s="54">
        <f>myParidad('Flujo de Fondos'!$H$34,'Paridad usd'!$A106,'Paridad usd'!L106,'Flujo de Fondos'!$H$36,'Flujo de Fondos'!$H$35)</f>
        <v/>
      </c>
      <c r="N106" s="56" t="n">
        <v>32.8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44309</v>
      </c>
      <c r="B107" s="53" t="n">
        <v>36.55</v>
      </c>
      <c r="C107" s="54">
        <f>myParidad('Flujo de Fondos'!$B$5,A107,B107,'Flujo de Fondos'!$B$7,'Flujo de Fondos'!$B$6)</f>
        <v/>
      </c>
      <c r="D107" s="53" t="n">
        <v>39.75</v>
      </c>
      <c r="E107" s="55">
        <f>myParidad('Flujo de Fondos'!$H$5,$A107,D107,'Flujo de Fondos'!$H$7,'Flujo de Fondos'!$H$6)</f>
        <v/>
      </c>
      <c r="F107" s="53" t="n">
        <v>34.22</v>
      </c>
      <c r="G107" s="54">
        <f>myParidad('Flujo de Fondos'!$N$5,$A107,F107,'Flujo de Fondos'!$N$7,'Flujo de Fondos'!$N$6)</f>
        <v/>
      </c>
      <c r="H107" s="56" t="n">
        <v>36.66</v>
      </c>
      <c r="I107" s="54">
        <f>myParidad('Flujo de Fondos'!$T$5,$A107,H107,'Flujo de Fondos'!$T$7,'Flujo de Fondos'!$T$6)</f>
        <v/>
      </c>
      <c r="J107" s="56" t="n">
        <v>31.5</v>
      </c>
      <c r="K107" s="54">
        <f>myParidad('Flujo de Fondos'!$B$34,$A107,J107,'Flujo de Fondos'!$B$36,'Flujo de Fondos'!$B$35)</f>
        <v/>
      </c>
      <c r="L107" s="53" t="n">
        <v>33.87</v>
      </c>
      <c r="M107" s="54">
        <f>myParidad('Flujo de Fondos'!$H$34,'Paridad usd'!$A107,'Paridad usd'!L107,'Flujo de Fondos'!$H$36,'Flujo de Fondos'!$H$35)</f>
        <v/>
      </c>
      <c r="N107" s="56" t="n">
        <v>32.8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44308</v>
      </c>
      <c r="B108" s="53" t="n">
        <v>36.6</v>
      </c>
      <c r="C108" s="54">
        <f>myParidad('Flujo de Fondos'!$B$5,A108,B108,'Flujo de Fondos'!$B$7,'Flujo de Fondos'!$B$6)</f>
        <v/>
      </c>
      <c r="D108" s="53" t="n">
        <v>39.8</v>
      </c>
      <c r="E108" s="55">
        <f>myParidad('Flujo de Fondos'!$H$5,$A108,D108,'Flujo de Fondos'!$H$7,'Flujo de Fondos'!$H$6)</f>
        <v/>
      </c>
      <c r="F108" s="53" t="n">
        <v>34.37</v>
      </c>
      <c r="G108" s="54">
        <f>myParidad('Flujo de Fondos'!$N$5,$A108,F108,'Flujo de Fondos'!$N$7,'Flujo de Fondos'!$N$6)</f>
        <v/>
      </c>
      <c r="H108" s="56" t="n">
        <v>36.7</v>
      </c>
      <c r="I108" s="54">
        <f>myParidad('Flujo de Fondos'!$T$5,$A108,H108,'Flujo de Fondos'!$T$7,'Flujo de Fondos'!$T$6)</f>
        <v/>
      </c>
      <c r="J108" s="56" t="n">
        <v>31.16</v>
      </c>
      <c r="K108" s="54">
        <f>myParidad('Flujo de Fondos'!$B$34,$A108,J108,'Flujo de Fondos'!$B$36,'Flujo de Fondos'!$B$35)</f>
        <v/>
      </c>
      <c r="L108" s="53" t="n">
        <v>34.2</v>
      </c>
      <c r="M108" s="54">
        <f>myParidad('Flujo de Fondos'!$H$34,'Paridad usd'!$A108,'Paridad usd'!L108,'Flujo de Fondos'!$H$36,'Flujo de Fondos'!$H$35)</f>
        <v/>
      </c>
      <c r="N108" s="56" t="n">
        <v>33.45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44307</v>
      </c>
      <c r="B109" s="53" t="n">
        <v>36.4</v>
      </c>
      <c r="C109" s="54">
        <f>myParidad('Flujo de Fondos'!$B$5,A109,B109,'Flujo de Fondos'!$B$7,'Flujo de Fondos'!$B$6)</f>
        <v/>
      </c>
      <c r="D109" s="53" t="n">
        <v>39</v>
      </c>
      <c r="E109" s="55">
        <f>myParidad('Flujo de Fondos'!$H$5,$A109,D109,'Flujo de Fondos'!$H$7,'Flujo de Fondos'!$H$6)</f>
        <v/>
      </c>
      <c r="F109" s="53" t="n">
        <v>34.35</v>
      </c>
      <c r="G109" s="54">
        <f>myParidad('Flujo de Fondos'!$N$5,$A109,F109,'Flujo de Fondos'!$N$7,'Flujo de Fondos'!$N$6)</f>
        <v/>
      </c>
      <c r="H109" s="56" t="n">
        <v>36.63</v>
      </c>
      <c r="I109" s="54">
        <f>myParidad('Flujo de Fondos'!$T$5,$A109,H109,'Flujo de Fondos'!$T$7,'Flujo de Fondos'!$T$6)</f>
        <v/>
      </c>
      <c r="J109" s="56" t="n">
        <v>30.95</v>
      </c>
      <c r="K109" s="54">
        <f>myParidad('Flujo de Fondos'!$B$34,$A109,J109,'Flujo de Fondos'!$B$36,'Flujo de Fondos'!$B$35)</f>
        <v/>
      </c>
      <c r="L109" s="53" t="n">
        <v>33.8</v>
      </c>
      <c r="M109" s="54">
        <f>myParidad('Flujo de Fondos'!$H$34,'Paridad usd'!$A109,'Paridad usd'!L109,'Flujo de Fondos'!$H$36,'Flujo de Fondos'!$H$35)</f>
        <v/>
      </c>
      <c r="N109" s="56" t="n">
        <v>33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44306</v>
      </c>
      <c r="B110" s="53" t="n">
        <v>36.15</v>
      </c>
      <c r="C110" s="54">
        <f>myParidad('Flujo de Fondos'!$B$5,A110,B110,'Flujo de Fondos'!$B$7,'Flujo de Fondos'!$B$6)</f>
        <v/>
      </c>
      <c r="D110" s="53" t="n">
        <v>39.35</v>
      </c>
      <c r="E110" s="55">
        <f>myParidad('Flujo de Fondos'!$H$5,$A110,D110,'Flujo de Fondos'!$H$7,'Flujo de Fondos'!$H$6)</f>
        <v/>
      </c>
      <c r="F110" s="53" t="n">
        <v>34.26</v>
      </c>
      <c r="G110" s="54">
        <f>myParidad('Flujo de Fondos'!$N$5,$A110,F110,'Flujo de Fondos'!$N$7,'Flujo de Fondos'!$N$6)</f>
        <v/>
      </c>
      <c r="H110" s="56" t="n">
        <v>36.2</v>
      </c>
      <c r="I110" s="54">
        <f>myParidad('Flujo de Fondos'!$T$5,$A110,H110,'Flujo de Fondos'!$T$7,'Flujo de Fondos'!$T$6)</f>
        <v/>
      </c>
      <c r="J110" s="56" t="n">
        <v>30.86</v>
      </c>
      <c r="K110" s="54">
        <f>myParidad('Flujo de Fondos'!$B$34,$A110,J110,'Flujo de Fondos'!$B$36,'Flujo de Fondos'!$B$35)</f>
        <v/>
      </c>
      <c r="L110" s="53" t="n">
        <v>33.65</v>
      </c>
      <c r="M110" s="54">
        <f>myParidad('Flujo de Fondos'!$H$34,'Paridad usd'!$A110,'Paridad usd'!L110,'Flujo de Fondos'!$H$36,'Flujo de Fondos'!$H$35)</f>
        <v/>
      </c>
      <c r="N110" s="56" t="n">
        <v>33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44305</v>
      </c>
      <c r="B111" s="53" t="n">
        <v>36.2</v>
      </c>
      <c r="C111" s="54">
        <f>myParidad('Flujo de Fondos'!$B$5,A111,B111,'Flujo de Fondos'!$B$7,'Flujo de Fondos'!$B$6)</f>
        <v/>
      </c>
      <c r="D111" s="53" t="n">
        <v>39.31</v>
      </c>
      <c r="E111" s="55">
        <f>myParidad('Flujo de Fondos'!$H$5,$A111,D111,'Flujo de Fondos'!$H$7,'Flujo de Fondos'!$H$6)</f>
        <v/>
      </c>
      <c r="F111" s="53" t="n">
        <v>34.37</v>
      </c>
      <c r="G111" s="54">
        <f>myParidad('Flujo de Fondos'!$N$5,$A111,F111,'Flujo de Fondos'!$N$7,'Flujo de Fondos'!$N$6)</f>
        <v/>
      </c>
      <c r="H111" s="56" t="n">
        <v>36.49</v>
      </c>
      <c r="I111" s="54">
        <f>myParidad('Flujo de Fondos'!$T$5,$A111,H111,'Flujo de Fondos'!$T$7,'Flujo de Fondos'!$T$6)</f>
        <v/>
      </c>
      <c r="J111" s="56" t="n">
        <v>30.8</v>
      </c>
      <c r="K111" s="54">
        <f>myParidad('Flujo de Fondos'!$B$34,$A111,J111,'Flujo de Fondos'!$B$36,'Flujo de Fondos'!$B$35)</f>
        <v/>
      </c>
      <c r="L111" s="53" t="n">
        <v>33.5</v>
      </c>
      <c r="M111" s="54">
        <f>myParidad('Flujo de Fondos'!$H$34,'Paridad usd'!$A111,'Paridad usd'!L111,'Flujo de Fondos'!$H$36,'Flujo de Fondos'!$H$35)</f>
        <v/>
      </c>
      <c r="N111" s="56" t="n">
        <v>33.15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44302</v>
      </c>
      <c r="B112" s="53" t="n">
        <v>36.2</v>
      </c>
      <c r="C112" s="54">
        <f>myParidad('Flujo de Fondos'!$B$5,A112,B112,'Flujo de Fondos'!$B$7,'Flujo de Fondos'!$B$6)</f>
        <v/>
      </c>
      <c r="D112" s="53" t="n">
        <v>38.91</v>
      </c>
      <c r="E112" s="55">
        <f>myParidad('Flujo de Fondos'!$H$5,$A112,D112,'Flujo de Fondos'!$H$7,'Flujo de Fondos'!$H$6)</f>
        <v/>
      </c>
      <c r="F112" s="53" t="n">
        <v>34.2</v>
      </c>
      <c r="G112" s="54">
        <f>myParidad('Flujo de Fondos'!$N$5,$A112,F112,'Flujo de Fondos'!$N$7,'Flujo de Fondos'!$N$6)</f>
        <v/>
      </c>
      <c r="H112" s="56" t="n">
        <v>36.4</v>
      </c>
      <c r="I112" s="54">
        <f>myParidad('Flujo de Fondos'!$T$5,$A112,H112,'Flujo de Fondos'!$T$7,'Flujo de Fondos'!$T$6)</f>
        <v/>
      </c>
      <c r="J112" s="56" t="n">
        <v>31</v>
      </c>
      <c r="K112" s="54">
        <f>myParidad('Flujo de Fondos'!$B$34,$A112,J112,'Flujo de Fondos'!$B$36,'Flujo de Fondos'!$B$35)</f>
        <v/>
      </c>
      <c r="L112" s="53" t="n">
        <v>33.6</v>
      </c>
      <c r="M112" s="54">
        <f>myParidad('Flujo de Fondos'!$H$34,'Paridad usd'!$A112,'Paridad usd'!L112,'Flujo de Fondos'!$H$36,'Flujo de Fondos'!$H$35)</f>
        <v/>
      </c>
      <c r="N112" s="56" t="n">
        <v>33.15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44301</v>
      </c>
      <c r="B113" s="53" t="n">
        <v>36.1</v>
      </c>
      <c r="C113" s="54">
        <f>myParidad('Flujo de Fondos'!$B$5,A113,B113,'Flujo de Fondos'!$B$7,'Flujo de Fondos'!$B$6)</f>
        <v/>
      </c>
      <c r="D113" s="53" t="n">
        <v>39</v>
      </c>
      <c r="E113" s="55">
        <f>myParidad('Flujo de Fondos'!$H$5,$A113,D113,'Flujo de Fondos'!$H$7,'Flujo de Fondos'!$H$6)</f>
        <v/>
      </c>
      <c r="F113" s="53" t="n">
        <v>34.25</v>
      </c>
      <c r="G113" s="54">
        <f>myParidad('Flujo de Fondos'!$N$5,$A113,F113,'Flujo de Fondos'!$N$7,'Flujo de Fondos'!$N$6)</f>
        <v/>
      </c>
      <c r="H113" s="56" t="n">
        <v>35.98</v>
      </c>
      <c r="I113" s="54">
        <f>myParidad('Flujo de Fondos'!$T$5,$A113,H113,'Flujo de Fondos'!$T$7,'Flujo de Fondos'!$T$6)</f>
        <v/>
      </c>
      <c r="J113" s="56" t="n">
        <v>30.78</v>
      </c>
      <c r="K113" s="54">
        <f>myParidad('Flujo de Fondos'!$B$34,$A113,J113,'Flujo de Fondos'!$B$36,'Flujo de Fondos'!$B$35)</f>
        <v/>
      </c>
      <c r="L113" s="53" t="n">
        <v>33.5</v>
      </c>
      <c r="M113" s="54">
        <f>myParidad('Flujo de Fondos'!$H$34,'Paridad usd'!$A113,'Paridad usd'!L113,'Flujo de Fondos'!$H$36,'Flujo de Fondos'!$H$35)</f>
        <v/>
      </c>
      <c r="N113" s="56" t="n">
        <v>33.1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44300</v>
      </c>
      <c r="B114" s="53" t="n">
        <v>36.37</v>
      </c>
      <c r="C114" s="54">
        <f>myParidad('Flujo de Fondos'!$B$5,A114,B114,'Flujo de Fondos'!$B$7,'Flujo de Fondos'!$B$6)</f>
        <v/>
      </c>
      <c r="D114" s="53" t="n">
        <v>39.2</v>
      </c>
      <c r="E114" s="55">
        <f>myParidad('Flujo de Fondos'!$H$5,$A114,D114,'Flujo de Fondos'!$H$7,'Flujo de Fondos'!$H$6)</f>
        <v/>
      </c>
      <c r="F114" s="53" t="n">
        <v>34.57</v>
      </c>
      <c r="G114" s="54">
        <f>myParidad('Flujo de Fondos'!$N$5,$A114,F114,'Flujo de Fondos'!$N$7,'Flujo de Fondos'!$N$6)</f>
        <v/>
      </c>
      <c r="H114" s="56" t="n">
        <v>36.1</v>
      </c>
      <c r="I114" s="54">
        <f>myParidad('Flujo de Fondos'!$T$5,$A114,H114,'Flujo de Fondos'!$T$7,'Flujo de Fondos'!$T$6)</f>
        <v/>
      </c>
      <c r="J114" s="56" t="n">
        <v>30.72</v>
      </c>
      <c r="K114" s="54">
        <f>myParidad('Flujo de Fondos'!$B$34,$A114,J114,'Flujo de Fondos'!$B$36,'Flujo de Fondos'!$B$35)</f>
        <v/>
      </c>
      <c r="L114" s="53" t="n">
        <v>33.65</v>
      </c>
      <c r="M114" s="54">
        <f>myParidad('Flujo de Fondos'!$H$34,'Paridad usd'!$A114,'Paridad usd'!L114,'Flujo de Fondos'!$H$36,'Flujo de Fondos'!$H$35)</f>
        <v/>
      </c>
      <c r="N114" s="56" t="n">
        <v>33.48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44299</v>
      </c>
      <c r="B115" s="53" t="n">
        <v>36.4</v>
      </c>
      <c r="C115" s="54">
        <f>myParidad('Flujo de Fondos'!$B$5,A115,B115,'Flujo de Fondos'!$B$7,'Flujo de Fondos'!$B$6)</f>
        <v/>
      </c>
      <c r="D115" s="53" t="n">
        <v>39.9</v>
      </c>
      <c r="E115" s="55">
        <f>myParidad('Flujo de Fondos'!$H$5,$A115,D115,'Flujo de Fondos'!$H$7,'Flujo de Fondos'!$H$6)</f>
        <v/>
      </c>
      <c r="F115" s="53" t="n">
        <v>34.82</v>
      </c>
      <c r="G115" s="54">
        <f>myParidad('Flujo de Fondos'!$N$5,$A115,F115,'Flujo de Fondos'!$N$7,'Flujo de Fondos'!$N$6)</f>
        <v/>
      </c>
      <c r="H115" s="56" t="n">
        <v>36.39</v>
      </c>
      <c r="I115" s="54">
        <f>myParidad('Flujo de Fondos'!$T$5,$A115,H115,'Flujo de Fondos'!$T$7,'Flujo de Fondos'!$T$6)</f>
        <v/>
      </c>
      <c r="J115" s="56" t="n">
        <v>30.85</v>
      </c>
      <c r="K115" s="54">
        <f>myParidad('Flujo de Fondos'!$B$34,$A115,J115,'Flujo de Fondos'!$B$36,'Flujo de Fondos'!$B$35)</f>
        <v/>
      </c>
      <c r="L115" s="53" t="n">
        <v>33.84</v>
      </c>
      <c r="M115" s="54">
        <f>myParidad('Flujo de Fondos'!$H$34,'Paridad usd'!$A115,'Paridad usd'!L115,'Flujo de Fondos'!$H$36,'Flujo de Fondos'!$H$35)</f>
        <v/>
      </c>
      <c r="N115" s="56" t="n">
        <v>33.5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44298</v>
      </c>
      <c r="B116" s="53" t="n">
        <v>36.25</v>
      </c>
      <c r="C116" s="54">
        <f>myParidad('Flujo de Fondos'!$B$5,A116,B116,'Flujo de Fondos'!$B$7,'Flujo de Fondos'!$B$6)</f>
        <v/>
      </c>
      <c r="D116" s="53" t="n">
        <v>38.6</v>
      </c>
      <c r="E116" s="55">
        <f>myParidad('Flujo de Fondos'!$H$5,$A116,D116,'Flujo de Fondos'!$H$7,'Flujo de Fondos'!$H$6)</f>
        <v/>
      </c>
      <c r="F116" s="53" t="n">
        <v>34.65</v>
      </c>
      <c r="G116" s="54">
        <f>myParidad('Flujo de Fondos'!$N$5,$A116,F116,'Flujo de Fondos'!$N$7,'Flujo de Fondos'!$N$6)</f>
        <v/>
      </c>
      <c r="H116" s="56" t="n">
        <v>35.92</v>
      </c>
      <c r="I116" s="54">
        <f>myParidad('Flujo de Fondos'!$T$5,$A116,H116,'Flujo de Fondos'!$T$7,'Flujo de Fondos'!$T$6)</f>
        <v/>
      </c>
      <c r="J116" s="56" t="n">
        <v>30.6</v>
      </c>
      <c r="K116" s="54">
        <f>myParidad('Flujo de Fondos'!$B$34,$A116,J116,'Flujo de Fondos'!$B$36,'Flujo de Fondos'!$B$35)</f>
        <v/>
      </c>
      <c r="L116" s="53" t="n">
        <v>33.7</v>
      </c>
      <c r="M116" s="54">
        <f>myParidad('Flujo de Fondos'!$H$34,'Paridad usd'!$A116,'Paridad usd'!L116,'Flujo de Fondos'!$H$36,'Flujo de Fondos'!$H$35)</f>
        <v/>
      </c>
      <c r="N116" s="56" t="n">
        <v>33.5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44295</v>
      </c>
      <c r="B117" s="53" t="n">
        <v>35.62</v>
      </c>
      <c r="C117" s="54">
        <f>myParidad('Flujo de Fondos'!$B$5,A117,B117,'Flujo de Fondos'!$B$7,'Flujo de Fondos'!$B$6)</f>
        <v/>
      </c>
      <c r="D117" s="53" t="n">
        <v>37.77</v>
      </c>
      <c r="E117" s="55">
        <f>myParidad('Flujo de Fondos'!$H$5,$A117,D117,'Flujo de Fondos'!$H$7,'Flujo de Fondos'!$H$6)</f>
        <v/>
      </c>
      <c r="F117" s="53" t="n">
        <v>34.18</v>
      </c>
      <c r="G117" s="54">
        <f>myParidad('Flujo de Fondos'!$N$5,$A117,F117,'Flujo de Fondos'!$N$7,'Flujo de Fondos'!$N$6)</f>
        <v/>
      </c>
      <c r="H117" s="56" t="n">
        <v>35.15</v>
      </c>
      <c r="I117" s="54">
        <f>myParidad('Flujo de Fondos'!$T$5,$A117,H117,'Flujo de Fondos'!$T$7,'Flujo de Fondos'!$T$6)</f>
        <v/>
      </c>
      <c r="J117" s="56" t="n">
        <v>30.19</v>
      </c>
      <c r="K117" s="54">
        <f>myParidad('Flujo de Fondos'!$B$34,$A117,J117,'Flujo de Fondos'!$B$36,'Flujo de Fondos'!$B$35)</f>
        <v/>
      </c>
      <c r="L117" s="53" t="n">
        <v>33.1</v>
      </c>
      <c r="M117" s="54">
        <f>myParidad('Flujo de Fondos'!$H$34,'Paridad usd'!$A117,'Paridad usd'!L117,'Flujo de Fondos'!$H$36,'Flujo de Fondos'!$H$35)</f>
        <v/>
      </c>
      <c r="N117" s="56" t="n">
        <v>33.13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44294</v>
      </c>
      <c r="B118" s="53" t="n">
        <v>35.88</v>
      </c>
      <c r="C118" s="54">
        <f>myParidad('Flujo de Fondos'!$B$5,A118,B118,'Flujo de Fondos'!$B$7,'Flujo de Fondos'!$B$6)</f>
        <v/>
      </c>
      <c r="D118" s="53" t="n">
        <v>37.51</v>
      </c>
      <c r="E118" s="55">
        <f>myParidad('Flujo de Fondos'!$H$5,$A118,D118,'Flujo de Fondos'!$H$7,'Flujo de Fondos'!$H$6)</f>
        <v/>
      </c>
      <c r="F118" s="53" t="n">
        <v>34.39</v>
      </c>
      <c r="G118" s="54">
        <f>myParidad('Flujo de Fondos'!$N$5,$A118,F118,'Flujo de Fondos'!$N$7,'Flujo de Fondos'!$N$6)</f>
        <v/>
      </c>
      <c r="H118" s="56" t="n">
        <v>35.38</v>
      </c>
      <c r="I118" s="54">
        <f>myParidad('Flujo de Fondos'!$T$5,$A118,H118,'Flujo de Fondos'!$T$7,'Flujo de Fondos'!$T$6)</f>
        <v/>
      </c>
      <c r="J118" s="56" t="n">
        <v>30.4</v>
      </c>
      <c r="K118" s="54">
        <f>myParidad('Flujo de Fondos'!$B$34,$A118,J118,'Flujo de Fondos'!$B$36,'Flujo de Fondos'!$B$35)</f>
        <v/>
      </c>
      <c r="L118" s="53" t="n">
        <v>33.31</v>
      </c>
      <c r="M118" s="54">
        <f>myParidad('Flujo de Fondos'!$H$34,'Paridad usd'!$A118,'Paridad usd'!L118,'Flujo de Fondos'!$H$36,'Flujo de Fondos'!$H$35)</f>
        <v/>
      </c>
      <c r="N118" s="56" t="n">
        <v>33.1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44293</v>
      </c>
      <c r="B119" s="53" t="n">
        <v>35.79</v>
      </c>
      <c r="C119" s="54">
        <f>myParidad('Flujo de Fondos'!$B$5,A119,B119,'Flujo de Fondos'!$B$7,'Flujo de Fondos'!$B$6)</f>
        <v/>
      </c>
      <c r="D119" s="53" t="n">
        <v>37.9</v>
      </c>
      <c r="E119" s="55">
        <f>myParidad('Flujo de Fondos'!$H$5,$A119,D119,'Flujo de Fondos'!$H$7,'Flujo de Fondos'!$H$6)</f>
        <v/>
      </c>
      <c r="F119" s="53" t="n">
        <v>34.57</v>
      </c>
      <c r="G119" s="54">
        <f>myParidad('Flujo de Fondos'!$N$5,$A119,F119,'Flujo de Fondos'!$N$7,'Flujo de Fondos'!$N$6)</f>
        <v/>
      </c>
      <c r="H119" s="56" t="n">
        <v>35.29</v>
      </c>
      <c r="I119" s="54">
        <f>myParidad('Flujo de Fondos'!$T$5,$A119,H119,'Flujo de Fondos'!$T$7,'Flujo de Fondos'!$T$6)</f>
        <v/>
      </c>
      <c r="J119" s="56" t="n">
        <v>30.36</v>
      </c>
      <c r="K119" s="54">
        <f>myParidad('Flujo de Fondos'!$B$34,$A119,J119,'Flujo de Fondos'!$B$36,'Flujo de Fondos'!$B$35)</f>
        <v/>
      </c>
      <c r="L119" s="53" t="n">
        <v>32.42</v>
      </c>
      <c r="M119" s="54">
        <f>myParidad('Flujo de Fondos'!$H$34,'Paridad usd'!$A119,'Paridad usd'!L119,'Flujo de Fondos'!$H$36,'Flujo de Fondos'!$H$35)</f>
        <v/>
      </c>
      <c r="N119" s="56" t="n">
        <v>33.2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44292</v>
      </c>
      <c r="B120" s="53" t="n">
        <v>35.9</v>
      </c>
      <c r="C120" s="54">
        <f>myParidad('Flujo de Fondos'!$B$5,A120,B120,'Flujo de Fondos'!$B$7,'Flujo de Fondos'!$B$6)</f>
        <v/>
      </c>
      <c r="D120" s="53" t="n">
        <v>38.7</v>
      </c>
      <c r="E120" s="55">
        <f>myParidad('Flujo de Fondos'!$H$5,$A120,D120,'Flujo de Fondos'!$H$7,'Flujo de Fondos'!$H$6)</f>
        <v/>
      </c>
      <c r="F120" s="53" t="n">
        <v>34.63</v>
      </c>
      <c r="G120" s="54">
        <f>myParidad('Flujo de Fondos'!$N$5,$A120,F120,'Flujo de Fondos'!$N$7,'Flujo de Fondos'!$N$6)</f>
        <v/>
      </c>
      <c r="H120" s="56" t="n">
        <v>35.4</v>
      </c>
      <c r="I120" s="54">
        <f>myParidad('Flujo de Fondos'!$T$5,$A120,H120,'Flujo de Fondos'!$T$7,'Flujo de Fondos'!$T$6)</f>
        <v/>
      </c>
      <c r="J120" s="56" t="n">
        <v>30.5</v>
      </c>
      <c r="K120" s="54">
        <f>myParidad('Flujo de Fondos'!$B$34,$A120,J120,'Flujo de Fondos'!$B$36,'Flujo de Fondos'!$B$35)</f>
        <v/>
      </c>
      <c r="L120" s="53" t="n">
        <v>33.7</v>
      </c>
      <c r="M120" s="54">
        <f>myParidad('Flujo de Fondos'!$H$34,'Paridad usd'!$A120,'Paridad usd'!L120,'Flujo de Fondos'!$H$36,'Flujo de Fondos'!$H$35)</f>
        <v/>
      </c>
      <c r="N120" s="56" t="n">
        <v>33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44291</v>
      </c>
      <c r="B121" s="53" t="n">
        <v>36.16</v>
      </c>
      <c r="C121" s="54">
        <f>myParidad('Flujo de Fondos'!$B$5,A121,B121,'Flujo de Fondos'!$B$7,'Flujo de Fondos'!$B$6)</f>
        <v/>
      </c>
      <c r="D121" s="53" t="n">
        <v>38.84</v>
      </c>
      <c r="E121" s="55">
        <f>myParidad('Flujo de Fondos'!$H$5,$A121,D121,'Flujo de Fondos'!$H$7,'Flujo de Fondos'!$H$6)</f>
        <v/>
      </c>
      <c r="F121" s="53" t="n">
        <v>34.85</v>
      </c>
      <c r="G121" s="54">
        <f>myParidad('Flujo de Fondos'!$N$5,$A121,F121,'Flujo de Fondos'!$N$7,'Flujo de Fondos'!$N$6)</f>
        <v/>
      </c>
      <c r="H121" s="56" t="n">
        <v>35.35</v>
      </c>
      <c r="I121" s="54">
        <f>myParidad('Flujo de Fondos'!$T$5,$A121,H121,'Flujo de Fondos'!$T$7,'Flujo de Fondos'!$T$6)</f>
        <v/>
      </c>
      <c r="J121" s="56" t="n">
        <v>30.6</v>
      </c>
      <c r="K121" s="54">
        <f>myParidad('Flujo de Fondos'!$B$34,$A121,J121,'Flujo de Fondos'!$B$36,'Flujo de Fondos'!$B$35)</f>
        <v/>
      </c>
      <c r="L121" s="53" t="n">
        <v>33.9</v>
      </c>
      <c r="M121" s="54">
        <f>myParidad('Flujo de Fondos'!$H$34,'Paridad usd'!$A121,'Paridad usd'!L121,'Flujo de Fondos'!$H$36,'Flujo de Fondos'!$H$35)</f>
        <v/>
      </c>
      <c r="N121" s="56" t="n">
        <v>33.25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44286</v>
      </c>
      <c r="B122" s="53" t="n">
        <v>36</v>
      </c>
      <c r="C122" s="54">
        <f>myParidad('Flujo de Fondos'!$B$5,A122,B122,'Flujo de Fondos'!$B$7,'Flujo de Fondos'!$B$6)</f>
        <v/>
      </c>
      <c r="D122" s="53" t="n">
        <v>38.85</v>
      </c>
      <c r="E122" s="55">
        <f>myParidad('Flujo de Fondos'!$H$5,$A122,D122,'Flujo de Fondos'!$H$7,'Flujo de Fondos'!$H$6)</f>
        <v/>
      </c>
      <c r="F122" s="53" t="n">
        <v>34.05</v>
      </c>
      <c r="G122" s="54">
        <f>myParidad('Flujo de Fondos'!$N$5,$A122,F122,'Flujo de Fondos'!$N$7,'Flujo de Fondos'!$N$6)</f>
        <v/>
      </c>
      <c r="H122" s="56" t="n">
        <v>35.01</v>
      </c>
      <c r="I122" s="54">
        <f>myParidad('Flujo de Fondos'!$T$5,$A122,H122,'Flujo de Fondos'!$T$7,'Flujo de Fondos'!$T$6)</f>
        <v/>
      </c>
      <c r="J122" s="56" t="n">
        <v>30.49</v>
      </c>
      <c r="K122" s="54">
        <f>myParidad('Flujo de Fondos'!$B$34,$A122,J122,'Flujo de Fondos'!$B$36,'Flujo de Fondos'!$B$35)</f>
        <v/>
      </c>
      <c r="L122" s="53" t="n">
        <v>33.9</v>
      </c>
      <c r="M122" s="54">
        <f>myParidad('Flujo de Fondos'!$H$34,'Paridad usd'!$A122,'Paridad usd'!L122,'Flujo de Fondos'!$H$36,'Flujo de Fondos'!$H$35)</f>
        <v/>
      </c>
      <c r="N122" s="56" t="n">
        <v>33.55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44285</v>
      </c>
      <c r="B123" s="53" t="n">
        <v>35.8</v>
      </c>
      <c r="C123" s="54">
        <f>myParidad('Flujo de Fondos'!$B$5,A123,B123,'Flujo de Fondos'!$B$7,'Flujo de Fondos'!$B$6)</f>
        <v/>
      </c>
      <c r="D123" s="53" t="n">
        <v>38.1</v>
      </c>
      <c r="E123" s="55">
        <f>myParidad('Flujo de Fondos'!$H$5,$A123,D123,'Flujo de Fondos'!$H$7,'Flujo de Fondos'!$H$6)</f>
        <v/>
      </c>
      <c r="F123" s="53" t="n">
        <v>34.29</v>
      </c>
      <c r="G123" s="54">
        <f>myParidad('Flujo de Fondos'!$N$5,$A123,F123,'Flujo de Fondos'!$N$7,'Flujo de Fondos'!$N$6)</f>
        <v/>
      </c>
      <c r="H123" s="56" t="n">
        <v>35.09</v>
      </c>
      <c r="I123" s="54">
        <f>myParidad('Flujo de Fondos'!$T$5,$A123,H123,'Flujo de Fondos'!$T$7,'Flujo de Fondos'!$T$6)</f>
        <v/>
      </c>
      <c r="J123" s="56" t="n">
        <v>30.69</v>
      </c>
      <c r="K123" s="54">
        <f>myParidad('Flujo de Fondos'!$B$34,$A123,J123,'Flujo de Fondos'!$B$36,'Flujo de Fondos'!$B$35)</f>
        <v/>
      </c>
      <c r="L123" s="53" t="n">
        <v>34</v>
      </c>
      <c r="M123" s="54">
        <f>myParidad('Flujo de Fondos'!$H$34,'Paridad usd'!$A123,'Paridad usd'!L123,'Flujo de Fondos'!$H$36,'Flujo de Fondos'!$H$35)</f>
        <v/>
      </c>
      <c r="N123" s="56" t="n">
        <v>33.9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44284</v>
      </c>
      <c r="B124" s="53" t="n">
        <v>36.18</v>
      </c>
      <c r="C124" s="54">
        <f>myParidad('Flujo de Fondos'!$B$5,A124,B124,'Flujo de Fondos'!$B$7,'Flujo de Fondos'!$B$6)</f>
        <v/>
      </c>
      <c r="D124" s="53" t="n">
        <v>38.11</v>
      </c>
      <c r="E124" s="55">
        <f>myParidad('Flujo de Fondos'!$H$5,$A124,D124,'Flujo de Fondos'!$H$7,'Flujo de Fondos'!$H$6)</f>
        <v/>
      </c>
      <c r="F124" s="53" t="n">
        <v>34.67</v>
      </c>
      <c r="G124" s="54">
        <f>myParidad('Flujo de Fondos'!$N$5,$A124,F124,'Flujo de Fondos'!$N$7,'Flujo de Fondos'!$N$6)</f>
        <v/>
      </c>
      <c r="H124" s="56" t="n">
        <v>35.65</v>
      </c>
      <c r="I124" s="54">
        <f>myParidad('Flujo de Fondos'!$T$5,$A124,H124,'Flujo de Fondos'!$T$7,'Flujo de Fondos'!$T$6)</f>
        <v/>
      </c>
      <c r="J124" s="56" t="n">
        <v>30.81</v>
      </c>
      <c r="K124" s="54">
        <f>myParidad('Flujo de Fondos'!$B$34,$A124,J124,'Flujo de Fondos'!$B$36,'Flujo de Fondos'!$B$35)</f>
        <v/>
      </c>
      <c r="L124" s="53" t="n">
        <v>34.31</v>
      </c>
      <c r="M124" s="54">
        <f>myParidad('Flujo de Fondos'!$H$34,'Paridad usd'!$A124,'Paridad usd'!L124,'Flujo de Fondos'!$H$36,'Flujo de Fondos'!$H$35)</f>
        <v/>
      </c>
      <c r="N124" s="56" t="n">
        <v>33.8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44281</v>
      </c>
      <c r="B125" s="53" t="n">
        <v>36.5</v>
      </c>
      <c r="C125" s="54">
        <f>myParidad('Flujo de Fondos'!$B$5,A125,B125,'Flujo de Fondos'!$B$7,'Flujo de Fondos'!$B$6)</f>
        <v/>
      </c>
      <c r="D125" s="53" t="n">
        <v>39.1</v>
      </c>
      <c r="E125" s="55">
        <f>myParidad('Flujo de Fondos'!$H$5,$A125,D125,'Flujo de Fondos'!$H$7,'Flujo de Fondos'!$H$6)</f>
        <v/>
      </c>
      <c r="F125" s="53" t="n">
        <v>35.32</v>
      </c>
      <c r="G125" s="54">
        <f>myParidad('Flujo de Fondos'!$N$5,$A125,F125,'Flujo de Fondos'!$N$7,'Flujo de Fondos'!$N$6)</f>
        <v/>
      </c>
      <c r="H125" s="56" t="n">
        <v>36.21</v>
      </c>
      <c r="I125" s="54">
        <f>myParidad('Flujo de Fondos'!$T$5,$A125,H125,'Flujo de Fondos'!$T$7,'Flujo de Fondos'!$T$6)</f>
        <v/>
      </c>
      <c r="J125" s="56" t="n">
        <v>31.2</v>
      </c>
      <c r="K125" s="54">
        <f>myParidad('Flujo de Fondos'!$B$34,$A125,J125,'Flujo de Fondos'!$B$36,'Flujo de Fondos'!$B$35)</f>
        <v/>
      </c>
      <c r="L125" s="53" t="n">
        <v>34.74</v>
      </c>
      <c r="M125" s="54">
        <f>myParidad('Flujo de Fondos'!$H$34,'Paridad usd'!$A125,'Paridad usd'!L125,'Flujo de Fondos'!$H$36,'Flujo de Fondos'!$H$35)</f>
        <v/>
      </c>
      <c r="N125" s="56" t="n">
        <v>34.35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44280</v>
      </c>
      <c r="B126" s="53" t="n">
        <v>36.4</v>
      </c>
      <c r="C126" s="54">
        <f>myParidad('Flujo de Fondos'!$B$5,A126,B126,'Flujo de Fondos'!$B$7,'Flujo de Fondos'!$B$6)</f>
        <v/>
      </c>
      <c r="D126" s="53" t="n">
        <v>38.81</v>
      </c>
      <c r="E126" s="55">
        <f>myParidad('Flujo de Fondos'!$H$5,$A126,D126,'Flujo de Fondos'!$H$7,'Flujo de Fondos'!$H$6)</f>
        <v/>
      </c>
      <c r="F126" s="53" t="n">
        <v>35.33</v>
      </c>
      <c r="G126" s="54">
        <f>myParidad('Flujo de Fondos'!$N$5,$A126,F126,'Flujo de Fondos'!$N$7,'Flujo de Fondos'!$N$6)</f>
        <v/>
      </c>
      <c r="H126" s="56" t="n">
        <v>36.3</v>
      </c>
      <c r="I126" s="54">
        <f>myParidad('Flujo de Fondos'!$T$5,$A126,H126,'Flujo de Fondos'!$T$7,'Flujo de Fondos'!$T$6)</f>
        <v/>
      </c>
      <c r="J126" s="56" t="n">
        <v>31.51</v>
      </c>
      <c r="K126" s="54">
        <f>myParidad('Flujo de Fondos'!$B$34,$A126,J126,'Flujo de Fondos'!$B$36,'Flujo de Fondos'!$B$35)</f>
        <v/>
      </c>
      <c r="L126" s="53" t="n">
        <v>34.8</v>
      </c>
      <c r="M126" s="54">
        <f>myParidad('Flujo de Fondos'!$H$34,'Paridad usd'!$A126,'Paridad usd'!L126,'Flujo de Fondos'!$H$36,'Flujo de Fondos'!$H$35)</f>
        <v/>
      </c>
      <c r="N126" s="56" t="n">
        <v>34.6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44278</v>
      </c>
      <c r="B127" s="53" t="n">
        <v>37.25</v>
      </c>
      <c r="C127" s="54">
        <f>myParidad('Flujo de Fondos'!$B$5,A127,B127,'Flujo de Fondos'!$B$7,'Flujo de Fondos'!$B$6)</f>
        <v/>
      </c>
      <c r="D127" s="53" t="n">
        <v>40</v>
      </c>
      <c r="E127" s="55">
        <f>myParidad('Flujo de Fondos'!$H$5,$A127,D127,'Flujo de Fondos'!$H$7,'Flujo de Fondos'!$H$6)</f>
        <v/>
      </c>
      <c r="F127" s="53" t="n">
        <v>36</v>
      </c>
      <c r="G127" s="54">
        <f>myParidad('Flujo de Fondos'!$N$5,$A127,F127,'Flujo de Fondos'!$N$7,'Flujo de Fondos'!$N$6)</f>
        <v/>
      </c>
      <c r="H127" s="56" t="n">
        <v>37.08</v>
      </c>
      <c r="I127" s="54">
        <f>myParidad('Flujo de Fondos'!$T$5,$A127,H127,'Flujo de Fondos'!$T$7,'Flujo de Fondos'!$T$6)</f>
        <v/>
      </c>
      <c r="J127" s="56" t="n">
        <v>32.74</v>
      </c>
      <c r="K127" s="54">
        <f>myParidad('Flujo de Fondos'!$B$34,$A127,J127,'Flujo de Fondos'!$B$36,'Flujo de Fondos'!$B$35)</f>
        <v/>
      </c>
      <c r="L127" s="53" t="n">
        <v>35.32</v>
      </c>
      <c r="M127" s="54">
        <f>myParidad('Flujo de Fondos'!$H$34,'Paridad usd'!$A127,'Paridad usd'!L127,'Flujo de Fondos'!$H$36,'Flujo de Fondos'!$H$35)</f>
        <v/>
      </c>
      <c r="N127" s="56" t="n">
        <v>35.25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44277</v>
      </c>
      <c r="B128" s="53" t="n">
        <v>37.55</v>
      </c>
      <c r="C128" s="54">
        <f>myParidad('Flujo de Fondos'!$B$5,A128,B128,'Flujo de Fondos'!$B$7,'Flujo de Fondos'!$B$6)</f>
        <v/>
      </c>
      <c r="D128" s="53" t="n">
        <v>40</v>
      </c>
      <c r="E128" s="55">
        <f>myParidad('Flujo de Fondos'!$H$5,$A128,D128,'Flujo de Fondos'!$H$7,'Flujo de Fondos'!$H$6)</f>
        <v/>
      </c>
      <c r="F128" s="53" t="n">
        <v>36.41</v>
      </c>
      <c r="G128" s="54">
        <f>myParidad('Flujo de Fondos'!$N$5,$A128,F128,'Flujo de Fondos'!$N$7,'Flujo de Fondos'!$N$6)</f>
        <v/>
      </c>
      <c r="H128" s="56" t="n">
        <v>37.55</v>
      </c>
      <c r="I128" s="54">
        <f>myParidad('Flujo de Fondos'!$T$5,$A128,H128,'Flujo de Fondos'!$T$7,'Flujo de Fondos'!$T$6)</f>
        <v/>
      </c>
      <c r="J128" s="56" t="n">
        <v>32.75</v>
      </c>
      <c r="K128" s="54">
        <f>myParidad('Flujo de Fondos'!$B$34,$A128,J128,'Flujo de Fondos'!$B$36,'Flujo de Fondos'!$B$35)</f>
        <v/>
      </c>
      <c r="L128" s="53" t="n">
        <v>35.3</v>
      </c>
      <c r="M128" s="54">
        <f>myParidad('Flujo de Fondos'!$H$34,'Paridad usd'!$A128,'Paridad usd'!L128,'Flujo de Fondos'!$H$36,'Flujo de Fondos'!$H$35)</f>
        <v/>
      </c>
      <c r="N128" s="56" t="n">
        <v>34.85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44274</v>
      </c>
      <c r="B129" s="53" t="n">
        <v>37</v>
      </c>
      <c r="C129" s="54">
        <f>myParidad('Flujo de Fondos'!$B$5,A129,B129,'Flujo de Fondos'!$B$7,'Flujo de Fondos'!$B$6)</f>
        <v/>
      </c>
      <c r="D129" s="53" t="n">
        <v>39.6</v>
      </c>
      <c r="E129" s="55">
        <f>myParidad('Flujo de Fondos'!$H$5,$A129,D129,'Flujo de Fondos'!$H$7,'Flujo de Fondos'!$H$6)</f>
        <v/>
      </c>
      <c r="F129" s="53" t="n">
        <v>35.92</v>
      </c>
      <c r="G129" s="54">
        <f>myParidad('Flujo de Fondos'!$N$5,$A129,F129,'Flujo de Fondos'!$N$7,'Flujo de Fondos'!$N$6)</f>
        <v/>
      </c>
      <c r="H129" s="56" t="n">
        <v>36.95</v>
      </c>
      <c r="I129" s="54">
        <f>myParidad('Flujo de Fondos'!$T$5,$A129,H129,'Flujo de Fondos'!$T$7,'Flujo de Fondos'!$T$6)</f>
        <v/>
      </c>
      <c r="J129" s="56" t="n">
        <v>32.16</v>
      </c>
      <c r="K129" s="54">
        <f>myParidad('Flujo de Fondos'!$B$34,$A129,J129,'Flujo de Fondos'!$B$36,'Flujo de Fondos'!$B$35)</f>
        <v/>
      </c>
      <c r="L129" s="53" t="n">
        <v>34.45</v>
      </c>
      <c r="M129" s="54">
        <f>myParidad('Flujo de Fondos'!$H$34,'Paridad usd'!$A129,'Paridad usd'!L129,'Flujo de Fondos'!$H$36,'Flujo de Fondos'!$H$35)</f>
        <v/>
      </c>
      <c r="N129" s="56" t="n">
        <v>34.25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44273</v>
      </c>
      <c r="B130" s="53" t="n">
        <v>36.72</v>
      </c>
      <c r="C130" s="54">
        <f>myParidad('Flujo de Fondos'!$B$5,A130,B130,'Flujo de Fondos'!$B$7,'Flujo de Fondos'!$B$6)</f>
        <v/>
      </c>
      <c r="D130" s="53" t="n">
        <v>39.79</v>
      </c>
      <c r="E130" s="55">
        <f>myParidad('Flujo de Fondos'!$H$5,$A130,D130,'Flujo de Fondos'!$H$7,'Flujo de Fondos'!$H$6)</f>
        <v/>
      </c>
      <c r="F130" s="53" t="n">
        <v>35.82</v>
      </c>
      <c r="G130" s="54">
        <f>myParidad('Flujo de Fondos'!$N$5,$A130,F130,'Flujo de Fondos'!$N$7,'Flujo de Fondos'!$N$6)</f>
        <v/>
      </c>
      <c r="H130" s="56" t="n">
        <v>36.61</v>
      </c>
      <c r="I130" s="54">
        <f>myParidad('Flujo de Fondos'!$T$5,$A130,H130,'Flujo de Fondos'!$T$7,'Flujo de Fondos'!$T$6)</f>
        <v/>
      </c>
      <c r="J130" s="56" t="n">
        <v>31.6</v>
      </c>
      <c r="K130" s="54">
        <f>myParidad('Flujo de Fondos'!$B$34,$A130,J130,'Flujo de Fondos'!$B$36,'Flujo de Fondos'!$B$35)</f>
        <v/>
      </c>
      <c r="L130" s="53" t="n">
        <v>33.92</v>
      </c>
      <c r="M130" s="54">
        <f>myParidad('Flujo de Fondos'!$H$34,'Paridad usd'!$A130,'Paridad usd'!L130,'Flujo de Fondos'!$H$36,'Flujo de Fondos'!$H$35)</f>
        <v/>
      </c>
      <c r="N130" s="56" t="n">
        <v>33.95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44272</v>
      </c>
      <c r="B131" s="53" t="n">
        <v>36.84</v>
      </c>
      <c r="C131" s="54">
        <f>myParidad('Flujo de Fondos'!$B$5,A131,B131,'Flujo de Fondos'!$B$7,'Flujo de Fondos'!$B$6)</f>
        <v/>
      </c>
      <c r="D131" s="53" t="n">
        <v>39.85</v>
      </c>
      <c r="E131" s="55">
        <f>myParidad('Flujo de Fondos'!$H$5,$A131,D131,'Flujo de Fondos'!$H$7,'Flujo de Fondos'!$H$6)</f>
        <v/>
      </c>
      <c r="F131" s="53" t="n">
        <v>35.8</v>
      </c>
      <c r="G131" s="54">
        <f>myParidad('Flujo de Fondos'!$N$5,$A131,F131,'Flujo de Fondos'!$N$7,'Flujo de Fondos'!$N$6)</f>
        <v/>
      </c>
      <c r="H131" s="56" t="n">
        <v>36.88</v>
      </c>
      <c r="I131" s="54">
        <f>myParidad('Flujo de Fondos'!$T$5,$A131,H131,'Flujo de Fondos'!$T$7,'Flujo de Fondos'!$T$6)</f>
        <v/>
      </c>
      <c r="J131" s="56" t="n">
        <v>31.66</v>
      </c>
      <c r="K131" s="54">
        <f>myParidad('Flujo de Fondos'!$B$34,$A131,J131,'Flujo de Fondos'!$B$36,'Flujo de Fondos'!$B$35)</f>
        <v/>
      </c>
      <c r="L131" s="53" t="n">
        <v>34.05</v>
      </c>
      <c r="M131" s="54">
        <f>myParidad('Flujo de Fondos'!$H$34,'Paridad usd'!$A131,'Paridad usd'!L131,'Flujo de Fondos'!$H$36,'Flujo de Fondos'!$H$35)</f>
        <v/>
      </c>
      <c r="N131" s="56" t="n">
        <v>33.75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44271</v>
      </c>
      <c r="B132" s="53" t="n">
        <v>36.65</v>
      </c>
      <c r="C132" s="54">
        <f>myParidad('Flujo de Fondos'!$B$5,A132,B132,'Flujo de Fondos'!$B$7,'Flujo de Fondos'!$B$6)</f>
        <v/>
      </c>
      <c r="D132" s="53" t="n">
        <v>39.99</v>
      </c>
      <c r="E132" s="55">
        <f>myParidad('Flujo de Fondos'!$H$5,$A132,D132,'Flujo de Fondos'!$H$7,'Flujo de Fondos'!$H$6)</f>
        <v/>
      </c>
      <c r="F132" s="53" t="n">
        <v>35.4</v>
      </c>
      <c r="G132" s="54">
        <f>myParidad('Flujo de Fondos'!$N$5,$A132,F132,'Flujo de Fondos'!$N$7,'Flujo de Fondos'!$N$6)</f>
        <v/>
      </c>
      <c r="H132" s="56" t="n">
        <v>36.3</v>
      </c>
      <c r="I132" s="54">
        <f>myParidad('Flujo de Fondos'!$T$5,$A132,H132,'Flujo de Fondos'!$T$7,'Flujo de Fondos'!$T$6)</f>
        <v/>
      </c>
      <c r="J132" s="56" t="n">
        <v>31.29</v>
      </c>
      <c r="K132" s="54">
        <f>myParidad('Flujo de Fondos'!$B$34,$A132,J132,'Flujo de Fondos'!$B$36,'Flujo de Fondos'!$B$35)</f>
        <v/>
      </c>
      <c r="L132" s="53" t="n">
        <v>34.25</v>
      </c>
      <c r="M132" s="54">
        <f>myParidad('Flujo de Fondos'!$H$34,'Paridad usd'!$A132,'Paridad usd'!L132,'Flujo de Fondos'!$H$36,'Flujo de Fondos'!$H$35)</f>
        <v/>
      </c>
      <c r="N132" s="56" t="n">
        <v>33.49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44270</v>
      </c>
      <c r="B133" s="53" t="n">
        <v>36.48</v>
      </c>
      <c r="C133" s="54">
        <f>myParidad('Flujo de Fondos'!$B$5,A133,B133,'Flujo de Fondos'!$B$7,'Flujo de Fondos'!$B$6)</f>
        <v/>
      </c>
      <c r="D133" s="53" t="n">
        <v>38.7</v>
      </c>
      <c r="E133" s="55">
        <f>myParidad('Flujo de Fondos'!$H$5,$A133,D133,'Flujo de Fondos'!$H$7,'Flujo de Fondos'!$H$6)</f>
        <v/>
      </c>
      <c r="F133" s="53" t="n">
        <v>34.96</v>
      </c>
      <c r="G133" s="54">
        <f>myParidad('Flujo de Fondos'!$N$5,$A133,F133,'Flujo de Fondos'!$N$7,'Flujo de Fondos'!$N$6)</f>
        <v/>
      </c>
      <c r="H133" s="56" t="n">
        <v>35.95</v>
      </c>
      <c r="I133" s="54">
        <f>myParidad('Flujo de Fondos'!$T$5,$A133,H133,'Flujo de Fondos'!$T$7,'Flujo de Fondos'!$T$6)</f>
        <v/>
      </c>
      <c r="J133" s="56" t="n">
        <v>30.95</v>
      </c>
      <c r="K133" s="54">
        <f>myParidad('Flujo de Fondos'!$B$34,$A133,J133,'Flujo de Fondos'!$B$36,'Flujo de Fondos'!$B$35)</f>
        <v/>
      </c>
      <c r="L133" s="53" t="n">
        <v>33.65</v>
      </c>
      <c r="M133" s="54">
        <f>myParidad('Flujo de Fondos'!$H$34,'Paridad usd'!$A133,'Paridad usd'!L133,'Flujo de Fondos'!$H$36,'Flujo de Fondos'!$H$35)</f>
        <v/>
      </c>
      <c r="N133" s="56" t="n">
        <v>33.45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44267</v>
      </c>
      <c r="B134" s="53" t="n">
        <v>35.51</v>
      </c>
      <c r="C134" s="54">
        <f>myParidad('Flujo de Fondos'!$B$5,A134,B134,'Flujo de Fondos'!$B$7,'Flujo de Fondos'!$B$6)</f>
        <v/>
      </c>
      <c r="D134" s="53" t="n">
        <v>37.8</v>
      </c>
      <c r="E134" s="55">
        <f>myParidad('Flujo de Fondos'!$H$5,$A134,D134,'Flujo de Fondos'!$H$7,'Flujo de Fondos'!$H$6)</f>
        <v/>
      </c>
      <c r="F134" s="53" t="n">
        <v>34.39</v>
      </c>
      <c r="G134" s="54">
        <f>myParidad('Flujo de Fondos'!$N$5,$A134,F134,'Flujo de Fondos'!$N$7,'Flujo de Fondos'!$N$6)</f>
        <v/>
      </c>
      <c r="H134" s="56" t="n">
        <v>35.31</v>
      </c>
      <c r="I134" s="54">
        <f>myParidad('Flujo de Fondos'!$T$5,$A134,H134,'Flujo de Fondos'!$T$7,'Flujo de Fondos'!$T$6)</f>
        <v/>
      </c>
      <c r="J134" s="56" t="n">
        <v>30.5</v>
      </c>
      <c r="K134" s="54">
        <f>myParidad('Flujo de Fondos'!$B$34,$A134,J134,'Flujo de Fondos'!$B$36,'Flujo de Fondos'!$B$35)</f>
        <v/>
      </c>
      <c r="L134" s="53" t="n">
        <v>32.75</v>
      </c>
      <c r="M134" s="54">
        <f>myParidad('Flujo de Fondos'!$H$34,'Paridad usd'!$A134,'Paridad usd'!L134,'Flujo de Fondos'!$H$36,'Flujo de Fondos'!$H$35)</f>
        <v/>
      </c>
      <c r="N134" s="56" t="n">
        <v>32.5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44266</v>
      </c>
      <c r="B135" s="53" t="n">
        <v>34.95</v>
      </c>
      <c r="C135" s="54">
        <f>myParidad('Flujo de Fondos'!$B$5,A135,B135,'Flujo de Fondos'!$B$7,'Flujo de Fondos'!$B$6)</f>
        <v/>
      </c>
      <c r="D135" s="53" t="n">
        <v>37.2</v>
      </c>
      <c r="E135" s="55">
        <f>myParidad('Flujo de Fondos'!$H$5,$A135,D135,'Flujo de Fondos'!$H$7,'Flujo de Fondos'!$H$6)</f>
        <v/>
      </c>
      <c r="F135" s="53" t="n">
        <v>33.51</v>
      </c>
      <c r="G135" s="54">
        <f>myParidad('Flujo de Fondos'!$N$5,$A135,F135,'Flujo de Fondos'!$N$7,'Flujo de Fondos'!$N$6)</f>
        <v/>
      </c>
      <c r="H135" s="56" t="n">
        <v>34.65</v>
      </c>
      <c r="I135" s="54">
        <f>myParidad('Flujo de Fondos'!$T$5,$A135,H135,'Flujo de Fondos'!$T$7,'Flujo de Fondos'!$T$6)</f>
        <v/>
      </c>
      <c r="J135" s="56" t="n">
        <v>30.26</v>
      </c>
      <c r="K135" s="54">
        <f>myParidad('Flujo de Fondos'!$B$34,$A135,J135,'Flujo de Fondos'!$B$36,'Flujo de Fondos'!$B$35)</f>
        <v/>
      </c>
      <c r="L135" s="53" t="n">
        <v>32.05</v>
      </c>
      <c r="M135" s="54">
        <f>myParidad('Flujo de Fondos'!$H$34,'Paridad usd'!$A135,'Paridad usd'!L135,'Flujo de Fondos'!$H$36,'Flujo de Fondos'!$H$35)</f>
        <v/>
      </c>
      <c r="N135" s="56" t="n">
        <v>31.5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44265</v>
      </c>
      <c r="B136" s="53" t="n">
        <v>35</v>
      </c>
      <c r="C136" s="54">
        <f>myParidad('Flujo de Fondos'!$B$5,A136,B136,'Flujo de Fondos'!$B$7,'Flujo de Fondos'!$B$6)</f>
        <v/>
      </c>
      <c r="D136" s="53" t="n">
        <v>37</v>
      </c>
      <c r="E136" s="55">
        <f>myParidad('Flujo de Fondos'!$H$5,$A136,D136,'Flujo de Fondos'!$H$7,'Flujo de Fondos'!$H$6)</f>
        <v/>
      </c>
      <c r="F136" s="53" t="n">
        <v>33.51</v>
      </c>
      <c r="G136" s="54">
        <f>myParidad('Flujo de Fondos'!$N$5,$A136,F136,'Flujo de Fondos'!$N$7,'Flujo de Fondos'!$N$6)</f>
        <v/>
      </c>
      <c r="H136" s="56" t="n">
        <v>34.39</v>
      </c>
      <c r="I136" s="54">
        <f>myParidad('Flujo de Fondos'!$T$5,$A136,H136,'Flujo de Fondos'!$T$7,'Flujo de Fondos'!$T$6)</f>
        <v/>
      </c>
      <c r="J136" s="56" t="n">
        <v>29.8</v>
      </c>
      <c r="K136" s="54">
        <f>myParidad('Flujo de Fondos'!$B$34,$A136,J136,'Flujo de Fondos'!$B$36,'Flujo de Fondos'!$B$35)</f>
        <v/>
      </c>
      <c r="L136" s="53" t="n">
        <v>32.1</v>
      </c>
      <c r="M136" s="54">
        <f>myParidad('Flujo de Fondos'!$H$34,'Paridad usd'!$A136,'Paridad usd'!L136,'Flujo de Fondos'!$H$36,'Flujo de Fondos'!$H$35)</f>
        <v/>
      </c>
      <c r="N136" s="56" t="n">
        <v>31.42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44264</v>
      </c>
      <c r="B137" s="53" t="n">
        <v>36.25</v>
      </c>
      <c r="C137" s="54">
        <f>myParidad('Flujo de Fondos'!$B$5,A137,B137,'Flujo de Fondos'!$B$7,'Flujo de Fondos'!$B$6)</f>
        <v/>
      </c>
      <c r="D137" s="53" t="n">
        <v>38.3</v>
      </c>
      <c r="E137" s="55">
        <f>myParidad('Flujo de Fondos'!$H$5,$A137,D137,'Flujo de Fondos'!$H$7,'Flujo de Fondos'!$H$6)</f>
        <v/>
      </c>
      <c r="F137" s="53" t="n">
        <v>35.14</v>
      </c>
      <c r="G137" s="54">
        <f>myParidad('Flujo de Fondos'!$N$5,$A137,F137,'Flujo de Fondos'!$N$7,'Flujo de Fondos'!$N$6)</f>
        <v/>
      </c>
      <c r="H137" s="56" t="n">
        <v>35.26</v>
      </c>
      <c r="I137" s="54">
        <f>myParidad('Flujo de Fondos'!$T$5,$A137,H137,'Flujo de Fondos'!$T$7,'Flujo de Fondos'!$T$6)</f>
        <v/>
      </c>
      <c r="J137" s="56" t="n">
        <v>30.52</v>
      </c>
      <c r="K137" s="54">
        <f>myParidad('Flujo de Fondos'!$B$34,$A137,J137,'Flujo de Fondos'!$B$36,'Flujo de Fondos'!$B$35)</f>
        <v/>
      </c>
      <c r="L137" s="53" t="n">
        <v>32.6</v>
      </c>
      <c r="M137" s="54">
        <f>myParidad('Flujo de Fondos'!$H$34,'Paridad usd'!$A137,'Paridad usd'!L137,'Flujo de Fondos'!$H$36,'Flujo de Fondos'!$H$35)</f>
        <v/>
      </c>
      <c r="N137" s="56" t="n">
        <v>31.98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44263</v>
      </c>
      <c r="B138" s="53" t="n">
        <v>36.89</v>
      </c>
      <c r="C138" s="54">
        <f>myParidad('Flujo de Fondos'!$B$5,A138,B138,'Flujo de Fondos'!$B$7,'Flujo de Fondos'!$B$6)</f>
        <v/>
      </c>
      <c r="D138" s="53" t="n">
        <v>39.8</v>
      </c>
      <c r="E138" s="55">
        <f>myParidad('Flujo de Fondos'!$H$5,$A138,D138,'Flujo de Fondos'!$H$7,'Flujo de Fondos'!$H$6)</f>
        <v/>
      </c>
      <c r="F138" s="53" t="n">
        <v>35.7</v>
      </c>
      <c r="G138" s="54">
        <f>myParidad('Flujo de Fondos'!$N$5,$A138,F138,'Flujo de Fondos'!$N$7,'Flujo de Fondos'!$N$6)</f>
        <v/>
      </c>
      <c r="H138" s="56" t="n">
        <v>36.08</v>
      </c>
      <c r="I138" s="54">
        <f>myParidad('Flujo de Fondos'!$T$5,$A138,H138,'Flujo de Fondos'!$T$7,'Flujo de Fondos'!$T$6)</f>
        <v/>
      </c>
      <c r="J138" s="56" t="n">
        <v>31.65</v>
      </c>
      <c r="K138" s="54">
        <f>myParidad('Flujo de Fondos'!$B$34,$A138,J138,'Flujo de Fondos'!$B$36,'Flujo de Fondos'!$B$35)</f>
        <v/>
      </c>
      <c r="L138" s="53" t="n">
        <v>33.05</v>
      </c>
      <c r="M138" s="54">
        <f>myParidad('Flujo de Fondos'!$H$34,'Paridad usd'!$A138,'Paridad usd'!L138,'Flujo de Fondos'!$H$36,'Flujo de Fondos'!$H$35)</f>
        <v/>
      </c>
      <c r="N138" s="56" t="n">
        <v>32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44260</v>
      </c>
      <c r="B139" s="53" t="n">
        <v>37.51</v>
      </c>
      <c r="C139" s="54">
        <f>myParidad('Flujo de Fondos'!$B$5,A139,B139,'Flujo de Fondos'!$B$7,'Flujo de Fondos'!$B$6)</f>
        <v/>
      </c>
      <c r="D139" s="53" t="n">
        <v>38.5</v>
      </c>
      <c r="E139" s="55">
        <f>myParidad('Flujo de Fondos'!$H$5,$A139,D139,'Flujo de Fondos'!$H$7,'Flujo de Fondos'!$H$6)</f>
        <v/>
      </c>
      <c r="F139" s="53" t="n">
        <v>35.75</v>
      </c>
      <c r="G139" s="54">
        <f>myParidad('Flujo de Fondos'!$N$5,$A139,F139,'Flujo de Fondos'!$N$7,'Flujo de Fondos'!$N$6)</f>
        <v/>
      </c>
      <c r="H139" s="56" t="n">
        <v>36.08</v>
      </c>
      <c r="I139" s="54">
        <f>myParidad('Flujo de Fondos'!$T$5,$A139,H139,'Flujo de Fondos'!$T$7,'Flujo de Fondos'!$T$6)</f>
        <v/>
      </c>
      <c r="J139" s="56" t="n">
        <v>31.65</v>
      </c>
      <c r="K139" s="54">
        <f>myParidad('Flujo de Fondos'!$B$34,$A139,J139,'Flujo de Fondos'!$B$36,'Flujo de Fondos'!$B$35)</f>
        <v/>
      </c>
      <c r="L139" s="53" t="n">
        <v>33.5</v>
      </c>
      <c r="M139" s="54">
        <f>myParidad('Flujo de Fondos'!$H$34,'Paridad usd'!$A139,'Paridad usd'!L139,'Flujo de Fondos'!$H$36,'Flujo de Fondos'!$H$35)</f>
        <v/>
      </c>
      <c r="N139" s="56" t="n">
        <v>32.26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44259</v>
      </c>
      <c r="B140" s="53" t="n">
        <v>37.8</v>
      </c>
      <c r="C140" s="54">
        <f>myParidad('Flujo de Fondos'!$B$5,A140,B140,'Flujo de Fondos'!$B$7,'Flujo de Fondos'!$B$6)</f>
        <v/>
      </c>
      <c r="D140" s="53" t="n">
        <v>40.4</v>
      </c>
      <c r="E140" s="55">
        <f>myParidad('Flujo de Fondos'!$H$5,$A140,D140,'Flujo de Fondos'!$H$7,'Flujo de Fondos'!$H$6)</f>
        <v/>
      </c>
      <c r="F140" s="53" t="n">
        <v>36.38</v>
      </c>
      <c r="G140" s="54">
        <f>myParidad('Flujo de Fondos'!$N$5,$A140,F140,'Flujo de Fondos'!$N$7,'Flujo de Fondos'!$N$6)</f>
        <v/>
      </c>
      <c r="H140" s="56" t="n">
        <v>36.98</v>
      </c>
      <c r="I140" s="54">
        <f>myParidad('Flujo de Fondos'!$T$5,$A140,H140,'Flujo de Fondos'!$T$7,'Flujo de Fondos'!$T$6)</f>
        <v/>
      </c>
      <c r="J140" s="56" t="n">
        <v>32.56</v>
      </c>
      <c r="K140" s="54">
        <f>myParidad('Flujo de Fondos'!$B$34,$A140,J140,'Flujo de Fondos'!$B$36,'Flujo de Fondos'!$B$35)</f>
        <v/>
      </c>
      <c r="L140" s="53" t="n">
        <v>33.8</v>
      </c>
      <c r="M140" s="54">
        <f>myParidad('Flujo de Fondos'!$H$34,'Paridad usd'!$A140,'Paridad usd'!L140,'Flujo de Fondos'!$H$36,'Flujo de Fondos'!$H$35)</f>
        <v/>
      </c>
      <c r="N140" s="56" t="n">
        <v>32.3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44258</v>
      </c>
      <c r="B141" s="53" t="n">
        <v>37.5</v>
      </c>
      <c r="C141" s="54">
        <f>myParidad('Flujo de Fondos'!$B$5,A141,B141,'Flujo de Fondos'!$B$7,'Flujo de Fondos'!$B$6)</f>
        <v/>
      </c>
      <c r="D141" s="53" t="n">
        <v>40.75</v>
      </c>
      <c r="E141" s="55">
        <f>myParidad('Flujo de Fondos'!$H$5,$A141,D141,'Flujo de Fondos'!$H$7,'Flujo de Fondos'!$H$6)</f>
        <v/>
      </c>
      <c r="F141" s="53" t="n">
        <v>36.22</v>
      </c>
      <c r="G141" s="54">
        <f>myParidad('Flujo de Fondos'!$N$5,$A141,F141,'Flujo de Fondos'!$N$7,'Flujo de Fondos'!$N$6)</f>
        <v/>
      </c>
      <c r="H141" s="56" t="n">
        <v>37</v>
      </c>
      <c r="I141" s="54">
        <f>myParidad('Flujo de Fondos'!$T$5,$A141,H141,'Flujo de Fondos'!$T$7,'Flujo de Fondos'!$T$6)</f>
        <v/>
      </c>
      <c r="J141" s="56" t="n">
        <v>31.85</v>
      </c>
      <c r="K141" s="54">
        <f>myParidad('Flujo de Fondos'!$B$34,$A141,J141,'Flujo de Fondos'!$B$36,'Flujo de Fondos'!$B$35)</f>
        <v/>
      </c>
      <c r="L141" s="53" t="n">
        <v>33.55</v>
      </c>
      <c r="M141" s="54">
        <f>myParidad('Flujo de Fondos'!$H$34,'Paridad usd'!$A141,'Paridad usd'!L141,'Flujo de Fondos'!$H$36,'Flujo de Fondos'!$H$35)</f>
        <v/>
      </c>
      <c r="N141" s="56" t="n">
        <v>32.04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44257</v>
      </c>
      <c r="B142" s="53" t="n">
        <v>37.69</v>
      </c>
      <c r="C142" s="54">
        <f>myParidad('Flujo de Fondos'!$B$5,A142,B142,'Flujo de Fondos'!$B$7,'Flujo de Fondos'!$B$6)</f>
        <v/>
      </c>
      <c r="D142" s="53" t="n">
        <v>41</v>
      </c>
      <c r="E142" s="55">
        <f>myParidad('Flujo de Fondos'!$H$5,$A142,D142,'Flujo de Fondos'!$H$7,'Flujo de Fondos'!$H$6)</f>
        <v/>
      </c>
      <c r="F142" s="53" t="n">
        <v>36.29</v>
      </c>
      <c r="G142" s="54">
        <f>myParidad('Flujo de Fondos'!$N$5,$A142,F142,'Flujo de Fondos'!$N$7,'Flujo de Fondos'!$N$6)</f>
        <v/>
      </c>
      <c r="H142" s="56" t="n">
        <v>36.96</v>
      </c>
      <c r="I142" s="54">
        <f>myParidad('Flujo de Fondos'!$T$5,$A142,H142,'Flujo de Fondos'!$T$7,'Flujo de Fondos'!$T$6)</f>
        <v/>
      </c>
      <c r="J142" s="56" t="n">
        <v>32.21</v>
      </c>
      <c r="K142" s="54">
        <f>myParidad('Flujo de Fondos'!$B$34,$A142,J142,'Flujo de Fondos'!$B$36,'Flujo de Fondos'!$B$35)</f>
        <v/>
      </c>
      <c r="L142" s="53" t="n">
        <v>34.45</v>
      </c>
      <c r="M142" s="54">
        <f>myParidad('Flujo de Fondos'!$H$34,'Paridad usd'!$A142,'Paridad usd'!L142,'Flujo de Fondos'!$H$36,'Flujo de Fondos'!$H$35)</f>
        <v/>
      </c>
      <c r="N142" s="56" t="n">
        <v>32.25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44256</v>
      </c>
      <c r="B143" s="53" t="n">
        <v>38.19</v>
      </c>
      <c r="C143" s="54">
        <f>myParidad('Flujo de Fondos'!$B$5,A143,B143,'Flujo de Fondos'!$B$7,'Flujo de Fondos'!$B$6)</f>
        <v/>
      </c>
      <c r="D143" s="53" t="n">
        <v>41.5</v>
      </c>
      <c r="E143" s="55">
        <f>myParidad('Flujo de Fondos'!$H$5,$A143,D143,'Flujo de Fondos'!$H$7,'Flujo de Fondos'!$H$6)</f>
        <v/>
      </c>
      <c r="F143" s="53" t="n">
        <v>36.78</v>
      </c>
      <c r="G143" s="54">
        <f>myParidad('Flujo de Fondos'!$N$5,$A143,F143,'Flujo de Fondos'!$N$7,'Flujo de Fondos'!$N$6)</f>
        <v/>
      </c>
      <c r="H143" s="56" t="n">
        <v>37.79</v>
      </c>
      <c r="I143" s="54">
        <f>myParidad('Flujo de Fondos'!$T$5,$A143,H143,'Flujo de Fondos'!$T$7,'Flujo de Fondos'!$T$6)</f>
        <v/>
      </c>
      <c r="J143" s="56" t="n">
        <v>33.01</v>
      </c>
      <c r="K143" s="54">
        <f>myParidad('Flujo de Fondos'!$B$34,$A143,J143,'Flujo de Fondos'!$B$36,'Flujo de Fondos'!$B$35)</f>
        <v/>
      </c>
      <c r="L143" s="53" t="n">
        <v>35.05</v>
      </c>
      <c r="M143" s="54">
        <f>myParidad('Flujo de Fondos'!$H$34,'Paridad usd'!$A143,'Paridad usd'!L143,'Flujo de Fondos'!$H$36,'Flujo de Fondos'!$H$35)</f>
        <v/>
      </c>
      <c r="N143" s="56" t="n">
        <v>33.2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44253</v>
      </c>
      <c r="B144" s="53" t="n">
        <v>38.05</v>
      </c>
      <c r="C144" s="54">
        <f>myParidad('Flujo de Fondos'!$B$5,A144,B144,'Flujo de Fondos'!$B$7,'Flujo de Fondos'!$B$6)</f>
        <v/>
      </c>
      <c r="D144" s="53" t="n">
        <v>41.5</v>
      </c>
      <c r="E144" s="55">
        <f>myParidad('Flujo de Fondos'!$H$5,$A144,D144,'Flujo de Fondos'!$H$7,'Flujo de Fondos'!$H$6)</f>
        <v/>
      </c>
      <c r="F144" s="53" t="n">
        <v>36.78</v>
      </c>
      <c r="G144" s="54">
        <f>myParidad('Flujo de Fondos'!$N$5,$A144,F144,'Flujo de Fondos'!$N$7,'Flujo de Fondos'!$N$6)</f>
        <v/>
      </c>
      <c r="H144" s="56" t="n">
        <v>37.63</v>
      </c>
      <c r="I144" s="54">
        <f>myParidad('Flujo de Fondos'!$T$5,$A144,H144,'Flujo de Fondos'!$T$7,'Flujo de Fondos'!$T$6)</f>
        <v/>
      </c>
      <c r="J144" s="56" t="n">
        <v>33</v>
      </c>
      <c r="K144" s="54">
        <f>myParidad('Flujo de Fondos'!$B$34,$A144,J144,'Flujo de Fondos'!$B$36,'Flujo de Fondos'!$B$35)</f>
        <v/>
      </c>
      <c r="L144" s="53" t="n">
        <v>34.85</v>
      </c>
      <c r="M144" s="54">
        <f>myParidad('Flujo de Fondos'!$H$34,'Paridad usd'!$A144,'Paridad usd'!L144,'Flujo de Fondos'!$H$36,'Flujo de Fondos'!$H$35)</f>
        <v/>
      </c>
      <c r="N144" s="56" t="n">
        <v>33.1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44252</v>
      </c>
      <c r="B145" s="53" t="n">
        <v>37.92</v>
      </c>
      <c r="C145" s="54">
        <f>myParidad('Flujo de Fondos'!$B$5,A145,B145,'Flujo de Fondos'!$B$7,'Flujo de Fondos'!$B$6)</f>
        <v/>
      </c>
      <c r="D145" s="53" t="n">
        <v>42</v>
      </c>
      <c r="E145" s="55">
        <f>myParidad('Flujo de Fondos'!$H$5,$A145,D145,'Flujo de Fondos'!$H$7,'Flujo de Fondos'!$H$6)</f>
        <v/>
      </c>
      <c r="F145" s="53" t="n">
        <v>36.47</v>
      </c>
      <c r="G145" s="54">
        <f>myParidad('Flujo de Fondos'!$N$5,$A145,F145,'Flujo de Fondos'!$N$7,'Flujo de Fondos'!$N$6)</f>
        <v/>
      </c>
      <c r="H145" s="56" t="n">
        <v>38.01</v>
      </c>
      <c r="I145" s="54">
        <f>myParidad('Flujo de Fondos'!$T$5,$A145,H145,'Flujo de Fondos'!$T$7,'Flujo de Fondos'!$T$6)</f>
        <v/>
      </c>
      <c r="J145" s="56" t="n">
        <v>32.9</v>
      </c>
      <c r="K145" s="54">
        <f>myParidad('Flujo de Fondos'!$B$34,$A145,J145,'Flujo de Fondos'!$B$36,'Flujo de Fondos'!$B$35)</f>
        <v/>
      </c>
      <c r="L145" s="53" t="n">
        <v>34.6</v>
      </c>
      <c r="M145" s="54">
        <f>myParidad('Flujo de Fondos'!$H$34,'Paridad usd'!$A145,'Paridad usd'!L145,'Flujo de Fondos'!$H$36,'Flujo de Fondos'!$H$35)</f>
        <v/>
      </c>
      <c r="N145" s="56" t="n">
        <v>33.2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44251</v>
      </c>
      <c r="B146" s="53" t="n">
        <v>37.9</v>
      </c>
      <c r="C146" s="54">
        <f>myParidad('Flujo de Fondos'!$B$5,A146,B146,'Flujo de Fondos'!$B$7,'Flujo de Fondos'!$B$6)</f>
        <v/>
      </c>
      <c r="D146" s="53" t="n">
        <v>41.5</v>
      </c>
      <c r="E146" s="55">
        <f>myParidad('Flujo de Fondos'!$H$5,$A146,D146,'Flujo de Fondos'!$H$7,'Flujo de Fondos'!$H$6)</f>
        <v/>
      </c>
      <c r="F146" s="53" t="n">
        <v>36.08</v>
      </c>
      <c r="G146" s="54">
        <f>myParidad('Flujo de Fondos'!$N$5,$A146,F146,'Flujo de Fondos'!$N$7,'Flujo de Fondos'!$N$6)</f>
        <v/>
      </c>
      <c r="H146" s="56" t="n">
        <v>38.11</v>
      </c>
      <c r="I146" s="54">
        <f>myParidad('Flujo de Fondos'!$T$5,$A146,H146,'Flujo de Fondos'!$T$7,'Flujo de Fondos'!$T$6)</f>
        <v/>
      </c>
      <c r="J146" s="56" t="n">
        <v>32.5</v>
      </c>
      <c r="K146" s="54">
        <f>myParidad('Flujo de Fondos'!$B$34,$A146,J146,'Flujo de Fondos'!$B$36,'Flujo de Fondos'!$B$35)</f>
        <v/>
      </c>
      <c r="L146" s="53" t="n">
        <v>34.3</v>
      </c>
      <c r="M146" s="54">
        <f>myParidad('Flujo de Fondos'!$H$34,'Paridad usd'!$A146,'Paridad usd'!L146,'Flujo de Fondos'!$H$36,'Flujo de Fondos'!$H$35)</f>
        <v/>
      </c>
      <c r="N146" s="56" t="n">
        <v>33.1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44250</v>
      </c>
      <c r="B147" s="53" t="n">
        <v>37.69</v>
      </c>
      <c r="C147" s="54">
        <f>myParidad('Flujo de Fondos'!$B$5,A147,B147,'Flujo de Fondos'!$B$7,'Flujo de Fondos'!$B$6)</f>
        <v/>
      </c>
      <c r="D147" s="53" t="n">
        <v>41.8</v>
      </c>
      <c r="E147" s="55">
        <f>myParidad('Flujo de Fondos'!$H$5,$A147,D147,'Flujo de Fondos'!$H$7,'Flujo de Fondos'!$H$6)</f>
        <v/>
      </c>
      <c r="F147" s="53" t="n">
        <v>35.75</v>
      </c>
      <c r="G147" s="54">
        <f>myParidad('Flujo de Fondos'!$N$5,$A147,F147,'Flujo de Fondos'!$N$7,'Flujo de Fondos'!$N$6)</f>
        <v/>
      </c>
      <c r="H147" s="56" t="n">
        <v>37.79</v>
      </c>
      <c r="I147" s="54">
        <f>myParidad('Flujo de Fondos'!$T$5,$A147,H147,'Flujo de Fondos'!$T$7,'Flujo de Fondos'!$T$6)</f>
        <v/>
      </c>
      <c r="J147" s="56" t="n">
        <v>32.11</v>
      </c>
      <c r="K147" s="54">
        <f>myParidad('Flujo de Fondos'!$B$34,$A147,J147,'Flujo de Fondos'!$B$36,'Flujo de Fondos'!$B$35)</f>
        <v/>
      </c>
      <c r="L147" s="53" t="n">
        <v>34.1</v>
      </c>
      <c r="M147" s="54">
        <f>myParidad('Flujo de Fondos'!$H$34,'Paridad usd'!$A147,'Paridad usd'!L147,'Flujo de Fondos'!$H$36,'Flujo de Fondos'!$H$35)</f>
        <v/>
      </c>
      <c r="N147" s="56" t="n">
        <v>32.74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44249</v>
      </c>
      <c r="B148" s="53" t="n">
        <v>38.25</v>
      </c>
      <c r="C148" s="54">
        <f>myParidad('Flujo de Fondos'!$B$5,A148,B148,'Flujo de Fondos'!$B$7,'Flujo de Fondos'!$B$6)</f>
        <v/>
      </c>
      <c r="D148" s="53" t="n">
        <v>42.4</v>
      </c>
      <c r="E148" s="55">
        <f>myParidad('Flujo de Fondos'!$H$5,$A148,D148,'Flujo de Fondos'!$H$7,'Flujo de Fondos'!$H$6)</f>
        <v/>
      </c>
      <c r="F148" s="53" t="n">
        <v>36.35</v>
      </c>
      <c r="G148" s="54">
        <f>myParidad('Flujo de Fondos'!$N$5,$A148,F148,'Flujo de Fondos'!$N$7,'Flujo de Fondos'!$N$6)</f>
        <v/>
      </c>
      <c r="H148" s="56" t="n">
        <v>38.42</v>
      </c>
      <c r="I148" s="54">
        <f>myParidad('Flujo de Fondos'!$T$5,$A148,H148,'Flujo de Fondos'!$T$7,'Flujo de Fondos'!$T$6)</f>
        <v/>
      </c>
      <c r="J148" s="56" t="n">
        <v>32.25</v>
      </c>
      <c r="K148" s="54">
        <f>myParidad('Flujo de Fondos'!$B$34,$A148,J148,'Flujo de Fondos'!$B$36,'Flujo de Fondos'!$B$35)</f>
        <v/>
      </c>
      <c r="L148" s="53" t="n">
        <v>34.4</v>
      </c>
      <c r="M148" s="54">
        <f>myParidad('Flujo de Fondos'!$H$34,'Paridad usd'!$A148,'Paridad usd'!L148,'Flujo de Fondos'!$H$36,'Flujo de Fondos'!$H$35)</f>
        <v/>
      </c>
      <c r="N148" s="56" t="n">
        <v>32.74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44246</v>
      </c>
      <c r="B149" s="53" t="n">
        <v>38.55</v>
      </c>
      <c r="C149" s="54">
        <f>myParidad('Flujo de Fondos'!$B$5,A149,B149,'Flujo de Fondos'!$B$7,'Flujo de Fondos'!$B$6)</f>
        <v/>
      </c>
      <c r="D149" s="53" t="n">
        <v>42.21</v>
      </c>
      <c r="E149" s="55">
        <f>myParidad('Flujo de Fondos'!$H$5,$A149,D149,'Flujo de Fondos'!$H$7,'Flujo de Fondos'!$H$6)</f>
        <v/>
      </c>
      <c r="F149" s="53" t="n">
        <v>36.19</v>
      </c>
      <c r="G149" s="54">
        <f>myParidad('Flujo de Fondos'!$N$5,$A149,F149,'Flujo de Fondos'!$N$7,'Flujo de Fondos'!$N$6)</f>
        <v/>
      </c>
      <c r="H149" s="56" t="n">
        <v>38.6</v>
      </c>
      <c r="I149" s="54">
        <f>myParidad('Flujo de Fondos'!$T$5,$A149,H149,'Flujo de Fondos'!$T$7,'Flujo de Fondos'!$T$6)</f>
        <v/>
      </c>
      <c r="J149" s="56" t="n">
        <v>32.5</v>
      </c>
      <c r="K149" s="54">
        <f>myParidad('Flujo de Fondos'!$B$34,$A149,J149,'Flujo de Fondos'!$B$36,'Flujo de Fondos'!$B$35)</f>
        <v/>
      </c>
      <c r="L149" s="53" t="n">
        <v>34.8</v>
      </c>
      <c r="M149" s="54">
        <f>myParidad('Flujo de Fondos'!$H$34,'Paridad usd'!$A149,'Paridad usd'!L149,'Flujo de Fondos'!$H$36,'Flujo de Fondos'!$H$35)</f>
        <v/>
      </c>
      <c r="N149" s="56" t="n">
        <v>33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44245</v>
      </c>
      <c r="B150" s="53" t="n">
        <v>38.95</v>
      </c>
      <c r="C150" s="54">
        <f>myParidad('Flujo de Fondos'!$B$5,A150,B150,'Flujo de Fondos'!$B$7,'Flujo de Fondos'!$B$6)</f>
        <v/>
      </c>
      <c r="D150" s="53" t="n">
        <v>42.2</v>
      </c>
      <c r="E150" s="55">
        <f>myParidad('Flujo de Fondos'!$H$5,$A150,D150,'Flujo de Fondos'!$H$7,'Flujo de Fondos'!$H$6)</f>
        <v/>
      </c>
      <c r="F150" s="53" t="n">
        <v>36.75</v>
      </c>
      <c r="G150" s="54">
        <f>myParidad('Flujo de Fondos'!$N$5,$A150,F150,'Flujo de Fondos'!$N$7,'Flujo de Fondos'!$N$6)</f>
        <v/>
      </c>
      <c r="H150" s="56" t="n">
        <v>39.05</v>
      </c>
      <c r="I150" s="54">
        <f>myParidad('Flujo de Fondos'!$T$5,$A150,H150,'Flujo de Fondos'!$T$7,'Flujo de Fondos'!$T$6)</f>
        <v/>
      </c>
      <c r="J150" s="56" t="n">
        <v>33.01</v>
      </c>
      <c r="K150" s="54">
        <f>myParidad('Flujo de Fondos'!$B$34,$A150,J150,'Flujo de Fondos'!$B$36,'Flujo de Fondos'!$B$35)</f>
        <v/>
      </c>
      <c r="L150" s="53" t="n">
        <v>34.78</v>
      </c>
      <c r="M150" s="54">
        <f>myParidad('Flujo de Fondos'!$H$34,'Paridad usd'!$A150,'Paridad usd'!L150,'Flujo de Fondos'!$H$36,'Flujo de Fondos'!$H$35)</f>
        <v/>
      </c>
      <c r="N150" s="56" t="n">
        <v>32.86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44244</v>
      </c>
      <c r="B151" s="53" t="n">
        <v>38.69</v>
      </c>
      <c r="C151" s="54">
        <f>myParidad('Flujo de Fondos'!$B$5,A151,B151,'Flujo de Fondos'!$B$7,'Flujo de Fondos'!$B$6)</f>
        <v/>
      </c>
      <c r="D151" s="53" t="n">
        <v>42.4</v>
      </c>
      <c r="E151" s="55">
        <f>myParidad('Flujo de Fondos'!$H$5,$A151,D151,'Flujo de Fondos'!$H$7,'Flujo de Fondos'!$H$6)</f>
        <v/>
      </c>
      <c r="F151" s="53" t="n">
        <v>36.14</v>
      </c>
      <c r="G151" s="54">
        <f>myParidad('Flujo de Fondos'!$N$5,$A151,F151,'Flujo de Fondos'!$N$7,'Flujo de Fondos'!$N$6)</f>
        <v/>
      </c>
      <c r="H151" s="56" t="n">
        <v>39.23</v>
      </c>
      <c r="I151" s="54">
        <f>myParidad('Flujo de Fondos'!$T$5,$A151,H151,'Flujo de Fondos'!$T$7,'Flujo de Fondos'!$T$6)</f>
        <v/>
      </c>
      <c r="J151" s="56" t="n">
        <v>32.9</v>
      </c>
      <c r="K151" s="54">
        <f>myParidad('Flujo de Fondos'!$B$34,$A151,J151,'Flujo de Fondos'!$B$36,'Flujo de Fondos'!$B$35)</f>
        <v/>
      </c>
      <c r="L151" s="53" t="n">
        <v>34.69</v>
      </c>
      <c r="M151" s="54">
        <f>myParidad('Flujo de Fondos'!$H$34,'Paridad usd'!$A151,'Paridad usd'!L151,'Flujo de Fondos'!$H$36,'Flujo de Fondos'!$H$35)</f>
        <v/>
      </c>
      <c r="N151" s="56" t="n">
        <v>32.85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44239</v>
      </c>
      <c r="B152" s="53" t="n">
        <v>39</v>
      </c>
      <c r="C152" s="54">
        <f>myParidad('Flujo de Fondos'!$B$5,A152,B152,'Flujo de Fondos'!$B$7,'Flujo de Fondos'!$B$6)</f>
        <v/>
      </c>
      <c r="D152" s="53" t="n">
        <v>43.2</v>
      </c>
      <c r="E152" s="55">
        <f>myParidad('Flujo de Fondos'!$H$5,$A152,D152,'Flujo de Fondos'!$H$7,'Flujo de Fondos'!$H$6)</f>
        <v/>
      </c>
      <c r="F152" s="53" t="n">
        <v>36.45</v>
      </c>
      <c r="G152" s="54">
        <f>myParidad('Flujo de Fondos'!$N$5,$A152,F152,'Flujo de Fondos'!$N$7,'Flujo de Fondos'!$N$6)</f>
        <v/>
      </c>
      <c r="H152" s="56" t="n">
        <v>39.8</v>
      </c>
      <c r="I152" s="54">
        <f>myParidad('Flujo de Fondos'!$T$5,$A152,H152,'Flujo de Fondos'!$T$7,'Flujo de Fondos'!$T$6)</f>
        <v/>
      </c>
      <c r="J152" s="56" t="n">
        <v>33.55</v>
      </c>
      <c r="K152" s="54">
        <f>myParidad('Flujo de Fondos'!$B$34,$A152,J152,'Flujo de Fondos'!$B$36,'Flujo de Fondos'!$B$35)</f>
        <v/>
      </c>
      <c r="L152" s="53" t="n">
        <v>35.3</v>
      </c>
      <c r="M152" s="54">
        <f>myParidad('Flujo de Fondos'!$H$34,'Paridad usd'!$A152,'Paridad usd'!L152,'Flujo de Fondos'!$H$36,'Flujo de Fondos'!$H$35)</f>
        <v/>
      </c>
      <c r="N152" s="56" t="n">
        <v>33.4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44238</v>
      </c>
      <c r="B153" s="53" t="n">
        <v>39.1</v>
      </c>
      <c r="C153" s="54">
        <f>myParidad('Flujo de Fondos'!$B$5,A153,B153,'Flujo de Fondos'!$B$7,'Flujo de Fondos'!$B$6)</f>
        <v/>
      </c>
      <c r="D153" s="53" t="n">
        <v>42.55</v>
      </c>
      <c r="E153" s="55">
        <f>myParidad('Flujo de Fondos'!$H$5,$A153,D153,'Flujo de Fondos'!$H$7,'Flujo de Fondos'!$H$6)</f>
        <v/>
      </c>
      <c r="F153" s="53" t="n">
        <v>37.01</v>
      </c>
      <c r="G153" s="54">
        <f>myParidad('Flujo de Fondos'!$N$5,$A153,F153,'Flujo de Fondos'!$N$7,'Flujo de Fondos'!$N$6)</f>
        <v/>
      </c>
      <c r="H153" s="56" t="n">
        <v>39.58</v>
      </c>
      <c r="I153" s="54">
        <f>myParidad('Flujo de Fondos'!$T$5,$A153,H153,'Flujo de Fondos'!$T$7,'Flujo de Fondos'!$T$6)</f>
        <v/>
      </c>
      <c r="J153" s="56" t="n">
        <v>33.8</v>
      </c>
      <c r="K153" s="54">
        <f>myParidad('Flujo de Fondos'!$B$34,$A153,J153,'Flujo de Fondos'!$B$36,'Flujo de Fondos'!$B$35)</f>
        <v/>
      </c>
      <c r="L153" s="53" t="n">
        <v>35.5</v>
      </c>
      <c r="M153" s="54">
        <f>myParidad('Flujo de Fondos'!$H$34,'Paridad usd'!$A153,'Paridad usd'!L153,'Flujo de Fondos'!$H$36,'Flujo de Fondos'!$H$35)</f>
        <v/>
      </c>
      <c r="N153" s="56" t="n">
        <v>33.51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44237</v>
      </c>
      <c r="B154" s="53" t="n">
        <v>39.41</v>
      </c>
      <c r="C154" s="54">
        <f>myParidad('Flujo de Fondos'!$B$5,A154,B154,'Flujo de Fondos'!$B$7,'Flujo de Fondos'!$B$6)</f>
        <v/>
      </c>
      <c r="D154" s="53" t="n">
        <v>42.8</v>
      </c>
      <c r="E154" s="55">
        <f>myParidad('Flujo de Fondos'!$H$5,$A154,D154,'Flujo de Fondos'!$H$7,'Flujo de Fondos'!$H$6)</f>
        <v/>
      </c>
      <c r="F154" s="53" t="n">
        <v>37.45</v>
      </c>
      <c r="G154" s="54">
        <f>myParidad('Flujo de Fondos'!$N$5,$A154,F154,'Flujo de Fondos'!$N$7,'Flujo de Fondos'!$N$6)</f>
        <v/>
      </c>
      <c r="H154" s="56" t="n">
        <v>39.66</v>
      </c>
      <c r="I154" s="54">
        <f>myParidad('Flujo de Fondos'!$T$5,$A154,H154,'Flujo de Fondos'!$T$7,'Flujo de Fondos'!$T$6)</f>
        <v/>
      </c>
      <c r="J154" s="56" t="n">
        <v>33.89</v>
      </c>
      <c r="K154" s="54">
        <f>myParidad('Flujo de Fondos'!$B$34,$A154,J154,'Flujo de Fondos'!$B$36,'Flujo de Fondos'!$B$35)</f>
        <v/>
      </c>
      <c r="L154" s="53" t="n">
        <v>35.5</v>
      </c>
      <c r="M154" s="54">
        <f>myParidad('Flujo de Fondos'!$H$34,'Paridad usd'!$A154,'Paridad usd'!L154,'Flujo de Fondos'!$H$36,'Flujo de Fondos'!$H$35)</f>
        <v/>
      </c>
      <c r="N154" s="56" t="n">
        <v>33.43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44236</v>
      </c>
      <c r="B155" s="53" t="n">
        <v>39.47</v>
      </c>
      <c r="C155" s="54">
        <f>myParidad('Flujo de Fondos'!$B$5,A155,B155,'Flujo de Fondos'!$B$7,'Flujo de Fondos'!$B$6)</f>
        <v/>
      </c>
      <c r="D155" s="53" t="n">
        <v>42.8</v>
      </c>
      <c r="E155" s="55">
        <f>myParidad('Flujo de Fondos'!$H$5,$A155,D155,'Flujo de Fondos'!$H$7,'Flujo de Fondos'!$H$6)</f>
        <v/>
      </c>
      <c r="F155" s="53" t="n">
        <v>37.52</v>
      </c>
      <c r="G155" s="54">
        <f>myParidad('Flujo de Fondos'!$N$5,$A155,F155,'Flujo de Fondos'!$N$7,'Flujo de Fondos'!$N$6)</f>
        <v/>
      </c>
      <c r="H155" s="56" t="n">
        <v>39.89</v>
      </c>
      <c r="I155" s="54">
        <f>myParidad('Flujo de Fondos'!$T$5,$A155,H155,'Flujo de Fondos'!$T$7,'Flujo de Fondos'!$T$6)</f>
        <v/>
      </c>
      <c r="J155" s="56" t="n">
        <v>33.81</v>
      </c>
      <c r="K155" s="54">
        <f>myParidad('Flujo de Fondos'!$B$34,$A155,J155,'Flujo de Fondos'!$B$36,'Flujo de Fondos'!$B$35)</f>
        <v/>
      </c>
      <c r="L155" s="53" t="n">
        <v>35.8</v>
      </c>
      <c r="M155" s="54">
        <f>myParidad('Flujo de Fondos'!$H$34,'Paridad usd'!$A155,'Paridad usd'!L155,'Flujo de Fondos'!$H$36,'Flujo de Fondos'!$H$35)</f>
        <v/>
      </c>
      <c r="N155" s="56" t="n">
        <v>33.68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44235</v>
      </c>
      <c r="B156" s="53" t="n">
        <v>39.55</v>
      </c>
      <c r="C156" s="54">
        <f>myParidad('Flujo de Fondos'!$B$5,A156,B156,'Flujo de Fondos'!$B$7,'Flujo de Fondos'!$B$6)</f>
        <v/>
      </c>
      <c r="D156" s="53" t="n">
        <v>43.12</v>
      </c>
      <c r="E156" s="55">
        <f>myParidad('Flujo de Fondos'!$H$5,$A156,D156,'Flujo de Fondos'!$H$7,'Flujo de Fondos'!$H$6)</f>
        <v/>
      </c>
      <c r="F156" s="53" t="n">
        <v>37.65</v>
      </c>
      <c r="G156" s="54">
        <f>myParidad('Flujo de Fondos'!$N$5,$A156,F156,'Flujo de Fondos'!$N$7,'Flujo de Fondos'!$N$6)</f>
        <v/>
      </c>
      <c r="H156" s="56" t="n">
        <v>39.98</v>
      </c>
      <c r="I156" s="54">
        <f>myParidad('Flujo de Fondos'!$T$5,$A156,H156,'Flujo de Fondos'!$T$7,'Flujo de Fondos'!$T$6)</f>
        <v/>
      </c>
      <c r="J156" s="56" t="n">
        <v>34.11</v>
      </c>
      <c r="K156" s="54">
        <f>myParidad('Flujo de Fondos'!$B$34,$A156,J156,'Flujo de Fondos'!$B$36,'Flujo de Fondos'!$B$35)</f>
        <v/>
      </c>
      <c r="L156" s="53" t="n">
        <v>36</v>
      </c>
      <c r="M156" s="54">
        <f>myParidad('Flujo de Fondos'!$H$34,'Paridad usd'!$A156,'Paridad usd'!L156,'Flujo de Fondos'!$H$36,'Flujo de Fondos'!$H$35)</f>
        <v/>
      </c>
      <c r="N156" s="56" t="n">
        <v>33.7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44232</v>
      </c>
      <c r="B157" s="53" t="n">
        <v>39.48</v>
      </c>
      <c r="C157" s="54">
        <f>myParidad('Flujo de Fondos'!$B$5,A157,B157,'Flujo de Fondos'!$B$7,'Flujo de Fondos'!$B$6)</f>
        <v/>
      </c>
      <c r="D157" s="53" t="n">
        <v>43.52</v>
      </c>
      <c r="E157" s="55">
        <f>myParidad('Flujo de Fondos'!$H$5,$A157,D157,'Flujo de Fondos'!$H$7,'Flujo de Fondos'!$H$6)</f>
        <v/>
      </c>
      <c r="F157" s="53" t="n">
        <v>37.62</v>
      </c>
      <c r="G157" s="54">
        <f>myParidad('Flujo de Fondos'!$N$5,$A157,F157,'Flujo de Fondos'!$N$7,'Flujo de Fondos'!$N$6)</f>
        <v/>
      </c>
      <c r="H157" s="56" t="n">
        <v>39.98</v>
      </c>
      <c r="I157" s="54">
        <f>myParidad('Flujo de Fondos'!$T$5,$A157,H157,'Flujo de Fondos'!$T$7,'Flujo de Fondos'!$T$6)</f>
        <v/>
      </c>
      <c r="J157" s="56" t="n">
        <v>34.11</v>
      </c>
      <c r="K157" s="54">
        <f>myParidad('Flujo de Fondos'!$B$34,$A157,J157,'Flujo de Fondos'!$B$36,'Flujo de Fondos'!$B$35)</f>
        <v/>
      </c>
      <c r="L157" s="53" t="n">
        <v>36</v>
      </c>
      <c r="M157" s="54">
        <f>myParidad('Flujo de Fondos'!$H$34,'Paridad usd'!$A157,'Paridad usd'!L157,'Flujo de Fondos'!$H$36,'Flujo de Fondos'!$H$35)</f>
        <v/>
      </c>
      <c r="N157" s="56" t="n">
        <v>33.75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44231</v>
      </c>
      <c r="B158" s="53" t="n">
        <v>39.48</v>
      </c>
      <c r="C158" s="54">
        <f>myParidad('Flujo de Fondos'!$B$5,A158,B158,'Flujo de Fondos'!$B$7,'Flujo de Fondos'!$B$6)</f>
        <v/>
      </c>
      <c r="D158" s="53" t="n">
        <v>42.75</v>
      </c>
      <c r="E158" s="55">
        <f>myParidad('Flujo de Fondos'!$H$5,$A158,D158,'Flujo de Fondos'!$H$7,'Flujo de Fondos'!$H$6)</f>
        <v/>
      </c>
      <c r="F158" s="53" t="n">
        <v>37.64</v>
      </c>
      <c r="G158" s="54">
        <f>myParidad('Flujo de Fondos'!$N$5,$A158,F158,'Flujo de Fondos'!$N$7,'Flujo de Fondos'!$N$6)</f>
        <v/>
      </c>
      <c r="H158" s="56" t="n">
        <v>39.72</v>
      </c>
      <c r="I158" s="54">
        <f>myParidad('Flujo de Fondos'!$T$5,$A158,H158,'Flujo de Fondos'!$T$7,'Flujo de Fondos'!$T$6)</f>
        <v/>
      </c>
      <c r="J158" s="56" t="n">
        <v>34.1</v>
      </c>
      <c r="K158" s="54">
        <f>myParidad('Flujo de Fondos'!$B$34,$A158,J158,'Flujo de Fondos'!$B$36,'Flujo de Fondos'!$B$35)</f>
        <v/>
      </c>
      <c r="L158" s="53" t="n">
        <v>36.28</v>
      </c>
      <c r="M158" s="54">
        <f>myParidad('Flujo de Fondos'!$H$34,'Paridad usd'!$A158,'Paridad usd'!L158,'Flujo de Fondos'!$H$36,'Flujo de Fondos'!$H$35)</f>
        <v/>
      </c>
      <c r="N158" s="56" t="n">
        <v>33.69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44230</v>
      </c>
      <c r="B159" s="53" t="n">
        <v>39.6</v>
      </c>
      <c r="C159" s="54">
        <f>myParidad('Flujo de Fondos'!$B$5,A159,B159,'Flujo de Fondos'!$B$7,'Flujo de Fondos'!$B$6)</f>
        <v/>
      </c>
      <c r="D159" s="53" t="n">
        <v>42.25</v>
      </c>
      <c r="E159" s="55">
        <f>myParidad('Flujo de Fondos'!$H$5,$A159,D159,'Flujo de Fondos'!$H$7,'Flujo de Fondos'!$H$6)</f>
        <v/>
      </c>
      <c r="F159" s="53" t="n">
        <v>37.78</v>
      </c>
      <c r="G159" s="54">
        <f>myParidad('Flujo de Fondos'!$N$5,$A159,F159,'Flujo de Fondos'!$N$7,'Flujo de Fondos'!$N$6)</f>
        <v/>
      </c>
      <c r="H159" s="56" t="n">
        <v>39.61</v>
      </c>
      <c r="I159" s="54">
        <f>myParidad('Flujo de Fondos'!$T$5,$A159,H159,'Flujo de Fondos'!$T$7,'Flujo de Fondos'!$T$6)</f>
        <v/>
      </c>
      <c r="J159" s="56" t="n">
        <v>33.9</v>
      </c>
      <c r="K159" s="54">
        <f>myParidad('Flujo de Fondos'!$B$34,$A159,J159,'Flujo de Fondos'!$B$36,'Flujo de Fondos'!$B$35)</f>
        <v/>
      </c>
      <c r="L159" s="53" t="n">
        <v>36.55</v>
      </c>
      <c r="M159" s="54">
        <f>myParidad('Flujo de Fondos'!$H$34,'Paridad usd'!$A159,'Paridad usd'!L159,'Flujo de Fondos'!$H$36,'Flujo de Fondos'!$H$35)</f>
        <v/>
      </c>
      <c r="N159" s="56" t="n">
        <v>33.35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44229</v>
      </c>
      <c r="B160" s="53" t="n">
        <v>39.85</v>
      </c>
      <c r="C160" s="54">
        <f>myParidad('Flujo de Fondos'!$B$5,A160,B160,'Flujo de Fondos'!$B$7,'Flujo de Fondos'!$B$6)</f>
        <v/>
      </c>
      <c r="D160" s="53" t="n">
        <v>42.75</v>
      </c>
      <c r="E160" s="55">
        <f>myParidad('Flujo de Fondos'!$H$5,$A160,D160,'Flujo de Fondos'!$H$7,'Flujo de Fondos'!$H$6)</f>
        <v/>
      </c>
      <c r="F160" s="53" t="n">
        <v>37.97</v>
      </c>
      <c r="G160" s="54">
        <f>myParidad('Flujo de Fondos'!$N$5,$A160,F160,'Flujo de Fondos'!$N$7,'Flujo de Fondos'!$N$6)</f>
        <v/>
      </c>
      <c r="H160" s="56" t="n">
        <v>39.94</v>
      </c>
      <c r="I160" s="54">
        <f>myParidad('Flujo de Fondos'!$T$5,$A160,H160,'Flujo de Fondos'!$T$7,'Flujo de Fondos'!$T$6)</f>
        <v/>
      </c>
      <c r="J160" s="56" t="n">
        <v>33.8</v>
      </c>
      <c r="K160" s="54">
        <f>myParidad('Flujo de Fondos'!$B$34,$A160,J160,'Flujo de Fondos'!$B$36,'Flujo de Fondos'!$B$35)</f>
        <v/>
      </c>
      <c r="L160" s="53" t="n">
        <v>36.65</v>
      </c>
      <c r="M160" s="54">
        <f>myParidad('Flujo de Fondos'!$H$34,'Paridad usd'!$A160,'Paridad usd'!L160,'Flujo de Fondos'!$H$36,'Flujo de Fondos'!$H$35)</f>
        <v/>
      </c>
      <c r="N160" s="56" t="n">
        <v>33.55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44228</v>
      </c>
      <c r="B161" s="53" t="n">
        <v>39.78</v>
      </c>
      <c r="C161" s="54">
        <f>myParidad('Flujo de Fondos'!$B$5,A161,B161,'Flujo de Fondos'!$B$7,'Flujo de Fondos'!$B$6)</f>
        <v/>
      </c>
      <c r="D161" s="53" t="n">
        <v>43</v>
      </c>
      <c r="E161" s="55">
        <f>myParidad('Flujo de Fondos'!$H$5,$A161,D161,'Flujo de Fondos'!$H$7,'Flujo de Fondos'!$H$6)</f>
        <v/>
      </c>
      <c r="F161" s="53" t="n">
        <v>38.09</v>
      </c>
      <c r="G161" s="54">
        <f>myParidad('Flujo de Fondos'!$N$5,$A161,F161,'Flujo de Fondos'!$N$7,'Flujo de Fondos'!$N$6)</f>
        <v/>
      </c>
      <c r="H161" s="56" t="n">
        <v>40.4</v>
      </c>
      <c r="I161" s="54">
        <f>myParidad('Flujo de Fondos'!$T$5,$A161,H161,'Flujo de Fondos'!$T$7,'Flujo de Fondos'!$T$6)</f>
        <v/>
      </c>
      <c r="J161" s="56" t="n">
        <v>33.8</v>
      </c>
      <c r="K161" s="54">
        <f>myParidad('Flujo de Fondos'!$B$34,$A161,J161,'Flujo de Fondos'!$B$36,'Flujo de Fondos'!$B$35)</f>
        <v/>
      </c>
      <c r="L161" s="53" t="n">
        <v>36.75</v>
      </c>
      <c r="M161" s="54">
        <f>myParidad('Flujo de Fondos'!$H$34,'Paridad usd'!$A161,'Paridad usd'!L161,'Flujo de Fondos'!$H$36,'Flujo de Fondos'!$H$35)</f>
        <v/>
      </c>
      <c r="N161" s="56" t="n">
        <v>33.6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44225</v>
      </c>
      <c r="B162" s="53" t="n">
        <v>39.55</v>
      </c>
      <c r="C162" s="54">
        <f>myParidad('Flujo de Fondos'!$B$5,A162,B162,'Flujo de Fondos'!$B$7,'Flujo de Fondos'!$B$6)</f>
        <v/>
      </c>
      <c r="D162" s="53" t="n">
        <v>43</v>
      </c>
      <c r="E162" s="55">
        <f>myParidad('Flujo de Fondos'!$H$5,$A162,D162,'Flujo de Fondos'!$H$7,'Flujo de Fondos'!$H$6)</f>
        <v/>
      </c>
      <c r="F162" s="53" t="n">
        <v>38.14</v>
      </c>
      <c r="G162" s="54">
        <f>myParidad('Flujo de Fondos'!$N$5,$A162,F162,'Flujo de Fondos'!$N$7,'Flujo de Fondos'!$N$6)</f>
        <v/>
      </c>
      <c r="H162" s="56" t="n">
        <v>40.04</v>
      </c>
      <c r="I162" s="54">
        <f>myParidad('Flujo de Fondos'!$T$5,$A162,H162,'Flujo de Fondos'!$T$7,'Flujo de Fondos'!$T$6)</f>
        <v/>
      </c>
      <c r="J162" s="56" t="n">
        <v>33.63</v>
      </c>
      <c r="K162" s="54">
        <f>myParidad('Flujo de Fondos'!$B$34,$A162,J162,'Flujo de Fondos'!$B$36,'Flujo de Fondos'!$B$35)</f>
        <v/>
      </c>
      <c r="L162" s="53" t="n">
        <v>36.7</v>
      </c>
      <c r="M162" s="54">
        <f>myParidad('Flujo de Fondos'!$H$34,'Paridad usd'!$A162,'Paridad usd'!L162,'Flujo de Fondos'!$H$36,'Flujo de Fondos'!$H$35)</f>
        <v/>
      </c>
      <c r="N162" s="56" t="n">
        <v>33.49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44224</v>
      </c>
      <c r="B163" s="53" t="n">
        <v>39.45</v>
      </c>
      <c r="C163" s="54">
        <f>myParidad('Flujo de Fondos'!$B$5,A163,B163,'Flujo de Fondos'!$B$7,'Flujo de Fondos'!$B$6)</f>
        <v/>
      </c>
      <c r="D163" s="53" t="n">
        <v>43</v>
      </c>
      <c r="E163" s="55">
        <f>myParidad('Flujo de Fondos'!$H$5,$A163,D163,'Flujo de Fondos'!$H$7,'Flujo de Fondos'!$H$6)</f>
        <v/>
      </c>
      <c r="F163" s="53" t="n">
        <v>38.27</v>
      </c>
      <c r="G163" s="54">
        <f>myParidad('Flujo de Fondos'!$N$5,$A163,F163,'Flujo de Fondos'!$N$7,'Flujo de Fondos'!$N$6)</f>
        <v/>
      </c>
      <c r="H163" s="56" t="n">
        <v>40.04</v>
      </c>
      <c r="I163" s="54">
        <f>myParidad('Flujo de Fondos'!$T$5,$A163,H163,'Flujo de Fondos'!$T$7,'Flujo de Fondos'!$T$6)</f>
        <v/>
      </c>
      <c r="J163" s="56" t="n">
        <v>33.9</v>
      </c>
      <c r="K163" s="54">
        <f>myParidad('Flujo de Fondos'!$B$34,$A163,J163,'Flujo de Fondos'!$B$36,'Flujo de Fondos'!$B$35)</f>
        <v/>
      </c>
      <c r="L163" s="53" t="n">
        <v>36.75</v>
      </c>
      <c r="M163" s="54">
        <f>myParidad('Flujo de Fondos'!$H$34,'Paridad usd'!$A163,'Paridad usd'!L163,'Flujo de Fondos'!$H$36,'Flujo de Fondos'!$H$35)</f>
        <v/>
      </c>
      <c r="N163" s="56" t="n">
        <v>33.7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44223</v>
      </c>
      <c r="B164" s="53" t="n">
        <v>39.84</v>
      </c>
      <c r="C164" s="54">
        <f>myParidad('Flujo de Fondos'!$B$5,A164,B164,'Flujo de Fondos'!$B$7,'Flujo de Fondos'!$B$6)</f>
        <v/>
      </c>
      <c r="D164" s="53" t="n">
        <v>43</v>
      </c>
      <c r="E164" s="55">
        <f>myParidad('Flujo de Fondos'!$H$5,$A164,D164,'Flujo de Fondos'!$H$7,'Flujo de Fondos'!$H$6)</f>
        <v/>
      </c>
      <c r="F164" s="53" t="n">
        <v>38.43</v>
      </c>
      <c r="G164" s="54">
        <f>myParidad('Flujo de Fondos'!$N$5,$A164,F164,'Flujo de Fondos'!$N$7,'Flujo de Fondos'!$N$6)</f>
        <v/>
      </c>
      <c r="H164" s="56" t="n">
        <v>40.3</v>
      </c>
      <c r="I164" s="54">
        <f>myParidad('Flujo de Fondos'!$T$5,$A164,H164,'Flujo de Fondos'!$T$7,'Flujo de Fondos'!$T$6)</f>
        <v/>
      </c>
      <c r="J164" s="56" t="n">
        <v>34</v>
      </c>
      <c r="K164" s="54">
        <f>myParidad('Flujo de Fondos'!$B$34,$A164,J164,'Flujo de Fondos'!$B$36,'Flujo de Fondos'!$B$35)</f>
        <v/>
      </c>
      <c r="L164" s="53" t="n">
        <v>36.67</v>
      </c>
      <c r="M164" s="54">
        <f>myParidad('Flujo de Fondos'!$H$34,'Paridad usd'!$A164,'Paridad usd'!L164,'Flujo de Fondos'!$H$36,'Flujo de Fondos'!$H$35)</f>
        <v/>
      </c>
      <c r="N164" s="56" t="n">
        <v>33.89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44222</v>
      </c>
      <c r="B165" s="53" t="n">
        <v>39.85</v>
      </c>
      <c r="C165" s="54">
        <f>myParidad('Flujo de Fondos'!$B$5,A165,B165,'Flujo de Fondos'!$B$7,'Flujo de Fondos'!$B$6)</f>
        <v/>
      </c>
      <c r="D165" s="53" t="n">
        <v>43.15</v>
      </c>
      <c r="E165" s="55">
        <f>myParidad('Flujo de Fondos'!$H$5,$A165,D165,'Flujo de Fondos'!$H$7,'Flujo de Fondos'!$H$6)</f>
        <v/>
      </c>
      <c r="F165" s="53" t="n">
        <v>38.58</v>
      </c>
      <c r="G165" s="54">
        <f>myParidad('Flujo de Fondos'!$N$5,$A165,F165,'Flujo de Fondos'!$N$7,'Flujo de Fondos'!$N$6)</f>
        <v/>
      </c>
      <c r="H165" s="56" t="n">
        <v>40.4</v>
      </c>
      <c r="I165" s="54">
        <f>myParidad('Flujo de Fondos'!$T$5,$A165,H165,'Flujo de Fondos'!$T$7,'Flujo de Fondos'!$T$6)</f>
        <v/>
      </c>
      <c r="J165" s="56" t="n">
        <v>34.05</v>
      </c>
      <c r="K165" s="54">
        <f>myParidad('Flujo de Fondos'!$B$34,$A165,J165,'Flujo de Fondos'!$B$36,'Flujo de Fondos'!$B$35)</f>
        <v/>
      </c>
      <c r="L165" s="53" t="n">
        <v>36.38</v>
      </c>
      <c r="M165" s="54">
        <f>myParidad('Flujo de Fondos'!$H$34,'Paridad usd'!$A165,'Paridad usd'!L165,'Flujo de Fondos'!$H$36,'Flujo de Fondos'!$H$35)</f>
        <v/>
      </c>
      <c r="N165" s="56" t="n">
        <v>33.6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44221</v>
      </c>
      <c r="B166" s="53" t="n">
        <v>39.89</v>
      </c>
      <c r="C166" s="54">
        <f>myParidad('Flujo de Fondos'!$B$5,A166,B166,'Flujo de Fondos'!$B$7,'Flujo de Fondos'!$B$6)</f>
        <v/>
      </c>
      <c r="D166" s="53" t="n">
        <v>43.37</v>
      </c>
      <c r="E166" s="55">
        <f>myParidad('Flujo de Fondos'!$H$5,$A166,D166,'Flujo de Fondos'!$H$7,'Flujo de Fondos'!$H$6)</f>
        <v/>
      </c>
      <c r="F166" s="53" t="n">
        <v>38.59</v>
      </c>
      <c r="G166" s="54">
        <f>myParidad('Flujo de Fondos'!$N$5,$A166,F166,'Flujo de Fondos'!$N$7,'Flujo de Fondos'!$N$6)</f>
        <v/>
      </c>
      <c r="H166" s="56" t="n">
        <v>40.4</v>
      </c>
      <c r="I166" s="54">
        <f>myParidad('Flujo de Fondos'!$T$5,$A166,H166,'Flujo de Fondos'!$T$7,'Flujo de Fondos'!$T$6)</f>
        <v/>
      </c>
      <c r="J166" s="56" t="n">
        <v>34.2</v>
      </c>
      <c r="K166" s="54">
        <f>myParidad('Flujo de Fondos'!$B$34,$A166,J166,'Flujo de Fondos'!$B$36,'Flujo de Fondos'!$B$35)</f>
        <v/>
      </c>
      <c r="L166" s="53" t="n">
        <v>36.5</v>
      </c>
      <c r="M166" s="54">
        <f>myParidad('Flujo de Fondos'!$H$34,'Paridad usd'!$A166,'Paridad usd'!L166,'Flujo de Fondos'!$H$36,'Flujo de Fondos'!$H$35)</f>
        <v/>
      </c>
      <c r="N166" s="56" t="n">
        <v>33.6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44218</v>
      </c>
      <c r="B167" s="53" t="n">
        <v>40</v>
      </c>
      <c r="C167" s="54">
        <f>myParidad('Flujo de Fondos'!$B$5,A167,B167,'Flujo de Fondos'!$B$7,'Flujo de Fondos'!$B$6)</f>
        <v/>
      </c>
      <c r="D167" s="53" t="n">
        <v>43.5</v>
      </c>
      <c r="E167" s="55">
        <f>myParidad('Flujo de Fondos'!$H$5,$A167,D167,'Flujo de Fondos'!$H$7,'Flujo de Fondos'!$H$6)</f>
        <v/>
      </c>
      <c r="F167" s="53" t="n">
        <v>38.69</v>
      </c>
      <c r="G167" s="54">
        <f>myParidad('Flujo de Fondos'!$N$5,$A167,F167,'Flujo de Fondos'!$N$7,'Flujo de Fondos'!$N$6)</f>
        <v/>
      </c>
      <c r="H167" s="56" t="n">
        <v>40.5</v>
      </c>
      <c r="I167" s="54">
        <f>myParidad('Flujo de Fondos'!$T$5,$A167,H167,'Flujo de Fondos'!$T$7,'Flujo de Fondos'!$T$6)</f>
        <v/>
      </c>
      <c r="J167" s="56" t="n">
        <v>34.04</v>
      </c>
      <c r="K167" s="54">
        <f>myParidad('Flujo de Fondos'!$B$34,$A167,J167,'Flujo de Fondos'!$B$36,'Flujo de Fondos'!$B$35)</f>
        <v/>
      </c>
      <c r="L167" s="53" t="n">
        <v>36.2</v>
      </c>
      <c r="M167" s="54">
        <f>myParidad('Flujo de Fondos'!$H$34,'Paridad usd'!$A167,'Paridad usd'!L167,'Flujo de Fondos'!$H$36,'Flujo de Fondos'!$H$35)</f>
        <v/>
      </c>
      <c r="N167" s="56" t="n">
        <v>33.7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44217</v>
      </c>
      <c r="B168" s="53" t="n">
        <v>39.9</v>
      </c>
      <c r="C168" s="54">
        <f>myParidad('Flujo de Fondos'!$B$5,A168,B168,'Flujo de Fondos'!$B$7,'Flujo de Fondos'!$B$6)</f>
        <v/>
      </c>
      <c r="D168" s="53" t="n">
        <v>43.05</v>
      </c>
      <c r="E168" s="55">
        <f>myParidad('Flujo de Fondos'!$H$5,$A168,D168,'Flujo de Fondos'!$H$7,'Flujo de Fondos'!$H$6)</f>
        <v/>
      </c>
      <c r="F168" s="53" t="n">
        <v>38.69</v>
      </c>
      <c r="G168" s="54">
        <f>myParidad('Flujo de Fondos'!$N$5,$A168,F168,'Flujo de Fondos'!$N$7,'Flujo de Fondos'!$N$6)</f>
        <v/>
      </c>
      <c r="H168" s="56" t="n">
        <v>39.9</v>
      </c>
      <c r="I168" s="54">
        <f>myParidad('Flujo de Fondos'!$T$5,$A168,H168,'Flujo de Fondos'!$T$7,'Flujo de Fondos'!$T$6)</f>
        <v/>
      </c>
      <c r="J168" s="56" t="n">
        <v>33.7</v>
      </c>
      <c r="K168" s="54">
        <f>myParidad('Flujo de Fondos'!$B$34,$A168,J168,'Flujo de Fondos'!$B$36,'Flujo de Fondos'!$B$35)</f>
        <v/>
      </c>
      <c r="L168" s="53" t="n">
        <v>36.01</v>
      </c>
      <c r="M168" s="54">
        <f>myParidad('Flujo de Fondos'!$H$34,'Paridad usd'!$A168,'Paridad usd'!L168,'Flujo de Fondos'!$H$36,'Flujo de Fondos'!$H$35)</f>
        <v/>
      </c>
      <c r="N168" s="56" t="n">
        <v>33.4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44216</v>
      </c>
      <c r="B169" s="53" t="n">
        <v>39.97</v>
      </c>
      <c r="C169" s="54">
        <f>myParidad('Flujo de Fondos'!$B$5,A169,B169,'Flujo de Fondos'!$B$7,'Flujo de Fondos'!$B$6)</f>
        <v/>
      </c>
      <c r="D169" s="53" t="n">
        <v>42.87</v>
      </c>
      <c r="E169" s="55">
        <f>myParidad('Flujo de Fondos'!$H$5,$A169,D169,'Flujo de Fondos'!$H$7,'Flujo de Fondos'!$H$6)</f>
        <v/>
      </c>
      <c r="F169" s="53" t="n">
        <v>38.74</v>
      </c>
      <c r="G169" s="54">
        <f>myParidad('Flujo de Fondos'!$N$5,$A169,F169,'Flujo de Fondos'!$N$7,'Flujo de Fondos'!$N$6)</f>
        <v/>
      </c>
      <c r="H169" s="56" t="n">
        <v>40.12</v>
      </c>
      <c r="I169" s="54">
        <f>myParidad('Flujo de Fondos'!$T$5,$A169,H169,'Flujo de Fondos'!$T$7,'Flujo de Fondos'!$T$6)</f>
        <v/>
      </c>
      <c r="J169" s="56" t="n">
        <v>34.1</v>
      </c>
      <c r="K169" s="54">
        <f>myParidad('Flujo de Fondos'!$B$34,$A169,J169,'Flujo de Fondos'!$B$36,'Flujo de Fondos'!$B$35)</f>
        <v/>
      </c>
      <c r="L169" s="53" t="n">
        <v>36.36</v>
      </c>
      <c r="M169" s="54">
        <f>myParidad('Flujo de Fondos'!$H$34,'Paridad usd'!$A169,'Paridad usd'!L169,'Flujo de Fondos'!$H$36,'Flujo de Fondos'!$H$35)</f>
        <v/>
      </c>
      <c r="N169" s="56" t="n">
        <v>33.87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44215</v>
      </c>
      <c r="B170" s="53" t="n">
        <v>40.2</v>
      </c>
      <c r="C170" s="54">
        <f>myParidad('Flujo de Fondos'!$B$5,A170,B170,'Flujo de Fondos'!$B$7,'Flujo de Fondos'!$B$6)</f>
        <v/>
      </c>
      <c r="D170" s="53" t="n">
        <v>43.1</v>
      </c>
      <c r="E170" s="55">
        <f>myParidad('Flujo de Fondos'!$H$5,$A170,D170,'Flujo de Fondos'!$H$7,'Flujo de Fondos'!$H$6)</f>
        <v/>
      </c>
      <c r="F170" s="53" t="n">
        <v>38.79</v>
      </c>
      <c r="G170" s="54">
        <f>myParidad('Flujo de Fondos'!$N$5,$A170,F170,'Flujo de Fondos'!$N$7,'Flujo de Fondos'!$N$6)</f>
        <v/>
      </c>
      <c r="H170" s="56" t="n">
        <v>39.95</v>
      </c>
      <c r="I170" s="54">
        <f>myParidad('Flujo de Fondos'!$T$5,$A170,H170,'Flujo de Fondos'!$T$7,'Flujo de Fondos'!$T$6)</f>
        <v/>
      </c>
      <c r="J170" s="56" t="n">
        <v>34.4</v>
      </c>
      <c r="K170" s="54">
        <f>myParidad('Flujo de Fondos'!$B$34,$A170,J170,'Flujo de Fondos'!$B$36,'Flujo de Fondos'!$B$35)</f>
        <v/>
      </c>
      <c r="L170" s="53" t="n">
        <v>35.85</v>
      </c>
      <c r="M170" s="54">
        <f>myParidad('Flujo de Fondos'!$H$34,'Paridad usd'!$A170,'Paridad usd'!L170,'Flujo de Fondos'!$H$36,'Flujo de Fondos'!$H$35)</f>
        <v/>
      </c>
      <c r="N170" s="56" t="n">
        <v>33.85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44214</v>
      </c>
      <c r="B171" s="53" t="n">
        <v>40.1</v>
      </c>
      <c r="C171" s="54">
        <f>myParidad('Flujo de Fondos'!$B$5,A171,B171,'Flujo de Fondos'!$B$7,'Flujo de Fondos'!$B$6)</f>
        <v/>
      </c>
      <c r="D171" s="53" t="n">
        <v>42</v>
      </c>
      <c r="E171" s="55">
        <f>myParidad('Flujo de Fondos'!$H$5,$A171,D171,'Flujo de Fondos'!$H$7,'Flujo de Fondos'!$H$6)</f>
        <v/>
      </c>
      <c r="F171" s="53" t="n">
        <v>38.8</v>
      </c>
      <c r="G171" s="54">
        <f>myParidad('Flujo de Fondos'!$N$5,$A171,F171,'Flujo de Fondos'!$N$7,'Flujo de Fondos'!$N$6)</f>
        <v/>
      </c>
      <c r="H171" s="53" t="n"/>
      <c r="I171" s="54">
        <f>myParidad('Flujo de Fondos'!$T$5,$A171,H171,'Flujo de Fondos'!$T$7,'Flujo de Fondos'!$T$6)</f>
        <v/>
      </c>
      <c r="J171" s="53" t="n">
        <v>34.25</v>
      </c>
      <c r="K171" s="54">
        <f>myParidad('Flujo de Fondos'!$B$34,$A171,J171,'Flujo de Fondos'!$B$36,'Flujo de Fondos'!$B$35)</f>
        <v/>
      </c>
      <c r="L171" s="53" t="n">
        <v>35.8</v>
      </c>
      <c r="M171" s="54">
        <f>myParidad('Flujo de Fondos'!$H$34,'Paridad usd'!$A171,'Paridad usd'!L171,'Flujo de Fondos'!$H$36,'Flujo de Fondos'!$H$35)</f>
        <v/>
      </c>
      <c r="N171" s="56" t="n">
        <v>33.8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44211</v>
      </c>
      <c r="B172" s="53" t="n">
        <v>40.08</v>
      </c>
      <c r="C172" s="54">
        <f>myParidad('Flujo de Fondos'!$B$5,A172,B172,'Flujo de Fondos'!$B$7,'Flujo de Fondos'!$B$6)</f>
        <v/>
      </c>
      <c r="D172" s="53" t="n">
        <v>42</v>
      </c>
      <c r="E172" s="55">
        <f>myParidad('Flujo de Fondos'!$H$5,$A172,D172,'Flujo de Fondos'!$H$7,'Flujo de Fondos'!$H$6)</f>
        <v/>
      </c>
      <c r="F172" s="53" t="n">
        <v>38.69</v>
      </c>
      <c r="G172" s="54">
        <f>myParidad('Flujo de Fondos'!$N$5,$A172,F172,'Flujo de Fondos'!$N$7,'Flujo de Fondos'!$N$6)</f>
        <v/>
      </c>
      <c r="H172" s="53" t="n"/>
      <c r="I172" s="54">
        <f>myParidad('Flujo de Fondos'!$T$5,$A172,H172,'Flujo de Fondos'!$T$7,'Flujo de Fondos'!$T$6)</f>
        <v/>
      </c>
      <c r="J172" s="53" t="n">
        <v>34.25</v>
      </c>
      <c r="K172" s="54">
        <f>myParidad('Flujo de Fondos'!$B$34,$A172,J172,'Flujo de Fondos'!$B$36,'Flujo de Fondos'!$B$35)</f>
        <v/>
      </c>
      <c r="L172" s="53" t="n">
        <v>35.7</v>
      </c>
      <c r="M172" s="54">
        <f>myParidad('Flujo de Fondos'!$H$34,'Paridad usd'!$A172,'Paridad usd'!L172,'Flujo de Fondos'!$H$36,'Flujo de Fondos'!$H$35)</f>
        <v/>
      </c>
      <c r="N172" s="56" t="n">
        <v>33.65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44210</v>
      </c>
      <c r="B173" s="53" t="n">
        <v>40.23</v>
      </c>
      <c r="C173" s="54">
        <f>myParidad('Flujo de Fondos'!$B$5,A173,B173,'Flujo de Fondos'!$B$7,'Flujo de Fondos'!$B$6)</f>
        <v/>
      </c>
      <c r="D173" s="53" t="n">
        <v>41.66</v>
      </c>
      <c r="E173" s="55">
        <f>myParidad('Flujo de Fondos'!$H$5,$A173,D173,'Flujo de Fondos'!$H$7,'Flujo de Fondos'!$H$6)</f>
        <v/>
      </c>
      <c r="F173" s="53" t="n">
        <v>38.75</v>
      </c>
      <c r="G173" s="54">
        <f>myParidad('Flujo de Fondos'!$N$5,$A173,F173,'Flujo de Fondos'!$N$7,'Flujo de Fondos'!$N$6)</f>
        <v/>
      </c>
      <c r="H173" s="53" t="n"/>
      <c r="I173" s="54">
        <f>myParidad('Flujo de Fondos'!$T$5,$A173,H173,'Flujo de Fondos'!$T$7,'Flujo de Fondos'!$T$6)</f>
        <v/>
      </c>
      <c r="J173" s="53" t="n">
        <v>34.39</v>
      </c>
      <c r="K173" s="54">
        <f>myParidad('Flujo de Fondos'!$B$34,$A173,J173,'Flujo de Fondos'!$B$36,'Flujo de Fondos'!$B$35)</f>
        <v/>
      </c>
      <c r="L173" s="53" t="n">
        <v>35.69</v>
      </c>
      <c r="M173" s="54">
        <f>myParidad('Flujo de Fondos'!$H$34,'Paridad usd'!$A173,'Paridad usd'!L173,'Flujo de Fondos'!$H$36,'Flujo de Fondos'!$H$35)</f>
        <v/>
      </c>
      <c r="N173" s="56" t="n">
        <v>33.8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44209</v>
      </c>
      <c r="B174" s="53" t="n">
        <v>40.54</v>
      </c>
      <c r="C174" s="54">
        <f>myParidad('Flujo de Fondos'!$B$5,A174,B174,'Flujo de Fondos'!$B$7,'Flujo de Fondos'!$B$6)</f>
        <v/>
      </c>
      <c r="D174" s="53" t="n">
        <v>42.2</v>
      </c>
      <c r="E174" s="55">
        <f>myParidad('Flujo de Fondos'!$H$5,$A174,D174,'Flujo de Fondos'!$H$7,'Flujo de Fondos'!$H$6)</f>
        <v/>
      </c>
      <c r="F174" s="53" t="n">
        <v>38.98</v>
      </c>
      <c r="G174" s="54">
        <f>myParidad('Flujo de Fondos'!$N$5,$A174,F174,'Flujo de Fondos'!$N$7,'Flujo de Fondos'!$N$6)</f>
        <v/>
      </c>
      <c r="H174" s="53" t="n"/>
      <c r="I174" s="54">
        <f>myParidad('Flujo de Fondos'!$T$5,$A174,H174,'Flujo de Fondos'!$T$7,'Flujo de Fondos'!$T$6)</f>
        <v/>
      </c>
      <c r="J174" s="53" t="n">
        <v>34.4</v>
      </c>
      <c r="K174" s="54">
        <f>myParidad('Flujo de Fondos'!$B$34,$A174,J174,'Flujo de Fondos'!$B$36,'Flujo de Fondos'!$B$35)</f>
        <v/>
      </c>
      <c r="L174" s="53" t="n">
        <v>36.22</v>
      </c>
      <c r="M174" s="54">
        <f>myParidad('Flujo de Fondos'!$H$34,'Paridad usd'!$A174,'Paridad usd'!L174,'Flujo de Fondos'!$H$36,'Flujo de Fondos'!$H$35)</f>
        <v/>
      </c>
      <c r="N174" s="56" t="n">
        <v>34.25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44208</v>
      </c>
      <c r="B175" s="53" t="n">
        <v>40.95</v>
      </c>
      <c r="C175" s="54">
        <f>myParidad('Flujo de Fondos'!$B$5,A175,B175,'Flujo de Fondos'!$B$7,'Flujo de Fondos'!$B$6)</f>
        <v/>
      </c>
      <c r="D175" s="53" t="n">
        <v>43.01</v>
      </c>
      <c r="E175" s="55">
        <f>myParidad('Flujo de Fondos'!$H$5,$A175,D175,'Flujo de Fondos'!$H$7,'Flujo de Fondos'!$H$6)</f>
        <v/>
      </c>
      <c r="F175" s="53" t="n">
        <v>39.04</v>
      </c>
      <c r="G175" s="54">
        <f>myParidad('Flujo de Fondos'!$N$5,$A175,F175,'Flujo de Fondos'!$N$7,'Flujo de Fondos'!$N$6)</f>
        <v/>
      </c>
      <c r="H175" s="53" t="n"/>
      <c r="I175" s="54">
        <f>myParidad('Flujo de Fondos'!$T$5,$A175,H175,'Flujo de Fondos'!$T$7,'Flujo de Fondos'!$T$6)</f>
        <v/>
      </c>
      <c r="J175" s="53" t="n">
        <v>34.8</v>
      </c>
      <c r="K175" s="54">
        <f>myParidad('Flujo de Fondos'!$B$34,$A175,J175,'Flujo de Fondos'!$B$36,'Flujo de Fondos'!$B$35)</f>
        <v/>
      </c>
      <c r="L175" s="53" t="n">
        <v>36.35</v>
      </c>
      <c r="M175" s="54">
        <f>myParidad('Flujo de Fondos'!$H$34,'Paridad usd'!$A175,'Paridad usd'!L175,'Flujo de Fondos'!$H$36,'Flujo de Fondos'!$H$35)</f>
        <v/>
      </c>
      <c r="N175" s="56" t="n">
        <v>34.7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44207</v>
      </c>
      <c r="B176" s="53" t="n">
        <v>40.77</v>
      </c>
      <c r="C176" s="54">
        <f>myParidad('Flujo de Fondos'!$B$5,A176,B176,'Flujo de Fondos'!$B$7,'Flujo de Fondos'!$B$6)</f>
        <v/>
      </c>
      <c r="D176" s="53" t="n">
        <v>43.1</v>
      </c>
      <c r="E176" s="55">
        <f>myParidad('Flujo de Fondos'!$H$5,$A176,D176,'Flujo de Fondos'!$H$7,'Flujo de Fondos'!$H$6)</f>
        <v/>
      </c>
      <c r="F176" s="53" t="n">
        <v>39.04</v>
      </c>
      <c r="G176" s="54">
        <f>myParidad('Flujo de Fondos'!$N$5,$A176,F176,'Flujo de Fondos'!$N$7,'Flujo de Fondos'!$N$6)</f>
        <v/>
      </c>
      <c r="H176" s="53" t="n"/>
      <c r="I176" s="54">
        <f>myParidad('Flujo de Fondos'!$T$5,$A176,H176,'Flujo de Fondos'!$T$7,'Flujo de Fondos'!$T$6)</f>
        <v/>
      </c>
      <c r="J176" s="53" t="n">
        <v>35</v>
      </c>
      <c r="K176" s="54">
        <f>myParidad('Flujo de Fondos'!$B$34,$A176,J176,'Flujo de Fondos'!$B$36,'Flujo de Fondos'!$B$35)</f>
        <v/>
      </c>
      <c r="L176" s="53" t="n">
        <v>36.39</v>
      </c>
      <c r="M176" s="54">
        <f>myParidad('Flujo de Fondos'!$H$34,'Paridad usd'!$A176,'Paridad usd'!L176,'Flujo de Fondos'!$H$36,'Flujo de Fondos'!$H$35)</f>
        <v/>
      </c>
      <c r="N176" s="56" t="n">
        <v>34.5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44204</v>
      </c>
      <c r="B177" s="53" t="n">
        <v>40.85</v>
      </c>
      <c r="C177" s="54">
        <f>myParidad('Flujo de Fondos'!$B$5,A177,B177,'Flujo de Fondos'!$B$7,'Flujo de Fondos'!$B$6)</f>
        <v/>
      </c>
      <c r="D177" s="53" t="n">
        <v>43</v>
      </c>
      <c r="E177" s="55">
        <f>myParidad('Flujo de Fondos'!$H$5,$A177,D177,'Flujo de Fondos'!$H$7,'Flujo de Fondos'!$H$6)</f>
        <v/>
      </c>
      <c r="F177" s="53" t="n">
        <v>39.5</v>
      </c>
      <c r="G177" s="54">
        <f>myParidad('Flujo de Fondos'!$N$5,$A177,F177,'Flujo de Fondos'!$N$7,'Flujo de Fondos'!$N$6)</f>
        <v/>
      </c>
      <c r="H177" s="53" t="n"/>
      <c r="I177" s="54">
        <f>myParidad('Flujo de Fondos'!$T$5,$A177,H177,'Flujo de Fondos'!$T$7,'Flujo de Fondos'!$T$6)</f>
        <v/>
      </c>
      <c r="J177" s="53" t="n">
        <v>35</v>
      </c>
      <c r="K177" s="54">
        <f>myParidad('Flujo de Fondos'!$B$34,$A177,J177,'Flujo de Fondos'!$B$36,'Flujo de Fondos'!$B$35)</f>
        <v/>
      </c>
      <c r="L177" s="53" t="n">
        <v>37</v>
      </c>
      <c r="M177" s="54">
        <f>myParidad('Flujo de Fondos'!$H$34,'Paridad usd'!$A177,'Paridad usd'!L177,'Flujo de Fondos'!$H$36,'Flujo de Fondos'!$H$35)</f>
        <v/>
      </c>
      <c r="N177" s="56" t="n">
        <v>34.6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44203</v>
      </c>
      <c r="B178" s="53" t="n">
        <v>41.23</v>
      </c>
      <c r="C178" s="54">
        <f>myParidad('Flujo de Fondos'!$B$5,A178,B178,'Flujo de Fondos'!$B$7,'Flujo de Fondos'!$B$6)</f>
        <v/>
      </c>
      <c r="D178" s="53" t="n">
        <v>43</v>
      </c>
      <c r="E178" s="55">
        <f>myParidad('Flujo de Fondos'!$H$5,$A178,D178,'Flujo de Fondos'!$H$7,'Flujo de Fondos'!$H$6)</f>
        <v/>
      </c>
      <c r="F178" s="53" t="n">
        <v>39.55</v>
      </c>
      <c r="G178" s="54">
        <f>myParidad('Flujo de Fondos'!$N$5,$A178,F178,'Flujo de Fondos'!$N$7,'Flujo de Fondos'!$N$6)</f>
        <v/>
      </c>
      <c r="H178" s="53" t="n"/>
      <c r="I178" s="54">
        <f>myParidad('Flujo de Fondos'!$T$5,$A178,H178,'Flujo de Fondos'!$T$7,'Flujo de Fondos'!$T$6)</f>
        <v/>
      </c>
      <c r="J178" s="53" t="n">
        <v>35.11</v>
      </c>
      <c r="K178" s="54">
        <f>myParidad('Flujo de Fondos'!$B$34,$A178,J178,'Flujo de Fondos'!$B$36,'Flujo de Fondos'!$B$35)</f>
        <v/>
      </c>
      <c r="L178" s="53" t="n">
        <v>37.11</v>
      </c>
      <c r="M178" s="54">
        <f>myParidad('Flujo de Fondos'!$H$34,'Paridad usd'!$A178,'Paridad usd'!L178,'Flujo de Fondos'!$H$36,'Flujo de Fondos'!$H$35)</f>
        <v/>
      </c>
      <c r="N178" s="56" t="n">
        <v>34.85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44202</v>
      </c>
      <c r="B179" s="53" t="n">
        <v>41.5</v>
      </c>
      <c r="C179" s="54">
        <f>myParidad('Flujo de Fondos'!$B$5,A179,B179,'Flujo de Fondos'!$B$7,'Flujo de Fondos'!$B$6)</f>
        <v/>
      </c>
      <c r="D179" s="53" t="n">
        <v>43.85</v>
      </c>
      <c r="E179" s="55">
        <f>myParidad('Flujo de Fondos'!$H$5,$A179,D179,'Flujo de Fondos'!$H$7,'Flujo de Fondos'!$H$6)</f>
        <v/>
      </c>
      <c r="F179" s="53" t="n">
        <v>40.1</v>
      </c>
      <c r="G179" s="54">
        <f>myParidad('Flujo de Fondos'!$N$5,$A179,F179,'Flujo de Fondos'!$N$7,'Flujo de Fondos'!$N$6)</f>
        <v/>
      </c>
      <c r="H179" s="53" t="n"/>
      <c r="I179" s="54">
        <f>myParidad('Flujo de Fondos'!$T$5,$A179,H179,'Flujo de Fondos'!$T$7,'Flujo de Fondos'!$T$6)</f>
        <v/>
      </c>
      <c r="J179" s="53" t="n">
        <v>35.75</v>
      </c>
      <c r="K179" s="54">
        <f>myParidad('Flujo de Fondos'!$B$34,$A179,J179,'Flujo de Fondos'!$B$36,'Flujo de Fondos'!$B$35)</f>
        <v/>
      </c>
      <c r="L179" s="53" t="n">
        <v>37.38</v>
      </c>
      <c r="M179" s="54">
        <f>myParidad('Flujo de Fondos'!$H$34,'Paridad usd'!$A179,'Paridad usd'!L179,'Flujo de Fondos'!$H$36,'Flujo de Fondos'!$H$35)</f>
        <v/>
      </c>
      <c r="N179" s="56" t="n">
        <v>34.6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44201</v>
      </c>
      <c r="B180" s="53" t="n">
        <v>41.25</v>
      </c>
      <c r="C180" s="54">
        <f>myParidad('Flujo de Fondos'!$B$5,A180,B180,'Flujo de Fondos'!$B$7,'Flujo de Fondos'!$B$6)</f>
        <v/>
      </c>
      <c r="D180" s="53" t="n">
        <v>42.8</v>
      </c>
      <c r="E180" s="55">
        <f>myParidad('Flujo de Fondos'!$H$5,$A180,D180,'Flujo de Fondos'!$H$7,'Flujo de Fondos'!$H$6)</f>
        <v/>
      </c>
      <c r="F180" s="53" t="n">
        <v>40.25</v>
      </c>
      <c r="G180" s="54">
        <f>myParidad('Flujo de Fondos'!$N$5,$A180,F180,'Flujo de Fondos'!$N$7,'Flujo de Fondos'!$N$6)</f>
        <v/>
      </c>
      <c r="H180" s="53" t="n"/>
      <c r="I180" s="54">
        <f>myParidad('Flujo de Fondos'!$T$5,$A180,H180,'Flujo de Fondos'!$T$7,'Flujo de Fondos'!$T$6)</f>
        <v/>
      </c>
      <c r="J180" s="53" t="n">
        <v>35.64</v>
      </c>
      <c r="K180" s="54">
        <f>myParidad('Flujo de Fondos'!$B$34,$A180,J180,'Flujo de Fondos'!$B$36,'Flujo de Fondos'!$B$35)</f>
        <v/>
      </c>
      <c r="L180" s="53" t="n">
        <v>36.9</v>
      </c>
      <c r="M180" s="54">
        <f>myParidad('Flujo de Fondos'!$H$34,'Paridad usd'!$A180,'Paridad usd'!L180,'Flujo de Fondos'!$H$36,'Flujo de Fondos'!$H$35)</f>
        <v/>
      </c>
      <c r="N180" s="56" t="n">
        <v>34.5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44200</v>
      </c>
      <c r="B181" s="53" t="n">
        <v>41.36</v>
      </c>
      <c r="C181" s="54">
        <f>myParidad('Flujo de Fondos'!$B$5,A181,B181,'Flujo de Fondos'!$B$7,'Flujo de Fondos'!$B$6)</f>
        <v/>
      </c>
      <c r="D181" s="53" t="n">
        <v>43.11</v>
      </c>
      <c r="E181" s="55">
        <f>myParidad('Flujo de Fondos'!$H$5,$A181,D181,'Flujo de Fondos'!$H$7,'Flujo de Fondos'!$H$6)</f>
        <v/>
      </c>
      <c r="F181" s="53" t="n">
        <v>40.55</v>
      </c>
      <c r="G181" s="54">
        <f>myParidad('Flujo de Fondos'!$N$5,$A181,F181,'Flujo de Fondos'!$N$7,'Flujo de Fondos'!$N$6)</f>
        <v/>
      </c>
      <c r="H181" s="53" t="n"/>
      <c r="I181" s="54">
        <f>myParidad('Flujo de Fondos'!$T$5,$A181,H181,'Flujo de Fondos'!$T$7,'Flujo de Fondos'!$T$6)</f>
        <v/>
      </c>
      <c r="J181" s="53" t="n">
        <v>36.1</v>
      </c>
      <c r="K181" s="54">
        <f>myParidad('Flujo de Fondos'!$B$34,$A181,J181,'Flujo de Fondos'!$B$36,'Flujo de Fondos'!$B$35)</f>
        <v/>
      </c>
      <c r="L181" s="53" t="n">
        <v>37.23</v>
      </c>
      <c r="M181" s="54">
        <f>myParidad('Flujo de Fondos'!$H$34,'Paridad usd'!$A181,'Paridad usd'!L181,'Flujo de Fondos'!$H$36,'Flujo de Fondos'!$H$35)</f>
        <v/>
      </c>
      <c r="N181" s="56" t="n">
        <v>34.8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44195</v>
      </c>
      <c r="B182" s="53" t="n">
        <v>42.35</v>
      </c>
      <c r="C182" s="54">
        <f>myParidad('Flujo de Fondos'!$B$5,A182,B182,'Flujo de Fondos'!$B$7,'Flujo de Fondos'!$B$6)</f>
        <v/>
      </c>
      <c r="D182" s="53" t="n">
        <v>44.9</v>
      </c>
      <c r="E182" s="55">
        <f>myParidad('Flujo de Fondos'!$H$5,$A182,D182,'Flujo de Fondos'!$H$7,'Flujo de Fondos'!$H$6)</f>
        <v/>
      </c>
      <c r="F182" s="53" t="n">
        <v>40.94</v>
      </c>
      <c r="G182" s="54">
        <f>myParidad('Flujo de Fondos'!$N$5,$A182,F182,'Flujo de Fondos'!$N$7,'Flujo de Fondos'!$N$6)</f>
        <v/>
      </c>
      <c r="H182" s="53" t="n"/>
      <c r="I182" s="54">
        <f>myParidad('Flujo de Fondos'!$T$5,$A182,H182,'Flujo de Fondos'!$T$7,'Flujo de Fondos'!$T$6)</f>
        <v/>
      </c>
      <c r="J182" s="53" t="n">
        <v>36.5</v>
      </c>
      <c r="K182" s="54">
        <f>myParidad('Flujo de Fondos'!$B$34,$A182,J182,'Flujo de Fondos'!$B$36,'Flujo de Fondos'!$B$35)</f>
        <v/>
      </c>
      <c r="L182" s="53" t="n">
        <v>38.2</v>
      </c>
      <c r="M182" s="54">
        <f>myParidad('Flujo de Fondos'!$H$34,'Paridad usd'!$A182,'Paridad usd'!L182,'Flujo de Fondos'!$H$36,'Flujo de Fondos'!$H$35)</f>
        <v/>
      </c>
      <c r="N182" s="56" t="n">
        <v>35.9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44194</v>
      </c>
      <c r="B183" s="53" t="n">
        <v>42.35</v>
      </c>
      <c r="C183" s="54">
        <f>myParidad('Flujo de Fondos'!$B$5,A183,B183,'Flujo de Fondos'!$B$7,'Flujo de Fondos'!$B$6)</f>
        <v/>
      </c>
      <c r="D183" s="53" t="n">
        <v>44.78</v>
      </c>
      <c r="E183" s="55">
        <f>myParidad('Flujo de Fondos'!$H$5,$A183,D183,'Flujo de Fondos'!$H$7,'Flujo de Fondos'!$H$6)</f>
        <v/>
      </c>
      <c r="F183" s="53" t="n">
        <v>40.93</v>
      </c>
      <c r="G183" s="54">
        <f>myParidad('Flujo de Fondos'!$N$5,$A183,F183,'Flujo de Fondos'!$N$7,'Flujo de Fondos'!$N$6)</f>
        <v/>
      </c>
      <c r="H183" s="53" t="n"/>
      <c r="I183" s="54">
        <f>myParidad('Flujo de Fondos'!$T$5,$A183,H183,'Flujo de Fondos'!$T$7,'Flujo de Fondos'!$T$6)</f>
        <v/>
      </c>
      <c r="J183" s="53" t="n">
        <v>36.6</v>
      </c>
      <c r="K183" s="54">
        <f>myParidad('Flujo de Fondos'!$B$34,$A183,J183,'Flujo de Fondos'!$B$36,'Flujo de Fondos'!$B$35)</f>
        <v/>
      </c>
      <c r="L183" s="53" t="n">
        <v>38.8</v>
      </c>
      <c r="M183" s="54">
        <f>myParidad('Flujo de Fondos'!$H$34,'Paridad usd'!$A183,'Paridad usd'!L183,'Flujo de Fondos'!$H$36,'Flujo de Fondos'!$H$35)</f>
        <v/>
      </c>
      <c r="N183" s="56" t="n">
        <v>35.75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44193</v>
      </c>
      <c r="B184" s="53" t="n">
        <v>42.24</v>
      </c>
      <c r="C184" s="54">
        <f>myParidad('Flujo de Fondos'!$B$5,A184,B184,'Flujo de Fondos'!$B$7,'Flujo de Fondos'!$B$6)</f>
        <v/>
      </c>
      <c r="D184" s="53" t="n">
        <v>44</v>
      </c>
      <c r="E184" s="55">
        <f>myParidad('Flujo de Fondos'!$H$5,$A184,D184,'Flujo de Fondos'!$H$7,'Flujo de Fondos'!$H$6)</f>
        <v/>
      </c>
      <c r="F184" s="53" t="n">
        <v>40.9</v>
      </c>
      <c r="G184" s="54">
        <f>myParidad('Flujo de Fondos'!$N$5,$A184,F184,'Flujo de Fondos'!$N$7,'Flujo de Fondos'!$N$6)</f>
        <v/>
      </c>
      <c r="H184" s="53" t="n"/>
      <c r="I184" s="54">
        <f>myParidad('Flujo de Fondos'!$T$5,$A184,H184,'Flujo de Fondos'!$T$7,'Flujo de Fondos'!$T$6)</f>
        <v/>
      </c>
      <c r="J184" s="53" t="n">
        <v>36.75</v>
      </c>
      <c r="K184" s="54">
        <f>myParidad('Flujo de Fondos'!$B$34,$A184,J184,'Flujo de Fondos'!$B$36,'Flujo de Fondos'!$B$35)</f>
        <v/>
      </c>
      <c r="L184" s="53" t="n">
        <v>39</v>
      </c>
      <c r="M184" s="54">
        <f>myParidad('Flujo de Fondos'!$H$34,'Paridad usd'!$A184,'Paridad usd'!L184,'Flujo de Fondos'!$H$36,'Flujo de Fondos'!$H$35)</f>
        <v/>
      </c>
      <c r="N184" s="56" t="n">
        <v>35.7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44188</v>
      </c>
      <c r="B185" s="53" t="n">
        <v>42.27</v>
      </c>
      <c r="C185" s="54">
        <f>myParidad('Flujo de Fondos'!$B$5,A185,B185,'Flujo de Fondos'!$B$7,'Flujo de Fondos'!$B$6)</f>
        <v/>
      </c>
      <c r="D185" s="53" t="n">
        <v>44</v>
      </c>
      <c r="E185" s="55">
        <f>myParidad('Flujo de Fondos'!$H$5,$A185,D185,'Flujo de Fondos'!$H$7,'Flujo de Fondos'!$H$6)</f>
        <v/>
      </c>
      <c r="F185" s="53" t="n">
        <v>40.62</v>
      </c>
      <c r="G185" s="54">
        <f>myParidad('Flujo de Fondos'!$N$5,$A185,F185,'Flujo de Fondos'!$N$7,'Flujo de Fondos'!$N$6)</f>
        <v/>
      </c>
      <c r="H185" s="53" t="n"/>
      <c r="I185" s="54">
        <f>myParidad('Flujo de Fondos'!$T$5,$A185,H185,'Flujo de Fondos'!$T$7,'Flujo de Fondos'!$T$6)</f>
        <v/>
      </c>
      <c r="J185" s="53" t="n">
        <v>36.3</v>
      </c>
      <c r="K185" s="54">
        <f>myParidad('Flujo de Fondos'!$B$34,$A185,J185,'Flujo de Fondos'!$B$36,'Flujo de Fondos'!$B$35)</f>
        <v/>
      </c>
      <c r="L185" s="53" t="n">
        <v>38.58</v>
      </c>
      <c r="M185" s="54">
        <f>myParidad('Flujo de Fondos'!$H$34,'Paridad usd'!$A185,'Paridad usd'!L185,'Flujo de Fondos'!$H$36,'Flujo de Fondos'!$H$35)</f>
        <v/>
      </c>
      <c r="N185" s="56" t="n">
        <v>35.7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44187</v>
      </c>
      <c r="B186" s="53" t="n">
        <v>42.3</v>
      </c>
      <c r="C186" s="54">
        <f>myParidad('Flujo de Fondos'!$B$5,A186,B186,'Flujo de Fondos'!$B$7,'Flujo de Fondos'!$B$6)</f>
        <v/>
      </c>
      <c r="D186" s="53" t="n">
        <v>43.51</v>
      </c>
      <c r="E186" s="55">
        <f>myParidad('Flujo de Fondos'!$H$5,$A186,D186,'Flujo de Fondos'!$H$7,'Flujo de Fondos'!$H$6)</f>
        <v/>
      </c>
      <c r="F186" s="53" t="n">
        <v>40.71</v>
      </c>
      <c r="G186" s="54">
        <f>myParidad('Flujo de Fondos'!$N$5,$A186,F186,'Flujo de Fondos'!$N$7,'Flujo de Fondos'!$N$6)</f>
        <v/>
      </c>
      <c r="H186" s="53" t="n"/>
      <c r="I186" s="54">
        <f>myParidad('Flujo de Fondos'!$T$5,$A186,H186,'Flujo de Fondos'!$T$7,'Flujo de Fondos'!$T$6)</f>
        <v/>
      </c>
      <c r="J186" s="53" t="n">
        <v>36.5</v>
      </c>
      <c r="K186" s="54">
        <f>myParidad('Flujo de Fondos'!$B$34,$A186,J186,'Flujo de Fondos'!$B$36,'Flujo de Fondos'!$B$35)</f>
        <v/>
      </c>
      <c r="L186" s="53" t="n">
        <v>38.65</v>
      </c>
      <c r="M186" s="54">
        <f>myParidad('Flujo de Fondos'!$H$34,'Paridad usd'!$A186,'Paridad usd'!L186,'Flujo de Fondos'!$H$36,'Flujo de Fondos'!$H$35)</f>
        <v/>
      </c>
      <c r="N186" s="56" t="n">
        <v>35.95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44186</v>
      </c>
      <c r="B187" s="53" t="n">
        <v>42.21</v>
      </c>
      <c r="C187" s="54">
        <f>myParidad('Flujo de Fondos'!$B$5,A187,B187,'Flujo de Fondos'!$B$7,'Flujo de Fondos'!$B$6)</f>
        <v/>
      </c>
      <c r="D187" s="53" t="n">
        <v>44.38</v>
      </c>
      <c r="E187" s="55">
        <f>myParidad('Flujo de Fondos'!$H$5,$A187,D187,'Flujo de Fondos'!$H$7,'Flujo de Fondos'!$H$6)</f>
        <v/>
      </c>
      <c r="F187" s="53" t="n">
        <v>40.74</v>
      </c>
      <c r="G187" s="54">
        <f>myParidad('Flujo de Fondos'!$N$5,$A187,F187,'Flujo de Fondos'!$N$7,'Flujo de Fondos'!$N$6)</f>
        <v/>
      </c>
      <c r="H187" s="53" t="n"/>
      <c r="I187" s="54">
        <f>myParidad('Flujo de Fondos'!$T$5,$A187,H187,'Flujo de Fondos'!$T$7,'Flujo de Fondos'!$T$6)</f>
        <v/>
      </c>
      <c r="J187" s="53" t="n">
        <v>37</v>
      </c>
      <c r="K187" s="54">
        <f>myParidad('Flujo de Fondos'!$B$34,$A187,J187,'Flujo de Fondos'!$B$36,'Flujo de Fondos'!$B$35)</f>
        <v/>
      </c>
      <c r="L187" s="53" t="n">
        <v>38.61</v>
      </c>
      <c r="M187" s="54">
        <f>myParidad('Flujo de Fondos'!$H$34,'Paridad usd'!$A187,'Paridad usd'!L187,'Flujo de Fondos'!$H$36,'Flujo de Fondos'!$H$35)</f>
        <v/>
      </c>
      <c r="N187" s="56" t="n">
        <v>35.55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>
      <c r="A188" s="52" t="n">
        <v>44183</v>
      </c>
      <c r="B188" s="53" t="n">
        <v>41.75</v>
      </c>
      <c r="C188" s="54">
        <f>myParidad('Flujo de Fondos'!$B$5,A188,B188,'Flujo de Fondos'!$B$7,'Flujo de Fondos'!$B$6)</f>
        <v/>
      </c>
      <c r="D188" s="53" t="n">
        <v>43.5</v>
      </c>
      <c r="E188" s="55">
        <f>myParidad('Flujo de Fondos'!$H$5,$A188,D188,'Flujo de Fondos'!$H$7,'Flujo de Fondos'!$H$6)</f>
        <v/>
      </c>
      <c r="F188" s="53" t="n">
        <v>40.22</v>
      </c>
      <c r="G188" s="54">
        <f>myParidad('Flujo de Fondos'!$N$5,$A188,F188,'Flujo de Fondos'!$N$7,'Flujo de Fondos'!$N$6)</f>
        <v/>
      </c>
      <c r="H188" s="53" t="n"/>
      <c r="I188" s="54">
        <f>myParidad('Flujo de Fondos'!$T$5,$A188,H188,'Flujo de Fondos'!$T$7,'Flujo de Fondos'!$T$6)</f>
        <v/>
      </c>
      <c r="J188" s="53" t="n">
        <v>36.18</v>
      </c>
      <c r="K188" s="54">
        <f>myParidad('Flujo de Fondos'!$B$34,$A188,J188,'Flujo de Fondos'!$B$36,'Flujo de Fondos'!$B$35)</f>
        <v/>
      </c>
      <c r="L188" s="53" t="n">
        <v>38.26</v>
      </c>
      <c r="M188" s="54">
        <f>myParidad('Flujo de Fondos'!$H$34,'Paridad usd'!$A188,'Paridad usd'!L188,'Flujo de Fondos'!$H$36,'Flujo de Fondos'!$H$35)</f>
        <v/>
      </c>
      <c r="N188" s="56" t="n">
        <v>35.5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>
      <c r="A189" s="52" t="n">
        <v>44182</v>
      </c>
      <c r="B189" s="53" t="n">
        <v>41.57</v>
      </c>
      <c r="C189" s="54">
        <f>myParidad('Flujo de Fondos'!$B$5,A189,B189,'Flujo de Fondos'!$B$7,'Flujo de Fondos'!$B$6)</f>
        <v/>
      </c>
      <c r="D189" s="53" t="n">
        <v>43.47</v>
      </c>
      <c r="E189" s="55">
        <f>myParidad('Flujo de Fondos'!$H$5,$A189,D189,'Flujo de Fondos'!$H$7,'Flujo de Fondos'!$H$6)</f>
        <v/>
      </c>
      <c r="F189" s="53" t="n">
        <v>39.84</v>
      </c>
      <c r="G189" s="54">
        <f>myParidad('Flujo de Fondos'!$N$5,$A189,F189,'Flujo de Fondos'!$N$7,'Flujo de Fondos'!$N$6)</f>
        <v/>
      </c>
      <c r="H189" s="53" t="n"/>
      <c r="I189" s="54">
        <f>myParidad('Flujo de Fondos'!$T$5,$A189,H189,'Flujo de Fondos'!$T$7,'Flujo de Fondos'!$T$6)</f>
        <v/>
      </c>
      <c r="J189" s="53" t="n">
        <v>35.85</v>
      </c>
      <c r="K189" s="54">
        <f>myParidad('Flujo de Fondos'!$B$34,$A189,J189,'Flujo de Fondos'!$B$36,'Flujo de Fondos'!$B$35)</f>
        <v/>
      </c>
      <c r="L189" s="53" t="n">
        <v>37.9</v>
      </c>
      <c r="M189" s="54">
        <f>myParidad('Flujo de Fondos'!$H$34,'Paridad usd'!$A189,'Paridad usd'!L189,'Flujo de Fondos'!$H$36,'Flujo de Fondos'!$H$35)</f>
        <v/>
      </c>
      <c r="N189" s="56" t="n">
        <v>35.05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>
      <c r="A190" s="52" t="n">
        <v>44181</v>
      </c>
      <c r="B190" s="53" t="n">
        <v>41.55</v>
      </c>
      <c r="C190" s="54">
        <f>myParidad('Flujo de Fondos'!$B$5,A190,B190,'Flujo de Fondos'!$B$7,'Flujo de Fondos'!$B$6)</f>
        <v/>
      </c>
      <c r="D190" s="53" t="n">
        <v>43.48</v>
      </c>
      <c r="E190" s="55">
        <f>myParidad('Flujo de Fondos'!$H$5,$A190,D190,'Flujo de Fondos'!$H$7,'Flujo de Fondos'!$H$6)</f>
        <v/>
      </c>
      <c r="F190" s="53" t="n">
        <v>39.78</v>
      </c>
      <c r="G190" s="54">
        <f>myParidad('Flujo de Fondos'!$N$5,$A190,F190,'Flujo de Fondos'!$N$7,'Flujo de Fondos'!$N$6)</f>
        <v/>
      </c>
      <c r="H190" s="53" t="n"/>
      <c r="I190" s="54">
        <f>myParidad('Flujo de Fondos'!$T$5,$A190,H190,'Flujo de Fondos'!$T$7,'Flujo de Fondos'!$T$6)</f>
        <v/>
      </c>
      <c r="J190" s="53" t="n">
        <v>35.1</v>
      </c>
      <c r="K190" s="54">
        <f>myParidad('Flujo de Fondos'!$B$34,$A190,J190,'Flujo de Fondos'!$B$36,'Flujo de Fondos'!$B$35)</f>
        <v/>
      </c>
      <c r="L190" s="53" t="n">
        <v>37.28</v>
      </c>
      <c r="M190" s="54">
        <f>myParidad('Flujo de Fondos'!$H$34,'Paridad usd'!$A190,'Paridad usd'!L190,'Flujo de Fondos'!$H$36,'Flujo de Fondos'!$H$35)</f>
        <v/>
      </c>
      <c r="N190" s="56" t="n">
        <v>34.8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44180</v>
      </c>
      <c r="B191" s="53" t="n">
        <v>41.75</v>
      </c>
      <c r="C191" s="54">
        <f>myParidad('Flujo de Fondos'!$B$5,A191,B191,'Flujo de Fondos'!$B$7,'Flujo de Fondos'!$B$6)</f>
        <v/>
      </c>
      <c r="D191" s="53" t="n">
        <v>43.9</v>
      </c>
      <c r="E191" s="55">
        <f>myParidad('Flujo de Fondos'!$H$5,$A191,D191,'Flujo de Fondos'!$H$7,'Flujo de Fondos'!$H$6)</f>
        <v/>
      </c>
      <c r="F191" s="53" t="n">
        <v>40.03</v>
      </c>
      <c r="G191" s="54">
        <f>myParidad('Flujo de Fondos'!$N$5,$A191,F191,'Flujo de Fondos'!$N$7,'Flujo de Fondos'!$N$6)</f>
        <v/>
      </c>
      <c r="H191" s="53" t="n"/>
      <c r="I191" s="54">
        <f>myParidad('Flujo de Fondos'!$T$5,$A191,H191,'Flujo de Fondos'!$T$7,'Flujo de Fondos'!$T$6)</f>
        <v/>
      </c>
      <c r="J191" s="53" t="n">
        <v>35.1</v>
      </c>
      <c r="K191" s="54">
        <f>myParidad('Flujo de Fondos'!$B$34,$A191,J191,'Flujo de Fondos'!$B$36,'Flujo de Fondos'!$B$35)</f>
        <v/>
      </c>
      <c r="L191" s="53" t="n">
        <v>37</v>
      </c>
      <c r="M191" s="54">
        <f>myParidad('Flujo de Fondos'!$H$34,'Paridad usd'!$A191,'Paridad usd'!L191,'Flujo de Fondos'!$H$36,'Flujo de Fondos'!$H$35)</f>
        <v/>
      </c>
      <c r="N191" s="56" t="n">
        <v>34.8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44179</v>
      </c>
      <c r="B192" s="53" t="n">
        <v>42.1</v>
      </c>
      <c r="C192" s="54">
        <f>myParidad('Flujo de Fondos'!$B$5,A192,B192,'Flujo de Fondos'!$B$7,'Flujo de Fondos'!$B$6)</f>
        <v/>
      </c>
      <c r="D192" s="53" t="n">
        <v>44.3</v>
      </c>
      <c r="E192" s="55">
        <f>myParidad('Flujo de Fondos'!$H$5,$A192,D192,'Flujo de Fondos'!$H$7,'Flujo de Fondos'!$H$6)</f>
        <v/>
      </c>
      <c r="F192" s="53" t="n">
        <v>40.33</v>
      </c>
      <c r="G192" s="54">
        <f>myParidad('Flujo de Fondos'!$N$5,$A192,F192,'Flujo de Fondos'!$N$7,'Flujo de Fondos'!$N$6)</f>
        <v/>
      </c>
      <c r="H192" s="53" t="n"/>
      <c r="I192" s="54">
        <f>myParidad('Flujo de Fondos'!$T$5,$A192,H192,'Flujo de Fondos'!$T$7,'Flujo de Fondos'!$T$6)</f>
        <v/>
      </c>
      <c r="J192" s="53" t="n">
        <v>35.6</v>
      </c>
      <c r="K192" s="54">
        <f>myParidad('Flujo de Fondos'!$B$34,$A192,J192,'Flujo de Fondos'!$B$36,'Flujo de Fondos'!$B$35)</f>
        <v/>
      </c>
      <c r="L192" s="53" t="n">
        <v>37.42</v>
      </c>
      <c r="M192" s="54">
        <f>myParidad('Flujo de Fondos'!$H$34,'Paridad usd'!$A192,'Paridad usd'!L192,'Flujo de Fondos'!$H$36,'Flujo de Fondos'!$H$35)</f>
        <v/>
      </c>
      <c r="N192" s="56" t="n">
        <v>34.8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44176</v>
      </c>
      <c r="B193" s="53" t="n">
        <v>41.92</v>
      </c>
      <c r="C193" s="54">
        <f>myParidad('Flujo de Fondos'!$B$5,A193,B193,'Flujo de Fondos'!$B$7,'Flujo de Fondos'!$B$6)</f>
        <v/>
      </c>
      <c r="D193" s="53" t="n">
        <v>43.69</v>
      </c>
      <c r="E193" s="55">
        <f>myParidad('Flujo de Fondos'!$H$5,$A193,D193,'Flujo de Fondos'!$H$7,'Flujo de Fondos'!$H$6)</f>
        <v/>
      </c>
      <c r="F193" s="53" t="n">
        <v>39.85</v>
      </c>
      <c r="G193" s="54">
        <f>myParidad('Flujo de Fondos'!$N$5,$A193,F193,'Flujo de Fondos'!$N$7,'Flujo de Fondos'!$N$6)</f>
        <v/>
      </c>
      <c r="H193" s="53" t="n"/>
      <c r="I193" s="54">
        <f>myParidad('Flujo de Fondos'!$T$5,$A193,H193,'Flujo de Fondos'!$T$7,'Flujo de Fondos'!$T$6)</f>
        <v/>
      </c>
      <c r="J193" s="53" t="n">
        <v>35.6</v>
      </c>
      <c r="K193" s="54">
        <f>myParidad('Flujo de Fondos'!$B$34,$A193,J193,'Flujo de Fondos'!$B$36,'Flujo de Fondos'!$B$35)</f>
        <v/>
      </c>
      <c r="L193" s="53" t="n">
        <v>37.32</v>
      </c>
      <c r="M193" s="54">
        <f>myParidad('Flujo de Fondos'!$H$34,'Paridad usd'!$A193,'Paridad usd'!L193,'Flujo de Fondos'!$H$36,'Flujo de Fondos'!$H$35)</f>
        <v/>
      </c>
      <c r="N193" s="56" t="n">
        <v>34.92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44175</v>
      </c>
      <c r="B194" s="53" t="n">
        <v>42.12</v>
      </c>
      <c r="C194" s="54">
        <f>myParidad('Flujo de Fondos'!$B$5,A194,B194,'Flujo de Fondos'!$B$7,'Flujo de Fondos'!$B$6)</f>
        <v/>
      </c>
      <c r="D194" s="53" t="n">
        <v>43.5</v>
      </c>
      <c r="E194" s="55">
        <f>myParidad('Flujo de Fondos'!$H$5,$A194,D194,'Flujo de Fondos'!$H$7,'Flujo de Fondos'!$H$6)</f>
        <v/>
      </c>
      <c r="F194" s="53" t="n">
        <v>39.67</v>
      </c>
      <c r="G194" s="54">
        <f>myParidad('Flujo de Fondos'!$N$5,$A194,F194,'Flujo de Fondos'!$N$7,'Flujo de Fondos'!$N$6)</f>
        <v/>
      </c>
      <c r="H194" s="53" t="n"/>
      <c r="I194" s="54">
        <f>myParidad('Flujo de Fondos'!$T$5,$A194,H194,'Flujo de Fondos'!$T$7,'Flujo de Fondos'!$T$6)</f>
        <v/>
      </c>
      <c r="J194" s="53" t="n">
        <v>35.51</v>
      </c>
      <c r="K194" s="54">
        <f>myParidad('Flujo de Fondos'!$B$34,$A194,J194,'Flujo de Fondos'!$B$36,'Flujo de Fondos'!$B$35)</f>
        <v/>
      </c>
      <c r="L194" s="53" t="n">
        <v>37.35</v>
      </c>
      <c r="M194" s="54">
        <f>myParidad('Flujo de Fondos'!$H$34,'Paridad usd'!$A194,'Paridad usd'!L194,'Flujo de Fondos'!$H$36,'Flujo de Fondos'!$H$35)</f>
        <v/>
      </c>
      <c r="N194" s="56" t="n">
        <v>34.75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44174</v>
      </c>
      <c r="B195" s="53" t="n">
        <v>41.7</v>
      </c>
      <c r="C195" s="54">
        <f>myParidad('Flujo de Fondos'!$B$5,A195,B195,'Flujo de Fondos'!$B$7,'Flujo de Fondos'!$B$6)</f>
        <v/>
      </c>
      <c r="D195" s="53" t="n">
        <v>43.5</v>
      </c>
      <c r="E195" s="55">
        <f>myParidad('Flujo de Fondos'!$H$5,$A195,D195,'Flujo de Fondos'!$H$7,'Flujo de Fondos'!$H$6)</f>
        <v/>
      </c>
      <c r="F195" s="53" t="n">
        <v>39.12</v>
      </c>
      <c r="G195" s="54">
        <f>myParidad('Flujo de Fondos'!$N$5,$A195,F195,'Flujo de Fondos'!$N$7,'Flujo de Fondos'!$N$6)</f>
        <v/>
      </c>
      <c r="H195" s="53" t="n"/>
      <c r="I195" s="54">
        <f>myParidad('Flujo de Fondos'!$T$5,$A195,H195,'Flujo de Fondos'!$T$7,'Flujo de Fondos'!$T$6)</f>
        <v/>
      </c>
      <c r="J195" s="53" t="n">
        <v>34.9</v>
      </c>
      <c r="K195" s="54">
        <f>myParidad('Flujo de Fondos'!$B$34,$A195,J195,'Flujo de Fondos'!$B$36,'Flujo de Fondos'!$B$35)</f>
        <v/>
      </c>
      <c r="L195" s="53" t="n">
        <v>37.13</v>
      </c>
      <c r="M195" s="54">
        <f>myParidad('Flujo de Fondos'!$H$34,'Paridad usd'!$A195,'Paridad usd'!L195,'Flujo de Fondos'!$H$36,'Flujo de Fondos'!$H$35)</f>
        <v/>
      </c>
      <c r="N195" s="56" t="n">
        <v>34.47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44169</v>
      </c>
      <c r="B196" s="53" t="n">
        <v>41.76</v>
      </c>
      <c r="C196" s="54">
        <f>myParidad('Flujo de Fondos'!$B$5,A196,B196,'Flujo de Fondos'!$B$7,'Flujo de Fondos'!$B$6)</f>
        <v/>
      </c>
      <c r="D196" s="53" t="n">
        <v>43.7</v>
      </c>
      <c r="E196" s="55">
        <f>myParidad('Flujo de Fondos'!$H$5,$A196,D196,'Flujo de Fondos'!$H$7,'Flujo de Fondos'!$H$6)</f>
        <v/>
      </c>
      <c r="F196" s="53" t="n">
        <v>38.6</v>
      </c>
      <c r="G196" s="54">
        <f>myParidad('Flujo de Fondos'!$N$5,$A196,F196,'Flujo de Fondos'!$N$7,'Flujo de Fondos'!$N$6)</f>
        <v/>
      </c>
      <c r="H196" s="53" t="n"/>
      <c r="I196" s="54">
        <f>myParidad('Flujo de Fondos'!$T$5,$A196,H196,'Flujo de Fondos'!$T$7,'Flujo de Fondos'!$T$6)</f>
        <v/>
      </c>
      <c r="J196" s="53" t="n">
        <v>35.3</v>
      </c>
      <c r="K196" s="54">
        <f>myParidad('Flujo de Fondos'!$B$34,$A196,J196,'Flujo de Fondos'!$B$36,'Flujo de Fondos'!$B$35)</f>
        <v/>
      </c>
      <c r="L196" s="53" t="n">
        <v>37.13</v>
      </c>
      <c r="M196" s="54">
        <f>myParidad('Flujo de Fondos'!$H$34,'Paridad usd'!$A196,'Paridad usd'!L196,'Flujo de Fondos'!$H$36,'Flujo de Fondos'!$H$35)</f>
        <v/>
      </c>
      <c r="N196" s="56" t="n">
        <v>34.47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44168</v>
      </c>
      <c r="B197" s="53" t="n">
        <v>41.8</v>
      </c>
      <c r="C197" s="54">
        <f>myParidad('Flujo de Fondos'!$B$5,A197,B197,'Flujo de Fondos'!$B$7,'Flujo de Fondos'!$B$6)</f>
        <v/>
      </c>
      <c r="D197" s="53" t="n">
        <v>44</v>
      </c>
      <c r="E197" s="55">
        <f>myParidad('Flujo de Fondos'!$H$5,$A197,D197,'Flujo de Fondos'!$H$7,'Flujo de Fondos'!$H$6)</f>
        <v/>
      </c>
      <c r="F197" s="53" t="n">
        <v>38.84</v>
      </c>
      <c r="G197" s="54">
        <f>myParidad('Flujo de Fondos'!$N$5,$A197,F197,'Flujo de Fondos'!$N$7,'Flujo de Fondos'!$N$6)</f>
        <v/>
      </c>
      <c r="H197" s="53" t="n"/>
      <c r="I197" s="54">
        <f>myParidad('Flujo de Fondos'!$T$5,$A197,H197,'Flujo de Fondos'!$T$7,'Flujo de Fondos'!$T$6)</f>
        <v/>
      </c>
      <c r="J197" s="53" t="n">
        <v>35.68</v>
      </c>
      <c r="K197" s="54">
        <f>myParidad('Flujo de Fondos'!$B$34,$A197,J197,'Flujo de Fondos'!$B$36,'Flujo de Fondos'!$B$35)</f>
        <v/>
      </c>
      <c r="L197" s="53" t="n">
        <v>37.39</v>
      </c>
      <c r="M197" s="54">
        <f>myParidad('Flujo de Fondos'!$H$34,'Paridad usd'!$A197,'Paridad usd'!L197,'Flujo de Fondos'!$H$36,'Flujo de Fondos'!$H$35)</f>
        <v/>
      </c>
      <c r="N197" s="56" t="n">
        <v>34.7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44167</v>
      </c>
      <c r="B198" s="53" t="n">
        <v>41.76</v>
      </c>
      <c r="C198" s="54">
        <f>myParidad('Flujo de Fondos'!$B$5,A198,B198,'Flujo de Fondos'!$B$7,'Flujo de Fondos'!$B$6)</f>
        <v/>
      </c>
      <c r="D198" s="53" t="n">
        <v>44</v>
      </c>
      <c r="E198" s="55">
        <f>myParidad('Flujo de Fondos'!$H$5,$A198,D198,'Flujo de Fondos'!$H$7,'Flujo de Fondos'!$H$6)</f>
        <v/>
      </c>
      <c r="F198" s="53" t="n">
        <v>38.65</v>
      </c>
      <c r="G198" s="54">
        <f>myParidad('Flujo de Fondos'!$N$5,$A198,F198,'Flujo de Fondos'!$N$7,'Flujo de Fondos'!$N$6)</f>
        <v/>
      </c>
      <c r="H198" s="53" t="n"/>
      <c r="I198" s="54">
        <f>myParidad('Flujo de Fondos'!$T$5,$A198,H198,'Flujo de Fondos'!$T$7,'Flujo de Fondos'!$T$6)</f>
        <v/>
      </c>
      <c r="J198" s="53" t="n">
        <v>35.6</v>
      </c>
      <c r="K198" s="54">
        <f>myParidad('Flujo de Fondos'!$B$34,$A198,J198,'Flujo de Fondos'!$B$36,'Flujo de Fondos'!$B$35)</f>
        <v/>
      </c>
      <c r="L198" s="53" t="n">
        <v>37.98</v>
      </c>
      <c r="M198" s="54">
        <f>myParidad('Flujo de Fondos'!$H$34,'Paridad usd'!$A198,'Paridad usd'!L198,'Flujo de Fondos'!$H$36,'Flujo de Fondos'!$H$35)</f>
        <v/>
      </c>
      <c r="N198" s="56" t="n">
        <v>34.7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44166</v>
      </c>
      <c r="B199" s="53" t="n">
        <v>41.86</v>
      </c>
      <c r="C199" s="54">
        <f>myParidad('Flujo de Fondos'!$B$5,A199,B199,'Flujo de Fondos'!$B$7,'Flujo de Fondos'!$B$6)</f>
        <v/>
      </c>
      <c r="D199" s="53" t="n">
        <v>44.22</v>
      </c>
      <c r="E199" s="55">
        <f>myParidad('Flujo de Fondos'!$H$5,$A199,D199,'Flujo de Fondos'!$H$7,'Flujo de Fondos'!$H$6)</f>
        <v/>
      </c>
      <c r="F199" s="53" t="n">
        <v>38.48</v>
      </c>
      <c r="G199" s="54">
        <f>myParidad('Flujo de Fondos'!$N$5,$A199,F199,'Flujo de Fondos'!$N$7,'Flujo de Fondos'!$N$6)</f>
        <v/>
      </c>
      <c r="H199" s="53" t="n"/>
      <c r="I199" s="54">
        <f>myParidad('Flujo de Fondos'!$T$5,$A199,H199,'Flujo de Fondos'!$T$7,'Flujo de Fondos'!$T$6)</f>
        <v/>
      </c>
      <c r="J199" s="53" t="n">
        <v>35.36</v>
      </c>
      <c r="K199" s="54">
        <f>myParidad('Flujo de Fondos'!$B$34,$A199,J199,'Flujo de Fondos'!$B$36,'Flujo de Fondos'!$B$35)</f>
        <v/>
      </c>
      <c r="L199" s="53" t="n">
        <v>36.95</v>
      </c>
      <c r="M199" s="54">
        <f>myParidad('Flujo de Fondos'!$H$34,'Paridad usd'!$A199,'Paridad usd'!L199,'Flujo de Fondos'!$H$36,'Flujo de Fondos'!$H$35)</f>
        <v/>
      </c>
      <c r="N199" s="56" t="n">
        <v>34.6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44165</v>
      </c>
      <c r="B200" s="53" t="n">
        <v>42.2</v>
      </c>
      <c r="C200" s="54">
        <f>myParidad('Flujo de Fondos'!$B$5,A200,B200,'Flujo de Fondos'!$B$7,'Flujo de Fondos'!$B$6)</f>
        <v/>
      </c>
      <c r="D200" s="53" t="n">
        <v>44.16</v>
      </c>
      <c r="E200" s="55">
        <f>myParidad('Flujo de Fondos'!$H$5,$A200,D200,'Flujo de Fondos'!$H$7,'Flujo de Fondos'!$H$6)</f>
        <v/>
      </c>
      <c r="F200" s="53" t="n">
        <v>38.61</v>
      </c>
      <c r="G200" s="54">
        <f>myParidad('Flujo de Fondos'!$N$5,$A200,F200,'Flujo de Fondos'!$N$7,'Flujo de Fondos'!$N$6)</f>
        <v/>
      </c>
      <c r="H200" s="53" t="n"/>
      <c r="I200" s="54">
        <f>myParidad('Flujo de Fondos'!$T$5,$A200,H200,'Flujo de Fondos'!$T$7,'Flujo de Fondos'!$T$6)</f>
        <v/>
      </c>
      <c r="J200" s="53" t="n">
        <v>35.99</v>
      </c>
      <c r="K200" s="54">
        <f>myParidad('Flujo de Fondos'!$B$34,$A200,J200,'Flujo de Fondos'!$B$36,'Flujo de Fondos'!$B$35)</f>
        <v/>
      </c>
      <c r="L200" s="53" t="n">
        <v>37.15</v>
      </c>
      <c r="M200" s="54">
        <f>myParidad('Flujo de Fondos'!$H$34,'Paridad usd'!$A200,'Paridad usd'!L200,'Flujo de Fondos'!$H$36,'Flujo de Fondos'!$H$35)</f>
        <v/>
      </c>
      <c r="N200" s="56" t="n">
        <v>35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44162</v>
      </c>
      <c r="B201" s="53" t="n">
        <v>42.97</v>
      </c>
      <c r="C201" s="54">
        <f>myParidad('Flujo de Fondos'!$B$5,A201,B201,'Flujo de Fondos'!$B$7,'Flujo de Fondos'!$B$6)</f>
        <v/>
      </c>
      <c r="D201" s="53" t="n">
        <v>45.1</v>
      </c>
      <c r="E201" s="55">
        <f>myParidad('Flujo de Fondos'!$H$5,$A201,D201,'Flujo de Fondos'!$H$7,'Flujo de Fondos'!$H$6)</f>
        <v/>
      </c>
      <c r="F201" s="53" t="n">
        <v>39.01</v>
      </c>
      <c r="G201" s="54">
        <f>myParidad('Flujo de Fondos'!$N$5,$A201,F201,'Flujo de Fondos'!$N$7,'Flujo de Fondos'!$N$6)</f>
        <v/>
      </c>
      <c r="H201" s="53" t="n"/>
      <c r="I201" s="54">
        <f>myParidad('Flujo de Fondos'!$T$5,$A201,H201,'Flujo de Fondos'!$T$7,'Flujo de Fondos'!$T$6)</f>
        <v/>
      </c>
      <c r="J201" s="53" t="n">
        <v>36.23</v>
      </c>
      <c r="K201" s="54">
        <f>myParidad('Flujo de Fondos'!$B$34,$A201,J201,'Flujo de Fondos'!$B$36,'Flujo de Fondos'!$B$35)</f>
        <v/>
      </c>
      <c r="L201" s="53" t="n">
        <v>37.5</v>
      </c>
      <c r="M201" s="54">
        <f>myParidad('Flujo de Fondos'!$H$34,'Paridad usd'!$A201,'Paridad usd'!L201,'Flujo de Fondos'!$H$36,'Flujo de Fondos'!$H$35)</f>
        <v/>
      </c>
      <c r="N201" s="56" t="n">
        <v>35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44161</v>
      </c>
      <c r="B202" s="53" t="n">
        <v>43.2</v>
      </c>
      <c r="C202" s="54">
        <f>myParidad('Flujo de Fondos'!$B$5,A202,B202,'Flujo de Fondos'!$B$7,'Flujo de Fondos'!$B$6)</f>
        <v/>
      </c>
      <c r="D202" s="53" t="n">
        <v>45.1</v>
      </c>
      <c r="E202" s="55">
        <f>myParidad('Flujo de Fondos'!$H$5,$A202,D202,'Flujo de Fondos'!$H$7,'Flujo de Fondos'!$H$6)</f>
        <v/>
      </c>
      <c r="F202" s="53" t="n">
        <v>39</v>
      </c>
      <c r="G202" s="54">
        <f>myParidad('Flujo de Fondos'!$N$5,$A202,F202,'Flujo de Fondos'!$N$7,'Flujo de Fondos'!$N$6)</f>
        <v/>
      </c>
      <c r="H202" s="53" t="n"/>
      <c r="I202" s="54">
        <f>myParidad('Flujo de Fondos'!$T$5,$A202,H202,'Flujo de Fondos'!$T$7,'Flujo de Fondos'!$T$6)</f>
        <v/>
      </c>
      <c r="J202" s="53" t="n">
        <v>35.71</v>
      </c>
      <c r="K202" s="54">
        <f>myParidad('Flujo de Fondos'!$B$34,$A202,J202,'Flujo de Fondos'!$B$36,'Flujo de Fondos'!$B$35)</f>
        <v/>
      </c>
      <c r="L202" s="53" t="n">
        <v>37.51</v>
      </c>
      <c r="M202" s="54">
        <f>myParidad('Flujo de Fondos'!$H$34,'Paridad usd'!$A202,'Paridad usd'!L202,'Flujo de Fondos'!$H$36,'Flujo de Fondos'!$H$35)</f>
        <v/>
      </c>
      <c r="N202" s="56" t="n">
        <v>34.9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44160</v>
      </c>
      <c r="B203" s="53" t="n">
        <v>43.39</v>
      </c>
      <c r="C203" s="54">
        <f>myParidad('Flujo de Fondos'!$B$5,A203,B203,'Flujo de Fondos'!$B$7,'Flujo de Fondos'!$B$6)</f>
        <v/>
      </c>
      <c r="D203" s="53" t="n">
        <v>45</v>
      </c>
      <c r="E203" s="55">
        <f>myParidad('Flujo de Fondos'!$H$5,$A203,D203,'Flujo de Fondos'!$H$7,'Flujo de Fondos'!$H$6)</f>
        <v/>
      </c>
      <c r="F203" s="53" t="n">
        <v>39.2</v>
      </c>
      <c r="G203" s="54">
        <f>myParidad('Flujo de Fondos'!$N$5,$A203,F203,'Flujo de Fondos'!$N$7,'Flujo de Fondos'!$N$6)</f>
        <v/>
      </c>
      <c r="H203" s="53" t="n"/>
      <c r="I203" s="54">
        <f>myParidad('Flujo de Fondos'!$T$5,$A203,H203,'Flujo de Fondos'!$T$7,'Flujo de Fondos'!$T$6)</f>
        <v/>
      </c>
      <c r="J203" s="53" t="n">
        <v>36.4</v>
      </c>
      <c r="K203" s="54">
        <f>myParidad('Flujo de Fondos'!$B$34,$A203,J203,'Flujo de Fondos'!$B$36,'Flujo de Fondos'!$B$35)</f>
        <v/>
      </c>
      <c r="L203" s="53" t="n">
        <v>38</v>
      </c>
      <c r="M203" s="54">
        <f>myParidad('Flujo de Fondos'!$H$34,'Paridad usd'!$A203,'Paridad usd'!L203,'Flujo de Fondos'!$H$36,'Flujo de Fondos'!$H$35)</f>
        <v/>
      </c>
      <c r="N203" s="56" t="n">
        <v>35.4</v>
      </c>
      <c r="O203" s="54">
        <f>myParidad('Flujo de Fondos'!$N$34,$A198,N203,'Flujo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44159</v>
      </c>
      <c r="B204" s="53" t="n">
        <v>42.65</v>
      </c>
      <c r="C204" s="54">
        <f>myParidad('Flujo de Fondos'!$B$5,A204,B204,'Flujo de Fondos'!$B$7,'Flujo de Fondos'!$B$6)</f>
        <v/>
      </c>
      <c r="D204" s="53" t="n">
        <v>44.31</v>
      </c>
      <c r="E204" s="55">
        <f>myParidad('Flujo de Fondos'!$H$5,$A204,D204,'Flujo de Fondos'!$H$7,'Flujo de Fondos'!$H$6)</f>
        <v/>
      </c>
      <c r="F204" s="53" t="n">
        <v>38.85</v>
      </c>
      <c r="G204" s="54">
        <f>myParidad('Flujo de Fondos'!$N$5,$A204,F204,'Flujo de Fondos'!$N$7,'Flujo de Fondos'!$N$6)</f>
        <v/>
      </c>
      <c r="H204" s="53" t="n"/>
      <c r="I204" s="54">
        <f>myParidad('Flujo de Fondos'!$T$5,$A204,H204,'Flujo de Fondos'!$T$7,'Flujo de Fondos'!$T$6)</f>
        <v/>
      </c>
      <c r="J204" s="53" t="n">
        <v>36.18</v>
      </c>
      <c r="K204" s="54">
        <f>myParidad('Flujo de Fondos'!$B$34,$A204,J204,'Flujo de Fondos'!$B$36,'Flujo de Fondos'!$B$35)</f>
        <v/>
      </c>
      <c r="L204" s="58" t="n">
        <v>38.05</v>
      </c>
      <c r="M204" s="54">
        <f>myParidad('Flujo de Fondos'!$H$34,'Paridad usd'!$A204,'Paridad usd'!L204,'Flujo de Fondos'!$H$36,'Flujo de Fondos'!$H$35)</f>
        <v/>
      </c>
      <c r="N204" s="56" t="n">
        <v>35</v>
      </c>
      <c r="O204" s="54">
        <f>myParidad('Flujo de Fondos'!$N$34,'Paridad usd'!$A204,'Paridad usd'!N204,'Flujo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44155</v>
      </c>
      <c r="B205" s="53" t="n">
        <v>42.2</v>
      </c>
      <c r="C205" s="54">
        <f>myParidad('Flujo de Fondos'!$B$5,A205,B205,'Flujo de Fondos'!$B$7,'Flujo de Fondos'!$B$6)</f>
        <v/>
      </c>
      <c r="D205" s="53" t="n">
        <v>44.01</v>
      </c>
      <c r="E205" s="55">
        <f>myParidad('Flujo de Fondos'!$H$5,$A205,D205,'Flujo de Fondos'!$H$7,'Flujo de Fondos'!$H$6)</f>
        <v/>
      </c>
      <c r="F205" s="53" t="n">
        <v>39.05</v>
      </c>
      <c r="G205" s="54">
        <f>myParidad('Flujo de Fondos'!$N$5,$A205,F205,'Flujo de Fondos'!$N$7,'Flujo de Fondos'!$N$6)</f>
        <v/>
      </c>
      <c r="H205" s="53" t="n"/>
      <c r="I205" s="54">
        <f>myParidad('Flujo de Fondos'!$T$5,$A205,H205,'Flujo de Fondos'!$T$7,'Flujo de Fondos'!$T$6)</f>
        <v/>
      </c>
      <c r="J205" s="53" t="n">
        <v>36.75</v>
      </c>
      <c r="K205" s="54">
        <f>myParidad('Flujo de Fondos'!$B$34,$A205,J205,'Flujo de Fondos'!$B$36,'Flujo de Fondos'!$B$35)</f>
        <v/>
      </c>
      <c r="L205" s="53" t="n">
        <v>38.79</v>
      </c>
      <c r="M205" s="54">
        <f>myParidad('Flujo de Fondos'!$H$34,'Paridad usd'!$A205,'Paridad usd'!L205,'Flujo de Fondos'!$H$36,'Flujo de Fondos'!$H$35)</f>
        <v/>
      </c>
      <c r="N205" s="56" t="n">
        <v>35.2</v>
      </c>
      <c r="O205" s="54">
        <f>myParidad('Flujo de Fondos'!$N$34,'Paridad usd'!$A205,'Paridad usd'!N205,'Flujo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44154</v>
      </c>
      <c r="B206" s="53" t="n">
        <v>42.3</v>
      </c>
      <c r="C206" s="54">
        <f>myParidad('Flujo de Fondos'!$B$5,A206,B206,'Flujo de Fondos'!$B$7,'Flujo de Fondos'!$B$6)</f>
        <v/>
      </c>
      <c r="D206" s="53" t="n">
        <v>44.5</v>
      </c>
      <c r="E206" s="55">
        <f>myParidad('Flujo de Fondos'!$H$5,$A206,D206,'Flujo de Fondos'!$H$7,'Flujo de Fondos'!$H$6)</f>
        <v/>
      </c>
      <c r="F206" s="53" t="n">
        <v>39.43</v>
      </c>
      <c r="G206" s="54">
        <f>myParidad('Flujo de Fondos'!$N$5,$A206,F206,'Flujo de Fondos'!$N$7,'Flujo de Fondos'!$N$6)</f>
        <v/>
      </c>
      <c r="H206" s="53" t="n"/>
      <c r="I206" s="54">
        <f>myParidad('Flujo de Fondos'!$T$5,$A206,H206,'Flujo de Fondos'!$T$7,'Flujo de Fondos'!$T$6)</f>
        <v/>
      </c>
      <c r="J206" s="53" t="n">
        <v>36.89</v>
      </c>
      <c r="K206" s="54">
        <f>myParidad('Flujo de Fondos'!$B$34,$A206,J206,'Flujo de Fondos'!$B$36,'Flujo de Fondos'!$B$35)</f>
        <v/>
      </c>
      <c r="L206" s="53" t="n">
        <v>39</v>
      </c>
      <c r="M206" s="54">
        <f>myParidad('Flujo de Fondos'!$H$34,'Paridad usd'!$A206,'Paridad usd'!L206,'Flujo de Fondos'!$H$36,'Flujo de Fondos'!$H$35)</f>
        <v/>
      </c>
      <c r="N206" s="56" t="n">
        <v>35.25</v>
      </c>
      <c r="O206" s="54">
        <f>myParidad('Flujo de Fondos'!$N$34,'Paridad usd'!$A206,'Paridad usd'!N206,'Flujo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44153</v>
      </c>
      <c r="B207" s="53" t="n">
        <v>43.5</v>
      </c>
      <c r="C207" s="54">
        <f>myParidad('Flujo de Fondos'!$B$5,A207,B207,'Flujo de Fondos'!$B$7,'Flujo de Fondos'!$B$6)</f>
        <v/>
      </c>
      <c r="D207" s="53" t="n">
        <v>44.5</v>
      </c>
      <c r="E207" s="55">
        <f>myParidad('Flujo de Fondos'!$H$5,$A207,D207,'Flujo de Fondos'!$H$7,'Flujo de Fondos'!$H$6)</f>
        <v/>
      </c>
      <c r="F207" s="53" t="n">
        <v>39.74</v>
      </c>
      <c r="G207" s="54">
        <f>myParidad('Flujo de Fondos'!$N$5,$A207,F207,'Flujo de Fondos'!$N$7,'Flujo de Fondos'!$N$6)</f>
        <v/>
      </c>
      <c r="H207" s="53" t="n"/>
      <c r="I207" s="54">
        <f>myParidad('Flujo de Fondos'!$T$5,$A207,H207,'Flujo de Fondos'!$T$7,'Flujo de Fondos'!$T$6)</f>
        <v/>
      </c>
      <c r="J207" s="53" t="n">
        <v>37.5</v>
      </c>
      <c r="K207" s="54">
        <f>myParidad('Flujo de Fondos'!$B$34,$A207,J207,'Flujo de Fondos'!$B$36,'Flujo de Fondos'!$B$35)</f>
        <v/>
      </c>
      <c r="L207" s="53" t="n">
        <v>39.4</v>
      </c>
      <c r="M207" s="54">
        <f>myParidad('Flujo de Fondos'!$H$34,'Paridad usd'!$A207,'Paridad usd'!L207,'Flujo de Fondos'!$H$36,'Flujo de Fondos'!$H$35)</f>
        <v/>
      </c>
      <c r="N207" s="56" t="n">
        <v>35.65</v>
      </c>
      <c r="O207" s="54">
        <f>myParidad('Flujo de Fondos'!$N$34,'Paridad usd'!$A207,'Paridad usd'!N207,'Flujo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44152</v>
      </c>
      <c r="B208" s="53" t="n">
        <v>44.05</v>
      </c>
      <c r="C208" s="54">
        <f>myParidad('Flujo de Fondos'!$B$5,A208,B208,'Flujo de Fondos'!$B$7,'Flujo de Fondos'!$B$6)</f>
        <v/>
      </c>
      <c r="D208" s="53" t="n">
        <v>45.7</v>
      </c>
      <c r="E208" s="55">
        <f>myParidad('Flujo de Fondos'!$H$5,$A208,D208,'Flujo de Fondos'!$H$7,'Flujo de Fondos'!$H$6)</f>
        <v/>
      </c>
      <c r="F208" s="53" t="n">
        <v>40.18</v>
      </c>
      <c r="G208" s="54">
        <f>myParidad('Flujo de Fondos'!$N$5,$A208,F208,'Flujo de Fondos'!$N$7,'Flujo de Fondos'!$N$6)</f>
        <v/>
      </c>
      <c r="H208" s="53" t="n"/>
      <c r="I208" s="54">
        <f>myParidad('Flujo de Fondos'!$T$5,$A208,H208,'Flujo de Fondos'!$T$7,'Flujo de Fondos'!$T$6)</f>
        <v/>
      </c>
      <c r="J208" s="53" t="n">
        <v>37.2</v>
      </c>
      <c r="K208" s="54">
        <f>myParidad('Flujo de Fondos'!$B$34,$A208,J208,'Flujo de Fondos'!$B$36,'Flujo de Fondos'!$B$35)</f>
        <v/>
      </c>
      <c r="L208" s="53" t="n">
        <v>39.65</v>
      </c>
      <c r="M208" s="54">
        <f>myParidad('Flujo de Fondos'!$H$34,'Paridad usd'!$A208,'Paridad usd'!L208,'Flujo de Fondos'!$H$36,'Flujo de Fondos'!$H$35)</f>
        <v/>
      </c>
      <c r="N208" s="56" t="n">
        <v>35.8</v>
      </c>
      <c r="O208" s="54">
        <f>myParidad('Flujo de Fondos'!$N$34,'Paridad usd'!$A208,'Paridad usd'!N208,'Flujo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44151</v>
      </c>
      <c r="B209" s="53" t="n">
        <v>45</v>
      </c>
      <c r="C209" s="54">
        <f>myParidad('Flujo de Fondos'!$B$5,A209,B209,'Flujo de Fondos'!$B$7,'Flujo de Fondos'!$B$6)</f>
        <v/>
      </c>
      <c r="D209" s="53" t="n">
        <v>46.01</v>
      </c>
      <c r="E209" s="55">
        <f>myParidad('Flujo de Fondos'!$H$5,$A209,D209,'Flujo de Fondos'!$H$7,'Flujo de Fondos'!$H$6)</f>
        <v/>
      </c>
      <c r="F209" s="53" t="n">
        <v>40.26</v>
      </c>
      <c r="G209" s="54">
        <f>myParidad('Flujo de Fondos'!$N$5,$A209,F209,'Flujo de Fondos'!$N$7,'Flujo de Fondos'!$N$6)</f>
        <v/>
      </c>
      <c r="H209" s="53" t="n"/>
      <c r="I209" s="54">
        <f>myParidad('Flujo de Fondos'!$T$5,$A209,H209,'Flujo de Fondos'!$T$7,'Flujo de Fondos'!$T$6)</f>
        <v/>
      </c>
      <c r="J209" s="53" t="n">
        <v>37.25</v>
      </c>
      <c r="K209" s="54">
        <f>myParidad('Flujo de Fondos'!$B$34,$A209,J209,'Flujo de Fondos'!$B$36,'Flujo de Fondos'!$B$35)</f>
        <v/>
      </c>
      <c r="L209" s="53" t="n">
        <v>39.8</v>
      </c>
      <c r="M209" s="54">
        <f>myParidad('Flujo de Fondos'!$H$34,'Paridad usd'!$A209,'Paridad usd'!L209,'Flujo de Fondos'!$H$36,'Flujo de Fondos'!$H$35)</f>
        <v/>
      </c>
      <c r="N209" s="56" t="n">
        <v>36.18</v>
      </c>
      <c r="O209" s="54">
        <f>myParidad('Flujo de Fondos'!$N$34,'Paridad usd'!$A209,'Paridad usd'!N209,'Flujo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44148</v>
      </c>
      <c r="B210" s="53" t="n">
        <v>45</v>
      </c>
      <c r="C210" s="54">
        <f>myParidad('Flujo de Fondos'!$B$5,A210,B210,'Flujo de Fondos'!$B$7,'Flujo de Fondos'!$B$6)</f>
        <v/>
      </c>
      <c r="D210" s="53" t="n">
        <v>46.25</v>
      </c>
      <c r="E210" s="55">
        <f>myParidad('Flujo de Fondos'!$H$5,$A210,D210,'Flujo de Fondos'!$H$7,'Flujo de Fondos'!$H$6)</f>
        <v/>
      </c>
      <c r="F210" s="53" t="n">
        <v>39.9</v>
      </c>
      <c r="G210" s="54">
        <f>myParidad('Flujo de Fondos'!$N$5,$A210,F210,'Flujo de Fondos'!$N$7,'Flujo de Fondos'!$N$6)</f>
        <v/>
      </c>
      <c r="H210" s="53" t="n"/>
      <c r="I210" s="54">
        <f>myParidad('Flujo de Fondos'!$T$5,$A210,H210,'Flujo de Fondos'!$T$7,'Flujo de Fondos'!$T$6)</f>
        <v/>
      </c>
      <c r="J210" s="53" t="n">
        <v>36.83</v>
      </c>
      <c r="K210" s="54">
        <f>myParidad('Flujo de Fondos'!$B$34,$A210,J210,'Flujo de Fondos'!$B$36,'Flujo de Fondos'!$B$35)</f>
        <v/>
      </c>
      <c r="L210" s="53" t="n">
        <v>39.67</v>
      </c>
      <c r="M210" s="54">
        <f>myParidad('Flujo de Fondos'!$H$34,'Paridad usd'!$A210,'Paridad usd'!L210,'Flujo de Fondos'!$H$36,'Flujo de Fondos'!$H$35)</f>
        <v/>
      </c>
      <c r="N210" s="56" t="n">
        <v>35.89</v>
      </c>
      <c r="O210" s="54">
        <f>myParidad('Flujo de Fondos'!$N$34,'Paridad usd'!$A210,'Paridad usd'!N210,'Flujo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 ht="15.75" customHeight="1" s="76">
      <c r="A211" s="52" t="n">
        <v>44147</v>
      </c>
      <c r="B211" s="53" t="n">
        <v>44</v>
      </c>
      <c r="C211" s="54">
        <f>myParidad('Flujo de Fondos'!$B$5,A211,B211,'Flujo de Fondos'!$B$7,'Flujo de Fondos'!$B$6)</f>
        <v/>
      </c>
      <c r="D211" s="53" t="n">
        <v>46.25</v>
      </c>
      <c r="E211" s="55">
        <f>myParidad('Flujo de Fondos'!$H$5,$A211,D211,'Flujo de Fondos'!$H$7,'Flujo de Fondos'!$H$6)</f>
        <v/>
      </c>
      <c r="F211" s="53" t="n">
        <v>39.47</v>
      </c>
      <c r="G211" s="54">
        <f>myParidad('Flujo de Fondos'!$N$5,$A211,F211,'Flujo de Fondos'!$N$7,'Flujo de Fondos'!$N$6)</f>
        <v/>
      </c>
      <c r="H211" s="53" t="n"/>
      <c r="I211" s="54">
        <f>myParidad('Flujo de Fondos'!$T$5,$A211,H211,'Flujo de Fondos'!$T$7,'Flujo de Fondos'!$T$6)</f>
        <v/>
      </c>
      <c r="J211" s="53" t="n">
        <v>36.6</v>
      </c>
      <c r="K211" s="54">
        <f>myParidad('Flujo de Fondos'!$B$34,$A211,J211,'Flujo de Fondos'!$B$36,'Flujo de Fondos'!$B$35)</f>
        <v/>
      </c>
      <c r="L211" s="53" t="n">
        <v>39</v>
      </c>
      <c r="M211" s="54">
        <f>myParidad('Flujo de Fondos'!$H$34,'Paridad usd'!$A211,'Paridad usd'!L211,'Flujo de Fondos'!$H$36,'Flujo de Fondos'!$H$35)</f>
        <v/>
      </c>
      <c r="N211" s="56" t="n">
        <v>35.65</v>
      </c>
      <c r="O211" s="54">
        <f>myParidad('Flujo de Fondos'!$N$34,'Paridad usd'!$A211,'Paridad usd'!N211,'Flujo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 ht="15.75" customHeight="1" s="76">
      <c r="A212" s="52" t="n">
        <v>44146</v>
      </c>
      <c r="B212" s="53" t="n">
        <v>44.8</v>
      </c>
      <c r="C212" s="54">
        <f>myParidad('Flujo de Fondos'!$B$5,A212,B212,'Flujo de Fondos'!$B$7,'Flujo de Fondos'!$B$6)</f>
        <v/>
      </c>
      <c r="D212" s="53" t="n">
        <v>46.2</v>
      </c>
      <c r="E212" s="55">
        <f>myParidad('Flujo de Fondos'!$H$5,$A212,D212,'Flujo de Fondos'!$H$7,'Flujo de Fondos'!$H$6)</f>
        <v/>
      </c>
      <c r="F212" s="53" t="n">
        <v>39.2</v>
      </c>
      <c r="G212" s="54">
        <f>myParidad('Flujo de Fondos'!$N$5,$A212,F212,'Flujo de Fondos'!$N$7,'Flujo de Fondos'!$N$6)</f>
        <v/>
      </c>
      <c r="H212" s="53" t="n"/>
      <c r="I212" s="54">
        <f>myParidad('Flujo de Fondos'!$T$5,$A212,H212,'Flujo de Fondos'!$T$7,'Flujo de Fondos'!$T$6)</f>
        <v/>
      </c>
      <c r="J212" s="53" t="n">
        <v>37.3</v>
      </c>
      <c r="K212" s="54">
        <f>myParidad('Flujo de Fondos'!$B$34,$A212,J212,'Flujo de Fondos'!$B$36,'Flujo de Fondos'!$B$35)</f>
        <v/>
      </c>
      <c r="L212" s="53" t="n">
        <v>38.45</v>
      </c>
      <c r="M212" s="54">
        <f>myParidad('Flujo de Fondos'!$H$34,'Paridad usd'!$A212,'Paridad usd'!L212,'Flujo de Fondos'!$H$36,'Flujo de Fondos'!$H$35)</f>
        <v/>
      </c>
      <c r="N212" s="56" t="n">
        <v>35.39</v>
      </c>
      <c r="O212" s="54">
        <f>myParidad('Flujo de Fondos'!$N$34,'Paridad usd'!$A212,'Paridad usd'!N212,'Flujo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 ht="15.75" customHeight="1" s="76">
      <c r="A213" s="52" t="n">
        <v>44145</v>
      </c>
      <c r="B213" s="53" t="n">
        <v>45.15</v>
      </c>
      <c r="C213" s="54">
        <f>myParidad('Flujo de Fondos'!$B$5,A213,B213,'Flujo de Fondos'!$B$7,'Flujo de Fondos'!$B$6)</f>
        <v/>
      </c>
      <c r="D213" s="53" t="n">
        <v>46.49</v>
      </c>
      <c r="E213" s="55">
        <f>myParidad('Flujo de Fondos'!$H$5,$A213,D213,'Flujo de Fondos'!$H$7,'Flujo de Fondos'!$H$6)</f>
        <v/>
      </c>
      <c r="F213" s="53" t="n">
        <v>38.4</v>
      </c>
      <c r="G213" s="54">
        <f>myParidad('Flujo de Fondos'!$N$5,$A213,F213,'Flujo de Fondos'!$N$7,'Flujo de Fondos'!$N$6)</f>
        <v/>
      </c>
      <c r="H213" s="53" t="n"/>
      <c r="I213" s="54">
        <f>myParidad('Flujo de Fondos'!$T$5,$A213,H213,'Flujo de Fondos'!$T$7,'Flujo de Fondos'!$T$6)</f>
        <v/>
      </c>
      <c r="J213" s="53" t="n">
        <v>37.1</v>
      </c>
      <c r="K213" s="54">
        <f>myParidad('Flujo de Fondos'!$B$34,$A213,J213,'Flujo de Fondos'!$B$36,'Flujo de Fondos'!$B$35)</f>
        <v/>
      </c>
      <c r="L213" s="53" t="n">
        <v>38.5</v>
      </c>
      <c r="M213" s="54">
        <f>myParidad('Flujo de Fondos'!$H$34,'Paridad usd'!$A213,'Paridad usd'!L213,'Flujo de Fondos'!$H$36,'Flujo de Fondos'!$H$35)</f>
        <v/>
      </c>
      <c r="N213" s="56" t="n">
        <v>35.2</v>
      </c>
      <c r="O213" s="54">
        <f>myParidad('Flujo de Fondos'!$N$34,'Paridad usd'!$A213,'Paridad usd'!N213,'Flujo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44144</v>
      </c>
      <c r="B214" s="53" t="n">
        <v>45.7</v>
      </c>
      <c r="C214" s="54">
        <f>myParidad('Flujo de Fondos'!$B$5,A214,B214,'Flujo de Fondos'!$B$7,'Flujo de Fondos'!$B$6)</f>
        <v/>
      </c>
      <c r="D214" s="53" t="n">
        <v>46</v>
      </c>
      <c r="E214" s="55">
        <f>myParidad('Flujo de Fondos'!$H$5,$A214,D214,'Flujo de Fondos'!$H$7,'Flujo de Fondos'!$H$6)</f>
        <v/>
      </c>
      <c r="F214" s="53" t="n">
        <v>38.35</v>
      </c>
      <c r="G214" s="54">
        <f>myParidad('Flujo de Fondos'!$N$5,$A214,F214,'Flujo de Fondos'!$N$7,'Flujo de Fondos'!$N$6)</f>
        <v/>
      </c>
      <c r="H214" s="53" t="n"/>
      <c r="I214" s="54">
        <f>myParidad('Flujo de Fondos'!$T$5,$A214,H214,'Flujo de Fondos'!$T$7,'Flujo de Fondos'!$T$6)</f>
        <v/>
      </c>
      <c r="J214" s="53" t="n">
        <v>37.25</v>
      </c>
      <c r="K214" s="54">
        <f>myParidad('Flujo de Fondos'!$B$34,$A214,J214,'Flujo de Fondos'!$B$36,'Flujo de Fondos'!$B$35)</f>
        <v/>
      </c>
      <c r="L214" s="53" t="n">
        <v>37.9</v>
      </c>
      <c r="M214" s="54">
        <f>myParidad('Flujo de Fondos'!$H$34,'Paridad usd'!$A214,'Paridad usd'!L214,'Flujo de Fondos'!$H$36,'Flujo de Fondos'!$H$35)</f>
        <v/>
      </c>
      <c r="N214" s="56" t="n">
        <v>34.75</v>
      </c>
      <c r="O214" s="54">
        <f>myParidad('Flujo de Fondos'!$N$34,'Paridad usd'!$A214,'Paridad usd'!N214,'Flujo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44141</v>
      </c>
      <c r="B215" s="53" t="n">
        <v>45.41</v>
      </c>
      <c r="C215" s="54">
        <f>myParidad('Flujo de Fondos'!$B$5,A215,B215,'Flujo de Fondos'!$B$7,'Flujo de Fondos'!$B$6)</f>
        <v/>
      </c>
      <c r="D215" s="53" t="n">
        <v>45.6</v>
      </c>
      <c r="E215" s="55">
        <f>myParidad('Flujo de Fondos'!$H$5,$A215,D215,'Flujo de Fondos'!$H$7,'Flujo de Fondos'!$H$6)</f>
        <v/>
      </c>
      <c r="F215" s="53" t="n">
        <v>38</v>
      </c>
      <c r="G215" s="54">
        <f>myParidad('Flujo de Fondos'!$N$5,$A215,F215,'Flujo de Fondos'!$N$7,'Flujo de Fondos'!$N$6)</f>
        <v/>
      </c>
      <c r="H215" s="53" t="n"/>
      <c r="I215" s="54">
        <f>myParidad('Flujo de Fondos'!$T$5,$A215,H215,'Flujo de Fondos'!$T$7,'Flujo de Fondos'!$T$6)</f>
        <v/>
      </c>
      <c r="J215" s="53" t="n">
        <v>35.8</v>
      </c>
      <c r="K215" s="54">
        <f>myParidad('Flujo de Fondos'!$B$34,$A215,J215,'Flujo de Fondos'!$B$36,'Flujo de Fondos'!$B$35)</f>
        <v/>
      </c>
      <c r="L215" s="53" t="n">
        <v>37.38</v>
      </c>
      <c r="M215" s="54">
        <f>myParidad('Flujo de Fondos'!$H$34,'Paridad usd'!$A215,'Paridad usd'!L215,'Flujo de Fondos'!$H$36,'Flujo de Fondos'!$H$35)</f>
        <v/>
      </c>
      <c r="N215" s="56" t="n">
        <v>34.59</v>
      </c>
      <c r="O215" s="54">
        <f>myParidad('Flujo de Fondos'!$N$34,'Paridad usd'!$A215,'Paridad usd'!N215,'Flujo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44140</v>
      </c>
      <c r="B216" s="53" t="n">
        <v>45.5</v>
      </c>
      <c r="C216" s="54">
        <f>myParidad('Flujo de Fondos'!$B$5,A216,B216,'Flujo de Fondos'!$B$7,'Flujo de Fondos'!$B$6)</f>
        <v/>
      </c>
      <c r="D216" s="53" t="n">
        <v>46.5</v>
      </c>
      <c r="E216" s="55">
        <f>myParidad('Flujo de Fondos'!$H$5,$A216,D216,'Flujo de Fondos'!$H$7,'Flujo de Fondos'!$H$6)</f>
        <v/>
      </c>
      <c r="F216" s="53" t="n">
        <v>37.99</v>
      </c>
      <c r="G216" s="54">
        <f>myParidad('Flujo de Fondos'!$N$5,$A216,F216,'Flujo de Fondos'!$N$7,'Flujo de Fondos'!$N$6)</f>
        <v/>
      </c>
      <c r="H216" s="53" t="n"/>
      <c r="I216" s="54">
        <f>myParidad('Flujo de Fondos'!$T$5,$A216,H216,'Flujo de Fondos'!$T$7,'Flujo de Fondos'!$T$6)</f>
        <v/>
      </c>
      <c r="J216" s="53" t="n">
        <v>36.25</v>
      </c>
      <c r="K216" s="54">
        <f>myParidad('Flujo de Fondos'!$B$34,$A216,J216,'Flujo de Fondos'!$B$36,'Flujo de Fondos'!$B$35)</f>
        <v/>
      </c>
      <c r="L216" s="53" t="n">
        <v>37.4</v>
      </c>
      <c r="M216" s="54">
        <f>myParidad('Flujo de Fondos'!$H$34,'Paridad usd'!$A216,'Paridad usd'!L216,'Flujo de Fondos'!$H$36,'Flujo de Fondos'!$H$35)</f>
        <v/>
      </c>
      <c r="N216" s="56" t="n">
        <v>34.61</v>
      </c>
      <c r="O216" s="54">
        <f>myParidad('Flujo de Fondos'!$N$34,'Paridad usd'!$A216,'Paridad usd'!N216,'Flujo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44139</v>
      </c>
      <c r="B217" s="53" t="n">
        <v>44.9</v>
      </c>
      <c r="C217" s="54">
        <f>myParidad('Flujo de Fondos'!$B$5,A217,B217,'Flujo de Fondos'!$B$7,'Flujo de Fondos'!$B$6)</f>
        <v/>
      </c>
      <c r="D217" s="53" t="n">
        <v>45.45</v>
      </c>
      <c r="E217" s="55">
        <f>myParidad('Flujo de Fondos'!$H$5,$A217,D217,'Flujo de Fondos'!$H$7,'Flujo de Fondos'!$H$6)</f>
        <v/>
      </c>
      <c r="F217" s="53" t="n">
        <v>38.39</v>
      </c>
      <c r="G217" s="54">
        <f>myParidad('Flujo de Fondos'!$N$5,$A217,F217,'Flujo de Fondos'!$N$7,'Flujo de Fondos'!$N$6)</f>
        <v/>
      </c>
      <c r="H217" s="53" t="n"/>
      <c r="I217" s="54">
        <f>myParidad('Flujo de Fondos'!$T$5,$A217,H217,'Flujo de Fondos'!$T$7,'Flujo de Fondos'!$T$6)</f>
        <v/>
      </c>
      <c r="J217" s="53" t="n">
        <v>35.6</v>
      </c>
      <c r="K217" s="54">
        <f>myParidad('Flujo de Fondos'!$B$34,$A217,J217,'Flujo de Fondos'!$B$36,'Flujo de Fondos'!$B$35)</f>
        <v/>
      </c>
      <c r="L217" s="53" t="n">
        <v>37.25</v>
      </c>
      <c r="M217" s="54">
        <f>myParidad('Flujo de Fondos'!$H$34,'Paridad usd'!$A217,'Paridad usd'!L217,'Flujo de Fondos'!$H$36,'Flujo de Fondos'!$H$35)</f>
        <v/>
      </c>
      <c r="N217" s="56" t="n">
        <v>34</v>
      </c>
      <c r="O217" s="54">
        <f>myParidad('Flujo de Fondos'!$N$34,'Paridad usd'!$A217,'Paridad usd'!N217,'Flujo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44138</v>
      </c>
      <c r="B218" s="53" t="n">
        <v>44.8</v>
      </c>
      <c r="C218" s="54">
        <f>myParidad('Flujo de Fondos'!$B$5,A218,B218,'Flujo de Fondos'!$B$7,'Flujo de Fondos'!$B$6)</f>
        <v/>
      </c>
      <c r="D218" s="53" t="n">
        <v>44.76</v>
      </c>
      <c r="E218" s="55">
        <f>myParidad('Flujo de Fondos'!$H$5,$A218,D218,'Flujo de Fondos'!$H$7,'Flujo de Fondos'!$H$6)</f>
        <v/>
      </c>
      <c r="F218" s="53" t="n">
        <v>38.38</v>
      </c>
      <c r="G218" s="54">
        <f>myParidad('Flujo de Fondos'!$N$5,$A218,F218,'Flujo de Fondos'!$N$7,'Flujo de Fondos'!$N$6)</f>
        <v/>
      </c>
      <c r="H218" s="53" t="n"/>
      <c r="I218" s="54">
        <f>myParidad('Flujo de Fondos'!$T$5,$A218,H218,'Flujo de Fondos'!$T$7,'Flujo de Fondos'!$T$6)</f>
        <v/>
      </c>
      <c r="J218" s="53" t="n">
        <v>35.5</v>
      </c>
      <c r="K218" s="54">
        <f>myParidad('Flujo de Fondos'!$B$34,$A218,J218,'Flujo de Fondos'!$B$36,'Flujo de Fondos'!$B$35)</f>
        <v/>
      </c>
      <c r="L218" s="53" t="n">
        <v>36.85</v>
      </c>
      <c r="M218" s="54">
        <f>myParidad('Flujo de Fondos'!$H$34,'Paridad usd'!$A218,'Paridad usd'!L218,'Flujo de Fondos'!$H$36,'Flujo de Fondos'!$H$35)</f>
        <v/>
      </c>
      <c r="N218" s="56" t="n">
        <v>34.02</v>
      </c>
      <c r="O218" s="54">
        <f>myParidad('Flujo de Fondos'!$N$34,'Paridad usd'!$A218,'Paridad usd'!N218,'Flujo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44137</v>
      </c>
      <c r="B219" s="53" t="n">
        <v>43.71</v>
      </c>
      <c r="C219" s="54">
        <f>myParidad('Flujo de Fondos'!$B$5,A219,B219,'Flujo de Fondos'!$B$7,'Flujo de Fondos'!$B$6)</f>
        <v/>
      </c>
      <c r="D219" s="53" t="n">
        <v>44.83</v>
      </c>
      <c r="E219" s="55">
        <f>myParidad('Flujo de Fondos'!$H$5,$A219,D219,'Flujo de Fondos'!$H$7,'Flujo de Fondos'!$H$6)</f>
        <v/>
      </c>
      <c r="F219" s="53" t="n">
        <v>38.64</v>
      </c>
      <c r="G219" s="54">
        <f>myParidad('Flujo de Fondos'!$N$5,$A219,F219,'Flujo de Fondos'!$N$7,'Flujo de Fondos'!$N$6)</f>
        <v/>
      </c>
      <c r="H219" s="53" t="n"/>
      <c r="I219" s="54">
        <f>myParidad('Flujo de Fondos'!$T$5,$A219,H219,'Flujo de Fondos'!$T$7,'Flujo de Fondos'!$T$6)</f>
        <v/>
      </c>
      <c r="J219" s="53" t="n">
        <v>35.06</v>
      </c>
      <c r="K219" s="54">
        <f>myParidad('Flujo de Fondos'!$B$34,$A219,J219,'Flujo de Fondos'!$B$36,'Flujo de Fondos'!$B$35)</f>
        <v/>
      </c>
      <c r="L219" s="53" t="n">
        <v>36.25</v>
      </c>
      <c r="M219" s="54">
        <f>myParidad('Flujo de Fondos'!$H$34,'Paridad usd'!$A219,'Paridad usd'!L219,'Flujo de Fondos'!$H$36,'Flujo de Fondos'!$H$35)</f>
        <v/>
      </c>
      <c r="N219" s="56" t="n">
        <v>33.6</v>
      </c>
      <c r="O219" s="54">
        <f>myParidad('Flujo de Fondos'!$N$34,'Paridad usd'!$A219,'Paridad usd'!N219,'Flujo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44134</v>
      </c>
      <c r="B220" s="53" t="n">
        <v>44.9</v>
      </c>
      <c r="C220" s="54">
        <f>myParidad('Flujo de Fondos'!$B$5,A220,B220,'Flujo de Fondos'!$B$7,'Flujo de Fondos'!$B$6)</f>
        <v/>
      </c>
      <c r="D220" s="53" t="n">
        <v>46.5</v>
      </c>
      <c r="E220" s="55">
        <f>myParidad('Flujo de Fondos'!$H$5,$A220,D220,'Flujo de Fondos'!$H$7,'Flujo de Fondos'!$H$6)</f>
        <v/>
      </c>
      <c r="F220" s="53" t="n">
        <v>38.05</v>
      </c>
      <c r="G220" s="54">
        <f>myParidad('Flujo de Fondos'!$N$5,$A220,F220,'Flujo de Fondos'!$N$7,'Flujo de Fondos'!$N$6)</f>
        <v/>
      </c>
      <c r="H220" s="53" t="n"/>
      <c r="I220" s="54">
        <f>myParidad('Flujo de Fondos'!$T$5,$A220,H220,'Flujo de Fondos'!$T$7,'Flujo de Fondos'!$T$6)</f>
        <v/>
      </c>
      <c r="J220" s="53" t="n">
        <v>35.1</v>
      </c>
      <c r="K220" s="54">
        <f>myParidad('Flujo de Fondos'!$B$34,$A220,J220,'Flujo de Fondos'!$B$36,'Flujo de Fondos'!$B$35)</f>
        <v/>
      </c>
      <c r="L220" s="53" t="n">
        <v>35.98</v>
      </c>
      <c r="M220" s="54">
        <f>myParidad('Flujo de Fondos'!$H$34,'Paridad usd'!$A220,'Paridad usd'!L220,'Flujo de Fondos'!$H$36,'Flujo de Fondos'!$H$35)</f>
        <v/>
      </c>
      <c r="N220" s="56" t="n">
        <v>33.5</v>
      </c>
      <c r="O220" s="54">
        <f>myParidad('Flujo de Fondos'!$N$34,'Paridad usd'!$A220,'Paridad usd'!N220,'Flujo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44133</v>
      </c>
      <c r="B221" s="53" t="n">
        <v>45.45</v>
      </c>
      <c r="C221" s="54">
        <f>myParidad('Flujo de Fondos'!$B$5,A221,B221,'Flujo de Fondos'!$B$7,'Flujo de Fondos'!$B$6)</f>
        <v/>
      </c>
      <c r="D221" s="53" t="n">
        <v>46.7</v>
      </c>
      <c r="E221" s="55">
        <f>myParidad('Flujo de Fondos'!$H$5,$A221,D221,'Flujo de Fondos'!$H$7,'Flujo de Fondos'!$H$6)</f>
        <v/>
      </c>
      <c r="F221" s="53" t="n">
        <v>38.74</v>
      </c>
      <c r="G221" s="54">
        <f>myParidad('Flujo de Fondos'!$N$5,$A221,F221,'Flujo de Fondos'!$N$7,'Flujo de Fondos'!$N$6)</f>
        <v/>
      </c>
      <c r="H221" s="53" t="n"/>
      <c r="I221" s="54">
        <f>myParidad('Flujo de Fondos'!$T$5,$A221,H221,'Flujo de Fondos'!$T$7,'Flujo de Fondos'!$T$6)</f>
        <v/>
      </c>
      <c r="J221" s="53" t="n">
        <v>35.01</v>
      </c>
      <c r="K221" s="54">
        <f>myParidad('Flujo de Fondos'!$B$34,$A221,J221,'Flujo de Fondos'!$B$36,'Flujo de Fondos'!$B$35)</f>
        <v/>
      </c>
      <c r="L221" s="53" t="n">
        <v>36.09</v>
      </c>
      <c r="M221" s="54">
        <f>myParidad('Flujo de Fondos'!$H$34,'Paridad usd'!$A221,'Paridad usd'!L221,'Flujo de Fondos'!$H$36,'Flujo de Fondos'!$H$35)</f>
        <v/>
      </c>
      <c r="N221" s="56" t="n">
        <v>33.65</v>
      </c>
      <c r="O221" s="54">
        <f>myParidad('Flujo de Fondos'!$N$34,'Paridad usd'!$A221,'Paridad usd'!N221,'Flujo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44132</v>
      </c>
      <c r="B222" s="53" t="n">
        <v>44.2</v>
      </c>
      <c r="C222" s="54">
        <f>myParidad('Flujo de Fondos'!$B$5,A222,B222,'Flujo de Fondos'!$B$7,'Flujo de Fondos'!$B$6)</f>
        <v/>
      </c>
      <c r="D222" s="53" t="n">
        <v>48</v>
      </c>
      <c r="E222" s="55">
        <f>myParidad('Flujo de Fondos'!$H$5,$A222,D222,'Flujo de Fondos'!$H$7,'Flujo de Fondos'!$H$6)</f>
        <v/>
      </c>
      <c r="F222" s="53" t="n">
        <v>38.8</v>
      </c>
      <c r="G222" s="54">
        <f>myParidad('Flujo de Fondos'!$N$5,$A222,F222,'Flujo de Fondos'!$N$7,'Flujo de Fondos'!$N$6)</f>
        <v/>
      </c>
      <c r="H222" s="53" t="n"/>
      <c r="I222" s="54">
        <f>myParidad('Flujo de Fondos'!$T$5,$A222,H222,'Flujo de Fondos'!$T$7,'Flujo de Fondos'!$T$6)</f>
        <v/>
      </c>
      <c r="J222" s="53" t="n">
        <v>35</v>
      </c>
      <c r="K222" s="54">
        <f>myParidad('Flujo de Fondos'!$B$34,$A222,J222,'Flujo de Fondos'!$B$36,'Flujo de Fondos'!$B$35)</f>
        <v/>
      </c>
      <c r="L222" s="53" t="n">
        <v>36.1</v>
      </c>
      <c r="M222" s="54">
        <f>myParidad('Flujo de Fondos'!$H$34,'Paridad usd'!$A222,'Paridad usd'!L222,'Flujo de Fondos'!$H$36,'Flujo de Fondos'!$H$35)</f>
        <v/>
      </c>
      <c r="N222" s="56" t="n">
        <v>33.79</v>
      </c>
      <c r="O222" s="54">
        <f>myParidad('Flujo de Fondos'!$N$34,'Paridad usd'!$A222,'Paridad usd'!N222,'Flujo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44131</v>
      </c>
      <c r="B223" s="53" t="n">
        <v>43</v>
      </c>
      <c r="C223" s="54">
        <f>myParidad('Flujo de Fondos'!$B$5,A223,B223,'Flujo de Fondos'!$B$7,'Flujo de Fondos'!$B$6)</f>
        <v/>
      </c>
      <c r="D223" s="53" t="n">
        <v>45</v>
      </c>
      <c r="E223" s="55">
        <f>myParidad('Flujo de Fondos'!$H$5,$A223,D223,'Flujo de Fondos'!$H$7,'Flujo de Fondos'!$H$6)</f>
        <v/>
      </c>
      <c r="F223" s="53" t="n">
        <v>39.22</v>
      </c>
      <c r="G223" s="54">
        <f>myParidad('Flujo de Fondos'!$N$5,$A223,F223,'Flujo de Fondos'!$N$7,'Flujo de Fondos'!$N$6)</f>
        <v/>
      </c>
      <c r="H223" s="53" t="n"/>
      <c r="I223" s="54">
        <f>myParidad('Flujo de Fondos'!$T$5,$A223,H223,'Flujo de Fondos'!$T$7,'Flujo de Fondos'!$T$6)</f>
        <v/>
      </c>
      <c r="J223" s="53" t="n">
        <v>35.2</v>
      </c>
      <c r="K223" s="54">
        <f>myParidad('Flujo de Fondos'!$B$34,$A223,J223,'Flujo de Fondos'!$B$36,'Flujo de Fondos'!$B$35)</f>
        <v/>
      </c>
      <c r="L223" s="53" t="n">
        <v>36.6</v>
      </c>
      <c r="M223" s="54">
        <f>myParidad('Flujo de Fondos'!$H$34,'Paridad usd'!$A223,'Paridad usd'!L223,'Flujo de Fondos'!$H$36,'Flujo de Fondos'!$H$35)</f>
        <v/>
      </c>
      <c r="N223" s="56" t="n">
        <v>34</v>
      </c>
      <c r="O223" s="54">
        <f>myParidad('Flujo de Fondos'!$N$34,'Paridad usd'!$A223,'Paridad usd'!N223,'Flujo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44130</v>
      </c>
      <c r="B224" s="53" t="n">
        <v>40.56</v>
      </c>
      <c r="C224" s="54">
        <f>myParidad('Flujo de Fondos'!$B$5,A224,B224,'Flujo de Fondos'!$B$7,'Flujo de Fondos'!$B$6)</f>
        <v/>
      </c>
      <c r="D224" s="53" t="n">
        <v>47</v>
      </c>
      <c r="E224" s="55">
        <f>myParidad('Flujo de Fondos'!$H$5,$A224,D224,'Flujo de Fondos'!$H$7,'Flujo de Fondos'!$H$6)</f>
        <v/>
      </c>
      <c r="F224" s="53" t="n">
        <v>38.23</v>
      </c>
      <c r="G224" s="54">
        <f>myParidad('Flujo de Fondos'!$N$5,$A224,F224,'Flujo de Fondos'!$N$7,'Flujo de Fondos'!$N$6)</f>
        <v/>
      </c>
      <c r="H224" s="53" t="n"/>
      <c r="I224" s="54">
        <f>myParidad('Flujo de Fondos'!$T$5,$A224,H224,'Flujo de Fondos'!$T$7,'Flujo de Fondos'!$T$6)</f>
        <v/>
      </c>
      <c r="J224" s="53" t="n">
        <v>34.2</v>
      </c>
      <c r="K224" s="54">
        <f>myParidad('Flujo de Fondos'!$B$34,$A224,J224,'Flujo de Fondos'!$B$36,'Flujo de Fondos'!$B$35)</f>
        <v/>
      </c>
      <c r="L224" s="53" t="n">
        <v>36</v>
      </c>
      <c r="M224" s="54">
        <f>myParidad('Flujo de Fondos'!$H$34,'Paridad usd'!$A224,'Paridad usd'!L224,'Flujo de Fondos'!$H$36,'Flujo de Fondos'!$H$35)</f>
        <v/>
      </c>
      <c r="N224" s="56" t="n">
        <v>33.4</v>
      </c>
      <c r="O224" s="54">
        <f>myParidad('Flujo de Fondos'!$N$34,'Paridad usd'!$A224,'Paridad usd'!N224,'Flujo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44127</v>
      </c>
      <c r="B225" s="53" t="n">
        <v>43.66</v>
      </c>
      <c r="C225" s="54">
        <f>myParidad('Flujo de Fondos'!$B$5,A225,B225,'Flujo de Fondos'!$B$7,'Flujo de Fondos'!$B$6)</f>
        <v/>
      </c>
      <c r="D225" s="53" t="n">
        <v>49</v>
      </c>
      <c r="E225" s="55">
        <f>myParidad('Flujo de Fondos'!$H$5,$A225,D225,'Flujo de Fondos'!$H$7,'Flujo de Fondos'!$H$6)</f>
        <v/>
      </c>
      <c r="F225" s="53" t="n">
        <v>40.15</v>
      </c>
      <c r="G225" s="54">
        <f>myParidad('Flujo de Fondos'!$N$5,$A225,F225,'Flujo de Fondos'!$N$7,'Flujo de Fondos'!$N$6)</f>
        <v/>
      </c>
      <c r="H225" s="53" t="n"/>
      <c r="I225" s="54">
        <f>myParidad('Flujo de Fondos'!$T$5,$A225,H225,'Flujo de Fondos'!$T$7,'Flujo de Fondos'!$T$6)</f>
        <v/>
      </c>
      <c r="J225" s="53" t="n">
        <v>35.45</v>
      </c>
      <c r="K225" s="54">
        <f>myParidad('Flujo de Fondos'!$B$34,$A225,J225,'Flujo de Fondos'!$B$36,'Flujo de Fondos'!$B$35)</f>
        <v/>
      </c>
      <c r="L225" s="53" t="n">
        <v>37.28</v>
      </c>
      <c r="M225" s="54">
        <f>myParidad('Flujo de Fondos'!$H$34,'Paridad usd'!$A225,'Paridad usd'!L225,'Flujo de Fondos'!$H$36,'Flujo de Fondos'!$H$35)</f>
        <v/>
      </c>
      <c r="N225" s="56" t="n">
        <v>34.15</v>
      </c>
      <c r="O225" s="54">
        <f>myParidad('Flujo de Fondos'!$N$34,'Paridad usd'!$A225,'Paridad usd'!N225,'Flujo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44126</v>
      </c>
      <c r="B226" s="53" t="n">
        <v>42.1</v>
      </c>
      <c r="C226" s="54">
        <f>myParidad('Flujo de Fondos'!$B$5,A226,B226,'Flujo de Fondos'!$B$7,'Flujo de Fondos'!$B$6)</f>
        <v/>
      </c>
      <c r="D226" s="53" t="n">
        <v>48</v>
      </c>
      <c r="E226" s="55">
        <f>myParidad('Flujo de Fondos'!$H$5,$A226,D226,'Flujo de Fondos'!$H$7,'Flujo de Fondos'!$H$6)</f>
        <v/>
      </c>
      <c r="F226" s="53" t="n">
        <v>40.1</v>
      </c>
      <c r="G226" s="54">
        <f>myParidad('Flujo de Fondos'!$N$5,$A226,F226,'Flujo de Fondos'!$N$7,'Flujo de Fondos'!$N$6)</f>
        <v/>
      </c>
      <c r="H226" s="53" t="n"/>
      <c r="I226" s="54">
        <f>myParidad('Flujo de Fondos'!$T$5,$A226,H226,'Flujo de Fondos'!$T$7,'Flujo de Fondos'!$T$6)</f>
        <v/>
      </c>
      <c r="J226" s="53" t="n">
        <v>35</v>
      </c>
      <c r="K226" s="54">
        <f>myParidad('Flujo de Fondos'!$B$34,$A226,J226,'Flujo de Fondos'!$B$36,'Flujo de Fondos'!$B$35)</f>
        <v/>
      </c>
      <c r="L226" s="53" t="n">
        <v>37.74</v>
      </c>
      <c r="M226" s="54">
        <f>myParidad('Flujo de Fondos'!$H$34,'Paridad usd'!$A226,'Paridad usd'!L226,'Flujo de Fondos'!$H$36,'Flujo de Fondos'!$H$35)</f>
        <v/>
      </c>
      <c r="N226" s="56" t="n">
        <v>34.6</v>
      </c>
      <c r="O226" s="54">
        <f>myParidad('Flujo de Fondos'!$N$34,'Paridad usd'!$A226,'Paridad usd'!N226,'Flujo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44125</v>
      </c>
      <c r="B227" s="53" t="n">
        <v>41.18</v>
      </c>
      <c r="C227" s="54">
        <f>myParidad('Flujo de Fondos'!$B$5,A227,B227,'Flujo de Fondos'!$B$7,'Flujo de Fondos'!$B$6)</f>
        <v/>
      </c>
      <c r="D227" s="53" t="n">
        <v>44.3</v>
      </c>
      <c r="E227" s="55">
        <f>myParidad('Flujo de Fondos'!$H$5,$A227,D227,'Flujo de Fondos'!$H$7,'Flujo de Fondos'!$H$6)</f>
        <v/>
      </c>
      <c r="F227" s="53" t="n">
        <v>40.3</v>
      </c>
      <c r="G227" s="54">
        <f>myParidad('Flujo de Fondos'!$N$5,$A227,F227,'Flujo de Fondos'!$N$7,'Flujo de Fondos'!$N$6)</f>
        <v/>
      </c>
      <c r="H227" s="53" t="n"/>
      <c r="I227" s="54">
        <f>myParidad('Flujo de Fondos'!$T$5,$A227,H227,'Flujo de Fondos'!$T$7,'Flujo de Fondos'!$T$6)</f>
        <v/>
      </c>
      <c r="J227" s="53" t="n">
        <v>34.5</v>
      </c>
      <c r="K227" s="54">
        <f>myParidad('Flujo de Fondos'!$B$34,$A227,J227,'Flujo de Fondos'!$B$36,'Flujo de Fondos'!$B$35)</f>
        <v/>
      </c>
      <c r="L227" s="53" t="n">
        <v>36.75</v>
      </c>
      <c r="M227" s="54">
        <f>myParidad('Flujo de Fondos'!$H$34,'Paridad usd'!$A227,'Paridad usd'!L227,'Flujo de Fondos'!$H$36,'Flujo de Fondos'!$H$35)</f>
        <v/>
      </c>
      <c r="N227" s="56" t="n">
        <v>33.95</v>
      </c>
      <c r="O227" s="54">
        <f>myParidad('Flujo de Fondos'!$N$34,'Paridad usd'!$A227,'Paridad usd'!N227,'Flujo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44124</v>
      </c>
      <c r="B228" s="53" t="n">
        <v>41.7</v>
      </c>
      <c r="C228" s="54">
        <f>myParidad('Flujo de Fondos'!$B$5,A228,B228,'Flujo de Fondos'!$B$7,'Flujo de Fondos'!$B$6)</f>
        <v/>
      </c>
      <c r="D228" s="53" t="n">
        <v>44.5</v>
      </c>
      <c r="E228" s="55">
        <f>myParidad('Flujo de Fondos'!$H$5,$A228,D228,'Flujo de Fondos'!$H$7,'Flujo de Fondos'!$H$6)</f>
        <v/>
      </c>
      <c r="F228" s="53" t="n">
        <v>41.38</v>
      </c>
      <c r="G228" s="54">
        <f>myParidad('Flujo de Fondos'!$N$5,$A228,F228,'Flujo de Fondos'!$N$7,'Flujo de Fondos'!$N$6)</f>
        <v/>
      </c>
      <c r="H228" s="53" t="n"/>
      <c r="I228" s="54">
        <f>myParidad('Flujo de Fondos'!$T$5,$A228,H228,'Flujo de Fondos'!$T$7,'Flujo de Fondos'!$T$6)</f>
        <v/>
      </c>
      <c r="J228" s="53" t="n">
        <v>36.04</v>
      </c>
      <c r="K228" s="54">
        <f>myParidad('Flujo de Fondos'!$B$34,$A228,J228,'Flujo de Fondos'!$B$36,'Flujo de Fondos'!$B$35)</f>
        <v/>
      </c>
      <c r="L228" s="53" t="n">
        <v>37.8</v>
      </c>
      <c r="M228" s="54">
        <f>myParidad('Flujo de Fondos'!$H$34,'Paridad usd'!$A228,'Paridad usd'!L228,'Flujo de Fondos'!$H$36,'Flujo de Fondos'!$H$35)</f>
        <v/>
      </c>
      <c r="N228" s="56" t="n">
        <v>34.8</v>
      </c>
      <c r="O228" s="54">
        <f>myParidad('Flujo de Fondos'!$N$34,'Paridad usd'!$A228,'Paridad usd'!N228,'Flujo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44123</v>
      </c>
      <c r="B229" s="53" t="n">
        <v>43.51</v>
      </c>
      <c r="C229" s="54">
        <f>myParidad('Flujo de Fondos'!$B$5,A229,B229,'Flujo de Fondos'!$B$7,'Flujo de Fondos'!$B$6)</f>
        <v/>
      </c>
      <c r="D229" s="53" t="n">
        <v>45.1</v>
      </c>
      <c r="E229" s="55">
        <f>myParidad('Flujo de Fondos'!$H$5,$A229,D229,'Flujo de Fondos'!$H$7,'Flujo de Fondos'!$H$6)</f>
        <v/>
      </c>
      <c r="F229" s="53" t="n">
        <v>43.35</v>
      </c>
      <c r="G229" s="54">
        <f>myParidad('Flujo de Fondos'!$N$5,$A229,F229,'Flujo de Fondos'!$N$7,'Flujo de Fondos'!$N$6)</f>
        <v/>
      </c>
      <c r="H229" s="53" t="n"/>
      <c r="I229" s="54">
        <f>myParidad('Flujo de Fondos'!$T$5,$A229,H229,'Flujo de Fondos'!$T$7,'Flujo de Fondos'!$T$6)</f>
        <v/>
      </c>
      <c r="J229" s="53" t="n">
        <v>35.95</v>
      </c>
      <c r="K229" s="54">
        <f>myParidad('Flujo de Fondos'!$B$34,$A229,J229,'Flujo de Fondos'!$B$36,'Flujo de Fondos'!$B$35)</f>
        <v/>
      </c>
      <c r="L229" s="53" t="n">
        <v>38.85</v>
      </c>
      <c r="M229" s="54">
        <f>myParidad('Flujo de Fondos'!$H$34,'Paridad usd'!$A229,'Paridad usd'!L229,'Flujo de Fondos'!$H$36,'Flujo de Fondos'!$H$35)</f>
        <v/>
      </c>
      <c r="N229" s="56" t="n">
        <v>35.8</v>
      </c>
      <c r="O229" s="54">
        <f>myParidad('Flujo de Fondos'!$N$34,'Paridad usd'!$A229,'Paridad usd'!N229,'Flujo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44120</v>
      </c>
      <c r="B230" s="53" t="n">
        <v>44.3</v>
      </c>
      <c r="C230" s="54">
        <f>myParidad('Flujo de Fondos'!$B$5,A230,B230,'Flujo de Fondos'!$B$7,'Flujo de Fondos'!$B$6)</f>
        <v/>
      </c>
      <c r="D230" s="53" t="n">
        <v>47</v>
      </c>
      <c r="E230" s="55">
        <f>myParidad('Flujo de Fondos'!$H$5,$A230,D230,'Flujo de Fondos'!$H$7,'Flujo de Fondos'!$H$6)</f>
        <v/>
      </c>
      <c r="F230" s="53" t="n">
        <v>44.19</v>
      </c>
      <c r="G230" s="54">
        <f>myParidad('Flujo de Fondos'!$N$5,$A230,F230,'Flujo de Fondos'!$N$7,'Flujo de Fondos'!$N$6)</f>
        <v/>
      </c>
      <c r="H230" s="53" t="n"/>
      <c r="I230" s="54">
        <f>myParidad('Flujo de Fondos'!$T$5,$A230,H230,'Flujo de Fondos'!$T$7,'Flujo de Fondos'!$T$6)</f>
        <v/>
      </c>
      <c r="J230" s="53" t="n">
        <v>37.67</v>
      </c>
      <c r="K230" s="54">
        <f>myParidad('Flujo de Fondos'!$B$34,$A230,J230,'Flujo de Fondos'!$B$36,'Flujo de Fondos'!$B$35)</f>
        <v/>
      </c>
      <c r="L230" s="53" t="n">
        <v>39.8</v>
      </c>
      <c r="M230" s="54">
        <f>myParidad('Flujo de Fondos'!$H$34,'Paridad usd'!$A230,'Paridad usd'!L230,'Flujo de Fondos'!$H$36,'Flujo de Fondos'!$H$35)</f>
        <v/>
      </c>
      <c r="N230" s="56" t="n">
        <v>35.8</v>
      </c>
      <c r="O230" s="54">
        <f>myParidad('Flujo de Fondos'!$N$34,'Paridad usd'!$A230,'Paridad usd'!N230,'Flujo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44119</v>
      </c>
      <c r="B231" s="53" t="n">
        <v>44.56</v>
      </c>
      <c r="C231" s="54">
        <f>myParidad('Flujo de Fondos'!$B$5,A231,B231,'Flujo de Fondos'!$B$7,'Flujo de Fondos'!$B$6)</f>
        <v/>
      </c>
      <c r="D231" s="53" t="n">
        <v>46.46</v>
      </c>
      <c r="E231" s="55">
        <f>myParidad('Flujo de Fondos'!$H$5,$A231,D231,'Flujo de Fondos'!$H$7,'Flujo de Fondos'!$H$6)</f>
        <v/>
      </c>
      <c r="F231" s="53" t="n">
        <v>44.4</v>
      </c>
      <c r="G231" s="54">
        <f>myParidad('Flujo de Fondos'!$N$5,$A231,F231,'Flujo de Fondos'!$N$7,'Flujo de Fondos'!$N$6)</f>
        <v/>
      </c>
      <c r="H231" s="53" t="n"/>
      <c r="I231" s="54">
        <f>myParidad('Flujo de Fondos'!$T$5,$A231,H231,'Flujo de Fondos'!$T$7,'Flujo de Fondos'!$T$6)</f>
        <v/>
      </c>
      <c r="J231" s="53" t="n">
        <v>38</v>
      </c>
      <c r="K231" s="54">
        <f>myParidad('Flujo de Fondos'!$B$34,$A231,J231,'Flujo de Fondos'!$B$36,'Flujo de Fondos'!$B$35)</f>
        <v/>
      </c>
      <c r="L231" s="53" t="n">
        <v>40.39</v>
      </c>
      <c r="M231" s="54">
        <f>myParidad('Flujo de Fondos'!$H$34,'Paridad usd'!$A231,'Paridad usd'!L231,'Flujo de Fondos'!$H$36,'Flujo de Fondos'!$H$35)</f>
        <v/>
      </c>
      <c r="N231" s="56" t="n">
        <v>36.5</v>
      </c>
      <c r="O231" s="54">
        <f>myParidad('Flujo de Fondos'!$N$34,'Paridad usd'!$A231,'Paridad usd'!N231,'Flujo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44118</v>
      </c>
      <c r="B232" s="53" t="n">
        <v>44.9</v>
      </c>
      <c r="C232" s="54">
        <f>myParidad('Flujo de Fondos'!$B$5,A232,B232,'Flujo de Fondos'!$B$7,'Flujo de Fondos'!$B$6)</f>
        <v/>
      </c>
      <c r="D232" s="53" t="n">
        <v>48.4</v>
      </c>
      <c r="E232" s="55">
        <f>myParidad('Flujo de Fondos'!$H$5,$A232,D232,'Flujo de Fondos'!$H$7,'Flujo de Fondos'!$H$6)</f>
        <v/>
      </c>
      <c r="F232" s="53" t="n">
        <v>44.45</v>
      </c>
      <c r="G232" s="54">
        <f>myParidad('Flujo de Fondos'!$N$5,$A232,F232,'Flujo de Fondos'!$N$7,'Flujo de Fondos'!$N$6)</f>
        <v/>
      </c>
      <c r="H232" s="53" t="n"/>
      <c r="I232" s="54">
        <f>myParidad('Flujo de Fondos'!$T$5,$A232,H232,'Flujo de Fondos'!$T$7,'Flujo de Fondos'!$T$6)</f>
        <v/>
      </c>
      <c r="J232" s="53" t="n">
        <v>39.38</v>
      </c>
      <c r="K232" s="54">
        <f>myParidad('Flujo de Fondos'!$B$34,$A232,J232,'Flujo de Fondos'!$B$36,'Flujo de Fondos'!$B$35)</f>
        <v/>
      </c>
      <c r="L232" s="53" t="n">
        <v>41.08</v>
      </c>
      <c r="M232" s="54">
        <f>myParidad('Flujo de Fondos'!$H$34,'Paridad usd'!$A232,'Paridad usd'!L232,'Flujo de Fondos'!$H$36,'Flujo de Fondos'!$H$35)</f>
        <v/>
      </c>
      <c r="N232" s="56" t="n">
        <v>38.2</v>
      </c>
      <c r="O232" s="54">
        <f>myParidad('Flujo de Fondos'!$N$34,'Paridad usd'!$A232,'Paridad usd'!N232,'Flujo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44117</v>
      </c>
      <c r="B233" s="53" t="n">
        <v>45.45</v>
      </c>
      <c r="C233" s="54">
        <f>myParidad('Flujo de Fondos'!$B$5,A233,B233,'Flujo de Fondos'!$B$7,'Flujo de Fondos'!$B$6)</f>
        <v/>
      </c>
      <c r="D233" s="53" t="n">
        <v>48.4</v>
      </c>
      <c r="E233" s="55">
        <f>myParidad('Flujo de Fondos'!$H$5,$A233,D233,'Flujo de Fondos'!$H$7,'Flujo de Fondos'!$H$6)</f>
        <v/>
      </c>
      <c r="F233" s="53" t="n">
        <v>44.74</v>
      </c>
      <c r="G233" s="54">
        <f>myParidad('Flujo de Fondos'!$N$5,$A233,F233,'Flujo de Fondos'!$N$7,'Flujo de Fondos'!$N$6)</f>
        <v/>
      </c>
      <c r="H233" s="53" t="n"/>
      <c r="I233" s="54">
        <f>myParidad('Flujo de Fondos'!$T$5,$A233,H233,'Flujo de Fondos'!$T$7,'Flujo de Fondos'!$T$6)</f>
        <v/>
      </c>
      <c r="J233" s="53" t="n">
        <v>39.7</v>
      </c>
      <c r="K233" s="54">
        <f>myParidad('Flujo de Fondos'!$B$34,$A233,J233,'Flujo de Fondos'!$B$36,'Flujo de Fondos'!$B$35)</f>
        <v/>
      </c>
      <c r="L233" s="53" t="n">
        <v>41.56</v>
      </c>
      <c r="M233" s="54">
        <f>myParidad('Flujo de Fondos'!$H$34,'Paridad usd'!$A233,'Paridad usd'!L233,'Flujo de Fondos'!$H$36,'Flujo de Fondos'!$H$35)</f>
        <v/>
      </c>
      <c r="N233" s="56" t="n">
        <v>39.25</v>
      </c>
      <c r="O233" s="54">
        <f>myParidad('Flujo de Fondos'!$N$34,'Paridad usd'!$A233,'Paridad usd'!N233,'Flujo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44113</v>
      </c>
      <c r="B234" s="53" t="n">
        <v>45.63</v>
      </c>
      <c r="C234" s="54">
        <f>myParidad('Flujo de Fondos'!$B$5,A234,B234,'Flujo de Fondos'!$B$7,'Flujo de Fondos'!$B$6)</f>
        <v/>
      </c>
      <c r="D234" s="53" t="n">
        <v>48.6</v>
      </c>
      <c r="E234" s="55">
        <f>myParidad('Flujo de Fondos'!$H$5,$A234,D234,'Flujo de Fondos'!$H$7,'Flujo de Fondos'!$H$6)</f>
        <v/>
      </c>
      <c r="F234" s="53" t="n">
        <v>44.73</v>
      </c>
      <c r="G234" s="54">
        <f>myParidad('Flujo de Fondos'!$N$5,$A234,F234,'Flujo de Fondos'!$N$7,'Flujo de Fondos'!$N$6)</f>
        <v/>
      </c>
      <c r="H234" s="53" t="n"/>
      <c r="I234" s="54">
        <f>myParidad('Flujo de Fondos'!$T$5,$A234,H234,'Flujo de Fondos'!$T$7,'Flujo de Fondos'!$T$6)</f>
        <v/>
      </c>
      <c r="J234" s="53" t="n">
        <v>40</v>
      </c>
      <c r="K234" s="54">
        <f>myParidad('Flujo de Fondos'!$B$34,$A234,J234,'Flujo de Fondos'!$B$36,'Flujo de Fondos'!$B$35)</f>
        <v/>
      </c>
      <c r="L234" s="53" t="n">
        <v>41.56</v>
      </c>
      <c r="M234" s="54">
        <f>myParidad('Flujo de Fondos'!$H$34,'Paridad usd'!$A234,'Paridad usd'!L234,'Flujo de Fondos'!$H$36,'Flujo de Fondos'!$H$35)</f>
        <v/>
      </c>
      <c r="N234" s="56" t="n">
        <v>39.5</v>
      </c>
      <c r="O234" s="54">
        <f>myParidad('Flujo de Fondos'!$N$34,'Paridad usd'!$A234,'Paridad usd'!N234,'Flujo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44112</v>
      </c>
      <c r="B235" s="53" t="n">
        <v>45.32</v>
      </c>
      <c r="C235" s="54">
        <f>myParidad('Flujo de Fondos'!$B$5,A235,B235,'Flujo de Fondos'!$B$7,'Flujo de Fondos'!$B$6)</f>
        <v/>
      </c>
      <c r="D235" s="53" t="n">
        <v>48.75</v>
      </c>
      <c r="E235" s="55">
        <f>myParidad('Flujo de Fondos'!$H$5,$A235,D235,'Flujo de Fondos'!$H$7,'Flujo de Fondos'!$H$6)</f>
        <v/>
      </c>
      <c r="F235" s="53" t="n">
        <v>44.7</v>
      </c>
      <c r="G235" s="54">
        <f>myParidad('Flujo de Fondos'!$N$5,$A235,F235,'Flujo de Fondos'!$N$7,'Flujo de Fondos'!$N$6)</f>
        <v/>
      </c>
      <c r="H235" s="53" t="n"/>
      <c r="I235" s="54">
        <f>myParidad('Flujo de Fondos'!$T$5,$A235,H235,'Flujo de Fondos'!$T$7,'Flujo de Fondos'!$T$6)</f>
        <v/>
      </c>
      <c r="J235" s="53" t="n">
        <v>39.88</v>
      </c>
      <c r="K235" s="54">
        <f>myParidad('Flujo de Fondos'!$B$34,$A235,J235,'Flujo de Fondos'!$B$36,'Flujo de Fondos'!$B$35)</f>
        <v/>
      </c>
      <c r="L235" s="53" t="n">
        <v>41.44</v>
      </c>
      <c r="M235" s="54">
        <f>myParidad('Flujo de Fondos'!$H$34,'Paridad usd'!$A235,'Paridad usd'!L235,'Flujo de Fondos'!$H$36,'Flujo de Fondos'!$H$35)</f>
        <v/>
      </c>
      <c r="N235" s="56" t="n">
        <v>39.5</v>
      </c>
      <c r="O235" s="54">
        <f>myParidad('Flujo de Fondos'!$N$34,'Paridad usd'!$A235,'Paridad usd'!N235,'Flujo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44111</v>
      </c>
      <c r="B236" s="53" t="n">
        <v>45.44</v>
      </c>
      <c r="C236" s="54">
        <f>myParidad('Flujo de Fondos'!$B$5,A236,B236,'Flujo de Fondos'!$B$7,'Flujo de Fondos'!$B$6)</f>
        <v/>
      </c>
      <c r="D236" s="53" t="n">
        <v>47.7</v>
      </c>
      <c r="E236" s="55">
        <f>myParidad('Flujo de Fondos'!$H$5,$A236,D236,'Flujo de Fondos'!$H$7,'Flujo de Fondos'!$H$6)</f>
        <v/>
      </c>
      <c r="F236" s="53" t="n">
        <v>44.8</v>
      </c>
      <c r="G236" s="54">
        <f>myParidad('Flujo de Fondos'!$N$5,$A236,F236,'Flujo de Fondos'!$N$7,'Flujo de Fondos'!$N$6)</f>
        <v/>
      </c>
      <c r="H236" s="53" t="n"/>
      <c r="I236" s="54">
        <f>myParidad('Flujo de Fondos'!$T$5,$A236,H236,'Flujo de Fondos'!$T$7,'Flujo de Fondos'!$T$6)</f>
        <v/>
      </c>
      <c r="J236" s="53" t="n">
        <v>40.1</v>
      </c>
      <c r="K236" s="54">
        <f>myParidad('Flujo de Fondos'!$B$34,$A236,J236,'Flujo de Fondos'!$B$36,'Flujo de Fondos'!$B$35)</f>
        <v/>
      </c>
      <c r="L236" s="53" t="n">
        <v>41.6</v>
      </c>
      <c r="M236" s="54">
        <f>myParidad('Flujo de Fondos'!$H$34,'Paridad usd'!$A236,'Paridad usd'!L236,'Flujo de Fondos'!$H$36,'Flujo de Fondos'!$H$35)</f>
        <v/>
      </c>
      <c r="N236" s="56" t="n">
        <v>39.9</v>
      </c>
      <c r="O236" s="54">
        <f>myParidad('Flujo de Fondos'!$N$34,'Paridad usd'!$A236,'Paridad usd'!N236,'Flujo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44110</v>
      </c>
      <c r="B237" s="53" t="n">
        <v>45.3</v>
      </c>
      <c r="C237" s="54">
        <f>myParidad('Flujo de Fondos'!$B$5,A237,B237,'Flujo de Fondos'!$B$7,'Flujo de Fondos'!$B$6)</f>
        <v/>
      </c>
      <c r="D237" s="53" t="n">
        <v>47.6</v>
      </c>
      <c r="E237" s="55">
        <f>myParidad('Flujo de Fondos'!$H$5,$A237,D237,'Flujo de Fondos'!$H$7,'Flujo de Fondos'!$H$6)</f>
        <v/>
      </c>
      <c r="F237" s="53" t="n">
        <v>44.45</v>
      </c>
      <c r="G237" s="54">
        <f>myParidad('Flujo de Fondos'!$N$5,$A237,F237,'Flujo de Fondos'!$N$7,'Flujo de Fondos'!$N$6)</f>
        <v/>
      </c>
      <c r="H237" s="53" t="n"/>
      <c r="I237" s="54">
        <f>myParidad('Flujo de Fondos'!$T$5,$A237,H237,'Flujo de Fondos'!$T$7,'Flujo de Fondos'!$T$6)</f>
        <v/>
      </c>
      <c r="J237" s="53" t="n">
        <v>39.96</v>
      </c>
      <c r="K237" s="54">
        <f>myParidad('Flujo de Fondos'!$B$34,$A237,J237,'Flujo de Fondos'!$B$36,'Flujo de Fondos'!$B$35)</f>
        <v/>
      </c>
      <c r="L237" s="53" t="n">
        <v>41.4</v>
      </c>
      <c r="M237" s="54">
        <f>myParidad('Flujo de Fondos'!$H$34,'Paridad usd'!$A237,'Paridad usd'!L237,'Flujo de Fondos'!$H$36,'Flujo de Fondos'!$H$35)</f>
        <v/>
      </c>
      <c r="N237" s="56" t="n">
        <v>39.99</v>
      </c>
      <c r="O237" s="54">
        <f>myParidad('Flujo de Fondos'!$N$34,'Paridad usd'!$A237,'Paridad usd'!N237,'Flujo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44109</v>
      </c>
      <c r="B238" s="53" t="n">
        <v>45.39</v>
      </c>
      <c r="C238" s="54">
        <f>myParidad('Flujo de Fondos'!$B$5,A238,B238,'Flujo de Fondos'!$B$7,'Flujo de Fondos'!$B$6)</f>
        <v/>
      </c>
      <c r="D238" s="53" t="n">
        <v>47.99</v>
      </c>
      <c r="E238" s="55">
        <f>myParidad('Flujo de Fondos'!$H$5,$A238,D238,'Flujo de Fondos'!$H$7,'Flujo de Fondos'!$H$6)</f>
        <v/>
      </c>
      <c r="F238" s="53" t="n">
        <v>44.4</v>
      </c>
      <c r="G238" s="54">
        <f>myParidad('Flujo de Fondos'!$N$5,$A238,F238,'Flujo de Fondos'!$N$7,'Flujo de Fondos'!$N$6)</f>
        <v/>
      </c>
      <c r="H238" s="53" t="n"/>
      <c r="I238" s="54">
        <f>myParidad('Flujo de Fondos'!$T$5,$A238,H238,'Flujo de Fondos'!$T$7,'Flujo de Fondos'!$T$6)</f>
        <v/>
      </c>
      <c r="J238" s="53" t="n">
        <v>39.5</v>
      </c>
      <c r="K238" s="54">
        <f>myParidad('Flujo de Fondos'!$B$34,$A238,J238,'Flujo de Fondos'!$B$36,'Flujo de Fondos'!$B$35)</f>
        <v/>
      </c>
      <c r="L238" s="53" t="n">
        <v>41.65</v>
      </c>
      <c r="M238" s="54">
        <f>myParidad('Flujo de Fondos'!$H$34,'Paridad usd'!$A238,'Paridad usd'!L238,'Flujo de Fondos'!$H$36,'Flujo de Fondos'!$H$35)</f>
        <v/>
      </c>
      <c r="N238" s="56" t="n">
        <v>40</v>
      </c>
      <c r="O238" s="54">
        <f>myParidad('Flujo de Fondos'!$N$34,'Paridad usd'!$A238,'Paridad usd'!N238,'Flujo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44106</v>
      </c>
      <c r="B239" s="53" t="n">
        <v>45.45</v>
      </c>
      <c r="C239" s="54">
        <f>myParidad('Flujo de Fondos'!$B$5,A239,B239,'Flujo de Fondos'!$B$7,'Flujo de Fondos'!$B$6)</f>
        <v/>
      </c>
      <c r="D239" s="53" t="n">
        <v>47.32</v>
      </c>
      <c r="E239" s="55">
        <f>myParidad('Flujo de Fondos'!$H$5,$A239,D239,'Flujo de Fondos'!$H$7,'Flujo de Fondos'!$H$6)</f>
        <v/>
      </c>
      <c r="F239" s="53" t="n">
        <v>44.3</v>
      </c>
      <c r="G239" s="54">
        <f>myParidad('Flujo de Fondos'!$N$5,$A239,F239,'Flujo de Fondos'!$N$7,'Flujo de Fondos'!$N$6)</f>
        <v/>
      </c>
      <c r="H239" s="53" t="n"/>
      <c r="I239" s="54">
        <f>myParidad('Flujo de Fondos'!$T$5,$A239,H239,'Flujo de Fondos'!$T$7,'Flujo de Fondos'!$T$6)</f>
        <v/>
      </c>
      <c r="J239" s="53" t="n">
        <v>40.05</v>
      </c>
      <c r="K239" s="54">
        <f>myParidad('Flujo de Fondos'!$B$34,$A239,J239,'Flujo de Fondos'!$B$36,'Flujo de Fondos'!$B$35)</f>
        <v/>
      </c>
      <c r="L239" s="53" t="n">
        <v>42.15</v>
      </c>
      <c r="M239" s="54">
        <f>myParidad('Flujo de Fondos'!$H$34,'Paridad usd'!$A239,'Paridad usd'!L239,'Flujo de Fondos'!$H$36,'Flujo de Fondos'!$H$35)</f>
        <v/>
      </c>
      <c r="N239" s="56" t="n">
        <v>40</v>
      </c>
      <c r="O239" s="54">
        <f>myParidad('Flujo de Fondos'!$N$34,'Paridad usd'!$A239,'Paridad usd'!N239,'Flujo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44105</v>
      </c>
      <c r="B240" s="53" t="n">
        <v>46.25</v>
      </c>
      <c r="C240" s="54">
        <f>myParidad('Flujo de Fondos'!$B$5,A240,B240,'Flujo de Fondos'!$B$7,'Flujo de Fondos'!$B$6)</f>
        <v/>
      </c>
      <c r="D240" s="53" t="n">
        <v>48.32</v>
      </c>
      <c r="E240" s="55">
        <f>myParidad('Flujo de Fondos'!$H$5,$A240,D240,'Flujo de Fondos'!$H$7,'Flujo de Fondos'!$H$6)</f>
        <v/>
      </c>
      <c r="F240" s="53" t="n">
        <v>44.7</v>
      </c>
      <c r="G240" s="54">
        <f>myParidad('Flujo de Fondos'!$N$5,$A240,F240,'Flujo de Fondos'!$N$7,'Flujo de Fondos'!$N$6)</f>
        <v/>
      </c>
      <c r="H240" s="53" t="n"/>
      <c r="I240" s="54">
        <f>myParidad('Flujo de Fondos'!$T$5,$A240,H240,'Flujo de Fondos'!$T$7,'Flujo de Fondos'!$T$6)</f>
        <v/>
      </c>
      <c r="J240" s="53" t="n">
        <v>40.8</v>
      </c>
      <c r="K240" s="54">
        <f>myParidad('Flujo de Fondos'!$B$34,$A240,J240,'Flujo de Fondos'!$B$36,'Flujo de Fondos'!$B$35)</f>
        <v/>
      </c>
      <c r="L240" s="53" t="n">
        <v>42.9</v>
      </c>
      <c r="M240" s="54">
        <f>myParidad('Flujo de Fondos'!$H$34,'Paridad usd'!$A240,'Paridad usd'!L240,'Flujo de Fondos'!$H$36,'Flujo de Fondos'!$H$35)</f>
        <v/>
      </c>
      <c r="N240" s="56" t="n">
        <v>39.8</v>
      </c>
      <c r="O240" s="54">
        <f>myParidad('Flujo de Fondos'!$N$34,'Paridad usd'!$A240,'Paridad usd'!N240,'Flujo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44104</v>
      </c>
      <c r="B241" s="53" t="n">
        <v>45.86</v>
      </c>
      <c r="C241" s="54">
        <f>myParidad('Flujo de Fondos'!$B$5,A241,B241,'Flujo de Fondos'!$B$7,'Flujo de Fondos'!$B$6)</f>
        <v/>
      </c>
      <c r="D241" s="53" t="n">
        <v>47.9</v>
      </c>
      <c r="E241" s="55">
        <f>myParidad('Flujo de Fondos'!$H$5,$A241,D241,'Flujo de Fondos'!$H$7,'Flujo de Fondos'!$H$6)</f>
        <v/>
      </c>
      <c r="F241" s="53" t="n">
        <v>44.6</v>
      </c>
      <c r="G241" s="54">
        <f>myParidad('Flujo de Fondos'!$N$5,$A241,F241,'Flujo de Fondos'!$N$7,'Flujo de Fondos'!$N$6)</f>
        <v/>
      </c>
      <c r="H241" s="53" t="n"/>
      <c r="I241" s="54">
        <f>myParidad('Flujo de Fondos'!$T$5,$A241,H241,'Flujo de Fondos'!$T$7,'Flujo de Fondos'!$T$6)</f>
        <v/>
      </c>
      <c r="J241" s="53" t="n">
        <v>40.74</v>
      </c>
      <c r="K241" s="54">
        <f>myParidad('Flujo de Fondos'!$B$34,$A241,J241,'Flujo de Fondos'!$B$36,'Flujo de Fondos'!$B$35)</f>
        <v/>
      </c>
      <c r="L241" s="53" t="n">
        <v>42.4</v>
      </c>
      <c r="M241" s="54">
        <f>myParidad('Flujo de Fondos'!$H$34,'Paridad usd'!$A241,'Paridad usd'!L241,'Flujo de Fondos'!$H$36,'Flujo de Fondos'!$H$35)</f>
        <v/>
      </c>
      <c r="N241" s="56" t="n">
        <v>39.02</v>
      </c>
      <c r="O241" s="54">
        <f>myParidad('Flujo de Fondos'!$N$34,'Paridad usd'!$A241,'Paridad usd'!N241,'Flujo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44103</v>
      </c>
      <c r="B242" s="53" t="n">
        <v>46</v>
      </c>
      <c r="C242" s="54">
        <f>myParidad('Flujo de Fondos'!$B$5,A242,B242,'Flujo de Fondos'!$B$7,'Flujo de Fondos'!$B$6)</f>
        <v/>
      </c>
      <c r="D242" s="53" t="n">
        <v>47.5</v>
      </c>
      <c r="E242" s="55">
        <f>myParidad('Flujo de Fondos'!$H$5,$A242,D242,'Flujo de Fondos'!$H$7,'Flujo de Fondos'!$H$6)</f>
        <v/>
      </c>
      <c r="F242" s="53" t="n">
        <v>44.67</v>
      </c>
      <c r="G242" s="54">
        <f>myParidad('Flujo de Fondos'!$N$5,$A242,F242,'Flujo de Fondos'!$N$7,'Flujo de Fondos'!$N$6)</f>
        <v/>
      </c>
      <c r="H242" s="53" t="n"/>
      <c r="I242" s="54">
        <f>myParidad('Flujo de Fondos'!$T$5,$A242,H242,'Flujo de Fondos'!$T$7,'Flujo de Fondos'!$T$6)</f>
        <v/>
      </c>
      <c r="J242" s="53" t="n">
        <v>39.9</v>
      </c>
      <c r="K242" s="54">
        <f>myParidad('Flujo de Fondos'!$B$34,$A242,J242,'Flujo de Fondos'!$B$36,'Flujo de Fondos'!$B$35)</f>
        <v/>
      </c>
      <c r="L242" s="53" t="n">
        <v>41.8</v>
      </c>
      <c r="M242" s="54">
        <f>myParidad('Flujo de Fondos'!$H$34,'Paridad usd'!$A242,'Paridad usd'!L242,'Flujo de Fondos'!$H$36,'Flujo de Fondos'!$H$35)</f>
        <v/>
      </c>
      <c r="N242" s="56" t="n">
        <v>39.04</v>
      </c>
      <c r="O242" s="54">
        <f>myParidad('Flujo de Fondos'!$N$34,'Paridad usd'!$A242,'Paridad usd'!N242,'Flujo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44102</v>
      </c>
      <c r="B243" s="53" t="n">
        <v>46.29</v>
      </c>
      <c r="C243" s="54">
        <f>myParidad('Flujo de Fondos'!$B$5,A243,B243,'Flujo de Fondos'!$B$7,'Flujo de Fondos'!$B$6)</f>
        <v/>
      </c>
      <c r="D243" s="53" t="n">
        <v>48.3</v>
      </c>
      <c r="E243" s="55">
        <f>myParidad('Flujo de Fondos'!$H$5,$A243,D243,'Flujo de Fondos'!$H$7,'Flujo de Fondos'!$H$6)</f>
        <v/>
      </c>
      <c r="F243" s="53" t="n">
        <v>44.9</v>
      </c>
      <c r="G243" s="54">
        <f>myParidad('Flujo de Fondos'!$N$5,$A243,F243,'Flujo de Fondos'!$N$7,'Flujo de Fondos'!$N$6)</f>
        <v/>
      </c>
      <c r="H243" s="53" t="n"/>
      <c r="I243" s="54">
        <f>myParidad('Flujo de Fondos'!$T$5,$A243,H243,'Flujo de Fondos'!$T$7,'Flujo de Fondos'!$T$6)</f>
        <v/>
      </c>
      <c r="J243" s="53" t="n">
        <v>41</v>
      </c>
      <c r="K243" s="54">
        <f>myParidad('Flujo de Fondos'!$B$34,$A243,J243,'Flujo de Fondos'!$B$36,'Flujo de Fondos'!$B$35)</f>
        <v/>
      </c>
      <c r="L243" s="53" t="n">
        <v>42.43</v>
      </c>
      <c r="M243" s="54">
        <f>myParidad('Flujo de Fondos'!$H$34,'Paridad usd'!$A243,'Paridad usd'!L243,'Flujo de Fondos'!$H$36,'Flujo de Fondos'!$H$35)</f>
        <v/>
      </c>
      <c r="N243" s="56" t="n">
        <v>39.5</v>
      </c>
      <c r="O243" s="54">
        <f>myParidad('Flujo de Fondos'!$N$34,'Paridad usd'!$A243,'Paridad usd'!N243,'Flujo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44099</v>
      </c>
      <c r="B244" s="53" t="n">
        <v>46.44</v>
      </c>
      <c r="C244" s="54">
        <f>myParidad('Flujo de Fondos'!$B$5,A244,B244,'Flujo de Fondos'!$B$7,'Flujo de Fondos'!$B$6)</f>
        <v/>
      </c>
      <c r="D244" s="53" t="n">
        <v>48</v>
      </c>
      <c r="E244" s="55">
        <f>myParidad('Flujo de Fondos'!$H$5,$A244,D244,'Flujo de Fondos'!$H$7,'Flujo de Fondos'!$H$6)</f>
        <v/>
      </c>
      <c r="F244" s="53" t="n">
        <v>45.2</v>
      </c>
      <c r="G244" s="54">
        <f>myParidad('Flujo de Fondos'!$N$5,$A244,F244,'Flujo de Fondos'!$N$7,'Flujo de Fondos'!$N$6)</f>
        <v/>
      </c>
      <c r="H244" s="53" t="n"/>
      <c r="I244" s="54">
        <f>myParidad('Flujo de Fondos'!$T$5,$A244,H244,'Flujo de Fondos'!$T$7,'Flujo de Fondos'!$T$6)</f>
        <v/>
      </c>
      <c r="J244" s="53" t="n">
        <v>41.5</v>
      </c>
      <c r="K244" s="54">
        <f>myParidad('Flujo de Fondos'!$B$34,$A244,J244,'Flujo de Fondos'!$B$36,'Flujo de Fondos'!$B$35)</f>
        <v/>
      </c>
      <c r="L244" s="53" t="n">
        <v>42.89</v>
      </c>
      <c r="M244" s="54">
        <f>myParidad('Flujo de Fondos'!$H$34,'Paridad usd'!$A244,'Paridad usd'!L244,'Flujo de Fondos'!$H$36,'Flujo de Fondos'!$H$35)</f>
        <v/>
      </c>
      <c r="N244" s="56" t="n">
        <v>40</v>
      </c>
      <c r="O244" s="54">
        <f>myParidad('Flujo de Fondos'!$N$34,'Paridad usd'!$A244,'Paridad usd'!N244,'Flujo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44098</v>
      </c>
      <c r="B245" s="53" t="n">
        <v>47.57</v>
      </c>
      <c r="C245" s="54">
        <f>myParidad('Flujo de Fondos'!$B$5,A245,B245,'Flujo de Fondos'!$B$7,'Flujo de Fondos'!$B$6)</f>
        <v/>
      </c>
      <c r="D245" s="53" t="n">
        <v>47.8</v>
      </c>
      <c r="E245" s="55">
        <f>myParidad('Flujo de Fondos'!$H$5,$A245,D245,'Flujo de Fondos'!$H$7,'Flujo de Fondos'!$H$6)</f>
        <v/>
      </c>
      <c r="F245" s="53" t="n">
        <v>46</v>
      </c>
      <c r="G245" s="54">
        <f>myParidad('Flujo de Fondos'!$N$5,$A245,F245,'Flujo de Fondos'!$N$7,'Flujo de Fondos'!$N$6)</f>
        <v/>
      </c>
      <c r="H245" s="53" t="n"/>
      <c r="I245" s="54">
        <f>myParidad('Flujo de Fondos'!$T$5,$A245,H245,'Flujo de Fondos'!$T$7,'Flujo de Fondos'!$T$6)</f>
        <v/>
      </c>
      <c r="J245" s="53" t="n">
        <v>41.9</v>
      </c>
      <c r="K245" s="54">
        <f>myParidad('Flujo de Fondos'!$B$34,$A245,J245,'Flujo de Fondos'!$B$36,'Flujo de Fondos'!$B$35)</f>
        <v/>
      </c>
      <c r="L245" s="53" t="n">
        <v>43.4</v>
      </c>
      <c r="M245" s="54">
        <f>myParidad('Flujo de Fondos'!$H$34,'Paridad usd'!$A245,'Paridad usd'!L245,'Flujo de Fondos'!$H$36,'Flujo de Fondos'!$H$35)</f>
        <v/>
      </c>
      <c r="N245" s="56" t="n">
        <v>39.45</v>
      </c>
      <c r="O245" s="54">
        <f>myParidad('Flujo de Fondos'!$N$34,'Paridad usd'!$A245,'Paridad usd'!N245,'Flujo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44097</v>
      </c>
      <c r="B246" s="53" t="n">
        <v>47.6</v>
      </c>
      <c r="C246" s="54">
        <f>myParidad('Flujo de Fondos'!$B$5,A246,B246,'Flujo de Fondos'!$B$7,'Flujo de Fondos'!$B$6)</f>
        <v/>
      </c>
      <c r="D246" s="53" t="n">
        <v>47.1</v>
      </c>
      <c r="E246" s="55">
        <f>myParidad('Flujo de Fondos'!$H$5,$A246,D246,'Flujo de Fondos'!$H$7,'Flujo de Fondos'!$H$6)</f>
        <v/>
      </c>
      <c r="F246" s="53" t="n">
        <v>46.55</v>
      </c>
      <c r="G246" s="54">
        <f>myParidad('Flujo de Fondos'!$N$5,$A246,F246,'Flujo de Fondos'!$N$7,'Flujo de Fondos'!$N$6)</f>
        <v/>
      </c>
      <c r="H246" s="53" t="n"/>
      <c r="I246" s="54">
        <f>myParidad('Flujo de Fondos'!$T$5,$A246,H246,'Flujo de Fondos'!$T$7,'Flujo de Fondos'!$T$6)</f>
        <v/>
      </c>
      <c r="J246" s="53" t="n">
        <v>39.75</v>
      </c>
      <c r="K246" s="54">
        <f>myParidad('Flujo de Fondos'!$B$34,$A246,J246,'Flujo de Fondos'!$B$36,'Flujo de Fondos'!$B$35)</f>
        <v/>
      </c>
      <c r="L246" s="53" t="n">
        <v>43</v>
      </c>
      <c r="M246" s="54">
        <f>myParidad('Flujo de Fondos'!$H$34,'Paridad usd'!$A246,'Paridad usd'!L246,'Flujo de Fondos'!$H$36,'Flujo de Fondos'!$H$35)</f>
        <v/>
      </c>
      <c r="N246" s="56" t="n">
        <v>38.55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44096</v>
      </c>
      <c r="B247" s="53" t="n">
        <v>46.5</v>
      </c>
      <c r="C247" s="54">
        <f>myParidad('Flujo de Fondos'!$B$5,A247,B247,'Flujo de Fondos'!$B$7,'Flujo de Fondos'!$B$6)</f>
        <v/>
      </c>
      <c r="D247" s="53" t="n">
        <v>47</v>
      </c>
      <c r="E247" s="55">
        <f>myParidad('Flujo de Fondos'!$H$5,$A247,D247,'Flujo de Fondos'!$H$7,'Flujo de Fondos'!$H$6)</f>
        <v/>
      </c>
      <c r="F247" s="53" t="n">
        <v>45.39</v>
      </c>
      <c r="G247" s="54">
        <f>myParidad('Flujo de Fondos'!$N$5,$A247,F247,'Flujo de Fondos'!$N$7,'Flujo de Fondos'!$N$6)</f>
        <v/>
      </c>
      <c r="H247" s="53" t="n"/>
      <c r="I247" s="54">
        <f>myParidad('Flujo de Fondos'!$T$5,$A247,H247,'Flujo de Fondos'!$T$7,'Flujo de Fondos'!$T$6)</f>
        <v/>
      </c>
      <c r="J247" s="53" t="n">
        <v>38.5</v>
      </c>
      <c r="K247" s="54">
        <f>myParidad('Flujo de Fondos'!$B$34,$A247,J247,'Flujo de Fondos'!$B$36,'Flujo de Fondos'!$B$35)</f>
        <v/>
      </c>
      <c r="L247" s="53" t="n">
        <v>42.65</v>
      </c>
      <c r="M247" s="54">
        <f>myParidad('Flujo de Fondos'!$H$34,'Paridad usd'!$A247,'Paridad usd'!L247,'Flujo de Fondos'!$H$36,'Flujo de Fondos'!$H$35)</f>
        <v/>
      </c>
      <c r="N247" s="56" t="n">
        <v>37.75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44095</v>
      </c>
      <c r="B248" s="53" t="n">
        <v>47.4</v>
      </c>
      <c r="C248" s="54">
        <f>myParidad('Flujo de Fondos'!$B$5,A248,B248,'Flujo de Fondos'!$B$7,'Flujo de Fondos'!$B$6)</f>
        <v/>
      </c>
      <c r="D248" s="53" t="n">
        <v>47</v>
      </c>
      <c r="E248" s="55">
        <f>myParidad('Flujo de Fondos'!$H$5,$A248,D248,'Flujo de Fondos'!$H$7,'Flujo de Fondos'!$H$6)</f>
        <v/>
      </c>
      <c r="F248" s="53" t="n">
        <v>46.12</v>
      </c>
      <c r="G248" s="54">
        <f>myParidad('Flujo de Fondos'!$N$5,$A248,F248,'Flujo de Fondos'!$N$7,'Flujo de Fondos'!$N$6)</f>
        <v/>
      </c>
      <c r="H248" s="53" t="n"/>
      <c r="I248" s="54">
        <f>myParidad('Flujo de Fondos'!$T$5,$A248,H248,'Flujo de Fondos'!$T$7,'Flujo de Fondos'!$T$6)</f>
        <v/>
      </c>
      <c r="J248" s="53" t="n">
        <v>40.24</v>
      </c>
      <c r="K248" s="54">
        <f>myParidad('Flujo de Fondos'!$B$34,$A248,J248,'Flujo de Fondos'!$B$36,'Flujo de Fondos'!$B$35)</f>
        <v/>
      </c>
      <c r="L248" s="53" t="n">
        <v>43.35</v>
      </c>
      <c r="M248" s="54">
        <f>myParidad('Flujo de Fondos'!$H$34,'Paridad usd'!$A248,'Paridad usd'!L248,'Flujo de Fondos'!$H$36,'Flujo de Fondos'!$H$35)</f>
        <v/>
      </c>
      <c r="N248" s="56" t="n">
        <v>38.6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44092</v>
      </c>
      <c r="B249" s="53" t="n">
        <v>48.35</v>
      </c>
      <c r="C249" s="54">
        <f>myParidad('Flujo de Fondos'!$B$5,A249,B249,'Flujo de Fondos'!$B$7,'Flujo de Fondos'!$B$6)</f>
        <v/>
      </c>
      <c r="D249" s="53" t="n">
        <v>48.45</v>
      </c>
      <c r="E249" s="55">
        <f>myParidad('Flujo de Fondos'!$H$5,$A249,D249,'Flujo de Fondos'!$H$7,'Flujo de Fondos'!$H$6)</f>
        <v/>
      </c>
      <c r="F249" s="53" t="n">
        <v>47.1</v>
      </c>
      <c r="G249" s="54">
        <f>myParidad('Flujo de Fondos'!$N$5,$A249,F249,'Flujo de Fondos'!$N$7,'Flujo de Fondos'!$N$6)</f>
        <v/>
      </c>
      <c r="H249" s="53" t="n"/>
      <c r="I249" s="54">
        <f>myParidad('Flujo de Fondos'!$T$5,$A249,H249,'Flujo de Fondos'!$T$7,'Flujo de Fondos'!$T$6)</f>
        <v/>
      </c>
      <c r="J249" s="53" t="n">
        <v>41.6</v>
      </c>
      <c r="K249" s="54">
        <f>myParidad('Flujo de Fondos'!$B$34,$A249,J249,'Flujo de Fondos'!$B$36,'Flujo de Fondos'!$B$35)</f>
        <v/>
      </c>
      <c r="L249" s="53" t="n">
        <v>44.25</v>
      </c>
      <c r="M249" s="54">
        <f>myParidad('Flujo de Fondos'!$H$34,'Paridad usd'!$A249,'Paridad usd'!L249,'Flujo de Fondos'!$H$36,'Flujo de Fondos'!$H$35)</f>
        <v/>
      </c>
      <c r="N249" s="56" t="n">
        <v>40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44091</v>
      </c>
      <c r="B250" s="53" t="n">
        <v>48.51</v>
      </c>
      <c r="C250" s="54">
        <f>myParidad('Flujo de Fondos'!$B$5,A250,B250,'Flujo de Fondos'!$B$7,'Flujo de Fondos'!$B$6)</f>
        <v/>
      </c>
      <c r="D250" s="53" t="n">
        <v>48.01</v>
      </c>
      <c r="E250" s="55">
        <f>myParidad('Flujo de Fondos'!$H$5,$A250,D250,'Flujo de Fondos'!$H$7,'Flujo de Fondos'!$H$6)</f>
        <v/>
      </c>
      <c r="F250" s="53" t="n">
        <v>46.9</v>
      </c>
      <c r="G250" s="54">
        <f>myParidad('Flujo de Fondos'!$N$5,$A250,F250,'Flujo de Fondos'!$N$7,'Flujo de Fondos'!$N$6)</f>
        <v/>
      </c>
      <c r="H250" s="53" t="n"/>
      <c r="I250" s="54">
        <f>myParidad('Flujo de Fondos'!$T$5,$A250,H250,'Flujo de Fondos'!$T$7,'Flujo de Fondos'!$T$6)</f>
        <v/>
      </c>
      <c r="J250" s="53" t="n">
        <v>41.75</v>
      </c>
      <c r="K250" s="54">
        <f>myParidad('Flujo de Fondos'!$B$34,$A250,J250,'Flujo de Fondos'!$B$36,'Flujo de Fondos'!$B$35)</f>
        <v/>
      </c>
      <c r="L250" s="53" t="n">
        <v>44.25</v>
      </c>
      <c r="M250" s="54">
        <f>myParidad('Flujo de Fondos'!$H$34,'Paridad usd'!$A250,'Paridad usd'!L250,'Flujo de Fondos'!$H$36,'Flujo de Fondos'!$H$35)</f>
        <v/>
      </c>
      <c r="N250" s="56" t="n">
        <v>40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44090</v>
      </c>
      <c r="B251" s="53" t="n">
        <v>48.85</v>
      </c>
      <c r="C251" s="54">
        <f>myParidad('Flujo de Fondos'!$B$5,A251,B251,'Flujo de Fondos'!$B$7,'Flujo de Fondos'!$B$6)</f>
        <v/>
      </c>
      <c r="D251" s="53" t="n">
        <v>51</v>
      </c>
      <c r="E251" s="55">
        <f>myParidad('Flujo de Fondos'!$H$5,$A251,D251,'Flujo de Fondos'!$H$7,'Flujo de Fondos'!$H$6)</f>
        <v/>
      </c>
      <c r="F251" s="53" t="n">
        <v>47.96</v>
      </c>
      <c r="G251" s="54">
        <f>myParidad('Flujo de Fondos'!$N$5,$A251,F251,'Flujo de Fondos'!$N$7,'Flujo de Fondos'!$N$6)</f>
        <v/>
      </c>
      <c r="H251" s="53" t="n"/>
      <c r="I251" s="54">
        <f>myParidad('Flujo de Fondos'!$T$5,$A251,H251,'Flujo de Fondos'!$T$7,'Flujo de Fondos'!$T$6)</f>
        <v/>
      </c>
      <c r="J251" s="53" t="n">
        <v>41.9</v>
      </c>
      <c r="K251" s="54">
        <f>myParidad('Flujo de Fondos'!$B$34,$A251,J251,'Flujo de Fondos'!$B$36,'Flujo de Fondos'!$B$35)</f>
        <v/>
      </c>
      <c r="L251" s="53" t="n">
        <v>45.15</v>
      </c>
      <c r="M251" s="54">
        <f>myParidad('Flujo de Fondos'!$H$34,'Paridad usd'!$A251,'Paridad usd'!L251,'Flujo de Fondos'!$H$36,'Flujo de Fondos'!$H$35)</f>
        <v/>
      </c>
      <c r="N251" s="56" t="n">
        <v>41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44089</v>
      </c>
      <c r="B252" s="53" t="n">
        <v>51.4</v>
      </c>
      <c r="C252" s="54">
        <f>myParidad('Flujo de Fondos'!$B$5,A252,B252,'Flujo de Fondos'!$B$7,'Flujo de Fondos'!$B$6)</f>
        <v/>
      </c>
      <c r="D252" s="53" t="n">
        <v>53.75</v>
      </c>
      <c r="E252" s="55">
        <f>myParidad('Flujo de Fondos'!$H$5,$A252,D252,'Flujo de Fondos'!$H$7,'Flujo de Fondos'!$H$6)</f>
        <v/>
      </c>
      <c r="F252" s="53" t="n">
        <v>51.08</v>
      </c>
      <c r="G252" s="54">
        <f>myParidad('Flujo de Fondos'!$N$5,$A252,F252,'Flujo de Fondos'!$N$7,'Flujo de Fondos'!$N$6)</f>
        <v/>
      </c>
      <c r="H252" s="53" t="n"/>
      <c r="I252" s="54">
        <f>myParidad('Flujo de Fondos'!$T$5,$A252,H252,'Flujo de Fondos'!$T$7,'Flujo de Fondos'!$T$6)</f>
        <v/>
      </c>
      <c r="J252" s="53" t="n">
        <v>44.55</v>
      </c>
      <c r="K252" s="54">
        <f>myParidad('Flujo de Fondos'!$B$34,$A252,J252,'Flujo de Fondos'!$B$36,'Flujo de Fondos'!$B$35)</f>
        <v/>
      </c>
      <c r="L252" s="53" t="n">
        <v>48.35</v>
      </c>
      <c r="M252" s="54">
        <f>myParidad('Flujo de Fondos'!$H$34,'Paridad usd'!$A252,'Paridad usd'!L252,'Flujo de Fondos'!$H$36,'Flujo de Fondos'!$H$35)</f>
        <v/>
      </c>
      <c r="N252" s="56" t="n">
        <v>43.1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9" t="n">
        <v>44088</v>
      </c>
      <c r="B253" s="60" t="n">
        <v>51.8</v>
      </c>
      <c r="C253" s="61">
        <f>myParidad('Flujo de Fondos'!$B$5,A253,B253,'Flujo de Fondos'!$B$7,'Flujo de Fondos'!$B$6)</f>
        <v/>
      </c>
      <c r="D253" s="60" t="n">
        <v>53.75</v>
      </c>
      <c r="E253" s="62">
        <f>myParidad('Flujo de Fondos'!$H$5,$A253,D253,'Flujo de Fondos'!$H$7,'Flujo de Fondos'!$H$6)</f>
        <v/>
      </c>
      <c r="F253" s="60" t="n">
        <v>51.87</v>
      </c>
      <c r="G253" s="61">
        <f>myParidad('Flujo de Fondos'!$N$5,$A253,F253,'Flujo de Fondos'!$N$7,'Flujo de Fondos'!$N$6)</f>
        <v/>
      </c>
      <c r="H253" s="60" t="n"/>
      <c r="I253" s="54">
        <f>myParidad('Flujo de Fondos'!$T$5,$A253,H253,'Flujo de Fondos'!$T$7,'Flujo de Fondos'!$T$6)</f>
        <v/>
      </c>
      <c r="J253" s="60" t="n">
        <v>44.54</v>
      </c>
      <c r="K253" s="54">
        <f>myParidad('Flujo de Fondos'!$B$34,$A253,J253,'Flujo de Fondos'!$B$36,'Flujo de Fondos'!$B$35)</f>
        <v/>
      </c>
      <c r="L253" s="60" t="n">
        <v>49.2</v>
      </c>
      <c r="M253" s="61">
        <f>myParidad('Flujo de Fondos'!$H$34,'Paridad usd'!$A253,'Paridad usd'!L253,'Flujo de Fondos'!$H$36,'Flujo de Fondos'!$H$35)</f>
        <v/>
      </c>
      <c r="N253" s="63" t="n">
        <v>43.99</v>
      </c>
      <c r="O253" s="61">
        <f>myParidad('Flujo de Fondos'!$N$34,'Paridad usd'!$A253,'Paridad usd'!N253,'Flujo de Fondos'!$N$36,'Flujo de Fondos'!$N$35)</f>
        <v/>
      </c>
      <c r="P253" s="64">
        <f>C253-G253</f>
        <v/>
      </c>
      <c r="Q253" s="64">
        <f>E253-C253</f>
        <v/>
      </c>
      <c r="R253" s="64">
        <f>C253-M253</f>
        <v/>
      </c>
      <c r="S253" s="62">
        <f>C253-O253</f>
        <v/>
      </c>
      <c r="T253" s="62">
        <f>E253-O253</f>
        <v/>
      </c>
      <c r="U253" s="62">
        <f>G253-O253</f>
        <v/>
      </c>
      <c r="V253" s="62">
        <f>G253-K253</f>
        <v/>
      </c>
      <c r="W253" s="62">
        <f>C253-K253</f>
        <v/>
      </c>
      <c r="X253" s="62">
        <f>I253-G253</f>
        <v/>
      </c>
      <c r="Y253" s="75">
        <f>G253-M253</f>
        <v/>
      </c>
    </row>
    <row r="254">
      <c r="A254" s="24" t="n"/>
      <c r="B254" s="21" t="n"/>
      <c r="C254" s="21" t="n"/>
      <c r="F254" s="21" t="n"/>
      <c r="G254" s="21" t="n"/>
    </row>
    <row r="255">
      <c r="A255" s="24" t="n"/>
      <c r="B255" s="21" t="n"/>
      <c r="C255" s="21" t="n"/>
      <c r="F255" s="21" t="n"/>
      <c r="G255" s="21" t="n"/>
    </row>
    <row r="256">
      <c r="A256" s="24" t="n"/>
      <c r="B256" s="21" t="n"/>
      <c r="C256" s="21" t="n"/>
      <c r="F256" s="21" t="n"/>
      <c r="G256" s="21" t="n"/>
    </row>
    <row r="257">
      <c r="A257" s="24" t="n"/>
      <c r="B257" s="21" t="n"/>
      <c r="C257" s="21" t="n"/>
      <c r="F257" s="21" t="n"/>
      <c r="G257" s="21" t="n"/>
    </row>
    <row r="258">
      <c r="A258" s="24" t="n"/>
      <c r="B258" s="21" t="n"/>
      <c r="C258" s="21" t="n"/>
      <c r="F258" s="25" t="n"/>
      <c r="G258" s="21" t="n"/>
    </row>
  </sheetData>
  <pageMargins left="0.7" right="0.7" top="0.75" bottom="0.75" header="0.3" footer="0.3"/>
  <pageSetup orientation="portrait" paperSize="5"/>
</worksheet>
</file>

<file path=xl/worksheets/sheet6.xml><?xml version="1.0" encoding="utf-8"?>
<worksheet xmlns="http://schemas.openxmlformats.org/spreadsheetml/2006/main">
  <sheetPr codeName="Hoja7">
    <outlinePr summaryBelow="1" summaryRight="1"/>
    <pageSetUpPr/>
  </sheetPr>
  <dimension ref="A1:H248"/>
  <sheetViews>
    <sheetView topLeftCell="B1" workbookViewId="0">
      <selection activeCell="E6" sqref="E6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inlineStr">
        <is>
          <t>16/09/2021</t>
        </is>
      </c>
      <c r="B3" s="25" t="n">
        <v>0.4012414886926085</v>
      </c>
      <c r="C3" s="25" t="n">
        <v>0.381709801451027</v>
      </c>
      <c r="D3" s="25" t="n">
        <v>0.4291886570592578</v>
      </c>
      <c r="E3" s="25" t="n">
        <v>0.3949066830098367</v>
      </c>
      <c r="F3" s="25" t="n">
        <v>0.3924072736236985</v>
      </c>
      <c r="G3" s="25" t="n">
        <v>0.4123647731198205</v>
      </c>
      <c r="H3" s="25" t="n">
        <v>0.3579154240949912</v>
      </c>
    </row>
    <row r="4">
      <c r="A4" s="36" t="inlineStr">
        <is>
          <t>17/09/2021</t>
        </is>
      </c>
      <c r="B4" s="25" t="n">
        <v>0.4002324309543342</v>
      </c>
      <c r="C4" s="25" t="n">
        <v>0.3809086862738385</v>
      </c>
      <c r="D4" s="25" t="n">
        <v>0.4341673502871206</v>
      </c>
      <c r="E4" s="25" t="n">
        <v>0.3919060499195399</v>
      </c>
      <c r="F4" s="25" t="n">
        <v>0.3914061697538261</v>
      </c>
      <c r="G4" s="25" t="n">
        <v>0.4079690813325125</v>
      </c>
      <c r="H4" s="25" t="n">
        <v>0.3579141986510083</v>
      </c>
    </row>
    <row r="5">
      <c r="A5" s="36" t="n">
        <v>44090</v>
      </c>
      <c r="B5" s="25" t="n">
        <v>0.4924939233233897</v>
      </c>
      <c r="C5" s="25" t="n">
        <v>0.4800866631928256</v>
      </c>
      <c r="D5" s="25" t="n">
        <v>0.5141697050049718</v>
      </c>
      <c r="E5" s="25" t="n">
        <v>0.4519581493568823</v>
      </c>
      <c r="F5" s="25" t="n">
        <v>0.4104160381756849</v>
      </c>
      <c r="G5" s="25" t="n">
        <v>0</v>
      </c>
      <c r="H5" s="25" t="n">
        <v>0.4194251707210048</v>
      </c>
    </row>
    <row r="6">
      <c r="A6" s="36" t="n">
        <v>44091</v>
      </c>
      <c r="B6" s="25" t="n">
        <v>0.4890526170418451</v>
      </c>
      <c r="C6" s="25" t="n">
        <v>0.4694742976637356</v>
      </c>
      <c r="D6" s="25" t="n">
        <v>0.4840118768125949</v>
      </c>
      <c r="E6" s="25" t="n">
        <v>0.4429474983287911</v>
      </c>
      <c r="F6" s="25" t="n">
        <v>0.400404518263314</v>
      </c>
      <c r="G6" s="25" t="n">
        <v>0</v>
      </c>
      <c r="H6" s="25" t="n">
        <v>0.417922215937334</v>
      </c>
    </row>
    <row r="7">
      <c r="A7" s="36" t="n">
        <v>44092</v>
      </c>
      <c r="B7" s="25" t="n">
        <v>0.4874261172181407</v>
      </c>
      <c r="C7" s="25" t="n">
        <v>0.4714747039827772</v>
      </c>
      <c r="D7" s="25" t="n">
        <v>0.4884342374192123</v>
      </c>
      <c r="E7" s="25" t="n">
        <v>0.4429459798564308</v>
      </c>
      <c r="F7" s="25" t="n">
        <v>0.4004031456329318</v>
      </c>
      <c r="G7" s="25" t="n">
        <v>0</v>
      </c>
      <c r="H7" s="25" t="n">
        <v>0.4164192714582491</v>
      </c>
    </row>
    <row r="8">
      <c r="A8" s="36" t="n">
        <v>44095</v>
      </c>
      <c r="B8" s="25" t="n">
        <v>0.4778093844071916</v>
      </c>
      <c r="C8" s="25" t="n">
        <v>0.4616600790513834</v>
      </c>
      <c r="D8" s="25" t="n">
        <v>0.4737772377033334</v>
      </c>
      <c r="E8" s="25" t="n">
        <v>0.4339324463763545</v>
      </c>
      <c r="F8" s="25" t="n">
        <v>0.3863850618253122</v>
      </c>
      <c r="G8" s="25" t="n">
        <v>0</v>
      </c>
      <c r="H8" s="25" t="n">
        <v>0.4028014219650405</v>
      </c>
    </row>
    <row r="9">
      <c r="A9" s="36" t="n">
        <v>44096</v>
      </c>
      <c r="B9" s="25" t="n">
        <v>0.4687241093620547</v>
      </c>
      <c r="C9" s="25" t="n">
        <v>0.4543512392444551</v>
      </c>
      <c r="D9" s="25" t="n">
        <v>0.4737641535487435</v>
      </c>
      <c r="E9" s="25" t="n">
        <v>0.4269239998628775</v>
      </c>
      <c r="F9" s="25" t="n">
        <v>0.3778752871002022</v>
      </c>
      <c r="G9" s="25" t="n">
        <v>0</v>
      </c>
      <c r="H9" s="25" t="n">
        <v>0.3853827431353056</v>
      </c>
    </row>
    <row r="10">
      <c r="A10" s="36" t="n">
        <v>44097</v>
      </c>
      <c r="B10" s="25" t="n">
        <v>0.4797989561183066</v>
      </c>
      <c r="C10" s="25" t="n">
        <v>0.4659611739015669</v>
      </c>
      <c r="D10" s="25" t="n">
        <v>0.4747590511170639</v>
      </c>
      <c r="E10" s="25" t="n">
        <v>0.4304260038188481</v>
      </c>
      <c r="F10" s="25" t="n">
        <v>0.3858819173771301</v>
      </c>
      <c r="G10" s="25" t="n">
        <v>0</v>
      </c>
      <c r="H10" s="25" t="n">
        <v>0.3978938058557956</v>
      </c>
    </row>
    <row r="11">
      <c r="A11" s="36" t="n">
        <v>44098</v>
      </c>
      <c r="B11" s="25" t="n">
        <v>0.4794833204462609</v>
      </c>
      <c r="C11" s="25" t="n">
        <v>0.4604541465555068</v>
      </c>
      <c r="D11" s="25" t="n">
        <v>0.4818016127250635</v>
      </c>
      <c r="E11" s="25" t="n">
        <v>0.4344284774023695</v>
      </c>
      <c r="F11" s="25" t="n">
        <v>0.3948894800351032</v>
      </c>
      <c r="G11" s="25" t="n">
        <v>0</v>
      </c>
      <c r="H11" s="25" t="n">
        <v>0.4194136682755594</v>
      </c>
    </row>
    <row r="12">
      <c r="A12" s="36" t="n">
        <v>44099</v>
      </c>
      <c r="B12" s="25" t="n">
        <v>0.4680805235688841</v>
      </c>
      <c r="C12" s="25" t="n">
        <v>0.4524446973566485</v>
      </c>
      <c r="D12" s="25" t="n">
        <v>0.4838041587275288</v>
      </c>
      <c r="E12" s="25" t="n">
        <v>0.4293219705669614</v>
      </c>
      <c r="F12" s="25" t="n">
        <v>0.4003935374837597</v>
      </c>
      <c r="G12" s="25" t="n">
        <v>0</v>
      </c>
      <c r="H12" s="25" t="n">
        <v>0.4154082951394007</v>
      </c>
    </row>
    <row r="13">
      <c r="A13" s="36" t="n">
        <v>44102</v>
      </c>
      <c r="B13" s="25" t="n">
        <v>0.4665299867461895</v>
      </c>
      <c r="C13" s="25" t="n">
        <v>0.449437123777921</v>
      </c>
      <c r="D13" s="25" t="n">
        <v>0.48678760768721</v>
      </c>
      <c r="E13" s="25" t="n">
        <v>0.4247130771023873</v>
      </c>
      <c r="F13" s="25" t="n">
        <v>0.3953845520986164</v>
      </c>
      <c r="G13" s="25" t="n">
        <v>0</v>
      </c>
      <c r="H13" s="25" t="n">
        <v>0.4103991553428677</v>
      </c>
    </row>
    <row r="14">
      <c r="A14" s="36" t="n">
        <v>44103</v>
      </c>
      <c r="B14" s="25" t="n">
        <v>0.4635944445978408</v>
      </c>
      <c r="C14" s="25" t="n">
        <v>0.4471333518444246</v>
      </c>
      <c r="D14" s="25" t="n">
        <v>0.4787116547477704</v>
      </c>
      <c r="E14" s="25" t="n">
        <v>0.4184055094492264</v>
      </c>
      <c r="F14" s="25" t="n">
        <v>0.3907787341841579</v>
      </c>
      <c r="G14" s="25" t="n">
        <v>0</v>
      </c>
      <c r="H14" s="25" t="n">
        <v>0.3993870772015343</v>
      </c>
    </row>
    <row r="15">
      <c r="A15" s="36" t="n">
        <v>44104</v>
      </c>
      <c r="B15" s="25" t="n">
        <v>0.4621707438290353</v>
      </c>
      <c r="C15" s="25" t="n">
        <v>0.4464311424046511</v>
      </c>
      <c r="D15" s="25" t="n">
        <v>0.4827295819758131</v>
      </c>
      <c r="E15" s="25" t="n">
        <v>0.4244098752905203</v>
      </c>
      <c r="F15" s="25" t="n">
        <v>0.3905772012697194</v>
      </c>
      <c r="G15" s="25" t="n">
        <v>0</v>
      </c>
      <c r="H15" s="25" t="n">
        <v>0.4077938282862216</v>
      </c>
    </row>
    <row r="16">
      <c r="A16" s="36" t="n">
        <v>44105</v>
      </c>
      <c r="B16" s="25" t="n">
        <v>0.4660882409784919</v>
      </c>
      <c r="C16" s="25" t="n">
        <v>0.4474305753139151</v>
      </c>
      <c r="D16" s="25" t="n">
        <v>0.486948839007151</v>
      </c>
      <c r="E16" s="25" t="n">
        <v>0.4294132367106702</v>
      </c>
      <c r="F16" s="25" t="n">
        <v>0.3983833757828595</v>
      </c>
      <c r="G16" s="25" t="n">
        <v>0</v>
      </c>
      <c r="H16" s="25" t="n">
        <v>0.4083930083402178</v>
      </c>
    </row>
    <row r="17">
      <c r="A17" s="36" t="n">
        <v>44106</v>
      </c>
      <c r="B17" s="25" t="n">
        <v>0.4580135284373275</v>
      </c>
      <c r="C17" s="25" t="n">
        <v>0.4434252022487316</v>
      </c>
      <c r="D17" s="25" t="n">
        <v>0.4768580894533407</v>
      </c>
      <c r="E17" s="25" t="n">
        <v>0.421904566022213</v>
      </c>
      <c r="F17" s="25" t="n">
        <v>0.4003839297956945</v>
      </c>
      <c r="G17" s="25" t="n">
        <v>0</v>
      </c>
      <c r="H17" s="25" t="n">
        <v>0.4008844097079391</v>
      </c>
    </row>
    <row r="18">
      <c r="A18" s="36" t="n">
        <v>44109</v>
      </c>
      <c r="B18" s="25" t="n">
        <v>0.4573710073710074</v>
      </c>
      <c r="C18" s="25" t="n">
        <v>0.4444215917154287</v>
      </c>
      <c r="D18" s="25" t="n">
        <v>0.4835698313226403</v>
      </c>
      <c r="E18" s="25" t="n">
        <v>0.416895479615937</v>
      </c>
      <c r="F18" s="25" t="n">
        <v>0.400379812356242</v>
      </c>
      <c r="G18" s="25" t="n">
        <v>0</v>
      </c>
      <c r="H18" s="25" t="n">
        <v>0.395375064701789</v>
      </c>
    </row>
    <row r="19">
      <c r="A19" s="36" t="n">
        <v>44110</v>
      </c>
      <c r="B19" s="25" t="n">
        <v>0.4564515238515901</v>
      </c>
      <c r="C19" s="25" t="n">
        <v>0.4449205413335893</v>
      </c>
      <c r="D19" s="25" t="n">
        <v>0.4796267667844523</v>
      </c>
      <c r="E19" s="25" t="n">
        <v>0.4143916852915769</v>
      </c>
      <c r="F19" s="25" t="n">
        <v>0.4002783452852697</v>
      </c>
      <c r="G19" s="25" t="n">
        <v>0</v>
      </c>
      <c r="H19" s="25" t="n">
        <v>0.3999780614553482</v>
      </c>
    </row>
    <row r="20">
      <c r="A20" s="36" t="n">
        <v>44111</v>
      </c>
      <c r="B20" s="25" t="n">
        <v>0.4578495514147688</v>
      </c>
      <c r="C20" s="25" t="n">
        <v>0.4484223155368926</v>
      </c>
      <c r="D20" s="25" t="n">
        <v>0.4806211180124224</v>
      </c>
      <c r="E20" s="25" t="n">
        <v>0.4163921501414003</v>
      </c>
      <c r="F20" s="25" t="n">
        <v>0.399376124775045</v>
      </c>
      <c r="G20" s="25" t="n">
        <v>0</v>
      </c>
      <c r="H20" s="25" t="n">
        <v>0.4013780101122633</v>
      </c>
    </row>
    <row r="21">
      <c r="A21" s="36" t="n">
        <v>44112</v>
      </c>
      <c r="B21" s="25" t="n">
        <v>0.456627836360625</v>
      </c>
      <c r="C21" s="25" t="n">
        <v>0.4474198391641472</v>
      </c>
      <c r="D21" s="25" t="n">
        <v>0.4911872688124552</v>
      </c>
      <c r="E21" s="25" t="n">
        <v>0.414789220021527</v>
      </c>
      <c r="F21" s="25" t="n">
        <v>0.3953709988139555</v>
      </c>
      <c r="G21" s="25" t="n">
        <v>0</v>
      </c>
      <c r="H21" s="25" t="n">
        <v>0.3991745679164696</v>
      </c>
    </row>
    <row r="22">
      <c r="A22" s="36" t="n">
        <v>44113</v>
      </c>
      <c r="B22" s="25" t="n">
        <v>0.4597385927623044</v>
      </c>
      <c r="C22" s="25" t="n">
        <v>0.447718586212452</v>
      </c>
      <c r="D22" s="25" t="n">
        <v>0.4896624064923952</v>
      </c>
      <c r="E22" s="25" t="n">
        <v>0.4159889211488824</v>
      </c>
      <c r="F22" s="25" t="n">
        <v>0.3953696435365942</v>
      </c>
      <c r="G22" s="25" t="n">
        <v>0</v>
      </c>
      <c r="H22" s="25" t="n">
        <v>0.4003743225687029</v>
      </c>
    </row>
    <row r="23">
      <c r="A23" s="36" t="n">
        <v>44117</v>
      </c>
      <c r="B23" s="25" t="n">
        <v>0.4578744721371202</v>
      </c>
      <c r="C23" s="25" t="n">
        <v>0.447812539634115</v>
      </c>
      <c r="D23" s="25" t="n">
        <v>0.4875934972813337</v>
      </c>
      <c r="E23" s="25" t="n">
        <v>0.4159832174160443</v>
      </c>
      <c r="F23" s="25" t="n">
        <v>0.3928619173142381</v>
      </c>
      <c r="G23" s="25" t="n">
        <v>0</v>
      </c>
      <c r="H23" s="25" t="n">
        <v>0.3973660666847199</v>
      </c>
    </row>
    <row r="24">
      <c r="A24" s="36" t="n">
        <v>44118</v>
      </c>
      <c r="B24" s="25" t="n">
        <v>0.4523211525723118</v>
      </c>
      <c r="C24" s="25" t="n">
        <v>0.4449083405317209</v>
      </c>
      <c r="D24" s="25" t="n">
        <v>0.4875800397438728</v>
      </c>
      <c r="E24" s="25" t="n">
        <v>0.411177381980722</v>
      </c>
      <c r="F24" s="25" t="n">
        <v>0.3823509248214115</v>
      </c>
      <c r="G24" s="25" t="n">
        <v>0</v>
      </c>
      <c r="H24" s="25" t="n">
        <v>0.3941617649075179</v>
      </c>
    </row>
    <row r="25">
      <c r="A25" s="36" t="n">
        <v>44119</v>
      </c>
      <c r="B25" s="25" t="n">
        <v>0.448883614384677</v>
      </c>
      <c r="C25" s="25" t="n">
        <v>0.4444063578683248</v>
      </c>
      <c r="D25" s="25" t="n">
        <v>0.4680236248723539</v>
      </c>
      <c r="E25" s="25" t="n">
        <v>0.4042696575293162</v>
      </c>
      <c r="F25" s="25" t="n">
        <v>0.3653340554548166</v>
      </c>
      <c r="G25" s="25" t="n">
        <v>0</v>
      </c>
      <c r="H25" s="25" t="n">
        <v>0.3803477837611789</v>
      </c>
    </row>
    <row r="26">
      <c r="A26" s="36" t="n">
        <v>44120</v>
      </c>
      <c r="B26" s="25" t="n">
        <v>0.4462521388750897</v>
      </c>
      <c r="C26" s="25" t="n">
        <v>0.4423029197830901</v>
      </c>
      <c r="D26" s="25" t="n">
        <v>0.4734503504995308</v>
      </c>
      <c r="E26" s="25" t="n">
        <v>0.3983628922237381</v>
      </c>
      <c r="F26" s="25" t="n">
        <v>0.3583264206434629</v>
      </c>
      <c r="G26" s="25" t="n">
        <v>0</v>
      </c>
      <c r="H26" s="25" t="n">
        <v>0.3770434711072416</v>
      </c>
    </row>
    <row r="27">
      <c r="A27" s="36" t="n">
        <v>44123</v>
      </c>
      <c r="B27" s="25" t="n">
        <v>0.4382578579904517</v>
      </c>
      <c r="C27" s="25" t="n">
        <v>0.4338907989044928</v>
      </c>
      <c r="D27" s="25" t="n">
        <v>0.4542732566161658</v>
      </c>
      <c r="E27" s="25" t="n">
        <v>0.3888502315441648</v>
      </c>
      <c r="F27" s="25" t="n">
        <v>0.3583227358888313</v>
      </c>
      <c r="G27" s="25" t="n">
        <v>0</v>
      </c>
      <c r="H27" s="25" t="n">
        <v>0.3598240881341757</v>
      </c>
    </row>
    <row r="28">
      <c r="A28" s="36" t="n">
        <v>44124</v>
      </c>
      <c r="B28" s="25" t="n">
        <v>0.4200149014846294</v>
      </c>
      <c r="C28" s="25" t="n">
        <v>0.4141716197410005</v>
      </c>
      <c r="D28" s="25" t="n">
        <v>0.4482173409128539</v>
      </c>
      <c r="E28" s="25" t="n">
        <v>0.3783394689755877</v>
      </c>
      <c r="F28" s="25" t="n">
        <v>0.3483125269933982</v>
      </c>
      <c r="G28" s="25" t="n">
        <v>0</v>
      </c>
      <c r="H28" s="25" t="n">
        <v>0.3607236630127031</v>
      </c>
    </row>
    <row r="29">
      <c r="A29" s="36" t="n">
        <v>44125</v>
      </c>
      <c r="B29" s="25" t="n">
        <v>0.4147658599850989</v>
      </c>
      <c r="C29" s="25" t="n">
        <v>0.4033605380151437</v>
      </c>
      <c r="D29" s="25" t="n">
        <v>0.4461905681724109</v>
      </c>
      <c r="E29" s="25" t="n">
        <v>0.3678287784629412</v>
      </c>
      <c r="F29" s="25" t="n">
        <v>0.3398037286752886</v>
      </c>
      <c r="G29" s="25" t="n">
        <v>0</v>
      </c>
      <c r="H29" s="25" t="n">
        <v>0.3453086491692917</v>
      </c>
    </row>
    <row r="30">
      <c r="A30" s="36" t="n">
        <v>44126</v>
      </c>
      <c r="B30" s="25" t="n">
        <v>0.4240204194260486</v>
      </c>
      <c r="C30" s="25" t="n">
        <v>0.4013573730033592</v>
      </c>
      <c r="D30" s="25" t="n">
        <v>0.4834437086092715</v>
      </c>
      <c r="E30" s="25" t="n">
        <v>0.3777363405772263</v>
      </c>
      <c r="F30" s="25" t="n">
        <v>0.3463083567560156</v>
      </c>
      <c r="G30" s="25" t="n">
        <v>0</v>
      </c>
      <c r="H30" s="25" t="n">
        <v>0.3503119215740043</v>
      </c>
    </row>
    <row r="31">
      <c r="A31" s="36" t="n">
        <v>44127</v>
      </c>
      <c r="B31" s="25" t="n">
        <v>0.4397202063960707</v>
      </c>
      <c r="C31" s="25" t="n">
        <v>0.4018564411584247</v>
      </c>
      <c r="D31" s="25" t="n">
        <v>0.4935018349383295</v>
      </c>
      <c r="E31" s="25" t="n">
        <v>0.3731309620519571</v>
      </c>
      <c r="F31" s="25" t="n">
        <v>0.3418031747337535</v>
      </c>
      <c r="G31" s="25" t="n">
        <v>0</v>
      </c>
      <c r="H31" s="25" t="n">
        <v>0.3548147157924323</v>
      </c>
    </row>
    <row r="32">
      <c r="A32" s="36" t="n">
        <v>44130</v>
      </c>
      <c r="B32" s="25" t="n">
        <v>0.4084648493543759</v>
      </c>
      <c r="C32" s="25" t="n">
        <v>0.3826354612262806</v>
      </c>
      <c r="D32" s="25" t="n">
        <v>0.4733197218850017</v>
      </c>
      <c r="E32" s="25" t="n">
        <v>0.3603158933859822</v>
      </c>
      <c r="F32" s="25" t="n">
        <v>0.3342930788636613</v>
      </c>
      <c r="G32" s="25" t="n">
        <v>0</v>
      </c>
      <c r="H32" s="25" t="n">
        <v>0.3423000987166832</v>
      </c>
    </row>
    <row r="33">
      <c r="A33" s="36" t="n">
        <v>44131</v>
      </c>
      <c r="B33" s="25" t="n">
        <v>0.4330252448613602</v>
      </c>
      <c r="C33" s="25" t="n">
        <v>0.3925428027901078</v>
      </c>
      <c r="D33" s="25" t="n">
        <v>0.4531659539246793</v>
      </c>
      <c r="E33" s="25" t="n">
        <v>0.3663199026547156</v>
      </c>
      <c r="F33" s="25" t="n">
        <v>0.3402971773295172</v>
      </c>
      <c r="G33" s="25" t="n">
        <v>0</v>
      </c>
      <c r="H33" s="25" t="n">
        <v>0.3523076659411473</v>
      </c>
    </row>
    <row r="34">
      <c r="A34" s="36" t="n">
        <v>44132</v>
      </c>
      <c r="B34" s="25" t="n">
        <v>0.4450973900568339</v>
      </c>
      <c r="C34" s="25" t="n">
        <v>0.388337800689641</v>
      </c>
      <c r="D34" s="25" t="n">
        <v>0.4833636815096838</v>
      </c>
      <c r="E34" s="25" t="n">
        <v>0.3613142939406196</v>
      </c>
      <c r="F34" s="25" t="n">
        <v>0.3381941826109012</v>
      </c>
      <c r="G34" s="25" t="n">
        <v>0</v>
      </c>
      <c r="H34" s="25" t="n">
        <v>0.3503047171169442</v>
      </c>
    </row>
    <row r="35">
      <c r="A35" s="36" t="n">
        <v>44133</v>
      </c>
      <c r="B35" s="25" t="n">
        <v>0.4576723590917869</v>
      </c>
      <c r="C35" s="25" t="n">
        <v>0.3877359492985361</v>
      </c>
      <c r="D35" s="25" t="n">
        <v>0.4702596076916711</v>
      </c>
      <c r="E35" s="25" t="n">
        <v>0.3612129687708872</v>
      </c>
      <c r="F35" s="25" t="n">
        <v>0.3367918093416556</v>
      </c>
      <c r="G35" s="25" t="n">
        <v>0</v>
      </c>
      <c r="H35" s="25" t="n">
        <v>0.350403603121883</v>
      </c>
    </row>
    <row r="36">
      <c r="A36" s="36" t="n">
        <v>44134</v>
      </c>
      <c r="B36" s="25" t="n">
        <v>0.4521214963584197</v>
      </c>
      <c r="C36" s="25" t="n">
        <v>0.3808286603507136</v>
      </c>
      <c r="D36" s="25" t="n">
        <v>0.4682327300816597</v>
      </c>
      <c r="E36" s="25" t="n">
        <v>0.3601107805366275</v>
      </c>
      <c r="F36" s="25" t="n">
        <v>0.3352893593100895</v>
      </c>
      <c r="G36" s="25" t="n">
        <v>0</v>
      </c>
      <c r="H36" s="25" t="n">
        <v>0.3513031794562431</v>
      </c>
    </row>
    <row r="37">
      <c r="A37" s="36" t="n">
        <v>44137</v>
      </c>
      <c r="B37" s="25" t="n">
        <v>0.4401023420043585</v>
      </c>
      <c r="C37" s="25" t="n">
        <v>0.386729779846513</v>
      </c>
      <c r="D37" s="25" t="n">
        <v>0.4513792722959367</v>
      </c>
      <c r="E37" s="25" t="n">
        <v>0.3628093819729838</v>
      </c>
      <c r="F37" s="25" t="n">
        <v>0.3362867650839243</v>
      </c>
      <c r="G37" s="25" t="n">
        <v>0</v>
      </c>
      <c r="H37" s="25" t="n">
        <v>0.3508992257095949</v>
      </c>
    </row>
    <row r="38">
      <c r="A38" s="36" t="n">
        <v>44138</v>
      </c>
      <c r="B38" s="25" t="n">
        <v>0.4510647688403398</v>
      </c>
      <c r="C38" s="25" t="n">
        <v>0.384126244207409</v>
      </c>
      <c r="D38" s="25" t="n">
        <v>0.4506620324395895</v>
      </c>
      <c r="E38" s="25" t="n">
        <v>0.3688132386410376</v>
      </c>
      <c r="F38" s="25" t="n">
        <v>0.3404891825934355</v>
      </c>
      <c r="G38" s="25" t="n">
        <v>0</v>
      </c>
      <c r="H38" s="25" t="n">
        <v>0.3553017631412981</v>
      </c>
    </row>
    <row r="39">
      <c r="A39" s="36" t="n">
        <v>44139</v>
      </c>
      <c r="B39" s="25" t="n">
        <v>0.4520591399332469</v>
      </c>
      <c r="C39" s="25" t="n">
        <v>0.3842250122535158</v>
      </c>
      <c r="D39" s="25" t="n">
        <v>0.4575966126941219</v>
      </c>
      <c r="E39" s="25" t="n">
        <v>0.3728153609388764</v>
      </c>
      <c r="F39" s="25" t="n">
        <v>0.3402878462260885</v>
      </c>
      <c r="G39" s="25" t="n">
        <v>0</v>
      </c>
      <c r="H39" s="25" t="n">
        <v>0.3563013919308456</v>
      </c>
    </row>
    <row r="40">
      <c r="A40" s="36" t="n">
        <v>44140</v>
      </c>
      <c r="B40" s="25" t="n">
        <v>0.4580873834611353</v>
      </c>
      <c r="C40" s="25" t="n">
        <v>0.3802203226005471</v>
      </c>
      <c r="D40" s="25" t="n">
        <v>0.4681552380426988</v>
      </c>
      <c r="E40" s="25" t="n">
        <v>0.3743153478615546</v>
      </c>
      <c r="F40" s="25" t="n">
        <v>0.346391823248353</v>
      </c>
      <c r="G40" s="25" t="n">
        <v>0</v>
      </c>
      <c r="H40" s="25" t="n">
        <v>0.3628056513363999</v>
      </c>
    </row>
    <row r="41">
      <c r="A41" s="36" t="n">
        <v>44141</v>
      </c>
      <c r="B41" s="25" t="n">
        <v>0.4571686663908426</v>
      </c>
      <c r="C41" s="25" t="n">
        <v>0.3803191033572689</v>
      </c>
      <c r="D41" s="25" t="n">
        <v>0.4590815059991725</v>
      </c>
      <c r="E41" s="25" t="n">
        <v>0.3741138969340714</v>
      </c>
      <c r="F41" s="25" t="n">
        <v>0.3461904680296825</v>
      </c>
      <c r="G41" s="25" t="n">
        <v>0</v>
      </c>
      <c r="H41" s="25" t="n">
        <v>0.3583006289523744</v>
      </c>
    </row>
    <row r="42">
      <c r="A42" s="36" t="n">
        <v>44144</v>
      </c>
      <c r="B42" s="25" t="n">
        <v>0.4600501958188538</v>
      </c>
      <c r="C42" s="25" t="n">
        <v>0.3838180958191378</v>
      </c>
      <c r="D42" s="25" t="n">
        <v>0.4630702189861548</v>
      </c>
      <c r="E42" s="25" t="n">
        <v>0.379314363273672</v>
      </c>
      <c r="F42" s="25" t="n">
        <v>0.3477882354554117</v>
      </c>
      <c r="G42" s="25" t="n">
        <v>0</v>
      </c>
      <c r="H42" s="25" t="n">
        <v>0.3728089718191104</v>
      </c>
    </row>
    <row r="43">
      <c r="A43" s="36" t="n">
        <v>44145</v>
      </c>
      <c r="B43" s="25" t="n">
        <v>0.4545009514879064</v>
      </c>
      <c r="C43" s="25" t="n">
        <v>0.3843171932999496</v>
      </c>
      <c r="D43" s="25" t="n">
        <v>0.4679900162718222</v>
      </c>
      <c r="E43" s="25" t="n">
        <v>0.3853180193241683</v>
      </c>
      <c r="F43" s="25" t="n">
        <v>0.3522907605249538</v>
      </c>
      <c r="G43" s="25" t="n">
        <v>0</v>
      </c>
      <c r="H43" s="25" t="n">
        <v>0.3713064549851076</v>
      </c>
    </row>
    <row r="44">
      <c r="A44" s="36" t="n">
        <v>44146</v>
      </c>
      <c r="B44" s="25" t="n">
        <v>0.4509652509652509</v>
      </c>
      <c r="C44" s="25" t="n">
        <v>0.3923224568138196</v>
      </c>
      <c r="D44" s="25" t="n">
        <v>0.4650579150579151</v>
      </c>
      <c r="E44" s="25" t="n">
        <v>0.3848162873594735</v>
      </c>
      <c r="F44" s="25" t="n">
        <v>0.3541911159857417</v>
      </c>
      <c r="G44" s="25" t="n">
        <v>0</v>
      </c>
      <c r="H44" s="25" t="n">
        <v>0.3733068275294762</v>
      </c>
    </row>
    <row r="45">
      <c r="A45" s="36" t="n">
        <v>44147</v>
      </c>
      <c r="B45" s="25" t="n">
        <v>0.4429000854912992</v>
      </c>
      <c r="C45" s="25" t="n">
        <v>0.3950233238849606</v>
      </c>
      <c r="D45" s="25" t="n">
        <v>0.4655483853175588</v>
      </c>
      <c r="E45" s="25" t="n">
        <v>0.3903194738158973</v>
      </c>
      <c r="F45" s="25" t="n">
        <v>0.3567920318342753</v>
      </c>
      <c r="G45" s="25" t="n">
        <v>0</v>
      </c>
      <c r="H45" s="25" t="n">
        <v>0.3662998138887651</v>
      </c>
    </row>
    <row r="46">
      <c r="A46" s="36" t="n">
        <v>44148</v>
      </c>
      <c r="B46" s="25" t="n">
        <v>0.4529535050466053</v>
      </c>
      <c r="C46" s="25" t="n">
        <v>0.3993254776153166</v>
      </c>
      <c r="D46" s="25" t="n">
        <v>0.4655355468534554</v>
      </c>
      <c r="E46" s="25" t="n">
        <v>0.3970236014285616</v>
      </c>
      <c r="F46" s="25" t="n">
        <v>0.3591927667071106</v>
      </c>
      <c r="G46" s="25" t="n">
        <v>0</v>
      </c>
      <c r="H46" s="25" t="n">
        <v>0.3686004346008048</v>
      </c>
    </row>
    <row r="47">
      <c r="A47" s="36" t="n">
        <v>44151</v>
      </c>
      <c r="B47" s="25" t="n">
        <v>0.4529160347442437</v>
      </c>
      <c r="C47" s="25" t="n">
        <v>0.4029242712456943</v>
      </c>
      <c r="D47" s="25" t="n">
        <v>0.463081483524059</v>
      </c>
      <c r="E47" s="25" t="n">
        <v>0.3983205662091066</v>
      </c>
      <c r="F47" s="25" t="n">
        <v>0.3620914091820472</v>
      </c>
      <c r="G47" s="25" t="n">
        <v>0</v>
      </c>
      <c r="H47" s="25" t="n">
        <v>0.3728000274193272</v>
      </c>
    </row>
    <row r="48">
      <c r="A48" s="36" t="n">
        <v>44152</v>
      </c>
      <c r="B48" s="25" t="n">
        <v>0.4433422489383996</v>
      </c>
      <c r="C48" s="25" t="n">
        <v>0.4021222486513165</v>
      </c>
      <c r="D48" s="25" t="n">
        <v>0.4599487122925054</v>
      </c>
      <c r="E48" s="25" t="n">
        <v>0.3968179979846864</v>
      </c>
      <c r="F48" s="25" t="n">
        <v>0.3582871205006752</v>
      </c>
      <c r="G48" s="25" t="n">
        <v>0</v>
      </c>
      <c r="H48" s="25" t="n">
        <v>0.3722983486766793</v>
      </c>
    </row>
    <row r="49">
      <c r="A49" s="36" t="n">
        <v>44153</v>
      </c>
      <c r="B49" s="25" t="n">
        <v>0.4377946893870461</v>
      </c>
      <c r="C49" s="25" t="n">
        <v>0.3977173566578812</v>
      </c>
      <c r="D49" s="25" t="n">
        <v>0.4478589351200816</v>
      </c>
      <c r="E49" s="25" t="n">
        <v>0.3943146414776174</v>
      </c>
      <c r="F49" s="25" t="n">
        <v>0.3567846946364736</v>
      </c>
      <c r="G49" s="25" t="n">
        <v>0</v>
      </c>
      <c r="H49" s="25" t="n">
        <v>0.3752994684114379</v>
      </c>
    </row>
    <row r="50">
      <c r="A50" s="36" t="n">
        <v>44154</v>
      </c>
      <c r="B50" s="25" t="n">
        <v>0.4257058564023381</v>
      </c>
      <c r="C50" s="25" t="n">
        <v>0.3946135285569357</v>
      </c>
      <c r="D50" s="25" t="n">
        <v>0.4478465865225543</v>
      </c>
      <c r="E50" s="25" t="n">
        <v>0.3903101094019906</v>
      </c>
      <c r="F50" s="25" t="n">
        <v>0.3527802911902608</v>
      </c>
      <c r="G50" s="25" t="n">
        <v>0</v>
      </c>
      <c r="H50" s="25" t="n">
        <v>0.3691933316881906</v>
      </c>
    </row>
    <row r="51">
      <c r="A51" s="36" t="n">
        <v>44155</v>
      </c>
      <c r="B51" s="25" t="n">
        <v>0.4246877498690342</v>
      </c>
      <c r="C51" s="25" t="n">
        <v>0.390809167526365</v>
      </c>
      <c r="D51" s="25" t="n">
        <v>0.4429030301359287</v>
      </c>
      <c r="E51" s="25" t="n">
        <v>0.3882071090485967</v>
      </c>
      <c r="F51" s="25" t="n">
        <v>0.3522786862209488</v>
      </c>
      <c r="G51" s="25" t="n">
        <v>0</v>
      </c>
      <c r="H51" s="25" t="n">
        <v>0.3677909579153371</v>
      </c>
    </row>
    <row r="52">
      <c r="A52" s="36" t="n">
        <v>44159</v>
      </c>
      <c r="B52" s="25" t="n">
        <v>0.4291690789292311</v>
      </c>
      <c r="C52" s="25" t="n">
        <v>0.3888022538068979</v>
      </c>
      <c r="D52" s="25" t="n">
        <v>0.4458729633611778</v>
      </c>
      <c r="E52" s="25" t="n">
        <v>0.3807960297902822</v>
      </c>
      <c r="F52" s="25" t="n">
        <v>0.350272300726935</v>
      </c>
      <c r="G52" s="25" t="n">
        <v>0</v>
      </c>
      <c r="H52" s="25" t="n">
        <v>0.3620814811514431</v>
      </c>
    </row>
    <row r="53">
      <c r="A53" s="36" t="n">
        <v>44160</v>
      </c>
      <c r="B53" s="25" t="n">
        <v>0.4366033522633291</v>
      </c>
      <c r="C53" s="25" t="n">
        <v>0.3923036322633272</v>
      </c>
      <c r="D53" s="25" t="n">
        <v>0.4528036610244252</v>
      </c>
      <c r="E53" s="25" t="n">
        <v>0.3802943373981232</v>
      </c>
      <c r="F53" s="25" t="n">
        <v>0.3542656992744558</v>
      </c>
      <c r="G53" s="25" t="n">
        <v>0</v>
      </c>
      <c r="H53" s="25" t="n">
        <v>0.364281944244518</v>
      </c>
    </row>
    <row r="54">
      <c r="A54" s="36" t="n">
        <v>44161</v>
      </c>
      <c r="B54" s="25" t="n">
        <v>0.4346795313576844</v>
      </c>
      <c r="C54" s="25" t="n">
        <v>0.3903007454374089</v>
      </c>
      <c r="D54" s="25" t="n">
        <v>0.4537973811164714</v>
      </c>
      <c r="E54" s="25" t="n">
        <v>0.3753892554194156</v>
      </c>
      <c r="F54" s="25" t="n">
        <v>0.3492691286093736</v>
      </c>
      <c r="G54" s="25" t="n">
        <v>0</v>
      </c>
      <c r="H54" s="25" t="n">
        <v>0.357375374860766</v>
      </c>
    </row>
    <row r="55">
      <c r="A55" s="36" t="n">
        <v>44162</v>
      </c>
      <c r="B55" s="25" t="n">
        <v>0.4323533465652222</v>
      </c>
      <c r="C55" s="25" t="n">
        <v>0.3903994845360825</v>
      </c>
      <c r="D55" s="25" t="n">
        <v>0.4537848715404124</v>
      </c>
      <c r="E55" s="25" t="n">
        <v>0.3752878920815969</v>
      </c>
      <c r="F55" s="25" t="n">
        <v>0.3502686992761571</v>
      </c>
      <c r="G55" s="25" t="n">
        <v>0</v>
      </c>
      <c r="H55" s="25" t="n">
        <v>0.3625781421364334</v>
      </c>
    </row>
    <row r="56">
      <c r="A56" s="36" t="n">
        <v>44165</v>
      </c>
      <c r="B56" s="25" t="n">
        <v>0.4245706882769646</v>
      </c>
      <c r="C56" s="25" t="n">
        <v>0.3863924408542082</v>
      </c>
      <c r="D56" s="25" t="n">
        <v>0.4442900851732407</v>
      </c>
      <c r="E56" s="25" t="n">
        <v>0.3717813824846887</v>
      </c>
      <c r="F56" s="25" t="n">
        <v>0.3502650978994376</v>
      </c>
      <c r="G56" s="25" t="n">
        <v>0</v>
      </c>
      <c r="H56" s="25" t="n">
        <v>0.3601725963828789</v>
      </c>
    </row>
    <row r="57">
      <c r="A57" s="36" t="n">
        <v>44166</v>
      </c>
      <c r="B57" s="25" t="n">
        <v>0.421138368246968</v>
      </c>
      <c r="C57" s="25" t="n">
        <v>0.3850901364041401</v>
      </c>
      <c r="D57" s="25" t="n">
        <v>0.4448814773980154</v>
      </c>
      <c r="E57" s="25" t="n">
        <v>0.3697786003153061</v>
      </c>
      <c r="F57" s="25" t="n">
        <v>0.3462608814860512</v>
      </c>
      <c r="G57" s="25" t="n">
        <v>0</v>
      </c>
      <c r="H57" s="25" t="n">
        <v>0.3538666118308315</v>
      </c>
    </row>
    <row r="58">
      <c r="A58" s="36" t="n">
        <v>44167</v>
      </c>
      <c r="B58" s="25" t="n">
        <v>0.4201207243460764</v>
      </c>
      <c r="C58" s="25" t="n">
        <v>0.386790092569427</v>
      </c>
      <c r="D58" s="25" t="n">
        <v>0.4426559356136821</v>
      </c>
      <c r="E58" s="25" t="n">
        <v>0.3800850637978483</v>
      </c>
      <c r="F58" s="25" t="n">
        <v>0.3472604453340005</v>
      </c>
      <c r="G58" s="25" t="n">
        <v>0</v>
      </c>
      <c r="H58" s="25" t="n">
        <v>0.3562672004003002</v>
      </c>
    </row>
    <row r="59">
      <c r="A59" s="36" t="n">
        <v>44168</v>
      </c>
      <c r="B59" s="25" t="n">
        <v>0.4205115484262169</v>
      </c>
      <c r="C59" s="25" t="n">
        <v>0.3886901865091061</v>
      </c>
      <c r="D59" s="25" t="n">
        <v>0.4426437351854914</v>
      </c>
      <c r="E59" s="25" t="n">
        <v>0.3741793530786683</v>
      </c>
      <c r="F59" s="25" t="n">
        <v>0.3472592551973734</v>
      </c>
      <c r="G59" s="25" t="n">
        <v>0</v>
      </c>
      <c r="H59" s="25" t="n">
        <v>0.3570665771020831</v>
      </c>
    </row>
    <row r="60">
      <c r="A60" s="36" t="n">
        <v>44169</v>
      </c>
      <c r="B60" s="25" t="n">
        <v>0.4200975663533886</v>
      </c>
      <c r="C60" s="25" t="n">
        <v>0.3862870695002794</v>
      </c>
      <c r="D60" s="25" t="n">
        <v>0.4396135931427942</v>
      </c>
      <c r="E60" s="25" t="n">
        <v>0.3715761370607609</v>
      </c>
      <c r="F60" s="25" t="n">
        <v>0.3449563545511561</v>
      </c>
      <c r="G60" s="25" t="n">
        <v>0</v>
      </c>
      <c r="H60" s="25" t="n">
        <v>0.3532625272891155</v>
      </c>
    </row>
    <row r="61">
      <c r="A61" s="36" t="n">
        <v>44174</v>
      </c>
      <c r="B61" s="25" t="n">
        <v>0.4194361772486773</v>
      </c>
      <c r="C61" s="25" t="n">
        <v>0.3914842282753231</v>
      </c>
      <c r="D61" s="25" t="n">
        <v>0.437541335978836</v>
      </c>
      <c r="E61" s="25" t="n">
        <v>0.3715697698328924</v>
      </c>
      <c r="F61" s="25" t="n">
        <v>0.3449504434726582</v>
      </c>
      <c r="G61" s="25" t="n">
        <v>0</v>
      </c>
      <c r="H61" s="25" t="n">
        <v>0.3492535676587111</v>
      </c>
    </row>
    <row r="62">
      <c r="A62" s="36" t="n">
        <v>44175</v>
      </c>
      <c r="B62" s="25" t="n">
        <v>0.4236490396538896</v>
      </c>
      <c r="C62" s="25" t="n">
        <v>0.3969868637954138</v>
      </c>
      <c r="D62" s="25" t="n">
        <v>0.437529278844829</v>
      </c>
      <c r="E62" s="25" t="n">
        <v>0.3737700872891028</v>
      </c>
      <c r="F62" s="25" t="n">
        <v>0.34775128603203</v>
      </c>
      <c r="G62" s="25" t="n">
        <v>0</v>
      </c>
      <c r="H62" s="25" t="n">
        <v>0.3553567817840974</v>
      </c>
    </row>
    <row r="63">
      <c r="A63" s="36" t="n">
        <v>44176</v>
      </c>
      <c r="B63" s="25" t="n">
        <v>0.4216257922292643</v>
      </c>
      <c r="C63" s="25" t="n">
        <v>0.3987867987251105</v>
      </c>
      <c r="D63" s="25" t="n">
        <v>0.4394282171397079</v>
      </c>
      <c r="E63" s="25" t="n">
        <v>0.3734685904246204</v>
      </c>
      <c r="F63" s="25" t="n">
        <v>0.3494513177285034</v>
      </c>
      <c r="G63" s="25" t="n">
        <v>0</v>
      </c>
      <c r="H63" s="25" t="n">
        <v>0.3562562116590699</v>
      </c>
    </row>
    <row r="64">
      <c r="A64" s="36" t="n">
        <v>44179</v>
      </c>
      <c r="B64" s="25" t="n">
        <v>0.4234012068442951</v>
      </c>
      <c r="C64" s="25" t="n">
        <v>0.4035861038475906</v>
      </c>
      <c r="D64" s="25" t="n">
        <v>0.4455266855867522</v>
      </c>
      <c r="E64" s="25" t="n">
        <v>0.3744654601035666</v>
      </c>
      <c r="F64" s="25" t="n">
        <v>0.3482468736398748</v>
      </c>
      <c r="G64" s="25" t="n">
        <v>0</v>
      </c>
      <c r="H64" s="25" t="n">
        <v>0.3562525488959639</v>
      </c>
    </row>
    <row r="65">
      <c r="A65" s="36" t="n">
        <v>44180</v>
      </c>
      <c r="B65" s="25" t="n">
        <v>0.4198696754284455</v>
      </c>
      <c r="C65" s="25" t="n">
        <v>0.4005826027951226</v>
      </c>
      <c r="D65" s="25" t="n">
        <v>0.4414917066181738</v>
      </c>
      <c r="E65" s="25" t="n">
        <v>0.3702612116767308</v>
      </c>
      <c r="F65" s="25" t="n">
        <v>0.3482456801716279</v>
      </c>
      <c r="G65" s="25" t="n">
        <v>0</v>
      </c>
      <c r="H65" s="25" t="n">
        <v>0.351247798104142</v>
      </c>
    </row>
    <row r="66">
      <c r="A66" s="36" t="n">
        <v>44181</v>
      </c>
      <c r="B66" s="25" t="n">
        <v>0.4178468108554897</v>
      </c>
      <c r="C66" s="25" t="n">
        <v>0.3980794736030432</v>
      </c>
      <c r="D66" s="25" t="n">
        <v>0.4372558203609312</v>
      </c>
      <c r="E66" s="25" t="n">
        <v>0.3730619099025</v>
      </c>
      <c r="F66" s="25" t="n">
        <v>0.3482444867115612</v>
      </c>
      <c r="G66" s="25" t="n">
        <v>0</v>
      </c>
      <c r="H66" s="25" t="n">
        <v>0.3512465943556264</v>
      </c>
    </row>
    <row r="67">
      <c r="A67" s="36" t="n">
        <v>44182</v>
      </c>
      <c r="B67" s="25" t="n">
        <v>0.4180364227463081</v>
      </c>
      <c r="C67" s="25" t="n">
        <v>0.3986785288352137</v>
      </c>
      <c r="D67" s="25" t="n">
        <v>0.437143211373154</v>
      </c>
      <c r="E67" s="25" t="n">
        <v>0.3792649659351053</v>
      </c>
      <c r="F67" s="25" t="n">
        <v>0.3507450410560802</v>
      </c>
      <c r="G67" s="25" t="n">
        <v>0</v>
      </c>
      <c r="H67" s="25" t="n">
        <v>0.3587506340045786</v>
      </c>
    </row>
    <row r="68">
      <c r="A68" s="36" t="n">
        <v>44183</v>
      </c>
      <c r="B68" s="25" t="n">
        <v>0.4198349725872662</v>
      </c>
      <c r="C68" s="25" t="n">
        <v>0.4024798061666158</v>
      </c>
      <c r="D68" s="25" t="n">
        <v>0.4374328456897264</v>
      </c>
      <c r="E68" s="25" t="n">
        <v>0.3828661706597394</v>
      </c>
      <c r="F68" s="25" t="n">
        <v>0.3552469696398524</v>
      </c>
      <c r="G68" s="25" t="n">
        <v>0</v>
      </c>
      <c r="H68" s="25" t="n">
        <v>0.3620517003259115</v>
      </c>
    </row>
    <row r="69">
      <c r="A69" s="36" t="n">
        <v>44186</v>
      </c>
      <c r="B69" s="25" t="n">
        <v>0.4244256198347108</v>
      </c>
      <c r="C69" s="25" t="n">
        <v>0.4076792323509253</v>
      </c>
      <c r="D69" s="25" t="n">
        <v>0.4462451790633609</v>
      </c>
      <c r="E69" s="25" t="n">
        <v>0.3863646333104866</v>
      </c>
      <c r="F69" s="25" t="n">
        <v>0.355743660041124</v>
      </c>
      <c r="G69" s="25" t="n">
        <v>0</v>
      </c>
      <c r="H69" s="25" t="n">
        <v>0.3702535983550377</v>
      </c>
    </row>
    <row r="70">
      <c r="A70" s="36" t="n">
        <v>44187</v>
      </c>
      <c r="B70" s="25" t="n">
        <v>0.425318861739346</v>
      </c>
      <c r="C70" s="25" t="n">
        <v>0.4073776306455427</v>
      </c>
      <c r="D70" s="25" t="n">
        <v>0.4374851932453651</v>
      </c>
      <c r="E70" s="25" t="n">
        <v>0.3867635820302192</v>
      </c>
      <c r="F70" s="25" t="n">
        <v>0.3597451687965429</v>
      </c>
      <c r="G70" s="25" t="n">
        <v>0</v>
      </c>
      <c r="H70" s="25" t="n">
        <v>0.3652489196404399</v>
      </c>
    </row>
    <row r="71">
      <c r="A71" s="36" t="n">
        <v>44188</v>
      </c>
      <c r="B71" s="25" t="n">
        <v>0.4250055093383285</v>
      </c>
      <c r="C71" s="25" t="n">
        <v>0.4064756238819473</v>
      </c>
      <c r="D71" s="25" t="n">
        <v>0.4423998677758801</v>
      </c>
      <c r="E71" s="25" t="n">
        <v>0.386061781619043</v>
      </c>
      <c r="F71" s="25" t="n">
        <v>0.3572422396008252</v>
      </c>
      <c r="G71" s="25" t="n">
        <v>0</v>
      </c>
      <c r="H71" s="25" t="n">
        <v>0.3632463108546206</v>
      </c>
    </row>
    <row r="72">
      <c r="A72" s="36" t="n">
        <v>44193</v>
      </c>
      <c r="B72" s="25" t="n">
        <v>0.4246453851874294</v>
      </c>
      <c r="C72" s="25" t="n">
        <v>0.4092705109884273</v>
      </c>
      <c r="D72" s="25" t="n">
        <v>0.4423389429035723</v>
      </c>
      <c r="E72" s="25" t="n">
        <v>0.3902579444632925</v>
      </c>
      <c r="F72" s="25" t="n">
        <v>0.3572361183933216</v>
      </c>
      <c r="G72" s="25" t="n">
        <v>0</v>
      </c>
      <c r="H72" s="25" t="n">
        <v>0.3677430630519487</v>
      </c>
    </row>
    <row r="73">
      <c r="A73" s="36" t="n">
        <v>44194</v>
      </c>
      <c r="B73" s="25" t="n">
        <v>0.4257395064448606</v>
      </c>
      <c r="C73" s="25" t="n">
        <v>0.4095693058449391</v>
      </c>
      <c r="D73" s="25" t="n">
        <v>0.4501680070507877</v>
      </c>
      <c r="E73" s="25" t="n">
        <v>0.3882552911503454</v>
      </c>
      <c r="F73" s="25" t="n">
        <v>0.3577352231604343</v>
      </c>
      <c r="G73" s="25" t="n">
        <v>0</v>
      </c>
      <c r="H73" s="25" t="n">
        <v>0.3662408158789341</v>
      </c>
    </row>
    <row r="74">
      <c r="A74" s="36" t="n">
        <v>44195</v>
      </c>
      <c r="B74" s="25" t="n">
        <v>0.4257277809909389</v>
      </c>
      <c r="C74" s="25" t="n">
        <v>0.4096679677460257</v>
      </c>
      <c r="D74" s="25" t="n">
        <v>0.4513619212867333</v>
      </c>
      <c r="E74" s="25" t="n">
        <v>0.3822500334122663</v>
      </c>
      <c r="F74" s="25" t="n">
        <v>0.359234979044512</v>
      </c>
      <c r="G74" s="25" t="n">
        <v>0</v>
      </c>
      <c r="H74" s="25" t="n">
        <v>0.3652389062708827</v>
      </c>
    </row>
    <row r="75">
      <c r="A75" s="36" t="n">
        <v>44200</v>
      </c>
      <c r="B75" s="25" t="n">
        <v>0.4157184556920196</v>
      </c>
      <c r="C75" s="25" t="n">
        <v>0.4057584625823298</v>
      </c>
      <c r="D75" s="25" t="n">
        <v>0.433308090543592</v>
      </c>
      <c r="E75" s="25" t="n">
        <v>0.3725373011575867</v>
      </c>
      <c r="F75" s="25" t="n">
        <v>0.3482218125244162</v>
      </c>
      <c r="G75" s="25" t="n">
        <v>0</v>
      </c>
      <c r="H75" s="25" t="n">
        <v>0.3612300986244663</v>
      </c>
    </row>
    <row r="76">
      <c r="A76" s="36" t="n">
        <v>44201</v>
      </c>
      <c r="B76" s="25" t="n">
        <v>0.4146014043783561</v>
      </c>
      <c r="C76" s="25" t="n">
        <v>0.4027551702277128</v>
      </c>
      <c r="D76" s="25" t="n">
        <v>0.4301803662398458</v>
      </c>
      <c r="E76" s="25" t="n">
        <v>0.3692339324572075</v>
      </c>
      <c r="F76" s="25" t="n">
        <v>0.3452187173380395</v>
      </c>
      <c r="G76" s="25" t="n">
        <v>0</v>
      </c>
      <c r="H76" s="25" t="n">
        <v>0.3566259445196443</v>
      </c>
    </row>
    <row r="77">
      <c r="A77" s="36" t="n">
        <v>44202</v>
      </c>
      <c r="B77" s="25" t="n">
        <v>0.4171026544773653</v>
      </c>
      <c r="C77" s="25" t="n">
        <v>0.4012528442580256</v>
      </c>
      <c r="D77" s="25" t="n">
        <v>0.4407217204537945</v>
      </c>
      <c r="E77" s="25" t="n">
        <v>0.3740356937248129</v>
      </c>
      <c r="F77" s="25" t="n">
        <v>0.3462181648710146</v>
      </c>
      <c r="G77" s="25" t="n">
        <v>0</v>
      </c>
      <c r="H77" s="25" t="n">
        <v>0.3577254160155715</v>
      </c>
    </row>
    <row r="78">
      <c r="A78" s="36" t="n">
        <v>44203</v>
      </c>
      <c r="B78" s="25" t="n">
        <v>0.41437756422612</v>
      </c>
      <c r="C78" s="25" t="n">
        <v>0.3957480201633215</v>
      </c>
      <c r="D78" s="25" t="n">
        <v>0.4321667538618278</v>
      </c>
      <c r="E78" s="25" t="n">
        <v>0.3713327187929422</v>
      </c>
      <c r="F78" s="25" t="n">
        <v>0.348718546212181</v>
      </c>
      <c r="G78" s="25" t="n">
        <v>0</v>
      </c>
      <c r="H78" s="25" t="n">
        <v>0.3513201766860738</v>
      </c>
    </row>
    <row r="79">
      <c r="A79" s="36" t="n">
        <v>44204</v>
      </c>
      <c r="B79" s="25" t="n">
        <v>0.4105471116250895</v>
      </c>
      <c r="C79" s="25" t="n">
        <v>0.3952463521784126</v>
      </c>
      <c r="D79" s="25" t="n">
        <v>0.4321548543421995</v>
      </c>
      <c r="E79" s="25" t="n">
        <v>0.3702307602683865</v>
      </c>
      <c r="F79" s="25" t="n">
        <v>0.3462157920347614</v>
      </c>
      <c r="G79" s="25" t="n">
        <v>0</v>
      </c>
      <c r="H79" s="25" t="n">
        <v>0.3502182867403656</v>
      </c>
    </row>
    <row r="80">
      <c r="A80" s="36" t="n">
        <v>44207</v>
      </c>
      <c r="B80" s="25" t="n">
        <v>0.4097092591063022</v>
      </c>
      <c r="C80" s="25" t="n">
        <v>0.3906394673447079</v>
      </c>
      <c r="D80" s="25" t="n">
        <v>0.433124087993172</v>
      </c>
      <c r="E80" s="25" t="n">
        <v>0.3641232125172623</v>
      </c>
      <c r="F80" s="25" t="n">
        <v>0.3452116194516501</v>
      </c>
      <c r="G80" s="25" t="n">
        <v>0</v>
      </c>
      <c r="H80" s="25" t="n">
        <v>0.3502146864002248</v>
      </c>
    </row>
    <row r="81">
      <c r="A81" s="36" t="n">
        <v>44208</v>
      </c>
      <c r="B81" s="25" t="n">
        <v>0.4115068002863279</v>
      </c>
      <c r="C81" s="25" t="n">
        <v>0.3906381287223033</v>
      </c>
      <c r="D81" s="25" t="n">
        <v>0.4322077528770442</v>
      </c>
      <c r="E81" s="25" t="n">
        <v>0.363721720774993</v>
      </c>
      <c r="F81" s="25" t="n">
        <v>0.3472116564206948</v>
      </c>
      <c r="G81" s="25" t="n">
        <v>0</v>
      </c>
      <c r="H81" s="25" t="n">
        <v>0.3482122663815613</v>
      </c>
    </row>
    <row r="82">
      <c r="A82" s="36" t="n">
        <v>44209</v>
      </c>
      <c r="B82" s="25" t="n">
        <v>0.4073754921124356</v>
      </c>
      <c r="C82" s="25" t="n">
        <v>0.3900364261898479</v>
      </c>
      <c r="D82" s="25" t="n">
        <v>0.4240563830080115</v>
      </c>
      <c r="E82" s="25" t="n">
        <v>0.3624196859054975</v>
      </c>
      <c r="F82" s="25" t="n">
        <v>0.3427077372242763</v>
      </c>
      <c r="G82" s="25" t="n">
        <v>0</v>
      </c>
      <c r="H82" s="25" t="n">
        <v>0.3442086470223389</v>
      </c>
    </row>
    <row r="83">
      <c r="A83" s="36" t="n">
        <v>44210</v>
      </c>
      <c r="B83" s="25" t="n">
        <v>0.4042492566897918</v>
      </c>
      <c r="C83" s="25" t="n">
        <v>0.3877337025056198</v>
      </c>
      <c r="D83" s="25" t="n">
        <v>0.4186185442131923</v>
      </c>
      <c r="E83" s="25" t="n">
        <v>0.3571152475464663</v>
      </c>
      <c r="F83" s="25" t="n">
        <v>0.3382038488952245</v>
      </c>
      <c r="G83" s="25" t="n">
        <v>0</v>
      </c>
      <c r="H83" s="25" t="n">
        <v>0.3441074072043424</v>
      </c>
    </row>
    <row r="84">
      <c r="A84" s="36" t="n">
        <v>44211</v>
      </c>
      <c r="B84" s="25" t="n">
        <v>0.4027309015829318</v>
      </c>
      <c r="C84" s="25" t="n">
        <v>0.387132014049516</v>
      </c>
      <c r="D84" s="25" t="n">
        <v>0.4220233998623538</v>
      </c>
      <c r="E84" s="25" t="n">
        <v>0.3572140837830892</v>
      </c>
      <c r="F84" s="25" t="n">
        <v>0.3367017904566093</v>
      </c>
      <c r="G84" s="25" t="n">
        <v>0</v>
      </c>
      <c r="H84" s="25" t="n">
        <v>0.3427053885033839</v>
      </c>
    </row>
    <row r="85">
      <c r="A85" s="36" t="n">
        <v>44214</v>
      </c>
      <c r="B85" s="25" t="n">
        <v>0.4028985906188065</v>
      </c>
      <c r="C85" s="25" t="n">
        <v>0.3882286826486834</v>
      </c>
      <c r="D85" s="25" t="n">
        <v>0.4219885487778022</v>
      </c>
      <c r="E85" s="25" t="n">
        <v>0.3582110010005893</v>
      </c>
      <c r="F85" s="25" t="n">
        <v>0.3381992132351933</v>
      </c>
      <c r="G85" s="25" t="n">
        <v>0</v>
      </c>
      <c r="H85" s="25" t="n">
        <v>0.3427018654824074</v>
      </c>
    </row>
    <row r="86">
      <c r="A86" s="36" t="n">
        <v>44215</v>
      </c>
      <c r="B86" s="25" t="n">
        <v>0.4038922073274794</v>
      </c>
      <c r="C86" s="25" t="n">
        <v>0.3881272937233791</v>
      </c>
      <c r="D86" s="25" t="n">
        <v>0.4330287098461285</v>
      </c>
      <c r="E86" s="25" t="n">
        <v>0.358710066511553</v>
      </c>
      <c r="F86" s="25" t="n">
        <v>0.3386983473198346</v>
      </c>
      <c r="G86" s="25" t="n">
        <v>0.3993099175392536</v>
      </c>
      <c r="H86" s="25" t="n">
        <v>0.3442015700975571</v>
      </c>
    </row>
    <row r="87">
      <c r="A87" s="36" t="n">
        <v>44216</v>
      </c>
      <c r="B87" s="25" t="n">
        <v>0.4015703275529865</v>
      </c>
      <c r="C87" s="25" t="n">
        <v>0.3876256724805537</v>
      </c>
      <c r="D87" s="25" t="n">
        <v>0.4307060280759702</v>
      </c>
      <c r="E87" s="25" t="n">
        <v>0.3638118082445259</v>
      </c>
      <c r="F87" s="25" t="n">
        <v>0.33889730322448</v>
      </c>
      <c r="G87" s="25" t="n">
        <v>0.4010077360169781</v>
      </c>
      <c r="H87" s="25" t="n">
        <v>0.3411986430456088</v>
      </c>
    </row>
    <row r="88">
      <c r="A88" s="36" t="n">
        <v>44217</v>
      </c>
      <c r="B88" s="25" t="n">
        <v>0.400856018276403</v>
      </c>
      <c r="C88" s="25" t="n">
        <v>0.3871240546754799</v>
      </c>
      <c r="D88" s="25" t="n">
        <v>0.4325025460350664</v>
      </c>
      <c r="E88" s="25" t="n">
        <v>0.360308534734144</v>
      </c>
      <c r="F88" s="25" t="n">
        <v>0.3341934201644102</v>
      </c>
      <c r="G88" s="25" t="n">
        <v>0.3988074251816759</v>
      </c>
      <c r="H88" s="25" t="n">
        <v>0.3371951574712762</v>
      </c>
    </row>
    <row r="89">
      <c r="A89" s="36" t="n">
        <v>44218</v>
      </c>
      <c r="B89" s="25" t="n">
        <v>0.4018496091599691</v>
      </c>
      <c r="C89" s="25" t="n">
        <v>0.3871227281449601</v>
      </c>
      <c r="D89" s="25" t="n">
        <v>0.4370114499614665</v>
      </c>
      <c r="E89" s="25" t="n">
        <v>0.3622083938704461</v>
      </c>
      <c r="F89" s="25" t="n">
        <v>0.3371940020285644</v>
      </c>
      <c r="G89" s="25" t="n">
        <v>0.4048031436767052</v>
      </c>
      <c r="H89" s="25" t="n">
        <v>0.3405959593190603</v>
      </c>
    </row>
    <row r="90">
      <c r="A90" s="36" t="n">
        <v>44221</v>
      </c>
      <c r="B90" s="25" t="n">
        <v>0.4007114352552635</v>
      </c>
      <c r="C90" s="25" t="n">
        <v>0.3861181832199702</v>
      </c>
      <c r="D90" s="25" t="n">
        <v>0.435669464703454</v>
      </c>
      <c r="E90" s="25" t="n">
        <v>0.3652063666112701</v>
      </c>
      <c r="F90" s="25" t="n">
        <v>0.3361899703599637</v>
      </c>
      <c r="G90" s="25" t="n">
        <v>0.4037994831333755</v>
      </c>
      <c r="H90" s="25" t="n">
        <v>0.3421933626878202</v>
      </c>
    </row>
    <row r="91">
      <c r="A91" s="36" t="n">
        <v>44222</v>
      </c>
      <c r="B91" s="25" t="n">
        <v>0.4002986019374725</v>
      </c>
      <c r="C91" s="25" t="n">
        <v>0.3860168039583876</v>
      </c>
      <c r="D91" s="25" t="n">
        <v>0.4334475451343021</v>
      </c>
      <c r="E91" s="25" t="n">
        <v>0.3640044408503406</v>
      </c>
      <c r="F91" s="25" t="n">
        <v>0.3361888183774449</v>
      </c>
      <c r="G91" s="25" t="n">
        <v>0.4037981009495252</v>
      </c>
      <c r="H91" s="25" t="n">
        <v>0.3406913471949999</v>
      </c>
    </row>
    <row r="92">
      <c r="A92" s="36" t="n">
        <v>44223</v>
      </c>
      <c r="B92" s="25" t="n">
        <v>0.4001871370779096</v>
      </c>
      <c r="C92" s="25" t="n">
        <v>0.3845146434482262</v>
      </c>
      <c r="D92" s="25" t="n">
        <v>0.4319288879103944</v>
      </c>
      <c r="E92" s="25" t="n">
        <v>0.3669048133033166</v>
      </c>
      <c r="F92" s="25" t="n">
        <v>0.339089286142607</v>
      </c>
      <c r="G92" s="25" t="n">
        <v>0.4027972219464858</v>
      </c>
      <c r="H92" s="25" t="n">
        <v>0.3401899005266639</v>
      </c>
    </row>
    <row r="93">
      <c r="A93" s="36" t="n">
        <v>44224</v>
      </c>
      <c r="B93" s="25" t="n">
        <v>0.396258737409874</v>
      </c>
      <c r="C93" s="25" t="n">
        <v>0.382912437722298</v>
      </c>
      <c r="D93" s="25" t="n">
        <v>0.4319170014860477</v>
      </c>
      <c r="E93" s="25" t="n">
        <v>0.3677040001644748</v>
      </c>
      <c r="F93" s="25" t="n">
        <v>0.3371870695385796</v>
      </c>
      <c r="G93" s="25" t="n">
        <v>0.4001971603433876</v>
      </c>
      <c r="H93" s="25" t="n">
        <v>0.3391881797435564</v>
      </c>
    </row>
    <row r="94">
      <c r="A94" s="36" t="n">
        <v>44225</v>
      </c>
      <c r="B94" s="25" t="n">
        <v>0.3972522634084592</v>
      </c>
      <c r="C94" s="25" t="n">
        <v>0.3816104084786475</v>
      </c>
      <c r="D94" s="25" t="n">
        <v>0.4319051157158975</v>
      </c>
      <c r="E94" s="25" t="n">
        <v>0.3672024643724794</v>
      </c>
      <c r="F94" s="25" t="n">
        <v>0.3350847556358129</v>
      </c>
      <c r="G94" s="25" t="n">
        <v>0.4001957905041605</v>
      </c>
      <c r="H94" s="25" t="n">
        <v>0.3364855279794682</v>
      </c>
    </row>
    <row r="95">
      <c r="A95" s="36" t="n">
        <v>44228</v>
      </c>
      <c r="B95" s="25" t="n">
        <v>0.3995294700346707</v>
      </c>
      <c r="C95" s="25" t="n">
        <v>0.3811062150067502</v>
      </c>
      <c r="D95" s="25" t="n">
        <v>0.4318694623300864</v>
      </c>
      <c r="E95" s="25" t="n">
        <v>0.3676989603963788</v>
      </c>
      <c r="F95" s="25" t="n">
        <v>0.3361819066481178</v>
      </c>
      <c r="G95" s="25" t="n">
        <v>0.4037898080451272</v>
      </c>
      <c r="H95" s="25" t="n">
        <v>0.3381829894257852</v>
      </c>
    </row>
    <row r="96">
      <c r="A96" s="36" t="n">
        <v>44229</v>
      </c>
      <c r="B96" s="25" t="n">
        <v>0.4002215007016482</v>
      </c>
      <c r="C96" s="25" t="n">
        <v>0.3799042635937816</v>
      </c>
      <c r="D96" s="25" t="n">
        <v>0.4293467792972512</v>
      </c>
      <c r="E96" s="25" t="n">
        <v>0.3666971625154621</v>
      </c>
      <c r="F96" s="25" t="n">
        <v>0.3356804857406208</v>
      </c>
      <c r="G96" s="25" t="n">
        <v>0.399190834939227</v>
      </c>
      <c r="H96" s="25" t="n">
        <v>0.3381818306418177</v>
      </c>
    </row>
    <row r="97">
      <c r="A97" s="36" t="n">
        <v>44230</v>
      </c>
      <c r="B97" s="25" t="n">
        <v>0.3976997578692494</v>
      </c>
      <c r="C97" s="25" t="n">
        <v>0.3780019462452543</v>
      </c>
      <c r="D97" s="25" t="n">
        <v>0.4243135042923178</v>
      </c>
      <c r="E97" s="25" t="n">
        <v>0.3656953714998423</v>
      </c>
      <c r="F97" s="25" t="n">
        <v>0.3336782664711284</v>
      </c>
      <c r="G97" s="25" t="n">
        <v>0.3958912080615018</v>
      </c>
      <c r="H97" s="25" t="n">
        <v>0.3391812063979386</v>
      </c>
    </row>
    <row r="98">
      <c r="A98" s="36" t="n">
        <v>44231</v>
      </c>
      <c r="B98" s="25" t="n">
        <v>0.3964836978951712</v>
      </c>
      <c r="C98" s="25" t="n">
        <v>0.3765999074851377</v>
      </c>
      <c r="D98" s="25" t="n">
        <v>0.4293231531159719</v>
      </c>
      <c r="E98" s="25" t="n">
        <v>0.3629926844729223</v>
      </c>
      <c r="F98" s="25" t="n">
        <v>0.3370789288834826</v>
      </c>
      <c r="G98" s="25" t="n">
        <v>0.3969892693946706</v>
      </c>
      <c r="H98" s="25" t="n">
        <v>0.3411811064092241</v>
      </c>
    </row>
    <row r="99">
      <c r="A99" s="36" t="n">
        <v>44232</v>
      </c>
      <c r="B99" s="25" t="n">
        <v>0.3964727893028118</v>
      </c>
      <c r="C99" s="25" t="n">
        <v>0.3763985115437594</v>
      </c>
      <c r="D99" s="25" t="n">
        <v>0.437043966323667</v>
      </c>
      <c r="E99" s="25" t="n">
        <v>0.3601899631997698</v>
      </c>
      <c r="F99" s="25" t="n">
        <v>0.3376780904997841</v>
      </c>
      <c r="G99" s="25" t="n">
        <v>0.3995865222689248</v>
      </c>
      <c r="H99" s="25" t="n">
        <v>0.3412799901317818</v>
      </c>
    </row>
    <row r="100">
      <c r="A100" s="36" t="n">
        <v>44235</v>
      </c>
      <c r="B100" s="25" t="n">
        <v>0.3971429750474565</v>
      </c>
      <c r="C100" s="25" t="n">
        <v>0.3766947976522105</v>
      </c>
      <c r="D100" s="25" t="n">
        <v>0.4329912789897934</v>
      </c>
      <c r="E100" s="25" t="n">
        <v>0.3601862607033089</v>
      </c>
      <c r="F100" s="25" t="n">
        <v>0.3371743607139309</v>
      </c>
      <c r="G100" s="25" t="n">
        <v>0.3995824191621685</v>
      </c>
      <c r="H100" s="25" t="n">
        <v>0.3412764820163852</v>
      </c>
    </row>
    <row r="101">
      <c r="A101" s="36" t="n">
        <v>44236</v>
      </c>
      <c r="B101" s="25" t="n">
        <v>0.3963287482806052</v>
      </c>
      <c r="C101" s="25" t="n">
        <v>0.3753928387870482</v>
      </c>
      <c r="D101" s="25" t="n">
        <v>0.4297661623108666</v>
      </c>
      <c r="E101" s="25" t="n">
        <v>0.3581839986294329</v>
      </c>
      <c r="F101" s="25" t="n">
        <v>0.3369731026212095</v>
      </c>
      <c r="G101" s="25" t="n">
        <v>0.3986815443592552</v>
      </c>
      <c r="H101" s="25" t="n">
        <v>0.3382737707726572</v>
      </c>
    </row>
    <row r="102">
      <c r="A102" s="36" t="n">
        <v>44237</v>
      </c>
      <c r="B102" s="25" t="n">
        <v>0.3957153860966686</v>
      </c>
      <c r="C102" s="25" t="n">
        <v>0.374691195164656</v>
      </c>
      <c r="D102" s="25" t="n">
        <v>0.4297543396330225</v>
      </c>
      <c r="E102" s="25" t="n">
        <v>0.3551812397421972</v>
      </c>
      <c r="F102" s="25" t="n">
        <v>0.3344706716783564</v>
      </c>
      <c r="G102" s="25" t="n">
        <v>0.3963814472157475</v>
      </c>
      <c r="H102" s="25" t="n">
        <v>0.3390730201369877</v>
      </c>
    </row>
    <row r="103">
      <c r="A103" s="36" t="n">
        <v>44238</v>
      </c>
      <c r="B103" s="25" t="n">
        <v>0.3925918794014084</v>
      </c>
      <c r="C103" s="25" t="n">
        <v>0.3702876800570152</v>
      </c>
      <c r="D103" s="25" t="n">
        <v>0.4272323393485915</v>
      </c>
      <c r="E103" s="25" t="n">
        <v>0.3551800227512575</v>
      </c>
      <c r="F103" s="25" t="n">
        <v>0.3352699313350602</v>
      </c>
      <c r="G103" s="25" t="n">
        <v>0.395580534087253</v>
      </c>
      <c r="H103" s="25" t="n">
        <v>0.3381714019434507</v>
      </c>
    </row>
    <row r="104">
      <c r="A104" s="36" t="n">
        <v>44239</v>
      </c>
      <c r="B104" s="25" t="n">
        <v>0.3915770362831128</v>
      </c>
      <c r="C104" s="25" t="n">
        <v>0.3646835907117625</v>
      </c>
      <c r="D104" s="25" t="n">
        <v>0.4337468709597558</v>
      </c>
      <c r="E104" s="25" t="n">
        <v>0.3531777984122144</v>
      </c>
      <c r="F104" s="25" t="n">
        <v>0.3341682285260045</v>
      </c>
      <c r="G104" s="25" t="n">
        <v>0.3977779527181744</v>
      </c>
      <c r="H104" s="25" t="n">
        <v>0.3356689840433368</v>
      </c>
    </row>
    <row r="105">
      <c r="A105" s="36" t="n">
        <v>44244</v>
      </c>
      <c r="B105" s="25" t="n">
        <v>0.3884110787172012</v>
      </c>
      <c r="C105" s="25" t="n">
        <v>0.3615758348237842</v>
      </c>
      <c r="D105" s="25" t="n">
        <v>0.4256559766763848</v>
      </c>
      <c r="E105" s="25" t="n">
        <v>0.3470687800231619</v>
      </c>
      <c r="F105" s="25" t="n">
        <v>0.3286598277244414</v>
      </c>
      <c r="G105" s="25" t="n">
        <v>0.3920744229347498</v>
      </c>
      <c r="H105" s="25" t="n">
        <v>0.3291600709934283</v>
      </c>
    </row>
    <row r="106">
      <c r="A106" s="36" t="n">
        <v>44245</v>
      </c>
      <c r="B106" s="25" t="n">
        <v>0.3910104788360516</v>
      </c>
      <c r="C106" s="25" t="n">
        <v>0.3676775429231238</v>
      </c>
      <c r="D106" s="25" t="n">
        <v>0.4236365136554911</v>
      </c>
      <c r="E106" s="25" t="n">
        <v>0.3479680256562244</v>
      </c>
      <c r="F106" s="25" t="n">
        <v>0.3287587499443224</v>
      </c>
      <c r="G106" s="25" t="n">
        <v>0.3902741221690186</v>
      </c>
      <c r="H106" s="25" t="n">
        <v>0.3302594746093148</v>
      </c>
    </row>
    <row r="107">
      <c r="A107" s="36" t="n">
        <v>44246</v>
      </c>
      <c r="B107" s="25" t="n">
        <v>0.3869843234323432</v>
      </c>
      <c r="C107" s="25" t="n">
        <v>0.3620735969300349</v>
      </c>
      <c r="D107" s="25" t="n">
        <v>0.4237252475247525</v>
      </c>
      <c r="E107" s="25" t="n">
        <v>0.3481669293496882</v>
      </c>
      <c r="F107" s="25" t="n">
        <v>0.3301582950729802</v>
      </c>
      <c r="G107" s="25" t="n">
        <v>0.3857754047301229</v>
      </c>
      <c r="H107" s="25" t="n">
        <v>0.3251558966627836</v>
      </c>
    </row>
    <row r="108">
      <c r="A108" s="36" t="n">
        <v>44249</v>
      </c>
      <c r="B108" s="25" t="n">
        <v>0.3839410939691444</v>
      </c>
      <c r="C108" s="25" t="n">
        <v>0.3636706262869908</v>
      </c>
      <c r="D108" s="25" t="n">
        <v>0.4255974479553392</v>
      </c>
      <c r="E108" s="25" t="n">
        <v>0.3441614730198758</v>
      </c>
      <c r="F108" s="25" t="n">
        <v>0.3275536810078701</v>
      </c>
      <c r="G108" s="25" t="n">
        <v>0.3839725094379015</v>
      </c>
      <c r="H108" s="25" t="n">
        <v>0.3226513809561335</v>
      </c>
    </row>
    <row r="109">
      <c r="A109" s="36" t="n">
        <v>44250</v>
      </c>
      <c r="B109" s="25" t="n">
        <v>0.3783095919040809</v>
      </c>
      <c r="C109" s="25" t="n">
        <v>0.3576665844365869</v>
      </c>
      <c r="D109" s="25" t="n">
        <v>0.4195633043669563</v>
      </c>
      <c r="E109" s="25" t="n">
        <v>0.3411588959241291</v>
      </c>
      <c r="F109" s="25" t="n">
        <v>0.327552558725982</v>
      </c>
      <c r="G109" s="25" t="n">
        <v>0.3776749471205514</v>
      </c>
      <c r="H109" s="25" t="n">
        <v>0.3212496231121344</v>
      </c>
    </row>
    <row r="110">
      <c r="A110" s="36" t="n">
        <v>44251</v>
      </c>
      <c r="B110" s="25" t="n">
        <v>0.3804069847380723</v>
      </c>
      <c r="C110" s="25" t="n">
        <v>0.3609668853750878</v>
      </c>
      <c r="D110" s="25" t="n">
        <v>0.4165406297263853</v>
      </c>
      <c r="E110" s="25" t="n">
        <v>0.3431586521165607</v>
      </c>
      <c r="F110" s="25" t="n">
        <v>0.3311531016051942</v>
      </c>
      <c r="G110" s="25" t="n">
        <v>0.3808717378283563</v>
      </c>
      <c r="H110" s="25" t="n">
        <v>0.3251503263495109</v>
      </c>
    </row>
    <row r="111">
      <c r="A111" s="36" t="n">
        <v>44252</v>
      </c>
      <c r="B111" s="25" t="n">
        <v>0.3805972611780234</v>
      </c>
      <c r="C111" s="25" t="n">
        <v>0.3648674391672891</v>
      </c>
      <c r="D111" s="25" t="n">
        <v>0.4215475994060386</v>
      </c>
      <c r="E111" s="25" t="n">
        <v>0.346158853720543</v>
      </c>
      <c r="F111" s="25" t="n">
        <v>0.3321524261133534</v>
      </c>
      <c r="G111" s="25" t="n">
        <v>0.3798710366354526</v>
      </c>
      <c r="H111" s="25" t="n">
        <v>0.3291510487689556</v>
      </c>
    </row>
    <row r="112">
      <c r="A112" s="36" t="n">
        <v>44253</v>
      </c>
      <c r="B112" s="25" t="n">
        <v>0.3818915500316221</v>
      </c>
      <c r="C112" s="25" t="n">
        <v>0.3679676016815879</v>
      </c>
      <c r="D112" s="25" t="n">
        <v>0.4165177221107048</v>
      </c>
      <c r="E112" s="25" t="n">
        <v>0.3486588069223311</v>
      </c>
      <c r="F112" s="25" t="n">
        <v>0.3311508323996889</v>
      </c>
      <c r="G112" s="25" t="n">
        <v>0.376072038524593</v>
      </c>
      <c r="H112" s="25" t="n">
        <v>0.3301503767126808</v>
      </c>
    </row>
    <row r="113">
      <c r="A113" s="36" t="n">
        <v>44256</v>
      </c>
      <c r="B113" s="25" t="n">
        <v>0.3832650536156172</v>
      </c>
      <c r="C113" s="25" t="n">
        <v>0.3679638195086854</v>
      </c>
      <c r="D113" s="25" t="n">
        <v>0.4164833654110531</v>
      </c>
      <c r="E113" s="25" t="n">
        <v>0.3506561140233665</v>
      </c>
      <c r="F113" s="25" t="n">
        <v>0.332147874053517</v>
      </c>
      <c r="G113" s="25" t="n">
        <v>0.3776671914573208</v>
      </c>
      <c r="H113" s="25" t="n">
        <v>0.3302470277863432</v>
      </c>
    </row>
    <row r="114">
      <c r="A114" s="36" t="n">
        <v>44257</v>
      </c>
      <c r="B114" s="25" t="n">
        <v>0.3782367820516345</v>
      </c>
      <c r="C114" s="25" t="n">
        <v>0.3630603931188778</v>
      </c>
      <c r="D114" s="25" t="n">
        <v>0.411454180528443</v>
      </c>
      <c r="E114" s="25" t="n">
        <v>0.344652260759034</v>
      </c>
      <c r="F114" s="25" t="n">
        <v>0.3226425372853076</v>
      </c>
      <c r="G114" s="25" t="n">
        <v>0.3693710405536295</v>
      </c>
      <c r="H114" s="25" t="n">
        <v>0.3222423604948761</v>
      </c>
    </row>
    <row r="115">
      <c r="A115" s="36" t="n">
        <v>44258</v>
      </c>
      <c r="B115" s="25" t="n">
        <v>0.3763196964698119</v>
      </c>
      <c r="C115" s="25" t="n">
        <v>0.3623588422322114</v>
      </c>
      <c r="D115" s="25" t="n">
        <v>0.4089340701638623</v>
      </c>
      <c r="E115" s="25" t="n">
        <v>0.3356471329898037</v>
      </c>
      <c r="F115" s="25" t="n">
        <v>0.3205405109088916</v>
      </c>
      <c r="G115" s="25" t="n">
        <v>0.3697695272124908</v>
      </c>
      <c r="H115" s="25" t="n">
        <v>0.3186396776669225</v>
      </c>
    </row>
    <row r="116">
      <c r="A116" s="36" t="n">
        <v>44259</v>
      </c>
      <c r="B116" s="25" t="n">
        <v>0.3793198251450251</v>
      </c>
      <c r="C116" s="25" t="n">
        <v>0.3639582969305143</v>
      </c>
      <c r="D116" s="25" t="n">
        <v>0.405410606768757</v>
      </c>
      <c r="E116" s="25" t="n">
        <v>0.3381470708150462</v>
      </c>
      <c r="F116" s="25" t="n">
        <v>0.3231405440037276</v>
      </c>
      <c r="G116" s="25" t="n">
        <v>0.3695683869355849</v>
      </c>
      <c r="H116" s="25" t="n">
        <v>0.3257416753176895</v>
      </c>
    </row>
    <row r="117">
      <c r="A117" s="36" t="n">
        <v>44260</v>
      </c>
      <c r="B117" s="25" t="n">
        <v>0.3763993511849123</v>
      </c>
      <c r="C117" s="25" t="n">
        <v>0.3576543302932087</v>
      </c>
      <c r="D117" s="25" t="n">
        <v>0.3863336449112003</v>
      </c>
      <c r="E117" s="25" t="n">
        <v>0.335144617197832</v>
      </c>
      <c r="F117" s="25" t="n">
        <v>0.3227392642030465</v>
      </c>
      <c r="G117" s="25" t="n">
        <v>0.3605727897489253</v>
      </c>
      <c r="H117" s="25" t="n">
        <v>0.3166366308749666</v>
      </c>
    </row>
    <row r="118">
      <c r="A118" s="36" t="n">
        <v>44263</v>
      </c>
      <c r="B118" s="25" t="n">
        <v>0.3701473458504</v>
      </c>
      <c r="C118" s="25" t="n">
        <v>0.3571504435087383</v>
      </c>
      <c r="D118" s="25" t="n">
        <v>0.3993457404403881</v>
      </c>
      <c r="E118" s="25" t="n">
        <v>0.3306392761334397</v>
      </c>
      <c r="F118" s="25" t="n">
        <v>0.3201348513243593</v>
      </c>
      <c r="G118" s="25" t="n">
        <v>0.3605690876048558</v>
      </c>
      <c r="H118" s="25" t="n">
        <v>0.316633376387999</v>
      </c>
    </row>
    <row r="119">
      <c r="A119" s="36" t="n">
        <v>44264</v>
      </c>
      <c r="B119" s="25" t="n">
        <v>0.3637157072956183</v>
      </c>
      <c r="C119" s="25" t="n">
        <v>0.3515468791755459</v>
      </c>
      <c r="D119" s="25" t="n">
        <v>0.3842844576392325</v>
      </c>
      <c r="E119" s="25" t="n">
        <v>0.3261362624110073</v>
      </c>
      <c r="F119" s="25" t="n">
        <v>0.3199336709173011</v>
      </c>
      <c r="G119" s="25" t="n">
        <v>0.3523731296288691</v>
      </c>
      <c r="H119" s="25" t="n">
        <v>0.3053275683676057</v>
      </c>
    </row>
    <row r="120">
      <c r="A120" s="36" t="n">
        <v>44265</v>
      </c>
      <c r="B120" s="25" t="n">
        <v>0.3511641331537426</v>
      </c>
      <c r="C120" s="25" t="n">
        <v>0.3352389174966339</v>
      </c>
      <c r="D120" s="25" t="n">
        <v>0.3712306550482421</v>
      </c>
      <c r="E120" s="25" t="n">
        <v>0.3211330722662473</v>
      </c>
      <c r="F120" s="25" t="n">
        <v>0.3143302532898907</v>
      </c>
      <c r="G120" s="25" t="n">
        <v>0.3436775511740688</v>
      </c>
      <c r="H120" s="25" t="n">
        <v>0.2981235374932764</v>
      </c>
    </row>
    <row r="121">
      <c r="A121" s="36" t="n">
        <v>44266</v>
      </c>
      <c r="B121" s="25" t="n">
        <v>0.3506528312259484</v>
      </c>
      <c r="C121" s="25" t="n">
        <v>0.3352377689461422</v>
      </c>
      <c r="D121" s="25" t="n">
        <v>0.3732270478284772</v>
      </c>
      <c r="E121" s="25" t="n">
        <v>0.3206317664793751</v>
      </c>
      <c r="F121" s="25" t="n">
        <v>0.3151295052761409</v>
      </c>
      <c r="G121" s="25" t="n">
        <v>0.3462746842807762</v>
      </c>
      <c r="H121" s="25" t="n">
        <v>0.3027244072906674</v>
      </c>
    </row>
    <row r="122">
      <c r="A122" s="36" t="n">
        <v>44267</v>
      </c>
      <c r="B122" s="25" t="n">
        <v>0.3562615101289134</v>
      </c>
      <c r="C122" s="25" t="n">
        <v>0.344040208167027</v>
      </c>
      <c r="D122" s="25" t="n">
        <v>0.3792364146120227</v>
      </c>
      <c r="E122" s="25" t="n">
        <v>0.3276335218804924</v>
      </c>
      <c r="F122" s="25" t="n">
        <v>0.3251325026294963</v>
      </c>
      <c r="G122" s="25" t="n">
        <v>0.3528691848824912</v>
      </c>
      <c r="H122" s="25" t="n">
        <v>0.3051243486215273</v>
      </c>
    </row>
    <row r="123">
      <c r="A123" s="36" t="n">
        <v>44270</v>
      </c>
      <c r="B123" s="25" t="n">
        <v>0.3659630606860158</v>
      </c>
      <c r="C123" s="25" t="n">
        <v>0.3497389373860849</v>
      </c>
      <c r="D123" s="25" t="n">
        <v>0.388233839050132</v>
      </c>
      <c r="E123" s="25" t="n">
        <v>0.3366337312082882</v>
      </c>
      <c r="F123" s="25" t="n">
        <v>0.3346329363719834</v>
      </c>
      <c r="G123" s="25" t="n">
        <v>0.3592613126895146</v>
      </c>
      <c r="H123" s="25" t="n">
        <v>0.309623000918173</v>
      </c>
    </row>
    <row r="124">
      <c r="A124" s="36" t="n">
        <v>44271</v>
      </c>
      <c r="B124" s="25" t="n">
        <v>0.3676583757042737</v>
      </c>
      <c r="C124" s="25" t="n">
        <v>0.3541394727375508</v>
      </c>
      <c r="D124" s="25" t="n">
        <v>0.4011639411845541</v>
      </c>
      <c r="E124" s="25" t="n">
        <v>0.3426349418435343</v>
      </c>
      <c r="F124" s="25" t="n">
        <v>0.3350319475135756</v>
      </c>
      <c r="G124" s="25" t="n">
        <v>0.3627577473947193</v>
      </c>
      <c r="H124" s="25" t="n">
        <v>0.3130232797163267</v>
      </c>
    </row>
    <row r="125">
      <c r="A125" s="36" t="n">
        <v>44272</v>
      </c>
      <c r="B125" s="25" t="n">
        <v>0.3695542241521464</v>
      </c>
      <c r="C125" s="25" t="n">
        <v>0.358139821711216</v>
      </c>
      <c r="D125" s="25" t="n">
        <v>0.3997485296542627</v>
      </c>
      <c r="E125" s="25" t="n">
        <v>0.3406329868510308</v>
      </c>
      <c r="F125" s="25" t="n">
        <v>0.3376318151607134</v>
      </c>
      <c r="G125" s="25" t="n">
        <v>0.3685526153677668</v>
      </c>
      <c r="H125" s="25" t="n">
        <v>0.3167236523848352</v>
      </c>
    </row>
    <row r="126">
      <c r="A126" s="36" t="n">
        <v>44273</v>
      </c>
      <c r="B126" s="25" t="n">
        <v>0.368340341330695</v>
      </c>
      <c r="C126" s="25" t="n">
        <v>0.358338672157376</v>
      </c>
      <c r="D126" s="25" t="n">
        <v>0.3991356803253909</v>
      </c>
      <c r="E126" s="25" t="n">
        <v>0.3393313165711389</v>
      </c>
      <c r="F126" s="25" t="n">
        <v>0.3396314327119742</v>
      </c>
      <c r="G126" s="25" t="n">
        <v>0.3658531743994634</v>
      </c>
      <c r="H126" s="25" t="n">
        <v>0.3161223350132072</v>
      </c>
    </row>
    <row r="127">
      <c r="A127" s="36" t="n">
        <v>44274</v>
      </c>
      <c r="B127" s="25" t="n">
        <v>0.3711388369792239</v>
      </c>
      <c r="C127" s="25" t="n">
        <v>0.3593378282080798</v>
      </c>
      <c r="D127" s="25" t="n">
        <v>0.3972188633615478</v>
      </c>
      <c r="E127" s="25" t="n">
        <v>0.3446321876884285</v>
      </c>
      <c r="F127" s="25" t="n">
        <v>0.3426314202707888</v>
      </c>
      <c r="G127" s="25" t="n">
        <v>0.3692496184094347</v>
      </c>
      <c r="H127" s="25" t="n">
        <v>0.3217234007564545</v>
      </c>
    </row>
    <row r="128">
      <c r="A128" s="36" t="n">
        <v>44277</v>
      </c>
      <c r="B128" s="25" t="n">
        <v>0.3766247149020362</v>
      </c>
      <c r="C128" s="25" t="n">
        <v>0.3642359647950776</v>
      </c>
      <c r="D128" s="25" t="n">
        <v>0.4011980984309307</v>
      </c>
      <c r="E128" s="25" t="n">
        <v>0.3531318197546344</v>
      </c>
      <c r="F128" s="25" t="n">
        <v>0.3486301393328332</v>
      </c>
      <c r="G128" s="25" t="n">
        <v>0.3752417000626281</v>
      </c>
      <c r="H128" s="25" t="n">
        <v>0.3276222973644271</v>
      </c>
    </row>
    <row r="129">
      <c r="A129" s="36" t="n">
        <v>44278</v>
      </c>
      <c r="B129" s="25" t="n">
        <v>0.3736054627390635</v>
      </c>
      <c r="C129" s="25" t="n">
        <v>0.3601331999506667</v>
      </c>
      <c r="D129" s="25" t="n">
        <v>0.4011870740822159</v>
      </c>
      <c r="E129" s="25" t="n">
        <v>0.3533306839515986</v>
      </c>
      <c r="F129" s="25" t="n">
        <v>0.3526304249516944</v>
      </c>
      <c r="G129" s="25" t="n">
        <v>0.3705436649988706</v>
      </c>
      <c r="H129" s="25" t="n">
        <v>0.3275211379551341</v>
      </c>
    </row>
    <row r="130">
      <c r="A130" s="36" t="n">
        <v>44280</v>
      </c>
      <c r="B130" s="25" t="n">
        <v>0.3650601747540803</v>
      </c>
      <c r="C130" s="25" t="n">
        <v>0.3534282993141346</v>
      </c>
      <c r="D130" s="25" t="n">
        <v>0.3892303676430181</v>
      </c>
      <c r="E130" s="25" t="n">
        <v>0.3481263746428498</v>
      </c>
      <c r="F130" s="25" t="n">
        <v>0.3461256483517989</v>
      </c>
      <c r="G130" s="25" t="n">
        <v>0.3627465743110977</v>
      </c>
      <c r="H130" s="25" t="n">
        <v>0.3152144271550631</v>
      </c>
    </row>
    <row r="131">
      <c r="A131" s="36" t="n">
        <v>44281</v>
      </c>
      <c r="B131" s="25" t="n">
        <v>0.3660530292622613</v>
      </c>
      <c r="C131" s="25" t="n">
        <v>0.3533270525360147</v>
      </c>
      <c r="D131" s="25" t="n">
        <v>0.3921280395658744</v>
      </c>
      <c r="E131" s="25" t="n">
        <v>0.3475249661693418</v>
      </c>
      <c r="F131" s="25" t="n">
        <v>0.3436235632676133</v>
      </c>
      <c r="G131" s="25" t="n">
        <v>0.3618459643058812</v>
      </c>
      <c r="H131" s="25" t="n">
        <v>0.3121122321382689</v>
      </c>
    </row>
    <row r="132">
      <c r="A132" s="36" t="n">
        <v>44284</v>
      </c>
      <c r="B132" s="25" t="n">
        <v>0.3628138908731249</v>
      </c>
      <c r="C132" s="25" t="n">
        <v>0.346821149853716</v>
      </c>
      <c r="D132" s="25" t="n">
        <v>0.382167976262432</v>
      </c>
      <c r="E132" s="25" t="n">
        <v>0.3432198918800403</v>
      </c>
      <c r="F132" s="25" t="n">
        <v>0.3381181097506663</v>
      </c>
      <c r="G132" s="25" t="n">
        <v>0.3562462355582325</v>
      </c>
      <c r="H132" s="25" t="n">
        <v>0.3082076615804151</v>
      </c>
    </row>
    <row r="133">
      <c r="A133" s="36" t="n">
        <v>44285</v>
      </c>
      <c r="B133" s="25" t="n">
        <v>0.3589933789389818</v>
      </c>
      <c r="C133" s="25" t="n">
        <v>0.3430186468607292</v>
      </c>
      <c r="D133" s="25" t="n">
        <v>0.3820571993736092</v>
      </c>
      <c r="E133" s="25" t="n">
        <v>0.3401176434314609</v>
      </c>
      <c r="F133" s="25" t="n">
        <v>0.3391172974213683</v>
      </c>
      <c r="G133" s="25" t="n">
        <v>0.3506490217618212</v>
      </c>
      <c r="H133" s="25" t="n">
        <v>0.3070061904973981</v>
      </c>
    </row>
    <row r="134">
      <c r="A134" s="36" t="n">
        <v>44286</v>
      </c>
      <c r="B134" s="25" t="n">
        <v>0.360989010989011</v>
      </c>
      <c r="C134" s="25" t="n">
        <v>0.3406166495375128</v>
      </c>
      <c r="D134" s="25" t="n">
        <v>0.3895673076923077</v>
      </c>
      <c r="E134" s="25" t="n">
        <v>0.3391161356628982</v>
      </c>
      <c r="F134" s="25" t="n">
        <v>0.3356149366221308</v>
      </c>
      <c r="G134" s="25" t="n">
        <v>0.3498483967010027</v>
      </c>
      <c r="H134" s="25" t="n">
        <v>0.3050044535799931</v>
      </c>
    </row>
    <row r="135">
      <c r="A135" s="36" t="n">
        <v>44291</v>
      </c>
      <c r="B135" s="25" t="n">
        <v>0.3625436066474385</v>
      </c>
      <c r="C135" s="25" t="n">
        <v>0.3486134187492506</v>
      </c>
      <c r="D135" s="25" t="n">
        <v>0.389413542095866</v>
      </c>
      <c r="E135" s="25" t="n">
        <v>0.3391103269899454</v>
      </c>
      <c r="F135" s="25" t="n">
        <v>0.3326082115756839</v>
      </c>
      <c r="G135" s="25" t="n">
        <v>0.3532399089711343</v>
      </c>
      <c r="H135" s="25" t="n">
        <v>0.306099587194464</v>
      </c>
    </row>
    <row r="136">
      <c r="A136" s="36" t="n">
        <v>44292</v>
      </c>
      <c r="B136" s="25" t="n">
        <v>0.3599269351205845</v>
      </c>
      <c r="C136" s="25" t="n">
        <v>0.3464115160359842</v>
      </c>
      <c r="D136" s="25" t="n">
        <v>0.3879992308960062</v>
      </c>
      <c r="E136" s="25" t="n">
        <v>0.3371085212362884</v>
      </c>
      <c r="F136" s="25" t="n">
        <v>0.3301062670859797</v>
      </c>
      <c r="G136" s="25" t="n">
        <v>0.3537383305500041</v>
      </c>
      <c r="H136" s="25" t="n">
        <v>0.3050982165491631</v>
      </c>
    </row>
    <row r="137">
      <c r="A137" s="36" t="n">
        <v>44293</v>
      </c>
      <c r="B137" s="25" t="n">
        <v>0.3588142390199687</v>
      </c>
      <c r="C137" s="25" t="n">
        <v>0.3458101381604415</v>
      </c>
      <c r="D137" s="25" t="n">
        <v>0.3799681379954404</v>
      </c>
      <c r="E137" s="25" t="n">
        <v>0.3243032883760924</v>
      </c>
      <c r="F137" s="25" t="n">
        <v>0.3321057734141353</v>
      </c>
      <c r="G137" s="25" t="n">
        <v>0.352637936875678</v>
      </c>
      <c r="H137" s="25" t="n">
        <v>0.3036967253269021</v>
      </c>
    </row>
    <row r="138">
      <c r="A138" s="36" t="n">
        <v>44294</v>
      </c>
      <c r="B138" s="25" t="n">
        <v>0.3597066578773896</v>
      </c>
      <c r="C138" s="25" t="n">
        <v>0.3440083862038725</v>
      </c>
      <c r="D138" s="25" t="n">
        <v>0.3760478466271149</v>
      </c>
      <c r="E138" s="25" t="n">
        <v>0.3332049823917125</v>
      </c>
      <c r="F138" s="25" t="n">
        <v>0.331104320539348</v>
      </c>
      <c r="G138" s="25" t="n">
        <v>0.3535360586959052</v>
      </c>
      <c r="H138" s="25" t="n">
        <v>0.304095811008948</v>
      </c>
    </row>
    <row r="139">
      <c r="A139" s="36" t="n">
        <v>44295</v>
      </c>
      <c r="B139" s="25" t="n">
        <v>0.3570902798758548</v>
      </c>
      <c r="C139" s="25" t="n">
        <v>0.341906553069621</v>
      </c>
      <c r="D139" s="25" t="n">
        <v>0.3786440165893049</v>
      </c>
      <c r="E139" s="25" t="n">
        <v>0.3311031862669531</v>
      </c>
      <c r="F139" s="25" t="n">
        <v>0.3314032797892494</v>
      </c>
      <c r="G139" s="25" t="n">
        <v>0.3512365725705721</v>
      </c>
      <c r="H139" s="25" t="n">
        <v>0.3019941146042089</v>
      </c>
    </row>
    <row r="140">
      <c r="A140" s="36" t="n">
        <v>44298</v>
      </c>
      <c r="B140" s="25" t="n">
        <v>0.3633760848072064</v>
      </c>
      <c r="C140" s="25" t="n">
        <v>0.346604456137466</v>
      </c>
      <c r="D140" s="25" t="n">
        <v>0.3869328792705701</v>
      </c>
      <c r="E140" s="25" t="n">
        <v>0.3371015922606813</v>
      </c>
      <c r="F140" s="25" t="n">
        <v>0.3351009893392529</v>
      </c>
      <c r="G140" s="25" t="n">
        <v>0.3589271170548419</v>
      </c>
      <c r="H140" s="25" t="n">
        <v>0.3060922469785415</v>
      </c>
    </row>
    <row r="141">
      <c r="A141" s="36" t="n">
        <v>44299</v>
      </c>
      <c r="B141" s="25" t="n">
        <v>0.364869689396644</v>
      </c>
      <c r="C141" s="25" t="n">
        <v>0.3483037754399427</v>
      </c>
      <c r="D141" s="25" t="n">
        <v>0.3999533133770906</v>
      </c>
      <c r="E141" s="25" t="n">
        <v>0.3385008547067106</v>
      </c>
      <c r="F141" s="25" t="n">
        <v>0.3350998413910994</v>
      </c>
      <c r="G141" s="25" t="n">
        <v>0.3636223021459639</v>
      </c>
      <c r="H141" s="25" t="n">
        <v>0.3085919434900125</v>
      </c>
    </row>
    <row r="142">
      <c r="A142" s="36" t="n">
        <v>44300</v>
      </c>
      <c r="B142" s="25" t="n">
        <v>0.3645589608392376</v>
      </c>
      <c r="C142" s="25" t="n">
        <v>0.3458018457490905</v>
      </c>
      <c r="D142" s="25" t="n">
        <v>0.3929257977700885</v>
      </c>
      <c r="E142" s="25" t="n">
        <v>0.3365991353617846</v>
      </c>
      <c r="F142" s="25" t="n">
        <v>0.3348986345293476</v>
      </c>
      <c r="G142" s="25" t="n">
        <v>0.3607232807709155</v>
      </c>
      <c r="H142" s="25" t="n">
        <v>0.3072905033674301</v>
      </c>
    </row>
    <row r="143">
      <c r="A143" s="36" t="n">
        <v>44301</v>
      </c>
      <c r="B143" s="25" t="n">
        <v>0.3618426472607442</v>
      </c>
      <c r="C143" s="25" t="n">
        <v>0.3425997293732765</v>
      </c>
      <c r="D143" s="25" t="n">
        <v>0.3909103391459564</v>
      </c>
      <c r="E143" s="25" t="n">
        <v>0.3350975455183872</v>
      </c>
      <c r="F143" s="25" t="n">
        <v>0.3310963807957796</v>
      </c>
      <c r="G143" s="25" t="n">
        <v>0.3595229703139703</v>
      </c>
      <c r="H143" s="25" t="n">
        <v>0.3078896254046555</v>
      </c>
    </row>
    <row r="144">
      <c r="A144" s="36" t="n">
        <v>44302</v>
      </c>
      <c r="B144" s="25" t="n">
        <v>0.3628350175746925</v>
      </c>
      <c r="C144" s="25" t="n">
        <v>0.3420984118719084</v>
      </c>
      <c r="D144" s="25" t="n">
        <v>0.3899975285588752</v>
      </c>
      <c r="E144" s="25" t="n">
        <v>0.3360966853478398</v>
      </c>
      <c r="F144" s="25" t="n">
        <v>0.3315953904547884</v>
      </c>
      <c r="G144" s="25" t="n">
        <v>0.3637184918521966</v>
      </c>
      <c r="H144" s="25" t="n">
        <v>0.3100892037435427</v>
      </c>
    </row>
    <row r="145">
      <c r="A145" s="36" t="n">
        <v>44305</v>
      </c>
      <c r="B145" s="25" t="n">
        <v>0.362805129190807</v>
      </c>
      <c r="C145" s="25" t="n">
        <v>0.3437953678931484</v>
      </c>
      <c r="D145" s="25" t="n">
        <v>0.3939742991295753</v>
      </c>
      <c r="E145" s="25" t="n">
        <v>0.3350929538673399</v>
      </c>
      <c r="F145" s="25" t="n">
        <v>0.3315919827075319</v>
      </c>
      <c r="G145" s="25" t="n">
        <v>0.3646140526778657</v>
      </c>
      <c r="H145" s="25" t="n">
        <v>0.3080854620631066</v>
      </c>
    </row>
    <row r="146">
      <c r="A146" s="36" t="n">
        <v>44306</v>
      </c>
      <c r="B146" s="25" t="n">
        <v>0.3622940691927512</v>
      </c>
      <c r="C146" s="25" t="n">
        <v>0.3426938887366401</v>
      </c>
      <c r="D146" s="25" t="n">
        <v>0.3943643602416255</v>
      </c>
      <c r="E146" s="25" t="n">
        <v>0.336592217045766</v>
      </c>
      <c r="F146" s="25" t="n">
        <v>0.330090435735818</v>
      </c>
      <c r="G146" s="25" t="n">
        <v>0.3617150874311331</v>
      </c>
      <c r="H146" s="25" t="n">
        <v>0.3086845711153741</v>
      </c>
    </row>
    <row r="147">
      <c r="A147" s="36" t="n">
        <v>44307</v>
      </c>
      <c r="B147" s="25" t="n">
        <v>0.3647895444935614</v>
      </c>
      <c r="C147" s="25" t="n">
        <v>0.3435929583688738</v>
      </c>
      <c r="D147" s="25" t="n">
        <v>0.3908459405288158</v>
      </c>
      <c r="E147" s="25" t="n">
        <v>0.3380914699524871</v>
      </c>
      <c r="F147" s="25" t="n">
        <v>0.3300893049831975</v>
      </c>
      <c r="G147" s="25" t="n">
        <v>0.3660104506366539</v>
      </c>
      <c r="H147" s="25" t="n">
        <v>0.3095837572493928</v>
      </c>
    </row>
    <row r="148">
      <c r="A148" s="36" t="n">
        <v>44308</v>
      </c>
      <c r="B148" s="25" t="n">
        <v>0.3667838119817693</v>
      </c>
      <c r="C148" s="25" t="n">
        <v>0.3437918348051877</v>
      </c>
      <c r="D148" s="25" t="n">
        <v>0.3988523419911043</v>
      </c>
      <c r="E148" s="25" t="n">
        <v>0.342091380574263</v>
      </c>
      <c r="F148" s="25" t="n">
        <v>0.3345893766143011</v>
      </c>
      <c r="G148" s="25" t="n">
        <v>0.3667086424484656</v>
      </c>
      <c r="H148" s="25" t="n">
        <v>0.3116832578565507</v>
      </c>
    </row>
    <row r="149">
      <c r="A149" s="36" t="n">
        <v>44309</v>
      </c>
      <c r="B149" s="25" t="n">
        <v>0.3662726848419954</v>
      </c>
      <c r="C149" s="25" t="n">
        <v>0.3422902614730597</v>
      </c>
      <c r="D149" s="25" t="n">
        <v>0.3983403344040853</v>
      </c>
      <c r="E149" s="25" t="n">
        <v>0.3387893382844106</v>
      </c>
      <c r="F149" s="25" t="n">
        <v>0.3280865159648263</v>
      </c>
      <c r="G149" s="25" t="n">
        <v>0.3663077065218507</v>
      </c>
      <c r="H149" s="25" t="n">
        <v>0.3150830869784155</v>
      </c>
    </row>
    <row r="150">
      <c r="A150" s="36" t="n">
        <v>44312</v>
      </c>
      <c r="B150" s="25" t="n">
        <v>0.3691484104760336</v>
      </c>
      <c r="C150" s="25" t="n">
        <v>0.3487883915786877</v>
      </c>
      <c r="D150" s="25" t="n">
        <v>0.3958024488003075</v>
      </c>
      <c r="E150" s="25" t="n">
        <v>0.3375855525030316</v>
      </c>
      <c r="F150" s="25" t="n">
        <v>0.3280831443585018</v>
      </c>
      <c r="G150" s="25" t="n">
        <v>0.368202411749408</v>
      </c>
      <c r="H150" s="25" t="n">
        <v>0.3150798490028295</v>
      </c>
    </row>
    <row r="151">
      <c r="A151" s="36" t="n">
        <v>44313</v>
      </c>
      <c r="B151" s="25" t="n">
        <v>0.3705410821643286</v>
      </c>
      <c r="C151" s="25" t="n">
        <v>0.3525881470367592</v>
      </c>
      <c r="D151" s="25" t="n">
        <v>0.3947895791583166</v>
      </c>
      <c r="E151" s="25" t="n">
        <v>0.3390847711927982</v>
      </c>
      <c r="F151" s="25" t="n">
        <v>0.3295823955988997</v>
      </c>
      <c r="G151" s="25" t="n">
        <v>0.3710987999466187</v>
      </c>
      <c r="H151" s="25" t="n">
        <v>0.320580145036259</v>
      </c>
    </row>
    <row r="152">
      <c r="A152" s="36" t="n">
        <v>44314</v>
      </c>
      <c r="B152" s="25" t="n">
        <v>0.3732362468430878</v>
      </c>
      <c r="C152" s="25" t="n">
        <v>0.3535871858814502</v>
      </c>
      <c r="D152" s="25" t="n">
        <v>0.3932757768749314</v>
      </c>
      <c r="E152" s="25" t="n">
        <v>0.3430845962018031</v>
      </c>
      <c r="F152" s="25" t="n">
        <v>0.3315817598859992</v>
      </c>
      <c r="G152" s="25" t="n">
        <v>0.3692989960237889</v>
      </c>
      <c r="H152" s="25" t="n">
        <v>0.3220794168425091</v>
      </c>
    </row>
    <row r="153">
      <c r="A153" s="36" t="n">
        <v>44315</v>
      </c>
      <c r="B153" s="25" t="n">
        <v>0.3687172307776771</v>
      </c>
      <c r="C153" s="25" t="n">
        <v>0.3523856828201378</v>
      </c>
      <c r="D153" s="25" t="n">
        <v>0.3977737516813528</v>
      </c>
      <c r="E153" s="25" t="n">
        <v>0.3390824481295109</v>
      </c>
      <c r="F153" s="25" t="n">
        <v>0.3275796512165629</v>
      </c>
      <c r="G153" s="25" t="n">
        <v>0.3671994497654317</v>
      </c>
      <c r="H153" s="25" t="n">
        <v>0.3175772191183472</v>
      </c>
    </row>
    <row r="154">
      <c r="A154" s="36" t="n">
        <v>44316</v>
      </c>
      <c r="B154" s="25" t="n">
        <v>0.3692080702717541</v>
      </c>
      <c r="C154" s="25" t="n">
        <v>0.3516843078820265</v>
      </c>
      <c r="D154" s="25" t="n">
        <v>0.3907493823771617</v>
      </c>
      <c r="E154" s="25" t="n">
        <v>0.3406816702634193</v>
      </c>
      <c r="F154" s="25" t="n">
        <v>0.3295790086664612</v>
      </c>
      <c r="G154" s="25" t="n">
        <v>0.3717944155488639</v>
      </c>
      <c r="H154" s="25" t="n">
        <v>0.3200767307231185</v>
      </c>
    </row>
    <row r="155">
      <c r="A155" s="36" t="n">
        <v>44319</v>
      </c>
      <c r="B155" s="25" t="n">
        <v>0.368376197403453</v>
      </c>
      <c r="C155" s="25" t="n">
        <v>0.3518807397587803</v>
      </c>
      <c r="D155" s="25" t="n">
        <v>0.3963275052836714</v>
      </c>
      <c r="E155" s="25" t="n">
        <v>0.3365772283366389</v>
      </c>
      <c r="F155" s="25" t="n">
        <v>0.3255747037847725</v>
      </c>
      <c r="G155" s="25" t="n">
        <v>0.3703917630191313</v>
      </c>
      <c r="H155" s="25" t="n">
        <v>0.3200734415088394</v>
      </c>
    </row>
    <row r="156">
      <c r="A156" s="36" t="n">
        <v>44320</v>
      </c>
      <c r="B156" s="25" t="n">
        <v>0.3681657243234341</v>
      </c>
      <c r="C156" s="25" t="n">
        <v>0.3512793987682147</v>
      </c>
      <c r="D156" s="25" t="n">
        <v>0.3667631882307735</v>
      </c>
      <c r="E156" s="25" t="n">
        <v>0.336576075414306</v>
      </c>
      <c r="F156" s="25" t="n">
        <v>0.328374221570629</v>
      </c>
      <c r="G156" s="25" t="n">
        <v>0.3701906625970079</v>
      </c>
      <c r="H156" s="25" t="n">
        <v>0.320172367726952</v>
      </c>
    </row>
    <row r="157">
      <c r="A157" s="36" t="n">
        <v>44321</v>
      </c>
      <c r="B157" s="25" t="n">
        <v>0.3666529435981886</v>
      </c>
      <c r="C157" s="25" t="n">
        <v>0.3504780173668796</v>
      </c>
      <c r="D157" s="25" t="n">
        <v>0.3881912995745849</v>
      </c>
      <c r="E157" s="25" t="n">
        <v>0.3387754123349375</v>
      </c>
      <c r="F157" s="25" t="n">
        <v>0.3280730299552982</v>
      </c>
      <c r="G157" s="25" t="n">
        <v>0.3678913240602919</v>
      </c>
      <c r="H157" s="25" t="n">
        <v>0.3180708034322709</v>
      </c>
    </row>
    <row r="158">
      <c r="A158" s="36" t="n">
        <v>44322</v>
      </c>
      <c r="B158" s="25" t="n">
        <v>0.3660418267647382</v>
      </c>
      <c r="C158" s="25" t="n">
        <v>0.3477762249260112</v>
      </c>
      <c r="D158" s="25" t="n">
        <v>0.392688549785926</v>
      </c>
      <c r="E158" s="25" t="n">
        <v>0.3352734845993643</v>
      </c>
      <c r="F158" s="25" t="n">
        <v>0.3249712265702072</v>
      </c>
      <c r="G158" s="25" t="n">
        <v>0.3649925063131745</v>
      </c>
      <c r="H158" s="25" t="n">
        <v>0.3156691877671818</v>
      </c>
    </row>
    <row r="159">
      <c r="A159" s="36" t="n">
        <v>44323</v>
      </c>
      <c r="B159" s="25" t="n">
        <v>0.3636276312539451</v>
      </c>
      <c r="C159" s="25" t="n">
        <v>0.3430740193945954</v>
      </c>
      <c r="D159" s="25" t="n">
        <v>0.3886708565469166</v>
      </c>
      <c r="E159" s="25" t="n">
        <v>0.3345721850947294</v>
      </c>
      <c r="F159" s="25" t="n">
        <v>0.3230697033949105</v>
      </c>
      <c r="G159" s="25" t="n">
        <v>0.3628930322638043</v>
      </c>
      <c r="H159" s="25" t="n">
        <v>0.3135676532950603</v>
      </c>
    </row>
    <row r="160">
      <c r="A160" s="36" t="n">
        <v>44326</v>
      </c>
      <c r="B160" s="25" t="n">
        <v>0.3645993413830955</v>
      </c>
      <c r="C160" s="25" t="n">
        <v>0.3440706994587929</v>
      </c>
      <c r="D160" s="25" t="n">
        <v>0.3956503841931943</v>
      </c>
      <c r="E160" s="25" t="n">
        <v>0.3354689319723231</v>
      </c>
      <c r="F160" s="25" t="n">
        <v>0.3225662807426183</v>
      </c>
      <c r="G160" s="25" t="n">
        <v>0.3644879384088965</v>
      </c>
      <c r="H160" s="25" t="n">
        <v>0.3140645338083168</v>
      </c>
    </row>
    <row r="161">
      <c r="A161" s="36" t="n">
        <v>44327</v>
      </c>
      <c r="B161" s="25" t="n">
        <v>0.3604826980598776</v>
      </c>
      <c r="C161" s="25" t="n">
        <v>0.3382683487416978</v>
      </c>
      <c r="D161" s="25" t="n">
        <v>0.3888285173293817</v>
      </c>
      <c r="E161" s="25" t="n">
        <v>0.3315669947009841</v>
      </c>
      <c r="F161" s="25" t="n">
        <v>0.3200646706012516</v>
      </c>
      <c r="G161" s="25" t="n">
        <v>0.3586916725691272</v>
      </c>
      <c r="H161" s="25" t="n">
        <v>0.3101626698545254</v>
      </c>
    </row>
    <row r="162">
      <c r="A162" s="36" t="n">
        <v>44328</v>
      </c>
      <c r="B162" s="25" t="n">
        <v>0.3636778991273805</v>
      </c>
      <c r="C162" s="25" t="n">
        <v>0.3411677662001356</v>
      </c>
      <c r="D162" s="25" t="n">
        <v>0.3925237363481697</v>
      </c>
      <c r="E162" s="25" t="n">
        <v>0.3340663556459845</v>
      </c>
      <c r="F162" s="25" t="n">
        <v>0.3225640709455988</v>
      </c>
      <c r="G162" s="25" t="n">
        <v>0.3636861338844559</v>
      </c>
      <c r="H162" s="25" t="n">
        <v>0.3132622233183304</v>
      </c>
    </row>
    <row r="163">
      <c r="A163" s="36" t="n">
        <v>44329</v>
      </c>
      <c r="B163" s="25" t="n">
        <v>0.3650701094860467</v>
      </c>
      <c r="C163" s="25" t="n">
        <v>0.3422668123572067</v>
      </c>
      <c r="D163" s="25" t="n">
        <v>0.387705457838268</v>
      </c>
      <c r="E163" s="25" t="n">
        <v>0.3353654651764215</v>
      </c>
      <c r="F163" s="25" t="n">
        <v>0.3221628879610061</v>
      </c>
      <c r="G163" s="25" t="n">
        <v>0.3641844566180673</v>
      </c>
      <c r="H163" s="25" t="n">
        <v>0.3120609160007262</v>
      </c>
    </row>
    <row r="164">
      <c r="A164" s="36" t="n">
        <v>44330</v>
      </c>
      <c r="B164" s="25" t="n">
        <v>0.3747749972560641</v>
      </c>
      <c r="C164" s="25" t="n">
        <v>0.3509673087989478</v>
      </c>
      <c r="D164" s="25" t="n">
        <v>0.3956069586214466</v>
      </c>
      <c r="E164" s="25" t="n">
        <v>0.3450661770750555</v>
      </c>
      <c r="F164" s="25" t="n">
        <v>0.330563395719727</v>
      </c>
      <c r="G164" s="25" t="n">
        <v>0.3741745194248839</v>
      </c>
      <c r="H164" s="25" t="n">
        <v>0.324562244814074</v>
      </c>
    </row>
    <row r="165">
      <c r="A165" s="36" t="n">
        <v>44333</v>
      </c>
      <c r="B165" s="25" t="n">
        <v>0.381053310286169</v>
      </c>
      <c r="C165" s="25" t="n">
        <v>0.3570648097086115</v>
      </c>
      <c r="D165" s="25" t="n">
        <v>0.4075918456937471</v>
      </c>
      <c r="E165" s="25" t="n">
        <v>0.3520639020096114</v>
      </c>
      <c r="F165" s="25" t="n">
        <v>0.3379613422984309</v>
      </c>
      <c r="G165" s="25" t="n">
        <v>0.3834625004704764</v>
      </c>
      <c r="H165" s="25" t="n">
        <v>0.3290597265942106</v>
      </c>
    </row>
    <row r="166">
      <c r="A166" s="36" t="n">
        <v>44334</v>
      </c>
      <c r="B166" s="25" t="n">
        <v>0.3805421422300264</v>
      </c>
      <c r="C166" s="25" t="n">
        <v>0.3570635866661186</v>
      </c>
      <c r="D166" s="25" t="n">
        <v>0.4030742427568042</v>
      </c>
      <c r="E166" s="25" t="n">
        <v>0.3550632304382972</v>
      </c>
      <c r="F166" s="25" t="n">
        <v>0.3350596681600833</v>
      </c>
      <c r="G166" s="25" t="n">
        <v>0.3834611884020284</v>
      </c>
      <c r="H166" s="25" t="n">
        <v>0.3290585994766191</v>
      </c>
    </row>
    <row r="167">
      <c r="A167" s="36" t="n">
        <v>44335</v>
      </c>
      <c r="B167" s="25" t="n">
        <v>0.3750240061455733</v>
      </c>
      <c r="C167" s="25" t="n">
        <v>0.3507612630973218</v>
      </c>
      <c r="D167" s="25" t="n">
        <v>0.4015610853521359</v>
      </c>
      <c r="E167" s="25" t="n">
        <v>0.3515614028477577</v>
      </c>
      <c r="F167" s="25" t="n">
        <v>0.3360586951830628</v>
      </c>
      <c r="G167" s="25" t="n">
        <v>0.3786641301037778</v>
      </c>
      <c r="H167" s="25" t="n">
        <v>0.329057472366749</v>
      </c>
    </row>
    <row r="168">
      <c r="A168" s="36" t="n">
        <v>44336</v>
      </c>
      <c r="B168" s="25" t="n">
        <v>0.3734115226337448</v>
      </c>
      <c r="C168" s="25" t="n">
        <v>0.3478595649940058</v>
      </c>
      <c r="D168" s="25" t="n">
        <v>0.4035528120713305</v>
      </c>
      <c r="E168" s="25" t="n">
        <v>0.3525603699263573</v>
      </c>
      <c r="F168" s="25" t="n">
        <v>0.3300565165268025</v>
      </c>
      <c r="G168" s="25" t="n">
        <v>0.3795620338055157</v>
      </c>
      <c r="H168" s="25" t="n">
        <v>0.3280561740023976</v>
      </c>
    </row>
    <row r="169">
      <c r="A169" s="36" t="n">
        <v>44337</v>
      </c>
      <c r="B169" s="25" t="n">
        <v>0.36979643905517</v>
      </c>
      <c r="C169" s="25" t="n">
        <v>0.3440577357159249</v>
      </c>
      <c r="D169" s="25" t="n">
        <v>0.403541740967326</v>
      </c>
      <c r="E169" s="25" t="n">
        <v>0.3507588602196944</v>
      </c>
      <c r="F169" s="25" t="n">
        <v>0.3336559902175365</v>
      </c>
      <c r="G169" s="25" t="n">
        <v>0.3746651109795696</v>
      </c>
      <c r="H169" s="25" t="n">
        <v>0.3225541272336796</v>
      </c>
    </row>
    <row r="170">
      <c r="A170" s="36" t="n">
        <v>44342</v>
      </c>
      <c r="B170" s="25" t="n">
        <v>0.3781558591178407</v>
      </c>
      <c r="C170" s="25" t="n">
        <v>0.354553425858691</v>
      </c>
      <c r="D170" s="25" t="n">
        <v>0.4064900153609831</v>
      </c>
      <c r="E170" s="25" t="n">
        <v>0.3665552343503816</v>
      </c>
      <c r="F170" s="25" t="n">
        <v>0.3470522955513845</v>
      </c>
      <c r="G170" s="25" t="n">
        <v>0.3871473246973647</v>
      </c>
      <c r="H170" s="25" t="n">
        <v>0.3345504117058735</v>
      </c>
    </row>
    <row r="171">
      <c r="A171" s="36" t="n">
        <v>44343</v>
      </c>
      <c r="B171" s="25" t="n">
        <v>0.3814493787201361</v>
      </c>
      <c r="C171" s="25" t="n">
        <v>0.3566525207479183</v>
      </c>
      <c r="D171" s="25" t="n">
        <v>0.4104835833996215</v>
      </c>
      <c r="E171" s="25" t="n">
        <v>0.3665539788393496</v>
      </c>
      <c r="F171" s="25" t="n">
        <v>0.352551916891871</v>
      </c>
      <c r="G171" s="25" t="n">
        <v>0.3867463654808788</v>
      </c>
      <c r="H171" s="25" t="n">
        <v>0.3380497813034111</v>
      </c>
    </row>
    <row r="172">
      <c r="A172" s="36" t="n">
        <v>44344</v>
      </c>
      <c r="B172" s="25" t="n">
        <v>0.3768336167644961</v>
      </c>
      <c r="C172" s="25" t="n">
        <v>0.353550853204913</v>
      </c>
      <c r="D172" s="25" t="n">
        <v>0.4005609194141204</v>
      </c>
      <c r="E172" s="25" t="n">
        <v>0.3632522486111016</v>
      </c>
      <c r="F172" s="25" t="n">
        <v>0.3460497742826023</v>
      </c>
      <c r="G172" s="25" t="n">
        <v>0.3851465093681142</v>
      </c>
      <c r="H172" s="25" t="n">
        <v>0.3350481918632132</v>
      </c>
    </row>
    <row r="173">
      <c r="A173" s="36" t="n">
        <v>44347</v>
      </c>
      <c r="B173" s="25" t="n">
        <v>0.3764021831546036</v>
      </c>
      <c r="C173" s="25" t="n">
        <v>0.3530471535581807</v>
      </c>
      <c r="D173" s="25" t="n">
        <v>0.4054332026000384</v>
      </c>
      <c r="E173" s="25" t="n">
        <v>0.3625484225632876</v>
      </c>
      <c r="F173" s="25" t="n">
        <v>0.3440459513428163</v>
      </c>
      <c r="G173" s="25" t="n">
        <v>0.3854422778859346</v>
      </c>
      <c r="H173" s="25" t="n">
        <v>0.334044615547967</v>
      </c>
    </row>
    <row r="174">
      <c r="A174" s="36" t="n">
        <v>44348</v>
      </c>
      <c r="B174" s="25" t="n">
        <v>0.3788944654709012</v>
      </c>
      <c r="C174" s="25" t="n">
        <v>0.3560463347969942</v>
      </c>
      <c r="D174" s="25" t="n">
        <v>0.4084252098074708</v>
      </c>
      <c r="E174" s="25" t="n">
        <v>0.3680478966440838</v>
      </c>
      <c r="F174" s="25" t="n">
        <v>0.3490454237195251</v>
      </c>
      <c r="G174" s="25" t="n">
        <v>0.3876389116986916</v>
      </c>
      <c r="H174" s="25" t="n">
        <v>0.3371438748878279</v>
      </c>
    </row>
    <row r="175">
      <c r="A175" s="36" t="n">
        <v>44349</v>
      </c>
      <c r="B175" s="25" t="n">
        <v>0.3838891479033541</v>
      </c>
      <c r="C175" s="25" t="n">
        <v>0.3630460024044142</v>
      </c>
      <c r="D175" s="25" t="n">
        <v>0.4194251707210048</v>
      </c>
      <c r="E175" s="25" t="n">
        <v>0.3760476498734429</v>
      </c>
      <c r="F175" s="25" t="n">
        <v>0.3536448111575782</v>
      </c>
      <c r="G175" s="25" t="n">
        <v>0.3947309535947556</v>
      </c>
      <c r="H175" s="25" t="n">
        <v>0.3420433411082912</v>
      </c>
    </row>
    <row r="176">
      <c r="A176" s="36" t="n">
        <v>44350</v>
      </c>
      <c r="B176" s="25" t="n">
        <v>0.3823771390960948</v>
      </c>
      <c r="C176" s="25" t="n">
        <v>0.360544450685701</v>
      </c>
      <c r="D176" s="25" t="n">
        <v>0.4184126810004388</v>
      </c>
      <c r="E176" s="25" t="n">
        <v>0.3696455727418449</v>
      </c>
      <c r="F176" s="25" t="n">
        <v>0.3450425394911701</v>
      </c>
      <c r="G176" s="25" t="n">
        <v>0.3882356966408234</v>
      </c>
      <c r="H176" s="25" t="n">
        <v>0.3327410228658328</v>
      </c>
    </row>
    <row r="177">
      <c r="A177" s="36" t="n">
        <v>44351</v>
      </c>
      <c r="B177" s="25" t="n">
        <v>0.3808652132181544</v>
      </c>
      <c r="C177" s="25" t="n">
        <v>0.3585429760416489</v>
      </c>
      <c r="D177" s="25" t="n">
        <v>0.4177005347593583</v>
      </c>
      <c r="E177" s="25" t="n">
        <v>0.3701443666192865</v>
      </c>
      <c r="F177" s="25" t="n">
        <v>0.3461414895621051</v>
      </c>
      <c r="G177" s="25" t="n">
        <v>0.3908319219912753</v>
      </c>
      <c r="H177" s="25" t="n">
        <v>0.3354402068741116</v>
      </c>
    </row>
    <row r="178">
      <c r="A178" s="36" t="n">
        <v>44354</v>
      </c>
      <c r="B178" s="25" t="n">
        <v>0.3820349347373039</v>
      </c>
      <c r="C178" s="25" t="n">
        <v>0.3650400043840421</v>
      </c>
      <c r="D178" s="25" t="n">
        <v>0.423871613469343</v>
      </c>
      <c r="E178" s="25" t="n">
        <v>0.3730408811924594</v>
      </c>
      <c r="F178" s="25" t="n">
        <v>0.3535387439719421</v>
      </c>
      <c r="G178" s="25" t="n">
        <v>0.3949240107021398</v>
      </c>
      <c r="H178" s="25" t="n">
        <v>0.3380370451556335</v>
      </c>
    </row>
    <row r="179">
      <c r="A179" s="36" t="n">
        <v>44355</v>
      </c>
      <c r="B179" s="25" t="n">
        <v>0.3878293893443747</v>
      </c>
      <c r="C179" s="25" t="n">
        <v>0.370239306227716</v>
      </c>
      <c r="D179" s="25" t="n">
        <v>0.42536126573254</v>
      </c>
      <c r="E179" s="25" t="n">
        <v>0.3755398689586908</v>
      </c>
      <c r="F179" s="25" t="n">
        <v>0.3590381170603728</v>
      </c>
      <c r="G179" s="25" t="n">
        <v>0.3992185548739389</v>
      </c>
      <c r="H179" s="25" t="n">
        <v>0.3409361952810059</v>
      </c>
    </row>
    <row r="180">
      <c r="A180" s="36" t="n">
        <v>44356</v>
      </c>
      <c r="B180" s="25" t="n">
        <v>0.3933232794077324</v>
      </c>
      <c r="C180" s="25" t="n">
        <v>0.3765386854813851</v>
      </c>
      <c r="D180" s="25" t="n">
        <v>0.4403619413216342</v>
      </c>
      <c r="E180" s="25" t="n">
        <v>0.3815391992327979</v>
      </c>
      <c r="F180" s="25" t="n">
        <v>0.364037401102853</v>
      </c>
      <c r="G180" s="25" t="n">
        <v>0.4043123032708362</v>
      </c>
      <c r="H180" s="25" t="n">
        <v>0.3474356954481625</v>
      </c>
    </row>
    <row r="181">
      <c r="A181" s="36" t="n">
        <v>44357</v>
      </c>
      <c r="B181" s="25" t="n">
        <v>0.3953140851635546</v>
      </c>
      <c r="C181" s="25" t="n">
        <v>0.3797377136770432</v>
      </c>
      <c r="D181" s="25" t="n">
        <v>0.4403498670176305</v>
      </c>
      <c r="E181" s="25" t="n">
        <v>0.3833380712468019</v>
      </c>
      <c r="F181" s="25" t="n">
        <v>0.3700367502251936</v>
      </c>
      <c r="G181" s="25" t="n">
        <v>0.4042110161112081</v>
      </c>
      <c r="H181" s="25" t="n">
        <v>0.3505348133890009</v>
      </c>
    </row>
    <row r="182">
      <c r="A182" s="36" t="n">
        <v>44358</v>
      </c>
      <c r="B182" s="25" t="n">
        <v>0.399306317174819</v>
      </c>
      <c r="C182" s="25" t="n">
        <v>0.3830367295494088</v>
      </c>
      <c r="D182" s="25" t="n">
        <v>0.4493447027856986</v>
      </c>
      <c r="E182" s="25" t="n">
        <v>0.3866370747879934</v>
      </c>
      <c r="F182" s="25" t="n">
        <v>0.377036154151768</v>
      </c>
      <c r="G182" s="25" t="n">
        <v>0.405608282412191</v>
      </c>
      <c r="H182" s="25" t="n">
        <v>0.3515337087117943</v>
      </c>
    </row>
    <row r="183">
      <c r="A183" s="36" t="n">
        <v>44361</v>
      </c>
      <c r="B183" s="25" t="n">
        <v>0.3987731322823852</v>
      </c>
      <c r="C183" s="25" t="n">
        <v>0.3830327939035876</v>
      </c>
      <c r="D183" s="25" t="n">
        <v>0.4528101439342015</v>
      </c>
      <c r="E183" s="25" t="n">
        <v>0.3870331363986643</v>
      </c>
      <c r="F183" s="25" t="n">
        <v>0.3800325370322802</v>
      </c>
      <c r="G183" s="25" t="n">
        <v>0.4058039242520143</v>
      </c>
      <c r="H183" s="25" t="n">
        <v>0.3509300453805977</v>
      </c>
    </row>
    <row r="184">
      <c r="A184" s="36" t="n">
        <v>44362</v>
      </c>
      <c r="B184" s="25" t="n">
        <v>0.3972612128522864</v>
      </c>
      <c r="C184" s="25" t="n">
        <v>0.3806312847631312</v>
      </c>
      <c r="D184" s="25" t="n">
        <v>0.4402895054282268</v>
      </c>
      <c r="E184" s="25" t="n">
        <v>0.3825314409403512</v>
      </c>
      <c r="F184" s="25" t="n">
        <v>0.3828314655999123</v>
      </c>
      <c r="G184" s="25" t="n">
        <v>0.4029053735040337</v>
      </c>
      <c r="H184" s="25" t="n">
        <v>0.3473285475518536</v>
      </c>
    </row>
    <row r="185">
      <c r="A185" s="36" t="n">
        <v>44363</v>
      </c>
      <c r="B185" s="25" t="n">
        <v>0.3951489979987389</v>
      </c>
      <c r="C185" s="25" t="n">
        <v>0.3796299023553225</v>
      </c>
      <c r="D185" s="25" t="n">
        <v>0.4352742824245415</v>
      </c>
      <c r="E185" s="25" t="n">
        <v>0.3854303592406251</v>
      </c>
      <c r="F185" s="25" t="n">
        <v>0.3720293036780294</v>
      </c>
      <c r="G185" s="25" t="n">
        <v>0.4004064498250007</v>
      </c>
      <c r="H185" s="25" t="n">
        <v>0.3444271295341756</v>
      </c>
    </row>
    <row r="186">
      <c r="A186" s="36" t="n">
        <v>44364</v>
      </c>
      <c r="B186" s="25" t="n">
        <v>0.3934371401940896</v>
      </c>
      <c r="C186" s="25" t="n">
        <v>0.3753282781579434</v>
      </c>
      <c r="D186" s="25" t="n">
        <v>0.4312599374965733</v>
      </c>
      <c r="E186" s="25" t="n">
        <v>0.3798286172245854</v>
      </c>
      <c r="F186" s="25" t="n">
        <v>0.3700278788127873</v>
      </c>
      <c r="G186" s="25" t="n">
        <v>0.3964090212393256</v>
      </c>
      <c r="H186" s="25" t="n">
        <v>0.341425723855907</v>
      </c>
    </row>
    <row r="187">
      <c r="A187" s="36" t="n">
        <v>44365</v>
      </c>
      <c r="B187" s="25" t="n">
        <v>0.3923257216480715</v>
      </c>
      <c r="C187" s="25" t="n">
        <v>0.3730268272718243</v>
      </c>
      <c r="D187" s="25" t="n">
        <v>0.4322486910277146</v>
      </c>
      <c r="E187" s="25" t="n">
        <v>0.3790272588097089</v>
      </c>
      <c r="F187" s="25" t="n">
        <v>0.3690265395799013</v>
      </c>
      <c r="G187" s="25" t="n">
        <v>0.3967073683922419</v>
      </c>
      <c r="H187" s="25" t="n">
        <v>0.3381243171597957</v>
      </c>
    </row>
    <row r="188">
      <c r="A188" s="36" t="n">
        <v>44369</v>
      </c>
      <c r="B188" s="25" t="n">
        <v>0.3861798645944687</v>
      </c>
      <c r="C188" s="25" t="n">
        <v>0.3665213385710812</v>
      </c>
      <c r="D188" s="25" t="n">
        <v>0.4216964065455143</v>
      </c>
      <c r="E188" s="25" t="n">
        <v>0.3732217286622851</v>
      </c>
      <c r="F188" s="25" t="n">
        <v>0.3620210765695263</v>
      </c>
      <c r="G188" s="25" t="n">
        <v>0.3871115627127574</v>
      </c>
      <c r="H188" s="25" t="n">
        <v>0.3335194172263454</v>
      </c>
    </row>
    <row r="189">
      <c r="A189" s="36" t="n">
        <v>44370</v>
      </c>
      <c r="B189" s="25" t="n">
        <v>0.3856690604100427</v>
      </c>
      <c r="C189" s="25" t="n">
        <v>0.3654200230149597</v>
      </c>
      <c r="D189" s="25" t="n">
        <v>0.4161824361363886</v>
      </c>
      <c r="E189" s="25" t="n">
        <v>0.3735204668748973</v>
      </c>
      <c r="F189" s="25" t="n">
        <v>0.3600197271083347</v>
      </c>
      <c r="G189" s="25" t="n">
        <v>0.3888085283994882</v>
      </c>
      <c r="H189" s="25" t="n">
        <v>0.3330182475752096</v>
      </c>
    </row>
    <row r="190">
      <c r="A190" s="36" t="n">
        <v>44371</v>
      </c>
      <c r="B190" s="25" t="n">
        <v>0.3817568863916678</v>
      </c>
      <c r="C190" s="25" t="n">
        <v>0.3600184941007243</v>
      </c>
      <c r="D190" s="25" t="n">
        <v>0.4071673290393313</v>
      </c>
      <c r="E190" s="25" t="n">
        <v>0.3711190643354967</v>
      </c>
      <c r="F190" s="25" t="n">
        <v>0.3575183656694693</v>
      </c>
      <c r="G190" s="25" t="n">
        <v>0.3841119417027319</v>
      </c>
      <c r="H190" s="25" t="n">
        <v>0.329516927239413</v>
      </c>
    </row>
    <row r="191">
      <c r="A191" s="36" t="n">
        <v>44372</v>
      </c>
      <c r="B191" s="25" t="n">
        <v>0.3746436989530231</v>
      </c>
      <c r="C191" s="25" t="n">
        <v>0.3499167768317659</v>
      </c>
      <c r="D191" s="25" t="n">
        <v>0.4001534835279285</v>
      </c>
      <c r="E191" s="25" t="n">
        <v>0.3620173569965683</v>
      </c>
      <c r="F191" s="25" t="n">
        <v>0.3475166617577555</v>
      </c>
      <c r="G191" s="25" t="n">
        <v>0.3747201467006048</v>
      </c>
      <c r="H191" s="25" t="n">
        <v>0.320615371969889</v>
      </c>
    </row>
    <row r="192">
      <c r="A192" s="36" t="n">
        <v>44375</v>
      </c>
      <c r="B192" s="25" t="n">
        <v>0.3725122639699636</v>
      </c>
      <c r="C192" s="25" t="n">
        <v>0.3485131289192401</v>
      </c>
      <c r="D192" s="25" t="n">
        <v>0.4051220915892461</v>
      </c>
      <c r="E192" s="25" t="n">
        <v>0.3600135621547387</v>
      </c>
      <c r="F192" s="25" t="n">
        <v>0.3450129970649579</v>
      </c>
      <c r="G192" s="25" t="n">
        <v>0.3749160961891762</v>
      </c>
      <c r="H192" s="25" t="n">
        <v>0.3200120552486566</v>
      </c>
    </row>
    <row r="193">
      <c r="A193" s="36" t="n">
        <v>44376</v>
      </c>
      <c r="B193" s="25" t="n">
        <v>0.3673006303096739</v>
      </c>
      <c r="C193" s="25" t="n">
        <v>0.3415116956060139</v>
      </c>
      <c r="D193" s="25" t="n">
        <v>0.3951082488352973</v>
      </c>
      <c r="E193" s="25" t="n">
        <v>0.3535121065789925</v>
      </c>
      <c r="F193" s="25" t="n">
        <v>0.3410116784821398</v>
      </c>
      <c r="G193" s="25" t="n">
        <v>0.373616147793363</v>
      </c>
      <c r="H193" s="25" t="n">
        <v>0.3140107537929381</v>
      </c>
    </row>
    <row r="194">
      <c r="A194" s="36" t="n">
        <v>44377</v>
      </c>
      <c r="B194" s="25" t="n">
        <v>0.3636896769066345</v>
      </c>
      <c r="C194" s="25" t="n">
        <v>0.3393104581990541</v>
      </c>
      <c r="D194" s="25" t="n">
        <v>0.3955975446000383</v>
      </c>
      <c r="E194" s="25" t="n">
        <v>0.3501107910860266</v>
      </c>
      <c r="F194" s="25" t="n">
        <v>0.3390104489521937</v>
      </c>
      <c r="G194" s="25" t="n">
        <v>0.375512913058799</v>
      </c>
      <c r="H194" s="25" t="n">
        <v>0.3130096475576302</v>
      </c>
    </row>
    <row r="195">
      <c r="A195" s="36" t="n">
        <v>44378</v>
      </c>
      <c r="B195" s="25" t="n">
        <v>0.3625794694727612</v>
      </c>
      <c r="C195" s="25" t="n">
        <v>0.3380092605276857</v>
      </c>
      <c r="D195" s="25" t="n">
        <v>0.400087690452702</v>
      </c>
      <c r="E195" s="25" t="n">
        <v>0.3525096577988438</v>
      </c>
      <c r="F195" s="25" t="n">
        <v>0.3435094112167457</v>
      </c>
      <c r="G195" s="25" t="n">
        <v>0.3750121449733494</v>
      </c>
      <c r="H195" s="25" t="n">
        <v>0.3135085892764186</v>
      </c>
    </row>
    <row r="196">
      <c r="A196" s="36" t="n">
        <v>44379</v>
      </c>
      <c r="B196" s="25" t="n">
        <v>0.3650700134272326</v>
      </c>
      <c r="C196" s="25" t="n">
        <v>0.3406081652642358</v>
      </c>
      <c r="D196" s="25" t="n">
        <v>0.3970761515907161</v>
      </c>
      <c r="E196" s="25" t="n">
        <v>0.357308565616299</v>
      </c>
      <c r="F196" s="25" t="n">
        <v>0.3475083306791601</v>
      </c>
      <c r="G196" s="25" t="n">
        <v>0.371814179122349</v>
      </c>
      <c r="H196" s="25" t="n">
        <v>0.3175076114838369</v>
      </c>
    </row>
    <row r="197">
      <c r="A197" s="36" t="n">
        <v>44382</v>
      </c>
      <c r="B197" s="25" t="n">
        <v>0.3640398947829899</v>
      </c>
      <c r="C197" s="25" t="n">
        <v>0.3380046302004137</v>
      </c>
      <c r="D197" s="25" t="n">
        <v>0.3955433472161333</v>
      </c>
      <c r="E197" s="25" t="n">
        <v>0.3566048849984246</v>
      </c>
      <c r="F197" s="25" t="n">
        <v>0.3490047808874094</v>
      </c>
      <c r="G197" s="25" t="n">
        <v>0.3741079553618469</v>
      </c>
      <c r="H197" s="25" t="n">
        <v>0.3150043151276045</v>
      </c>
    </row>
    <row r="198">
      <c r="A198" s="36" t="n">
        <v>44383</v>
      </c>
      <c r="B198" s="25" t="n">
        <v>0.3630298380688823</v>
      </c>
      <c r="C198" s="25" t="n">
        <v>0.3377034695561941</v>
      </c>
      <c r="D198" s="25" t="n">
        <v>0.3980327150176727</v>
      </c>
      <c r="E198" s="25" t="n">
        <v>0.354003637023668</v>
      </c>
      <c r="F198" s="25" t="n">
        <v>0.3460035548310428</v>
      </c>
      <c r="G198" s="25" t="n">
        <v>0.3698111916580855</v>
      </c>
      <c r="H198" s="25" t="n">
        <v>0.3108031931834916</v>
      </c>
    </row>
    <row r="199">
      <c r="A199" s="36" t="n">
        <v>44384</v>
      </c>
      <c r="B199" s="25" t="n">
        <v>0.3560195079182421</v>
      </c>
      <c r="C199" s="25" t="n">
        <v>0.3376023123446051</v>
      </c>
      <c r="D199" s="25" t="n">
        <v>0.3890213162365061</v>
      </c>
      <c r="E199" s="25" t="n">
        <v>0.3570024452222276</v>
      </c>
      <c r="F199" s="25" t="n">
        <v>0.3470023767286077</v>
      </c>
      <c r="G199" s="25" t="n">
        <v>0.3697100318841769</v>
      </c>
      <c r="H199" s="25" t="n">
        <v>0.3126021411105556</v>
      </c>
    </row>
    <row r="200">
      <c r="A200" s="36" t="n">
        <v>44385</v>
      </c>
      <c r="B200" s="25" t="n">
        <v>0.3554097372530754</v>
      </c>
      <c r="C200" s="25" t="n">
        <v>0.3386011595930123</v>
      </c>
      <c r="D200" s="25" t="n">
        <v>0.3904106961834571</v>
      </c>
      <c r="E200" s="25" t="n">
        <v>0.356601221237059</v>
      </c>
      <c r="F200" s="25" t="n">
        <v>0.3505012003465765</v>
      </c>
      <c r="G200" s="25" t="n">
        <v>0.3681104584532122</v>
      </c>
      <c r="H200" s="25" t="n">
        <v>0.3150010787708177</v>
      </c>
    </row>
    <row r="201">
      <c r="A201" s="36" t="n">
        <v>44389</v>
      </c>
      <c r="B201" s="25" t="n">
        <v>0.357970577760732</v>
      </c>
      <c r="C201" s="25" t="n">
        <v>0.3428964770909888</v>
      </c>
      <c r="D201" s="25" t="n">
        <v>0.3914678245623647</v>
      </c>
      <c r="E201" s="25" t="n">
        <v>0.3595963055174091</v>
      </c>
      <c r="F201" s="25" t="n">
        <v>0.3524963784618651</v>
      </c>
      <c r="G201" s="25" t="n">
        <v>0.37060274431859</v>
      </c>
      <c r="H201" s="25" t="n">
        <v>0.3189967226364113</v>
      </c>
    </row>
    <row r="202">
      <c r="A202" s="36" t="n">
        <v>44390</v>
      </c>
      <c r="B202" s="25" t="n">
        <v>0.3604604974797282</v>
      </c>
      <c r="C202" s="25" t="n">
        <v>0.3474952397912358</v>
      </c>
      <c r="D202" s="25" t="n">
        <v>0.3930569252684638</v>
      </c>
      <c r="E202" s="25" t="n">
        <v>0.3649950000684922</v>
      </c>
      <c r="F202" s="25" t="n">
        <v>0.3599950685607046</v>
      </c>
      <c r="G202" s="25" t="n">
        <v>0.3736981465136804</v>
      </c>
      <c r="H202" s="25" t="n">
        <v>0.3274955137600855</v>
      </c>
    </row>
    <row r="203">
      <c r="A203" s="36" t="n">
        <v>44391</v>
      </c>
      <c r="B203" s="25" t="n">
        <v>0.3639501438159156</v>
      </c>
      <c r="C203" s="25" t="n">
        <v>0.3508939915412408</v>
      </c>
      <c r="D203" s="25" t="n">
        <v>0.3949458978222161</v>
      </c>
      <c r="E203" s="25" t="n">
        <v>0.3681936953134364</v>
      </c>
      <c r="F203" s="25" t="n">
        <v>0.3627937877776066</v>
      </c>
      <c r="G203" s="25" t="n">
        <v>0.3765937430511606</v>
      </c>
      <c r="H203" s="25" t="n">
        <v>0.325994417903803</v>
      </c>
    </row>
    <row r="204">
      <c r="A204" s="36" t="n">
        <v>44392</v>
      </c>
      <c r="B204" s="25" t="n">
        <v>0.3636402235249</v>
      </c>
      <c r="C204" s="25" t="n">
        <v>0.3528927487791347</v>
      </c>
      <c r="D204" s="25" t="n">
        <v>0.3949350791650688</v>
      </c>
      <c r="E204" s="25" t="n">
        <v>0.3699923974164914</v>
      </c>
      <c r="F204" s="25" t="n">
        <v>0.3634925309753909</v>
      </c>
      <c r="G204" s="25" t="n">
        <v>0.3750940762736217</v>
      </c>
      <c r="H204" s="25" t="n">
        <v>0.3271932768504757</v>
      </c>
    </row>
    <row r="205">
      <c r="A205" s="36" t="n">
        <v>44393</v>
      </c>
      <c r="B205" s="25" t="n">
        <v>0.3639302051661325</v>
      </c>
      <c r="C205" s="25" t="n">
        <v>0.3556914731496163</v>
      </c>
      <c r="D205" s="25" t="n">
        <v>0.3970238584381078</v>
      </c>
      <c r="E205" s="25" t="n">
        <v>0.3719910824055588</v>
      </c>
      <c r="F205" s="25" t="n">
        <v>0.3674911902796851</v>
      </c>
      <c r="G205" s="25" t="n">
        <v>0.3774901904439358</v>
      </c>
      <c r="H205" s="25" t="n">
        <v>0.3264921731328359</v>
      </c>
    </row>
    <row r="206">
      <c r="A206" s="36" t="n">
        <v>44396</v>
      </c>
      <c r="B206" s="25" t="n">
        <v>0.3658997534921939</v>
      </c>
      <c r="C206" s="25" t="n">
        <v>0.3583877264477244</v>
      </c>
      <c r="D206" s="25" t="n">
        <v>0.3988907148726376</v>
      </c>
      <c r="E206" s="25" t="n">
        <v>0.3764871066059381</v>
      </c>
      <c r="F206" s="25" t="n">
        <v>0.365987466182665</v>
      </c>
      <c r="G206" s="25" t="n">
        <v>0.379883689107827</v>
      </c>
      <c r="H206" s="25" t="n">
        <v>0.3293887195643985</v>
      </c>
    </row>
    <row r="207">
      <c r="A207" s="36" t="n">
        <v>44397</v>
      </c>
      <c r="B207" s="25" t="n">
        <v>0.3698885267453644</v>
      </c>
      <c r="C207" s="25" t="n">
        <v>0.3618863672943827</v>
      </c>
      <c r="D207" s="25" t="n">
        <v>0.4088767768617677</v>
      </c>
      <c r="E207" s="25" t="n">
        <v>0.3819856101311253</v>
      </c>
      <c r="F207" s="25" t="n">
        <v>0.3759858361500081</v>
      </c>
      <c r="G207" s="25" t="n">
        <v>0.3818801933490922</v>
      </c>
      <c r="H207" s="25" t="n">
        <v>0.3311875237576666</v>
      </c>
    </row>
    <row r="208">
      <c r="A208" s="36" t="n">
        <v>44398</v>
      </c>
      <c r="B208" s="25" t="n">
        <v>0.3718777388255916</v>
      </c>
      <c r="C208" s="25" t="n">
        <v>0.3631850745859759</v>
      </c>
      <c r="D208" s="25" t="n">
        <v>0.4003683720420683</v>
      </c>
      <c r="E208" s="25" t="n">
        <v>0.3814843225620865</v>
      </c>
      <c r="F208" s="25" t="n">
        <v>0.3784844458446913</v>
      </c>
      <c r="G208" s="25" t="n">
        <v>0.3834771245407462</v>
      </c>
      <c r="H208" s="25" t="n">
        <v>0.3325863320685451</v>
      </c>
    </row>
    <row r="209">
      <c r="A209" s="36" t="n">
        <v>44399</v>
      </c>
      <c r="B209" s="25" t="n">
        <v>0.3718675540218553</v>
      </c>
      <c r="C209" s="25" t="n">
        <v>0.3629838397605586</v>
      </c>
      <c r="D209" s="25" t="n">
        <v>0.4058554487442829</v>
      </c>
      <c r="E209" s="25" t="n">
        <v>0.3854828380928246</v>
      </c>
      <c r="F209" s="25" t="n">
        <v>0.3820829894559489</v>
      </c>
      <c r="G209" s="25" t="n">
        <v>0.3853737133239601</v>
      </c>
      <c r="H209" s="25" t="n">
        <v>0.3329851753175372</v>
      </c>
    </row>
    <row r="210">
      <c r="A210" s="36" t="n">
        <v>44400</v>
      </c>
      <c r="B210" s="25" t="n">
        <v>0.3698581366051378</v>
      </c>
      <c r="C210" s="25" t="n">
        <v>0.3627826063133959</v>
      </c>
      <c r="D210" s="25" t="n">
        <v>0.4053445253875226</v>
      </c>
      <c r="E210" s="25" t="n">
        <v>0.3858814988322478</v>
      </c>
      <c r="F210" s="25" t="n">
        <v>0.3849815419808639</v>
      </c>
      <c r="G210" s="25" t="n">
        <v>0.3890682940846458</v>
      </c>
      <c r="H210" s="25" t="n">
        <v>0.3333840158348573</v>
      </c>
    </row>
    <row r="211">
      <c r="A211" s="36" t="n">
        <v>44403</v>
      </c>
      <c r="B211" s="25" t="n">
        <v>0.3704274721362653</v>
      </c>
      <c r="C211" s="25" t="n">
        <v>0.3621789142412942</v>
      </c>
      <c r="D211" s="25" t="n">
        <v>0.4053112249089465</v>
      </c>
      <c r="E211" s="25" t="n">
        <v>0.3844776160292038</v>
      </c>
      <c r="F211" s="25" t="n">
        <v>0.3829777033528869</v>
      </c>
      <c r="G211" s="25" t="n">
        <v>0.3855682164151789</v>
      </c>
      <c r="H211" s="25" t="n">
        <v>0.3349804977107497</v>
      </c>
    </row>
    <row r="212">
      <c r="A212" s="36" t="n">
        <v>44404</v>
      </c>
      <c r="B212" s="25" t="n">
        <v>0.3703173777315296</v>
      </c>
      <c r="C212" s="25" t="n">
        <v>0.3611777356190372</v>
      </c>
      <c r="D212" s="25" t="n">
        <v>0.4028013582342954</v>
      </c>
      <c r="E212" s="25" t="n">
        <v>0.3839763302262189</v>
      </c>
      <c r="F212" s="25" t="n">
        <v>0.3829763918662548</v>
      </c>
      <c r="G212" s="25" t="n">
        <v>0.3857666730521879</v>
      </c>
      <c r="H212" s="25" t="n">
        <v>0.3344793814079954</v>
      </c>
    </row>
    <row r="213">
      <c r="A213" s="36" t="n">
        <v>44405</v>
      </c>
      <c r="B213" s="25" t="n">
        <v>0.3696076015224951</v>
      </c>
      <c r="C213" s="25" t="n">
        <v>0.3600765703601478</v>
      </c>
      <c r="D213" s="25" t="n">
        <v>0.4027903283222432</v>
      </c>
      <c r="E213" s="25" t="n">
        <v>0.3844749827922156</v>
      </c>
      <c r="F213" s="25" t="n">
        <v>0.3799752755813834</v>
      </c>
      <c r="G213" s="25" t="n">
        <v>0.3864645656092964</v>
      </c>
      <c r="H213" s="25" t="n">
        <v>0.3370780668381167</v>
      </c>
    </row>
    <row r="214">
      <c r="A214" s="36" t="n">
        <v>44406</v>
      </c>
      <c r="B214" s="25" t="n">
        <v>0.3683981380065717</v>
      </c>
      <c r="C214" s="25" t="n">
        <v>0.3590754057941237</v>
      </c>
      <c r="D214" s="25" t="n">
        <v>0.4097754654983571</v>
      </c>
      <c r="E214" s="25" t="n">
        <v>0.3844736661872475</v>
      </c>
      <c r="F214" s="25" t="n">
        <v>0.3814738716526265</v>
      </c>
      <c r="G214" s="25" t="n">
        <v>0.3863633564806896</v>
      </c>
      <c r="H214" s="25" t="n">
        <v>0.3349770563660023</v>
      </c>
    </row>
    <row r="215">
      <c r="A215" s="36" t="n">
        <v>44407</v>
      </c>
      <c r="B215" s="25" t="n">
        <v>0.3677883957175324</v>
      </c>
      <c r="C215" s="25" t="n">
        <v>0.3586742049373161</v>
      </c>
      <c r="D215" s="25" t="n">
        <v>0.4087648202404096</v>
      </c>
      <c r="E215" s="25" t="n">
        <v>0.3847723280175055</v>
      </c>
      <c r="F215" s="25" t="n">
        <v>0.380972601285524</v>
      </c>
      <c r="G215" s="25" t="n">
        <v>0.387760449627306</v>
      </c>
      <c r="H215" s="25" t="n">
        <v>0.3357758517366902</v>
      </c>
    </row>
    <row r="216">
      <c r="A216" s="36" t="n">
        <v>44409</v>
      </c>
      <c r="B216" s="25" t="n">
        <v>0.3672685704898283</v>
      </c>
      <c r="C216" s="25" t="n">
        <v>0.357771819342997</v>
      </c>
      <c r="D216" s="25" t="n">
        <v>0.4047449552336884</v>
      </c>
      <c r="E216" s="25" t="n">
        <v>0.3829698345678251</v>
      </c>
      <c r="F216" s="25" t="n">
        <v>0.3804700314701239</v>
      </c>
      <c r="G216" s="25" t="n">
        <v>0.3895557463577495</v>
      </c>
      <c r="H216" s="25" t="n">
        <v>0.3359735363310424</v>
      </c>
    </row>
    <row r="217">
      <c r="A217" s="36" t="n">
        <v>44410</v>
      </c>
      <c r="B217" s="25" t="n">
        <v>0.366259172051254</v>
      </c>
      <c r="C217" s="25" t="n">
        <v>0.3558707503492864</v>
      </c>
      <c r="D217" s="25" t="n">
        <v>0.3998370934180265</v>
      </c>
      <c r="E217" s="25" t="n">
        <v>0.3822685806646029</v>
      </c>
      <c r="F217" s="25" t="n">
        <v>0.3789688518751883</v>
      </c>
      <c r="G217" s="25" t="n">
        <v>0.3891548707984703</v>
      </c>
      <c r="H217" s="25" t="n">
        <v>0.3369723036462757</v>
      </c>
    </row>
    <row r="218">
      <c r="A218" s="36" t="n">
        <v>44411</v>
      </c>
      <c r="B218" s="25" t="n">
        <v>0.364050650239562</v>
      </c>
      <c r="C218" s="25" t="n">
        <v>0.3540696858145707</v>
      </c>
      <c r="D218" s="25" t="n">
        <v>0.4047227926078029</v>
      </c>
      <c r="E218" s="25" t="n">
        <v>0.3814673401249893</v>
      </c>
      <c r="F218" s="25" t="n">
        <v>0.3759678109750877</v>
      </c>
      <c r="G218" s="25" t="n">
        <v>0.3874554877110165</v>
      </c>
      <c r="H218" s="25" t="n">
        <v>0.3342713808749251</v>
      </c>
    </row>
    <row r="219">
      <c r="A219" s="36" t="n">
        <v>44412</v>
      </c>
      <c r="B219" s="25" t="n">
        <v>0.3627416087170782</v>
      </c>
      <c r="C219" s="25" t="n">
        <v>0.3518686692280824</v>
      </c>
      <c r="D219" s="25" t="n">
        <v>0.4097081530964244</v>
      </c>
      <c r="E219" s="25" t="n">
        <v>0.3769664344955587</v>
      </c>
      <c r="F219" s="25" t="n">
        <v>0.3714669241779842</v>
      </c>
      <c r="G219" s="25" t="n">
        <v>0.3865551967598927</v>
      </c>
      <c r="H219" s="25" t="n">
        <v>0.3301706012478342</v>
      </c>
    </row>
    <row r="220">
      <c r="A220" s="36" t="n">
        <v>44413</v>
      </c>
      <c r="B220" s="25" t="n">
        <v>0.3622320475264872</v>
      </c>
      <c r="C220" s="25" t="n">
        <v>0.3496676677156564</v>
      </c>
      <c r="D220" s="25" t="n">
        <v>0.4037013715881403</v>
      </c>
      <c r="E220" s="25" t="n">
        <v>0.3739654210055919</v>
      </c>
      <c r="F220" s="25" t="n">
        <v>0.3699657908344092</v>
      </c>
      <c r="G220" s="25" t="n">
        <v>0.3835573328042636</v>
      </c>
      <c r="H220" s="25" t="n">
        <v>0.3274697202655919</v>
      </c>
    </row>
    <row r="221">
      <c r="A221" s="36" t="n">
        <v>44417</v>
      </c>
      <c r="B221" s="25" t="n">
        <v>0.360893487722756</v>
      </c>
      <c r="C221" s="25" t="n">
        <v>0.3509627402570275</v>
      </c>
      <c r="D221" s="25" t="n">
        <v>0.400160137965016</v>
      </c>
      <c r="E221" s="25" t="n">
        <v>0.3739602987354082</v>
      </c>
      <c r="F221" s="25" t="n">
        <v>0.3707606384253727</v>
      </c>
      <c r="G221" s="25" t="n">
        <v>0.3828529012352013</v>
      </c>
      <c r="H221" s="25" t="n">
        <v>0.3269652879317607</v>
      </c>
    </row>
    <row r="222">
      <c r="A222" s="36" t="n">
        <v>44418</v>
      </c>
      <c r="B222" s="25" t="n">
        <v>0.3646802803022008</v>
      </c>
      <c r="C222" s="25" t="n">
        <v>0.3534612645189568</v>
      </c>
      <c r="D222" s="25" t="n">
        <v>0.4046452425270995</v>
      </c>
      <c r="E222" s="25" t="n">
        <v>0.3773586456278764</v>
      </c>
      <c r="F222" s="25" t="n">
        <v>0.3749589086127548</v>
      </c>
      <c r="G222" s="25" t="n">
        <v>0.3864473801232802</v>
      </c>
      <c r="H222" s="25" t="n">
        <v>0.3290639381985536</v>
      </c>
    </row>
    <row r="223">
      <c r="A223" s="36" t="n">
        <v>44419</v>
      </c>
      <c r="B223" s="25" t="n">
        <v>0.3661689431472915</v>
      </c>
      <c r="C223" s="25" t="n">
        <v>0.3552598507702897</v>
      </c>
      <c r="D223" s="25" t="n">
        <v>0.4046341663701311</v>
      </c>
      <c r="E223" s="25" t="n">
        <v>0.3780572743491318</v>
      </c>
      <c r="F223" s="25" t="n">
        <v>0.3754575681515445</v>
      </c>
      <c r="G223" s="25" t="n">
        <v>0.3865459408981916</v>
      </c>
      <c r="H223" s="25" t="n">
        <v>0.3302626757934891</v>
      </c>
    </row>
    <row r="224">
      <c r="A224" s="36" t="n">
        <v>44420</v>
      </c>
      <c r="B224" s="25" t="n">
        <v>0.3698554770898342</v>
      </c>
      <c r="C224" s="25" t="n">
        <v>0.3567584596314128</v>
      </c>
      <c r="D224" s="25" t="n">
        <v>0.4066212295396069</v>
      </c>
      <c r="E224" s="25" t="n">
        <v>0.3839552928768568</v>
      </c>
      <c r="F224" s="25" t="n">
        <v>0.378955875000856</v>
      </c>
      <c r="G224" s="25" t="n">
        <v>0.3909394412062502</v>
      </c>
      <c r="H224" s="25" t="n">
        <v>0.3379606484176499</v>
      </c>
    </row>
    <row r="225">
      <c r="A225" s="36" t="n">
        <v>44421</v>
      </c>
      <c r="B225" s="25" t="n">
        <v>0.3611536882441495</v>
      </c>
      <c r="C225" s="25" t="n">
        <v>0.3511579091547246</v>
      </c>
      <c r="D225" s="25" t="n">
        <v>0.4056110578896948</v>
      </c>
      <c r="E225" s="25" t="n">
        <v>0.3774547571352749</v>
      </c>
      <c r="F225" s="25" t="n">
        <v>0.3739551766055438</v>
      </c>
      <c r="G225" s="25" t="n">
        <v>0.387542116335152</v>
      </c>
      <c r="H225" s="25" t="n">
        <v>0.3324601503244474</v>
      </c>
    </row>
    <row r="226">
      <c r="A226" s="36" t="n">
        <v>44425</v>
      </c>
      <c r="B226" s="25" t="n">
        <v>0.3605147924135855</v>
      </c>
      <c r="C226" s="25" t="n">
        <v>0.352652899099093</v>
      </c>
      <c r="D226" s="25" t="n">
        <v>0.3976750868934563</v>
      </c>
      <c r="E226" s="25" t="n">
        <v>0.3774495872126668</v>
      </c>
      <c r="F226" s="25" t="n">
        <v>0.3639513900540681</v>
      </c>
      <c r="G226" s="25" t="n">
        <v>0.3835415889912399</v>
      </c>
      <c r="H226" s="25" t="n">
        <v>0.3269563311749458</v>
      </c>
    </row>
    <row r="227">
      <c r="A227" s="36" t="n">
        <v>44426</v>
      </c>
      <c r="B227" s="25" t="n">
        <v>0.3596059113300493</v>
      </c>
      <c r="C227" s="25" t="n">
        <v>0.3510519106971648</v>
      </c>
      <c r="D227" s="25" t="n">
        <v>0.3995621237000547</v>
      </c>
      <c r="E227" s="25" t="n">
        <v>0.376448431721682</v>
      </c>
      <c r="F227" s="25" t="n">
        <v>0.366549787700315</v>
      </c>
      <c r="G227" s="25" t="n">
        <v>0.3820420728578758</v>
      </c>
      <c r="H227" s="25" t="n">
        <v>0.3317545541706616</v>
      </c>
    </row>
    <row r="228">
      <c r="A228" s="36" t="n">
        <v>44427</v>
      </c>
      <c r="B228" s="25" t="n">
        <v>0.3610943871267891</v>
      </c>
      <c r="C228" s="25" t="n">
        <v>0.3525504980465071</v>
      </c>
      <c r="D228" s="25" t="n">
        <v>0.3995511890752853</v>
      </c>
      <c r="E228" s="25" t="n">
        <v>0.3724477042607031</v>
      </c>
      <c r="F228" s="25" t="n">
        <v>0.3669484764125586</v>
      </c>
      <c r="G228" s="25" t="n">
        <v>0.3786448481448669</v>
      </c>
      <c r="H228" s="25" t="n">
        <v>0.3319533901061837</v>
      </c>
    </row>
    <row r="229">
      <c r="A229" s="36" t="n">
        <v>44428</v>
      </c>
      <c r="B229" s="25" t="n">
        <v>0.3616838158830935</v>
      </c>
      <c r="C229" s="25" t="n">
        <v>0.3526492764739318</v>
      </c>
      <c r="D229" s="25" t="n">
        <v>0.3895517486727601</v>
      </c>
      <c r="E229" s="25" t="n">
        <v>0.3719465008457688</v>
      </c>
      <c r="F229" s="25" t="n">
        <v>0.3659473637353531</v>
      </c>
      <c r="G229" s="25" t="n">
        <v>0.3794425897548162</v>
      </c>
      <c r="H229" s="25" t="n">
        <v>0.3269529725176516</v>
      </c>
    </row>
    <row r="230">
      <c r="A230" s="36" t="n">
        <v>44431</v>
      </c>
      <c r="B230" s="25" t="n">
        <v>0.3640511697906691</v>
      </c>
      <c r="C230" s="25" t="n">
        <v>0.3525456693317811</v>
      </c>
      <c r="D230" s="25" t="n">
        <v>0.399507456560405</v>
      </c>
      <c r="E230" s="25" t="n">
        <v>0.3739423718947422</v>
      </c>
      <c r="F230" s="25" t="n">
        <v>0.369942988238114</v>
      </c>
      <c r="G230" s="25" t="n">
        <v>0.3870294675993227</v>
      </c>
      <c r="H230" s="25" t="n">
        <v>0.3289493057576743</v>
      </c>
    </row>
    <row r="231">
      <c r="A231" s="36" t="n">
        <v>44432</v>
      </c>
      <c r="B231" s="25" t="n">
        <v>0.3665380616209709</v>
      </c>
      <c r="C231" s="25" t="n">
        <v>0.3538442574115037</v>
      </c>
      <c r="D231" s="25" t="n">
        <v>0.4094839380506758</v>
      </c>
      <c r="E231" s="25" t="n">
        <v>0.3774405401888744</v>
      </c>
      <c r="F231" s="25" t="n">
        <v>0.371441485245475</v>
      </c>
      <c r="G231" s="25" t="n">
        <v>0.3954179151445498</v>
      </c>
      <c r="H231" s="25" t="n">
        <v>0.3379467618114954</v>
      </c>
    </row>
    <row r="232">
      <c r="A232" s="36" t="n">
        <v>44433</v>
      </c>
      <c r="B232" s="25" t="n">
        <v>0.3665280323966399</v>
      </c>
      <c r="C232" s="25" t="n">
        <v>0.3536430779977195</v>
      </c>
      <c r="D232" s="25" t="n">
        <v>0.4134675896790434</v>
      </c>
      <c r="E232" s="25" t="n">
        <v>0.3766393765387078</v>
      </c>
      <c r="F232" s="25" t="n">
        <v>0.3714402133903105</v>
      </c>
      <c r="G232" s="25" t="n">
        <v>0.3944177837370065</v>
      </c>
      <c r="H232" s="25" t="n">
        <v>0.3349460874448291</v>
      </c>
    </row>
    <row r="233">
      <c r="A233" s="36" t="n">
        <v>44434</v>
      </c>
      <c r="B233" s="25" t="n">
        <v>0.365319579730765</v>
      </c>
      <c r="C233" s="25" t="n">
        <v>0.3541417849120693</v>
      </c>
      <c r="D233" s="25" t="n">
        <v>0.4164523366531684</v>
      </c>
      <c r="E233" s="25" t="n">
        <v>0.3749383662959513</v>
      </c>
      <c r="F233" s="25" t="n">
        <v>0.3709390237221279</v>
      </c>
      <c r="G233" s="25" t="n">
        <v>0.3925187612447752</v>
      </c>
      <c r="H233" s="25" t="n">
        <v>0.3399441187749959</v>
      </c>
    </row>
    <row r="234">
      <c r="A234" s="36" t="n">
        <v>44435</v>
      </c>
      <c r="B234" s="25" t="n">
        <v>0.3665079755944075</v>
      </c>
      <c r="C234" s="25" t="n">
        <v>0.3562402199630884</v>
      </c>
      <c r="D234" s="25" t="n">
        <v>0.4204355796328217</v>
      </c>
      <c r="E234" s="25" t="n">
        <v>0.377936579135693</v>
      </c>
      <c r="F234" s="25" t="n">
        <v>0.3737372838119631</v>
      </c>
      <c r="G234" s="25" t="n">
        <v>0.3955137348260187</v>
      </c>
      <c r="H234" s="25" t="n">
        <v>0.341242736664053</v>
      </c>
    </row>
    <row r="235">
      <c r="A235" s="36" t="n">
        <v>44438</v>
      </c>
      <c r="B235" s="25" t="n">
        <v>0.37206992777413</v>
      </c>
      <c r="C235" s="25" t="n">
        <v>0.3600358840206538</v>
      </c>
      <c r="D235" s="25" t="n">
        <v>0.4243953819216459</v>
      </c>
      <c r="E235" s="25" t="n">
        <v>0.3839316286140824</v>
      </c>
      <c r="F235" s="25" t="n">
        <v>0.3819319847150508</v>
      </c>
      <c r="G235" s="25" t="n">
        <v>0.4015022472140702</v>
      </c>
      <c r="H235" s="25" t="n">
        <v>0.3499376823305439</v>
      </c>
    </row>
    <row r="236">
      <c r="A236" s="36" t="n">
        <v>44439</v>
      </c>
      <c r="B236" s="25" t="n">
        <v>0.3751552540147183</v>
      </c>
      <c r="C236" s="25" t="n">
        <v>0.3630341068230766</v>
      </c>
      <c r="D236" s="25" t="n">
        <v>0.4203895713074167</v>
      </c>
      <c r="E236" s="25" t="n">
        <v>0.3844302232813908</v>
      </c>
      <c r="F236" s="25" t="n">
        <v>0.383930314018346</v>
      </c>
      <c r="G236" s="25" t="n">
        <v>0.4026993839849776</v>
      </c>
      <c r="H236" s="25" t="n">
        <v>0.349936484131305</v>
      </c>
    </row>
    <row r="237">
      <c r="A237" s="36" t="n">
        <v>44440</v>
      </c>
      <c r="B237" s="25" t="n">
        <v>0.3788395250861739</v>
      </c>
      <c r="C237" s="25" t="n">
        <v>0.3687318098707774</v>
      </c>
      <c r="D237" s="25" t="n">
        <v>0.424372161733326</v>
      </c>
      <c r="E237" s="25" t="n">
        <v>0.3869284447396715</v>
      </c>
      <c r="F237" s="25" t="n">
        <v>0.3859286296369849</v>
      </c>
      <c r="G237" s="25" t="n">
        <v>0.4062935245105416</v>
      </c>
      <c r="H237" s="25" t="n">
        <v>0.3559341765563903</v>
      </c>
    </row>
    <row r="238">
      <c r="A238" s="36" t="n">
        <v>44441</v>
      </c>
      <c r="B238" s="25" t="n">
        <v>0.3834222404595815</v>
      </c>
      <c r="C238" s="25" t="n">
        <v>0.3745294550683946</v>
      </c>
      <c r="D238" s="25" t="n">
        <v>0.4333470113527561</v>
      </c>
      <c r="E238" s="25" t="n">
        <v>0.3939258016469501</v>
      </c>
      <c r="F238" s="25" t="n">
        <v>0.3919261782883361</v>
      </c>
      <c r="G238" s="25" t="n">
        <v>0.4089887640449438</v>
      </c>
      <c r="H238" s="25" t="n">
        <v>0.3579325811918987</v>
      </c>
    </row>
    <row r="239">
      <c r="A239" s="36" t="n">
        <v>44442</v>
      </c>
      <c r="B239" s="25" t="n">
        <v>0.3844102199365357</v>
      </c>
      <c r="C239" s="25" t="n">
        <v>0.3761278658887336</v>
      </c>
      <c r="D239" s="25" t="n">
        <v>0.421852773826458</v>
      </c>
      <c r="E239" s="25" t="n">
        <v>0.3924247404607336</v>
      </c>
      <c r="F239" s="25" t="n">
        <v>0.3924247404607336</v>
      </c>
      <c r="G239" s="25" t="n">
        <v>0.408687740708564</v>
      </c>
      <c r="H239" s="25" t="n">
        <v>0.3569315473744761</v>
      </c>
    </row>
    <row r="240">
      <c r="A240" s="36" t="n">
        <v>44445</v>
      </c>
      <c r="B240" s="25" t="n">
        <v>0.3853770617358243</v>
      </c>
      <c r="C240" s="25" t="n">
        <v>0.3775237195224252</v>
      </c>
      <c r="D240" s="25" t="n">
        <v>0.4268100878032769</v>
      </c>
      <c r="E240" s="25" t="n">
        <v>0.3959200024652553</v>
      </c>
      <c r="F240" s="25" t="n">
        <v>0.3934205075001969</v>
      </c>
      <c r="G240" s="25" t="n">
        <v>0.4133776152738491</v>
      </c>
      <c r="H240" s="25" t="n">
        <v>0.3594273759754023</v>
      </c>
    </row>
    <row r="241">
      <c r="A241" s="36" t="n">
        <v>44446</v>
      </c>
      <c r="B241" s="25" t="n">
        <v>0.3893599562363239</v>
      </c>
      <c r="C241" s="25" t="n">
        <v>0.3784222420050675</v>
      </c>
      <c r="D241" s="25" t="n">
        <v>0.4292943107221007</v>
      </c>
      <c r="E241" s="25" t="n">
        <v>0.3969184414161474</v>
      </c>
      <c r="F241" s="25" t="n">
        <v>0.3939190577278641</v>
      </c>
      <c r="G241" s="25" t="n">
        <v>0.4116783527721722</v>
      </c>
      <c r="H241" s="25" t="n">
        <v>0.3634253235636513</v>
      </c>
    </row>
    <row r="242">
      <c r="A242" s="36" t="n">
        <v>44447</v>
      </c>
      <c r="B242" s="25" t="n">
        <v>0.3873526435272558</v>
      </c>
      <c r="C242" s="25" t="n">
        <v>0.3778210716254481</v>
      </c>
      <c r="D242" s="25" t="n">
        <v>0.4242909110801127</v>
      </c>
      <c r="E242" s="25" t="n">
        <v>0.3914182311229503</v>
      </c>
      <c r="F242" s="25" t="n">
        <v>0.3904184399834281</v>
      </c>
      <c r="G242" s="25" t="n">
        <v>0.4029879844444216</v>
      </c>
      <c r="H242" s="25" t="n">
        <v>0.3586250817466214</v>
      </c>
    </row>
    <row r="243">
      <c r="A243" s="36" t="n">
        <v>44448</v>
      </c>
      <c r="B243" s="25" t="n">
        <v>0.3863437448717248</v>
      </c>
      <c r="C243" s="25" t="n">
        <v>0.3773198841341907</v>
      </c>
      <c r="D243" s="25" t="n">
        <v>0.416792024506318</v>
      </c>
      <c r="E243" s="25" t="n">
        <v>0.3889174216433497</v>
      </c>
      <c r="F243" s="25" t="n">
        <v>0.3879176339270429</v>
      </c>
      <c r="G243" s="25" t="n">
        <v>0.4004897869837057</v>
      </c>
      <c r="H243" s="25" t="n">
        <v>0.3559244270052249</v>
      </c>
    </row>
    <row r="244">
      <c r="A244" s="36" t="n">
        <v>44449</v>
      </c>
      <c r="B244" s="25" t="n">
        <v>0.3883297322429778</v>
      </c>
      <c r="C244" s="25" t="n">
        <v>0.3767187216456723</v>
      </c>
      <c r="D244" s="25" t="n">
        <v>0.4167806252222192</v>
      </c>
      <c r="E244" s="25" t="n">
        <v>0.3859167371423289</v>
      </c>
      <c r="F244" s="25" t="n">
        <v>0.3894159821682309</v>
      </c>
      <c r="G244" s="25" t="n">
        <v>0.3944960717986955</v>
      </c>
      <c r="H244" s="25" t="n">
        <v>0.3450255595539318</v>
      </c>
    </row>
    <row r="245">
      <c r="A245" s="36" t="n">
        <v>44452</v>
      </c>
      <c r="B245" s="25" t="n">
        <v>0.395285237652464</v>
      </c>
      <c r="C245" s="25" t="n">
        <v>0.3842131573000623</v>
      </c>
      <c r="D245" s="25" t="n">
        <v>0.4332166493463873</v>
      </c>
      <c r="E245" s="25" t="n">
        <v>0.3964104003889531</v>
      </c>
      <c r="F245" s="25" t="n">
        <v>0.3949107393534338</v>
      </c>
      <c r="G245" s="25" t="n">
        <v>0.4151654034530878</v>
      </c>
      <c r="H245" s="25" t="n">
        <v>0.3560195298322982</v>
      </c>
    </row>
    <row r="246">
      <c r="A246" s="36" t="n">
        <v>44453</v>
      </c>
      <c r="B246" s="25" t="n">
        <v>0.3927790083955479</v>
      </c>
      <c r="C246" s="25" t="n">
        <v>0.3826122088424916</v>
      </c>
      <c r="D246" s="25" t="n">
        <v>0.4292121311565072</v>
      </c>
      <c r="E246" s="25" t="n">
        <v>0.3939096166290611</v>
      </c>
      <c r="F246" s="25" t="n">
        <v>0.3939096166290611</v>
      </c>
      <c r="G246" s="25" t="n">
        <v>0.4104700438132959</v>
      </c>
      <c r="H246" s="25" t="n">
        <v>0.3561182879270852</v>
      </c>
    </row>
    <row r="247">
      <c r="A247" s="36" t="n">
        <v>44454</v>
      </c>
      <c r="B247" s="25" t="n">
        <v>0.3972598993655655</v>
      </c>
      <c r="C247" s="25" t="n">
        <v>0.3815111549365216</v>
      </c>
      <c r="D247" s="25" t="n">
        <v>0.4341910960402538</v>
      </c>
      <c r="E247" s="25" t="n">
        <v>0.3944081515263569</v>
      </c>
      <c r="F247" s="25" t="n">
        <v>0.3929085007600969</v>
      </c>
      <c r="G247" s="25" t="n">
        <v>0.4135646320858614</v>
      </c>
      <c r="H247" s="25" t="n">
        <v>0.3559171151923525</v>
      </c>
    </row>
    <row r="248">
      <c r="A248" s="36" t="inlineStr">
        <is>
          <t>Total general</t>
        </is>
      </c>
      <c r="B248" s="25" t="n">
        <v>97.12785568412114</v>
      </c>
      <c r="C248" s="25" t="n">
        <v>92.17626858908407</v>
      </c>
      <c r="D248" s="25" t="n">
        <v>104.0487895368294</v>
      </c>
      <c r="E248" s="25" t="n">
        <v>90.60354984658808</v>
      </c>
      <c r="F248" s="25" t="n">
        <v>86.59794541075829</v>
      </c>
      <c r="G248" s="25" t="n">
        <v>62.62429961604835</v>
      </c>
      <c r="H248" s="25" t="n">
        <v>83.8779358354609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Hoja2">
    <outlinePr summaryBelow="1" summaryRight="1"/>
    <pageSetUpPr/>
  </sheetPr>
  <dimension ref="A1:B247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inlineStr">
        <is>
          <t>16/09/2021</t>
        </is>
      </c>
      <c r="B2" s="25" t="n">
        <v>0.03678138343555937</v>
      </c>
    </row>
    <row r="3">
      <c r="A3" s="36" t="inlineStr">
        <is>
          <t>17/09/2021</t>
        </is>
      </c>
      <c r="B3" s="25" t="n">
        <v>0.04276118053329447</v>
      </c>
    </row>
    <row r="4">
      <c r="A4" s="36" t="n">
        <v>44090</v>
      </c>
      <c r="B4" s="25" t="n">
        <v>0.1037536668292869</v>
      </c>
    </row>
    <row r="5">
      <c r="A5" s="36" t="n">
        <v>44091</v>
      </c>
      <c r="B5" s="25" t="n">
        <v>0.08360735854928097</v>
      </c>
    </row>
    <row r="6">
      <c r="A6" s="36" t="n">
        <v>44092</v>
      </c>
      <c r="B6" s="25" t="n">
        <v>0.08803109178628055</v>
      </c>
    </row>
    <row r="7">
      <c r="A7" s="36" t="n">
        <v>44095</v>
      </c>
      <c r="B7" s="25" t="n">
        <v>0.08739217587802117</v>
      </c>
    </row>
    <row r="8">
      <c r="A8" s="36" t="n">
        <v>44096</v>
      </c>
      <c r="B8" s="25" t="n">
        <v>0.09588886644854122</v>
      </c>
    </row>
    <row r="9">
      <c r="A9" s="36" t="n">
        <v>44097</v>
      </c>
      <c r="B9" s="25" t="n">
        <v>0.08887713373993383</v>
      </c>
    </row>
    <row r="10">
      <c r="A10" s="36" t="n">
        <v>44098</v>
      </c>
      <c r="B10" s="25" t="n">
        <v>0.08691213268996034</v>
      </c>
    </row>
    <row r="11">
      <c r="A11" s="36" t="n">
        <v>44099</v>
      </c>
      <c r="B11" s="25" t="n">
        <v>0.08341062124376908</v>
      </c>
    </row>
    <row r="12">
      <c r="A12" s="36" t="n">
        <v>44102</v>
      </c>
      <c r="B12" s="25" t="n">
        <v>0.09140305558859357</v>
      </c>
    </row>
    <row r="13">
      <c r="A13" s="36" t="n">
        <v>44103</v>
      </c>
      <c r="B13" s="25" t="n">
        <v>0.08793292056361246</v>
      </c>
    </row>
    <row r="14">
      <c r="A14" s="36" t="n">
        <v>44104</v>
      </c>
      <c r="B14" s="25" t="n">
        <v>0.09215238070609372</v>
      </c>
    </row>
    <row r="15">
      <c r="A15" s="36" t="n">
        <v>44105</v>
      </c>
      <c r="B15" s="25" t="n">
        <v>0.08856546322429149</v>
      </c>
    </row>
    <row r="16">
      <c r="A16" s="36" t="n">
        <v>44106</v>
      </c>
      <c r="B16" s="25" t="n">
        <v>0.0764741596576462</v>
      </c>
    </row>
    <row r="17">
      <c r="A17" s="36" t="n">
        <v>44109</v>
      </c>
      <c r="B17" s="25" t="n">
        <v>0.08319001896639827</v>
      </c>
    </row>
    <row r="18">
      <c r="A18" s="36" t="n">
        <v>44110</v>
      </c>
      <c r="B18" s="25" t="n">
        <v>0.07934842149918264</v>
      </c>
    </row>
    <row r="19">
      <c r="A19" s="36" t="n">
        <v>44111</v>
      </c>
      <c r="B19" s="25" t="n">
        <v>0.08124499323737744</v>
      </c>
    </row>
    <row r="20">
      <c r="A20" s="36" t="n">
        <v>44112</v>
      </c>
      <c r="B20" s="25" t="n">
        <v>0.09581626999849963</v>
      </c>
    </row>
    <row r="21">
      <c r="A21" s="36" t="n">
        <v>44113</v>
      </c>
      <c r="B21" s="25" t="n">
        <v>0.09429276295580102</v>
      </c>
    </row>
    <row r="22">
      <c r="A22" s="36" t="n">
        <v>44117</v>
      </c>
      <c r="B22" s="25" t="n">
        <v>0.09473157996709552</v>
      </c>
    </row>
    <row r="23">
      <c r="A23" s="36" t="n">
        <v>44118</v>
      </c>
      <c r="B23" s="25" t="n">
        <v>0.1052291149224613</v>
      </c>
    </row>
    <row r="24">
      <c r="A24" s="36" t="n">
        <v>44119</v>
      </c>
      <c r="B24" s="25" t="n">
        <v>0.1026895694175374</v>
      </c>
    </row>
    <row r="25">
      <c r="A25" s="36" t="n">
        <v>44120</v>
      </c>
      <c r="B25" s="25" t="n">
        <v>0.115123929856068</v>
      </c>
    </row>
    <row r="26">
      <c r="A26" s="36" t="n">
        <v>44123</v>
      </c>
      <c r="B26" s="25" t="n">
        <v>0.09595052072733445</v>
      </c>
    </row>
    <row r="27">
      <c r="A27" s="36" t="n">
        <v>44124</v>
      </c>
      <c r="B27" s="25" t="n">
        <v>0.09990481391945577</v>
      </c>
    </row>
    <row r="28">
      <c r="A28" s="36" t="n">
        <v>44125</v>
      </c>
      <c r="B28" s="25" t="n">
        <v>0.1063868394971224</v>
      </c>
    </row>
    <row r="29">
      <c r="A29" s="36" t="n">
        <v>44126</v>
      </c>
      <c r="B29" s="25" t="n">
        <v>0.1371353518532559</v>
      </c>
    </row>
    <row r="30">
      <c r="A30" s="36" t="n">
        <v>44127</v>
      </c>
      <c r="B30" s="25" t="n">
        <v>0.151698660204576</v>
      </c>
    </row>
    <row r="31">
      <c r="A31" s="36" t="n">
        <v>44130</v>
      </c>
      <c r="B31" s="25" t="n">
        <v>0.1390266430213404</v>
      </c>
    </row>
    <row r="32">
      <c r="A32" s="36" t="n">
        <v>44131</v>
      </c>
      <c r="B32" s="25" t="n">
        <v>0.1128687765951621</v>
      </c>
    </row>
    <row r="33">
      <c r="A33" s="36" t="n">
        <v>44132</v>
      </c>
      <c r="B33" s="25" t="n">
        <v>0.1451694988987826</v>
      </c>
    </row>
    <row r="34">
      <c r="A34" s="36" t="n">
        <v>44133</v>
      </c>
      <c r="B34" s="25" t="n">
        <v>0.1334677983500155</v>
      </c>
    </row>
    <row r="35">
      <c r="A35" s="36" t="n">
        <v>44134</v>
      </c>
      <c r="B35" s="25" t="n">
        <v>0.1329433707715701</v>
      </c>
    </row>
    <row r="36">
      <c r="A36" s="36" t="n">
        <v>44137</v>
      </c>
      <c r="B36" s="25" t="n">
        <v>0.1150925072120124</v>
      </c>
    </row>
    <row r="37">
      <c r="A37" s="36" t="n">
        <v>44138</v>
      </c>
      <c r="B37" s="25" t="n">
        <v>0.110172849846154</v>
      </c>
    </row>
    <row r="38">
      <c r="A38" s="36" t="n">
        <v>44139</v>
      </c>
      <c r="B38" s="25" t="n">
        <v>0.1173087664680334</v>
      </c>
    </row>
    <row r="39">
      <c r="A39" s="36" t="n">
        <v>44140</v>
      </c>
      <c r="B39" s="25" t="n">
        <v>0.1217634147943457</v>
      </c>
    </row>
    <row r="40">
      <c r="A40" s="36" t="n">
        <v>44141</v>
      </c>
      <c r="B40" s="25" t="n">
        <v>0.1128910379694901</v>
      </c>
    </row>
    <row r="41">
      <c r="A41" s="36" t="n">
        <v>44144</v>
      </c>
      <c r="B41" s="25" t="n">
        <v>0.1152819835307431</v>
      </c>
    </row>
    <row r="42">
      <c r="A42" s="36" t="n">
        <v>44145</v>
      </c>
      <c r="B42" s="25" t="n">
        <v>0.1156992557468683</v>
      </c>
    </row>
    <row r="43">
      <c r="A43" s="36" t="n">
        <v>44146</v>
      </c>
      <c r="B43" s="25" t="n">
        <v>0.1108667990721734</v>
      </c>
    </row>
    <row r="44">
      <c r="A44" s="36" t="n">
        <v>44147</v>
      </c>
      <c r="B44" s="25" t="n">
        <v>0.1087563534832835</v>
      </c>
    </row>
    <row r="45">
      <c r="A45" s="36" t="n">
        <v>44148</v>
      </c>
      <c r="B45" s="25" t="n">
        <v>0.1063427801463448</v>
      </c>
    </row>
    <row r="46">
      <c r="A46" s="36" t="n">
        <v>44151</v>
      </c>
      <c r="B46" s="25" t="n">
        <v>0.1009900743420118</v>
      </c>
    </row>
    <row r="47">
      <c r="A47" s="36" t="n">
        <v>44152</v>
      </c>
      <c r="B47" s="25" t="n">
        <v>0.1016615917918302</v>
      </c>
    </row>
    <row r="48">
      <c r="A48" s="36" t="n">
        <v>44153</v>
      </c>
      <c r="B48" s="25" t="n">
        <v>0.09107424048360802</v>
      </c>
    </row>
    <row r="49">
      <c r="A49" s="36" t="n">
        <v>44154</v>
      </c>
      <c r="B49" s="25" t="n">
        <v>0.09506629533229355</v>
      </c>
    </row>
    <row r="50">
      <c r="A50" s="36" t="n">
        <v>44155</v>
      </c>
      <c r="B50" s="25" t="n">
        <v>0.09062434391497998</v>
      </c>
    </row>
    <row r="51">
      <c r="A51" s="36" t="n">
        <v>44159</v>
      </c>
      <c r="B51" s="25" t="n">
        <v>0.09560066263424277</v>
      </c>
    </row>
    <row r="52">
      <c r="A52" s="36" t="n">
        <v>44160</v>
      </c>
      <c r="B52" s="25" t="n">
        <v>0.09853796174996937</v>
      </c>
    </row>
    <row r="53">
      <c r="A53" s="36" t="n">
        <v>44161</v>
      </c>
      <c r="B53" s="25" t="n">
        <v>0.1045282525070977</v>
      </c>
    </row>
    <row r="54">
      <c r="A54" s="36" t="n">
        <v>44162</v>
      </c>
      <c r="B54" s="25" t="n">
        <v>0.1035161722642554</v>
      </c>
    </row>
    <row r="55">
      <c r="A55" s="36" t="n">
        <v>44165</v>
      </c>
      <c r="B55" s="25" t="n">
        <v>0.0940249872738031</v>
      </c>
    </row>
    <row r="56">
      <c r="A56" s="36" t="n">
        <v>44166</v>
      </c>
      <c r="B56" s="25" t="n">
        <v>0.09862059591196426</v>
      </c>
    </row>
    <row r="57">
      <c r="A57" s="36" t="n">
        <v>44167</v>
      </c>
      <c r="B57" s="25" t="n">
        <v>0.09539549027968158</v>
      </c>
    </row>
    <row r="58">
      <c r="A58" s="36" t="n">
        <v>44168</v>
      </c>
      <c r="B58" s="25" t="n">
        <v>0.09538447998811805</v>
      </c>
    </row>
    <row r="59">
      <c r="A59" s="36" t="n">
        <v>44169</v>
      </c>
      <c r="B59" s="25" t="n">
        <v>0.09465723859163805</v>
      </c>
    </row>
    <row r="60">
      <c r="A60" s="36" t="n">
        <v>44174</v>
      </c>
      <c r="B60" s="25" t="n">
        <v>0.09259089250617775</v>
      </c>
    </row>
    <row r="61">
      <c r="A61" s="36" t="n">
        <v>44175</v>
      </c>
      <c r="B61" s="25" t="n">
        <v>0.08977799281279902</v>
      </c>
    </row>
    <row r="62">
      <c r="A62" s="36" t="n">
        <v>44176</v>
      </c>
      <c r="B62" s="25" t="n">
        <v>0.08997689941120446</v>
      </c>
    </row>
    <row r="63">
      <c r="A63" s="36" t="n">
        <v>44179</v>
      </c>
      <c r="B63" s="25" t="n">
        <v>0.0972798119468774</v>
      </c>
    </row>
    <row r="64">
      <c r="A64" s="36" t="n">
        <v>44180</v>
      </c>
      <c r="B64" s="25" t="n">
        <v>0.09324602644654589</v>
      </c>
    </row>
    <row r="65">
      <c r="A65" s="36" t="n">
        <v>44181</v>
      </c>
      <c r="B65" s="25" t="n">
        <v>0.08901133364937008</v>
      </c>
    </row>
    <row r="66">
      <c r="A66" s="36" t="n">
        <v>44182</v>
      </c>
      <c r="B66" s="25" t="n">
        <v>0.08639817031707381</v>
      </c>
    </row>
    <row r="67">
      <c r="A67" s="36" t="n">
        <v>44183</v>
      </c>
      <c r="B67" s="25" t="n">
        <v>0.08218587604987404</v>
      </c>
    </row>
    <row r="68">
      <c r="A68" s="36" t="n">
        <v>44186</v>
      </c>
      <c r="B68" s="25" t="n">
        <v>0.09050151902223691</v>
      </c>
    </row>
    <row r="69">
      <c r="A69" s="36" t="n">
        <v>44187</v>
      </c>
      <c r="B69" s="25" t="n">
        <v>0.07774002444882222</v>
      </c>
    </row>
    <row r="70">
      <c r="A70" s="36" t="n">
        <v>44188</v>
      </c>
      <c r="B70" s="25" t="n">
        <v>0.0851576281750549</v>
      </c>
    </row>
    <row r="71">
      <c r="A71" s="36" t="n">
        <v>44193</v>
      </c>
      <c r="B71" s="25" t="n">
        <v>0.0851028245102507</v>
      </c>
    </row>
    <row r="72">
      <c r="A72" s="36" t="n">
        <v>44194</v>
      </c>
      <c r="B72" s="25" t="n">
        <v>0.09243278389035348</v>
      </c>
    </row>
    <row r="73">
      <c r="A73" s="36" t="n">
        <v>44195</v>
      </c>
      <c r="B73" s="25" t="n">
        <v>0.09212694224222134</v>
      </c>
    </row>
    <row r="74">
      <c r="A74" s="36" t="n">
        <v>44200</v>
      </c>
      <c r="B74" s="25" t="n">
        <v>0.08508627801917579</v>
      </c>
    </row>
    <row r="75">
      <c r="A75" s="36" t="n">
        <v>44201</v>
      </c>
      <c r="B75" s="25" t="n">
        <v>0.0849616489018063</v>
      </c>
    </row>
    <row r="76">
      <c r="A76" s="36" t="n">
        <v>44202</v>
      </c>
      <c r="B76" s="25" t="n">
        <v>0.09450355558277984</v>
      </c>
    </row>
    <row r="77">
      <c r="A77" s="36" t="n">
        <v>44203</v>
      </c>
      <c r="B77" s="25" t="n">
        <v>0.08344820764964683</v>
      </c>
    </row>
    <row r="78">
      <c r="A78" s="36" t="n">
        <v>44204</v>
      </c>
      <c r="B78" s="25" t="n">
        <v>0.08593906230743809</v>
      </c>
    </row>
    <row r="79">
      <c r="A79" s="36" t="n">
        <v>44207</v>
      </c>
      <c r="B79" s="25" t="n">
        <v>0.0879124685415219</v>
      </c>
    </row>
    <row r="80">
      <c r="A80" s="36" t="n">
        <v>44208</v>
      </c>
      <c r="B80" s="25" t="n">
        <v>0.08499609645634937</v>
      </c>
    </row>
    <row r="81">
      <c r="A81" s="36" t="n">
        <v>44209</v>
      </c>
      <c r="B81" s="25" t="n">
        <v>0.08134864578373513</v>
      </c>
    </row>
    <row r="82">
      <c r="A82" s="36" t="n">
        <v>44210</v>
      </c>
      <c r="B82" s="25" t="n">
        <v>0.08041469531796785</v>
      </c>
    </row>
    <row r="83">
      <c r="A83" s="36" t="n">
        <v>44211</v>
      </c>
      <c r="B83" s="25" t="n">
        <v>0.08532160940574451</v>
      </c>
    </row>
    <row r="84">
      <c r="A84" s="36" t="n">
        <v>44214</v>
      </c>
      <c r="B84" s="25" t="n">
        <v>0.08378933554260892</v>
      </c>
    </row>
    <row r="85">
      <c r="A85" s="36" t="n">
        <v>44215</v>
      </c>
      <c r="B85" s="25" t="n">
        <v>0.0943303625262939</v>
      </c>
    </row>
    <row r="86">
      <c r="A86" s="36" t="n">
        <v>44216</v>
      </c>
      <c r="B86" s="25" t="n">
        <v>0.09180872485149028</v>
      </c>
    </row>
    <row r="87">
      <c r="A87" s="36" t="n">
        <v>44217</v>
      </c>
      <c r="B87" s="25" t="n">
        <v>0.09830912587065621</v>
      </c>
    </row>
    <row r="88">
      <c r="A88" s="36" t="n">
        <v>44218</v>
      </c>
      <c r="B88" s="25" t="n">
        <v>0.09981744793290204</v>
      </c>
    </row>
    <row r="89">
      <c r="A89" s="36" t="n">
        <v>44221</v>
      </c>
      <c r="B89" s="25" t="n">
        <v>0.09947949434349029</v>
      </c>
    </row>
    <row r="90">
      <c r="A90" s="36" t="n">
        <v>44222</v>
      </c>
      <c r="B90" s="25" t="n">
        <v>0.09725872675685721</v>
      </c>
    </row>
    <row r="91">
      <c r="A91" s="36" t="n">
        <v>44223</v>
      </c>
      <c r="B91" s="25" t="n">
        <v>0.09283960176778733</v>
      </c>
    </row>
    <row r="92">
      <c r="A92" s="36" t="n">
        <v>44224</v>
      </c>
      <c r="B92" s="25" t="n">
        <v>0.09472993194746804</v>
      </c>
    </row>
    <row r="93">
      <c r="A93" s="36" t="n">
        <v>44225</v>
      </c>
      <c r="B93" s="25" t="n">
        <v>0.0968203600800846</v>
      </c>
    </row>
    <row r="94">
      <c r="A94" s="36" t="n">
        <v>44228</v>
      </c>
      <c r="B94" s="25" t="n">
        <v>0.09568755568196857</v>
      </c>
    </row>
    <row r="95">
      <c r="A95" s="36" t="n">
        <v>44229</v>
      </c>
      <c r="B95" s="25" t="n">
        <v>0.09366629355663042</v>
      </c>
    </row>
    <row r="96">
      <c r="A96" s="36" t="n">
        <v>44230</v>
      </c>
      <c r="B96" s="25" t="n">
        <v>0.09063523782118943</v>
      </c>
    </row>
    <row r="97">
      <c r="A97" s="36" t="n">
        <v>44231</v>
      </c>
      <c r="B97" s="25" t="n">
        <v>0.09224422423248929</v>
      </c>
    </row>
    <row r="98">
      <c r="A98" s="36" t="n">
        <v>44232</v>
      </c>
      <c r="B98" s="25" t="n">
        <v>0.09936587582388284</v>
      </c>
    </row>
    <row r="99">
      <c r="A99" s="36" t="n">
        <v>44235</v>
      </c>
      <c r="B99" s="25" t="n">
        <v>0.09581691827586253</v>
      </c>
    </row>
    <row r="100">
      <c r="A100" s="36" t="n">
        <v>44236</v>
      </c>
      <c r="B100" s="25" t="n">
        <v>0.09279305968965706</v>
      </c>
    </row>
    <row r="101">
      <c r="A101" s="36" t="n">
        <v>44237</v>
      </c>
      <c r="B101" s="25" t="n">
        <v>0.09528366795466603</v>
      </c>
    </row>
    <row r="102">
      <c r="A102" s="36" t="n">
        <v>44238</v>
      </c>
      <c r="B102" s="25" t="n">
        <v>0.09196240801353128</v>
      </c>
    </row>
    <row r="103">
      <c r="A103" s="36" t="n">
        <v>44239</v>
      </c>
      <c r="B103" s="25" t="n">
        <v>0.09957864243375125</v>
      </c>
    </row>
    <row r="104">
      <c r="A104" s="36" t="n">
        <v>44244</v>
      </c>
      <c r="B104" s="25" t="n">
        <v>0.09699614895194347</v>
      </c>
    </row>
    <row r="105">
      <c r="A105" s="36" t="n">
        <v>44245</v>
      </c>
      <c r="B105" s="25" t="n">
        <v>0.09487776371116868</v>
      </c>
    </row>
    <row r="106">
      <c r="A106" s="36" t="n">
        <v>44246</v>
      </c>
      <c r="B106" s="25" t="n">
        <v>0.09356695245177227</v>
      </c>
    </row>
    <row r="107">
      <c r="A107" s="36" t="n">
        <v>44249</v>
      </c>
      <c r="B107" s="25" t="n">
        <v>0.09804376694746908</v>
      </c>
    </row>
    <row r="108">
      <c r="A108" s="36" t="n">
        <v>44250</v>
      </c>
      <c r="B108" s="25" t="n">
        <v>0.09201074564097433</v>
      </c>
    </row>
    <row r="109">
      <c r="A109" s="36" t="n">
        <v>44251</v>
      </c>
      <c r="B109" s="25" t="n">
        <v>0.0853875281211911</v>
      </c>
    </row>
    <row r="110">
      <c r="A110" s="36" t="n">
        <v>44252</v>
      </c>
      <c r="B110" s="25" t="n">
        <v>0.08939517329268515</v>
      </c>
    </row>
    <row r="111">
      <c r="A111" s="36" t="n">
        <v>44253</v>
      </c>
      <c r="B111" s="25" t="n">
        <v>0.08536688971101586</v>
      </c>
    </row>
    <row r="112">
      <c r="A112" s="36" t="n">
        <v>44256</v>
      </c>
      <c r="B112" s="25" t="n">
        <v>0.0843354913575361</v>
      </c>
    </row>
    <row r="113">
      <c r="A113" s="36" t="n">
        <v>44257</v>
      </c>
      <c r="B113" s="25" t="n">
        <v>0.08881164324313545</v>
      </c>
    </row>
    <row r="114">
      <c r="A114" s="36" t="n">
        <v>44258</v>
      </c>
      <c r="B114" s="25" t="n">
        <v>0.08839355925497072</v>
      </c>
    </row>
    <row r="115">
      <c r="A115" s="36" t="n">
        <v>44259</v>
      </c>
      <c r="B115" s="25" t="n">
        <v>0.08227006276502941</v>
      </c>
    </row>
    <row r="116">
      <c r="A116" s="36" t="n">
        <v>44260</v>
      </c>
      <c r="B116" s="25" t="n">
        <v>0.06359438070815382</v>
      </c>
    </row>
    <row r="117">
      <c r="A117" s="36" t="n">
        <v>44263</v>
      </c>
      <c r="B117" s="25" t="n">
        <v>0.07921088911602886</v>
      </c>
    </row>
    <row r="118">
      <c r="A118" s="36" t="n">
        <v>44264</v>
      </c>
      <c r="B118" s="25" t="n">
        <v>0.0643507867219314</v>
      </c>
    </row>
    <row r="119">
      <c r="A119" s="36" t="n">
        <v>44265</v>
      </c>
      <c r="B119" s="25" t="n">
        <v>0.05690040175835143</v>
      </c>
    </row>
    <row r="120">
      <c r="A120" s="36" t="n">
        <v>44266</v>
      </c>
      <c r="B120" s="25" t="n">
        <v>0.05809754255233635</v>
      </c>
    </row>
    <row r="121">
      <c r="A121" s="36" t="n">
        <v>44267</v>
      </c>
      <c r="B121" s="25" t="n">
        <v>0.05410391198252645</v>
      </c>
    </row>
    <row r="122">
      <c r="A122" s="36" t="n">
        <v>44270</v>
      </c>
      <c r="B122" s="25" t="n">
        <v>0.05360090267814854</v>
      </c>
    </row>
    <row r="123">
      <c r="A123" s="36" t="n">
        <v>44271</v>
      </c>
      <c r="B123" s="25" t="n">
        <v>0.06613199367097855</v>
      </c>
    </row>
    <row r="124">
      <c r="A124" s="36" t="n">
        <v>44272</v>
      </c>
      <c r="B124" s="25" t="n">
        <v>0.06211671449354922</v>
      </c>
    </row>
    <row r="125">
      <c r="A125" s="36" t="n">
        <v>44273</v>
      </c>
      <c r="B125" s="25" t="n">
        <v>0.05950424761341677</v>
      </c>
    </row>
    <row r="126">
      <c r="A126" s="36" t="n">
        <v>44274</v>
      </c>
      <c r="B126" s="25" t="n">
        <v>0.05458744309075897</v>
      </c>
    </row>
    <row r="127">
      <c r="A127" s="36" t="n">
        <v>44277</v>
      </c>
      <c r="B127" s="25" t="n">
        <v>0.05256795909809758</v>
      </c>
    </row>
    <row r="128">
      <c r="A128" s="36" t="n">
        <v>44278</v>
      </c>
      <c r="B128" s="25" t="n">
        <v>0.04855664913052143</v>
      </c>
    </row>
    <row r="129">
      <c r="A129" s="36" t="n">
        <v>44280</v>
      </c>
      <c r="B129" s="25" t="n">
        <v>0.04310471929121917</v>
      </c>
    </row>
    <row r="130">
      <c r="A130" s="36" t="n">
        <v>44281</v>
      </c>
      <c r="B130" s="25" t="n">
        <v>0.0485044762982611</v>
      </c>
    </row>
    <row r="131">
      <c r="A131" s="36" t="n">
        <v>44284</v>
      </c>
      <c r="B131" s="25" t="n">
        <v>0.04404986651176568</v>
      </c>
    </row>
    <row r="132">
      <c r="A132" s="36" t="n">
        <v>44285</v>
      </c>
      <c r="B132" s="25" t="n">
        <v>0.04293990195224084</v>
      </c>
    </row>
    <row r="133">
      <c r="A133" s="36" t="n">
        <v>44286</v>
      </c>
      <c r="B133" s="25" t="n">
        <v>0.05395237107017686</v>
      </c>
    </row>
    <row r="134">
      <c r="A134" s="36" t="n">
        <v>44291</v>
      </c>
      <c r="B134" s="25" t="n">
        <v>0.05680533052018211</v>
      </c>
    </row>
    <row r="135">
      <c r="A135" s="36" t="n">
        <v>44292</v>
      </c>
      <c r="B135" s="25" t="n">
        <v>0.05789296381002645</v>
      </c>
    </row>
    <row r="136">
      <c r="A136" s="36" t="n">
        <v>44293</v>
      </c>
      <c r="B136" s="25" t="n">
        <v>0.04786236458130511</v>
      </c>
    </row>
    <row r="137">
      <c r="A137" s="36" t="n">
        <v>44294</v>
      </c>
      <c r="B137" s="25" t="n">
        <v>0.04494352608776686</v>
      </c>
    </row>
    <row r="138">
      <c r="A138" s="36" t="n">
        <v>44295</v>
      </c>
      <c r="B138" s="25" t="n">
        <v>0.04724073680005542</v>
      </c>
    </row>
    <row r="139">
      <c r="A139" s="36" t="n">
        <v>44298</v>
      </c>
      <c r="B139" s="25" t="n">
        <v>0.05183188993131721</v>
      </c>
    </row>
    <row r="140">
      <c r="A140" s="36" t="n">
        <v>44299</v>
      </c>
      <c r="B140" s="25" t="n">
        <v>0.06485347198599117</v>
      </c>
    </row>
    <row r="141">
      <c r="A141" s="36" t="n">
        <v>44300</v>
      </c>
      <c r="B141" s="25" t="n">
        <v>0.05802716324074081</v>
      </c>
    </row>
    <row r="142">
      <c r="A142" s="36" t="n">
        <v>44301</v>
      </c>
      <c r="B142" s="25" t="n">
        <v>0.05981395835017672</v>
      </c>
    </row>
    <row r="143">
      <c r="A143" s="36" t="n">
        <v>44302</v>
      </c>
      <c r="B143" s="25" t="n">
        <v>0.05840213810408684</v>
      </c>
    </row>
    <row r="144">
      <c r="A144" s="36" t="n">
        <v>44305</v>
      </c>
      <c r="B144" s="25" t="n">
        <v>0.06238231642204339</v>
      </c>
    </row>
    <row r="145">
      <c r="A145" s="36" t="n">
        <v>44306</v>
      </c>
      <c r="B145" s="25" t="n">
        <v>0.06427392450580749</v>
      </c>
    </row>
    <row r="146">
      <c r="A146" s="36" t="n">
        <v>44307</v>
      </c>
      <c r="B146" s="25" t="n">
        <v>0.06075663554561828</v>
      </c>
    </row>
    <row r="147">
      <c r="A147" s="36" t="n">
        <v>44308</v>
      </c>
      <c r="B147" s="25" t="n">
        <v>0.06426296537680315</v>
      </c>
    </row>
    <row r="148">
      <c r="A148" s="36" t="n">
        <v>44309</v>
      </c>
      <c r="B148" s="25" t="n">
        <v>0.07025381843925904</v>
      </c>
    </row>
    <row r="149">
      <c r="A149" s="36" t="n">
        <v>44312</v>
      </c>
      <c r="B149" s="25" t="n">
        <v>0.06771930444180568</v>
      </c>
    </row>
    <row r="150">
      <c r="A150" s="36" t="n">
        <v>44313</v>
      </c>
      <c r="B150" s="25" t="n">
        <v>0.0652071835594169</v>
      </c>
    </row>
    <row r="151">
      <c r="A151" s="36" t="n">
        <v>44314</v>
      </c>
      <c r="B151" s="25" t="n">
        <v>0.06169401698893212</v>
      </c>
    </row>
    <row r="152">
      <c r="A152" s="36" t="n">
        <v>44315</v>
      </c>
      <c r="B152" s="25" t="n">
        <v>0.07019410046478991</v>
      </c>
    </row>
    <row r="153">
      <c r="A153" s="36" t="n">
        <v>44316</v>
      </c>
      <c r="B153" s="25" t="n">
        <v>0.0611703737107005</v>
      </c>
    </row>
    <row r="154">
      <c r="A154" s="36" t="n">
        <v>44319</v>
      </c>
      <c r="B154" s="25" t="n">
        <v>0.07075280149889895</v>
      </c>
    </row>
    <row r="155">
      <c r="A155" s="36" t="n">
        <v>44320</v>
      </c>
      <c r="B155" s="25" t="n">
        <v>0.03838896666014452</v>
      </c>
    </row>
    <row r="156">
      <c r="A156" s="36" t="n">
        <v>44321</v>
      </c>
      <c r="B156" s="25" t="n">
        <v>0.06011826961928662</v>
      </c>
    </row>
    <row r="157">
      <c r="A157" s="36" t="n">
        <v>44322</v>
      </c>
      <c r="B157" s="25" t="n">
        <v>0.06771732321571888</v>
      </c>
    </row>
    <row r="158">
      <c r="A158" s="36" t="n">
        <v>44323</v>
      </c>
      <c r="B158" s="25" t="n">
        <v>0.06560115315200604</v>
      </c>
    </row>
    <row r="159">
      <c r="A159" s="36" t="n">
        <v>44326</v>
      </c>
      <c r="B159" s="25" t="n">
        <v>0.07308410345057598</v>
      </c>
    </row>
    <row r="160">
      <c r="A160" s="36" t="n">
        <v>44327</v>
      </c>
      <c r="B160" s="25" t="n">
        <v>0.06876384672813013</v>
      </c>
    </row>
    <row r="161">
      <c r="A161" s="36" t="n">
        <v>44328</v>
      </c>
      <c r="B161" s="25" t="n">
        <v>0.06995966540257087</v>
      </c>
    </row>
    <row r="162">
      <c r="A162" s="36" t="n">
        <v>44329</v>
      </c>
      <c r="B162" s="25" t="n">
        <v>0.06554256987726187</v>
      </c>
    </row>
    <row r="163">
      <c r="A163" s="36" t="n">
        <v>44330</v>
      </c>
      <c r="B163" s="25" t="n">
        <v>0.06504356290171959</v>
      </c>
    </row>
    <row r="164">
      <c r="A164" s="36" t="n">
        <v>44333</v>
      </c>
      <c r="B164" s="25" t="n">
        <v>0.06963050339531623</v>
      </c>
    </row>
    <row r="165">
      <c r="A165" s="36" t="n">
        <v>44334</v>
      </c>
      <c r="B165" s="25" t="n">
        <v>0.06801457459672089</v>
      </c>
    </row>
    <row r="166">
      <c r="A166" s="36" t="n">
        <v>44335</v>
      </c>
      <c r="B166" s="25" t="n">
        <v>0.06550239016907305</v>
      </c>
    </row>
    <row r="167">
      <c r="A167" s="36" t="n">
        <v>44336</v>
      </c>
      <c r="B167" s="25" t="n">
        <v>0.07349629554452802</v>
      </c>
    </row>
    <row r="168">
      <c r="A168" s="36" t="n">
        <v>44337</v>
      </c>
      <c r="B168" s="25" t="n">
        <v>0.06988575074978948</v>
      </c>
    </row>
    <row r="169">
      <c r="A169" s="36" t="n">
        <v>44342</v>
      </c>
      <c r="B169" s="25" t="n">
        <v>0.05943771980959861</v>
      </c>
    </row>
    <row r="170">
      <c r="A170" s="36" t="n">
        <v>44343</v>
      </c>
      <c r="B170" s="25" t="n">
        <v>0.05793166650775045</v>
      </c>
    </row>
    <row r="171">
      <c r="A171" s="36" t="n">
        <v>44344</v>
      </c>
      <c r="B171" s="25" t="n">
        <v>0.05451114513151806</v>
      </c>
    </row>
    <row r="172">
      <c r="A172" s="36" t="n">
        <v>44347</v>
      </c>
      <c r="B172" s="25" t="n">
        <v>0.06138725125722205</v>
      </c>
    </row>
    <row r="173">
      <c r="A173" s="36" t="n">
        <v>44348</v>
      </c>
      <c r="B173" s="25" t="n">
        <v>0.05937978608794564</v>
      </c>
    </row>
    <row r="174">
      <c r="A174" s="36" t="n">
        <v>44349</v>
      </c>
      <c r="B174" s="25" t="n">
        <v>0.06578035956342665</v>
      </c>
    </row>
    <row r="175">
      <c r="A175" s="36" t="n">
        <v>44350</v>
      </c>
      <c r="B175" s="25" t="n">
        <v>0.07337014150926863</v>
      </c>
    </row>
    <row r="176">
      <c r="A176" s="36" t="n">
        <v>44351</v>
      </c>
      <c r="B176" s="25" t="n">
        <v>0.0715590451972532</v>
      </c>
    </row>
    <row r="177">
      <c r="A177" s="36" t="n">
        <v>44354</v>
      </c>
      <c r="B177" s="25" t="n">
        <v>0.07033286949740086</v>
      </c>
    </row>
    <row r="178">
      <c r="A178" s="36" t="n">
        <v>44355</v>
      </c>
      <c r="B178" s="25" t="n">
        <v>0.06632314867216715</v>
      </c>
    </row>
    <row r="179">
      <c r="A179" s="36" t="n">
        <v>44356</v>
      </c>
      <c r="B179" s="25" t="n">
        <v>0.07632454021878116</v>
      </c>
    </row>
    <row r="180">
      <c r="A180" s="36" t="n">
        <v>44357</v>
      </c>
      <c r="B180" s="25" t="n">
        <v>0.07031311679243685</v>
      </c>
    </row>
    <row r="181">
      <c r="A181" s="36" t="n">
        <v>44358</v>
      </c>
      <c r="B181" s="25" t="n">
        <v>0.0723085486339306</v>
      </c>
    </row>
    <row r="182">
      <c r="A182" s="36" t="n">
        <v>44361</v>
      </c>
      <c r="B182" s="25" t="n">
        <v>0.07277760690192131</v>
      </c>
    </row>
    <row r="183">
      <c r="A183" s="36" t="n">
        <v>44362</v>
      </c>
      <c r="B183" s="25" t="n">
        <v>0.05745803982831443</v>
      </c>
    </row>
    <row r="184">
      <c r="A184" s="36" t="n">
        <v>44363</v>
      </c>
      <c r="B184" s="25" t="n">
        <v>0.06324497874651203</v>
      </c>
    </row>
    <row r="185">
      <c r="A185" s="36" t="n">
        <v>44364</v>
      </c>
      <c r="B185" s="25" t="n">
        <v>0.06123205868378601</v>
      </c>
    </row>
    <row r="186">
      <c r="A186" s="36" t="n">
        <v>44365</v>
      </c>
      <c r="B186" s="25" t="n">
        <v>0.06322215144781335</v>
      </c>
    </row>
    <row r="187">
      <c r="A187" s="36" t="n">
        <v>44369</v>
      </c>
      <c r="B187" s="25" t="n">
        <v>0.05967532997598801</v>
      </c>
    </row>
    <row r="188">
      <c r="A188" s="36" t="n">
        <v>44370</v>
      </c>
      <c r="B188" s="25" t="n">
        <v>0.05616270902805387</v>
      </c>
    </row>
    <row r="189">
      <c r="A189" s="36" t="n">
        <v>44371</v>
      </c>
      <c r="B189" s="25" t="n">
        <v>0.04964896336986196</v>
      </c>
    </row>
    <row r="190">
      <c r="A190" s="36" t="n">
        <v>44372</v>
      </c>
      <c r="B190" s="25" t="n">
        <v>0.05263682177017298</v>
      </c>
    </row>
    <row r="191">
      <c r="A191" s="36" t="n">
        <v>44375</v>
      </c>
      <c r="B191" s="25" t="n">
        <v>0.06010909452428814</v>
      </c>
    </row>
    <row r="192">
      <c r="A192" s="36" t="n">
        <v>44376</v>
      </c>
      <c r="B192" s="25" t="n">
        <v>0.05409657035315751</v>
      </c>
    </row>
    <row r="193">
      <c r="A193" s="36" t="n">
        <v>44377</v>
      </c>
      <c r="B193" s="25" t="n">
        <v>0.05658709564784459</v>
      </c>
    </row>
    <row r="194">
      <c r="A194" s="36" t="n">
        <v>44378</v>
      </c>
      <c r="B194" s="25" t="n">
        <v>0.05657827923595632</v>
      </c>
    </row>
    <row r="195">
      <c r="A195" s="36" t="n">
        <v>44379</v>
      </c>
      <c r="B195" s="25" t="n">
        <v>0.04956782091155598</v>
      </c>
    </row>
    <row r="196">
      <c r="A196" s="36" t="n">
        <v>44382</v>
      </c>
      <c r="B196" s="25" t="n">
        <v>0.04653856632872388</v>
      </c>
    </row>
    <row r="197">
      <c r="A197" s="36" t="n">
        <v>44383</v>
      </c>
      <c r="B197" s="25" t="n">
        <v>0.0520291601866299</v>
      </c>
    </row>
    <row r="198">
      <c r="A198" s="36" t="n">
        <v>44384</v>
      </c>
      <c r="B198" s="25" t="n">
        <v>0.04201893950789837</v>
      </c>
    </row>
    <row r="199">
      <c r="A199" s="36" t="n">
        <v>44385</v>
      </c>
      <c r="B199" s="25" t="n">
        <v>0.03990949583688058</v>
      </c>
    </row>
    <row r="200">
      <c r="A200" s="36" t="n">
        <v>44389</v>
      </c>
      <c r="B200" s="25" t="n">
        <v>0.03897144610049963</v>
      </c>
    </row>
    <row r="201">
      <c r="A201" s="36" t="n">
        <v>44390</v>
      </c>
      <c r="B201" s="25" t="n">
        <v>0.03306185670775913</v>
      </c>
    </row>
    <row r="202">
      <c r="A202" s="36" t="n">
        <v>44391</v>
      </c>
      <c r="B202" s="25" t="n">
        <v>0.03215211004460955</v>
      </c>
    </row>
    <row r="203">
      <c r="A203" s="36" t="n">
        <v>44392</v>
      </c>
      <c r="B203" s="25" t="n">
        <v>0.03144254818967784</v>
      </c>
    </row>
    <row r="204">
      <c r="A204" s="36" t="n">
        <v>44393</v>
      </c>
      <c r="B204" s="25" t="n">
        <v>0.0295326681584227</v>
      </c>
    </row>
    <row r="205">
      <c r="A205" s="36" t="n">
        <v>44396</v>
      </c>
      <c r="B205" s="25" t="n">
        <v>0.03290324868997263</v>
      </c>
    </row>
    <row r="206">
      <c r="A206" s="36" t="n">
        <v>44397</v>
      </c>
      <c r="B206" s="25" t="n">
        <v>0.03289094071175958</v>
      </c>
    </row>
    <row r="207">
      <c r="A207" s="36" t="n">
        <v>44398</v>
      </c>
      <c r="B207" s="25" t="n">
        <v>0.021883926197377</v>
      </c>
    </row>
    <row r="208">
      <c r="A208" s="36" t="n">
        <v>44399</v>
      </c>
      <c r="B208" s="25" t="n">
        <v>0.02377245928833399</v>
      </c>
    </row>
    <row r="209">
      <c r="A209" s="36" t="n">
        <v>44400</v>
      </c>
      <c r="B209" s="25" t="n">
        <v>0.02036298340665865</v>
      </c>
    </row>
    <row r="210">
      <c r="A210" s="36" t="n">
        <v>44403</v>
      </c>
      <c r="B210" s="25" t="n">
        <v>0.02233352155605955</v>
      </c>
    </row>
    <row r="211">
      <c r="A211" s="36" t="n">
        <v>44404</v>
      </c>
      <c r="B211" s="25" t="n">
        <v>0.0198249663680406</v>
      </c>
    </row>
    <row r="212">
      <c r="A212" s="36" t="n">
        <v>44405</v>
      </c>
      <c r="B212" s="25" t="n">
        <v>0.02281505274085982</v>
      </c>
    </row>
    <row r="213">
      <c r="A213" s="36" t="n">
        <v>44406</v>
      </c>
      <c r="B213" s="25" t="n">
        <v>0.02830159384573055</v>
      </c>
    </row>
    <row r="214">
      <c r="A214" s="36" t="n">
        <v>44407</v>
      </c>
      <c r="B214" s="25" t="n">
        <v>0.02779221895488559</v>
      </c>
    </row>
    <row r="215">
      <c r="A215" s="36" t="n">
        <v>44409</v>
      </c>
      <c r="B215" s="25" t="n">
        <v>0.02427492376356444</v>
      </c>
    </row>
    <row r="216">
      <c r="A216" s="36" t="n">
        <v>44410</v>
      </c>
      <c r="B216" s="25" t="n">
        <v>0.02086824154283817</v>
      </c>
    </row>
    <row r="217">
      <c r="A217" s="36" t="n">
        <v>44411</v>
      </c>
      <c r="B217" s="25" t="n">
        <v>0.02875498163271512</v>
      </c>
    </row>
    <row r="218">
      <c r="A218" s="36" t="n">
        <v>44412</v>
      </c>
      <c r="B218" s="25" t="n">
        <v>0.03824122891844028</v>
      </c>
    </row>
    <row r="219">
      <c r="A219" s="36" t="n">
        <v>44413</v>
      </c>
      <c r="B219" s="25" t="n">
        <v>0.03373558075373112</v>
      </c>
    </row>
    <row r="220">
      <c r="A220" s="36" t="n">
        <v>44417</v>
      </c>
      <c r="B220" s="25" t="n">
        <v>0.02939949953964333</v>
      </c>
    </row>
    <row r="221">
      <c r="A221" s="36" t="n">
        <v>44418</v>
      </c>
      <c r="B221" s="25" t="n">
        <v>0.02968633391434478</v>
      </c>
    </row>
    <row r="222">
      <c r="A222" s="36" t="n">
        <v>44419</v>
      </c>
      <c r="B222" s="25" t="n">
        <v>0.02917659821858665</v>
      </c>
    </row>
    <row r="223">
      <c r="A223" s="36" t="n">
        <v>44420</v>
      </c>
      <c r="B223" s="25" t="n">
        <v>0.02766535453875091</v>
      </c>
    </row>
    <row r="224">
      <c r="A224" s="36" t="n">
        <v>44421</v>
      </c>
      <c r="B224" s="25" t="n">
        <v>0.03165588128415098</v>
      </c>
    </row>
    <row r="225">
      <c r="A225" s="36" t="n">
        <v>44425</v>
      </c>
      <c r="B225" s="25" t="n">
        <v>0.0337236968393882</v>
      </c>
    </row>
    <row r="226">
      <c r="A226" s="36" t="n">
        <v>44426</v>
      </c>
      <c r="B226" s="25" t="n">
        <v>0.03301233599973974</v>
      </c>
    </row>
    <row r="227">
      <c r="A227" s="36" t="n">
        <v>44427</v>
      </c>
      <c r="B227" s="25" t="n">
        <v>0.03260271266272674</v>
      </c>
    </row>
    <row r="228">
      <c r="A228" s="36" t="n">
        <v>44428</v>
      </c>
      <c r="B228" s="25" t="n">
        <v>0.02360438493740696</v>
      </c>
    </row>
    <row r="229">
      <c r="A229" s="36" t="n">
        <v>44431</v>
      </c>
      <c r="B229" s="25" t="n">
        <v>0.02956446832229098</v>
      </c>
    </row>
    <row r="230">
      <c r="A230" s="36" t="n">
        <v>44432</v>
      </c>
      <c r="B230" s="25" t="n">
        <v>0.03804245280520085</v>
      </c>
    </row>
    <row r="231">
      <c r="A231" s="36" t="n">
        <v>44433</v>
      </c>
      <c r="B231" s="25" t="n">
        <v>0.04202737628873293</v>
      </c>
    </row>
    <row r="232">
      <c r="A232" s="36" t="n">
        <v>44434</v>
      </c>
      <c r="B232" s="25" t="n">
        <v>0.04551331293104055</v>
      </c>
    </row>
    <row r="233">
      <c r="A233" s="36" t="n">
        <v>44435</v>
      </c>
      <c r="B233" s="25" t="n">
        <v>0.0466982958208586</v>
      </c>
    </row>
    <row r="234">
      <c r="A234" s="36" t="n">
        <v>44438</v>
      </c>
      <c r="B234" s="25" t="n">
        <v>0.04246339720659509</v>
      </c>
    </row>
    <row r="235">
      <c r="A235" s="36" t="n">
        <v>44439</v>
      </c>
      <c r="B235" s="25" t="n">
        <v>0.03645925728907068</v>
      </c>
    </row>
    <row r="236">
      <c r="A236" s="36" t="n">
        <v>44440</v>
      </c>
      <c r="B236" s="25" t="n">
        <v>0.0384435320963411</v>
      </c>
    </row>
    <row r="237">
      <c r="A237" s="36" t="n">
        <v>44441</v>
      </c>
      <c r="B237" s="25" t="n">
        <v>0.04142083306441996</v>
      </c>
    </row>
    <row r="238">
      <c r="A238" s="36" t="n">
        <v>44442</v>
      </c>
      <c r="B238" s="25" t="n">
        <v>0.02942803336572447</v>
      </c>
    </row>
    <row r="239">
      <c r="A239" s="36" t="n">
        <v>44445</v>
      </c>
      <c r="B239" s="25" t="n">
        <v>0.03338958030307998</v>
      </c>
    </row>
    <row r="240">
      <c r="A240" s="36" t="n">
        <v>44446</v>
      </c>
      <c r="B240" s="25" t="n">
        <v>0.03537525299423655</v>
      </c>
    </row>
    <row r="241">
      <c r="A241" s="36" t="n">
        <v>44447</v>
      </c>
      <c r="B241" s="25" t="n">
        <v>0.03387247109668462</v>
      </c>
    </row>
    <row r="242">
      <c r="A242" s="36" t="n">
        <v>44448</v>
      </c>
      <c r="B242" s="25" t="n">
        <v>0.02887439057927516</v>
      </c>
    </row>
    <row r="243">
      <c r="A243" s="36" t="n">
        <v>44449</v>
      </c>
      <c r="B243" s="25" t="n">
        <v>0.02736464305398834</v>
      </c>
    </row>
    <row r="244">
      <c r="A244" s="36" t="n">
        <v>44452</v>
      </c>
      <c r="B244" s="25" t="n">
        <v>0.03830590999295352</v>
      </c>
    </row>
    <row r="245">
      <c r="A245" s="36" t="n">
        <v>44453</v>
      </c>
      <c r="B245" s="25" t="n">
        <v>0.03530251452744615</v>
      </c>
    </row>
    <row r="246">
      <c r="A246" s="36" t="n">
        <v>44454</v>
      </c>
      <c r="B246" s="25" t="n">
        <v>0.04128259528015688</v>
      </c>
    </row>
    <row r="247">
      <c r="A247" s="36" t="inlineStr">
        <is>
          <t>Total general</t>
        </is>
      </c>
      <c r="B247" t="n">
        <v>17.45084412607119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12">
    <outlinePr summaryBelow="1" summaryRight="1"/>
    <pageSetUpPr/>
  </sheetPr>
  <dimension ref="A1:B205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44088</v>
      </c>
      <c r="B2" t="n">
        <v>0.02976134077750286</v>
      </c>
    </row>
    <row r="3">
      <c r="A3" s="36" t="n">
        <v>44089</v>
      </c>
      <c r="B3" t="n">
        <v>0.03422444255221735</v>
      </c>
    </row>
    <row r="4">
      <c r="A4" s="36" t="n">
        <v>44090</v>
      </c>
      <c r="B4" t="n">
        <v>0.04053577396650743</v>
      </c>
    </row>
    <row r="5">
      <c r="A5" s="36" t="n">
        <v>44091</v>
      </c>
      <c r="B5" t="n">
        <v>0.04610511871305395</v>
      </c>
    </row>
    <row r="6">
      <c r="A6" s="36" t="n">
        <v>44092</v>
      </c>
      <c r="B6" t="n">
        <v>0.04448013736170986</v>
      </c>
    </row>
    <row r="7">
      <c r="A7" s="36" t="n">
        <v>44095</v>
      </c>
      <c r="B7" t="n">
        <v>0.04387693803083703</v>
      </c>
    </row>
    <row r="8">
      <c r="A8" s="36" t="n">
        <v>44096</v>
      </c>
      <c r="B8" t="n">
        <v>0.04180010949917717</v>
      </c>
    </row>
    <row r="9">
      <c r="A9" s="36" t="n">
        <v>44097</v>
      </c>
      <c r="B9" t="n">
        <v>0.04937295229945848</v>
      </c>
    </row>
    <row r="10">
      <c r="A10" s="36" t="n">
        <v>44098</v>
      </c>
      <c r="B10" t="n">
        <v>0.04505484304389146</v>
      </c>
    </row>
    <row r="11">
      <c r="A11" s="36" t="n">
        <v>44099</v>
      </c>
      <c r="B11" t="n">
        <v>0.03875855300192271</v>
      </c>
    </row>
    <row r="12">
      <c r="A12" s="36" t="n">
        <v>44102</v>
      </c>
      <c r="B12" t="n">
        <v>0.04181690964380225</v>
      </c>
    </row>
    <row r="13">
      <c r="A13" s="36" t="n">
        <v>44103</v>
      </c>
      <c r="B13" t="n">
        <v>0.04518893514861433</v>
      </c>
    </row>
    <row r="14">
      <c r="A14" s="36" t="n">
        <v>44104</v>
      </c>
      <c r="B14" t="n">
        <v>0.03776086853851501</v>
      </c>
    </row>
    <row r="15">
      <c r="A15" s="36" t="n">
        <v>44105</v>
      </c>
      <c r="B15" t="n">
        <v>0.03667500426782178</v>
      </c>
    </row>
    <row r="16">
      <c r="A16" s="36" t="n">
        <v>44106</v>
      </c>
      <c r="B16" t="n">
        <v>0.03610896241511441</v>
      </c>
    </row>
    <row r="17">
      <c r="A17" s="36" t="n">
        <v>44109</v>
      </c>
      <c r="B17" t="n">
        <v>0.04047552775507035</v>
      </c>
    </row>
    <row r="18">
      <c r="A18" s="36" t="n">
        <v>44110</v>
      </c>
      <c r="B18" t="n">
        <v>0.04205983856001316</v>
      </c>
    </row>
    <row r="19">
      <c r="A19" s="36" t="n">
        <v>44111</v>
      </c>
      <c r="B19" t="n">
        <v>0.0414574012733685</v>
      </c>
    </row>
    <row r="20">
      <c r="A20" s="36" t="n">
        <v>44112</v>
      </c>
      <c r="B20" t="n">
        <v>0.04183861633909797</v>
      </c>
    </row>
    <row r="21">
      <c r="A21" s="36" t="n">
        <v>44113</v>
      </c>
      <c r="B21" t="n">
        <v>0.04374967161342203</v>
      </c>
    </row>
    <row r="22">
      <c r="A22" s="36" t="n">
        <v>44117</v>
      </c>
      <c r="B22" t="n">
        <v>0.04189125472107591</v>
      </c>
    </row>
    <row r="23">
      <c r="A23" s="36" t="n">
        <v>44118</v>
      </c>
      <c r="B23" t="n">
        <v>0.04114377059158975</v>
      </c>
    </row>
    <row r="24">
      <c r="A24" s="36" t="n">
        <v>44119</v>
      </c>
      <c r="B24" t="n">
        <v>0.04461395685536079</v>
      </c>
    </row>
    <row r="25">
      <c r="A25" s="36" t="n">
        <v>44120</v>
      </c>
      <c r="B25" t="n">
        <v>0.04788924665135164</v>
      </c>
    </row>
    <row r="26">
      <c r="A26" s="36" t="n">
        <v>44123</v>
      </c>
      <c r="B26" t="n">
        <v>0.04940762644628693</v>
      </c>
    </row>
    <row r="27">
      <c r="A27" s="36" t="n">
        <v>44124</v>
      </c>
      <c r="B27" t="n">
        <v>0.04167543250904177</v>
      </c>
    </row>
    <row r="28">
      <c r="A28" s="36" t="n">
        <v>44125</v>
      </c>
      <c r="B28" t="n">
        <v>0.0469370815221577</v>
      </c>
    </row>
    <row r="29">
      <c r="A29" s="36" t="n">
        <v>44126</v>
      </c>
      <c r="B29" t="n">
        <v>0.04628407884882224</v>
      </c>
    </row>
    <row r="30">
      <c r="A30" s="36" t="n">
        <v>44127</v>
      </c>
      <c r="B30" t="n">
        <v>0.06658924434411367</v>
      </c>
    </row>
    <row r="31">
      <c r="A31" s="36" t="n">
        <v>44130</v>
      </c>
      <c r="B31" t="n">
        <v>0.04814895596839369</v>
      </c>
    </row>
    <row r="32">
      <c r="A32" s="36" t="n">
        <v>44131</v>
      </c>
      <c r="B32" t="n">
        <v>0.06670534220664459</v>
      </c>
    </row>
    <row r="33">
      <c r="A33" s="36" t="n">
        <v>44132</v>
      </c>
      <c r="B33" t="n">
        <v>0.08378309611621432</v>
      </c>
    </row>
    <row r="34">
      <c r="A34" s="36" t="n">
        <v>44133</v>
      </c>
      <c r="B34" t="n">
        <v>0.09645939032089978</v>
      </c>
    </row>
    <row r="35">
      <c r="A35" s="36" t="n">
        <v>44134</v>
      </c>
      <c r="B35" t="n">
        <v>0.09201071582179227</v>
      </c>
    </row>
    <row r="36">
      <c r="A36" s="36" t="n">
        <v>44137</v>
      </c>
      <c r="B36" t="n">
        <v>0.0772929600313747</v>
      </c>
    </row>
    <row r="37">
      <c r="A37" s="36" t="n">
        <v>44138</v>
      </c>
      <c r="B37" t="n">
        <v>0.0822515301993022</v>
      </c>
    </row>
    <row r="38">
      <c r="A38" s="36" t="n">
        <v>44139</v>
      </c>
      <c r="B38" t="n">
        <v>0.07924377899437046</v>
      </c>
    </row>
    <row r="39">
      <c r="A39" s="36" t="n">
        <v>44140</v>
      </c>
      <c r="B39" t="n">
        <v>0.08377203559958074</v>
      </c>
    </row>
    <row r="40">
      <c r="A40" s="36" t="n">
        <v>44141</v>
      </c>
      <c r="B40" t="n">
        <v>0.08305476945677115</v>
      </c>
    </row>
    <row r="41">
      <c r="A41" s="36" t="n">
        <v>44144</v>
      </c>
      <c r="B41" t="n">
        <v>0.0807358325451818</v>
      </c>
    </row>
    <row r="42">
      <c r="A42" s="36" t="n">
        <v>44145</v>
      </c>
      <c r="B42" t="n">
        <v>0.06918293216373816</v>
      </c>
    </row>
    <row r="43">
      <c r="A43" s="36" t="n">
        <v>44146</v>
      </c>
      <c r="B43" t="n">
        <v>0.06614896360577738</v>
      </c>
    </row>
    <row r="44">
      <c r="A44" s="36" t="n">
        <v>44147</v>
      </c>
      <c r="B44" t="n">
        <v>0.0525806116754019</v>
      </c>
    </row>
    <row r="45">
      <c r="A45" s="36" t="n">
        <v>44148</v>
      </c>
      <c r="B45" t="n">
        <v>0.05592990361804362</v>
      </c>
    </row>
    <row r="46">
      <c r="A46" s="36" t="n">
        <v>44151</v>
      </c>
      <c r="B46" t="n">
        <v>0.05459546853513714</v>
      </c>
    </row>
    <row r="47">
      <c r="A47" s="36" t="n">
        <v>44152</v>
      </c>
      <c r="B47" t="n">
        <v>0.04652425095371321</v>
      </c>
    </row>
    <row r="48">
      <c r="A48" s="36" t="n">
        <v>44153</v>
      </c>
      <c r="B48" t="n">
        <v>0.04348004790942867</v>
      </c>
    </row>
    <row r="49">
      <c r="A49" s="36" t="n">
        <v>44154</v>
      </c>
      <c r="B49" t="n">
        <v>0.03539574700034748</v>
      </c>
    </row>
    <row r="50">
      <c r="A50" s="36" t="n">
        <v>44155</v>
      </c>
      <c r="B50" t="n">
        <v>0.0364806408204375</v>
      </c>
    </row>
    <row r="51">
      <c r="A51" s="36" t="n">
        <v>44159</v>
      </c>
      <c r="B51" t="n">
        <v>0.04837304913894896</v>
      </c>
    </row>
    <row r="52">
      <c r="A52" s="36" t="n">
        <v>44160</v>
      </c>
      <c r="B52" t="n">
        <v>0.05630901486520595</v>
      </c>
    </row>
    <row r="53">
      <c r="A53" s="36" t="n">
        <v>44161</v>
      </c>
      <c r="B53" t="n">
        <v>0.05929027593826874</v>
      </c>
    </row>
    <row r="54">
      <c r="A54" s="36" t="n">
        <v>44162</v>
      </c>
      <c r="B54" t="n">
        <v>0.05706545448362532</v>
      </c>
    </row>
    <row r="55">
      <c r="A55" s="36" t="n">
        <v>44165</v>
      </c>
      <c r="B55" t="n">
        <v>0.05278930579227592</v>
      </c>
    </row>
    <row r="56">
      <c r="A56" s="36" t="n">
        <v>44166</v>
      </c>
      <c r="B56" t="n">
        <v>0.05135976793166197</v>
      </c>
    </row>
    <row r="57">
      <c r="A57" s="36" t="n">
        <v>44167</v>
      </c>
      <c r="B57" t="n">
        <v>0.0400356605482281</v>
      </c>
    </row>
    <row r="58">
      <c r="A58" s="36" t="n">
        <v>44168</v>
      </c>
      <c r="B58" t="n">
        <v>0.04633219534754851</v>
      </c>
    </row>
    <row r="59">
      <c r="A59" s="36" t="n">
        <v>44169</v>
      </c>
      <c r="B59" t="n">
        <v>0.0485214292926277</v>
      </c>
    </row>
    <row r="60">
      <c r="A60" s="36" t="n">
        <v>44174</v>
      </c>
      <c r="B60" t="n">
        <v>0.04786640741578485</v>
      </c>
    </row>
    <row r="61">
      <c r="A61" s="36" t="n">
        <v>44175</v>
      </c>
      <c r="B61" t="n">
        <v>0.04987895236478679</v>
      </c>
    </row>
    <row r="62">
      <c r="A62" s="36" t="n">
        <v>44176</v>
      </c>
      <c r="B62" t="n">
        <v>0.04815720180464383</v>
      </c>
    </row>
    <row r="63">
      <c r="A63" s="36" t="n">
        <v>44179</v>
      </c>
      <c r="B63" t="n">
        <v>0.04893574674072848</v>
      </c>
    </row>
    <row r="64">
      <c r="A64" s="36" t="n">
        <v>44180</v>
      </c>
      <c r="B64" t="n">
        <v>0.04960846375171468</v>
      </c>
    </row>
    <row r="65">
      <c r="A65" s="36" t="n">
        <v>44181</v>
      </c>
      <c r="B65" t="n">
        <v>0.04478490095298965</v>
      </c>
    </row>
    <row r="66">
      <c r="A66" s="36" t="n">
        <v>44182</v>
      </c>
      <c r="B66" t="n">
        <v>0.03877145681120281</v>
      </c>
    </row>
    <row r="67">
      <c r="A67" s="36" t="n">
        <v>44183</v>
      </c>
      <c r="B67" t="n">
        <v>0.03696880192752672</v>
      </c>
    </row>
    <row r="68">
      <c r="A68" s="36" t="n">
        <v>44186</v>
      </c>
      <c r="B68" t="n">
        <v>0.03806098652422413</v>
      </c>
    </row>
    <row r="69">
      <c r="A69" s="36" t="n">
        <v>44187</v>
      </c>
      <c r="B69" t="n">
        <v>0.03855527970912681</v>
      </c>
    </row>
    <row r="70">
      <c r="A70" s="36" t="n">
        <v>44188</v>
      </c>
      <c r="B70" t="n">
        <v>0.03894372771928545</v>
      </c>
    </row>
    <row r="71">
      <c r="A71" s="36" t="n">
        <v>44193</v>
      </c>
      <c r="B71" t="n">
        <v>0.03438744072413691</v>
      </c>
    </row>
    <row r="72">
      <c r="A72" s="36" t="n">
        <v>44194</v>
      </c>
      <c r="B72" t="n">
        <v>0.03748421529451523</v>
      </c>
    </row>
    <row r="73">
      <c r="A73" s="36" t="n">
        <v>44195</v>
      </c>
      <c r="B73" t="n">
        <v>0.04347774757867262</v>
      </c>
    </row>
    <row r="74">
      <c r="A74" s="36" t="n">
        <v>44200</v>
      </c>
      <c r="B74" t="n">
        <v>0.04318115453443294</v>
      </c>
    </row>
    <row r="75">
      <c r="A75" s="36" t="n">
        <v>44201</v>
      </c>
      <c r="B75" t="n">
        <v>0.04536747192114859</v>
      </c>
    </row>
    <row r="76">
      <c r="A76" s="36" t="n">
        <v>44202</v>
      </c>
      <c r="B76" t="n">
        <v>0.0430669607525524</v>
      </c>
    </row>
    <row r="77">
      <c r="A77" s="36" t="n">
        <v>44203</v>
      </c>
      <c r="B77" t="n">
        <v>0.04304484543317783</v>
      </c>
    </row>
    <row r="78">
      <c r="A78" s="36" t="n">
        <v>44204</v>
      </c>
      <c r="B78" t="n">
        <v>0.04031635135670303</v>
      </c>
    </row>
    <row r="79">
      <c r="A79" s="36" t="n">
        <v>44207</v>
      </c>
      <c r="B79" t="n">
        <v>0.04558604658903986</v>
      </c>
    </row>
    <row r="80">
      <c r="A80" s="36" t="n">
        <v>44208</v>
      </c>
      <c r="B80" t="n">
        <v>0.04778507951133487</v>
      </c>
    </row>
    <row r="81">
      <c r="A81" s="36" t="n">
        <v>44209</v>
      </c>
      <c r="B81" t="n">
        <v>0.04495580620693812</v>
      </c>
    </row>
    <row r="82">
      <c r="A82" s="36" t="n">
        <v>44210</v>
      </c>
      <c r="B82" t="n">
        <v>0.04713400914332549</v>
      </c>
    </row>
    <row r="83">
      <c r="A83" s="36" t="n">
        <v>44211</v>
      </c>
      <c r="B83" t="n">
        <v>0.04551681779984262</v>
      </c>
    </row>
    <row r="84">
      <c r="A84" s="36" t="n">
        <v>44214</v>
      </c>
      <c r="B84" t="n">
        <v>0.04468758961821712</v>
      </c>
    </row>
    <row r="85">
      <c r="A85" s="36" t="n">
        <v>44215</v>
      </c>
      <c r="B85" t="n">
        <v>0.04518214081592642</v>
      </c>
    </row>
    <row r="86">
      <c r="A86" s="36" t="n">
        <v>44216</v>
      </c>
      <c r="B86" t="n">
        <v>0.03775851930846058</v>
      </c>
    </row>
    <row r="87">
      <c r="A87" s="36" t="n">
        <v>44217</v>
      </c>
      <c r="B87" t="n">
        <v>0.04054748354225901</v>
      </c>
    </row>
    <row r="88">
      <c r="A88" s="36" t="n">
        <v>44218</v>
      </c>
      <c r="B88" t="n">
        <v>0.03964121528952308</v>
      </c>
    </row>
    <row r="89">
      <c r="A89" s="36" t="n">
        <v>44221</v>
      </c>
      <c r="B89" t="n">
        <v>0.03550506864399344</v>
      </c>
    </row>
    <row r="90">
      <c r="A90" s="36" t="n">
        <v>44222</v>
      </c>
      <c r="B90" t="n">
        <v>0.0362941610871319</v>
      </c>
    </row>
    <row r="91">
      <c r="A91" s="36" t="n">
        <v>44223</v>
      </c>
      <c r="B91" t="n">
        <v>0.033282323774593</v>
      </c>
    </row>
    <row r="92">
      <c r="A92" s="36" t="n">
        <v>44224</v>
      </c>
      <c r="B92" t="n">
        <v>0.0285547372453992</v>
      </c>
    </row>
    <row r="93">
      <c r="A93" s="36" t="n">
        <v>44225</v>
      </c>
      <c r="B93" t="n">
        <v>0.03004979903597982</v>
      </c>
    </row>
    <row r="94">
      <c r="A94" s="36" t="n">
        <v>44228</v>
      </c>
      <c r="B94" t="n">
        <v>0.03183050963829182</v>
      </c>
    </row>
    <row r="95">
      <c r="A95" s="36" t="n">
        <v>44229</v>
      </c>
      <c r="B95" t="n">
        <v>0.03352433818618611</v>
      </c>
    </row>
    <row r="96">
      <c r="A96" s="36" t="n">
        <v>44230</v>
      </c>
      <c r="B96" t="n">
        <v>0.03200438636940706</v>
      </c>
    </row>
    <row r="97">
      <c r="A97" s="36" t="n">
        <v>44231</v>
      </c>
      <c r="B97" t="n">
        <v>0.03349101342224897</v>
      </c>
    </row>
    <row r="98">
      <c r="A98" s="36" t="n">
        <v>44232</v>
      </c>
      <c r="B98" t="n">
        <v>0.03628282610304207</v>
      </c>
    </row>
    <row r="99">
      <c r="A99" s="36" t="n">
        <v>44235</v>
      </c>
      <c r="B99" t="n">
        <v>0.03695671434414766</v>
      </c>
    </row>
    <row r="100">
      <c r="A100" s="36" t="n">
        <v>44236</v>
      </c>
      <c r="B100" t="n">
        <v>0.03814474965117232</v>
      </c>
    </row>
    <row r="101">
      <c r="A101" s="36" t="n">
        <v>44237</v>
      </c>
      <c r="B101" t="n">
        <v>0.04053414635447133</v>
      </c>
    </row>
    <row r="102">
      <c r="A102" s="36" t="n">
        <v>44238</v>
      </c>
      <c r="B102" t="n">
        <v>0.03741185665015095</v>
      </c>
    </row>
    <row r="103">
      <c r="A103" s="36" t="n">
        <v>44239</v>
      </c>
      <c r="B103" t="n">
        <v>0.03839923787089844</v>
      </c>
    </row>
    <row r="104">
      <c r="A104" s="36" t="n">
        <v>44244</v>
      </c>
      <c r="B104" t="n">
        <v>0.04134229869403921</v>
      </c>
    </row>
    <row r="105">
      <c r="A105" s="36" t="n">
        <v>44245</v>
      </c>
      <c r="B105" t="n">
        <v>0.04304245317982719</v>
      </c>
    </row>
    <row r="106">
      <c r="A106" s="36" t="n">
        <v>44246</v>
      </c>
      <c r="B106" t="n">
        <v>0.038817394082655</v>
      </c>
    </row>
    <row r="107">
      <c r="A107" s="36" t="n">
        <v>44249</v>
      </c>
      <c r="B107" t="n">
        <v>0.03977962094926868</v>
      </c>
    </row>
    <row r="108">
      <c r="A108" s="36" t="n">
        <v>44250</v>
      </c>
      <c r="B108" t="n">
        <v>0.03715069597995185</v>
      </c>
    </row>
    <row r="109">
      <c r="A109" s="36" t="n">
        <v>44251</v>
      </c>
      <c r="B109" t="n">
        <v>0.03724833262151162</v>
      </c>
    </row>
    <row r="110">
      <c r="A110" s="36" t="n">
        <v>44252</v>
      </c>
      <c r="B110" t="n">
        <v>0.03443840745748045</v>
      </c>
    </row>
    <row r="111">
      <c r="A111" s="36" t="n">
        <v>44253</v>
      </c>
      <c r="B111" t="n">
        <v>0.03323274310929097</v>
      </c>
    </row>
    <row r="112">
      <c r="A112" s="36" t="n">
        <v>44256</v>
      </c>
      <c r="B112" t="n">
        <v>0.0326089395922507</v>
      </c>
    </row>
    <row r="113">
      <c r="A113" s="36" t="n">
        <v>44257</v>
      </c>
      <c r="B113" t="n">
        <v>0.03358452129260053</v>
      </c>
    </row>
    <row r="114">
      <c r="A114" s="36" t="n">
        <v>44258</v>
      </c>
      <c r="B114" t="n">
        <v>0.04067256348000825</v>
      </c>
    </row>
    <row r="115">
      <c r="A115" s="36" t="n">
        <v>44259</v>
      </c>
      <c r="B115" t="n">
        <v>0.04117275432997886</v>
      </c>
    </row>
    <row r="116">
      <c r="A116" s="36" t="n">
        <v>44260</v>
      </c>
      <c r="B116" t="n">
        <v>0.04125473398708035</v>
      </c>
    </row>
    <row r="117">
      <c r="A117" s="36" t="n">
        <v>44263</v>
      </c>
      <c r="B117" t="n">
        <v>0.03950806971696025</v>
      </c>
    </row>
    <row r="118">
      <c r="A118" s="36" t="n">
        <v>44264</v>
      </c>
      <c r="B118" t="n">
        <v>0.0375794448846109</v>
      </c>
    </row>
    <row r="119">
      <c r="A119" s="36" t="n">
        <v>44265</v>
      </c>
      <c r="B119" t="n">
        <v>0.03003106088749524</v>
      </c>
    </row>
    <row r="120">
      <c r="A120" s="36" t="n">
        <v>44266</v>
      </c>
      <c r="B120" t="n">
        <v>0.03002106474657329</v>
      </c>
    </row>
    <row r="121">
      <c r="A121" s="36" t="n">
        <v>44267</v>
      </c>
      <c r="B121" t="n">
        <v>0.02862798824842105</v>
      </c>
    </row>
    <row r="122">
      <c r="A122" s="36" t="n">
        <v>44270</v>
      </c>
      <c r="B122" t="n">
        <v>0.02932932947772759</v>
      </c>
    </row>
    <row r="123">
      <c r="A123" s="36" t="n">
        <v>44271</v>
      </c>
      <c r="B123" t="n">
        <v>0.02502343386073946</v>
      </c>
    </row>
    <row r="124">
      <c r="A124" s="36" t="n">
        <v>44272</v>
      </c>
      <c r="B124" t="n">
        <v>0.02892123730111562</v>
      </c>
    </row>
    <row r="125">
      <c r="A125" s="36" t="n">
        <v>44273</v>
      </c>
      <c r="B125" t="n">
        <v>0.02900902475955619</v>
      </c>
    </row>
    <row r="126">
      <c r="A126" s="36" t="n">
        <v>44274</v>
      </c>
      <c r="B126" t="n">
        <v>0.02650664929079544</v>
      </c>
    </row>
    <row r="127">
      <c r="A127" s="36" t="n">
        <v>44277</v>
      </c>
      <c r="B127" t="n">
        <v>0.02349289514740177</v>
      </c>
    </row>
    <row r="128">
      <c r="A128" s="36" t="n">
        <v>44278</v>
      </c>
      <c r="B128" t="n">
        <v>0.02027477878746498</v>
      </c>
    </row>
    <row r="129">
      <c r="A129" s="36" t="n">
        <v>44280</v>
      </c>
      <c r="B129" t="n">
        <v>0.01693380011123052</v>
      </c>
    </row>
    <row r="130">
      <c r="A130" s="36" t="n">
        <v>44281</v>
      </c>
      <c r="B130" t="n">
        <v>0.01852806309291954</v>
      </c>
    </row>
    <row r="131">
      <c r="A131" s="36" t="n">
        <v>44284</v>
      </c>
      <c r="B131" t="n">
        <v>0.01959399899308456</v>
      </c>
    </row>
    <row r="132">
      <c r="A132" s="36" t="n">
        <v>44285</v>
      </c>
      <c r="B132" t="n">
        <v>0.01887573550752092</v>
      </c>
    </row>
    <row r="133">
      <c r="A133" s="36" t="n">
        <v>44286</v>
      </c>
      <c r="B133" t="n">
        <v>0.02187287532611276</v>
      </c>
    </row>
    <row r="134">
      <c r="A134" s="36" t="n">
        <v>44291</v>
      </c>
      <c r="B134" t="n">
        <v>0.02343327965749314</v>
      </c>
    </row>
    <row r="135">
      <c r="A135" s="36" t="n">
        <v>44292</v>
      </c>
      <c r="B135" t="n">
        <v>0.02281841388429606</v>
      </c>
    </row>
    <row r="136">
      <c r="A136" s="36" t="n">
        <v>44293</v>
      </c>
      <c r="B136" t="n">
        <v>0.03451095064387627</v>
      </c>
    </row>
    <row r="137">
      <c r="A137" s="36" t="n">
        <v>44294</v>
      </c>
      <c r="B137" t="n">
        <v>0.02650167548567711</v>
      </c>
    </row>
    <row r="138">
      <c r="A138" s="36" t="n">
        <v>44295</v>
      </c>
      <c r="B138" t="n">
        <v>0.02598709360890178</v>
      </c>
    </row>
    <row r="139">
      <c r="A139" s="36" t="n">
        <v>44298</v>
      </c>
      <c r="B139" t="n">
        <v>0.02627449254652509</v>
      </c>
    </row>
    <row r="140">
      <c r="A140" s="36" t="n">
        <v>44299</v>
      </c>
      <c r="B140" t="n">
        <v>0.02636883468993345</v>
      </c>
    </row>
    <row r="141">
      <c r="A141" s="36" t="n">
        <v>44300</v>
      </c>
      <c r="B141" t="n">
        <v>0.02795982547745302</v>
      </c>
    </row>
    <row r="142">
      <c r="A142" s="36" t="n">
        <v>44301</v>
      </c>
      <c r="B142" t="n">
        <v>0.026745101742357</v>
      </c>
    </row>
    <row r="143">
      <c r="A143" s="36" t="n">
        <v>44302</v>
      </c>
      <c r="B143" t="n">
        <v>0.02673833222685268</v>
      </c>
    </row>
    <row r="144">
      <c r="A144" s="36" t="n">
        <v>44305</v>
      </c>
      <c r="B144" t="n">
        <v>0.02771217532346715</v>
      </c>
    </row>
    <row r="145">
      <c r="A145" s="36" t="n">
        <v>44306</v>
      </c>
      <c r="B145" t="n">
        <v>0.02570185214698523</v>
      </c>
    </row>
    <row r="146">
      <c r="A146" s="36" t="n">
        <v>44307</v>
      </c>
      <c r="B146" t="n">
        <v>0.02669807454107426</v>
      </c>
    </row>
    <row r="147">
      <c r="A147" s="36" t="n">
        <v>44308</v>
      </c>
      <c r="B147" t="n">
        <v>0.02469243140750627</v>
      </c>
    </row>
    <row r="148">
      <c r="A148" s="36" t="n">
        <v>44309</v>
      </c>
      <c r="B148" t="n">
        <v>0.02748334655758483</v>
      </c>
    </row>
    <row r="149">
      <c r="A149" s="36" t="n">
        <v>44312</v>
      </c>
      <c r="B149" t="n">
        <v>0.03156285797300207</v>
      </c>
    </row>
    <row r="150">
      <c r="A150" s="36" t="n">
        <v>44313</v>
      </c>
      <c r="B150" t="n">
        <v>0.03145631097153045</v>
      </c>
    </row>
    <row r="151">
      <c r="A151" s="36" t="n">
        <v>44314</v>
      </c>
      <c r="B151" t="n">
        <v>0.03015165064128461</v>
      </c>
    </row>
    <row r="152">
      <c r="A152" s="36" t="n">
        <v>44315</v>
      </c>
      <c r="B152" t="n">
        <v>0.02963478264816616</v>
      </c>
    </row>
    <row r="153">
      <c r="A153" s="36" t="n">
        <v>44316</v>
      </c>
      <c r="B153" t="n">
        <v>0.02852640000833473</v>
      </c>
    </row>
    <row r="154">
      <c r="A154" s="36" t="n">
        <v>44319</v>
      </c>
      <c r="B154" t="n">
        <v>0.03179896906681406</v>
      </c>
    </row>
    <row r="155">
      <c r="A155" s="36" t="n">
        <v>44320</v>
      </c>
      <c r="B155" t="n">
        <v>0.03158964890912819</v>
      </c>
    </row>
    <row r="156">
      <c r="A156" s="36" t="n">
        <v>44321</v>
      </c>
      <c r="B156" t="n">
        <v>0.02787753126325104</v>
      </c>
    </row>
    <row r="157">
      <c r="A157" s="36" t="n">
        <v>44322</v>
      </c>
      <c r="B157" t="n">
        <v>0.03076834216537389</v>
      </c>
    </row>
    <row r="158">
      <c r="A158" s="36" t="n">
        <v>44323</v>
      </c>
      <c r="B158" t="n">
        <v>0.02905544615921579</v>
      </c>
    </row>
    <row r="159">
      <c r="A159" s="36" t="n">
        <v>44326</v>
      </c>
      <c r="B159" t="n">
        <v>0.02913040941077238</v>
      </c>
    </row>
    <row r="160">
      <c r="A160" s="36" t="n">
        <v>44327</v>
      </c>
      <c r="B160" t="n">
        <v>0.02891570335889354</v>
      </c>
    </row>
    <row r="161">
      <c r="A161" s="36" t="n">
        <v>44328</v>
      </c>
      <c r="B161" t="n">
        <v>0.02961154348139605</v>
      </c>
    </row>
    <row r="162">
      <c r="A162" s="36" t="n">
        <v>44329</v>
      </c>
      <c r="B162" t="n">
        <v>0.02970464430962527</v>
      </c>
    </row>
    <row r="163">
      <c r="A163" s="36" t="n">
        <v>44330</v>
      </c>
      <c r="B163" t="n">
        <v>0.02970882018100862</v>
      </c>
    </row>
    <row r="164">
      <c r="A164" s="36" t="n">
        <v>44333</v>
      </c>
      <c r="B164" t="n">
        <v>0.0289894082765576</v>
      </c>
    </row>
    <row r="165">
      <c r="A165" s="36" t="n">
        <v>44334</v>
      </c>
      <c r="B165" t="n">
        <v>0.02547891179172912</v>
      </c>
    </row>
    <row r="166">
      <c r="A166" s="36" t="n">
        <v>44335</v>
      </c>
      <c r="B166" t="n">
        <v>0.02346260329781563</v>
      </c>
    </row>
    <row r="167">
      <c r="A167" s="36" t="n">
        <v>44336</v>
      </c>
      <c r="B167" t="n">
        <v>0.02085115270738758</v>
      </c>
    </row>
    <row r="168">
      <c r="A168" s="36" t="n">
        <v>44337</v>
      </c>
      <c r="B168" t="n">
        <v>0.01903757883547558</v>
      </c>
    </row>
    <row r="169">
      <c r="A169" s="36" t="n">
        <v>44342</v>
      </c>
      <c r="B169" t="n">
        <v>0.01160062476745916</v>
      </c>
    </row>
    <row r="170">
      <c r="A170" s="36" t="n">
        <v>44343</v>
      </c>
      <c r="B170" t="n">
        <v>0.01489539988078648</v>
      </c>
    </row>
    <row r="171">
      <c r="A171" s="36" t="n">
        <v>44344</v>
      </c>
      <c r="B171" t="n">
        <v>0.0135813681533945</v>
      </c>
    </row>
    <row r="172">
      <c r="A172" s="36" t="n">
        <v>44347</v>
      </c>
      <c r="B172" t="n">
        <v>0.01385376059131599</v>
      </c>
    </row>
    <row r="173">
      <c r="A173" s="36" t="n">
        <v>44348</v>
      </c>
      <c r="B173" t="n">
        <v>0.01084656882681745</v>
      </c>
    </row>
    <row r="174">
      <c r="A174" s="36" t="n">
        <v>44349</v>
      </c>
      <c r="B174" t="n">
        <v>0.007841498029911242</v>
      </c>
    </row>
    <row r="175">
      <c r="A175" s="36" t="n">
        <v>44350</v>
      </c>
      <c r="B175" t="n">
        <v>0.01273156635424993</v>
      </c>
    </row>
    <row r="176">
      <c r="A176" s="36" t="n">
        <v>44351</v>
      </c>
      <c r="B176" t="n">
        <v>0.01072084659886785</v>
      </c>
    </row>
    <row r="177">
      <c r="A177" s="36" t="n">
        <v>44354</v>
      </c>
      <c r="B177" t="n">
        <v>0.008994053544844505</v>
      </c>
    </row>
    <row r="178">
      <c r="A178" s="36" t="n">
        <v>44355</v>
      </c>
      <c r="B178" t="n">
        <v>0.01228952038568387</v>
      </c>
    </row>
    <row r="179">
      <c r="A179" s="36" t="n">
        <v>44356</v>
      </c>
      <c r="B179" t="n">
        <v>0.01178408017493449</v>
      </c>
    </row>
    <row r="180">
      <c r="A180" s="36" t="n">
        <v>44357</v>
      </c>
      <c r="B180" t="n">
        <v>0.01197601391675268</v>
      </c>
    </row>
    <row r="181">
      <c r="A181" s="36" t="n">
        <v>44358</v>
      </c>
      <c r="B181" t="n">
        <v>0.01266924238682565</v>
      </c>
    </row>
    <row r="182">
      <c r="A182" s="36" t="n">
        <v>44361</v>
      </c>
      <c r="B182" t="n">
        <v>0.01173999588372088</v>
      </c>
    </row>
    <row r="183">
      <c r="A183" s="36" t="n">
        <v>44362</v>
      </c>
      <c r="B183" t="n">
        <v>0.0147297719119352</v>
      </c>
    </row>
    <row r="184">
      <c r="A184" s="36" t="n">
        <v>44363</v>
      </c>
      <c r="B184" t="n">
        <v>0.009718638758113796</v>
      </c>
    </row>
    <row r="185">
      <c r="A185" s="36" t="n">
        <v>44364</v>
      </c>
      <c r="B185" t="n">
        <v>0.01360852296950421</v>
      </c>
    </row>
    <row r="186">
      <c r="A186" s="36" t="n">
        <v>44365</v>
      </c>
      <c r="B186" t="n">
        <v>0.01329846283836261</v>
      </c>
    </row>
    <row r="187">
      <c r="A187" s="36" t="n">
        <v>44369</v>
      </c>
      <c r="B187" t="n">
        <v>0.01295813593218353</v>
      </c>
    </row>
    <row r="188">
      <c r="A188" s="36" t="n">
        <v>44370</v>
      </c>
      <c r="B188" t="n">
        <v>0.01214859353514547</v>
      </c>
    </row>
    <row r="189">
      <c r="A189" s="36" t="n">
        <v>44371</v>
      </c>
      <c r="B189" t="n">
        <v>0.01063782205617109</v>
      </c>
    </row>
    <row r="190">
      <c r="A190" s="36" t="n">
        <v>44372</v>
      </c>
      <c r="B190" t="n">
        <v>0.01262634195645479</v>
      </c>
    </row>
    <row r="191">
      <c r="A191" s="36" t="n">
        <v>44375</v>
      </c>
      <c r="B191" t="n">
        <v>0.01249870181522483</v>
      </c>
    </row>
    <row r="192">
      <c r="A192" s="36" t="n">
        <v>44376</v>
      </c>
      <c r="B192" t="n">
        <v>0.0137885237306814</v>
      </c>
    </row>
    <row r="193">
      <c r="A193" s="36" t="n">
        <v>44377</v>
      </c>
      <c r="B193" t="n">
        <v>0.0135788858206079</v>
      </c>
    </row>
    <row r="194">
      <c r="A194" s="36" t="n">
        <v>44378</v>
      </c>
      <c r="B194" t="n">
        <v>0.01006981167391735</v>
      </c>
    </row>
    <row r="195">
      <c r="A195" s="36" t="n">
        <v>44379</v>
      </c>
      <c r="B195" t="n">
        <v>0.00776144781093363</v>
      </c>
    </row>
    <row r="196">
      <c r="A196" s="36" t="n">
        <v>44382</v>
      </c>
      <c r="B196" t="n">
        <v>0.00743500978456535</v>
      </c>
    </row>
    <row r="197">
      <c r="A197" s="36" t="n">
        <v>44383</v>
      </c>
      <c r="B197" t="n">
        <v>0.009026201045214288</v>
      </c>
    </row>
    <row r="198">
      <c r="A198" s="36" t="n">
        <v>44384</v>
      </c>
      <c r="B198" t="n">
        <v>-0.000982937303985465</v>
      </c>
    </row>
    <row r="199">
      <c r="A199" s="36" t="n">
        <v>44385</v>
      </c>
      <c r="B199" t="n">
        <v>-0.00119148398398361</v>
      </c>
    </row>
    <row r="200">
      <c r="A200" s="36" t="n">
        <v>44389</v>
      </c>
      <c r="B200" t="n">
        <v>-0.001625727756677076</v>
      </c>
    </row>
    <row r="201">
      <c r="A201" s="36" t="n">
        <v>44390</v>
      </c>
      <c r="B201" t="n">
        <v>-0.004534502588763978</v>
      </c>
    </row>
    <row r="202">
      <c r="A202" s="36" t="n">
        <v>44391</v>
      </c>
      <c r="B202" t="n">
        <v>-0.004243551497520814</v>
      </c>
    </row>
    <row r="203">
      <c r="A203" s="36" t="n">
        <v>44392</v>
      </c>
      <c r="B203" t="n">
        <v>-0.006352173891591428</v>
      </c>
    </row>
    <row r="204">
      <c r="A204" s="36" t="n">
        <v>44393</v>
      </c>
      <c r="B204" t="n">
        <v>-0.008060877239426278</v>
      </c>
    </row>
    <row r="205">
      <c r="A205" s="36" t="inlineStr">
        <is>
          <t>Total general</t>
        </is>
      </c>
      <c r="B205" t="n">
        <v>7.031137114856246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9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36" t="n">
        <v>44088</v>
      </c>
      <c r="B2" t="n">
        <v>0.07888050133355262</v>
      </c>
    </row>
    <row r="3">
      <c r="A3" s="36" t="n">
        <v>44089</v>
      </c>
      <c r="B3" t="n">
        <v>0.07988124907868616</v>
      </c>
    </row>
    <row r="4">
      <c r="A4" s="36" t="n">
        <v>44090</v>
      </c>
      <c r="B4" t="n">
        <v>0.06967062501714066</v>
      </c>
    </row>
    <row r="5">
      <c r="A5" s="36" t="n">
        <v>44091</v>
      </c>
      <c r="B5" t="n">
        <v>0.06906977940042164</v>
      </c>
    </row>
    <row r="6">
      <c r="A6" s="36" t="n">
        <v>44092</v>
      </c>
      <c r="B6" t="n">
        <v>0.07107155834984541</v>
      </c>
    </row>
    <row r="7">
      <c r="A7" s="36" t="n">
        <v>44095</v>
      </c>
      <c r="B7" t="n">
        <v>0.07527501722607116</v>
      </c>
    </row>
    <row r="8">
      <c r="A8" s="36" t="n">
        <v>44096</v>
      </c>
      <c r="B8" t="n">
        <v>0.0764759521442529</v>
      </c>
    </row>
    <row r="9">
      <c r="A9" s="36" t="n">
        <v>44097</v>
      </c>
      <c r="B9" t="n">
        <v>0.08007925652443687</v>
      </c>
    </row>
    <row r="10">
      <c r="A10" s="36" t="n">
        <v>44098</v>
      </c>
      <c r="B10" t="n">
        <v>0.06556466652040366</v>
      </c>
    </row>
    <row r="11">
      <c r="A11" s="36" t="n">
        <v>44099</v>
      </c>
      <c r="B11" t="n">
        <v>0.05205115987288877</v>
      </c>
    </row>
    <row r="12">
      <c r="A12" s="36" t="n">
        <v>44102</v>
      </c>
      <c r="B12" t="n">
        <v>0.05405257167930455</v>
      </c>
    </row>
    <row r="13">
      <c r="A13" s="36" t="n">
        <v>44103</v>
      </c>
      <c r="B13" t="n">
        <v>0.05635461766026667</v>
      </c>
    </row>
    <row r="14">
      <c r="A14" s="36" t="n">
        <v>44104</v>
      </c>
      <c r="B14" t="n">
        <v>0.05585394113493169</v>
      </c>
    </row>
    <row r="15">
      <c r="A15" s="36" t="n">
        <v>44105</v>
      </c>
      <c r="B15" t="n">
        <v>0.04904719953105563</v>
      </c>
    </row>
    <row r="16">
      <c r="A16" s="36" t="n">
        <v>44106</v>
      </c>
      <c r="B16" t="n">
        <v>0.04304127245303713</v>
      </c>
    </row>
    <row r="17">
      <c r="A17" s="36" t="n">
        <v>44109</v>
      </c>
      <c r="B17" t="n">
        <v>0.04404177935918663</v>
      </c>
    </row>
    <row r="18">
      <c r="A18" s="36" t="n">
        <v>44110</v>
      </c>
      <c r="B18" t="n">
        <v>0.04464219604831965</v>
      </c>
    </row>
    <row r="19">
      <c r="A19" s="36" t="n">
        <v>44111</v>
      </c>
      <c r="B19" t="n">
        <v>0.04904619076184763</v>
      </c>
    </row>
    <row r="20">
      <c r="A20" s="36" t="n">
        <v>44112</v>
      </c>
      <c r="B20" t="n">
        <v>0.05204884035019164</v>
      </c>
    </row>
    <row r="21">
      <c r="A21" s="36" t="n">
        <v>44113</v>
      </c>
      <c r="B21" t="n">
        <v>0.05234894267585788</v>
      </c>
    </row>
    <row r="22">
      <c r="A22" s="36" t="n">
        <v>44117</v>
      </c>
      <c r="B22" t="n">
        <v>0.05495062231987685</v>
      </c>
    </row>
    <row r="23">
      <c r="A23" s="36" t="n">
        <v>44118</v>
      </c>
      <c r="B23" t="n">
        <v>0.06255741571030943</v>
      </c>
    </row>
    <row r="24">
      <c r="A24" s="36" t="n">
        <v>44119</v>
      </c>
      <c r="B24" t="n">
        <v>0.07907230241350821</v>
      </c>
    </row>
    <row r="25">
      <c r="A25" s="36" t="n">
        <v>44120</v>
      </c>
      <c r="B25" t="n">
        <v>0.08397649913962718</v>
      </c>
    </row>
    <row r="26">
      <c r="A26" s="36" t="n">
        <v>44123</v>
      </c>
      <c r="B26" t="n">
        <v>0.07556806301566144</v>
      </c>
    </row>
    <row r="27">
      <c r="A27" s="36" t="n">
        <v>44124</v>
      </c>
      <c r="B27" t="n">
        <v>0.06585909274760238</v>
      </c>
    </row>
    <row r="28">
      <c r="A28" s="36" t="n">
        <v>44125</v>
      </c>
      <c r="B28" t="n">
        <v>0.06355680933985508</v>
      </c>
    </row>
    <row r="29">
      <c r="A29" s="36" t="n">
        <v>44126</v>
      </c>
      <c r="B29" t="n">
        <v>0.05504901624734354</v>
      </c>
    </row>
    <row r="30">
      <c r="A30" s="36" t="n">
        <v>44127</v>
      </c>
      <c r="B30" t="n">
        <v>0.06005326642467118</v>
      </c>
    </row>
    <row r="31">
      <c r="A31" s="36" t="n">
        <v>44130</v>
      </c>
      <c r="B31" t="n">
        <v>0.04834238236261929</v>
      </c>
    </row>
    <row r="32">
      <c r="A32" s="36" t="n">
        <v>44131</v>
      </c>
      <c r="B32" t="n">
        <v>0.05224562546059058</v>
      </c>
    </row>
    <row r="33">
      <c r="A33" s="36" t="n">
        <v>44132</v>
      </c>
      <c r="B33" t="n">
        <v>0.05014361807873974</v>
      </c>
    </row>
    <row r="34">
      <c r="A34" s="36" t="n">
        <v>44133</v>
      </c>
      <c r="B34" t="n">
        <v>0.05094413995688046</v>
      </c>
    </row>
    <row r="35">
      <c r="A35" s="36" t="n">
        <v>44134</v>
      </c>
      <c r="B35" t="n">
        <v>0.04553930104062409</v>
      </c>
    </row>
    <row r="36">
      <c r="A36" s="36" t="n">
        <v>44137</v>
      </c>
      <c r="B36" t="n">
        <v>0.05044301476258867</v>
      </c>
    </row>
    <row r="37">
      <c r="A37" s="36" t="n">
        <v>44138</v>
      </c>
      <c r="B37" t="n">
        <v>0.04363706161397352</v>
      </c>
    </row>
    <row r="38">
      <c r="A38" s="36" t="n">
        <v>44139</v>
      </c>
      <c r="B38" t="n">
        <v>0.04393716602742731</v>
      </c>
    </row>
    <row r="39">
      <c r="A39" s="36" t="n">
        <v>44140</v>
      </c>
      <c r="B39" t="n">
        <v>0.03382849935219401</v>
      </c>
    </row>
    <row r="40">
      <c r="A40" s="36" t="n">
        <v>44141</v>
      </c>
      <c r="B40" t="n">
        <v>0.03412863532758648</v>
      </c>
    </row>
    <row r="41">
      <c r="A41" s="36" t="n">
        <v>44144</v>
      </c>
      <c r="B41" t="n">
        <v>0.03602986036372613</v>
      </c>
    </row>
    <row r="42">
      <c r="A42" s="36" t="n">
        <v>44145</v>
      </c>
      <c r="B42" t="n">
        <v>0.03202643277499578</v>
      </c>
    </row>
    <row r="43">
      <c r="A43" s="36" t="n">
        <v>44146</v>
      </c>
      <c r="B43" t="n">
        <v>0.0381313408280779</v>
      </c>
    </row>
    <row r="44">
      <c r="A44" s="36" t="n">
        <v>44147</v>
      </c>
      <c r="B44" t="n">
        <v>0.03823129205068532</v>
      </c>
    </row>
    <row r="45">
      <c r="A45" s="36" t="n">
        <v>44148</v>
      </c>
      <c r="B45" t="n">
        <v>0.04013271090820597</v>
      </c>
    </row>
    <row r="46">
      <c r="A46" s="36" t="n">
        <v>44151</v>
      </c>
      <c r="B46" t="n">
        <v>0.04083286206364711</v>
      </c>
    </row>
    <row r="47">
      <c r="A47" s="36" t="n">
        <v>44152</v>
      </c>
      <c r="B47" t="n">
        <v>0.04383512815064128</v>
      </c>
    </row>
    <row r="48">
      <c r="A48" s="36" t="n">
        <v>44153</v>
      </c>
      <c r="B48" t="n">
        <v>0.04093266202140755</v>
      </c>
    </row>
    <row r="49">
      <c r="A49" s="36" t="n">
        <v>44154</v>
      </c>
      <c r="B49" t="n">
        <v>0.04183323736667488</v>
      </c>
    </row>
    <row r="50">
      <c r="A50" s="36" t="n">
        <v>44155</v>
      </c>
      <c r="B50" t="n">
        <v>0.03853048130541625</v>
      </c>
    </row>
    <row r="51">
      <c r="A51" s="36" t="n">
        <v>44159</v>
      </c>
      <c r="B51" t="n">
        <v>0.03852995307996288</v>
      </c>
    </row>
    <row r="52">
      <c r="A52" s="36" t="n">
        <v>44160</v>
      </c>
      <c r="B52" t="n">
        <v>0.03803793298887131</v>
      </c>
    </row>
    <row r="53">
      <c r="A53" s="36" t="n">
        <v>44161</v>
      </c>
      <c r="B53" t="n">
        <v>0.0410316168280353</v>
      </c>
    </row>
    <row r="54">
      <c r="A54" s="36" t="n">
        <v>44162</v>
      </c>
      <c r="B54" t="n">
        <v>0.04013078525992542</v>
      </c>
    </row>
    <row r="55">
      <c r="A55" s="36" t="n">
        <v>44165</v>
      </c>
      <c r="B55" t="n">
        <v>0.03612734295477055</v>
      </c>
    </row>
    <row r="56">
      <c r="A56" s="36" t="n">
        <v>44166</v>
      </c>
      <c r="B56" t="n">
        <v>0.03882925491808892</v>
      </c>
    </row>
    <row r="57">
      <c r="A57" s="36" t="n">
        <v>44167</v>
      </c>
      <c r="B57" t="n">
        <v>0.03952964723542651</v>
      </c>
    </row>
    <row r="58">
      <c r="A58" s="36" t="n">
        <v>44168</v>
      </c>
      <c r="B58" t="n">
        <v>0.04143093131173275</v>
      </c>
    </row>
    <row r="59">
      <c r="A59" s="36" t="n">
        <v>44169</v>
      </c>
      <c r="B59" t="n">
        <v>0.04133071494912322</v>
      </c>
    </row>
    <row r="60">
      <c r="A60" s="36" t="n">
        <v>44174</v>
      </c>
      <c r="B60" t="n">
        <v>0.0465337848026649</v>
      </c>
    </row>
    <row r="61">
      <c r="A61" s="36" t="n">
        <v>44175</v>
      </c>
      <c r="B61" t="n">
        <v>0.04923557776338383</v>
      </c>
    </row>
    <row r="62">
      <c r="A62" s="36" t="n">
        <v>44176</v>
      </c>
      <c r="B62" t="n">
        <v>0.04933548099660712</v>
      </c>
    </row>
    <row r="63">
      <c r="A63" s="36" t="n">
        <v>44179</v>
      </c>
      <c r="B63" t="n">
        <v>0.05533923020771575</v>
      </c>
    </row>
    <row r="64">
      <c r="A64" s="36" t="n">
        <v>44180</v>
      </c>
      <c r="B64" t="n">
        <v>0.05233692262349471</v>
      </c>
    </row>
    <row r="65">
      <c r="A65" s="36" t="n">
        <v>44181</v>
      </c>
      <c r="B65" t="n">
        <v>0.04983498689148208</v>
      </c>
    </row>
    <row r="66">
      <c r="A66" s="36" t="n">
        <v>44182</v>
      </c>
      <c r="B66" t="n">
        <v>0.04793348777913342</v>
      </c>
    </row>
    <row r="67">
      <c r="A67" s="36" t="n">
        <v>44183</v>
      </c>
      <c r="B67" t="n">
        <v>0.04723283652676347</v>
      </c>
    </row>
    <row r="68">
      <c r="A68" s="36" t="n">
        <v>44186</v>
      </c>
      <c r="B68" t="n">
        <v>0.05193557230980128</v>
      </c>
    </row>
    <row r="69">
      <c r="A69" s="36" t="n">
        <v>44187</v>
      </c>
      <c r="B69" t="n">
        <v>0.04763246184899977</v>
      </c>
    </row>
    <row r="70">
      <c r="A70" s="36" t="n">
        <v>44188</v>
      </c>
      <c r="B70" t="n">
        <v>0.04923338428112206</v>
      </c>
    </row>
    <row r="71">
      <c r="A71" s="36" t="n">
        <v>44193</v>
      </c>
      <c r="B71" t="n">
        <v>0.05203439259510562</v>
      </c>
    </row>
    <row r="72">
      <c r="A72" s="36" t="n">
        <v>44194</v>
      </c>
      <c r="B72" t="n">
        <v>0.05183408268450485</v>
      </c>
    </row>
    <row r="73">
      <c r="A73" s="36" t="n">
        <v>44195</v>
      </c>
      <c r="B73" t="n">
        <v>0.05043298870151369</v>
      </c>
    </row>
    <row r="74">
      <c r="A74" s="36" t="n">
        <v>44200</v>
      </c>
      <c r="B74" t="n">
        <v>0.05753665005791364</v>
      </c>
    </row>
    <row r="75">
      <c r="A75" s="36" t="n">
        <v>44201</v>
      </c>
      <c r="B75" t="n">
        <v>0.0575364528896733</v>
      </c>
    </row>
    <row r="76">
      <c r="A76" s="36" t="n">
        <v>44202</v>
      </c>
      <c r="B76" t="n">
        <v>0.05503467938701095</v>
      </c>
    </row>
    <row r="77">
      <c r="A77" s="36" t="n">
        <v>44203</v>
      </c>
      <c r="B77" t="n">
        <v>0.04702947395114054</v>
      </c>
    </row>
    <row r="78">
      <c r="A78" s="36" t="n">
        <v>44204</v>
      </c>
      <c r="B78" t="n">
        <v>0.0490305601436512</v>
      </c>
    </row>
    <row r="79">
      <c r="A79" s="36" t="n">
        <v>44207</v>
      </c>
      <c r="B79" t="n">
        <v>0.04542784789305776</v>
      </c>
    </row>
    <row r="80">
      <c r="A80" s="36" t="n">
        <v>44208</v>
      </c>
      <c r="B80" t="n">
        <v>0.04342647230160845</v>
      </c>
    </row>
    <row r="81">
      <c r="A81" s="36" t="n">
        <v>44209</v>
      </c>
      <c r="B81" t="n">
        <v>0.04732868896557157</v>
      </c>
    </row>
    <row r="82">
      <c r="A82" s="36" t="n">
        <v>44210</v>
      </c>
      <c r="B82" t="n">
        <v>0.04952985361039536</v>
      </c>
    </row>
    <row r="83">
      <c r="A83" s="36" t="n">
        <v>44211</v>
      </c>
      <c r="B83" t="n">
        <v>0.05043022359290672</v>
      </c>
    </row>
    <row r="84">
      <c r="A84" s="36" t="n">
        <v>44214</v>
      </c>
      <c r="B84" t="n">
        <v>0.05002946941349012</v>
      </c>
    </row>
    <row r="85">
      <c r="A85" s="36" t="n">
        <v>44215</v>
      </c>
      <c r="B85" t="n">
        <v>0.04942894640354456</v>
      </c>
    </row>
    <row r="86">
      <c r="A86" s="36" t="n">
        <v>44216</v>
      </c>
      <c r="B86" t="n">
        <v>0.04872836925607377</v>
      </c>
    </row>
    <row r="87">
      <c r="A87" s="36" t="n">
        <v>44217</v>
      </c>
      <c r="B87" t="n">
        <v>0.05293063451106972</v>
      </c>
    </row>
    <row r="88">
      <c r="A88" s="36" t="n">
        <v>44218</v>
      </c>
      <c r="B88" t="n">
        <v>0.04992872611639565</v>
      </c>
    </row>
    <row r="89">
      <c r="A89" s="36" t="n">
        <v>44221</v>
      </c>
      <c r="B89" t="n">
        <v>0.04992821286000654</v>
      </c>
    </row>
    <row r="90">
      <c r="A90" s="36" t="n">
        <v>44222</v>
      </c>
      <c r="B90" t="n">
        <v>0.0498279855809427</v>
      </c>
    </row>
    <row r="91">
      <c r="A91" s="36" t="n">
        <v>44223</v>
      </c>
      <c r="B91" t="n">
        <v>0.0454253573056192</v>
      </c>
    </row>
    <row r="92">
      <c r="A92" s="36" t="n">
        <v>44224</v>
      </c>
      <c r="B92" t="n">
        <v>0.04572536818371836</v>
      </c>
    </row>
    <row r="93">
      <c r="A93" s="36" t="n">
        <v>44225</v>
      </c>
      <c r="B93" t="n">
        <v>0.04652565284283455</v>
      </c>
    </row>
    <row r="94">
      <c r="A94" s="36" t="n">
        <v>44228</v>
      </c>
      <c r="B94" t="n">
        <v>0.04492430835863243</v>
      </c>
    </row>
    <row r="95">
      <c r="A95" s="36" t="n">
        <v>44229</v>
      </c>
      <c r="B95" t="n">
        <v>0.04422377785316084</v>
      </c>
    </row>
    <row r="96">
      <c r="A96" s="36" t="n">
        <v>44230</v>
      </c>
      <c r="B96" t="n">
        <v>0.04432367977412593</v>
      </c>
    </row>
    <row r="97">
      <c r="A97" s="36" t="n">
        <v>44231</v>
      </c>
      <c r="B97" t="n">
        <v>0.03952097860165504</v>
      </c>
    </row>
    <row r="98">
      <c r="A98" s="36" t="n">
        <v>44232</v>
      </c>
      <c r="B98" t="n">
        <v>0.03872042104397522</v>
      </c>
    </row>
    <row r="99">
      <c r="A99" s="36" t="n">
        <v>44235</v>
      </c>
      <c r="B99" t="n">
        <v>0.03952043693827967</v>
      </c>
    </row>
    <row r="100">
      <c r="A100" s="36" t="n">
        <v>44236</v>
      </c>
      <c r="B100" t="n">
        <v>0.03841973616583866</v>
      </c>
    </row>
    <row r="101">
      <c r="A101" s="36" t="n">
        <v>44237</v>
      </c>
      <c r="B101" t="n">
        <v>0.04022052348629956</v>
      </c>
    </row>
    <row r="102">
      <c r="A102" s="36" t="n">
        <v>44238</v>
      </c>
      <c r="B102" t="n">
        <v>0.03501774872195496</v>
      </c>
    </row>
    <row r="103">
      <c r="A103" s="36" t="n">
        <v>44239</v>
      </c>
      <c r="B103" t="n">
        <v>0.03051536218575795</v>
      </c>
    </row>
    <row r="104">
      <c r="A104" s="36" t="n">
        <v>44244</v>
      </c>
      <c r="B104" t="n">
        <v>0.03291600709934284</v>
      </c>
    </row>
    <row r="105">
      <c r="A105" s="36" t="n">
        <v>44245</v>
      </c>
      <c r="B105" t="n">
        <v>0.03891879297880141</v>
      </c>
    </row>
    <row r="106">
      <c r="A106" s="36" t="n">
        <v>44246</v>
      </c>
      <c r="B106" t="n">
        <v>0.03191530185705471</v>
      </c>
    </row>
    <row r="107">
      <c r="A107" s="36" t="n">
        <v>44249</v>
      </c>
      <c r="B107" t="n">
        <v>0.03611694527912068</v>
      </c>
    </row>
    <row r="108">
      <c r="A108" s="36" t="n">
        <v>44250</v>
      </c>
      <c r="B108" t="n">
        <v>0.0301140257106049</v>
      </c>
    </row>
    <row r="109">
      <c r="A109" s="36" t="n">
        <v>44251</v>
      </c>
      <c r="B109" t="n">
        <v>0.02981378376989358</v>
      </c>
    </row>
    <row r="110">
      <c r="A110" s="36" t="n">
        <v>44252</v>
      </c>
      <c r="B110" t="n">
        <v>0.03271501305393565</v>
      </c>
    </row>
    <row r="111">
      <c r="A111" s="36" t="n">
        <v>44253</v>
      </c>
      <c r="B111" t="n">
        <v>0.03681676928189898</v>
      </c>
    </row>
    <row r="112">
      <c r="A112" s="36" t="n">
        <v>44256</v>
      </c>
      <c r="B112" t="n">
        <v>0.03581594545516842</v>
      </c>
    </row>
    <row r="113">
      <c r="A113" s="36" t="n">
        <v>44257</v>
      </c>
      <c r="B113" t="n">
        <v>0.04041785583357027</v>
      </c>
    </row>
    <row r="114">
      <c r="A114" s="36" t="n">
        <v>44258</v>
      </c>
      <c r="B114" t="n">
        <v>0.0418183313233198</v>
      </c>
    </row>
    <row r="115">
      <c r="A115" s="36" t="n">
        <v>44259</v>
      </c>
      <c r="B115" t="n">
        <v>0.04081775292678674</v>
      </c>
    </row>
    <row r="116">
      <c r="A116" s="36" t="n">
        <v>44260</v>
      </c>
      <c r="B116" t="n">
        <v>0.03491506609016221</v>
      </c>
    </row>
    <row r="117">
      <c r="A117" s="36" t="n">
        <v>44263</v>
      </c>
      <c r="B117" t="n">
        <v>0.03701559218437905</v>
      </c>
    </row>
    <row r="118">
      <c r="A118" s="36" t="n">
        <v>44264</v>
      </c>
      <c r="B118" t="n">
        <v>0.03161320825824487</v>
      </c>
    </row>
    <row r="119">
      <c r="A119" s="36" t="n">
        <v>44265</v>
      </c>
      <c r="B119" t="n">
        <v>0.0209086642067432</v>
      </c>
    </row>
    <row r="120">
      <c r="A120" s="36" t="n">
        <v>44266</v>
      </c>
      <c r="B120" t="n">
        <v>0.02010826367000135</v>
      </c>
    </row>
    <row r="121">
      <c r="A121" s="36" t="n">
        <v>44267</v>
      </c>
      <c r="B121" t="n">
        <v>0.01890770553753068</v>
      </c>
    </row>
    <row r="122">
      <c r="A122" s="36" t="n">
        <v>44270</v>
      </c>
      <c r="B122" t="n">
        <v>0.01510600101410148</v>
      </c>
    </row>
    <row r="123">
      <c r="A123" s="36" t="n">
        <v>44271</v>
      </c>
      <c r="B123" t="n">
        <v>0.01910752522397519</v>
      </c>
    </row>
    <row r="124">
      <c r="A124" s="36" t="n">
        <v>44272</v>
      </c>
      <c r="B124" t="n">
        <v>0.02050800655050256</v>
      </c>
    </row>
    <row r="125">
      <c r="A125" s="36" t="n">
        <v>44273</v>
      </c>
      <c r="B125" t="n">
        <v>0.01870723944540181</v>
      </c>
    </row>
    <row r="126">
      <c r="A126" s="36" t="n">
        <v>44274</v>
      </c>
      <c r="B126" t="n">
        <v>0.016706407937291</v>
      </c>
    </row>
    <row r="127">
      <c r="A127" s="36" t="n">
        <v>44277</v>
      </c>
      <c r="B127" t="n">
        <v>0.01560582546224443</v>
      </c>
    </row>
    <row r="128">
      <c r="A128" s="36" t="n">
        <v>44278</v>
      </c>
      <c r="B128" t="n">
        <v>0.007502774998972228</v>
      </c>
    </row>
    <row r="129">
      <c r="A129" s="36" t="n">
        <v>44280</v>
      </c>
      <c r="B129" t="n">
        <v>0.007302650962335622</v>
      </c>
    </row>
    <row r="130">
      <c r="A130" s="36" t="n">
        <v>44281</v>
      </c>
      <c r="B130" t="n">
        <v>0.009703489268401311</v>
      </c>
    </row>
    <row r="131">
      <c r="A131" s="36" t="n">
        <v>44284</v>
      </c>
      <c r="B131" t="n">
        <v>0.008703040103049731</v>
      </c>
    </row>
    <row r="132">
      <c r="A132" s="36" t="n">
        <v>44285</v>
      </c>
      <c r="B132" t="n">
        <v>0.003901349439360879</v>
      </c>
    </row>
    <row r="133">
      <c r="A133" s="36" t="n">
        <v>44286</v>
      </c>
      <c r="B133" t="n">
        <v>0.005001712915381984</v>
      </c>
    </row>
    <row r="134">
      <c r="A134" s="36" t="n">
        <v>44291</v>
      </c>
      <c r="B134" t="n">
        <v>0.01600520717356674</v>
      </c>
    </row>
    <row r="135">
      <c r="A135" s="36" t="n">
        <v>44292</v>
      </c>
      <c r="B135" t="n">
        <v>0.01630524895000446</v>
      </c>
    </row>
    <row r="136">
      <c r="A136" s="36" t="n">
        <v>44293</v>
      </c>
      <c r="B136" t="n">
        <v>0.01370436474630621</v>
      </c>
    </row>
    <row r="137">
      <c r="A137" s="36" t="n">
        <v>44294</v>
      </c>
      <c r="B137" t="n">
        <v>0.01290406566452446</v>
      </c>
    </row>
    <row r="138">
      <c r="A138" s="36" t="n">
        <v>44295</v>
      </c>
      <c r="B138" t="n">
        <v>0.01050327328037159</v>
      </c>
    </row>
    <row r="139">
      <c r="A139" s="36" t="n">
        <v>44298</v>
      </c>
      <c r="B139" t="n">
        <v>0.01150346679821312</v>
      </c>
    </row>
    <row r="140">
      <c r="A140" s="36" t="n">
        <v>44299</v>
      </c>
      <c r="B140" t="n">
        <v>0.01320393404884335</v>
      </c>
    </row>
    <row r="141">
      <c r="A141" s="36" t="n">
        <v>44300</v>
      </c>
      <c r="B141" t="n">
        <v>0.01090321121974286</v>
      </c>
    </row>
    <row r="142">
      <c r="A142" s="36" t="n">
        <v>44301</v>
      </c>
      <c r="B142" t="n">
        <v>0.01150334857749685</v>
      </c>
    </row>
    <row r="143">
      <c r="A143" s="36" t="n">
        <v>44302</v>
      </c>
      <c r="B143" t="n">
        <v>0.01050302141712001</v>
      </c>
    </row>
    <row r="144">
      <c r="A144" s="36" t="n">
        <v>44305</v>
      </c>
      <c r="B144" t="n">
        <v>0.01220338518561653</v>
      </c>
    </row>
    <row r="145">
      <c r="A145" s="36" t="n">
        <v>44306</v>
      </c>
      <c r="B145" t="n">
        <v>0.01260345300082211</v>
      </c>
    </row>
    <row r="146">
      <c r="A146" s="36" t="n">
        <v>44307</v>
      </c>
      <c r="B146" t="n">
        <v>0.01350365338567627</v>
      </c>
    </row>
    <row r="147">
      <c r="A147" s="36" t="n">
        <v>44308</v>
      </c>
      <c r="B147" t="n">
        <v>0.009202458190886553</v>
      </c>
    </row>
    <row r="148">
      <c r="A148" s="36" t="n">
        <v>44309</v>
      </c>
      <c r="B148" t="n">
        <v>0.01420374550823339</v>
      </c>
    </row>
    <row r="149">
      <c r="A149" s="36" t="n">
        <v>44312</v>
      </c>
      <c r="B149" t="n">
        <v>0.02070524722018596</v>
      </c>
    </row>
    <row r="150">
      <c r="A150" s="36" t="n">
        <v>44313</v>
      </c>
      <c r="B150" t="n">
        <v>0.02300575143785943</v>
      </c>
    </row>
    <row r="151">
      <c r="A151" s="36" t="n">
        <v>44314</v>
      </c>
      <c r="B151" t="n">
        <v>0.02200542599545097</v>
      </c>
    </row>
    <row r="152">
      <c r="A152" s="36" t="n">
        <v>44315</v>
      </c>
      <c r="B152" t="n">
        <v>0.02480603160357486</v>
      </c>
    </row>
    <row r="153">
      <c r="A153" s="36" t="n">
        <v>44316</v>
      </c>
      <c r="B153" t="n">
        <v>0.02210529921556531</v>
      </c>
    </row>
    <row r="154">
      <c r="A154" s="36" t="n">
        <v>44319</v>
      </c>
      <c r="B154" t="n">
        <v>0.02630603597400777</v>
      </c>
    </row>
    <row r="155">
      <c r="A155" s="36" t="n">
        <v>44320</v>
      </c>
      <c r="B155" t="n">
        <v>0.02290517719758578</v>
      </c>
    </row>
    <row r="156">
      <c r="A156" s="36" t="n">
        <v>44321</v>
      </c>
      <c r="B156" t="n">
        <v>0.02240498741158137</v>
      </c>
    </row>
    <row r="157">
      <c r="A157" s="36" t="n">
        <v>44322</v>
      </c>
      <c r="B157" t="n">
        <v>0.02280499835580407</v>
      </c>
    </row>
    <row r="158">
      <c r="A158" s="36" t="n">
        <v>44323</v>
      </c>
      <c r="B158" t="n">
        <v>0.02000431599968483</v>
      </c>
    </row>
    <row r="159">
      <c r="A159" s="36" t="n">
        <v>44326</v>
      </c>
      <c r="B159" t="n">
        <v>0.02150441871617453</v>
      </c>
    </row>
    <row r="160">
      <c r="A160" s="36" t="n">
        <v>44327</v>
      </c>
      <c r="B160" t="n">
        <v>0.01820367814044621</v>
      </c>
    </row>
    <row r="161">
      <c r="A161" s="36" t="n">
        <v>44328</v>
      </c>
      <c r="B161" t="n">
        <v>0.01860369525453681</v>
      </c>
    </row>
    <row r="162">
      <c r="A162" s="36" t="n">
        <v>44329</v>
      </c>
      <c r="B162" t="n">
        <v>0.02010392439620057</v>
      </c>
    </row>
    <row r="163">
      <c r="A163" s="36" t="n">
        <v>44330</v>
      </c>
      <c r="B163" t="n">
        <v>0.02040391307922074</v>
      </c>
    </row>
    <row r="164">
      <c r="A164" s="36" t="n">
        <v>44333</v>
      </c>
      <c r="B164" t="n">
        <v>0.01910346741018065</v>
      </c>
    </row>
    <row r="165">
      <c r="A165" s="36" t="n">
        <v>44334</v>
      </c>
      <c r="B165" t="n">
        <v>0.02200391850603534</v>
      </c>
    </row>
    <row r="166">
      <c r="A166" s="36" t="n">
        <v>44335</v>
      </c>
      <c r="B166" t="n">
        <v>0.014702567914259</v>
      </c>
    </row>
    <row r="167">
      <c r="A167" s="36" t="n">
        <v>44336</v>
      </c>
      <c r="B167" t="n">
        <v>0.01780304846720332</v>
      </c>
    </row>
    <row r="168">
      <c r="A168" s="36" t="n">
        <v>44337</v>
      </c>
      <c r="B168" t="n">
        <v>0.0104017454983884</v>
      </c>
    </row>
    <row r="169">
      <c r="A169" s="36" t="n">
        <v>44342</v>
      </c>
      <c r="B169" t="n">
        <v>0.007501130307306536</v>
      </c>
    </row>
    <row r="170">
      <c r="A170" s="36" t="n">
        <v>44343</v>
      </c>
      <c r="B170" t="n">
        <v>0.004100603856047269</v>
      </c>
    </row>
    <row r="171">
      <c r="A171" s="36" t="n">
        <v>44344</v>
      </c>
      <c r="B171" t="n">
        <v>0.007501078922310722</v>
      </c>
    </row>
    <row r="172">
      <c r="A172" s="36" t="n">
        <v>44347</v>
      </c>
      <c r="B172" t="n">
        <v>0.009001202215364323</v>
      </c>
    </row>
    <row r="173">
      <c r="A173" s="36" t="n">
        <v>44348</v>
      </c>
      <c r="B173" t="n">
        <v>0.00700091107746903</v>
      </c>
    </row>
    <row r="174">
      <c r="A174" s="36" t="n">
        <v>44349</v>
      </c>
      <c r="B174" t="n">
        <v>0.009401191246836027</v>
      </c>
    </row>
    <row r="175">
      <c r="A175" s="36" t="n">
        <v>44350</v>
      </c>
      <c r="B175" t="n">
        <v>0.01550191119453082</v>
      </c>
    </row>
    <row r="176">
      <c r="A176" s="36" t="n">
        <v>44351</v>
      </c>
      <c r="B176" t="n">
        <v>0.01240148647954381</v>
      </c>
    </row>
    <row r="177">
      <c r="A177" s="36" t="n">
        <v>44354</v>
      </c>
      <c r="B177" t="n">
        <v>0.01150126041209998</v>
      </c>
    </row>
    <row r="178">
      <c r="A178" s="36" t="n">
        <v>44355</v>
      </c>
      <c r="B178" t="n">
        <v>0.0112011891673432</v>
      </c>
    </row>
    <row r="179">
      <c r="A179" s="36" t="n">
        <v>44356</v>
      </c>
      <c r="B179" t="n">
        <v>0.01250128437853204</v>
      </c>
    </row>
    <row r="180">
      <c r="A180" s="36" t="n">
        <v>44357</v>
      </c>
      <c r="B180" t="n">
        <v>0.00970096345184962</v>
      </c>
    </row>
    <row r="181">
      <c r="A181" s="36" t="n">
        <v>44358</v>
      </c>
      <c r="B181" t="n">
        <v>0.006000575397640817</v>
      </c>
    </row>
    <row r="182">
      <c r="A182" s="36" t="n">
        <v>44361</v>
      </c>
      <c r="B182" t="n">
        <v>0.00300025687130745</v>
      </c>
    </row>
    <row r="183">
      <c r="A183" s="36" t="n">
        <v>44362</v>
      </c>
      <c r="B183" t="n">
        <v>-0.002200180836781085</v>
      </c>
    </row>
    <row r="184">
      <c r="A184" s="36" t="n">
        <v>44363</v>
      </c>
      <c r="B184" t="n">
        <v>0.007600598677293069</v>
      </c>
    </row>
    <row r="185">
      <c r="A185" s="36" t="n">
        <v>44364</v>
      </c>
      <c r="B185" t="n">
        <v>0.005300399345156137</v>
      </c>
    </row>
    <row r="186">
      <c r="A186" s="36" t="n">
        <v>44365</v>
      </c>
      <c r="B186" t="n">
        <v>0.00400028769192301</v>
      </c>
    </row>
    <row r="187">
      <c r="A187" s="36" t="n">
        <v>44369</v>
      </c>
      <c r="B187" t="n">
        <v>0.004500262001554844</v>
      </c>
    </row>
    <row r="188">
      <c r="A188" s="36" t="n">
        <v>44370</v>
      </c>
      <c r="B188" t="n">
        <v>0.005400295906625052</v>
      </c>
    </row>
    <row r="189">
      <c r="A189" s="36" t="n">
        <v>44371</v>
      </c>
      <c r="B189" t="n">
        <v>0.002500128431255022</v>
      </c>
    </row>
    <row r="190">
      <c r="A190" s="36" t="n">
        <v>44372</v>
      </c>
      <c r="B190" t="n">
        <v>0.002400115074010389</v>
      </c>
    </row>
    <row r="191">
      <c r="A191" s="36" t="n">
        <v>44375</v>
      </c>
      <c r="B191" t="n">
        <v>0.003500131854282218</v>
      </c>
    </row>
    <row r="192">
      <c r="A192" s="36" t="n">
        <v>44376</v>
      </c>
      <c r="B192" t="n">
        <v>0.0005000171238740969</v>
      </c>
    </row>
    <row r="193">
      <c r="A193" s="36" t="n">
        <v>44377</v>
      </c>
      <c r="B193" t="n">
        <v>0.0003000092468603555</v>
      </c>
    </row>
    <row r="194">
      <c r="A194" s="36" t="n">
        <v>44378</v>
      </c>
      <c r="B194" t="n">
        <v>-0.005500150689060013</v>
      </c>
    </row>
    <row r="195">
      <c r="A195" s="36" t="n">
        <v>44379</v>
      </c>
      <c r="B195" t="n">
        <v>-0.006900165414924275</v>
      </c>
    </row>
    <row r="196">
      <c r="A196" s="36" t="n">
        <v>44382</v>
      </c>
      <c r="B196" t="n">
        <v>-0.01100015068699572</v>
      </c>
    </row>
    <row r="197">
      <c r="A197" s="36" t="n">
        <v>44383</v>
      </c>
      <c r="B197" t="n">
        <v>-0.008300085274848656</v>
      </c>
    </row>
    <row r="198">
      <c r="A198" s="36" t="n">
        <v>44384</v>
      </c>
      <c r="B198" t="n">
        <v>-0.009400064384002649</v>
      </c>
    </row>
    <row r="199">
      <c r="A199" s="36" t="n">
        <v>44385</v>
      </c>
      <c r="B199" t="n">
        <v>-0.01190004075356421</v>
      </c>
    </row>
    <row r="200">
      <c r="A200" s="36" t="n">
        <v>44389</v>
      </c>
      <c r="B200" t="n">
        <v>-0.009599901370876296</v>
      </c>
    </row>
    <row r="201">
      <c r="A201" s="36" t="n">
        <v>44390</v>
      </c>
      <c r="B201" t="n">
        <v>-0.01249982876946887</v>
      </c>
    </row>
    <row r="202">
      <c r="A202" s="36" t="n">
        <v>44391</v>
      </c>
      <c r="B202" t="n">
        <v>-0.01189979623636578</v>
      </c>
    </row>
    <row r="203">
      <c r="A203" s="36" t="n">
        <v>44392</v>
      </c>
      <c r="B203" t="n">
        <v>-0.01059978219625624</v>
      </c>
    </row>
    <row r="204">
      <c r="A204" s="36" t="n">
        <v>44393</v>
      </c>
      <c r="B204" t="n">
        <v>-0.01179971713006878</v>
      </c>
    </row>
    <row r="205">
      <c r="A205" s="44" t="inlineStr">
        <is>
          <t>Total general</t>
        </is>
      </c>
      <c r="B205" t="n">
        <v>6.493787783598142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2021-09-23T20:59:34Z</dcterms:modified>
  <cp:lastModifiedBy>Adrian</cp:lastModifiedBy>
</cp:coreProperties>
</file>