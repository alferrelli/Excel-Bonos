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9.xml" ContentType="application/vnd.openxmlformats-officedocument.spreadsheetml.pivotTab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pivotTables/pivotTable10.xml" ContentType="application/vnd.openxmlformats-officedocument.spreadsheetml.pivotTab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1.xml" ContentType="application/vnd.openxmlformats-officedocument.spreadsheetml.pivot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drian\Documents\Adrian\Bonos\Excel-Bonos\"/>
    </mc:Choice>
  </mc:AlternateContent>
  <bookViews>
    <workbookView xWindow="0" yWindow="0" windowWidth="25200" windowHeight="11880" tabRatio="604" firstSheet="3" activeTab="4"/>
  </bookViews>
  <sheets>
    <sheet name="Flujo de Fondos (2)" sheetId="36" r:id="rId1"/>
    <sheet name="Flujo de Fondos" sheetId="1" r:id="rId2"/>
    <sheet name="Hoja3" sheetId="28" state="hidden" r:id="rId3"/>
    <sheet name="30-38" sheetId="46" r:id="rId4"/>
    <sheet name="Paridad usd" sheetId="12" r:id="rId5"/>
    <sheet name="Grafico Paridades" sheetId="25" r:id="rId6"/>
    <sheet name="g29-41" sheetId="24" r:id="rId7"/>
    <sheet name="g29-29" sheetId="20" r:id="rId8"/>
    <sheet name="29-35" sheetId="41" r:id="rId9"/>
    <sheet name="29-41" sheetId="21" r:id="rId10"/>
    <sheet name="30-35" sheetId="42" r:id="rId11"/>
    <sheet name="29-30" sheetId="19" r:id="rId12"/>
    <sheet name="29-38" sheetId="38" r:id="rId13"/>
    <sheet name="30-41" sheetId="35" r:id="rId14"/>
    <sheet name="Aribtrar" sheetId="44" r:id="rId15"/>
  </sheets>
  <functionGroups builtInGroupCount="18"/>
  <definedNames>
    <definedName name="_xlnm._FilterDatabase" localSheetId="1" hidden="1">'Flujo de Fondos'!$A$1:$L$107</definedName>
    <definedName name="_xlnm._FilterDatabase" localSheetId="0" hidden="1">'Flujo de Fondos (2)'!$A$1:$L$107</definedName>
  </definedNames>
  <calcPr calcId="162913"/>
  <pivotCaches>
    <pivotCache cacheId="0" r:id="rId16"/>
    <pivotCache cacheId="1" r:id="rId17"/>
    <pivotCache cacheId="2" r:id="rId18"/>
    <pivotCache cacheId="3" r:id="rId19"/>
    <pivotCache cacheId="4" r:id="rId20"/>
  </pivotCaches>
  <extLst>
    <ext xmlns:x14="http://schemas.microsoft.com/office/spreadsheetml/2009/9/main" uri="{8193D73E-4604-4355-AFF4-8A2333D13BE4}">
      <x14:definedNames>
        <x14:definedName name="myParidad">
          <x14:argumentDescriptions count="4">
            <x14:argumentDescription index="0">Fecha ultimo pago.</x14:argumentDescription>
            <x14:argumentDescription index="1">Precio.</x14:argumentDescription>
            <x14:argumentDescription index="2">Valor residual.</x14:argumentDescription>
            <x14:argumentDescription index="3">Interes</x14:argumentDescription>
          </x14:argumentDescriptions>
        </x14:definedName>
        <x14:definedName name="MyXIRR">
          <x14:argumentDescriptions count="4">
            <x14:argumentDescription index="0">Flujo de fondos.</x14:argumentDescription>
            <x14:argumentDescription index="1">Fechas de Pago.</x14:argumentDescription>
            <x14:argumentDescription index="2">Desembolso.</x14:argumentDescription>
            <x14:argumentDescription index="3">Fecha de calculo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H5" i="44" l="1"/>
  <c r="F6" i="44"/>
  <c r="E6" i="44"/>
  <c r="E5" i="44"/>
  <c r="E4" i="44"/>
  <c r="D6" i="44"/>
  <c r="D5" i="44"/>
  <c r="D4" i="44"/>
  <c r="C6" i="44"/>
  <c r="C5" i="44"/>
  <c r="B6" i="44"/>
  <c r="C4" i="44"/>
  <c r="B5" i="44"/>
  <c r="O7" i="12"/>
  <c r="O15" i="12"/>
  <c r="O10" i="12"/>
  <c r="O13" i="12"/>
  <c r="O6" i="12"/>
  <c r="O8" i="12"/>
  <c r="O14" i="12"/>
  <c r="O11" i="12"/>
  <c r="O9" i="12"/>
  <c r="O12" i="12"/>
  <c r="O24" i="12"/>
  <c r="M18" i="12"/>
  <c r="G27" i="12"/>
  <c r="M17" i="12"/>
  <c r="O18" i="12"/>
  <c r="O21" i="12"/>
  <c r="O25" i="12"/>
  <c r="C19" i="12"/>
  <c r="O16" i="12"/>
  <c r="E23" i="12"/>
  <c r="K6" i="12"/>
  <c r="E7" i="12"/>
  <c r="C15" i="12"/>
  <c r="E16" i="12"/>
  <c r="I22" i="12"/>
  <c r="M16" i="12"/>
  <c r="M22" i="12"/>
  <c r="M28" i="12"/>
  <c r="K20" i="12"/>
  <c r="K22" i="12"/>
  <c r="E22" i="12"/>
  <c r="E21" i="12"/>
  <c r="I28" i="12"/>
  <c r="C16" i="12"/>
  <c r="M14" i="12"/>
  <c r="K14" i="12"/>
  <c r="K11" i="12"/>
  <c r="I9" i="12"/>
  <c r="G15" i="12"/>
  <c r="C7" i="12"/>
  <c r="E13" i="12"/>
  <c r="G28" i="12"/>
  <c r="M21" i="12"/>
  <c r="C26" i="12"/>
  <c r="I21" i="12"/>
  <c r="I25" i="12"/>
  <c r="M25" i="12"/>
  <c r="O26" i="12"/>
  <c r="C22" i="12"/>
  <c r="C24" i="12"/>
  <c r="M19" i="12"/>
  <c r="M23" i="12"/>
  <c r="M7" i="12"/>
  <c r="K15" i="12"/>
  <c r="I6" i="12"/>
  <c r="I10" i="12"/>
  <c r="G8" i="12"/>
  <c r="E10" i="12"/>
  <c r="C8" i="12"/>
  <c r="G17" i="12"/>
  <c r="K25" i="12"/>
  <c r="I24" i="12"/>
  <c r="E19" i="12"/>
  <c r="G20" i="12"/>
  <c r="K21" i="12"/>
  <c r="I17" i="12"/>
  <c r="C20" i="12"/>
  <c r="G21" i="12"/>
  <c r="C23" i="12"/>
  <c r="C27" i="12"/>
  <c r="K24" i="12"/>
  <c r="M15" i="12"/>
  <c r="K10" i="12"/>
  <c r="I14" i="12"/>
  <c r="I11" i="12"/>
  <c r="G9" i="12"/>
  <c r="E12" i="12"/>
  <c r="C9" i="12"/>
  <c r="E27" i="12"/>
  <c r="E17" i="12"/>
  <c r="G18" i="12"/>
  <c r="M20" i="12"/>
  <c r="G25" i="12"/>
  <c r="C25" i="12"/>
  <c r="K16" i="12"/>
  <c r="I20" i="12"/>
  <c r="G26" i="12"/>
  <c r="K23" i="12"/>
  <c r="C21" i="12"/>
  <c r="E25" i="12"/>
  <c r="M8" i="12"/>
  <c r="K12" i="12"/>
  <c r="I12" i="12"/>
  <c r="G12" i="12"/>
  <c r="G19" i="12"/>
  <c r="G16" i="12"/>
  <c r="E18" i="12"/>
  <c r="O28" i="12"/>
  <c r="G22" i="12"/>
  <c r="G23" i="12"/>
  <c r="I18" i="12"/>
  <c r="M27" i="12"/>
  <c r="O19" i="12"/>
  <c r="K17" i="12"/>
  <c r="C17" i="12"/>
  <c r="G24" i="12"/>
  <c r="M9" i="12"/>
  <c r="K13" i="12"/>
  <c r="I13" i="12"/>
  <c r="G13" i="12"/>
  <c r="G11" i="12"/>
  <c r="E15" i="12"/>
  <c r="C11" i="12"/>
  <c r="M24" i="12"/>
  <c r="C28" i="12"/>
  <c r="C18" i="12"/>
  <c r="K18" i="12"/>
  <c r="E26" i="12"/>
  <c r="M26" i="12"/>
  <c r="O23" i="12"/>
  <c r="E24" i="12"/>
  <c r="I16" i="12"/>
  <c r="I19" i="12"/>
  <c r="E20" i="12"/>
  <c r="M12" i="12"/>
  <c r="M10" i="12"/>
  <c r="K7" i="12"/>
  <c r="I7" i="12"/>
  <c r="G6" i="12"/>
  <c r="E6" i="12"/>
  <c r="E9" i="12"/>
  <c r="C12" i="12"/>
  <c r="K27" i="12"/>
  <c r="O20" i="12"/>
  <c r="I27" i="12"/>
  <c r="I23" i="12"/>
  <c r="I26" i="12"/>
  <c r="O22" i="12"/>
  <c r="O27" i="12"/>
  <c r="K28" i="12"/>
  <c r="K26" i="12"/>
  <c r="E28" i="12"/>
  <c r="K19" i="12"/>
  <c r="M13" i="12"/>
  <c r="M11" i="12"/>
  <c r="K8" i="12"/>
  <c r="I15" i="12"/>
  <c r="G14" i="12"/>
  <c r="E14" i="12"/>
  <c r="E11" i="12"/>
  <c r="C14" i="12"/>
  <c r="O17" i="12"/>
  <c r="M6" i="12"/>
  <c r="K9" i="12"/>
  <c r="I8" i="12"/>
  <c r="G7" i="12"/>
  <c r="C6" i="12"/>
  <c r="E8" i="12"/>
  <c r="C13" i="12"/>
  <c r="G10" i="12"/>
  <c r="C10" i="12"/>
  <c r="P10" i="12" l="1"/>
  <c r="R10" i="12"/>
  <c r="W10" i="12"/>
  <c r="S10" i="12"/>
  <c r="Y10" i="12"/>
  <c r="V10" i="12"/>
  <c r="U10" i="12"/>
  <c r="R13" i="12"/>
  <c r="W13" i="12"/>
  <c r="P13" i="12"/>
  <c r="S13" i="12"/>
  <c r="Q8" i="12"/>
  <c r="T8" i="12"/>
  <c r="P6" i="12"/>
  <c r="R6" i="12"/>
  <c r="W6" i="12"/>
  <c r="S6" i="12"/>
  <c r="V7" i="12"/>
  <c r="Y7" i="12"/>
  <c r="U7" i="12"/>
  <c r="X8" i="12"/>
  <c r="R14" i="12"/>
  <c r="W14" i="12"/>
  <c r="P14" i="12"/>
  <c r="S14" i="12"/>
  <c r="Q11" i="12"/>
  <c r="T11" i="12"/>
  <c r="Q14" i="12"/>
  <c r="T14" i="12"/>
  <c r="V14" i="12"/>
  <c r="Y14" i="12"/>
  <c r="U14" i="12"/>
  <c r="X15" i="12"/>
  <c r="P12" i="12"/>
  <c r="R12" i="12"/>
  <c r="W12" i="12"/>
  <c r="S12" i="12"/>
  <c r="Q9" i="12"/>
  <c r="T9" i="12"/>
  <c r="Q6" i="12"/>
  <c r="T6" i="12"/>
  <c r="V6" i="12"/>
  <c r="Y6" i="12"/>
  <c r="U6" i="12"/>
  <c r="X7" i="12"/>
  <c r="P11" i="12"/>
  <c r="R11" i="12"/>
  <c r="W11" i="12"/>
  <c r="S11" i="12"/>
  <c r="Q15" i="12"/>
  <c r="T15" i="12"/>
  <c r="V11" i="12"/>
  <c r="Y11" i="12"/>
  <c r="U11" i="12"/>
  <c r="V13" i="12"/>
  <c r="Y13" i="12"/>
  <c r="U13" i="12"/>
  <c r="X13" i="12"/>
  <c r="V12" i="12"/>
  <c r="Y12" i="12"/>
  <c r="U12" i="12"/>
  <c r="X12" i="12"/>
  <c r="P9" i="12"/>
  <c r="R9" i="12"/>
  <c r="W9" i="12"/>
  <c r="S9" i="12"/>
  <c r="Q12" i="12"/>
  <c r="T12" i="12"/>
  <c r="Y9" i="12"/>
  <c r="V9" i="12"/>
  <c r="U9" i="12"/>
  <c r="X11" i="12"/>
  <c r="X14" i="12"/>
  <c r="W8" i="12"/>
  <c r="P8" i="12"/>
  <c r="R8" i="12"/>
  <c r="S8" i="12"/>
  <c r="Q10" i="12"/>
  <c r="T10" i="12"/>
  <c r="Y8" i="12"/>
  <c r="V8" i="12"/>
  <c r="U8" i="12"/>
  <c r="X10" i="12"/>
  <c r="X6" i="12"/>
  <c r="Q13" i="12"/>
  <c r="T13" i="12"/>
  <c r="R7" i="12"/>
  <c r="W7" i="12"/>
  <c r="P7" i="12"/>
  <c r="S7" i="12"/>
  <c r="V15" i="12"/>
  <c r="Y15" i="12"/>
  <c r="U15" i="12"/>
  <c r="X9" i="12"/>
  <c r="W15" i="12"/>
  <c r="P15" i="12"/>
  <c r="R15" i="12"/>
  <c r="S15" i="12"/>
  <c r="Q7" i="12"/>
  <c r="T7" i="12"/>
  <c r="Y24" i="12"/>
  <c r="Y26" i="12"/>
  <c r="Y22" i="12"/>
  <c r="Y21" i="12"/>
  <c r="Y27" i="12"/>
  <c r="Y16" i="12"/>
  <c r="Y25" i="12"/>
  <c r="Y23" i="12"/>
  <c r="Y20" i="12"/>
  <c r="Y28" i="12"/>
  <c r="Y18" i="12"/>
  <c r="Y19" i="12"/>
  <c r="Y17" i="12"/>
  <c r="P23" i="12"/>
  <c r="R23" i="12"/>
  <c r="W23" i="12"/>
  <c r="S23" i="12"/>
  <c r="Q17" i="12"/>
  <c r="T17" i="12"/>
  <c r="V20" i="12"/>
  <c r="U20" i="12"/>
  <c r="X17" i="12"/>
  <c r="Q19" i="12"/>
  <c r="T19" i="12"/>
  <c r="P22" i="12"/>
  <c r="R22" i="12"/>
  <c r="W22" i="12"/>
  <c r="S22" i="12"/>
  <c r="P16" i="12"/>
  <c r="R16" i="12"/>
  <c r="S16" i="12"/>
  <c r="Q24" i="12"/>
  <c r="T24" i="12"/>
  <c r="V18" i="12"/>
  <c r="U18" i="12"/>
  <c r="X24" i="12"/>
  <c r="V22" i="12"/>
  <c r="U22" i="12"/>
  <c r="W21" i="12"/>
  <c r="P21" i="12"/>
  <c r="R21" i="12"/>
  <c r="S21" i="12"/>
  <c r="Q21" i="12"/>
  <c r="T21" i="12"/>
  <c r="Q16" i="12"/>
  <c r="T16" i="12"/>
  <c r="V24" i="12"/>
  <c r="U24" i="12"/>
  <c r="X16" i="12"/>
  <c r="R20" i="12"/>
  <c r="W20" i="12"/>
  <c r="P20" i="12"/>
  <c r="S20" i="12"/>
  <c r="Q20" i="12"/>
  <c r="T20" i="12"/>
  <c r="V21" i="12"/>
  <c r="U21" i="12"/>
  <c r="U16" i="12"/>
  <c r="X23" i="12"/>
  <c r="P19" i="12"/>
  <c r="R19" i="12"/>
  <c r="W19" i="12"/>
  <c r="S19" i="12"/>
  <c r="Q18" i="12"/>
  <c r="T18" i="12"/>
  <c r="V19" i="12"/>
  <c r="U19" i="12"/>
  <c r="X21" i="12"/>
  <c r="X22" i="12"/>
  <c r="X18" i="12"/>
  <c r="P18" i="12"/>
  <c r="R18" i="12"/>
  <c r="W18" i="12"/>
  <c r="S18" i="12"/>
  <c r="Q23" i="12"/>
  <c r="T23" i="12"/>
  <c r="V17" i="12"/>
  <c r="U17" i="12"/>
  <c r="X20" i="12"/>
  <c r="R24" i="12"/>
  <c r="W24" i="12"/>
  <c r="P24" i="12"/>
  <c r="S24" i="12"/>
  <c r="W17" i="12"/>
  <c r="P17" i="12"/>
  <c r="R17" i="12"/>
  <c r="S17" i="12"/>
  <c r="Q22" i="12"/>
  <c r="T22" i="12"/>
  <c r="V23" i="12"/>
  <c r="U23" i="12"/>
  <c r="X19" i="12"/>
  <c r="W16" i="12"/>
  <c r="V16" i="12"/>
  <c r="V25" i="12"/>
  <c r="U25" i="12"/>
  <c r="X25" i="12"/>
  <c r="T25" i="12"/>
  <c r="Q25" i="12"/>
  <c r="S25" i="12"/>
  <c r="W25" i="12"/>
  <c r="P25" i="12"/>
  <c r="R25" i="12"/>
  <c r="X27" i="12"/>
  <c r="Q28" i="12"/>
  <c r="X26" i="12"/>
  <c r="V28" i="12"/>
  <c r="P27" i="12"/>
  <c r="R27" i="12"/>
  <c r="W27" i="12"/>
  <c r="S27" i="12"/>
  <c r="X28" i="12"/>
  <c r="R26" i="12"/>
  <c r="P26" i="12"/>
  <c r="W26" i="12"/>
  <c r="S26" i="12"/>
  <c r="Q27" i="12"/>
  <c r="T27" i="12"/>
  <c r="Q26" i="12"/>
  <c r="T26" i="12"/>
  <c r="V27" i="12"/>
  <c r="U27" i="12"/>
  <c r="V26" i="12"/>
  <c r="U26" i="12"/>
  <c r="W28" i="12"/>
  <c r="P28" i="12"/>
  <c r="R28" i="12"/>
  <c r="U28" i="12"/>
  <c r="S28" i="12"/>
  <c r="T28" i="12"/>
  <c r="O29" i="12"/>
  <c r="Q38" i="1" l="1"/>
  <c r="K38" i="1"/>
  <c r="E38" i="1"/>
  <c r="Q9" i="1"/>
  <c r="K9" i="1"/>
  <c r="E9" i="1"/>
  <c r="Q80" i="36"/>
  <c r="P80" i="36"/>
  <c r="O80" i="36"/>
  <c r="K73" i="36"/>
  <c r="J73" i="36"/>
  <c r="I73" i="36"/>
  <c r="E68" i="36"/>
  <c r="D68" i="36"/>
  <c r="C68" i="36"/>
  <c r="N37" i="36"/>
  <c r="N38" i="36" s="1"/>
  <c r="H37" i="36"/>
  <c r="H38" i="36" s="1"/>
  <c r="B37" i="36"/>
  <c r="B38" i="36" s="1"/>
  <c r="W29" i="36"/>
  <c r="V29" i="36"/>
  <c r="U29" i="36"/>
  <c r="Q29" i="36"/>
  <c r="P29" i="36"/>
  <c r="O29" i="36"/>
  <c r="K27" i="36"/>
  <c r="J27" i="36"/>
  <c r="I27" i="36"/>
  <c r="E27" i="36"/>
  <c r="D27" i="36"/>
  <c r="C27" i="36"/>
  <c r="T8" i="36"/>
  <c r="T9" i="36" s="1"/>
  <c r="N8" i="36"/>
  <c r="N9" i="36" s="1"/>
  <c r="H8" i="36"/>
  <c r="H9" i="36" s="1"/>
  <c r="B8" i="36"/>
  <c r="B9" i="36" s="1"/>
  <c r="F6" i="36"/>
  <c r="D5" i="36"/>
  <c r="F4" i="36"/>
  <c r="O30" i="12"/>
  <c r="C30" i="12"/>
  <c r="I29" i="12"/>
  <c r="M30" i="12"/>
  <c r="E30" i="12"/>
  <c r="E29" i="12"/>
  <c r="G29" i="12"/>
  <c r="K29" i="12"/>
  <c r="K30" i="12"/>
  <c r="I30" i="12"/>
  <c r="C29" i="12"/>
  <c r="G30" i="12"/>
  <c r="M29" i="12"/>
  <c r="Y30" i="12" l="1"/>
  <c r="Y29" i="12"/>
  <c r="R29" i="12"/>
  <c r="W29" i="12"/>
  <c r="P29" i="12"/>
  <c r="S29" i="12"/>
  <c r="V29" i="12"/>
  <c r="U29" i="12"/>
  <c r="Q29" i="12"/>
  <c r="T29" i="12"/>
  <c r="X29" i="12"/>
  <c r="W30" i="12"/>
  <c r="P30" i="12"/>
  <c r="R30" i="12"/>
  <c r="S30" i="12"/>
  <c r="Q30" i="12"/>
  <c r="T30" i="12"/>
  <c r="V30" i="12"/>
  <c r="U30" i="12"/>
  <c r="X30" i="12"/>
  <c r="D5" i="1"/>
  <c r="F6" i="1"/>
  <c r="F4" i="1"/>
  <c r="K35" i="12"/>
  <c r="I36" i="12"/>
  <c r="O39" i="12"/>
  <c r="K39" i="12"/>
  <c r="I32" i="12"/>
  <c r="M33" i="12"/>
  <c r="E37" i="12"/>
  <c r="E31" i="12"/>
  <c r="M31" i="12"/>
  <c r="O35" i="12"/>
  <c r="G38" i="12"/>
  <c r="C36" i="12"/>
  <c r="M35" i="12"/>
  <c r="I39" i="12"/>
  <c r="E33" i="12"/>
  <c r="C38" i="12"/>
  <c r="G39" i="12"/>
  <c r="G36" i="12"/>
  <c r="G32" i="12"/>
  <c r="E39" i="12"/>
  <c r="C33" i="12"/>
  <c r="I37" i="12"/>
  <c r="E38" i="12"/>
  <c r="O37" i="12"/>
  <c r="O36" i="12"/>
  <c r="O38" i="12"/>
  <c r="I34" i="12"/>
  <c r="I33" i="12"/>
  <c r="G34" i="12"/>
  <c r="G31" i="12"/>
  <c r="I35" i="12"/>
  <c r="M34" i="12"/>
  <c r="M39" i="12"/>
  <c r="O31" i="12"/>
  <c r="C37" i="12"/>
  <c r="K32" i="12"/>
  <c r="I31" i="12"/>
  <c r="M36" i="12"/>
  <c r="C31" i="12"/>
  <c r="K38" i="12"/>
  <c r="C35" i="12"/>
  <c r="I38" i="12"/>
  <c r="M32" i="12"/>
  <c r="G33" i="12"/>
  <c r="O34" i="12"/>
  <c r="K31" i="12"/>
  <c r="C39" i="12"/>
  <c r="K34" i="12"/>
  <c r="E32" i="12"/>
  <c r="O32" i="12"/>
  <c r="K36" i="12"/>
  <c r="E36" i="12"/>
  <c r="G37" i="12"/>
  <c r="E34" i="12"/>
  <c r="K33" i="12"/>
  <c r="O33" i="12"/>
  <c r="K37" i="12"/>
  <c r="C32" i="12"/>
  <c r="G35" i="12"/>
  <c r="M38" i="12"/>
  <c r="M37" i="12"/>
  <c r="E35" i="12"/>
  <c r="C34" i="12"/>
  <c r="Y36" i="12" l="1"/>
  <c r="Y39" i="12"/>
  <c r="Y33" i="12"/>
  <c r="Y34" i="12"/>
  <c r="Y38" i="12"/>
  <c r="Y37" i="12"/>
  <c r="Y32" i="12"/>
  <c r="Y31" i="12"/>
  <c r="Y35" i="12"/>
  <c r="W34" i="12"/>
  <c r="W38" i="12"/>
  <c r="W37" i="12"/>
  <c r="W31" i="12"/>
  <c r="W32" i="12"/>
  <c r="W36" i="12"/>
  <c r="W33" i="12"/>
  <c r="W39" i="12"/>
  <c r="W35" i="12"/>
  <c r="V38" i="12"/>
  <c r="V31" i="12"/>
  <c r="V35" i="12"/>
  <c r="V32" i="12"/>
  <c r="V36" i="12"/>
  <c r="V37" i="12"/>
  <c r="V34" i="12"/>
  <c r="V39" i="12"/>
  <c r="V33" i="12"/>
  <c r="X39" i="12"/>
  <c r="X32" i="12"/>
  <c r="X37" i="12"/>
  <c r="X38" i="12"/>
  <c r="X36" i="12"/>
  <c r="X35" i="12"/>
  <c r="X33" i="12"/>
  <c r="X34" i="12"/>
  <c r="X31" i="12"/>
  <c r="U39" i="12"/>
  <c r="R36" i="12"/>
  <c r="P36" i="12"/>
  <c r="S36" i="12"/>
  <c r="U35" i="12"/>
  <c r="Q38" i="12"/>
  <c r="T38" i="12"/>
  <c r="Q34" i="12"/>
  <c r="T34" i="12"/>
  <c r="U38" i="12"/>
  <c r="U34" i="12"/>
  <c r="Q39" i="12"/>
  <c r="T39" i="12"/>
  <c r="U37" i="12"/>
  <c r="P39" i="12"/>
  <c r="R39" i="12"/>
  <c r="S39" i="12"/>
  <c r="Q37" i="12"/>
  <c r="T37" i="12"/>
  <c r="U33" i="12"/>
  <c r="P35" i="12"/>
  <c r="R35" i="12"/>
  <c r="S35" i="12"/>
  <c r="Q35" i="12"/>
  <c r="T35" i="12"/>
  <c r="Q36" i="12"/>
  <c r="T36" i="12"/>
  <c r="P34" i="12"/>
  <c r="R34" i="12"/>
  <c r="S34" i="12"/>
  <c r="Q33" i="12"/>
  <c r="T33" i="12"/>
  <c r="P38" i="12"/>
  <c r="R38" i="12"/>
  <c r="S38" i="12"/>
  <c r="R33" i="12"/>
  <c r="P33" i="12"/>
  <c r="S33" i="12"/>
  <c r="U36" i="12"/>
  <c r="R37" i="12"/>
  <c r="P37" i="12"/>
  <c r="S37" i="12"/>
  <c r="Q31" i="12"/>
  <c r="T31" i="12"/>
  <c r="P31" i="12"/>
  <c r="R31" i="12"/>
  <c r="S31" i="12"/>
  <c r="Q32" i="12"/>
  <c r="T32" i="12"/>
  <c r="R32" i="12"/>
  <c r="P32" i="12"/>
  <c r="S32" i="12"/>
  <c r="U31" i="12"/>
  <c r="U32" i="12"/>
  <c r="H8" i="1"/>
  <c r="N37" i="1" l="1"/>
  <c r="H37" i="1"/>
  <c r="B37" i="1"/>
  <c r="T8" i="1"/>
  <c r="N8" i="1"/>
  <c r="B8" i="1"/>
  <c r="N9" i="1" l="1"/>
  <c r="H9" i="1"/>
  <c r="T9" i="1" l="1"/>
  <c r="I73" i="1"/>
  <c r="J73" i="1"/>
  <c r="K73" i="1"/>
  <c r="H38" i="1"/>
  <c r="O80" i="1"/>
  <c r="P80" i="1"/>
  <c r="Q80" i="1"/>
  <c r="N38" i="1"/>
  <c r="C68" i="1"/>
  <c r="D68" i="1"/>
  <c r="E68" i="1"/>
  <c r="B38" i="1"/>
  <c r="B9" i="1" l="1"/>
  <c r="I27" i="1" l="1"/>
  <c r="J27" i="1"/>
  <c r="K27" i="1"/>
  <c r="U29" i="1"/>
  <c r="V29" i="1"/>
  <c r="W29" i="1"/>
  <c r="C27" i="1"/>
  <c r="D27" i="1"/>
  <c r="E27" i="1"/>
  <c r="O29" i="1"/>
  <c r="P29" i="1"/>
  <c r="Q29" i="1"/>
  <c r="E69" i="12"/>
  <c r="I143" i="12"/>
  <c r="I41" i="12"/>
  <c r="I139" i="12"/>
  <c r="K183" i="12"/>
  <c r="M49" i="12"/>
  <c r="K169" i="12"/>
  <c r="I169" i="12"/>
  <c r="M52" i="12"/>
  <c r="I124" i="12"/>
  <c r="O69" i="12"/>
  <c r="O89" i="12"/>
  <c r="O50" i="12"/>
  <c r="O85" i="12"/>
  <c r="C98" i="12"/>
  <c r="K97" i="12"/>
  <c r="G54" i="12"/>
  <c r="M77" i="12"/>
  <c r="K111" i="12"/>
  <c r="E82" i="12"/>
  <c r="I213" i="12"/>
  <c r="I81" i="12"/>
  <c r="C53" i="12"/>
  <c r="M56" i="12"/>
  <c r="K81" i="12"/>
  <c r="K75" i="12"/>
  <c r="K89" i="12"/>
  <c r="K53" i="12"/>
  <c r="K222" i="12"/>
  <c r="E47" i="12"/>
  <c r="E50" i="12"/>
  <c r="K99" i="12"/>
  <c r="C86" i="12"/>
  <c r="K84" i="12"/>
  <c r="K77" i="12"/>
  <c r="K143" i="12"/>
  <c r="I44" i="12"/>
  <c r="K86" i="12"/>
  <c r="G53" i="12"/>
  <c r="K120" i="12"/>
  <c r="I141" i="12"/>
  <c r="K142" i="12"/>
  <c r="C74" i="12"/>
  <c r="K83" i="12"/>
  <c r="K150" i="12"/>
  <c r="M53" i="12"/>
  <c r="I127" i="12"/>
  <c r="K219" i="12"/>
  <c r="G56" i="12"/>
  <c r="O74" i="12"/>
  <c r="I100" i="12"/>
  <c r="K153" i="12"/>
  <c r="I206" i="12"/>
  <c r="I189" i="12"/>
  <c r="K215" i="12"/>
  <c r="E83" i="12"/>
  <c r="K188" i="12"/>
  <c r="C52" i="12"/>
  <c r="K78" i="12"/>
  <c r="I221" i="12"/>
  <c r="I70" i="12"/>
  <c r="E99" i="12"/>
  <c r="I56" i="12"/>
  <c r="I95" i="12"/>
  <c r="E41" i="12"/>
  <c r="I117" i="12"/>
  <c r="K108" i="12"/>
  <c r="K203" i="12"/>
  <c r="M74" i="12"/>
  <c r="C95" i="12"/>
  <c r="K42" i="12"/>
  <c r="M93" i="12"/>
  <c r="I134" i="12"/>
  <c r="I158" i="12"/>
  <c r="K40" i="12"/>
  <c r="I52" i="12"/>
  <c r="E78" i="12"/>
  <c r="C84" i="12"/>
  <c r="K103" i="12"/>
  <c r="C62" i="12"/>
  <c r="I80" i="12"/>
  <c r="G76" i="12"/>
  <c r="I136" i="12"/>
  <c r="I227" i="12"/>
  <c r="I186" i="12"/>
  <c r="O154" i="12"/>
  <c r="M127" i="12"/>
  <c r="M141" i="12"/>
  <c r="E134" i="12"/>
  <c r="M114" i="12"/>
  <c r="C185" i="12"/>
  <c r="C109" i="12"/>
  <c r="E153" i="12"/>
  <c r="C168" i="12"/>
  <c r="E221" i="12"/>
  <c r="E227" i="12"/>
  <c r="O182" i="12"/>
  <c r="E210" i="12"/>
  <c r="M190" i="12"/>
  <c r="M187" i="12"/>
  <c r="M195" i="12"/>
  <c r="E100" i="12"/>
  <c r="M137" i="12"/>
  <c r="G122" i="12"/>
  <c r="G142" i="12"/>
  <c r="E174" i="12"/>
  <c r="C159" i="12"/>
  <c r="G170" i="12"/>
  <c r="C108" i="12"/>
  <c r="C145" i="12"/>
  <c r="C199" i="12"/>
  <c r="O188" i="12"/>
  <c r="E115" i="12"/>
  <c r="G107" i="12"/>
  <c r="M179" i="12"/>
  <c r="C141" i="12"/>
  <c r="O211" i="12"/>
  <c r="M226" i="12"/>
  <c r="E116" i="12"/>
  <c r="C136" i="12"/>
  <c r="E160" i="12"/>
  <c r="E149" i="12"/>
  <c r="O228" i="12"/>
  <c r="O210" i="12"/>
  <c r="C134" i="12"/>
  <c r="G154" i="12"/>
  <c r="G190" i="12"/>
  <c r="I150" i="12"/>
  <c r="E54" i="12"/>
  <c r="I156" i="12"/>
  <c r="G50" i="12"/>
  <c r="I148" i="12"/>
  <c r="E76" i="12"/>
  <c r="O90" i="12"/>
  <c r="G94" i="12"/>
  <c r="I179" i="12"/>
  <c r="K163" i="12"/>
  <c r="I224" i="12"/>
  <c r="K174" i="12"/>
  <c r="I153" i="12"/>
  <c r="K121" i="12"/>
  <c r="K115" i="12"/>
  <c r="E46" i="12"/>
  <c r="O70" i="12"/>
  <c r="C73" i="12"/>
  <c r="M90" i="12"/>
  <c r="K52" i="12"/>
  <c r="K114" i="12"/>
  <c r="K80" i="12"/>
  <c r="K44" i="12"/>
  <c r="O48" i="12"/>
  <c r="M62" i="12"/>
  <c r="I78" i="12"/>
  <c r="K101" i="12"/>
  <c r="C56" i="12"/>
  <c r="I216" i="12"/>
  <c r="E97" i="12"/>
  <c r="K127" i="12"/>
  <c r="I111" i="12"/>
  <c r="K200" i="12"/>
  <c r="K129" i="12"/>
  <c r="I61" i="12"/>
  <c r="E64" i="12"/>
  <c r="K194" i="12"/>
  <c r="I94" i="12"/>
  <c r="O59" i="12"/>
  <c r="C66" i="12"/>
  <c r="I220" i="12"/>
  <c r="I188" i="12"/>
  <c r="K177" i="12"/>
  <c r="G46" i="12"/>
  <c r="C70" i="12"/>
  <c r="I77" i="12"/>
  <c r="I196" i="12"/>
  <c r="I198" i="12"/>
  <c r="I140" i="12"/>
  <c r="M75" i="12"/>
  <c r="E81" i="12"/>
  <c r="K107" i="12"/>
  <c r="K218" i="12"/>
  <c r="G96" i="12"/>
  <c r="C68" i="12"/>
  <c r="C51" i="12"/>
  <c r="K176" i="12"/>
  <c r="C99" i="12"/>
  <c r="M44" i="12"/>
  <c r="M91" i="12"/>
  <c r="G44" i="12"/>
  <c r="I170" i="12"/>
  <c r="K214" i="12"/>
  <c r="O84" i="12"/>
  <c r="I159" i="12"/>
  <c r="K152" i="12"/>
  <c r="E58" i="12"/>
  <c r="G55" i="12"/>
  <c r="E56" i="12"/>
  <c r="K186" i="12"/>
  <c r="I149" i="12"/>
  <c r="K184" i="12"/>
  <c r="K132" i="12"/>
  <c r="K74" i="12"/>
  <c r="K125" i="12"/>
  <c r="M72" i="12"/>
  <c r="M40" i="12"/>
  <c r="I214" i="12"/>
  <c r="K48" i="12"/>
  <c r="I142" i="12"/>
  <c r="G69" i="12"/>
  <c r="I212" i="12"/>
  <c r="I183" i="12"/>
  <c r="I86" i="12"/>
  <c r="K175" i="12"/>
  <c r="O209" i="12"/>
  <c r="E145" i="12"/>
  <c r="E124" i="12"/>
  <c r="M172" i="12"/>
  <c r="G196" i="12"/>
  <c r="G138" i="12"/>
  <c r="C193" i="12"/>
  <c r="O133" i="12"/>
  <c r="C100" i="12"/>
  <c r="G172" i="12"/>
  <c r="G131" i="12"/>
  <c r="C104" i="12"/>
  <c r="G144" i="12"/>
  <c r="G201" i="12"/>
  <c r="G115" i="12"/>
  <c r="E156" i="12"/>
  <c r="O105" i="12"/>
  <c r="O220" i="12"/>
  <c r="O152" i="12"/>
  <c r="G141" i="12"/>
  <c r="M171" i="12"/>
  <c r="O141" i="12"/>
  <c r="M189" i="12"/>
  <c r="E189" i="12"/>
  <c r="C146" i="12"/>
  <c r="C118" i="12"/>
  <c r="O126" i="12"/>
  <c r="G214" i="12"/>
  <c r="G209" i="12"/>
  <c r="G134" i="12"/>
  <c r="G186" i="12"/>
  <c r="M193" i="12"/>
  <c r="G157" i="12"/>
  <c r="M203" i="12"/>
  <c r="C129" i="12"/>
  <c r="E194" i="12"/>
  <c r="C214" i="12"/>
  <c r="M129" i="12"/>
  <c r="G112" i="12"/>
  <c r="O157" i="12"/>
  <c r="G211" i="12"/>
  <c r="G216" i="12"/>
  <c r="I180" i="12"/>
  <c r="M84" i="12"/>
  <c r="I51" i="12"/>
  <c r="M81" i="12"/>
  <c r="M94" i="12"/>
  <c r="O63" i="12"/>
  <c r="O65" i="12"/>
  <c r="O67" i="12"/>
  <c r="I57" i="12"/>
  <c r="I129" i="12"/>
  <c r="C80" i="12"/>
  <c r="C97" i="12"/>
  <c r="G83" i="12"/>
  <c r="I218" i="12"/>
  <c r="K212" i="12"/>
  <c r="I109" i="12"/>
  <c r="K144" i="12"/>
  <c r="M58" i="12"/>
  <c r="O83" i="12"/>
  <c r="O51" i="12"/>
  <c r="K179" i="12"/>
  <c r="O58" i="12"/>
  <c r="M88" i="12"/>
  <c r="M59" i="12"/>
  <c r="M86" i="12"/>
  <c r="C40" i="12"/>
  <c r="O71" i="12"/>
  <c r="I219" i="12"/>
  <c r="I45" i="12"/>
  <c r="M85" i="12"/>
  <c r="K98" i="12"/>
  <c r="G60" i="12"/>
  <c r="K205" i="12"/>
  <c r="I132" i="12"/>
  <c r="I131" i="12"/>
  <c r="E55" i="12"/>
  <c r="I47" i="12"/>
  <c r="I182" i="12"/>
  <c r="C93" i="12"/>
  <c r="I59" i="12"/>
  <c r="M65" i="12"/>
  <c r="I192" i="12"/>
  <c r="I205" i="12"/>
  <c r="M87" i="12"/>
  <c r="I84" i="12"/>
  <c r="O66" i="12"/>
  <c r="K165" i="12"/>
  <c r="I165" i="12"/>
  <c r="K178" i="12"/>
  <c r="I120" i="12"/>
  <c r="I144" i="12"/>
  <c r="I99" i="12"/>
  <c r="I66" i="12"/>
  <c r="G85" i="12"/>
  <c r="G93" i="12"/>
  <c r="K202" i="12"/>
  <c r="I146" i="12"/>
  <c r="G97" i="12"/>
  <c r="C79" i="12"/>
  <c r="C92" i="12"/>
  <c r="G42" i="12"/>
  <c r="C54" i="12"/>
  <c r="I208" i="12"/>
  <c r="I106" i="12"/>
  <c r="M50" i="12"/>
  <c r="K128" i="12"/>
  <c r="C90" i="12"/>
  <c r="M46" i="12"/>
  <c r="I128" i="12"/>
  <c r="I83" i="12"/>
  <c r="K130" i="12"/>
  <c r="I103" i="12"/>
  <c r="E40" i="12"/>
  <c r="K227" i="12"/>
  <c r="K56" i="12"/>
  <c r="K208" i="12"/>
  <c r="O53" i="12"/>
  <c r="K112" i="12"/>
  <c r="M89" i="12"/>
  <c r="I87" i="12"/>
  <c r="I82" i="12"/>
  <c r="M82" i="12"/>
  <c r="K192" i="12"/>
  <c r="O40" i="12"/>
  <c r="G173" i="12"/>
  <c r="O148" i="12"/>
  <c r="M140" i="12"/>
  <c r="C163" i="12"/>
  <c r="M156" i="12"/>
  <c r="C135" i="12"/>
  <c r="G108" i="12"/>
  <c r="M192" i="12"/>
  <c r="C216" i="12"/>
  <c r="G213" i="12"/>
  <c r="E200" i="12"/>
  <c r="G116" i="12"/>
  <c r="O159" i="12"/>
  <c r="E186" i="12"/>
  <c r="C122" i="12"/>
  <c r="G103" i="12"/>
  <c r="O146" i="12"/>
  <c r="M185" i="12"/>
  <c r="O122" i="12"/>
  <c r="M124" i="12"/>
  <c r="G106" i="12"/>
  <c r="E119" i="12"/>
  <c r="E152" i="12"/>
  <c r="O213" i="12"/>
  <c r="E168" i="12"/>
  <c r="O198" i="12"/>
  <c r="E136" i="12"/>
  <c r="M106" i="12"/>
  <c r="G126" i="12"/>
  <c r="C208" i="12"/>
  <c r="E109" i="12"/>
  <c r="G179" i="12"/>
  <c r="E114" i="12"/>
  <c r="C148" i="12"/>
  <c r="G118" i="12"/>
  <c r="C173" i="12"/>
  <c r="O132" i="12"/>
  <c r="M205" i="12"/>
  <c r="G171" i="12"/>
  <c r="M126" i="12"/>
  <c r="M134" i="12"/>
  <c r="E205" i="12"/>
  <c r="K196" i="12"/>
  <c r="E73" i="12"/>
  <c r="K226" i="12"/>
  <c r="I185" i="12"/>
  <c r="I155" i="12"/>
  <c r="C61" i="12"/>
  <c r="I171" i="12"/>
  <c r="I207" i="12"/>
  <c r="M67" i="12"/>
  <c r="I194" i="12"/>
  <c r="K85" i="12"/>
  <c r="I173" i="12"/>
  <c r="C77" i="12"/>
  <c r="O82" i="12"/>
  <c r="I58" i="12"/>
  <c r="I199" i="12"/>
  <c r="I123" i="12"/>
  <c r="K199" i="12"/>
  <c r="E51" i="12"/>
  <c r="C60" i="12"/>
  <c r="K133" i="12"/>
  <c r="G68" i="12"/>
  <c r="K71" i="12"/>
  <c r="E86" i="12"/>
  <c r="G91" i="12"/>
  <c r="G49" i="12"/>
  <c r="C69" i="12"/>
  <c r="K65" i="12"/>
  <c r="G98" i="12"/>
  <c r="G48" i="12"/>
  <c r="C72" i="12"/>
  <c r="K69" i="12"/>
  <c r="M98" i="12"/>
  <c r="E44" i="12"/>
  <c r="I104" i="12"/>
  <c r="I191" i="12"/>
  <c r="E80" i="12"/>
  <c r="E98" i="12"/>
  <c r="K90" i="12"/>
  <c r="E48" i="12"/>
  <c r="K173" i="12"/>
  <c r="K224" i="12"/>
  <c r="I64" i="12"/>
  <c r="I118" i="12"/>
  <c r="C91" i="12"/>
  <c r="M95" i="12"/>
  <c r="C63" i="12"/>
  <c r="M41" i="12"/>
  <c r="I151" i="12"/>
  <c r="G89" i="12"/>
  <c r="I161" i="12"/>
  <c r="C43" i="12"/>
  <c r="O46" i="12"/>
  <c r="G70" i="12"/>
  <c r="K82" i="12"/>
  <c r="I89" i="12"/>
  <c r="K63" i="12"/>
  <c r="G80" i="12"/>
  <c r="K47" i="12"/>
  <c r="G63" i="12"/>
  <c r="K213" i="12"/>
  <c r="I85" i="12"/>
  <c r="E75" i="12"/>
  <c r="I175" i="12"/>
  <c r="G86" i="12"/>
  <c r="K191" i="12"/>
  <c r="M45" i="12"/>
  <c r="K62" i="12"/>
  <c r="M96" i="12"/>
  <c r="I107" i="12"/>
  <c r="K91" i="12"/>
  <c r="G78" i="12"/>
  <c r="K109" i="12"/>
  <c r="K193" i="12"/>
  <c r="I167" i="12"/>
  <c r="M64" i="12"/>
  <c r="G73" i="12"/>
  <c r="C78" i="12"/>
  <c r="E90" i="12"/>
  <c r="I157" i="12"/>
  <c r="O98" i="12"/>
  <c r="G58" i="12"/>
  <c r="I172" i="12"/>
  <c r="K158" i="12"/>
  <c r="O167" i="12"/>
  <c r="O185" i="12"/>
  <c r="O112" i="12"/>
  <c r="O218" i="12"/>
  <c r="M133" i="12"/>
  <c r="C223" i="12"/>
  <c r="O187" i="12"/>
  <c r="E208" i="12"/>
  <c r="O115" i="12"/>
  <c r="C207" i="12"/>
  <c r="O150" i="12"/>
  <c r="C154" i="12"/>
  <c r="C198" i="12"/>
  <c r="M105" i="12"/>
  <c r="O102" i="12"/>
  <c r="O221" i="12"/>
  <c r="O108" i="12"/>
  <c r="M131" i="12"/>
  <c r="G120" i="12"/>
  <c r="O125" i="12"/>
  <c r="E139" i="12"/>
  <c r="C227" i="12"/>
  <c r="M112" i="12"/>
  <c r="C215" i="12"/>
  <c r="E177" i="12"/>
  <c r="O143" i="12"/>
  <c r="O181" i="12"/>
  <c r="G176" i="12"/>
  <c r="E206" i="12"/>
  <c r="G117" i="12"/>
  <c r="G130" i="12"/>
  <c r="M161" i="12"/>
  <c r="E143" i="12"/>
  <c r="M207" i="12"/>
  <c r="E225" i="12"/>
  <c r="C172" i="12"/>
  <c r="C228" i="12"/>
  <c r="C157" i="12"/>
  <c r="O208" i="12"/>
  <c r="G180" i="12"/>
  <c r="E108" i="12"/>
  <c r="E131" i="12"/>
  <c r="O139" i="12"/>
  <c r="E68" i="12"/>
  <c r="O45" i="12"/>
  <c r="M66" i="12"/>
  <c r="O47" i="12"/>
  <c r="G51" i="12"/>
  <c r="K187" i="12"/>
  <c r="C64" i="12"/>
  <c r="K210" i="12"/>
  <c r="M92" i="12"/>
  <c r="I138" i="12"/>
  <c r="C85" i="12"/>
  <c r="G74" i="12"/>
  <c r="C41" i="12"/>
  <c r="E84" i="12"/>
  <c r="E85" i="12"/>
  <c r="I147" i="12"/>
  <c r="K206" i="12"/>
  <c r="O42" i="12"/>
  <c r="I201" i="12"/>
  <c r="M71" i="12"/>
  <c r="K104" i="12"/>
  <c r="I133" i="12"/>
  <c r="K140" i="12"/>
  <c r="K228" i="12"/>
  <c r="O68" i="12"/>
  <c r="K57" i="12"/>
  <c r="O95" i="12"/>
  <c r="K172" i="12"/>
  <c r="K167" i="12"/>
  <c r="K64" i="12"/>
  <c r="K171" i="12"/>
  <c r="K49" i="12"/>
  <c r="I228" i="12"/>
  <c r="E43" i="12"/>
  <c r="K126" i="12"/>
  <c r="I50" i="12"/>
  <c r="K197" i="12"/>
  <c r="I92" i="12"/>
  <c r="K207" i="12"/>
  <c r="K136" i="12"/>
  <c r="I67" i="12"/>
  <c r="K170" i="12"/>
  <c r="K137" i="12"/>
  <c r="K154" i="12"/>
  <c r="I184" i="12"/>
  <c r="I63" i="12"/>
  <c r="I202" i="12"/>
  <c r="K223" i="12"/>
  <c r="I65" i="12"/>
  <c r="I101" i="12"/>
  <c r="K66" i="12"/>
  <c r="O57" i="12"/>
  <c r="K123" i="12"/>
  <c r="G61" i="12"/>
  <c r="O87" i="12"/>
  <c r="C67" i="12"/>
  <c r="C46" i="12"/>
  <c r="I200" i="12"/>
  <c r="I102" i="12"/>
  <c r="I98" i="12"/>
  <c r="M83" i="12"/>
  <c r="M55" i="12"/>
  <c r="K113" i="12"/>
  <c r="E59" i="12"/>
  <c r="K88" i="12"/>
  <c r="I162" i="12"/>
  <c r="K110" i="12"/>
  <c r="I116" i="12"/>
  <c r="I75" i="12"/>
  <c r="M63" i="12"/>
  <c r="I68" i="12"/>
  <c r="G41" i="12"/>
  <c r="K141" i="12"/>
  <c r="E95" i="12"/>
  <c r="C96" i="12"/>
  <c r="C59" i="12"/>
  <c r="I177" i="12"/>
  <c r="I74" i="12"/>
  <c r="K185" i="12"/>
  <c r="I96" i="12"/>
  <c r="K68" i="12"/>
  <c r="I145" i="12"/>
  <c r="E53" i="12"/>
  <c r="M57" i="12"/>
  <c r="C75" i="12"/>
  <c r="C177" i="12"/>
  <c r="M108" i="12"/>
  <c r="M164" i="12"/>
  <c r="C131" i="12"/>
  <c r="C119" i="12"/>
  <c r="E103" i="12"/>
  <c r="O128" i="12"/>
  <c r="C180" i="12"/>
  <c r="C206" i="12"/>
  <c r="E197" i="12"/>
  <c r="M147" i="12"/>
  <c r="C112" i="12"/>
  <c r="C115" i="12"/>
  <c r="M178" i="12"/>
  <c r="E167" i="12"/>
  <c r="E125" i="12"/>
  <c r="E141" i="12"/>
  <c r="G206" i="12"/>
  <c r="G210" i="12"/>
  <c r="O203" i="12"/>
  <c r="M168" i="12"/>
  <c r="C107" i="12"/>
  <c r="G137" i="12"/>
  <c r="M197" i="12"/>
  <c r="O158" i="12"/>
  <c r="M138" i="12"/>
  <c r="M176" i="12"/>
  <c r="E165" i="12"/>
  <c r="E195" i="12"/>
  <c r="C174" i="12"/>
  <c r="O212" i="12"/>
  <c r="C106" i="12"/>
  <c r="G114" i="12"/>
  <c r="C110" i="12"/>
  <c r="G158" i="12"/>
  <c r="E148" i="12"/>
  <c r="G129" i="12"/>
  <c r="C123" i="12"/>
  <c r="O204" i="12"/>
  <c r="E173" i="12"/>
  <c r="G208" i="12"/>
  <c r="C102" i="12"/>
  <c r="G47" i="12"/>
  <c r="E66" i="12"/>
  <c r="G79" i="12"/>
  <c r="K182" i="12"/>
  <c r="K58" i="12"/>
  <c r="C44" i="12"/>
  <c r="M42" i="12"/>
  <c r="K45" i="12"/>
  <c r="C55" i="12"/>
  <c r="E74" i="12"/>
  <c r="I126" i="12"/>
  <c r="K43" i="12"/>
  <c r="E45" i="12"/>
  <c r="O97" i="12"/>
  <c r="O80" i="12"/>
  <c r="K211" i="12"/>
  <c r="I90" i="12"/>
  <c r="K93" i="12"/>
  <c r="C76" i="12"/>
  <c r="O61" i="12"/>
  <c r="K106" i="12"/>
  <c r="M79" i="12"/>
  <c r="I110" i="12"/>
  <c r="I40" i="12"/>
  <c r="G40" i="12"/>
  <c r="K148" i="12"/>
  <c r="K145" i="12"/>
  <c r="G72" i="12"/>
  <c r="K161" i="12"/>
  <c r="O55" i="12"/>
  <c r="G81" i="12"/>
  <c r="K122" i="12"/>
  <c r="C50" i="12"/>
  <c r="E77" i="12"/>
  <c r="E65" i="12"/>
  <c r="I181" i="12"/>
  <c r="E94" i="12"/>
  <c r="K61" i="12"/>
  <c r="E60" i="12"/>
  <c r="K134" i="12"/>
  <c r="E57" i="12"/>
  <c r="E91" i="12"/>
  <c r="K139" i="12"/>
  <c r="I195" i="12"/>
  <c r="K55" i="12"/>
  <c r="I88" i="12"/>
  <c r="C83" i="12"/>
  <c r="C94" i="12"/>
  <c r="E63" i="12"/>
  <c r="I178" i="12"/>
  <c r="C89" i="12"/>
  <c r="E89" i="12"/>
  <c r="I160" i="12"/>
  <c r="O96" i="12"/>
  <c r="I164" i="12"/>
  <c r="O92" i="12"/>
  <c r="K76" i="12"/>
  <c r="E92" i="12"/>
  <c r="I79" i="12"/>
  <c r="I163" i="12"/>
  <c r="I203" i="12"/>
  <c r="G66" i="12"/>
  <c r="O60" i="12"/>
  <c r="O49" i="12"/>
  <c r="G75" i="12"/>
  <c r="I115" i="12"/>
  <c r="E70" i="12"/>
  <c r="K149" i="12"/>
  <c r="K105" i="12"/>
  <c r="K54" i="12"/>
  <c r="M51" i="12"/>
  <c r="I121" i="12"/>
  <c r="G64" i="12"/>
  <c r="O73" i="12"/>
  <c r="O94" i="12"/>
  <c r="I55" i="12"/>
  <c r="M97" i="12"/>
  <c r="M61" i="12"/>
  <c r="G84" i="12"/>
  <c r="K147" i="12"/>
  <c r="I119" i="12"/>
  <c r="K117" i="12"/>
  <c r="K70" i="12"/>
  <c r="K181" i="12"/>
  <c r="M60" i="12"/>
  <c r="G177" i="12"/>
  <c r="G166" i="12"/>
  <c r="M174" i="12"/>
  <c r="C183" i="12"/>
  <c r="O137" i="12"/>
  <c r="E126" i="12"/>
  <c r="C165" i="12"/>
  <c r="E179" i="12"/>
  <c r="M184" i="12"/>
  <c r="G136" i="12"/>
  <c r="O190" i="12"/>
  <c r="O222" i="12"/>
  <c r="M109" i="12"/>
  <c r="E150" i="12"/>
  <c r="M173" i="12"/>
  <c r="G165" i="12"/>
  <c r="G148" i="12"/>
  <c r="M154" i="12"/>
  <c r="E161" i="12"/>
  <c r="E204" i="12"/>
  <c r="O205" i="12"/>
  <c r="C169" i="12"/>
  <c r="M222" i="12"/>
  <c r="C209" i="12"/>
  <c r="G153" i="12"/>
  <c r="M144" i="12"/>
  <c r="E199" i="12"/>
  <c r="C158" i="12"/>
  <c r="G167" i="12"/>
  <c r="C217" i="12"/>
  <c r="E158" i="12"/>
  <c r="E151" i="12"/>
  <c r="G181" i="12"/>
  <c r="M146" i="12"/>
  <c r="C155" i="12"/>
  <c r="M191" i="12"/>
  <c r="C124" i="12"/>
  <c r="C111" i="12"/>
  <c r="M142" i="12"/>
  <c r="G110" i="12"/>
  <c r="E162" i="12"/>
  <c r="O160" i="12"/>
  <c r="E49" i="12"/>
  <c r="M43" i="12"/>
  <c r="G65" i="12"/>
  <c r="O78" i="12"/>
  <c r="K73" i="12"/>
  <c r="K204" i="12"/>
  <c r="C45" i="12"/>
  <c r="O64" i="12"/>
  <c r="C71" i="12"/>
  <c r="I154" i="12"/>
  <c r="I71" i="12"/>
  <c r="C82" i="12"/>
  <c r="C88" i="12"/>
  <c r="E96" i="12"/>
  <c r="I91" i="12"/>
  <c r="K87" i="12"/>
  <c r="I215" i="12"/>
  <c r="C47" i="12"/>
  <c r="I222" i="12"/>
  <c r="O56" i="12"/>
  <c r="O79" i="12"/>
  <c r="G87" i="12"/>
  <c r="I53" i="12"/>
  <c r="K221" i="12"/>
  <c r="I114" i="12"/>
  <c r="K95" i="12"/>
  <c r="I226" i="12"/>
  <c r="O77" i="12"/>
  <c r="I152" i="12"/>
  <c r="K67" i="12"/>
  <c r="M78" i="12"/>
  <c r="M54" i="12"/>
  <c r="K166" i="12"/>
  <c r="K102" i="12"/>
  <c r="O93" i="12"/>
  <c r="I105" i="12"/>
  <c r="K79" i="12"/>
  <c r="I108" i="12"/>
  <c r="G59" i="12"/>
  <c r="I72" i="12"/>
  <c r="O81" i="12"/>
  <c r="G67" i="12"/>
  <c r="E88" i="12"/>
  <c r="C87" i="12"/>
  <c r="K59" i="12"/>
  <c r="K190" i="12"/>
  <c r="O54" i="12"/>
  <c r="G71" i="12"/>
  <c r="G90" i="12"/>
  <c r="I225" i="12"/>
  <c r="K195" i="12"/>
  <c r="K41" i="12"/>
  <c r="K209" i="12"/>
  <c r="K198" i="12"/>
  <c r="E61" i="12"/>
  <c r="K51" i="12"/>
  <c r="G45" i="12"/>
  <c r="I76" i="12"/>
  <c r="K116" i="12"/>
  <c r="C65" i="12"/>
  <c r="I193" i="12"/>
  <c r="M47" i="12"/>
  <c r="I187" i="12"/>
  <c r="C49" i="12"/>
  <c r="I49" i="12"/>
  <c r="G62" i="12"/>
  <c r="C57" i="12"/>
  <c r="E87" i="12"/>
  <c r="G43" i="12"/>
  <c r="G57" i="12"/>
  <c r="K157" i="12"/>
  <c r="G99" i="12"/>
  <c r="I190" i="12"/>
  <c r="K159" i="12"/>
  <c r="K118" i="12"/>
  <c r="K180" i="12"/>
  <c r="K156" i="12"/>
  <c r="K72" i="12"/>
  <c r="C81" i="12"/>
  <c r="O62" i="12"/>
  <c r="M76" i="12"/>
  <c r="K135" i="12"/>
  <c r="O88" i="12"/>
  <c r="O99" i="12"/>
  <c r="M99" i="12"/>
  <c r="G168" i="12"/>
  <c r="M188" i="12"/>
  <c r="C171" i="12"/>
  <c r="G199" i="12"/>
  <c r="M208" i="12"/>
  <c r="M116" i="12"/>
  <c r="O106" i="12"/>
  <c r="M221" i="12"/>
  <c r="E184" i="12"/>
  <c r="C162" i="12"/>
  <c r="G221" i="12"/>
  <c r="E185" i="12"/>
  <c r="M145" i="12"/>
  <c r="E175" i="12"/>
  <c r="C143" i="12"/>
  <c r="E122" i="12"/>
  <c r="C116" i="12"/>
  <c r="C175" i="12"/>
  <c r="M159" i="12"/>
  <c r="M128" i="12"/>
  <c r="E147" i="12"/>
  <c r="O135" i="12"/>
  <c r="E104" i="12"/>
  <c r="G132" i="12"/>
  <c r="C128" i="12"/>
  <c r="O178" i="12"/>
  <c r="O192" i="12"/>
  <c r="G128" i="12"/>
  <c r="G151" i="12"/>
  <c r="O215" i="12"/>
  <c r="O226" i="12"/>
  <c r="C225" i="12"/>
  <c r="C160" i="12"/>
  <c r="M165" i="12"/>
  <c r="O169" i="12"/>
  <c r="G125" i="12"/>
  <c r="O207" i="12"/>
  <c r="M180" i="12"/>
  <c r="O225" i="12"/>
  <c r="O174" i="12"/>
  <c r="C151" i="12"/>
  <c r="C127" i="12"/>
  <c r="I176" i="12"/>
  <c r="M69" i="12"/>
  <c r="I135" i="12"/>
  <c r="K220" i="12"/>
  <c r="I43" i="12"/>
  <c r="K138" i="12"/>
  <c r="K50" i="12"/>
  <c r="K168" i="12"/>
  <c r="I197" i="12"/>
  <c r="I209" i="12"/>
  <c r="I112" i="12"/>
  <c r="I130" i="12"/>
  <c r="K131" i="12"/>
  <c r="O76" i="12"/>
  <c r="I223" i="12"/>
  <c r="I210" i="12"/>
  <c r="I54" i="12"/>
  <c r="K189" i="12"/>
  <c r="I168" i="12"/>
  <c r="I93" i="12"/>
  <c r="C58" i="12"/>
  <c r="I62" i="12"/>
  <c r="K100" i="12"/>
  <c r="E62" i="12"/>
  <c r="O44" i="12"/>
  <c r="E52" i="12"/>
  <c r="K164" i="12"/>
  <c r="K92" i="12"/>
  <c r="I166" i="12"/>
  <c r="G52" i="12"/>
  <c r="I211" i="12"/>
  <c r="K96" i="12"/>
  <c r="K217" i="12"/>
  <c r="K162" i="12"/>
  <c r="O41" i="12"/>
  <c r="K46" i="12"/>
  <c r="M68" i="12"/>
  <c r="I174" i="12"/>
  <c r="O91" i="12"/>
  <c r="E79" i="12"/>
  <c r="I69" i="12"/>
  <c r="K119" i="12"/>
  <c r="O43" i="12"/>
  <c r="I97" i="12"/>
  <c r="O75" i="12"/>
  <c r="C42" i="12"/>
  <c r="G95" i="12"/>
  <c r="M73" i="12"/>
  <c r="O86" i="12"/>
  <c r="I42" i="12"/>
  <c r="G92" i="12"/>
  <c r="E71" i="12"/>
  <c r="E67" i="12"/>
  <c r="K160" i="12"/>
  <c r="K60" i="12"/>
  <c r="K94" i="12"/>
  <c r="G77" i="12"/>
  <c r="K124" i="12"/>
  <c r="C48" i="12"/>
  <c r="I125" i="12"/>
  <c r="G82" i="12"/>
  <c r="M80" i="12"/>
  <c r="G88" i="12"/>
  <c r="I60" i="12"/>
  <c r="M48" i="12"/>
  <c r="I48" i="12"/>
  <c r="M70" i="12"/>
  <c r="K146" i="12"/>
  <c r="E93" i="12"/>
  <c r="I217" i="12"/>
  <c r="K201" i="12"/>
  <c r="K225" i="12"/>
  <c r="K155" i="12"/>
  <c r="I73" i="12"/>
  <c r="O52" i="12"/>
  <c r="E72" i="12"/>
  <c r="O72" i="12"/>
  <c r="K151" i="12"/>
  <c r="I137" i="12"/>
  <c r="I204" i="12"/>
  <c r="I113" i="12"/>
  <c r="I46" i="12"/>
  <c r="E42" i="12"/>
  <c r="I122" i="12"/>
  <c r="K216" i="12"/>
  <c r="M162" i="12"/>
  <c r="E207" i="12"/>
  <c r="G135" i="12"/>
  <c r="E196" i="12"/>
  <c r="G159" i="12"/>
  <c r="E180" i="12"/>
  <c r="O144" i="12"/>
  <c r="C203" i="12"/>
  <c r="G194" i="12"/>
  <c r="C182" i="12"/>
  <c r="G149" i="12"/>
  <c r="C218" i="12"/>
  <c r="M223" i="12"/>
  <c r="G145" i="12"/>
  <c r="C149" i="12"/>
  <c r="M225" i="12"/>
  <c r="O173" i="12"/>
  <c r="C150" i="12"/>
  <c r="M194" i="12"/>
  <c r="C113" i="12"/>
  <c r="M217" i="12"/>
  <c r="G147" i="12"/>
  <c r="E146" i="12"/>
  <c r="C191" i="12"/>
  <c r="G105" i="12"/>
  <c r="E120" i="12"/>
  <c r="G204" i="12"/>
  <c r="O179" i="12"/>
  <c r="M125" i="12"/>
  <c r="E190" i="12"/>
  <c r="E123" i="12"/>
  <c r="O136" i="12"/>
  <c r="O164" i="12"/>
  <c r="E172" i="12"/>
  <c r="E188" i="12"/>
  <c r="M149" i="12"/>
  <c r="E202" i="12"/>
  <c r="G119" i="12"/>
  <c r="M123" i="12"/>
  <c r="E209" i="12"/>
  <c r="C166" i="12"/>
  <c r="C210" i="12"/>
  <c r="M160" i="12"/>
  <c r="G161" i="12"/>
  <c r="C147" i="12"/>
  <c r="G160" i="12"/>
  <c r="O214" i="12"/>
  <c r="O140" i="12"/>
  <c r="G222" i="12"/>
  <c r="C204" i="12"/>
  <c r="C176" i="12"/>
  <c r="E228" i="12"/>
  <c r="E135" i="12"/>
  <c r="G104" i="12"/>
  <c r="O196" i="12"/>
  <c r="M152" i="12"/>
  <c r="M200" i="12"/>
  <c r="C130" i="12"/>
  <c r="O166" i="12"/>
  <c r="E224" i="12"/>
  <c r="M118" i="12"/>
  <c r="M201" i="12"/>
  <c r="M110" i="12"/>
  <c r="O114" i="12"/>
  <c r="C125" i="12"/>
  <c r="C120" i="12"/>
  <c r="E187" i="12"/>
  <c r="C144" i="12"/>
  <c r="O199" i="12"/>
  <c r="E171" i="12"/>
  <c r="M102" i="12"/>
  <c r="C221" i="12"/>
  <c r="O165" i="12"/>
  <c r="G109" i="12"/>
  <c r="O100" i="12"/>
  <c r="E132" i="12"/>
  <c r="C188" i="12"/>
  <c r="C105" i="12"/>
  <c r="C142" i="12"/>
  <c r="O227" i="12"/>
  <c r="E111" i="12"/>
  <c r="O145" i="12"/>
  <c r="M148" i="12"/>
  <c r="E183" i="12"/>
  <c r="G226" i="12"/>
  <c r="G101" i="12"/>
  <c r="E211" i="12"/>
  <c r="G189" i="12"/>
  <c r="E118" i="12"/>
  <c r="O104" i="12"/>
  <c r="G219" i="12"/>
  <c r="M153" i="12"/>
  <c r="G155" i="12"/>
  <c r="G124" i="12"/>
  <c r="C219" i="12"/>
  <c r="O206" i="12"/>
  <c r="C114" i="12"/>
  <c r="M219" i="12"/>
  <c r="O119" i="12"/>
  <c r="G164" i="12"/>
  <c r="O111" i="12"/>
  <c r="G217" i="12"/>
  <c r="O180" i="12"/>
  <c r="C213" i="12"/>
  <c r="C222" i="12"/>
  <c r="O193" i="12"/>
  <c r="G178" i="12"/>
  <c r="E154" i="12"/>
  <c r="C103" i="12"/>
  <c r="M204" i="12"/>
  <c r="C224" i="12"/>
  <c r="C192" i="12"/>
  <c r="E193" i="12"/>
  <c r="M177" i="12"/>
  <c r="E157" i="12"/>
  <c r="O202" i="12"/>
  <c r="C126" i="12"/>
  <c r="O109" i="12"/>
  <c r="E219" i="12"/>
  <c r="M132" i="12"/>
  <c r="G224" i="12"/>
  <c r="E107" i="12"/>
  <c r="C212" i="12"/>
  <c r="E203" i="12"/>
  <c r="M218" i="12"/>
  <c r="O129" i="12"/>
  <c r="O149" i="12"/>
  <c r="E127" i="12"/>
  <c r="O170" i="12"/>
  <c r="O101" i="12"/>
  <c r="G123" i="12"/>
  <c r="M121" i="12"/>
  <c r="M202" i="12"/>
  <c r="E121" i="12"/>
  <c r="E170" i="12"/>
  <c r="E110" i="12"/>
  <c r="M216" i="12"/>
  <c r="O155" i="12"/>
  <c r="O124" i="12"/>
  <c r="G182" i="12"/>
  <c r="C211" i="12"/>
  <c r="E163" i="12"/>
  <c r="O142" i="12"/>
  <c r="G133" i="12"/>
  <c r="G198" i="12"/>
  <c r="G205" i="12"/>
  <c r="E101" i="12"/>
  <c r="M215" i="12"/>
  <c r="E192" i="12"/>
  <c r="O120" i="12"/>
  <c r="O195" i="12"/>
  <c r="C186" i="12"/>
  <c r="E164" i="12"/>
  <c r="M211" i="12"/>
  <c r="G185" i="12"/>
  <c r="G102" i="12"/>
  <c r="O201" i="12"/>
  <c r="G143" i="12"/>
  <c r="M175" i="12"/>
  <c r="E128" i="12"/>
  <c r="C189" i="12"/>
  <c r="M100" i="12"/>
  <c r="C133" i="12"/>
  <c r="E138" i="12"/>
  <c r="M101" i="12"/>
  <c r="E217" i="12"/>
  <c r="C202" i="12"/>
  <c r="O121" i="12"/>
  <c r="O183" i="12"/>
  <c r="C170" i="12"/>
  <c r="G163" i="12"/>
  <c r="O163" i="12"/>
  <c r="C195" i="12"/>
  <c r="E113" i="12"/>
  <c r="G195" i="12"/>
  <c r="M143" i="12"/>
  <c r="C184" i="12"/>
  <c r="O184" i="12"/>
  <c r="M228" i="12"/>
  <c r="M210" i="12"/>
  <c r="M198" i="12"/>
  <c r="O217" i="12"/>
  <c r="E226" i="12"/>
  <c r="O194" i="12"/>
  <c r="O130" i="12"/>
  <c r="C161" i="12"/>
  <c r="M181" i="12"/>
  <c r="C220" i="12"/>
  <c r="C156" i="12"/>
  <c r="M136" i="12"/>
  <c r="C194" i="12"/>
  <c r="O138" i="12"/>
  <c r="M206" i="12"/>
  <c r="E191" i="12"/>
  <c r="G113" i="12"/>
  <c r="O176" i="12"/>
  <c r="G227" i="12"/>
  <c r="M196" i="12"/>
  <c r="E117" i="12"/>
  <c r="C121" i="12"/>
  <c r="O118" i="12"/>
  <c r="C178" i="12"/>
  <c r="M113" i="12"/>
  <c r="O107" i="12"/>
  <c r="G174" i="12"/>
  <c r="M158" i="12"/>
  <c r="O103" i="12"/>
  <c r="G152" i="12"/>
  <c r="M212" i="12"/>
  <c r="G225" i="12"/>
  <c r="M209" i="12"/>
  <c r="M150" i="12"/>
  <c r="O168" i="12"/>
  <c r="E176" i="12"/>
  <c r="G193" i="12"/>
  <c r="E140" i="12"/>
  <c r="C187" i="12"/>
  <c r="E137" i="12"/>
  <c r="O189" i="12"/>
  <c r="G228" i="12"/>
  <c r="E198" i="12"/>
  <c r="C200" i="12"/>
  <c r="O177" i="12"/>
  <c r="O223" i="12"/>
  <c r="E102" i="12"/>
  <c r="G184" i="12"/>
  <c r="G191" i="12"/>
  <c r="C205" i="12"/>
  <c r="O171" i="12"/>
  <c r="E212" i="12"/>
  <c r="G220" i="12"/>
  <c r="E106" i="12"/>
  <c r="C226" i="12"/>
  <c r="G175" i="12"/>
  <c r="O153" i="12"/>
  <c r="G100" i="12"/>
  <c r="O162" i="12"/>
  <c r="G162" i="12"/>
  <c r="E218" i="12"/>
  <c r="O197" i="12"/>
  <c r="C197" i="12"/>
  <c r="M182" i="12"/>
  <c r="G139" i="12"/>
  <c r="G207" i="12"/>
  <c r="G146" i="12"/>
  <c r="G188" i="12"/>
  <c r="E169" i="12"/>
  <c r="O123" i="12"/>
  <c r="G121" i="12"/>
  <c r="M157" i="12"/>
  <c r="E181" i="12"/>
  <c r="E223" i="12"/>
  <c r="E182" i="12"/>
  <c r="G111" i="12"/>
  <c r="M107" i="12"/>
  <c r="O110" i="12"/>
  <c r="M199" i="12"/>
  <c r="O127" i="12"/>
  <c r="O151" i="12"/>
  <c r="C196" i="12"/>
  <c r="M115" i="12"/>
  <c r="M135" i="12"/>
  <c r="M151" i="12"/>
  <c r="G156" i="12"/>
  <c r="O186" i="12"/>
  <c r="G150" i="12"/>
  <c r="G212" i="12"/>
  <c r="O156" i="12"/>
  <c r="E215" i="12"/>
  <c r="C164" i="12"/>
  <c r="C117" i="12"/>
  <c r="G215" i="12"/>
  <c r="E220" i="12"/>
  <c r="G203" i="12"/>
  <c r="M169" i="12"/>
  <c r="E133" i="12"/>
  <c r="M117" i="12"/>
  <c r="E178" i="12"/>
  <c r="O116" i="12"/>
  <c r="M103" i="12"/>
  <c r="E222" i="12"/>
  <c r="M213" i="12"/>
  <c r="E144" i="12"/>
  <c r="M155" i="12"/>
  <c r="G200" i="12"/>
  <c r="G192" i="12"/>
  <c r="M186" i="12"/>
  <c r="C153" i="12"/>
  <c r="G140" i="12"/>
  <c r="C132" i="12"/>
  <c r="M120" i="12"/>
  <c r="E129" i="12"/>
  <c r="O117" i="12"/>
  <c r="M167" i="12"/>
  <c r="G169" i="12"/>
  <c r="M166" i="12"/>
  <c r="C190" i="12"/>
  <c r="O200" i="12"/>
  <c r="M224" i="12"/>
  <c r="M130" i="12"/>
  <c r="E166" i="12"/>
  <c r="E112" i="12"/>
  <c r="C201" i="12"/>
  <c r="G218" i="12"/>
  <c r="O191" i="12"/>
  <c r="O175" i="12"/>
  <c r="E155" i="12"/>
  <c r="C152" i="12"/>
  <c r="C139" i="12"/>
  <c r="G187" i="12"/>
  <c r="M104" i="12"/>
  <c r="G202" i="12"/>
  <c r="O161" i="12"/>
  <c r="G127" i="12"/>
  <c r="M170" i="12"/>
  <c r="C138" i="12"/>
  <c r="C137" i="12"/>
  <c r="E130" i="12"/>
  <c r="M111" i="12"/>
  <c r="C140" i="12"/>
  <c r="C179" i="12"/>
  <c r="C101" i="12"/>
  <c r="O131" i="12"/>
  <c r="E201" i="12"/>
  <c r="O216" i="12"/>
  <c r="E214" i="12"/>
  <c r="O219" i="12"/>
  <c r="M183" i="12"/>
  <c r="O147" i="12"/>
  <c r="C181" i="12"/>
  <c r="G183" i="12"/>
  <c r="O113" i="12"/>
  <c r="E105" i="12"/>
  <c r="E142" i="12"/>
  <c r="E159" i="12"/>
  <c r="O172" i="12"/>
  <c r="G197" i="12"/>
  <c r="M227" i="12"/>
  <c r="M122" i="12"/>
  <c r="C167" i="12"/>
  <c r="O224" i="12"/>
  <c r="G223" i="12"/>
  <c r="M163" i="12"/>
  <c r="M139" i="12"/>
  <c r="E213" i="12"/>
  <c r="M214" i="12"/>
  <c r="O134" i="12"/>
  <c r="M220" i="12"/>
  <c r="E216" i="12"/>
  <c r="M119" i="12"/>
  <c r="Q216" i="12" l="1"/>
  <c r="T216" i="12"/>
  <c r="Q213" i="12"/>
  <c r="T213" i="12"/>
  <c r="Y223" i="12"/>
  <c r="V223" i="12"/>
  <c r="U223" i="12"/>
  <c r="W167" i="12"/>
  <c r="S167" i="12"/>
  <c r="R167" i="12"/>
  <c r="P167" i="12"/>
  <c r="Y197" i="12"/>
  <c r="U197" i="12"/>
  <c r="V197" i="12"/>
  <c r="Q159" i="12"/>
  <c r="T159" i="12"/>
  <c r="T142" i="12"/>
  <c r="Q142" i="12"/>
  <c r="T105" i="12"/>
  <c r="Q105" i="12"/>
  <c r="Y183" i="12"/>
  <c r="U183" i="12"/>
  <c r="V183" i="12"/>
  <c r="S181" i="12"/>
  <c r="R181" i="12"/>
  <c r="W181" i="12"/>
  <c r="P181" i="12"/>
  <c r="Q214" i="12"/>
  <c r="T214" i="12"/>
  <c r="T201" i="12"/>
  <c r="Q201" i="12"/>
  <c r="S101" i="12"/>
  <c r="R101" i="12"/>
  <c r="W101" i="12"/>
  <c r="P101" i="12"/>
  <c r="S179" i="12"/>
  <c r="R179" i="12"/>
  <c r="W179" i="12"/>
  <c r="P179" i="12"/>
  <c r="P140" i="12"/>
  <c r="S140" i="12"/>
  <c r="W140" i="12"/>
  <c r="R140" i="12"/>
  <c r="Q130" i="12"/>
  <c r="T130" i="12"/>
  <c r="S137" i="12"/>
  <c r="P137" i="12"/>
  <c r="R137" i="12"/>
  <c r="W137" i="12"/>
  <c r="P138" i="12"/>
  <c r="R138" i="12"/>
  <c r="S138" i="12"/>
  <c r="W138" i="12"/>
  <c r="Y127" i="12"/>
  <c r="U127" i="12"/>
  <c r="V127" i="12"/>
  <c r="Y202" i="12"/>
  <c r="U202" i="12"/>
  <c r="V202" i="12"/>
  <c r="U187" i="12"/>
  <c r="V187" i="12"/>
  <c r="Y187" i="12"/>
  <c r="W139" i="12"/>
  <c r="S139" i="12"/>
  <c r="R139" i="12"/>
  <c r="P139" i="12"/>
  <c r="S152" i="12"/>
  <c r="P152" i="12"/>
  <c r="R152" i="12"/>
  <c r="W152" i="12"/>
  <c r="Q155" i="12"/>
  <c r="T155" i="12"/>
  <c r="Y218" i="12"/>
  <c r="U218" i="12"/>
  <c r="V218" i="12"/>
  <c r="W201" i="12"/>
  <c r="R201" i="12"/>
  <c r="S201" i="12"/>
  <c r="P201" i="12"/>
  <c r="Q112" i="12"/>
  <c r="T112" i="12"/>
  <c r="Q166" i="12"/>
  <c r="T166" i="12"/>
  <c r="W190" i="12"/>
  <c r="R190" i="12"/>
  <c r="P190" i="12"/>
  <c r="S190" i="12"/>
  <c r="Y169" i="12"/>
  <c r="U169" i="12"/>
  <c r="V169" i="12"/>
  <c r="T129" i="12"/>
  <c r="Q129" i="12"/>
  <c r="W132" i="12"/>
  <c r="P132" i="12"/>
  <c r="S132" i="12"/>
  <c r="R132" i="12"/>
  <c r="Y140" i="12"/>
  <c r="U140" i="12"/>
  <c r="V140" i="12"/>
  <c r="R153" i="12"/>
  <c r="P153" i="12"/>
  <c r="S153" i="12"/>
  <c r="W153" i="12"/>
  <c r="Y192" i="12"/>
  <c r="V192" i="12"/>
  <c r="U192" i="12"/>
  <c r="Y200" i="12"/>
  <c r="U200" i="12"/>
  <c r="V200" i="12"/>
  <c r="T144" i="12"/>
  <c r="Q144" i="12"/>
  <c r="Q222" i="12"/>
  <c r="T222" i="12"/>
  <c r="Q178" i="12"/>
  <c r="T178" i="12"/>
  <c r="T133" i="12"/>
  <c r="Q133" i="12"/>
  <c r="Y203" i="12"/>
  <c r="U203" i="12"/>
  <c r="V203" i="12"/>
  <c r="Q220" i="12"/>
  <c r="T220" i="12"/>
  <c r="Y215" i="12"/>
  <c r="U215" i="12"/>
  <c r="V215" i="12"/>
  <c r="S117" i="12"/>
  <c r="W117" i="12"/>
  <c r="P117" i="12"/>
  <c r="R117" i="12"/>
  <c r="S164" i="12"/>
  <c r="W164" i="12"/>
  <c r="R164" i="12"/>
  <c r="P164" i="12"/>
  <c r="Q215" i="12"/>
  <c r="T215" i="12"/>
  <c r="Y212" i="12"/>
  <c r="U212" i="12"/>
  <c r="V212" i="12"/>
  <c r="Y150" i="12"/>
  <c r="V150" i="12"/>
  <c r="U150" i="12"/>
  <c r="Y156" i="12"/>
  <c r="V156" i="12"/>
  <c r="U156" i="12"/>
  <c r="R196" i="12"/>
  <c r="W196" i="12"/>
  <c r="P196" i="12"/>
  <c r="S196" i="12"/>
  <c r="U111" i="12"/>
  <c r="V111" i="12"/>
  <c r="Y111" i="12"/>
  <c r="Q182" i="12"/>
  <c r="T182" i="12"/>
  <c r="T223" i="12"/>
  <c r="Q223" i="12"/>
  <c r="T181" i="12"/>
  <c r="Q181" i="12"/>
  <c r="Y121" i="12"/>
  <c r="U121" i="12"/>
  <c r="V121" i="12"/>
  <c r="Q169" i="12"/>
  <c r="T169" i="12"/>
  <c r="Y188" i="12"/>
  <c r="U188" i="12"/>
  <c r="V188" i="12"/>
  <c r="Y146" i="12"/>
  <c r="U146" i="12"/>
  <c r="V146" i="12"/>
  <c r="Y207" i="12"/>
  <c r="V207" i="12"/>
  <c r="U207" i="12"/>
  <c r="Y139" i="12"/>
  <c r="V139" i="12"/>
  <c r="U139" i="12"/>
  <c r="S197" i="12"/>
  <c r="W197" i="12"/>
  <c r="R197" i="12"/>
  <c r="P197" i="12"/>
  <c r="Q218" i="12"/>
  <c r="T218" i="12"/>
  <c r="Y162" i="12"/>
  <c r="V162" i="12"/>
  <c r="U162" i="12"/>
  <c r="Y100" i="12"/>
  <c r="U100" i="12"/>
  <c r="V100" i="12"/>
  <c r="Y175" i="12"/>
  <c r="U175" i="12"/>
  <c r="V175" i="12"/>
  <c r="R226" i="12"/>
  <c r="W226" i="12"/>
  <c r="S226" i="12"/>
  <c r="P226" i="12"/>
  <c r="Q106" i="12"/>
  <c r="T106" i="12"/>
  <c r="Y220" i="12"/>
  <c r="U220" i="12"/>
  <c r="V220" i="12"/>
  <c r="Q212" i="12"/>
  <c r="T212" i="12"/>
  <c r="S205" i="12"/>
  <c r="W205" i="12"/>
  <c r="P205" i="12"/>
  <c r="R205" i="12"/>
  <c r="Y191" i="12"/>
  <c r="U191" i="12"/>
  <c r="V191" i="12"/>
  <c r="Y184" i="12"/>
  <c r="V184" i="12"/>
  <c r="U184" i="12"/>
  <c r="T102" i="12"/>
  <c r="Q102" i="12"/>
  <c r="P200" i="12"/>
  <c r="W200" i="12"/>
  <c r="R200" i="12"/>
  <c r="S200" i="12"/>
  <c r="T198" i="12"/>
  <c r="Q198" i="12"/>
  <c r="Y228" i="12"/>
  <c r="U228" i="12"/>
  <c r="V228" i="12"/>
  <c r="Q137" i="12"/>
  <c r="T137" i="12"/>
  <c r="P187" i="12"/>
  <c r="W187" i="12"/>
  <c r="S187" i="12"/>
  <c r="R187" i="12"/>
  <c r="T140" i="12"/>
  <c r="Q140" i="12"/>
  <c r="Y193" i="12"/>
  <c r="U193" i="12"/>
  <c r="V193" i="12"/>
  <c r="Q176" i="12"/>
  <c r="T176" i="12"/>
  <c r="Y225" i="12"/>
  <c r="U225" i="12"/>
  <c r="V225" i="12"/>
  <c r="Y152" i="12"/>
  <c r="U152" i="12"/>
  <c r="V152" i="12"/>
  <c r="Y174" i="12"/>
  <c r="U174" i="12"/>
  <c r="V174" i="12"/>
  <c r="W178" i="12"/>
  <c r="P178" i="12"/>
  <c r="S178" i="12"/>
  <c r="R178" i="12"/>
  <c r="W121" i="12"/>
  <c r="P121" i="12"/>
  <c r="R121" i="12"/>
  <c r="S121" i="12"/>
  <c r="Q117" i="12"/>
  <c r="T117" i="12"/>
  <c r="Y227" i="12"/>
  <c r="V227" i="12"/>
  <c r="U227" i="12"/>
  <c r="Y113" i="12"/>
  <c r="V113" i="12"/>
  <c r="U113" i="12"/>
  <c r="T191" i="12"/>
  <c r="Q191" i="12"/>
  <c r="W194" i="12"/>
  <c r="S194" i="12"/>
  <c r="P194" i="12"/>
  <c r="R194" i="12"/>
  <c r="S156" i="12"/>
  <c r="P156" i="12"/>
  <c r="W156" i="12"/>
  <c r="R156" i="12"/>
  <c r="S220" i="12"/>
  <c r="W220" i="12"/>
  <c r="P220" i="12"/>
  <c r="R220" i="12"/>
  <c r="S161" i="12"/>
  <c r="P161" i="12"/>
  <c r="W161" i="12"/>
  <c r="R161" i="12"/>
  <c r="T226" i="12"/>
  <c r="Q226" i="12"/>
  <c r="R184" i="12"/>
  <c r="W184" i="12"/>
  <c r="S184" i="12"/>
  <c r="P184" i="12"/>
  <c r="Y195" i="12"/>
  <c r="U195" i="12"/>
  <c r="V195" i="12"/>
  <c r="T113" i="12"/>
  <c r="Q113" i="12"/>
  <c r="R195" i="12"/>
  <c r="P195" i="12"/>
  <c r="W195" i="12"/>
  <c r="S195" i="12"/>
  <c r="V163" i="12"/>
  <c r="Y163" i="12"/>
  <c r="U163" i="12"/>
  <c r="R170" i="12"/>
  <c r="P170" i="12"/>
  <c r="S170" i="12"/>
  <c r="W170" i="12"/>
  <c r="P202" i="12"/>
  <c r="R202" i="12"/>
  <c r="W202" i="12"/>
  <c r="S202" i="12"/>
  <c r="Q217" i="12"/>
  <c r="T217" i="12"/>
  <c r="T138" i="12"/>
  <c r="Q138" i="12"/>
  <c r="P133" i="12"/>
  <c r="R133" i="12"/>
  <c r="W133" i="12"/>
  <c r="S133" i="12"/>
  <c r="P189" i="12"/>
  <c r="R189" i="12"/>
  <c r="S189" i="12"/>
  <c r="W189" i="12"/>
  <c r="T128" i="12"/>
  <c r="Q128" i="12"/>
  <c r="Y143" i="12"/>
  <c r="U143" i="12"/>
  <c r="V143" i="12"/>
  <c r="Y102" i="12"/>
  <c r="U102" i="12"/>
  <c r="V102" i="12"/>
  <c r="Y185" i="12"/>
  <c r="V185" i="12"/>
  <c r="U185" i="12"/>
  <c r="Q164" i="12"/>
  <c r="T164" i="12"/>
  <c r="R186" i="12"/>
  <c r="W186" i="12"/>
  <c r="P186" i="12"/>
  <c r="S186" i="12"/>
  <c r="T192" i="12"/>
  <c r="Q192" i="12"/>
  <c r="Q101" i="12"/>
  <c r="T101" i="12"/>
  <c r="Y205" i="12"/>
  <c r="U205" i="12"/>
  <c r="V205" i="12"/>
  <c r="Y198" i="12"/>
  <c r="U198" i="12"/>
  <c r="V198" i="12"/>
  <c r="Y133" i="12"/>
  <c r="U133" i="12"/>
  <c r="V133" i="12"/>
  <c r="T163" i="12"/>
  <c r="Q163" i="12"/>
  <c r="R211" i="12"/>
  <c r="P211" i="12"/>
  <c r="S211" i="12"/>
  <c r="W211" i="12"/>
  <c r="Y182" i="12"/>
  <c r="V182" i="12"/>
  <c r="U182" i="12"/>
  <c r="Q110" i="12"/>
  <c r="T110" i="12"/>
  <c r="T170" i="12"/>
  <c r="Q170" i="12"/>
  <c r="Q121" i="12"/>
  <c r="T121" i="12"/>
  <c r="Y123" i="12"/>
  <c r="U123" i="12"/>
  <c r="V123" i="12"/>
  <c r="Q127" i="12"/>
  <c r="T127" i="12"/>
  <c r="T203" i="12"/>
  <c r="Q203" i="12"/>
  <c r="W212" i="12"/>
  <c r="S212" i="12"/>
  <c r="R212" i="12"/>
  <c r="P212" i="12"/>
  <c r="T107" i="12"/>
  <c r="Q107" i="12"/>
  <c r="Y224" i="12"/>
  <c r="U224" i="12"/>
  <c r="V224" i="12"/>
  <c r="Q219" i="12"/>
  <c r="T219" i="12"/>
  <c r="W126" i="12"/>
  <c r="P126" i="12"/>
  <c r="S126" i="12"/>
  <c r="R126" i="12"/>
  <c r="Q157" i="12"/>
  <c r="T157" i="12"/>
  <c r="T193" i="12"/>
  <c r="Q193" i="12"/>
  <c r="P192" i="12"/>
  <c r="R192" i="12"/>
  <c r="S192" i="12"/>
  <c r="W192" i="12"/>
  <c r="S224" i="12"/>
  <c r="R224" i="12"/>
  <c r="P224" i="12"/>
  <c r="W224" i="12"/>
  <c r="S103" i="12"/>
  <c r="W103" i="12"/>
  <c r="R103" i="12"/>
  <c r="P103" i="12"/>
  <c r="Q154" i="12"/>
  <c r="T154" i="12"/>
  <c r="V178" i="12"/>
  <c r="U178" i="12"/>
  <c r="Y178" i="12"/>
  <c r="W222" i="12"/>
  <c r="P222" i="12"/>
  <c r="R222" i="12"/>
  <c r="S222" i="12"/>
  <c r="R213" i="12"/>
  <c r="P213" i="12"/>
  <c r="S213" i="12"/>
  <c r="W213" i="12"/>
  <c r="V217" i="12"/>
  <c r="Y217" i="12"/>
  <c r="U217" i="12"/>
  <c r="Y164" i="12"/>
  <c r="U164" i="12"/>
  <c r="V164" i="12"/>
  <c r="P114" i="12"/>
  <c r="S114" i="12"/>
  <c r="W114" i="12"/>
  <c r="R114" i="12"/>
  <c r="R219" i="12"/>
  <c r="S219" i="12"/>
  <c r="W219" i="12"/>
  <c r="P219" i="12"/>
  <c r="Y124" i="12"/>
  <c r="U124" i="12"/>
  <c r="V124" i="12"/>
  <c r="Y155" i="12"/>
  <c r="V155" i="12"/>
  <c r="U155" i="12"/>
  <c r="Y219" i="12"/>
  <c r="U219" i="12"/>
  <c r="V219" i="12"/>
  <c r="Q118" i="12"/>
  <c r="T118" i="12"/>
  <c r="Y189" i="12"/>
  <c r="V189" i="12"/>
  <c r="U189" i="12"/>
  <c r="Q211" i="12"/>
  <c r="T211" i="12"/>
  <c r="Y101" i="12"/>
  <c r="U101" i="12"/>
  <c r="V101" i="12"/>
  <c r="Y226" i="12"/>
  <c r="U226" i="12"/>
  <c r="V226" i="12"/>
  <c r="T183" i="12"/>
  <c r="Q183" i="12"/>
  <c r="T111" i="12"/>
  <c r="Q111" i="12"/>
  <c r="W142" i="12"/>
  <c r="S142" i="12"/>
  <c r="R142" i="12"/>
  <c r="P142" i="12"/>
  <c r="R105" i="12"/>
  <c r="W105" i="12"/>
  <c r="S105" i="12"/>
  <c r="P105" i="12"/>
  <c r="P188" i="12"/>
  <c r="W188" i="12"/>
  <c r="S188" i="12"/>
  <c r="R188" i="12"/>
  <c r="Q132" i="12"/>
  <c r="T132" i="12"/>
  <c r="Y109" i="12"/>
  <c r="V109" i="12"/>
  <c r="U109" i="12"/>
  <c r="W221" i="12"/>
  <c r="R221" i="12"/>
  <c r="P221" i="12"/>
  <c r="S221" i="12"/>
  <c r="Q171" i="12"/>
  <c r="T171" i="12"/>
  <c r="W144" i="12"/>
  <c r="P144" i="12"/>
  <c r="R144" i="12"/>
  <c r="S144" i="12"/>
  <c r="T187" i="12"/>
  <c r="Q187" i="12"/>
  <c r="R120" i="12"/>
  <c r="P120" i="12"/>
  <c r="S120" i="12"/>
  <c r="W120" i="12"/>
  <c r="P125" i="12"/>
  <c r="S125" i="12"/>
  <c r="R125" i="12"/>
  <c r="W125" i="12"/>
  <c r="T224" i="12"/>
  <c r="Q224" i="12"/>
  <c r="P130" i="12"/>
  <c r="S130" i="12"/>
  <c r="R130" i="12"/>
  <c r="W130" i="12"/>
  <c r="Y104" i="12"/>
  <c r="U104" i="12"/>
  <c r="V104" i="12"/>
  <c r="T135" i="12"/>
  <c r="Q135" i="12"/>
  <c r="Q228" i="12"/>
  <c r="T228" i="12"/>
  <c r="R176" i="12"/>
  <c r="W176" i="12"/>
  <c r="P176" i="12"/>
  <c r="S176" i="12"/>
  <c r="S204" i="12"/>
  <c r="R204" i="12"/>
  <c r="W204" i="12"/>
  <c r="P204" i="12"/>
  <c r="Y222" i="12"/>
  <c r="V222" i="12"/>
  <c r="U222" i="12"/>
  <c r="Y160" i="12"/>
  <c r="V160" i="12"/>
  <c r="U160" i="12"/>
  <c r="R147" i="12"/>
  <c r="S147" i="12"/>
  <c r="P147" i="12"/>
  <c r="W147" i="12"/>
  <c r="Y161" i="12"/>
  <c r="U161" i="12"/>
  <c r="V161" i="12"/>
  <c r="R210" i="12"/>
  <c r="W210" i="12"/>
  <c r="P210" i="12"/>
  <c r="S210" i="12"/>
  <c r="W166" i="12"/>
  <c r="R166" i="12"/>
  <c r="P166" i="12"/>
  <c r="S166" i="12"/>
  <c r="T209" i="12"/>
  <c r="Q209" i="12"/>
  <c r="V119" i="12"/>
  <c r="U119" i="12"/>
  <c r="Y119" i="12"/>
  <c r="T202" i="12"/>
  <c r="Q202" i="12"/>
  <c r="T188" i="12"/>
  <c r="Q188" i="12"/>
  <c r="T172" i="12"/>
  <c r="Q172" i="12"/>
  <c r="T123" i="12"/>
  <c r="Q123" i="12"/>
  <c r="Q190" i="12"/>
  <c r="T190" i="12"/>
  <c r="Y204" i="12"/>
  <c r="V204" i="12"/>
  <c r="U204" i="12"/>
  <c r="T120" i="12"/>
  <c r="Q120" i="12"/>
  <c r="Y105" i="12"/>
  <c r="U105" i="12"/>
  <c r="V105" i="12"/>
  <c r="P191" i="12"/>
  <c r="S191" i="12"/>
  <c r="R191" i="12"/>
  <c r="W191" i="12"/>
  <c r="T146" i="12"/>
  <c r="Q146" i="12"/>
  <c r="Y147" i="12"/>
  <c r="U147" i="12"/>
  <c r="V147" i="12"/>
  <c r="S113" i="12"/>
  <c r="W113" i="12"/>
  <c r="P113" i="12"/>
  <c r="R113" i="12"/>
  <c r="S150" i="12"/>
  <c r="R150" i="12"/>
  <c r="W150" i="12"/>
  <c r="P150" i="12"/>
  <c r="W149" i="12"/>
  <c r="S149" i="12"/>
  <c r="R149" i="12"/>
  <c r="P149" i="12"/>
  <c r="V145" i="12"/>
  <c r="Y145" i="12"/>
  <c r="U145" i="12"/>
  <c r="S218" i="12"/>
  <c r="W218" i="12"/>
  <c r="P218" i="12"/>
  <c r="R218" i="12"/>
  <c r="Y149" i="12"/>
  <c r="U149" i="12"/>
  <c r="V149" i="12"/>
  <c r="S182" i="12"/>
  <c r="R182" i="12"/>
  <c r="P182" i="12"/>
  <c r="W182" i="12"/>
  <c r="Y194" i="12"/>
  <c r="U194" i="12"/>
  <c r="V194" i="12"/>
  <c r="R203" i="12"/>
  <c r="P203" i="12"/>
  <c r="S203" i="12"/>
  <c r="W203" i="12"/>
  <c r="T180" i="12"/>
  <c r="Q180" i="12"/>
  <c r="Y159" i="12"/>
  <c r="U159" i="12"/>
  <c r="V159" i="12"/>
  <c r="T196" i="12"/>
  <c r="Q196" i="12"/>
  <c r="V135" i="12"/>
  <c r="Y135" i="12"/>
  <c r="U135" i="12"/>
  <c r="Q207" i="12"/>
  <c r="T207" i="12"/>
  <c r="X122" i="12"/>
  <c r="T42" i="12"/>
  <c r="Q42" i="12"/>
  <c r="X46" i="12"/>
  <c r="X113" i="12"/>
  <c r="X204" i="12"/>
  <c r="X137" i="12"/>
  <c r="T72" i="12"/>
  <c r="Q72" i="12"/>
  <c r="X73" i="12"/>
  <c r="X217" i="12"/>
  <c r="T93" i="12"/>
  <c r="Q93" i="12"/>
  <c r="X48" i="12"/>
  <c r="X60" i="12"/>
  <c r="Y88" i="12"/>
  <c r="V88" i="12"/>
  <c r="U88" i="12"/>
  <c r="Y82" i="12"/>
  <c r="U82" i="12"/>
  <c r="V82" i="12"/>
  <c r="X125" i="12"/>
  <c r="W48" i="12"/>
  <c r="P48" i="12"/>
  <c r="R48" i="12"/>
  <c r="S48" i="12"/>
  <c r="V77" i="12"/>
  <c r="Y77" i="12"/>
  <c r="U77" i="12"/>
  <c r="Q67" i="12"/>
  <c r="T67" i="12"/>
  <c r="Q71" i="12"/>
  <c r="T71" i="12"/>
  <c r="U92" i="12"/>
  <c r="Y92" i="12"/>
  <c r="V92" i="12"/>
  <c r="X42" i="12"/>
  <c r="Y95" i="12"/>
  <c r="V95" i="12"/>
  <c r="U95" i="12"/>
  <c r="S42" i="12"/>
  <c r="W42" i="12"/>
  <c r="R42" i="12"/>
  <c r="P42" i="12"/>
  <c r="X97" i="12"/>
  <c r="X69" i="12"/>
  <c r="T79" i="12"/>
  <c r="Q79" i="12"/>
  <c r="X174" i="12"/>
  <c r="X211" i="12"/>
  <c r="U52" i="12"/>
  <c r="Y52" i="12"/>
  <c r="V52" i="12"/>
  <c r="X166" i="12"/>
  <c r="Q52" i="12"/>
  <c r="T52" i="12"/>
  <c r="T62" i="12"/>
  <c r="Q62" i="12"/>
  <c r="X62" i="12"/>
  <c r="S58" i="12"/>
  <c r="P58" i="12"/>
  <c r="R58" i="12"/>
  <c r="W58" i="12"/>
  <c r="X93" i="12"/>
  <c r="X168" i="12"/>
  <c r="X54" i="12"/>
  <c r="X210" i="12"/>
  <c r="X223" i="12"/>
  <c r="X130" i="12"/>
  <c r="X112" i="12"/>
  <c r="X209" i="12"/>
  <c r="X197" i="12"/>
  <c r="X43" i="12"/>
  <c r="X135" i="12"/>
  <c r="X176" i="12"/>
  <c r="P127" i="12"/>
  <c r="R127" i="12"/>
  <c r="W127" i="12"/>
  <c r="S127" i="12"/>
  <c r="S151" i="12"/>
  <c r="P151" i="12"/>
  <c r="W151" i="12"/>
  <c r="R151" i="12"/>
  <c r="Y125" i="12"/>
  <c r="U125" i="12"/>
  <c r="V125" i="12"/>
  <c r="R160" i="12"/>
  <c r="W160" i="12"/>
  <c r="P160" i="12"/>
  <c r="S160" i="12"/>
  <c r="S225" i="12"/>
  <c r="P225" i="12"/>
  <c r="R225" i="12"/>
  <c r="W225" i="12"/>
  <c r="Y151" i="12"/>
  <c r="V151" i="12"/>
  <c r="U151" i="12"/>
  <c r="Y128" i="12"/>
  <c r="U128" i="12"/>
  <c r="V128" i="12"/>
  <c r="S128" i="12"/>
  <c r="P128" i="12"/>
  <c r="R128" i="12"/>
  <c r="W128" i="12"/>
  <c r="Y132" i="12"/>
  <c r="U132" i="12"/>
  <c r="V132" i="12"/>
  <c r="T104" i="12"/>
  <c r="Q104" i="12"/>
  <c r="T147" i="12"/>
  <c r="Q147" i="12"/>
  <c r="W175" i="12"/>
  <c r="R175" i="12"/>
  <c r="P175" i="12"/>
  <c r="S175" i="12"/>
  <c r="S116" i="12"/>
  <c r="W116" i="12"/>
  <c r="P116" i="12"/>
  <c r="R116" i="12"/>
  <c r="T122" i="12"/>
  <c r="Q122" i="12"/>
  <c r="R143" i="12"/>
  <c r="P143" i="12"/>
  <c r="W143" i="12"/>
  <c r="S143" i="12"/>
  <c r="T175" i="12"/>
  <c r="Q175" i="12"/>
  <c r="Q185" i="12"/>
  <c r="T185" i="12"/>
  <c r="Y221" i="12"/>
  <c r="U221" i="12"/>
  <c r="V221" i="12"/>
  <c r="P162" i="12"/>
  <c r="R162" i="12"/>
  <c r="S162" i="12"/>
  <c r="W162" i="12"/>
  <c r="T184" i="12"/>
  <c r="Q184" i="12"/>
  <c r="Y199" i="12"/>
  <c r="U199" i="12"/>
  <c r="V199" i="12"/>
  <c r="R171" i="12"/>
  <c r="P171" i="12"/>
  <c r="W171" i="12"/>
  <c r="S171" i="12"/>
  <c r="U168" i="12"/>
  <c r="Y168" i="12"/>
  <c r="V168" i="12"/>
  <c r="S81" i="12"/>
  <c r="P81" i="12"/>
  <c r="R81" i="12"/>
  <c r="W81" i="12"/>
  <c r="X190" i="12"/>
  <c r="Y99" i="12"/>
  <c r="U99" i="12"/>
  <c r="V99" i="12"/>
  <c r="Y57" i="12"/>
  <c r="V57" i="12"/>
  <c r="U57" i="12"/>
  <c r="V43" i="12"/>
  <c r="U43" i="12"/>
  <c r="Y43" i="12"/>
  <c r="Q87" i="12"/>
  <c r="T87" i="12"/>
  <c r="S57" i="12"/>
  <c r="W57" i="12"/>
  <c r="R57" i="12"/>
  <c r="P57" i="12"/>
  <c r="Y62" i="12"/>
  <c r="U62" i="12"/>
  <c r="V62" i="12"/>
  <c r="X49" i="12"/>
  <c r="R49" i="12"/>
  <c r="W49" i="12"/>
  <c r="P49" i="12"/>
  <c r="S49" i="12"/>
  <c r="X187" i="12"/>
  <c r="X193" i="12"/>
  <c r="S65" i="12"/>
  <c r="P65" i="12"/>
  <c r="R65" i="12"/>
  <c r="W65" i="12"/>
  <c r="X76" i="12"/>
  <c r="U45" i="12"/>
  <c r="Y45" i="12"/>
  <c r="V45" i="12"/>
  <c r="T61" i="12"/>
  <c r="Q61" i="12"/>
  <c r="X225" i="12"/>
  <c r="Y90" i="12"/>
  <c r="U90" i="12"/>
  <c r="V90" i="12"/>
  <c r="U71" i="12"/>
  <c r="V71" i="12"/>
  <c r="Y71" i="12"/>
  <c r="S87" i="12"/>
  <c r="W87" i="12"/>
  <c r="P87" i="12"/>
  <c r="R87" i="12"/>
  <c r="Q88" i="12"/>
  <c r="T88" i="12"/>
  <c r="U67" i="12"/>
  <c r="V67" i="12"/>
  <c r="Y67" i="12"/>
  <c r="X72" i="12"/>
  <c r="Y59" i="12"/>
  <c r="U59" i="12"/>
  <c r="V59" i="12"/>
  <c r="X108" i="12"/>
  <c r="X105" i="12"/>
  <c r="X152" i="12"/>
  <c r="X226" i="12"/>
  <c r="X114" i="12"/>
  <c r="X53" i="12"/>
  <c r="U87" i="12"/>
  <c r="Y87" i="12"/>
  <c r="V87" i="12"/>
  <c r="X222" i="12"/>
  <c r="P47" i="12"/>
  <c r="S47" i="12"/>
  <c r="W47" i="12"/>
  <c r="R47" i="12"/>
  <c r="X215" i="12"/>
  <c r="X91" i="12"/>
  <c r="T96" i="12"/>
  <c r="Q96" i="12"/>
  <c r="R88" i="12"/>
  <c r="W88" i="12"/>
  <c r="P88" i="12"/>
  <c r="S88" i="12"/>
  <c r="W82" i="12"/>
  <c r="R82" i="12"/>
  <c r="S82" i="12"/>
  <c r="P82" i="12"/>
  <c r="X71" i="12"/>
  <c r="X154" i="12"/>
  <c r="P71" i="12"/>
  <c r="R71" i="12"/>
  <c r="W71" i="12"/>
  <c r="S71" i="12"/>
  <c r="P45" i="12"/>
  <c r="S45" i="12"/>
  <c r="R45" i="12"/>
  <c r="W45" i="12"/>
  <c r="Y65" i="12"/>
  <c r="V65" i="12"/>
  <c r="U65" i="12"/>
  <c r="T49" i="12"/>
  <c r="Q49" i="12"/>
  <c r="T162" i="12"/>
  <c r="Q162" i="12"/>
  <c r="Y110" i="12"/>
  <c r="U110" i="12"/>
  <c r="V110" i="12"/>
  <c r="R111" i="12"/>
  <c r="P111" i="12"/>
  <c r="S111" i="12"/>
  <c r="W111" i="12"/>
  <c r="R124" i="12"/>
  <c r="S124" i="12"/>
  <c r="P124" i="12"/>
  <c r="W124" i="12"/>
  <c r="S155" i="12"/>
  <c r="R155" i="12"/>
  <c r="P155" i="12"/>
  <c r="W155" i="12"/>
  <c r="Y181" i="12"/>
  <c r="U181" i="12"/>
  <c r="V181" i="12"/>
  <c r="T151" i="12"/>
  <c r="Q151" i="12"/>
  <c r="Q158" i="12"/>
  <c r="T158" i="12"/>
  <c r="P217" i="12"/>
  <c r="W217" i="12"/>
  <c r="S217" i="12"/>
  <c r="R217" i="12"/>
  <c r="Y167" i="12"/>
  <c r="U167" i="12"/>
  <c r="V167" i="12"/>
  <c r="S158" i="12"/>
  <c r="R158" i="12"/>
  <c r="P158" i="12"/>
  <c r="W158" i="12"/>
  <c r="Q199" i="12"/>
  <c r="T199" i="12"/>
  <c r="Y153" i="12"/>
  <c r="V153" i="12"/>
  <c r="U153" i="12"/>
  <c r="R209" i="12"/>
  <c r="P209" i="12"/>
  <c r="W209" i="12"/>
  <c r="S209" i="12"/>
  <c r="R169" i="12"/>
  <c r="S169" i="12"/>
  <c r="W169" i="12"/>
  <c r="P169" i="12"/>
  <c r="Q204" i="12"/>
  <c r="T204" i="12"/>
  <c r="T161" i="12"/>
  <c r="Q161" i="12"/>
  <c r="Y148" i="12"/>
  <c r="V148" i="12"/>
  <c r="U148" i="12"/>
  <c r="Y165" i="12"/>
  <c r="V165" i="12"/>
  <c r="U165" i="12"/>
  <c r="Q150" i="12"/>
  <c r="T150" i="12"/>
  <c r="Y136" i="12"/>
  <c r="U136" i="12"/>
  <c r="V136" i="12"/>
  <c r="T179" i="12"/>
  <c r="Q179" i="12"/>
  <c r="W165" i="12"/>
  <c r="P165" i="12"/>
  <c r="S165" i="12"/>
  <c r="R165" i="12"/>
  <c r="Q126" i="12"/>
  <c r="T126" i="12"/>
  <c r="W183" i="12"/>
  <c r="S183" i="12"/>
  <c r="R183" i="12"/>
  <c r="P183" i="12"/>
  <c r="Y166" i="12"/>
  <c r="U166" i="12"/>
  <c r="V166" i="12"/>
  <c r="Y177" i="12"/>
  <c r="U177" i="12"/>
  <c r="V177" i="12"/>
  <c r="X119" i="12"/>
  <c r="Y84" i="12"/>
  <c r="U84" i="12"/>
  <c r="V84" i="12"/>
  <c r="X55" i="12"/>
  <c r="Y64" i="12"/>
  <c r="V64" i="12"/>
  <c r="U64" i="12"/>
  <c r="X121" i="12"/>
  <c r="T70" i="12"/>
  <c r="Q70" i="12"/>
  <c r="X115" i="12"/>
  <c r="Y75" i="12"/>
  <c r="V75" i="12"/>
  <c r="U75" i="12"/>
  <c r="Y66" i="12"/>
  <c r="U66" i="12"/>
  <c r="V66" i="12"/>
  <c r="X203" i="12"/>
  <c r="X163" i="12"/>
  <c r="X79" i="12"/>
  <c r="Q92" i="12"/>
  <c r="T92" i="12"/>
  <c r="X164" i="12"/>
  <c r="X160" i="12"/>
  <c r="T89" i="12"/>
  <c r="Q89" i="12"/>
  <c r="R89" i="12"/>
  <c r="P89" i="12"/>
  <c r="S89" i="12"/>
  <c r="W89" i="12"/>
  <c r="X178" i="12"/>
  <c r="Q63" i="12"/>
  <c r="T63" i="12"/>
  <c r="S94" i="12"/>
  <c r="W94" i="12"/>
  <c r="P94" i="12"/>
  <c r="R94" i="12"/>
  <c r="R83" i="12"/>
  <c r="P83" i="12"/>
  <c r="S83" i="12"/>
  <c r="W83" i="12"/>
  <c r="X88" i="12"/>
  <c r="X195" i="12"/>
  <c r="Q91" i="12"/>
  <c r="T91" i="12"/>
  <c r="T57" i="12"/>
  <c r="Q57" i="12"/>
  <c r="T60" i="12"/>
  <c r="Q60" i="12"/>
  <c r="T94" i="12"/>
  <c r="Q94" i="12"/>
  <c r="X181" i="12"/>
  <c r="Q65" i="12"/>
  <c r="T65" i="12"/>
  <c r="T77" i="12"/>
  <c r="Q77" i="12"/>
  <c r="S50" i="12"/>
  <c r="P50" i="12"/>
  <c r="W50" i="12"/>
  <c r="R50" i="12"/>
  <c r="Y81" i="12"/>
  <c r="V81" i="12"/>
  <c r="U81" i="12"/>
  <c r="Y72" i="12"/>
  <c r="V72" i="12"/>
  <c r="U72" i="12"/>
  <c r="U40" i="12"/>
  <c r="V40" i="12"/>
  <c r="Y40" i="12"/>
  <c r="X40" i="12"/>
  <c r="X110" i="12"/>
  <c r="P76" i="12"/>
  <c r="W76" i="12"/>
  <c r="R76" i="12"/>
  <c r="S76" i="12"/>
  <c r="X90" i="12"/>
  <c r="T45" i="12"/>
  <c r="Q45" i="12"/>
  <c r="X126" i="12"/>
  <c r="T74" i="12"/>
  <c r="Q74" i="12"/>
  <c r="S55" i="12"/>
  <c r="W55" i="12"/>
  <c r="P55" i="12"/>
  <c r="R55" i="12"/>
  <c r="W44" i="12"/>
  <c r="P44" i="12"/>
  <c r="R44" i="12"/>
  <c r="S44" i="12"/>
  <c r="V79" i="12"/>
  <c r="Y79" i="12"/>
  <c r="U79" i="12"/>
  <c r="T66" i="12"/>
  <c r="Q66" i="12"/>
  <c r="U47" i="12"/>
  <c r="Y47" i="12"/>
  <c r="V47" i="12"/>
  <c r="S102" i="12"/>
  <c r="W102" i="12"/>
  <c r="P102" i="12"/>
  <c r="R102" i="12"/>
  <c r="Y208" i="12"/>
  <c r="V208" i="12"/>
  <c r="U208" i="12"/>
  <c r="T173" i="12"/>
  <c r="Q173" i="12"/>
  <c r="R123" i="12"/>
  <c r="S123" i="12"/>
  <c r="W123" i="12"/>
  <c r="P123" i="12"/>
  <c r="Y129" i="12"/>
  <c r="U129" i="12"/>
  <c r="V129" i="12"/>
  <c r="Q148" i="12"/>
  <c r="T148" i="12"/>
  <c r="Y158" i="12"/>
  <c r="U158" i="12"/>
  <c r="V158" i="12"/>
  <c r="S110" i="12"/>
  <c r="W110" i="12"/>
  <c r="R110" i="12"/>
  <c r="P110" i="12"/>
  <c r="Y114" i="12"/>
  <c r="U114" i="12"/>
  <c r="V114" i="12"/>
  <c r="P106" i="12"/>
  <c r="R106" i="12"/>
  <c r="W106" i="12"/>
  <c r="S106" i="12"/>
  <c r="W174" i="12"/>
  <c r="R174" i="12"/>
  <c r="P174" i="12"/>
  <c r="S174" i="12"/>
  <c r="Q195" i="12"/>
  <c r="T195" i="12"/>
  <c r="Q165" i="12"/>
  <c r="T165" i="12"/>
  <c r="Y137" i="12"/>
  <c r="U137" i="12"/>
  <c r="V137" i="12"/>
  <c r="S107" i="12"/>
  <c r="P107" i="12"/>
  <c r="W107" i="12"/>
  <c r="R107" i="12"/>
  <c r="Y210" i="12"/>
  <c r="U210" i="12"/>
  <c r="V210" i="12"/>
  <c r="Y206" i="12"/>
  <c r="U206" i="12"/>
  <c r="V206" i="12"/>
  <c r="Q141" i="12"/>
  <c r="T141" i="12"/>
  <c r="Q125" i="12"/>
  <c r="T125" i="12"/>
  <c r="T167" i="12"/>
  <c r="Q167" i="12"/>
  <c r="P115" i="12"/>
  <c r="W115" i="12"/>
  <c r="S115" i="12"/>
  <c r="R115" i="12"/>
  <c r="R112" i="12"/>
  <c r="S112" i="12"/>
  <c r="W112" i="12"/>
  <c r="P112" i="12"/>
  <c r="Q197" i="12"/>
  <c r="T197" i="12"/>
  <c r="W206" i="12"/>
  <c r="S206" i="12"/>
  <c r="P206" i="12"/>
  <c r="R206" i="12"/>
  <c r="W180" i="12"/>
  <c r="S180" i="12"/>
  <c r="R180" i="12"/>
  <c r="P180" i="12"/>
  <c r="Q103" i="12"/>
  <c r="T103" i="12"/>
  <c r="W119" i="12"/>
  <c r="R119" i="12"/>
  <c r="P119" i="12"/>
  <c r="S119" i="12"/>
  <c r="R131" i="12"/>
  <c r="P131" i="12"/>
  <c r="W131" i="12"/>
  <c r="S131" i="12"/>
  <c r="S177" i="12"/>
  <c r="W177" i="12"/>
  <c r="P177" i="12"/>
  <c r="R177" i="12"/>
  <c r="S75" i="12"/>
  <c r="R75" i="12"/>
  <c r="W75" i="12"/>
  <c r="P75" i="12"/>
  <c r="Q53" i="12"/>
  <c r="T53" i="12"/>
  <c r="X145" i="12"/>
  <c r="X96" i="12"/>
  <c r="X74" i="12"/>
  <c r="X177" i="12"/>
  <c r="W59" i="12"/>
  <c r="S59" i="12"/>
  <c r="P59" i="12"/>
  <c r="R59" i="12"/>
  <c r="S96" i="12"/>
  <c r="P96" i="12"/>
  <c r="W96" i="12"/>
  <c r="R96" i="12"/>
  <c r="T95" i="12"/>
  <c r="Q95" i="12"/>
  <c r="V41" i="12"/>
  <c r="U41" i="12"/>
  <c r="Y41" i="12"/>
  <c r="X68" i="12"/>
  <c r="X75" i="12"/>
  <c r="X116" i="12"/>
  <c r="X162" i="12"/>
  <c r="Q59" i="12"/>
  <c r="T59" i="12"/>
  <c r="X98" i="12"/>
  <c r="X102" i="12"/>
  <c r="X200" i="12"/>
  <c r="W46" i="12"/>
  <c r="R46" i="12"/>
  <c r="S46" i="12"/>
  <c r="P46" i="12"/>
  <c r="S67" i="12"/>
  <c r="W67" i="12"/>
  <c r="P67" i="12"/>
  <c r="R67" i="12"/>
  <c r="Y61" i="12"/>
  <c r="U61" i="12"/>
  <c r="V61" i="12"/>
  <c r="X101" i="12"/>
  <c r="X65" i="12"/>
  <c r="X202" i="12"/>
  <c r="X63" i="12"/>
  <c r="X184" i="12"/>
  <c r="X67" i="12"/>
  <c r="X92" i="12"/>
  <c r="X50" i="12"/>
  <c r="Q43" i="12"/>
  <c r="T43" i="12"/>
  <c r="X228" i="12"/>
  <c r="X133" i="12"/>
  <c r="X201" i="12"/>
  <c r="X147" i="12"/>
  <c r="T85" i="12"/>
  <c r="Q85" i="12"/>
  <c r="T84" i="12"/>
  <c r="Q84" i="12"/>
  <c r="S41" i="12"/>
  <c r="W41" i="12"/>
  <c r="R41" i="12"/>
  <c r="P41" i="12"/>
  <c r="U74" i="12"/>
  <c r="Y74" i="12"/>
  <c r="V74" i="12"/>
  <c r="P85" i="12"/>
  <c r="S85" i="12"/>
  <c r="R85" i="12"/>
  <c r="W85" i="12"/>
  <c r="X138" i="12"/>
  <c r="W64" i="12"/>
  <c r="R64" i="12"/>
  <c r="S64" i="12"/>
  <c r="P64" i="12"/>
  <c r="Y51" i="12"/>
  <c r="V51" i="12"/>
  <c r="U51" i="12"/>
  <c r="T68" i="12"/>
  <c r="Q68" i="12"/>
  <c r="T131" i="12"/>
  <c r="Q131" i="12"/>
  <c r="Q108" i="12"/>
  <c r="T108" i="12"/>
  <c r="Y180" i="12"/>
  <c r="U180" i="12"/>
  <c r="V180" i="12"/>
  <c r="W157" i="12"/>
  <c r="P157" i="12"/>
  <c r="S157" i="12"/>
  <c r="R157" i="12"/>
  <c r="S228" i="12"/>
  <c r="P228" i="12"/>
  <c r="R228" i="12"/>
  <c r="W228" i="12"/>
  <c r="P172" i="12"/>
  <c r="S172" i="12"/>
  <c r="R172" i="12"/>
  <c r="W172" i="12"/>
  <c r="Q225" i="12"/>
  <c r="T225" i="12"/>
  <c r="Q143" i="12"/>
  <c r="T143" i="12"/>
  <c r="Y130" i="12"/>
  <c r="U130" i="12"/>
  <c r="V130" i="12"/>
  <c r="Y117" i="12"/>
  <c r="V117" i="12"/>
  <c r="U117" i="12"/>
  <c r="T206" i="12"/>
  <c r="Q206" i="12"/>
  <c r="Y176" i="12"/>
  <c r="V176" i="12"/>
  <c r="U176" i="12"/>
  <c r="T177" i="12"/>
  <c r="Q177" i="12"/>
  <c r="W215" i="12"/>
  <c r="R215" i="12"/>
  <c r="S215" i="12"/>
  <c r="P215" i="12"/>
  <c r="P227" i="12"/>
  <c r="R227" i="12"/>
  <c r="S227" i="12"/>
  <c r="W227" i="12"/>
  <c r="T139" i="12"/>
  <c r="Q139" i="12"/>
  <c r="Y120" i="12"/>
  <c r="V120" i="12"/>
  <c r="U120" i="12"/>
  <c r="W198" i="12"/>
  <c r="P198" i="12"/>
  <c r="R198" i="12"/>
  <c r="S198" i="12"/>
  <c r="R154" i="12"/>
  <c r="W154" i="12"/>
  <c r="P154" i="12"/>
  <c r="S154" i="12"/>
  <c r="R207" i="12"/>
  <c r="P207" i="12"/>
  <c r="S207" i="12"/>
  <c r="W207" i="12"/>
  <c r="Q208" i="12"/>
  <c r="T208" i="12"/>
  <c r="W223" i="12"/>
  <c r="R223" i="12"/>
  <c r="S223" i="12"/>
  <c r="P223" i="12"/>
  <c r="X172" i="12"/>
  <c r="Y58" i="12"/>
  <c r="U58" i="12"/>
  <c r="V58" i="12"/>
  <c r="X157" i="12"/>
  <c r="T90" i="12"/>
  <c r="Q90" i="12"/>
  <c r="P78" i="12"/>
  <c r="R78" i="12"/>
  <c r="W78" i="12"/>
  <c r="S78" i="12"/>
  <c r="Y73" i="12"/>
  <c r="V73" i="12"/>
  <c r="U73" i="12"/>
  <c r="X167" i="12"/>
  <c r="U78" i="12"/>
  <c r="V78" i="12"/>
  <c r="Y78" i="12"/>
  <c r="X107" i="12"/>
  <c r="V86" i="12"/>
  <c r="U86" i="12"/>
  <c r="Y86" i="12"/>
  <c r="X175" i="12"/>
  <c r="T75" i="12"/>
  <c r="Q75" i="12"/>
  <c r="X85" i="12"/>
  <c r="U63" i="12"/>
  <c r="V63" i="12"/>
  <c r="Y63" i="12"/>
  <c r="V80" i="12"/>
  <c r="U80" i="12"/>
  <c r="Y80" i="12"/>
  <c r="X89" i="12"/>
  <c r="Y70" i="12"/>
  <c r="V70" i="12"/>
  <c r="U70" i="12"/>
  <c r="W43" i="12"/>
  <c r="R43" i="12"/>
  <c r="P43" i="12"/>
  <c r="S43" i="12"/>
  <c r="X161" i="12"/>
  <c r="V89" i="12"/>
  <c r="Y89" i="12"/>
  <c r="U89" i="12"/>
  <c r="X151" i="12"/>
  <c r="S63" i="12"/>
  <c r="W63" i="12"/>
  <c r="R63" i="12"/>
  <c r="P63" i="12"/>
  <c r="S91" i="12"/>
  <c r="W91" i="12"/>
  <c r="R91" i="12"/>
  <c r="P91" i="12"/>
  <c r="X118" i="12"/>
  <c r="X64" i="12"/>
  <c r="Q48" i="12"/>
  <c r="T48" i="12"/>
  <c r="T98" i="12"/>
  <c r="Q98" i="12"/>
  <c r="Q80" i="12"/>
  <c r="T80" i="12"/>
  <c r="X191" i="12"/>
  <c r="X104" i="12"/>
  <c r="T44" i="12"/>
  <c r="Q44" i="12"/>
  <c r="P72" i="12"/>
  <c r="W72" i="12"/>
  <c r="R72" i="12"/>
  <c r="S72" i="12"/>
  <c r="U48" i="12"/>
  <c r="Y48" i="12"/>
  <c r="V48" i="12"/>
  <c r="Y98" i="12"/>
  <c r="V98" i="12"/>
  <c r="U98" i="12"/>
  <c r="R69" i="12"/>
  <c r="S69" i="12"/>
  <c r="W69" i="12"/>
  <c r="P69" i="12"/>
  <c r="U49" i="12"/>
  <c r="V49" i="12"/>
  <c r="Y49" i="12"/>
  <c r="U91" i="12"/>
  <c r="Y91" i="12"/>
  <c r="V91" i="12"/>
  <c r="Q86" i="12"/>
  <c r="T86" i="12"/>
  <c r="Y68" i="12"/>
  <c r="V68" i="12"/>
  <c r="U68" i="12"/>
  <c r="W60" i="12"/>
  <c r="R60" i="12"/>
  <c r="P60" i="12"/>
  <c r="S60" i="12"/>
  <c r="T51" i="12"/>
  <c r="Q51" i="12"/>
  <c r="X123" i="12"/>
  <c r="X199" i="12"/>
  <c r="X58" i="12"/>
  <c r="W77" i="12"/>
  <c r="P77" i="12"/>
  <c r="R77" i="12"/>
  <c r="S77" i="12"/>
  <c r="X173" i="12"/>
  <c r="X194" i="12"/>
  <c r="X207" i="12"/>
  <c r="X171" i="12"/>
  <c r="P61" i="12"/>
  <c r="W61" i="12"/>
  <c r="S61" i="12"/>
  <c r="R61" i="12"/>
  <c r="X155" i="12"/>
  <c r="X185" i="12"/>
  <c r="Q73" i="12"/>
  <c r="T73" i="12"/>
  <c r="Q205" i="12"/>
  <c r="T205" i="12"/>
  <c r="U171" i="12"/>
  <c r="Y171" i="12"/>
  <c r="V171" i="12"/>
  <c r="S173" i="12"/>
  <c r="P173" i="12"/>
  <c r="R173" i="12"/>
  <c r="W173" i="12"/>
  <c r="Y118" i="12"/>
  <c r="U118" i="12"/>
  <c r="V118" i="12"/>
  <c r="P148" i="12"/>
  <c r="S148" i="12"/>
  <c r="W148" i="12"/>
  <c r="R148" i="12"/>
  <c r="Q114" i="12"/>
  <c r="T114" i="12"/>
  <c r="Y179" i="12"/>
  <c r="U179" i="12"/>
  <c r="V179" i="12"/>
  <c r="Q109" i="12"/>
  <c r="T109" i="12"/>
  <c r="S208" i="12"/>
  <c r="W208" i="12"/>
  <c r="P208" i="12"/>
  <c r="R208" i="12"/>
  <c r="Y126" i="12"/>
  <c r="U126" i="12"/>
  <c r="V126" i="12"/>
  <c r="Q136" i="12"/>
  <c r="T136" i="12"/>
  <c r="T168" i="12"/>
  <c r="Q168" i="12"/>
  <c r="T152" i="12"/>
  <c r="Q152" i="12"/>
  <c r="T119" i="12"/>
  <c r="Q119" i="12"/>
  <c r="Y106" i="12"/>
  <c r="V106" i="12"/>
  <c r="U106" i="12"/>
  <c r="Y103" i="12"/>
  <c r="U103" i="12"/>
  <c r="V103" i="12"/>
  <c r="W122" i="12"/>
  <c r="P122" i="12"/>
  <c r="R122" i="12"/>
  <c r="S122" i="12"/>
  <c r="T186" i="12"/>
  <c r="Q186" i="12"/>
  <c r="Y116" i="12"/>
  <c r="U116" i="12"/>
  <c r="V116" i="12"/>
  <c r="Q200" i="12"/>
  <c r="T200" i="12"/>
  <c r="Y213" i="12"/>
  <c r="V213" i="12"/>
  <c r="U213" i="12"/>
  <c r="R216" i="12"/>
  <c r="P216" i="12"/>
  <c r="W216" i="12"/>
  <c r="S216" i="12"/>
  <c r="Y108" i="12"/>
  <c r="U108" i="12"/>
  <c r="V108" i="12"/>
  <c r="P135" i="12"/>
  <c r="R135" i="12"/>
  <c r="S135" i="12"/>
  <c r="W135" i="12"/>
  <c r="P163" i="12"/>
  <c r="S163" i="12"/>
  <c r="R163" i="12"/>
  <c r="W163" i="12"/>
  <c r="Y173" i="12"/>
  <c r="U173" i="12"/>
  <c r="V173" i="12"/>
  <c r="X82" i="12"/>
  <c r="X87" i="12"/>
  <c r="Q40" i="12"/>
  <c r="T40" i="12"/>
  <c r="X103" i="12"/>
  <c r="X83" i="12"/>
  <c r="X128" i="12"/>
  <c r="S90" i="12"/>
  <c r="R90" i="12"/>
  <c r="W90" i="12"/>
  <c r="P90" i="12"/>
  <c r="X106" i="12"/>
  <c r="X208" i="12"/>
  <c r="P54" i="12"/>
  <c r="S54" i="12"/>
  <c r="R54" i="12"/>
  <c r="W54" i="12"/>
  <c r="U42" i="12"/>
  <c r="V42" i="12"/>
  <c r="Y42" i="12"/>
  <c r="W92" i="12"/>
  <c r="R92" i="12"/>
  <c r="S92" i="12"/>
  <c r="P92" i="12"/>
  <c r="P79" i="12"/>
  <c r="R79" i="12"/>
  <c r="W79" i="12"/>
  <c r="S79" i="12"/>
  <c r="Y97" i="12"/>
  <c r="V97" i="12"/>
  <c r="U97" i="12"/>
  <c r="X146" i="12"/>
  <c r="U93" i="12"/>
  <c r="Y93" i="12"/>
  <c r="V93" i="12"/>
  <c r="V85" i="12"/>
  <c r="U85" i="12"/>
  <c r="Y85" i="12"/>
  <c r="X66" i="12"/>
  <c r="X99" i="12"/>
  <c r="X144" i="12"/>
  <c r="X120" i="12"/>
  <c r="X165" i="12"/>
  <c r="X84" i="12"/>
  <c r="X205" i="12"/>
  <c r="X192" i="12"/>
  <c r="X59" i="12"/>
  <c r="R93" i="12"/>
  <c r="W93" i="12"/>
  <c r="P93" i="12"/>
  <c r="S93" i="12"/>
  <c r="X182" i="12"/>
  <c r="X47" i="12"/>
  <c r="T55" i="12"/>
  <c r="Q55" i="12"/>
  <c r="X131" i="12"/>
  <c r="X132" i="12"/>
  <c r="V60" i="12"/>
  <c r="U60" i="12"/>
  <c r="Y60" i="12"/>
  <c r="X45" i="12"/>
  <c r="X219" i="12"/>
  <c r="W40" i="12"/>
  <c r="R40" i="12"/>
  <c r="S40" i="12"/>
  <c r="P40" i="12"/>
  <c r="X109" i="12"/>
  <c r="X218" i="12"/>
  <c r="V83" i="12"/>
  <c r="Y83" i="12"/>
  <c r="U83" i="12"/>
  <c r="W97" i="12"/>
  <c r="P97" i="12"/>
  <c r="S97" i="12"/>
  <c r="R97" i="12"/>
  <c r="R80" i="12"/>
  <c r="W80" i="12"/>
  <c r="S80" i="12"/>
  <c r="P80" i="12"/>
  <c r="X129" i="12"/>
  <c r="X57" i="12"/>
  <c r="X51" i="12"/>
  <c r="X180" i="12"/>
  <c r="Y216" i="12"/>
  <c r="V216" i="12"/>
  <c r="U216" i="12"/>
  <c r="Y211" i="12"/>
  <c r="U211" i="12"/>
  <c r="V211" i="12"/>
  <c r="Y112" i="12"/>
  <c r="U112" i="12"/>
  <c r="V112" i="12"/>
  <c r="S214" i="12"/>
  <c r="P214" i="12"/>
  <c r="W214" i="12"/>
  <c r="R214" i="12"/>
  <c r="Q194" i="12"/>
  <c r="T194" i="12"/>
  <c r="W129" i="12"/>
  <c r="R129" i="12"/>
  <c r="S129" i="12"/>
  <c r="P129" i="12"/>
  <c r="Y157" i="12"/>
  <c r="V157" i="12"/>
  <c r="U157" i="12"/>
  <c r="Y186" i="12"/>
  <c r="V186" i="12"/>
  <c r="U186" i="12"/>
  <c r="Y134" i="12"/>
  <c r="U134" i="12"/>
  <c r="V134" i="12"/>
  <c r="Y209" i="12"/>
  <c r="V209" i="12"/>
  <c r="U209" i="12"/>
  <c r="U214" i="12"/>
  <c r="V214" i="12"/>
  <c r="Y214" i="12"/>
  <c r="S118" i="12"/>
  <c r="W118" i="12"/>
  <c r="P118" i="12"/>
  <c r="R118" i="12"/>
  <c r="W146" i="12"/>
  <c r="S146" i="12"/>
  <c r="P146" i="12"/>
  <c r="R146" i="12"/>
  <c r="T189" i="12"/>
  <c r="Q189" i="12"/>
  <c r="Y141" i="12"/>
  <c r="U141" i="12"/>
  <c r="V141" i="12"/>
  <c r="T156" i="12"/>
  <c r="Q156" i="12"/>
  <c r="Y115" i="12"/>
  <c r="V115" i="12"/>
  <c r="U115" i="12"/>
  <c r="Y201" i="12"/>
  <c r="V201" i="12"/>
  <c r="U201" i="12"/>
  <c r="Y144" i="12"/>
  <c r="U144" i="12"/>
  <c r="V144" i="12"/>
  <c r="P104" i="12"/>
  <c r="R104" i="12"/>
  <c r="W104" i="12"/>
  <c r="S104" i="12"/>
  <c r="V131" i="12"/>
  <c r="Y131" i="12"/>
  <c r="U131" i="12"/>
  <c r="U172" i="12"/>
  <c r="V172" i="12"/>
  <c r="Y172" i="12"/>
  <c r="W100" i="12"/>
  <c r="R100" i="12"/>
  <c r="P100" i="12"/>
  <c r="S100" i="12"/>
  <c r="S193" i="12"/>
  <c r="R193" i="12"/>
  <c r="W193" i="12"/>
  <c r="P193" i="12"/>
  <c r="Y138" i="12"/>
  <c r="U138" i="12"/>
  <c r="V138" i="12"/>
  <c r="Y196" i="12"/>
  <c r="V196" i="12"/>
  <c r="U196" i="12"/>
  <c r="T124" i="12"/>
  <c r="Q124" i="12"/>
  <c r="T145" i="12"/>
  <c r="Q145" i="12"/>
  <c r="X86" i="12"/>
  <c r="X183" i="12"/>
  <c r="X212" i="12"/>
  <c r="Y69" i="12"/>
  <c r="U69" i="12"/>
  <c r="V69" i="12"/>
  <c r="X142" i="12"/>
  <c r="X214" i="12"/>
  <c r="X149" i="12"/>
  <c r="Q56" i="12"/>
  <c r="T56" i="12"/>
  <c r="Y55" i="12"/>
  <c r="V55" i="12"/>
  <c r="U55" i="12"/>
  <c r="T58" i="12"/>
  <c r="Q58" i="12"/>
  <c r="X159" i="12"/>
  <c r="X170" i="12"/>
  <c r="V44" i="12"/>
  <c r="U44" i="12"/>
  <c r="Y44" i="12"/>
  <c r="W99" i="12"/>
  <c r="P99" i="12"/>
  <c r="S99" i="12"/>
  <c r="R99" i="12"/>
  <c r="S51" i="12"/>
  <c r="W51" i="12"/>
  <c r="P51" i="12"/>
  <c r="R51" i="12"/>
  <c r="W68" i="12"/>
  <c r="S68" i="12"/>
  <c r="P68" i="12"/>
  <c r="R68" i="12"/>
  <c r="U96" i="12"/>
  <c r="Y96" i="12"/>
  <c r="V96" i="12"/>
  <c r="Q81" i="12"/>
  <c r="T81" i="12"/>
  <c r="X140" i="12"/>
  <c r="X198" i="12"/>
  <c r="X196" i="12"/>
  <c r="X77" i="12"/>
  <c r="S70" i="12"/>
  <c r="W70" i="12"/>
  <c r="P70" i="12"/>
  <c r="R70" i="12"/>
  <c r="Y46" i="12"/>
  <c r="U46" i="12"/>
  <c r="V46" i="12"/>
  <c r="X188" i="12"/>
  <c r="X220" i="12"/>
  <c r="R66" i="12"/>
  <c r="P66" i="12"/>
  <c r="W66" i="12"/>
  <c r="S66" i="12"/>
  <c r="X94" i="12"/>
  <c r="T64" i="12"/>
  <c r="Q64" i="12"/>
  <c r="X61" i="12"/>
  <c r="X111" i="12"/>
  <c r="Q97" i="12"/>
  <c r="T97" i="12"/>
  <c r="X216" i="12"/>
  <c r="W56" i="12"/>
  <c r="P56" i="12"/>
  <c r="S56" i="12"/>
  <c r="R56" i="12"/>
  <c r="X78" i="12"/>
  <c r="R73" i="12"/>
  <c r="W73" i="12"/>
  <c r="P73" i="12"/>
  <c r="S73" i="12"/>
  <c r="T46" i="12"/>
  <c r="Q46" i="12"/>
  <c r="X153" i="12"/>
  <c r="X224" i="12"/>
  <c r="X179" i="12"/>
  <c r="V94" i="12"/>
  <c r="U94" i="12"/>
  <c r="Y94" i="12"/>
  <c r="Q76" i="12"/>
  <c r="T76" i="12"/>
  <c r="X148" i="12"/>
  <c r="V50" i="12"/>
  <c r="Y50" i="12"/>
  <c r="U50" i="12"/>
  <c r="X156" i="12"/>
  <c r="T54" i="12"/>
  <c r="Q54" i="12"/>
  <c r="X150" i="12"/>
  <c r="Y190" i="12"/>
  <c r="U190" i="12"/>
  <c r="V190" i="12"/>
  <c r="Y154" i="12"/>
  <c r="U154" i="12"/>
  <c r="V154" i="12"/>
  <c r="W134" i="12"/>
  <c r="S134" i="12"/>
  <c r="R134" i="12"/>
  <c r="P134" i="12"/>
  <c r="T149" i="12"/>
  <c r="Q149" i="12"/>
  <c r="Q160" i="12"/>
  <c r="T160" i="12"/>
  <c r="P136" i="12"/>
  <c r="R136" i="12"/>
  <c r="S136" i="12"/>
  <c r="W136" i="12"/>
  <c r="T116" i="12"/>
  <c r="Q116" i="12"/>
  <c r="W141" i="12"/>
  <c r="R141" i="12"/>
  <c r="S141" i="12"/>
  <c r="P141" i="12"/>
  <c r="Y107" i="12"/>
  <c r="V107" i="12"/>
  <c r="U107" i="12"/>
  <c r="Q115" i="12"/>
  <c r="T115" i="12"/>
  <c r="P199" i="12"/>
  <c r="R199" i="12"/>
  <c r="S199" i="12"/>
  <c r="W199" i="12"/>
  <c r="S145" i="12"/>
  <c r="P145" i="12"/>
  <c r="W145" i="12"/>
  <c r="R145" i="12"/>
  <c r="S108" i="12"/>
  <c r="W108" i="12"/>
  <c r="P108" i="12"/>
  <c r="R108" i="12"/>
  <c r="Y170" i="12"/>
  <c r="V170" i="12"/>
  <c r="U170" i="12"/>
  <c r="W159" i="12"/>
  <c r="S159" i="12"/>
  <c r="R159" i="12"/>
  <c r="P159" i="12"/>
  <c r="T174" i="12"/>
  <c r="Q174" i="12"/>
  <c r="Y142" i="12"/>
  <c r="V142" i="12"/>
  <c r="U142" i="12"/>
  <c r="Y122" i="12"/>
  <c r="U122" i="12"/>
  <c r="V122" i="12"/>
  <c r="Q100" i="12"/>
  <c r="T100" i="12"/>
  <c r="T210" i="12"/>
  <c r="Q210" i="12"/>
  <c r="Q227" i="12"/>
  <c r="T227" i="12"/>
  <c r="Q221" i="12"/>
  <c r="T221" i="12"/>
  <c r="W168" i="12"/>
  <c r="S168" i="12"/>
  <c r="R168" i="12"/>
  <c r="P168" i="12"/>
  <c r="T153" i="12"/>
  <c r="Q153" i="12"/>
  <c r="P109" i="12"/>
  <c r="R109" i="12"/>
  <c r="W109" i="12"/>
  <c r="S109" i="12"/>
  <c r="P185" i="12"/>
  <c r="R185" i="12"/>
  <c r="S185" i="12"/>
  <c r="W185" i="12"/>
  <c r="T134" i="12"/>
  <c r="Q134" i="12"/>
  <c r="X186" i="12"/>
  <c r="X227" i="12"/>
  <c r="X136" i="12"/>
  <c r="Y76" i="12"/>
  <c r="U76" i="12"/>
  <c r="V76" i="12"/>
  <c r="X80" i="12"/>
  <c r="S62" i="12"/>
  <c r="P62" i="12"/>
  <c r="W62" i="12"/>
  <c r="R62" i="12"/>
  <c r="P84" i="12"/>
  <c r="R84" i="12"/>
  <c r="S84" i="12"/>
  <c r="W84" i="12"/>
  <c r="T78" i="12"/>
  <c r="Q78" i="12"/>
  <c r="X52" i="12"/>
  <c r="X158" i="12"/>
  <c r="X134" i="12"/>
  <c r="P95" i="12"/>
  <c r="R95" i="12"/>
  <c r="S95" i="12"/>
  <c r="W95" i="12"/>
  <c r="X117" i="12"/>
  <c r="T41" i="12"/>
  <c r="Q41" i="12"/>
  <c r="X95" i="12"/>
  <c r="X56" i="12"/>
  <c r="Q99" i="12"/>
  <c r="T99" i="12"/>
  <c r="X70" i="12"/>
  <c r="X221" i="12"/>
  <c r="R52" i="12"/>
  <c r="W52" i="12"/>
  <c r="P52" i="12"/>
  <c r="S52" i="12"/>
  <c r="T83" i="12"/>
  <c r="Q83" i="12"/>
  <c r="X189" i="12"/>
  <c r="X206" i="12"/>
  <c r="X100" i="12"/>
  <c r="Y56" i="12"/>
  <c r="V56" i="12"/>
  <c r="U56" i="12"/>
  <c r="X127" i="12"/>
  <c r="R74" i="12"/>
  <c r="P74" i="12"/>
  <c r="W74" i="12"/>
  <c r="S74" i="12"/>
  <c r="X141" i="12"/>
  <c r="Y53" i="12"/>
  <c r="U53" i="12"/>
  <c r="V53" i="12"/>
  <c r="X44" i="12"/>
  <c r="P86" i="12"/>
  <c r="W86" i="12"/>
  <c r="R86" i="12"/>
  <c r="S86" i="12"/>
  <c r="Q50" i="12"/>
  <c r="T50" i="12"/>
  <c r="Q47" i="12"/>
  <c r="T47" i="12"/>
  <c r="P53" i="12"/>
  <c r="R53" i="12"/>
  <c r="S53" i="12"/>
  <c r="W53" i="12"/>
  <c r="X81" i="12"/>
  <c r="X213" i="12"/>
  <c r="T82" i="12"/>
  <c r="Q82" i="12"/>
  <c r="Y54" i="12"/>
  <c r="V54" i="12"/>
  <c r="U54" i="12"/>
  <c r="P98" i="12"/>
  <c r="W98" i="12"/>
  <c r="R98" i="12"/>
  <c r="S98" i="12"/>
  <c r="X124" i="12"/>
  <c r="X169" i="12"/>
  <c r="X139" i="12"/>
  <c r="X41" i="12"/>
  <c r="X143" i="12"/>
  <c r="T69" i="12"/>
  <c r="Q69" i="12"/>
</calcChain>
</file>

<file path=xl/sharedStrings.xml><?xml version="1.0" encoding="utf-8"?>
<sst xmlns="http://schemas.openxmlformats.org/spreadsheetml/2006/main" count="570" uniqueCount="70">
  <si>
    <t>Fecha</t>
  </si>
  <si>
    <t>AL30D</t>
  </si>
  <si>
    <t>AL30</t>
  </si>
  <si>
    <t>AL29D</t>
  </si>
  <si>
    <t>USD</t>
  </si>
  <si>
    <t>DÓLAR</t>
  </si>
  <si>
    <t>Renta</t>
  </si>
  <si>
    <t>Amort</t>
  </si>
  <si>
    <t>R+A</t>
  </si>
  <si>
    <t>GD29</t>
  </si>
  <si>
    <t>GD30</t>
  </si>
  <si>
    <t>AL29</t>
  </si>
  <si>
    <t>TASA</t>
  </si>
  <si>
    <t>Fecha inicio</t>
  </si>
  <si>
    <t>Interes</t>
  </si>
  <si>
    <t>Valor Tecnico</t>
  </si>
  <si>
    <t>VR</t>
  </si>
  <si>
    <t>Int Corrido</t>
  </si>
  <si>
    <t>Fecha ultimo pago</t>
  </si>
  <si>
    <t>AL35</t>
  </si>
  <si>
    <t>AL41</t>
  </si>
  <si>
    <t>AE38</t>
  </si>
  <si>
    <t>GD29d</t>
  </si>
  <si>
    <t>AE38D</t>
  </si>
  <si>
    <t>AL41D</t>
  </si>
  <si>
    <t>P30</t>
  </si>
  <si>
    <t>P29</t>
  </si>
  <si>
    <t>PG29</t>
  </si>
  <si>
    <t>P38</t>
  </si>
  <si>
    <t>P41</t>
  </si>
  <si>
    <t>29-38</t>
  </si>
  <si>
    <t>29-41</t>
  </si>
  <si>
    <t>29-30</t>
  </si>
  <si>
    <t>Etiquetas de fila</t>
  </si>
  <si>
    <t>Total general</t>
  </si>
  <si>
    <t>Suma de 29-30</t>
  </si>
  <si>
    <t>Suma de 29-41</t>
  </si>
  <si>
    <t>g29-41</t>
  </si>
  <si>
    <t>Suma de g29-41</t>
  </si>
  <si>
    <t>g29-29</t>
  </si>
  <si>
    <t>Suma de g29-29</t>
  </si>
  <si>
    <t>Suma de P29</t>
  </si>
  <si>
    <t>Suma de P30</t>
  </si>
  <si>
    <t>Suma de PG29</t>
  </si>
  <si>
    <t>Suma de P38</t>
  </si>
  <si>
    <t>Suma de P41</t>
  </si>
  <si>
    <t>30-41</t>
  </si>
  <si>
    <t>Suma de 30-41</t>
  </si>
  <si>
    <t>GD30D</t>
  </si>
  <si>
    <t>PG30</t>
  </si>
  <si>
    <t>P35</t>
  </si>
  <si>
    <t>AL35D</t>
  </si>
  <si>
    <t>Suma de PG30</t>
  </si>
  <si>
    <t>Suma de P35</t>
  </si>
  <si>
    <t>Suma de 29-38</t>
  </si>
  <si>
    <t>30-35</t>
  </si>
  <si>
    <t>29-35</t>
  </si>
  <si>
    <t>g30-30</t>
  </si>
  <si>
    <t>Suma de 29-35</t>
  </si>
  <si>
    <t>Suma de 30-35</t>
  </si>
  <si>
    <t>precio</t>
  </si>
  <si>
    <t>cantidad</t>
  </si>
  <si>
    <t xml:space="preserve">vendo </t>
  </si>
  <si>
    <t>compro</t>
  </si>
  <si>
    <t>vendo</t>
  </si>
  <si>
    <t>$</t>
  </si>
  <si>
    <t>gane</t>
  </si>
  <si>
    <t>comisiones</t>
  </si>
  <si>
    <t>30-38</t>
  </si>
  <si>
    <t>Suma de 30-38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</si>
</sst>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%"/>
    <numFmt numFmtId="165" formatCode="0.0000"/>
    <numFmt numFmtId="166" formatCode="0.000000"/>
    <numFmt numFmtId="167" formatCode="0.000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444444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/>
  </cellStyleXfs>
  <cellXfs count="91">
    <xf numFmtId="0" fontId="0" fillId="0" borderId="0" xfId="0"/>
    <xf numFmtId="14" fontId="0" fillId="0" borderId="0" xfId="0" applyNumberFormat="1"/>
    <xf numFmtId="2" fontId="0" fillId="0" borderId="0" xfId="0" applyNumberFormat="1"/>
    <xf numFmtId="10" fontId="0" fillId="0" borderId="0" xfId="0" applyNumberFormat="1"/>
    <xf numFmtId="0" fontId="18" fillId="33" borderId="10" xfId="0" applyFont="1" applyFill="1" applyBorder="1" applyAlignment="1">
      <alignment vertical="center" wrapText="1"/>
    </xf>
    <xf numFmtId="2" fontId="18" fillId="33" borderId="10" xfId="0" applyNumberFormat="1" applyFont="1" applyFill="1" applyBorder="1" applyAlignment="1">
      <alignment horizontal="right" vertical="center" wrapText="1"/>
    </xf>
    <xf numFmtId="2" fontId="16" fillId="0" borderId="0" xfId="0" applyNumberFormat="1" applyFont="1"/>
    <xf numFmtId="14" fontId="18" fillId="33" borderId="11" xfId="0" applyNumberFormat="1" applyFont="1" applyFill="1" applyBorder="1" applyAlignment="1">
      <alignment vertical="center" wrapText="1"/>
    </xf>
    <xf numFmtId="2" fontId="18" fillId="33" borderId="12" xfId="0" applyNumberFormat="1" applyFont="1" applyFill="1" applyBorder="1" applyAlignment="1">
      <alignment horizontal="right" vertical="center" wrapText="1"/>
    </xf>
    <xf numFmtId="0" fontId="0" fillId="0" borderId="13" xfId="0" applyBorder="1"/>
    <xf numFmtId="2" fontId="0" fillId="0" borderId="14" xfId="0" applyNumberFormat="1" applyBorder="1"/>
    <xf numFmtId="2" fontId="16" fillId="0" borderId="14" xfId="0" applyNumberFormat="1" applyFont="1" applyBorder="1"/>
    <xf numFmtId="2" fontId="16" fillId="0" borderId="15" xfId="0" applyNumberFormat="1" applyFont="1" applyBorder="1"/>
    <xf numFmtId="0" fontId="0" fillId="0" borderId="0" xfId="0" applyBorder="1"/>
    <xf numFmtId="2" fontId="0" fillId="0" borderId="13" xfId="0" applyNumberFormat="1" applyBorder="1"/>
    <xf numFmtId="0" fontId="0" fillId="0" borderId="14" xfId="0" applyBorder="1"/>
    <xf numFmtId="14" fontId="18" fillId="33" borderId="16" xfId="0" applyNumberFormat="1" applyFont="1" applyFill="1" applyBorder="1" applyAlignment="1">
      <alignment vertical="center" wrapText="1"/>
    </xf>
    <xf numFmtId="0" fontId="18" fillId="33" borderId="17" xfId="0" applyFont="1" applyFill="1" applyBorder="1" applyAlignment="1">
      <alignment vertical="center" wrapText="1"/>
    </xf>
    <xf numFmtId="2" fontId="18" fillId="33" borderId="17" xfId="0" applyNumberFormat="1" applyFont="1" applyFill="1" applyBorder="1" applyAlignment="1">
      <alignment horizontal="right" vertical="center" wrapText="1"/>
    </xf>
    <xf numFmtId="2" fontId="18" fillId="33" borderId="18" xfId="0" applyNumberFormat="1" applyFont="1" applyFill="1" applyBorder="1" applyAlignment="1">
      <alignment horizontal="right" vertical="center" wrapText="1"/>
    </xf>
    <xf numFmtId="0" fontId="19" fillId="0" borderId="19" xfId="0" applyFont="1" applyBorder="1"/>
    <xf numFmtId="2" fontId="0" fillId="0" borderId="20" xfId="0" applyNumberFormat="1" applyBorder="1"/>
    <xf numFmtId="0" fontId="16" fillId="0" borderId="20" xfId="0" applyFont="1" applyBorder="1"/>
    <xf numFmtId="0" fontId="16" fillId="0" borderId="21" xfId="0" applyFont="1" applyBorder="1"/>
    <xf numFmtId="0" fontId="0" fillId="0" borderId="20" xfId="0" applyBorder="1"/>
    <xf numFmtId="14" fontId="19" fillId="0" borderId="19" xfId="0" applyNumberFormat="1" applyFont="1" applyBorder="1"/>
    <xf numFmtId="2" fontId="0" fillId="0" borderId="0" xfId="0" applyNumberFormat="1" applyBorder="1"/>
    <xf numFmtId="14" fontId="18" fillId="33" borderId="0" xfId="0" applyNumberFormat="1" applyFont="1" applyFill="1" applyBorder="1" applyAlignment="1">
      <alignment vertical="center" wrapText="1"/>
    </xf>
    <xf numFmtId="2" fontId="18" fillId="33" borderId="0" xfId="0" applyNumberFormat="1" applyFont="1" applyFill="1" applyBorder="1" applyAlignment="1">
      <alignment horizontal="right" vertical="center" wrapText="1"/>
    </xf>
    <xf numFmtId="14" fontId="0" fillId="0" borderId="0" xfId="0" applyNumberFormat="1" applyBorder="1"/>
    <xf numFmtId="10" fontId="0" fillId="0" borderId="0" xfId="0" applyNumberFormat="1" applyBorder="1"/>
    <xf numFmtId="2" fontId="16" fillId="0" borderId="0" xfId="0" applyNumberFormat="1" applyFont="1" applyBorder="1"/>
    <xf numFmtId="14" fontId="19" fillId="0" borderId="22" xfId="0" applyNumberFormat="1" applyFont="1" applyBorder="1"/>
    <xf numFmtId="0" fontId="16" fillId="0" borderId="0" xfId="0" applyFont="1" applyBorder="1"/>
    <xf numFmtId="0" fontId="16" fillId="0" borderId="23" xfId="0" applyFont="1" applyBorder="1"/>
    <xf numFmtId="0" fontId="19" fillId="0" borderId="22" xfId="0" applyFont="1" applyBorder="1"/>
    <xf numFmtId="14" fontId="19" fillId="0" borderId="0" xfId="0" applyNumberFormat="1" applyFont="1" applyFill="1" applyBorder="1"/>
    <xf numFmtId="14" fontId="19" fillId="0" borderId="0" xfId="0" applyNumberFormat="1" applyFont="1" applyBorder="1"/>
    <xf numFmtId="14" fontId="19" fillId="0" borderId="22" xfId="0" applyNumberFormat="1" applyFont="1" applyFill="1" applyBorder="1"/>
    <xf numFmtId="164" fontId="0" fillId="0" borderId="0" xfId="0" applyNumberFormat="1" applyBorder="1"/>
    <xf numFmtId="0" fontId="20" fillId="0" borderId="19" xfId="0" applyFont="1" applyBorder="1"/>
    <xf numFmtId="0" fontId="20" fillId="0" borderId="21" xfId="0" applyFont="1" applyBorder="1"/>
    <xf numFmtId="0" fontId="20" fillId="0" borderId="19" xfId="0" applyFont="1" applyFill="1" applyBorder="1"/>
    <xf numFmtId="0" fontId="20" fillId="0" borderId="21" xfId="0" applyFont="1" applyFill="1" applyBorder="1"/>
    <xf numFmtId="0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20" fillId="0" borderId="20" xfId="0" applyFont="1" applyFill="1" applyBorder="1"/>
    <xf numFmtId="0" fontId="20" fillId="0" borderId="20" xfId="0" applyFont="1" applyBorder="1"/>
    <xf numFmtId="165" fontId="18" fillId="33" borderId="17" xfId="0" applyNumberFormat="1" applyFont="1" applyFill="1" applyBorder="1" applyAlignment="1">
      <alignment horizontal="right" vertical="center" wrapText="1"/>
    </xf>
    <xf numFmtId="165" fontId="18" fillId="33" borderId="10" xfId="0" applyNumberFormat="1" applyFont="1" applyFill="1" applyBorder="1" applyAlignment="1">
      <alignment horizontal="right" vertical="center" wrapText="1"/>
    </xf>
    <xf numFmtId="165" fontId="16" fillId="0" borderId="14" xfId="0" applyNumberFormat="1" applyFont="1" applyBorder="1"/>
    <xf numFmtId="165" fontId="18" fillId="33" borderId="18" xfId="0" applyNumberFormat="1" applyFont="1" applyFill="1" applyBorder="1" applyAlignment="1">
      <alignment horizontal="right" vertical="center" wrapText="1"/>
    </xf>
    <xf numFmtId="165" fontId="18" fillId="33" borderId="12" xfId="0" applyNumberFormat="1" applyFont="1" applyFill="1" applyBorder="1" applyAlignment="1">
      <alignment horizontal="right" vertical="center" wrapText="1"/>
    </xf>
    <xf numFmtId="165" fontId="16" fillId="0" borderId="15" xfId="0" applyNumberFormat="1" applyFont="1" applyBorder="1"/>
    <xf numFmtId="0" fontId="0" fillId="0" borderId="0" xfId="0" applyAlignment="1">
      <alignment horizontal="left"/>
    </xf>
    <xf numFmtId="165" fontId="0" fillId="0" borderId="0" xfId="0" applyNumberFormat="1"/>
    <xf numFmtId="166" fontId="0" fillId="0" borderId="0" xfId="0" applyNumberFormat="1"/>
    <xf numFmtId="165" fontId="0" fillId="0" borderId="0" xfId="0" applyNumberFormat="1" applyBorder="1"/>
    <xf numFmtId="167" fontId="0" fillId="0" borderId="0" xfId="0" applyNumberFormat="1"/>
    <xf numFmtId="165" fontId="16" fillId="0" borderId="0" xfId="0" applyNumberFormat="1" applyFont="1" applyBorder="1"/>
    <xf numFmtId="165" fontId="18" fillId="35" borderId="12" xfId="0" applyNumberFormat="1" applyFont="1" applyFill="1" applyBorder="1" applyAlignment="1">
      <alignment horizontal="right" vertical="center" wrapText="1"/>
    </xf>
    <xf numFmtId="2" fontId="16" fillId="0" borderId="23" xfId="0" applyNumberFormat="1" applyFont="1" applyBorder="1"/>
    <xf numFmtId="2" fontId="18" fillId="35" borderId="12" xfId="0" applyNumberFormat="1" applyFont="1" applyFill="1" applyBorder="1" applyAlignment="1">
      <alignment horizontal="right" vertical="center" wrapText="1"/>
    </xf>
    <xf numFmtId="14" fontId="0" fillId="35" borderId="22" xfId="0" applyNumberFormat="1" applyFill="1" applyBorder="1"/>
    <xf numFmtId="2" fontId="0" fillId="35" borderId="22" xfId="0" applyNumberFormat="1" applyFill="1" applyBorder="1"/>
    <xf numFmtId="10" fontId="0" fillId="35" borderId="23" xfId="0" applyNumberFormat="1" applyFill="1" applyBorder="1"/>
    <xf numFmtId="10" fontId="0" fillId="35" borderId="0" xfId="0" applyNumberFormat="1" applyFill="1" applyBorder="1"/>
    <xf numFmtId="2" fontId="0" fillId="35" borderId="0" xfId="0" applyNumberFormat="1" applyFill="1"/>
    <xf numFmtId="2" fontId="0" fillId="35" borderId="0" xfId="0" applyNumberFormat="1" applyFill="1" applyBorder="1"/>
    <xf numFmtId="10" fontId="0" fillId="35" borderId="22" xfId="0" applyNumberFormat="1" applyFill="1" applyBorder="1"/>
    <xf numFmtId="0" fontId="0" fillId="35" borderId="22" xfId="0" applyFill="1" applyBorder="1"/>
    <xf numFmtId="14" fontId="0" fillId="35" borderId="13" xfId="0" applyNumberFormat="1" applyFill="1" applyBorder="1"/>
    <xf numFmtId="2" fontId="0" fillId="35" borderId="13" xfId="0" applyNumberFormat="1" applyFill="1" applyBorder="1"/>
    <xf numFmtId="10" fontId="0" fillId="35" borderId="15" xfId="0" applyNumberFormat="1" applyFill="1" applyBorder="1"/>
    <xf numFmtId="10" fontId="0" fillId="35" borderId="14" xfId="0" applyNumberFormat="1" applyFill="1" applyBorder="1"/>
    <xf numFmtId="2" fontId="0" fillId="35" borderId="14" xfId="0" applyNumberFormat="1" applyFill="1" applyBorder="1"/>
    <xf numFmtId="10" fontId="0" fillId="35" borderId="13" xfId="0" applyNumberFormat="1" applyFill="1" applyBorder="1"/>
    <xf numFmtId="14" fontId="0" fillId="34" borderId="22" xfId="0" applyNumberFormat="1" applyFill="1" applyBorder="1"/>
    <xf numFmtId="2" fontId="0" fillId="34" borderId="22" xfId="0" applyNumberFormat="1" applyFill="1" applyBorder="1"/>
    <xf numFmtId="10" fontId="0" fillId="34" borderId="23" xfId="0" applyNumberFormat="1" applyFill="1" applyBorder="1"/>
    <xf numFmtId="10" fontId="0" fillId="34" borderId="0" xfId="0" applyNumberFormat="1" applyFill="1" applyBorder="1"/>
    <xf numFmtId="2" fontId="0" fillId="34" borderId="0" xfId="0" applyNumberFormat="1" applyFill="1"/>
    <xf numFmtId="2" fontId="0" fillId="34" borderId="0" xfId="0" applyNumberFormat="1" applyFill="1" applyBorder="1"/>
    <xf numFmtId="0" fontId="0" fillId="34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20" fillId="0" borderId="22" xfId="0" applyFont="1" applyFill="1" applyBorder="1"/>
    <xf numFmtId="10" fontId="0" fillId="34" borderId="0" xfId="0" applyNumberFormat="1" applyFill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rmal 2" xfId="42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5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dolares.xlsm]Hoja3!TablaDinámica6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72864"/>
        <c:axId val="133268224"/>
      </c:lineChart>
      <c:catAx>
        <c:axId val="11357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268224"/>
        <c:crosses val="autoZero"/>
        <c:auto val="1"/>
        <c:lblAlgn val="ctr"/>
        <c:lblOffset val="100"/>
        <c:noMultiLvlLbl val="0"/>
      </c:catAx>
      <c:valAx>
        <c:axId val="13326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72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dolares.xlsm]30-38!TablaDinámica2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'30-38'!$B$3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'30-38'!$A$4:$A$217</c:f>
              <c:strCache>
                <c:ptCount val="21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</c:strCache>
            </c:strRef>
          </c:cat>
          <c:val>
            <c:numRef>
              <c:f>'30-38'!$B$4:$B$217</c:f>
              <c:numCache>
                <c:formatCode>General</c:formatCode>
                <c:ptCount val="213"/>
                <c:pt idx="0">
                  <c:v>2.6727276467079342E-2</c:v>
                </c:pt>
                <c:pt idx="1">
                  <c:v>2.732779573744526E-2</c:v>
                </c:pt>
                <c:pt idx="2">
                  <c:v>2.8128513835943336E-2</c:v>
                </c:pt>
                <c:pt idx="3">
                  <c:v>2.6526799334944506E-2</c:v>
                </c:pt>
                <c:pt idx="4">
                  <c:v>2.8528724126346383E-2</c:v>
                </c:pt>
                <c:pt idx="5">
                  <c:v>2.7727632675028868E-2</c:v>
                </c:pt>
                <c:pt idx="6">
                  <c:v>2.7427239381577651E-2</c:v>
                </c:pt>
                <c:pt idx="7">
                  <c:v>3.5535170082718837E-2</c:v>
                </c:pt>
                <c:pt idx="8">
                  <c:v>2.6025669153137365E-2</c:v>
                </c:pt>
                <c:pt idx="9">
                  <c:v>2.3122726789687131E-2</c:v>
                </c:pt>
                <c:pt idx="10">
                  <c:v>2.472404667553374E-2</c:v>
                </c:pt>
                <c:pt idx="11">
                  <c:v>2.8727842395198155E-2</c:v>
                </c:pt>
                <c:pt idx="12">
                  <c:v>2.2021267114130827E-2</c:v>
                </c:pt>
                <c:pt idx="13">
                  <c:v>1.8017338603244948E-2</c:v>
                </c:pt>
                <c:pt idx="14">
                  <c:v>2.1520636226518564E-2</c:v>
                </c:pt>
                <c:pt idx="15">
                  <c:v>2.7526112099491629E-2</c:v>
                </c:pt>
                <c:pt idx="16">
                  <c:v>3.0528856042012387E-2</c:v>
                </c:pt>
                <c:pt idx="17">
                  <c:v>3.2030165395492305E-2</c:v>
                </c:pt>
                <c:pt idx="18">
                  <c:v>3.2630619142620165E-2</c:v>
                </c:pt>
                <c:pt idx="19">
                  <c:v>3.1729665063569668E-2</c:v>
                </c:pt>
                <c:pt idx="20">
                  <c:v>3.1829322218070721E-2</c:v>
                </c:pt>
                <c:pt idx="21">
                  <c:v>3.3730958550998891E-2</c:v>
                </c:pt>
                <c:pt idx="22">
                  <c:v>4.0136700339008569E-2</c:v>
                </c:pt>
                <c:pt idx="23">
                  <c:v>4.3940027559352002E-2</c:v>
                </c:pt>
                <c:pt idx="24">
                  <c:v>4.5040567360327965E-2</c:v>
                </c:pt>
                <c:pt idx="25">
                  <c:v>3.5832150765412851E-2</c:v>
                </c:pt>
                <c:pt idx="26">
                  <c:v>3.5531759552202447E-2</c:v>
                </c:pt>
                <c:pt idx="27">
                  <c:v>2.3621032426132837E-2</c:v>
                </c:pt>
                <c:pt idx="28">
                  <c:v>2.8725479106467666E-2</c:v>
                </c:pt>
                <c:pt idx="29">
                  <c:v>2.2319567840298316E-2</c:v>
                </c:pt>
                <c:pt idx="30">
                  <c:v>2.6222900135392191E-2</c:v>
                </c:pt>
                <c:pt idx="31">
                  <c:v>2.7023506749021375E-2</c:v>
                </c:pt>
                <c:pt idx="32">
                  <c:v>2.6522980527648898E-2</c:v>
                </c:pt>
                <c:pt idx="33">
                  <c:v>2.0717879814086126E-2</c:v>
                </c:pt>
                <c:pt idx="34">
                  <c:v>2.3920397873529176E-2</c:v>
                </c:pt>
                <c:pt idx="35">
                  <c:v>1.531300556637144E-2</c:v>
                </c:pt>
                <c:pt idx="36">
                  <c:v>1.1409651314639391E-2</c:v>
                </c:pt>
                <c:pt idx="37">
                  <c:v>5.9049747389924856E-3</c:v>
                </c:pt>
                <c:pt idx="38">
                  <c:v>6.2052064231974957E-3</c:v>
                </c:pt>
                <c:pt idx="39">
                  <c:v>4.5037325454657662E-3</c:v>
                </c:pt>
                <c:pt idx="40">
                  <c:v>-1.0008260242186373E-3</c:v>
                </c:pt>
                <c:pt idx="41">
                  <c:v>7.5061694543460677E-3</c:v>
                </c:pt>
                <c:pt idx="42">
                  <c:v>4.7038500690633755E-3</c:v>
                </c:pt>
                <c:pt idx="43">
                  <c:v>2.3018761867549253E-3</c:v>
                </c:pt>
                <c:pt idx="44">
                  <c:v>4.6037050365876908E-3</c:v>
                </c:pt>
                <c:pt idx="45">
                  <c:v>5.3042506666300948E-3</c:v>
                </c:pt>
                <c:pt idx="46">
                  <c:v>3.402715180263749E-3</c:v>
                </c:pt>
                <c:pt idx="47">
                  <c:v>4.3034191549450318E-3</c:v>
                </c:pt>
                <c:pt idx="48">
                  <c:v>2.6020584777683431E-3</c:v>
                </c:pt>
                <c:pt idx="49">
                  <c:v>8.006224016615715E-3</c:v>
                </c:pt>
                <c:pt idx="50">
                  <c:v>1.2009294865203968E-2</c:v>
                </c:pt>
                <c:pt idx="51">
                  <c:v>1.4911490017993301E-2</c:v>
                </c:pt>
                <c:pt idx="52">
                  <c:v>1.5111592454485623E-2</c:v>
                </c:pt>
                <c:pt idx="53">
                  <c:v>1.4611058369519425E-2</c:v>
                </c:pt>
                <c:pt idx="54">
                  <c:v>1.531153608883401E-2</c:v>
                </c:pt>
                <c:pt idx="55">
                  <c:v>6.7050287715786916E-3</c:v>
                </c:pt>
                <c:pt idx="56">
                  <c:v>1.4510833430437797E-2</c:v>
                </c:pt>
                <c:pt idx="57">
                  <c:v>1.4710932439518432E-2</c:v>
                </c:pt>
                <c:pt idx="58">
                  <c:v>1.9914458442430727E-2</c:v>
                </c:pt>
                <c:pt idx="59">
                  <c:v>2.3216776506311043E-2</c:v>
                </c:pt>
                <c:pt idx="60">
                  <c:v>2.5318208300490086E-2</c:v>
                </c:pt>
                <c:pt idx="61">
                  <c:v>2.9120643744024011E-2</c:v>
                </c:pt>
                <c:pt idx="62">
                  <c:v>3.0321391118391772E-2</c:v>
                </c:pt>
                <c:pt idx="63">
                  <c:v>2.5017563700543199E-2</c:v>
                </c:pt>
                <c:pt idx="64">
                  <c:v>1.9413562900108317E-2</c:v>
                </c:pt>
                <c:pt idx="65">
                  <c:v>1.9613635506876392E-2</c:v>
                </c:pt>
                <c:pt idx="66">
                  <c:v>2.1314599040438642E-2</c:v>
                </c:pt>
                <c:pt idx="67">
                  <c:v>2.0614048615323455E-2</c:v>
                </c:pt>
                <c:pt idx="68">
                  <c:v>2.0413842262904269E-2</c:v>
                </c:pt>
                <c:pt idx="69">
                  <c:v>1.9012566525134722E-2</c:v>
                </c:pt>
                <c:pt idx="70">
                  <c:v>2.1314014694593708E-2</c:v>
                </c:pt>
                <c:pt idx="71">
                  <c:v>2.7417934333759386E-2</c:v>
                </c:pt>
                <c:pt idx="72">
                  <c:v>3.3221161424743184E-2</c:v>
                </c:pt>
                <c:pt idx="73">
                  <c:v>3.3521237770505308E-2</c:v>
                </c:pt>
                <c:pt idx="74">
                  <c:v>2.7217150533212664E-2</c:v>
                </c:pt>
                <c:pt idx="75">
                  <c:v>2.4415301370379339E-2</c:v>
                </c:pt>
                <c:pt idx="76">
                  <c:v>2.5015591910026114E-2</c:v>
                </c:pt>
                <c:pt idx="77">
                  <c:v>2.6516254827445573E-2</c:v>
                </c:pt>
                <c:pt idx="78">
                  <c:v>2.6916407947310317E-2</c:v>
                </c:pt>
                <c:pt idx="79">
                  <c:v>2.7616740284350405E-2</c:v>
                </c:pt>
                <c:pt idx="80">
                  <c:v>3.0618454959153496E-2</c:v>
                </c:pt>
                <c:pt idx="81">
                  <c:v>2.9917930266426751E-2</c:v>
                </c:pt>
                <c:pt idx="82">
                  <c:v>3.0017681648094097E-2</c:v>
                </c:pt>
                <c:pt idx="83">
                  <c:v>2.9417227211826102E-2</c:v>
                </c:pt>
                <c:pt idx="84">
                  <c:v>2.3813864236027826E-2</c:v>
                </c:pt>
                <c:pt idx="85">
                  <c:v>2.6815519941335908E-2</c:v>
                </c:pt>
                <c:pt idx="86">
                  <c:v>2.4914334274514005E-2</c:v>
                </c:pt>
                <c:pt idx="87">
                  <c:v>2.0911816608700118E-2</c:v>
                </c:pt>
                <c:pt idx="88">
                  <c:v>2.201236310804694E-2</c:v>
                </c:pt>
                <c:pt idx="89">
                  <c:v>1.7609830144909633E-2</c:v>
                </c:pt>
                <c:pt idx="90">
                  <c:v>1.5208437557823196E-2</c:v>
                </c:pt>
                <c:pt idx="91">
                  <c:v>1.440794410616808E-2</c:v>
                </c:pt>
                <c:pt idx="92">
                  <c:v>1.34072546103714E-2</c:v>
                </c:pt>
                <c:pt idx="93">
                  <c:v>1.3207101078319516E-2</c:v>
                </c:pt>
                <c:pt idx="94">
                  <c:v>1.2306574745412024E-2</c:v>
                </c:pt>
                <c:pt idx="95">
                  <c:v>1.3607223012215397E-2</c:v>
                </c:pt>
                <c:pt idx="96">
                  <c:v>1.6208548343989604E-2</c:v>
                </c:pt>
                <c:pt idx="97">
                  <c:v>1.6508536948901642E-2</c:v>
                </c:pt>
                <c:pt idx="98">
                  <c:v>1.7208840157615257E-2</c:v>
                </c:pt>
                <c:pt idx="99">
                  <c:v>1.9509955422458758E-2</c:v>
                </c:pt>
                <c:pt idx="100">
                  <c:v>1.5107657305757693E-2</c:v>
                </c:pt>
                <c:pt idx="101">
                  <c:v>1.1505792299548123E-2</c:v>
                </c:pt>
                <c:pt idx="102">
                  <c:v>1.4507054800622254E-2</c:v>
                </c:pt>
                <c:pt idx="103">
                  <c:v>1.9709517266899401E-2</c:v>
                </c:pt>
                <c:pt idx="104">
                  <c:v>1.3906667580346754E-2</c:v>
                </c:pt>
                <c:pt idx="105">
                  <c:v>1.9509153267115054E-2</c:v>
                </c:pt>
                <c:pt idx="106">
                  <c:v>1.6507688512457819E-2</c:v>
                </c:pt>
                <c:pt idx="107">
                  <c:v>1.780823325852704E-2</c:v>
                </c:pt>
                <c:pt idx="108">
                  <c:v>1.8708585446746084E-2</c:v>
                </c:pt>
                <c:pt idx="109">
                  <c:v>1.9308794759256787E-2</c:v>
                </c:pt>
                <c:pt idx="110">
                  <c:v>1.7307705485318847E-2</c:v>
                </c:pt>
                <c:pt idx="111">
                  <c:v>1.8408132359843843E-2</c:v>
                </c:pt>
                <c:pt idx="112">
                  <c:v>2.6711709242407677E-2</c:v>
                </c:pt>
                <c:pt idx="113">
                  <c:v>2.58112261154681E-2</c:v>
                </c:pt>
                <c:pt idx="114">
                  <c:v>2.2509713095376749E-2</c:v>
                </c:pt>
                <c:pt idx="115">
                  <c:v>2.6511167375298572E-2</c:v>
                </c:pt>
                <c:pt idx="116">
                  <c:v>2.5410616764538596E-2</c:v>
                </c:pt>
                <c:pt idx="117">
                  <c:v>1.4105845230386549E-2</c:v>
                </c:pt>
                <c:pt idx="118">
                  <c:v>1.4606002466767132E-2</c:v>
                </c:pt>
                <c:pt idx="119">
                  <c:v>1.6406686286534578E-2</c:v>
                </c:pt>
                <c:pt idx="120">
                  <c:v>1.3105206177796702E-2</c:v>
                </c:pt>
                <c:pt idx="121">
                  <c:v>1.1504530894016485E-2</c:v>
                </c:pt>
                <c:pt idx="122">
                  <c:v>1.7506834860185172E-2</c:v>
                </c:pt>
                <c:pt idx="123">
                  <c:v>1.9007355586237118E-2</c:v>
                </c:pt>
                <c:pt idx="124">
                  <c:v>1.4705640519651342E-2</c:v>
                </c:pt>
                <c:pt idx="125">
                  <c:v>1.1104145040443159E-2</c:v>
                </c:pt>
                <c:pt idx="126">
                  <c:v>6.802515999068115E-3</c:v>
                </c:pt>
                <c:pt idx="127">
                  <c:v>5.3019246712847634E-3</c:v>
                </c:pt>
                <c:pt idx="128">
                  <c:v>5.8020863666728983E-3</c:v>
                </c:pt>
                <c:pt idx="129">
                  <c:v>3.60125797367572E-3</c:v>
                </c:pt>
                <c:pt idx="130">
                  <c:v>2.9010034292683007E-3</c:v>
                </c:pt>
                <c:pt idx="131">
                  <c:v>1.5005138746145841E-3</c:v>
                </c:pt>
                <c:pt idx="132">
                  <c:v>9.5030917593052489E-3</c:v>
                </c:pt>
                <c:pt idx="133">
                  <c:v>9.3029947996957629E-3</c:v>
                </c:pt>
                <c:pt idx="134">
                  <c:v>2.1506849784349136E-2</c:v>
                </c:pt>
                <c:pt idx="135">
                  <c:v>1.0803403812159995E-2</c:v>
                </c:pt>
                <c:pt idx="136">
                  <c:v>1.0803366802667969E-2</c:v>
                </c:pt>
                <c:pt idx="137">
                  <c:v>9.5028638767847284E-3</c:v>
                </c:pt>
                <c:pt idx="138">
                  <c:v>9.8029207332321344E-3</c:v>
                </c:pt>
                <c:pt idx="139">
                  <c:v>9.2027103873059124E-3</c:v>
                </c:pt>
                <c:pt idx="140">
                  <c:v>7.5021838548892661E-3</c:v>
                </c:pt>
                <c:pt idx="141">
                  <c:v>6.0017265240685513E-3</c:v>
                </c:pt>
                <c:pt idx="142">
                  <c:v>8.7024140258085136E-3</c:v>
                </c:pt>
                <c:pt idx="143">
                  <c:v>6.1016716908741664E-3</c:v>
                </c:pt>
                <c:pt idx="144">
                  <c:v>5.5014884163866462E-3</c:v>
                </c:pt>
                <c:pt idx="145">
                  <c:v>1.7004542309246307E-3</c:v>
                </c:pt>
                <c:pt idx="146">
                  <c:v>3.5009231886490855E-3</c:v>
                </c:pt>
                <c:pt idx="147">
                  <c:v>1.1202839075656168E-2</c:v>
                </c:pt>
                <c:pt idx="148">
                  <c:v>1.3503375843960996E-2</c:v>
                </c:pt>
                <c:pt idx="149">
                  <c:v>1.0502589679647067E-2</c:v>
                </c:pt>
                <c:pt idx="150">
                  <c:v>1.3303234690626831E-2</c:v>
                </c:pt>
                <c:pt idx="151">
                  <c:v>1.1002637618607147E-2</c:v>
                </c:pt>
                <c:pt idx="152">
                  <c:v>1.5303511422141369E-2</c:v>
                </c:pt>
                <c:pt idx="153">
                  <c:v>1.4703323353908782E-2</c:v>
                </c:pt>
                <c:pt idx="154">
                  <c:v>1.1702605031942093E-2</c:v>
                </c:pt>
                <c:pt idx="155">
                  <c:v>1.2502740326646944E-2</c:v>
                </c:pt>
                <c:pt idx="156">
                  <c:v>8.5018342998660068E-3</c:v>
                </c:pt>
                <c:pt idx="157">
                  <c:v>8.6017674864697913E-3</c:v>
                </c:pt>
                <c:pt idx="158">
                  <c:v>6.7013540407137029E-3</c:v>
                </c:pt>
                <c:pt idx="159">
                  <c:v>7.1014105541511441E-3</c:v>
                </c:pt>
                <c:pt idx="160">
                  <c:v>6.9013471807852222E-3</c:v>
                </c:pt>
                <c:pt idx="161">
                  <c:v>5.9011317238922834E-3</c:v>
                </c:pt>
                <c:pt idx="162">
                  <c:v>5.0009076990001899E-3</c:v>
                </c:pt>
                <c:pt idx="163">
                  <c:v>2.0003562278214093E-3</c:v>
                </c:pt>
                <c:pt idx="164">
                  <c:v>-8.0013975043585761E-4</c:v>
                </c:pt>
                <c:pt idx="165">
                  <c:v>-4.7008049323514212E-3</c:v>
                </c:pt>
                <c:pt idx="166">
                  <c:v>-6.7011245037694733E-3</c:v>
                </c:pt>
                <c:pt idx="167">
                  <c:v>-1.2001808491690524E-2</c:v>
                </c:pt>
                <c:pt idx="168">
                  <c:v>-9.9014580914312811E-3</c:v>
                </c:pt>
                <c:pt idx="169">
                  <c:v>-9.7013954061885843E-3</c:v>
                </c:pt>
                <c:pt idx="170">
                  <c:v>-9.5012690051068938E-3</c:v>
                </c:pt>
                <c:pt idx="171">
                  <c:v>-1.2001561847089615E-2</c:v>
                </c:pt>
                <c:pt idx="172">
                  <c:v>-1.3001647469028654E-2</c:v>
                </c:pt>
                <c:pt idx="173">
                  <c:v>-9.1011220561439399E-3</c:v>
                </c:pt>
                <c:pt idx="174">
                  <c:v>-1.1601390577637649E-2</c:v>
                </c:pt>
                <c:pt idx="175">
                  <c:v>-8.0008768084173232E-3</c:v>
                </c:pt>
                <c:pt idx="176">
                  <c:v>-5.3005627309747894E-3</c:v>
                </c:pt>
                <c:pt idx="177">
                  <c:v>-5.0005137514128051E-3</c:v>
                </c:pt>
                <c:pt idx="178">
                  <c:v>-3.6003575697586832E-3</c:v>
                </c:pt>
                <c:pt idx="179">
                  <c:v>-3.6003452385845458E-3</c:v>
                </c:pt>
                <c:pt idx="180">
                  <c:v>-4.0003424950766919E-3</c:v>
                </c:pt>
                <c:pt idx="181">
                  <c:v>-1.9001561772200026E-3</c:v>
                </c:pt>
                <c:pt idx="182">
                  <c:v>-5.8004568853026184E-3</c:v>
                </c:pt>
                <c:pt idx="183">
                  <c:v>-4.5003390666419896E-3</c:v>
                </c:pt>
                <c:pt idx="184">
                  <c:v>-6.0004315378845985E-3</c:v>
                </c:pt>
                <c:pt idx="185">
                  <c:v>-6.7003900912039893E-3</c:v>
                </c:pt>
                <c:pt idx="186">
                  <c:v>-8.1004438599375228E-3</c:v>
                </c:pt>
                <c:pt idx="187">
                  <c:v>-1.1100570234772345E-2</c:v>
                </c:pt>
                <c:pt idx="188">
                  <c:v>-1.2100580164802421E-2</c:v>
                </c:pt>
                <c:pt idx="189">
                  <c:v>-1.1500433235498597E-2</c:v>
                </c:pt>
                <c:pt idx="190">
                  <c:v>-1.2000410972978548E-2</c:v>
                </c:pt>
                <c:pt idx="191">
                  <c:v>-1.0800332886972519E-2</c:v>
                </c:pt>
                <c:pt idx="192">
                  <c:v>-1.450039727115815E-2</c:v>
                </c:pt>
                <c:pt idx="193">
                  <c:v>-1.6700400352063161E-2</c:v>
                </c:pt>
                <c:pt idx="194">
                  <c:v>-1.8600254798010918E-2</c:v>
                </c:pt>
                <c:pt idx="195">
                  <c:v>-1.6300167467473925E-2</c:v>
                </c:pt>
                <c:pt idx="196">
                  <c:v>-1.9400132877622489E-2</c:v>
                </c:pt>
                <c:pt idx="197">
                  <c:v>-1.8000061644046716E-2</c:v>
                </c:pt>
                <c:pt idx="198">
                  <c:v>-1.669982842642026E-2</c:v>
                </c:pt>
                <c:pt idx="199">
                  <c:v>-1.7499760277256471E-2</c:v>
                </c:pt>
                <c:pt idx="200">
                  <c:v>-1.729970377219564E-2</c:v>
                </c:pt>
                <c:pt idx="201">
                  <c:v>-1.7099648637356746E-2</c:v>
                </c:pt>
                <c:pt idx="202">
                  <c:v>-1.6299609255942482E-2</c:v>
                </c:pt>
                <c:pt idx="203">
                  <c:v>-1.8099380158213718E-2</c:v>
                </c:pt>
                <c:pt idx="204">
                  <c:v>-2.0099242836742526E-2</c:v>
                </c:pt>
                <c:pt idx="205">
                  <c:v>-1.8299247976110544E-2</c:v>
                </c:pt>
                <c:pt idx="206">
                  <c:v>-2.249899833226604E-2</c:v>
                </c:pt>
                <c:pt idx="207">
                  <c:v>-2.3098892518851888E-2</c:v>
                </c:pt>
                <c:pt idx="208">
                  <c:v>-2.2298701787909658E-2</c:v>
                </c:pt>
                <c:pt idx="209">
                  <c:v>-2.2798594607181755E-2</c:v>
                </c:pt>
                <c:pt idx="210">
                  <c:v>-2.4398412432067806E-2</c:v>
                </c:pt>
                <c:pt idx="211">
                  <c:v>-2.5398260393123817E-2</c:v>
                </c:pt>
                <c:pt idx="212">
                  <c:v>-2.6098123080189439E-2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F4-40B5-9D68-76EAF0C1A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8082240"/>
        <c:axId val="1928093888"/>
      </c:lineChart>
      <c:catAx>
        <c:axId val="192808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93888"/>
        <c:crosses val="autoZero"/>
        <c:auto val="1"/>
        <c:lblAlgn val="ctr"/>
        <c:lblOffset val="100"/>
        <c:noMultiLvlLbl val="0"/>
      </c:catAx>
      <c:valAx>
        <c:axId val="192809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8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dolares.xlsm]Grafico Paridades!Tabla dinámica1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'Grafico Paridades'!$B$1</c:f>
              <c:strCache>
                <c:ptCount val="1"/>
                <c:pt idx="0">
                  <c:v>Suma de P29</c:v>
                </c:pt>
              </c:strCache>
            </c:strRef>
          </c:tx>
          <c:marker>
            <c:symbol val="none"/>
          </c:marker>
          <c:cat>
            <c:strRef>
              <c:f>'Grafico Paridades'!$A$2:$A$225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'Grafico Paridades'!$B$2:$B$225</c:f>
              <c:numCache>
                <c:formatCode>0.00%</c:formatCode>
                <c:ptCount val="223"/>
                <c:pt idx="0">
                  <c:v>0.5222639633169438</c:v>
                </c:pt>
                <c:pt idx="1">
                  <c:v>0.51821672237107419</c:v>
                </c:pt>
                <c:pt idx="2">
                  <c:v>0.4924939233233897</c:v>
                </c:pt>
                <c:pt idx="3">
                  <c:v>0.48905261704184505</c:v>
                </c:pt>
                <c:pt idx="4">
                  <c:v>0.48742611721814066</c:v>
                </c:pt>
                <c:pt idx="5">
                  <c:v>0.47780938440719156</c:v>
                </c:pt>
                <c:pt idx="6">
                  <c:v>0.46872410936205466</c:v>
                </c:pt>
                <c:pt idx="7">
                  <c:v>0.47979895611830659</c:v>
                </c:pt>
                <c:pt idx="8">
                  <c:v>0.47948332044626091</c:v>
                </c:pt>
                <c:pt idx="9">
                  <c:v>0.46808052356888408</c:v>
                </c:pt>
                <c:pt idx="10">
                  <c:v>0.46652998674618951</c:v>
                </c:pt>
                <c:pt idx="11">
                  <c:v>0.46359444459784077</c:v>
                </c:pt>
                <c:pt idx="12">
                  <c:v>0.46217074382903528</c:v>
                </c:pt>
                <c:pt idx="13">
                  <c:v>0.46608824097849194</c:v>
                </c:pt>
                <c:pt idx="14">
                  <c:v>0.45801352843732746</c:v>
                </c:pt>
                <c:pt idx="15">
                  <c:v>0.45737100737100739</c:v>
                </c:pt>
                <c:pt idx="16">
                  <c:v>0.4564515238515901</c:v>
                </c:pt>
                <c:pt idx="17">
                  <c:v>0.4578495514147688</c:v>
                </c:pt>
                <c:pt idx="18">
                  <c:v>0.45662783636062498</c:v>
                </c:pt>
                <c:pt idx="19">
                  <c:v>0.45973859276230439</c:v>
                </c:pt>
                <c:pt idx="20">
                  <c:v>0.45787447213712018</c:v>
                </c:pt>
                <c:pt idx="21">
                  <c:v>0.45232115257231176</c:v>
                </c:pt>
                <c:pt idx="22">
                  <c:v>0.448883614384677</c:v>
                </c:pt>
                <c:pt idx="23">
                  <c:v>0.44625213887508969</c:v>
                </c:pt>
                <c:pt idx="24">
                  <c:v>0.43825785799045175</c:v>
                </c:pt>
                <c:pt idx="25">
                  <c:v>0.42001490148462944</c:v>
                </c:pt>
                <c:pt idx="26">
                  <c:v>0.41476585998509891</c:v>
                </c:pt>
                <c:pt idx="27">
                  <c:v>0.42402041942604857</c:v>
                </c:pt>
                <c:pt idx="28">
                  <c:v>0.43972020639607073</c:v>
                </c:pt>
                <c:pt idx="29">
                  <c:v>0.40846484935437594</c:v>
                </c:pt>
                <c:pt idx="30">
                  <c:v>0.43302524486136018</c:v>
                </c:pt>
                <c:pt idx="31">
                  <c:v>0.44509739005683391</c:v>
                </c:pt>
                <c:pt idx="32">
                  <c:v>0.45767235909178694</c:v>
                </c:pt>
                <c:pt idx="33">
                  <c:v>0.45212149635841975</c:v>
                </c:pt>
                <c:pt idx="34">
                  <c:v>0.44010234200435849</c:v>
                </c:pt>
                <c:pt idx="35">
                  <c:v>0.4510647688403398</c:v>
                </c:pt>
                <c:pt idx="36">
                  <c:v>0.45205913993324687</c:v>
                </c:pt>
                <c:pt idx="37">
                  <c:v>0.45808738346113531</c:v>
                </c:pt>
                <c:pt idx="38">
                  <c:v>0.45716866639084258</c:v>
                </c:pt>
                <c:pt idx="39">
                  <c:v>0.46005019581885381</c:v>
                </c:pt>
                <c:pt idx="40">
                  <c:v>0.45450095148790642</c:v>
                </c:pt>
                <c:pt idx="41">
                  <c:v>0.45096525096525092</c:v>
                </c:pt>
                <c:pt idx="42">
                  <c:v>0.44290008549129917</c:v>
                </c:pt>
                <c:pt idx="43">
                  <c:v>0.45295350504660525</c:v>
                </c:pt>
                <c:pt idx="44">
                  <c:v>0.45291603474424375</c:v>
                </c:pt>
                <c:pt idx="45">
                  <c:v>0.44334224893839957</c:v>
                </c:pt>
                <c:pt idx="46">
                  <c:v>0.43779468938704608</c:v>
                </c:pt>
                <c:pt idx="47">
                  <c:v>0.4257058564023381</c:v>
                </c:pt>
                <c:pt idx="48">
                  <c:v>0.42468774986903418</c:v>
                </c:pt>
                <c:pt idx="49">
                  <c:v>0.42916907892923112</c:v>
                </c:pt>
                <c:pt idx="50">
                  <c:v>0.43660335226332914</c:v>
                </c:pt>
                <c:pt idx="51">
                  <c:v>0.43467953135768439</c:v>
                </c:pt>
                <c:pt idx="52">
                  <c:v>0.43235334656522217</c:v>
                </c:pt>
                <c:pt idx="53">
                  <c:v>0.42457068827696465</c:v>
                </c:pt>
                <c:pt idx="54">
                  <c:v>0.42113836824696804</c:v>
                </c:pt>
                <c:pt idx="55">
                  <c:v>0.42012072434607645</c:v>
                </c:pt>
                <c:pt idx="56">
                  <c:v>0.42051154842621685</c:v>
                </c:pt>
                <c:pt idx="57">
                  <c:v>0.42009756635338863</c:v>
                </c:pt>
                <c:pt idx="58">
                  <c:v>0.41943617724867727</c:v>
                </c:pt>
                <c:pt idx="59">
                  <c:v>0.42364903965388956</c:v>
                </c:pt>
                <c:pt idx="60">
                  <c:v>0.42162579222926427</c:v>
                </c:pt>
                <c:pt idx="61">
                  <c:v>0.42340120684429505</c:v>
                </c:pt>
                <c:pt idx="62">
                  <c:v>0.4198696754284455</c:v>
                </c:pt>
                <c:pt idx="63">
                  <c:v>0.41784681085548969</c:v>
                </c:pt>
                <c:pt idx="64">
                  <c:v>0.41803642274630815</c:v>
                </c:pt>
                <c:pt idx="65">
                  <c:v>0.41983497258726615</c:v>
                </c:pt>
                <c:pt idx="66">
                  <c:v>0.42442561983471078</c:v>
                </c:pt>
                <c:pt idx="67">
                  <c:v>0.42531886173934602</c:v>
                </c:pt>
                <c:pt idx="68">
                  <c:v>0.42500550933832848</c:v>
                </c:pt>
                <c:pt idx="69">
                  <c:v>0.42464538518742945</c:v>
                </c:pt>
                <c:pt idx="70">
                  <c:v>0.42573950644486064</c:v>
                </c:pt>
                <c:pt idx="71">
                  <c:v>0.42572778099093889</c:v>
                </c:pt>
                <c:pt idx="72">
                  <c:v>0.4157184556920196</c:v>
                </c:pt>
                <c:pt idx="73">
                  <c:v>0.41460140437835608</c:v>
                </c:pt>
                <c:pt idx="74">
                  <c:v>0.41710265447736533</c:v>
                </c:pt>
                <c:pt idx="75">
                  <c:v>0.41437756422611999</c:v>
                </c:pt>
                <c:pt idx="76">
                  <c:v>0.4105471116250895</c:v>
                </c:pt>
                <c:pt idx="77">
                  <c:v>0.40970925910630218</c:v>
                </c:pt>
                <c:pt idx="78">
                  <c:v>0.41150680028632786</c:v>
                </c:pt>
                <c:pt idx="79">
                  <c:v>0.40737549211243562</c:v>
                </c:pt>
                <c:pt idx="80">
                  <c:v>0.40424925668979184</c:v>
                </c:pt>
                <c:pt idx="81">
                  <c:v>0.40273090158293184</c:v>
                </c:pt>
                <c:pt idx="82">
                  <c:v>0.40289859061880645</c:v>
                </c:pt>
                <c:pt idx="83">
                  <c:v>0.40389220732747944</c:v>
                </c:pt>
                <c:pt idx="84">
                  <c:v>0.40157032755298649</c:v>
                </c:pt>
                <c:pt idx="85">
                  <c:v>0.40085601827640305</c:v>
                </c:pt>
                <c:pt idx="86">
                  <c:v>0.40184960915996915</c:v>
                </c:pt>
                <c:pt idx="87">
                  <c:v>0.40071143525526354</c:v>
                </c:pt>
                <c:pt idx="88">
                  <c:v>0.40029860193747252</c:v>
                </c:pt>
                <c:pt idx="89">
                  <c:v>0.40018713707790959</c:v>
                </c:pt>
                <c:pt idx="90">
                  <c:v>0.396258737409874</c:v>
                </c:pt>
                <c:pt idx="91">
                  <c:v>0.39725226340845921</c:v>
                </c:pt>
                <c:pt idx="92">
                  <c:v>0.39952947003467065</c:v>
                </c:pt>
                <c:pt idx="93">
                  <c:v>0.40022150070164819</c:v>
                </c:pt>
                <c:pt idx="94">
                  <c:v>0.39769975786924938</c:v>
                </c:pt>
                <c:pt idx="95">
                  <c:v>0.39648369789517124</c:v>
                </c:pt>
                <c:pt idx="96">
                  <c:v>0.39647278930281182</c:v>
                </c:pt>
                <c:pt idx="97">
                  <c:v>0.39714297504745655</c:v>
                </c:pt>
                <c:pt idx="98">
                  <c:v>0.39632874828060521</c:v>
                </c:pt>
                <c:pt idx="99">
                  <c:v>0.39571538609666856</c:v>
                </c:pt>
                <c:pt idx="100">
                  <c:v>0.39259187940140844</c:v>
                </c:pt>
                <c:pt idx="101">
                  <c:v>0.3915770362831128</c:v>
                </c:pt>
                <c:pt idx="102">
                  <c:v>0.38841107871720115</c:v>
                </c:pt>
                <c:pt idx="103">
                  <c:v>0.39101047883605161</c:v>
                </c:pt>
                <c:pt idx="104">
                  <c:v>0.38698432343234318</c:v>
                </c:pt>
                <c:pt idx="105">
                  <c:v>0.38394109396914444</c:v>
                </c:pt>
                <c:pt idx="106">
                  <c:v>0.37830959190408092</c:v>
                </c:pt>
                <c:pt idx="107">
                  <c:v>0.38040698473807233</c:v>
                </c:pt>
                <c:pt idx="108">
                  <c:v>0.38059726117802345</c:v>
                </c:pt>
                <c:pt idx="109">
                  <c:v>0.38189155003162206</c:v>
                </c:pt>
                <c:pt idx="110">
                  <c:v>0.38326505361561725</c:v>
                </c:pt>
                <c:pt idx="111">
                  <c:v>0.37823678205163452</c:v>
                </c:pt>
                <c:pt idx="112">
                  <c:v>0.37631969646981195</c:v>
                </c:pt>
                <c:pt idx="113">
                  <c:v>0.3793198251450251</c:v>
                </c:pt>
                <c:pt idx="114">
                  <c:v>0.3763993511849123</c:v>
                </c:pt>
                <c:pt idx="115">
                  <c:v>0.37014734585039999</c:v>
                </c:pt>
                <c:pt idx="116">
                  <c:v>0.36371570729561825</c:v>
                </c:pt>
                <c:pt idx="117">
                  <c:v>0.35116413315374256</c:v>
                </c:pt>
                <c:pt idx="118">
                  <c:v>0.35065283122594837</c:v>
                </c:pt>
                <c:pt idx="119">
                  <c:v>0.35626151012891344</c:v>
                </c:pt>
                <c:pt idx="120">
                  <c:v>0.36596306068601581</c:v>
                </c:pt>
                <c:pt idx="121">
                  <c:v>0.36765837570427373</c:v>
                </c:pt>
                <c:pt idx="122">
                  <c:v>0.36955422415214645</c:v>
                </c:pt>
                <c:pt idx="123">
                  <c:v>0.36834034133069504</c:v>
                </c:pt>
                <c:pt idx="124">
                  <c:v>0.3711388369792239</c:v>
                </c:pt>
                <c:pt idx="125">
                  <c:v>0.3766247149020362</c:v>
                </c:pt>
                <c:pt idx="126">
                  <c:v>0.37360546273906353</c:v>
                </c:pt>
                <c:pt idx="127">
                  <c:v>0.36506017475408031</c:v>
                </c:pt>
                <c:pt idx="128">
                  <c:v>0.3660530292622613</c:v>
                </c:pt>
                <c:pt idx="129">
                  <c:v>0.36281389087312488</c:v>
                </c:pt>
                <c:pt idx="130">
                  <c:v>0.35899337893898181</c:v>
                </c:pt>
                <c:pt idx="131">
                  <c:v>0.36098901098901098</c:v>
                </c:pt>
                <c:pt idx="132">
                  <c:v>0.36254360664743851</c:v>
                </c:pt>
                <c:pt idx="133">
                  <c:v>0.35992693512058449</c:v>
                </c:pt>
                <c:pt idx="134">
                  <c:v>0.35881423901996867</c:v>
                </c:pt>
                <c:pt idx="135">
                  <c:v>0.35970665787738959</c:v>
                </c:pt>
                <c:pt idx="136">
                  <c:v>0.35709027987585484</c:v>
                </c:pt>
                <c:pt idx="137">
                  <c:v>0.3633760848072064</c:v>
                </c:pt>
                <c:pt idx="138">
                  <c:v>0.36486968939664405</c:v>
                </c:pt>
                <c:pt idx="139">
                  <c:v>0.36455896083923761</c:v>
                </c:pt>
                <c:pt idx="140">
                  <c:v>0.36184264726074422</c:v>
                </c:pt>
                <c:pt idx="141">
                  <c:v>0.3628350175746925</c:v>
                </c:pt>
                <c:pt idx="142">
                  <c:v>0.36280512919080704</c:v>
                </c:pt>
                <c:pt idx="143">
                  <c:v>0.3622940691927512</c:v>
                </c:pt>
                <c:pt idx="144">
                  <c:v>0.36478954449356138</c:v>
                </c:pt>
                <c:pt idx="145">
                  <c:v>0.36678381198176929</c:v>
                </c:pt>
                <c:pt idx="146">
                  <c:v>0.36627268484199543</c:v>
                </c:pt>
                <c:pt idx="147">
                  <c:v>0.36914841047603364</c:v>
                </c:pt>
                <c:pt idx="148">
                  <c:v>0.37054108216432863</c:v>
                </c:pt>
                <c:pt idx="149">
                  <c:v>0.37323624684308776</c:v>
                </c:pt>
                <c:pt idx="150">
                  <c:v>0.3687172307776771</c:v>
                </c:pt>
                <c:pt idx="151">
                  <c:v>0.36920807027175406</c:v>
                </c:pt>
                <c:pt idx="152">
                  <c:v>0.36837619740345295</c:v>
                </c:pt>
                <c:pt idx="153">
                  <c:v>0.36816572432343414</c:v>
                </c:pt>
                <c:pt idx="154">
                  <c:v>0.36665294359818856</c:v>
                </c:pt>
                <c:pt idx="155">
                  <c:v>0.36604182676473818</c:v>
                </c:pt>
                <c:pt idx="156">
                  <c:v>0.36362763125394515</c:v>
                </c:pt>
                <c:pt idx="157">
                  <c:v>0.36459934138309547</c:v>
                </c:pt>
                <c:pt idx="158">
                  <c:v>0.36048269805987765</c:v>
                </c:pt>
                <c:pt idx="159">
                  <c:v>0.36367789912738052</c:v>
                </c:pt>
                <c:pt idx="160">
                  <c:v>0.36507010948604673</c:v>
                </c:pt>
                <c:pt idx="161">
                  <c:v>0.37477499725606411</c:v>
                </c:pt>
                <c:pt idx="162">
                  <c:v>0.38105331028616896</c:v>
                </c:pt>
                <c:pt idx="163">
                  <c:v>0.38054214223002636</c:v>
                </c:pt>
                <c:pt idx="164">
                  <c:v>0.3750240061455733</c:v>
                </c:pt>
                <c:pt idx="165">
                  <c:v>0.37341152263374483</c:v>
                </c:pt>
                <c:pt idx="166">
                  <c:v>0.36979643905516996</c:v>
                </c:pt>
                <c:pt idx="167">
                  <c:v>0.37815585911784072</c:v>
                </c:pt>
                <c:pt idx="168">
                  <c:v>0.38144937872013607</c:v>
                </c:pt>
                <c:pt idx="169">
                  <c:v>0.37683361676449612</c:v>
                </c:pt>
                <c:pt idx="170">
                  <c:v>0.37640218315460355</c:v>
                </c:pt>
                <c:pt idx="171">
                  <c:v>0.37889446547090122</c:v>
                </c:pt>
                <c:pt idx="172">
                  <c:v>0.3838891479033541</c:v>
                </c:pt>
                <c:pt idx="173">
                  <c:v>0.38237713909609483</c:v>
                </c:pt>
                <c:pt idx="174">
                  <c:v>0.38086521321815436</c:v>
                </c:pt>
                <c:pt idx="175">
                  <c:v>0.38203493473730393</c:v>
                </c:pt>
                <c:pt idx="176">
                  <c:v>0.38782938934437466</c:v>
                </c:pt>
                <c:pt idx="177">
                  <c:v>0.39332327940773237</c:v>
                </c:pt>
                <c:pt idx="178">
                  <c:v>0.3953140851635546</c:v>
                </c:pt>
                <c:pt idx="179">
                  <c:v>0.39930631717481901</c:v>
                </c:pt>
                <c:pt idx="180">
                  <c:v>0.3987731322823852</c:v>
                </c:pt>
                <c:pt idx="181">
                  <c:v>0.39726121285228644</c:v>
                </c:pt>
                <c:pt idx="182">
                  <c:v>0.39514899799873893</c:v>
                </c:pt>
                <c:pt idx="183">
                  <c:v>0.3934371401940896</c:v>
                </c:pt>
                <c:pt idx="184">
                  <c:v>0.3923257216480715</c:v>
                </c:pt>
                <c:pt idx="185">
                  <c:v>0.38617986459446868</c:v>
                </c:pt>
                <c:pt idx="186">
                  <c:v>0.38566906041004273</c:v>
                </c:pt>
                <c:pt idx="187">
                  <c:v>0.38175688639166777</c:v>
                </c:pt>
                <c:pt idx="188">
                  <c:v>0.37464369895302313</c:v>
                </c:pt>
                <c:pt idx="189">
                  <c:v>0.37251226396996356</c:v>
                </c:pt>
                <c:pt idx="190">
                  <c:v>0.36730063030967386</c:v>
                </c:pt>
                <c:pt idx="191">
                  <c:v>0.36368967690663451</c:v>
                </c:pt>
                <c:pt idx="192">
                  <c:v>0.36257946947276115</c:v>
                </c:pt>
                <c:pt idx="193">
                  <c:v>0.36507001342723261</c:v>
                </c:pt>
                <c:pt idx="194">
                  <c:v>0.36403989478298993</c:v>
                </c:pt>
                <c:pt idx="195">
                  <c:v>0.36302983806888234</c:v>
                </c:pt>
                <c:pt idx="196">
                  <c:v>0.35601950791824211</c:v>
                </c:pt>
                <c:pt idx="197">
                  <c:v>0.3554097372530754</c:v>
                </c:pt>
                <c:pt idx="198">
                  <c:v>0.35797057776073199</c:v>
                </c:pt>
                <c:pt idx="199">
                  <c:v>0.36046049747972825</c:v>
                </c:pt>
                <c:pt idx="200">
                  <c:v>0.36395014381591562</c:v>
                </c:pt>
                <c:pt idx="201">
                  <c:v>0.3636402235249</c:v>
                </c:pt>
                <c:pt idx="202">
                  <c:v>0.3639302051661325</c:v>
                </c:pt>
                <c:pt idx="203">
                  <c:v>0.36589975349219395</c:v>
                </c:pt>
                <c:pt idx="204">
                  <c:v>0.36988852674536443</c:v>
                </c:pt>
                <c:pt idx="205">
                  <c:v>0.37187773882559161</c:v>
                </c:pt>
                <c:pt idx="206">
                  <c:v>0.37186755402185528</c:v>
                </c:pt>
                <c:pt idx="207">
                  <c:v>0.36985813660513778</c:v>
                </c:pt>
                <c:pt idx="208">
                  <c:v>0.37042747213626531</c:v>
                </c:pt>
                <c:pt idx="209">
                  <c:v>0.37031737773152962</c:v>
                </c:pt>
                <c:pt idx="210">
                  <c:v>0.36960760152249511</c:v>
                </c:pt>
                <c:pt idx="211">
                  <c:v>0.36839813800657173</c:v>
                </c:pt>
                <c:pt idx="212">
                  <c:v>0.36778839571753236</c:v>
                </c:pt>
                <c:pt idx="213">
                  <c:v>0.36726857048982831</c:v>
                </c:pt>
                <c:pt idx="214">
                  <c:v>0.36625917205125397</c:v>
                </c:pt>
                <c:pt idx="215">
                  <c:v>0.36405065023956196</c:v>
                </c:pt>
                <c:pt idx="216">
                  <c:v>0.36274160871707822</c:v>
                </c:pt>
                <c:pt idx="217">
                  <c:v>0.36223204752648724</c:v>
                </c:pt>
                <c:pt idx="218">
                  <c:v>0.36089348772275598</c:v>
                </c:pt>
                <c:pt idx="219">
                  <c:v>0.36468028030220079</c:v>
                </c:pt>
                <c:pt idx="220">
                  <c:v>0.36616894314729148</c:v>
                </c:pt>
                <c:pt idx="221">
                  <c:v>0.36985547708983418</c:v>
                </c:pt>
                <c:pt idx="222">
                  <c:v>0.36115368824414945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85-491C-AD90-63DD92EC5010}"/>
            </c:ext>
          </c:extLst>
        </c:ser>
        <c:ser>
          <c:idx val="1"/>
          <c:order val="1"/>
          <c:tx>
            <c:strRef>
              <c:f>'Grafico Paridades'!$C$1</c:f>
              <c:strCache>
                <c:ptCount val="1"/>
                <c:pt idx="0">
                  <c:v>Suma de P30</c:v>
                </c:pt>
              </c:strCache>
            </c:strRef>
          </c:tx>
          <c:marker>
            <c:symbol val="none"/>
          </c:marker>
          <c:cat>
            <c:strRef>
              <c:f>'Grafico Paridades'!$A$2:$A$225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'Grafico Paridades'!$C$2:$C$225</c:f>
              <c:numCache>
                <c:formatCode>0.00%</c:formatCode>
                <c:ptCount val="223"/>
                <c:pt idx="0">
                  <c:v>0.51922989900652028</c:v>
                </c:pt>
                <c:pt idx="1">
                  <c:v>0.5113200755563021</c:v>
                </c:pt>
                <c:pt idx="2">
                  <c:v>0.48008666319282561</c:v>
                </c:pt>
                <c:pt idx="3">
                  <c:v>0.46947429766373561</c:v>
                </c:pt>
                <c:pt idx="4">
                  <c:v>0.47147470398277719</c:v>
                </c:pt>
                <c:pt idx="5">
                  <c:v>0.4616600790513834</c:v>
                </c:pt>
                <c:pt idx="6">
                  <c:v>0.45435123924445514</c:v>
                </c:pt>
                <c:pt idx="7">
                  <c:v>0.46596117390156694</c:v>
                </c:pt>
                <c:pt idx="8">
                  <c:v>0.46045414655550682</c:v>
                </c:pt>
                <c:pt idx="9">
                  <c:v>0.4524446973566485</c:v>
                </c:pt>
                <c:pt idx="10">
                  <c:v>0.449437123777921</c:v>
                </c:pt>
                <c:pt idx="11">
                  <c:v>0.4471333518444246</c:v>
                </c:pt>
                <c:pt idx="12">
                  <c:v>0.44643114240465109</c:v>
                </c:pt>
                <c:pt idx="13">
                  <c:v>0.44743057531391511</c:v>
                </c:pt>
                <c:pt idx="14">
                  <c:v>0.44342520224873161</c:v>
                </c:pt>
                <c:pt idx="15">
                  <c:v>0.44442159171542867</c:v>
                </c:pt>
                <c:pt idx="16">
                  <c:v>0.44492054133358933</c:v>
                </c:pt>
                <c:pt idx="17">
                  <c:v>0.4484223155368926</c:v>
                </c:pt>
                <c:pt idx="18">
                  <c:v>0.44741983916414718</c:v>
                </c:pt>
                <c:pt idx="19">
                  <c:v>0.44771858621245203</c:v>
                </c:pt>
                <c:pt idx="20">
                  <c:v>0.44781253963411499</c:v>
                </c:pt>
                <c:pt idx="21">
                  <c:v>0.4449083405317209</c:v>
                </c:pt>
                <c:pt idx="22">
                  <c:v>0.44440635786832478</c:v>
                </c:pt>
                <c:pt idx="23">
                  <c:v>0.44230291978309005</c:v>
                </c:pt>
                <c:pt idx="24">
                  <c:v>0.43389079890449278</c:v>
                </c:pt>
                <c:pt idx="25">
                  <c:v>0.41417161974100053</c:v>
                </c:pt>
                <c:pt idx="26">
                  <c:v>0.40336053801514365</c:v>
                </c:pt>
                <c:pt idx="27">
                  <c:v>0.40135737300335916</c:v>
                </c:pt>
                <c:pt idx="28">
                  <c:v>0.40185644115842473</c:v>
                </c:pt>
                <c:pt idx="29">
                  <c:v>0.38263546122628056</c:v>
                </c:pt>
                <c:pt idx="30">
                  <c:v>0.39254280279010778</c:v>
                </c:pt>
                <c:pt idx="31">
                  <c:v>0.38833780068964097</c:v>
                </c:pt>
                <c:pt idx="32">
                  <c:v>0.38773594929853605</c:v>
                </c:pt>
                <c:pt idx="33">
                  <c:v>0.38082866035071361</c:v>
                </c:pt>
                <c:pt idx="34">
                  <c:v>0.38672977984651297</c:v>
                </c:pt>
                <c:pt idx="35">
                  <c:v>0.38412624420740904</c:v>
                </c:pt>
                <c:pt idx="36">
                  <c:v>0.3842250122535158</c:v>
                </c:pt>
                <c:pt idx="37">
                  <c:v>0.38022032260054706</c:v>
                </c:pt>
                <c:pt idx="38">
                  <c:v>0.38031910335726893</c:v>
                </c:pt>
                <c:pt idx="39">
                  <c:v>0.38381809581913778</c:v>
                </c:pt>
                <c:pt idx="40">
                  <c:v>0.38431719329994962</c:v>
                </c:pt>
                <c:pt idx="41">
                  <c:v>0.39232245681381961</c:v>
                </c:pt>
                <c:pt idx="42">
                  <c:v>0.39502332388496064</c:v>
                </c:pt>
                <c:pt idx="43">
                  <c:v>0.39932547761531656</c:v>
                </c:pt>
                <c:pt idx="44">
                  <c:v>0.4029242712456943</c:v>
                </c:pt>
                <c:pt idx="45">
                  <c:v>0.40212224865131646</c:v>
                </c:pt>
                <c:pt idx="46">
                  <c:v>0.39771735665788116</c:v>
                </c:pt>
                <c:pt idx="47">
                  <c:v>0.39461352855693566</c:v>
                </c:pt>
                <c:pt idx="48">
                  <c:v>0.39080916752636502</c:v>
                </c:pt>
                <c:pt idx="49">
                  <c:v>0.38880225380689787</c:v>
                </c:pt>
                <c:pt idx="50">
                  <c:v>0.39230363226332715</c:v>
                </c:pt>
                <c:pt idx="51">
                  <c:v>0.39030074543740895</c:v>
                </c:pt>
                <c:pt idx="52">
                  <c:v>0.39039948453608248</c:v>
                </c:pt>
                <c:pt idx="53">
                  <c:v>0.38639244085420815</c:v>
                </c:pt>
                <c:pt idx="54">
                  <c:v>0.38509013640414008</c:v>
                </c:pt>
                <c:pt idx="55">
                  <c:v>0.38679009256942704</c:v>
                </c:pt>
                <c:pt idx="56">
                  <c:v>0.38869018650910614</c:v>
                </c:pt>
                <c:pt idx="57">
                  <c:v>0.38628706950027936</c:v>
                </c:pt>
                <c:pt idx="58">
                  <c:v>0.39148422827532314</c:v>
                </c:pt>
                <c:pt idx="59">
                  <c:v>0.39698686379541381</c:v>
                </c:pt>
                <c:pt idx="60">
                  <c:v>0.39878679872511053</c:v>
                </c:pt>
                <c:pt idx="61">
                  <c:v>0.40358610384759058</c:v>
                </c:pt>
                <c:pt idx="62">
                  <c:v>0.40058260279512259</c:v>
                </c:pt>
                <c:pt idx="63">
                  <c:v>0.39807947360304324</c:v>
                </c:pt>
                <c:pt idx="64">
                  <c:v>0.39867852883521365</c:v>
                </c:pt>
                <c:pt idx="65">
                  <c:v>0.40247980616661583</c:v>
                </c:pt>
                <c:pt idx="66">
                  <c:v>0.40767923235092529</c:v>
                </c:pt>
                <c:pt idx="67">
                  <c:v>0.40737763064554267</c:v>
                </c:pt>
                <c:pt idx="68">
                  <c:v>0.4064756238819473</c:v>
                </c:pt>
                <c:pt idx="69">
                  <c:v>0.40927051098842726</c:v>
                </c:pt>
                <c:pt idx="70">
                  <c:v>0.40956930584493911</c:v>
                </c:pt>
                <c:pt idx="71">
                  <c:v>0.40966796774602565</c:v>
                </c:pt>
                <c:pt idx="72">
                  <c:v>0.40575846258232984</c:v>
                </c:pt>
                <c:pt idx="73">
                  <c:v>0.40275517022771279</c:v>
                </c:pt>
                <c:pt idx="74">
                  <c:v>0.4012528442580256</c:v>
                </c:pt>
                <c:pt idx="75">
                  <c:v>0.3957480201633215</c:v>
                </c:pt>
                <c:pt idx="76">
                  <c:v>0.39524635217841259</c:v>
                </c:pt>
                <c:pt idx="77">
                  <c:v>0.39063946734470789</c:v>
                </c:pt>
                <c:pt idx="78">
                  <c:v>0.3906381287223033</c:v>
                </c:pt>
                <c:pt idx="79">
                  <c:v>0.39003642618984791</c:v>
                </c:pt>
                <c:pt idx="80">
                  <c:v>0.38773370250561984</c:v>
                </c:pt>
                <c:pt idx="81">
                  <c:v>0.38713201404951597</c:v>
                </c:pt>
                <c:pt idx="82">
                  <c:v>0.38822868264868343</c:v>
                </c:pt>
                <c:pt idx="83">
                  <c:v>0.38812729372337912</c:v>
                </c:pt>
                <c:pt idx="84">
                  <c:v>0.38762567248055374</c:v>
                </c:pt>
                <c:pt idx="85">
                  <c:v>0.38712405467547994</c:v>
                </c:pt>
                <c:pt idx="86">
                  <c:v>0.38712272814496007</c:v>
                </c:pt>
                <c:pt idx="87">
                  <c:v>0.38611818321997021</c:v>
                </c:pt>
                <c:pt idx="88">
                  <c:v>0.38601680395838756</c:v>
                </c:pt>
                <c:pt idx="89">
                  <c:v>0.38451464344822622</c:v>
                </c:pt>
                <c:pt idx="90">
                  <c:v>0.38291243772229799</c:v>
                </c:pt>
                <c:pt idx="91">
                  <c:v>0.38161040847864747</c:v>
                </c:pt>
                <c:pt idx="92">
                  <c:v>0.38110621500675024</c:v>
                </c:pt>
                <c:pt idx="93">
                  <c:v>0.3799042635937816</c:v>
                </c:pt>
                <c:pt idx="94">
                  <c:v>0.37800194624525435</c:v>
                </c:pt>
                <c:pt idx="95">
                  <c:v>0.37659990748513766</c:v>
                </c:pt>
                <c:pt idx="96">
                  <c:v>0.37639851154375936</c:v>
                </c:pt>
                <c:pt idx="97">
                  <c:v>0.37669479765221053</c:v>
                </c:pt>
                <c:pt idx="98">
                  <c:v>0.37539283878704816</c:v>
                </c:pt>
                <c:pt idx="99">
                  <c:v>0.37469119516465599</c:v>
                </c:pt>
                <c:pt idx="100">
                  <c:v>0.37028768005701518</c:v>
                </c:pt>
                <c:pt idx="101">
                  <c:v>0.36468359071176248</c:v>
                </c:pt>
                <c:pt idx="102">
                  <c:v>0.36157583482378419</c:v>
                </c:pt>
                <c:pt idx="103">
                  <c:v>0.36767754292312382</c:v>
                </c:pt>
                <c:pt idx="104">
                  <c:v>0.36207359693003494</c:v>
                </c:pt>
                <c:pt idx="105">
                  <c:v>0.36367062628699082</c:v>
                </c:pt>
                <c:pt idx="106">
                  <c:v>0.35766658443658689</c:v>
                </c:pt>
                <c:pt idx="107">
                  <c:v>0.36096688537508775</c:v>
                </c:pt>
                <c:pt idx="108">
                  <c:v>0.36486743916728909</c:v>
                </c:pt>
                <c:pt idx="109">
                  <c:v>0.36796760168158787</c:v>
                </c:pt>
                <c:pt idx="110">
                  <c:v>0.3679638195086854</c:v>
                </c:pt>
                <c:pt idx="111">
                  <c:v>0.36306039311887783</c:v>
                </c:pt>
                <c:pt idx="112">
                  <c:v>0.36235884223221138</c:v>
                </c:pt>
                <c:pt idx="113">
                  <c:v>0.36395829693051435</c:v>
                </c:pt>
                <c:pt idx="114">
                  <c:v>0.3576543302932087</c:v>
                </c:pt>
                <c:pt idx="115">
                  <c:v>0.35715044350873831</c:v>
                </c:pt>
                <c:pt idx="116">
                  <c:v>0.35154687917554595</c:v>
                </c:pt>
                <c:pt idx="117">
                  <c:v>0.33523891749663387</c:v>
                </c:pt>
                <c:pt idx="118">
                  <c:v>0.33523776894614221</c:v>
                </c:pt>
                <c:pt idx="119">
                  <c:v>0.34404020816702696</c:v>
                </c:pt>
                <c:pt idx="120">
                  <c:v>0.34973893738608491</c:v>
                </c:pt>
                <c:pt idx="121">
                  <c:v>0.35413947273755075</c:v>
                </c:pt>
                <c:pt idx="122">
                  <c:v>0.358139821711216</c:v>
                </c:pt>
                <c:pt idx="123">
                  <c:v>0.35833867215737597</c:v>
                </c:pt>
                <c:pt idx="124">
                  <c:v>0.3593378282080798</c:v>
                </c:pt>
                <c:pt idx="125">
                  <c:v>0.36423596479507758</c:v>
                </c:pt>
                <c:pt idx="126">
                  <c:v>0.36013319995066667</c:v>
                </c:pt>
                <c:pt idx="127">
                  <c:v>0.35342829931413455</c:v>
                </c:pt>
                <c:pt idx="128">
                  <c:v>0.35332705253601465</c:v>
                </c:pt>
                <c:pt idx="129">
                  <c:v>0.34682114985371604</c:v>
                </c:pt>
                <c:pt idx="130">
                  <c:v>0.34301864686072919</c:v>
                </c:pt>
                <c:pt idx="131">
                  <c:v>0.34061664953751281</c:v>
                </c:pt>
                <c:pt idx="132">
                  <c:v>0.34861341874925061</c:v>
                </c:pt>
                <c:pt idx="133">
                  <c:v>0.34641151603598419</c:v>
                </c:pt>
                <c:pt idx="134">
                  <c:v>0.34581013816044154</c:v>
                </c:pt>
                <c:pt idx="135">
                  <c:v>0.34400838620387247</c:v>
                </c:pt>
                <c:pt idx="136">
                  <c:v>0.34190655306962103</c:v>
                </c:pt>
                <c:pt idx="137">
                  <c:v>0.34660445613746604</c:v>
                </c:pt>
                <c:pt idx="138">
                  <c:v>0.34830377543994273</c:v>
                </c:pt>
                <c:pt idx="139">
                  <c:v>0.34580184574909051</c:v>
                </c:pt>
                <c:pt idx="140">
                  <c:v>0.34259972937327648</c:v>
                </c:pt>
                <c:pt idx="141">
                  <c:v>0.34209841187190837</c:v>
                </c:pt>
                <c:pt idx="142">
                  <c:v>0.34379536789314841</c:v>
                </c:pt>
                <c:pt idx="143">
                  <c:v>0.34269388873664014</c:v>
                </c:pt>
                <c:pt idx="144">
                  <c:v>0.34359295836887377</c:v>
                </c:pt>
                <c:pt idx="145">
                  <c:v>0.34379183480518766</c:v>
                </c:pt>
                <c:pt idx="146">
                  <c:v>0.34229026147305969</c:v>
                </c:pt>
                <c:pt idx="147">
                  <c:v>0.34878839157868774</c:v>
                </c:pt>
                <c:pt idx="148">
                  <c:v>0.35258814703675917</c:v>
                </c:pt>
                <c:pt idx="149">
                  <c:v>0.35358718588145022</c:v>
                </c:pt>
                <c:pt idx="150">
                  <c:v>0.35238568282013777</c:v>
                </c:pt>
                <c:pt idx="151">
                  <c:v>0.35168430788202648</c:v>
                </c:pt>
                <c:pt idx="152">
                  <c:v>0.35188073975878026</c:v>
                </c:pt>
                <c:pt idx="153">
                  <c:v>0.35127939876821473</c:v>
                </c:pt>
                <c:pt idx="154">
                  <c:v>0.35047801736687961</c:v>
                </c:pt>
                <c:pt idx="155">
                  <c:v>0.34777622492601123</c:v>
                </c:pt>
                <c:pt idx="156">
                  <c:v>0.34307401939459536</c:v>
                </c:pt>
                <c:pt idx="157">
                  <c:v>0.34407069945879287</c:v>
                </c:pt>
                <c:pt idx="158">
                  <c:v>0.33826834874169781</c:v>
                </c:pt>
                <c:pt idx="159">
                  <c:v>0.34116776620013561</c:v>
                </c:pt>
                <c:pt idx="160">
                  <c:v>0.34226681235720668</c:v>
                </c:pt>
                <c:pt idx="161">
                  <c:v>0.35096730879894777</c:v>
                </c:pt>
                <c:pt idx="162">
                  <c:v>0.35706480970861154</c:v>
                </c:pt>
                <c:pt idx="163">
                  <c:v>0.35706358666611865</c:v>
                </c:pt>
                <c:pt idx="164">
                  <c:v>0.35076126309732181</c:v>
                </c:pt>
                <c:pt idx="165">
                  <c:v>0.34785956499400583</c:v>
                </c:pt>
                <c:pt idx="166">
                  <c:v>0.34405773571592491</c:v>
                </c:pt>
                <c:pt idx="167">
                  <c:v>0.35455342585869104</c:v>
                </c:pt>
                <c:pt idx="168">
                  <c:v>0.35665252074791831</c:v>
                </c:pt>
                <c:pt idx="169">
                  <c:v>0.35355085320491303</c:v>
                </c:pt>
                <c:pt idx="170">
                  <c:v>0.35304715355818067</c:v>
                </c:pt>
                <c:pt idx="171">
                  <c:v>0.35604633479699416</c:v>
                </c:pt>
                <c:pt idx="172">
                  <c:v>0.3630460024044142</c:v>
                </c:pt>
                <c:pt idx="173">
                  <c:v>0.36054445068570096</c:v>
                </c:pt>
                <c:pt idx="174">
                  <c:v>0.35854297604164886</c:v>
                </c:pt>
                <c:pt idx="175">
                  <c:v>0.3650400043840421</c:v>
                </c:pt>
                <c:pt idx="176">
                  <c:v>0.370239306227716</c:v>
                </c:pt>
                <c:pt idx="177">
                  <c:v>0.37653868548138508</c:v>
                </c:pt>
                <c:pt idx="178">
                  <c:v>0.37973771367704323</c:v>
                </c:pt>
                <c:pt idx="179">
                  <c:v>0.38303672954940882</c:v>
                </c:pt>
                <c:pt idx="180">
                  <c:v>0.38303279390358763</c:v>
                </c:pt>
                <c:pt idx="181">
                  <c:v>0.38063128476313124</c:v>
                </c:pt>
                <c:pt idx="182">
                  <c:v>0.37962990235532251</c:v>
                </c:pt>
                <c:pt idx="183">
                  <c:v>0.3753282781579434</c:v>
                </c:pt>
                <c:pt idx="184">
                  <c:v>0.37302682727182429</c:v>
                </c:pt>
                <c:pt idx="185">
                  <c:v>0.36652133857108116</c:v>
                </c:pt>
                <c:pt idx="186">
                  <c:v>0.36542002301495974</c:v>
                </c:pt>
                <c:pt idx="187">
                  <c:v>0.36001849410072434</c:v>
                </c:pt>
                <c:pt idx="188">
                  <c:v>0.34991677683176592</c:v>
                </c:pt>
                <c:pt idx="189">
                  <c:v>0.34851312891924013</c:v>
                </c:pt>
                <c:pt idx="190">
                  <c:v>0.34151169560601391</c:v>
                </c:pt>
                <c:pt idx="191">
                  <c:v>0.33931045819905409</c:v>
                </c:pt>
                <c:pt idx="192">
                  <c:v>0.33800926052768565</c:v>
                </c:pt>
                <c:pt idx="193">
                  <c:v>0.34060816526423582</c:v>
                </c:pt>
                <c:pt idx="194">
                  <c:v>0.33800463020041366</c:v>
                </c:pt>
                <c:pt idx="195">
                  <c:v>0.33770346955619412</c:v>
                </c:pt>
                <c:pt idx="196">
                  <c:v>0.33760231234460508</c:v>
                </c:pt>
                <c:pt idx="197">
                  <c:v>0.33860115959301229</c:v>
                </c:pt>
                <c:pt idx="198">
                  <c:v>0.3428964770909888</c:v>
                </c:pt>
                <c:pt idx="199">
                  <c:v>0.34749523979123575</c:v>
                </c:pt>
                <c:pt idx="200">
                  <c:v>0.35089399154124079</c:v>
                </c:pt>
                <c:pt idx="201">
                  <c:v>0.35289274877913468</c:v>
                </c:pt>
                <c:pt idx="202">
                  <c:v>0.3556914731496163</c:v>
                </c:pt>
                <c:pt idx="203">
                  <c:v>0.35838772644772443</c:v>
                </c:pt>
                <c:pt idx="204">
                  <c:v>0.36188636729438273</c:v>
                </c:pt>
                <c:pt idx="205">
                  <c:v>0.36318507458597593</c:v>
                </c:pt>
                <c:pt idx="206">
                  <c:v>0.36298383976055859</c:v>
                </c:pt>
                <c:pt idx="207">
                  <c:v>0.36278260631339593</c:v>
                </c:pt>
                <c:pt idx="208">
                  <c:v>0.36217891424129417</c:v>
                </c:pt>
                <c:pt idx="209">
                  <c:v>0.36117773561903715</c:v>
                </c:pt>
                <c:pt idx="210">
                  <c:v>0.36007657036014779</c:v>
                </c:pt>
                <c:pt idx="211">
                  <c:v>0.35907540579412367</c:v>
                </c:pt>
                <c:pt idx="212">
                  <c:v>0.35867420493731611</c:v>
                </c:pt>
                <c:pt idx="213">
                  <c:v>0.35777181934299696</c:v>
                </c:pt>
                <c:pt idx="214">
                  <c:v>0.35587075034928639</c:v>
                </c:pt>
                <c:pt idx="215">
                  <c:v>0.35406968581457066</c:v>
                </c:pt>
                <c:pt idx="216">
                  <c:v>0.35186866922808241</c:v>
                </c:pt>
                <c:pt idx="217">
                  <c:v>0.34966766771565644</c:v>
                </c:pt>
                <c:pt idx="218">
                  <c:v>0.35096274025702751</c:v>
                </c:pt>
                <c:pt idx="219">
                  <c:v>0.35346126451895682</c:v>
                </c:pt>
                <c:pt idx="220">
                  <c:v>0.35525985077028965</c:v>
                </c:pt>
                <c:pt idx="221">
                  <c:v>0.35675845963141278</c:v>
                </c:pt>
                <c:pt idx="222">
                  <c:v>0.35115790915472456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85-491C-AD90-63DD92EC5010}"/>
            </c:ext>
          </c:extLst>
        </c:ser>
        <c:ser>
          <c:idx val="2"/>
          <c:order val="2"/>
          <c:tx>
            <c:strRef>
              <c:f>'Grafico Paridades'!$D$1</c:f>
              <c:strCache>
                <c:ptCount val="1"/>
                <c:pt idx="0">
                  <c:v>Suma de PG29</c:v>
                </c:pt>
              </c:strCache>
            </c:strRef>
          </c:tx>
          <c:marker>
            <c:symbol val="none"/>
          </c:marker>
          <c:cat>
            <c:strRef>
              <c:f>'Grafico Paridades'!$A$2:$A$225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'Grafico Paridades'!$D$2:$D$225</c:f>
              <c:numCache>
                <c:formatCode>0.00%</c:formatCode>
                <c:ptCount val="223"/>
                <c:pt idx="0">
                  <c:v>0.54192447931053533</c:v>
                </c:pt>
                <c:pt idx="1">
                  <c:v>0.54190951026158052</c:v>
                </c:pt>
                <c:pt idx="2">
                  <c:v>0.51416970500497183</c:v>
                </c:pt>
                <c:pt idx="3">
                  <c:v>0.48401187681259494</c:v>
                </c:pt>
                <c:pt idx="4">
                  <c:v>0.48843423741921232</c:v>
                </c:pt>
                <c:pt idx="5">
                  <c:v>0.47377723770333341</c:v>
                </c:pt>
                <c:pt idx="6">
                  <c:v>0.47376415354874346</c:v>
                </c:pt>
                <c:pt idx="7">
                  <c:v>0.4747590511170639</c:v>
                </c:pt>
                <c:pt idx="8">
                  <c:v>0.4818016127250635</c:v>
                </c:pt>
                <c:pt idx="9">
                  <c:v>0.4838041587275288</c:v>
                </c:pt>
                <c:pt idx="10">
                  <c:v>0.48678760768721002</c:v>
                </c:pt>
                <c:pt idx="11">
                  <c:v>0.47871165474777039</c:v>
                </c:pt>
                <c:pt idx="12">
                  <c:v>0.48272958197581312</c:v>
                </c:pt>
                <c:pt idx="13">
                  <c:v>0.48694883900715097</c:v>
                </c:pt>
                <c:pt idx="14">
                  <c:v>0.47685808945334068</c:v>
                </c:pt>
                <c:pt idx="15">
                  <c:v>0.48356983132264031</c:v>
                </c:pt>
                <c:pt idx="16">
                  <c:v>0.47962676678445232</c:v>
                </c:pt>
                <c:pt idx="17">
                  <c:v>0.48062111801242241</c:v>
                </c:pt>
                <c:pt idx="18">
                  <c:v>0.49118726881245517</c:v>
                </c:pt>
                <c:pt idx="19">
                  <c:v>0.48966240649239517</c:v>
                </c:pt>
                <c:pt idx="20">
                  <c:v>0.48759349728133367</c:v>
                </c:pt>
                <c:pt idx="21">
                  <c:v>0.48758003974387282</c:v>
                </c:pt>
                <c:pt idx="22">
                  <c:v>0.46802362487235394</c:v>
                </c:pt>
                <c:pt idx="23">
                  <c:v>0.47345035049953083</c:v>
                </c:pt>
                <c:pt idx="24">
                  <c:v>0.4542732566161658</c:v>
                </c:pt>
                <c:pt idx="25">
                  <c:v>0.44821734091285392</c:v>
                </c:pt>
                <c:pt idx="26">
                  <c:v>0.44619056817241093</c:v>
                </c:pt>
                <c:pt idx="27">
                  <c:v>0.48344370860927155</c:v>
                </c:pt>
                <c:pt idx="28">
                  <c:v>0.4935018349383295</c:v>
                </c:pt>
                <c:pt idx="29">
                  <c:v>0.47331972188500165</c:v>
                </c:pt>
                <c:pt idx="30">
                  <c:v>0.45316595392467929</c:v>
                </c:pt>
                <c:pt idx="31">
                  <c:v>0.48336368150968384</c:v>
                </c:pt>
                <c:pt idx="32">
                  <c:v>0.47025960769167108</c:v>
                </c:pt>
                <c:pt idx="33">
                  <c:v>0.46823273008165966</c:v>
                </c:pt>
                <c:pt idx="34">
                  <c:v>0.45137927229593666</c:v>
                </c:pt>
                <c:pt idx="35">
                  <c:v>0.45066203243958952</c:v>
                </c:pt>
                <c:pt idx="36">
                  <c:v>0.45759661269412188</c:v>
                </c:pt>
                <c:pt idx="37">
                  <c:v>0.46815523804269876</c:v>
                </c:pt>
                <c:pt idx="38">
                  <c:v>0.45908150599917252</c:v>
                </c:pt>
                <c:pt idx="39">
                  <c:v>0.4630702189861548</c:v>
                </c:pt>
                <c:pt idx="40">
                  <c:v>0.46799001627182218</c:v>
                </c:pt>
                <c:pt idx="41">
                  <c:v>0.46505791505791511</c:v>
                </c:pt>
                <c:pt idx="42">
                  <c:v>0.46554838531755882</c:v>
                </c:pt>
                <c:pt idx="43">
                  <c:v>0.46553554685345538</c:v>
                </c:pt>
                <c:pt idx="44">
                  <c:v>0.46308148352405898</c:v>
                </c:pt>
                <c:pt idx="45">
                  <c:v>0.45994871229250539</c:v>
                </c:pt>
                <c:pt idx="46">
                  <c:v>0.44785893512008162</c:v>
                </c:pt>
                <c:pt idx="47">
                  <c:v>0.44784658652255432</c:v>
                </c:pt>
                <c:pt idx="48">
                  <c:v>0.44290303013592874</c:v>
                </c:pt>
                <c:pt idx="49">
                  <c:v>0.44587296336117777</c:v>
                </c:pt>
                <c:pt idx="50">
                  <c:v>0.45280366102442521</c:v>
                </c:pt>
                <c:pt idx="51">
                  <c:v>0.45379738111647139</c:v>
                </c:pt>
                <c:pt idx="52">
                  <c:v>0.45378487154041242</c:v>
                </c:pt>
                <c:pt idx="53">
                  <c:v>0.4442900851732407</c:v>
                </c:pt>
                <c:pt idx="54">
                  <c:v>0.44488147739801542</c:v>
                </c:pt>
                <c:pt idx="55">
                  <c:v>0.44265593561368211</c:v>
                </c:pt>
                <c:pt idx="56">
                  <c:v>0.44264373518549144</c:v>
                </c:pt>
                <c:pt idx="57">
                  <c:v>0.43961359314279419</c:v>
                </c:pt>
                <c:pt idx="58">
                  <c:v>0.43754133597883599</c:v>
                </c:pt>
                <c:pt idx="59">
                  <c:v>0.43752927884482901</c:v>
                </c:pt>
                <c:pt idx="60">
                  <c:v>0.43942821713970787</c:v>
                </c:pt>
                <c:pt idx="61">
                  <c:v>0.44552668558675224</c:v>
                </c:pt>
                <c:pt idx="62">
                  <c:v>0.44149170661817377</c:v>
                </c:pt>
                <c:pt idx="63">
                  <c:v>0.43725582036093125</c:v>
                </c:pt>
                <c:pt idx="64">
                  <c:v>0.43714321137315404</c:v>
                </c:pt>
                <c:pt idx="65">
                  <c:v>0.4374328456897264</c:v>
                </c:pt>
                <c:pt idx="66">
                  <c:v>0.44624517906336092</c:v>
                </c:pt>
                <c:pt idx="67">
                  <c:v>0.43748519324536511</c:v>
                </c:pt>
                <c:pt idx="68">
                  <c:v>0.44239986777588014</c:v>
                </c:pt>
                <c:pt idx="69">
                  <c:v>0.44233894290357234</c:v>
                </c:pt>
                <c:pt idx="70">
                  <c:v>0.45016800705078774</c:v>
                </c:pt>
                <c:pt idx="71">
                  <c:v>0.4513619212867333</c:v>
                </c:pt>
                <c:pt idx="72">
                  <c:v>0.43330809054359198</c:v>
                </c:pt>
                <c:pt idx="73">
                  <c:v>0.43018036623984579</c:v>
                </c:pt>
                <c:pt idx="74">
                  <c:v>0.44072172045379449</c:v>
                </c:pt>
                <c:pt idx="75">
                  <c:v>0.43216675386182779</c:v>
                </c:pt>
                <c:pt idx="76">
                  <c:v>0.43215485434219947</c:v>
                </c:pt>
                <c:pt idx="77">
                  <c:v>0.43312408799317204</c:v>
                </c:pt>
                <c:pt idx="78">
                  <c:v>0.43220775287704422</c:v>
                </c:pt>
                <c:pt idx="79">
                  <c:v>0.42405638300801146</c:v>
                </c:pt>
                <c:pt idx="80">
                  <c:v>0.41861854421319233</c:v>
                </c:pt>
                <c:pt idx="81">
                  <c:v>0.42202339986235377</c:v>
                </c:pt>
                <c:pt idx="82">
                  <c:v>0.42198854877780223</c:v>
                </c:pt>
                <c:pt idx="83">
                  <c:v>0.43302870984612846</c:v>
                </c:pt>
                <c:pt idx="84">
                  <c:v>0.43070602807597025</c:v>
                </c:pt>
                <c:pt idx="85">
                  <c:v>0.43250254603506644</c:v>
                </c:pt>
                <c:pt idx="86">
                  <c:v>0.43701144996146646</c:v>
                </c:pt>
                <c:pt idx="87">
                  <c:v>0.43566946470345397</c:v>
                </c:pt>
                <c:pt idx="88">
                  <c:v>0.43344754513430206</c:v>
                </c:pt>
                <c:pt idx="89">
                  <c:v>0.43192888791039435</c:v>
                </c:pt>
                <c:pt idx="90">
                  <c:v>0.43191700148604767</c:v>
                </c:pt>
                <c:pt idx="91">
                  <c:v>0.43190511571589751</c:v>
                </c:pt>
                <c:pt idx="92">
                  <c:v>0.43186946233008638</c:v>
                </c:pt>
                <c:pt idx="93">
                  <c:v>0.42934677929725118</c:v>
                </c:pt>
                <c:pt idx="94">
                  <c:v>0.42431350429231784</c:v>
                </c:pt>
                <c:pt idx="95">
                  <c:v>0.42932315311597191</c:v>
                </c:pt>
                <c:pt idx="96">
                  <c:v>0.43704396632366699</c:v>
                </c:pt>
                <c:pt idx="97">
                  <c:v>0.43299127898979339</c:v>
                </c:pt>
                <c:pt idx="98">
                  <c:v>0.42976616231086656</c:v>
                </c:pt>
                <c:pt idx="99">
                  <c:v>0.42975433963302245</c:v>
                </c:pt>
                <c:pt idx="100">
                  <c:v>0.42723233934859151</c:v>
                </c:pt>
                <c:pt idx="101">
                  <c:v>0.43374687095975578</c:v>
                </c:pt>
                <c:pt idx="102">
                  <c:v>0.42565597667638483</c:v>
                </c:pt>
                <c:pt idx="103">
                  <c:v>0.4236365136554911</c:v>
                </c:pt>
                <c:pt idx="104">
                  <c:v>0.42372524752475249</c:v>
                </c:pt>
                <c:pt idx="105">
                  <c:v>0.42559744795533921</c:v>
                </c:pt>
                <c:pt idx="106">
                  <c:v>0.41956330436695632</c:v>
                </c:pt>
                <c:pt idx="107">
                  <c:v>0.41654062972638528</c:v>
                </c:pt>
                <c:pt idx="108">
                  <c:v>0.42154759940603859</c:v>
                </c:pt>
                <c:pt idx="109">
                  <c:v>0.41651772211070476</c:v>
                </c:pt>
                <c:pt idx="110">
                  <c:v>0.41648336541105307</c:v>
                </c:pt>
                <c:pt idx="111">
                  <c:v>0.41145418052844301</c:v>
                </c:pt>
                <c:pt idx="112">
                  <c:v>0.4089340701638623</c:v>
                </c:pt>
                <c:pt idx="113">
                  <c:v>0.40541060676875701</c:v>
                </c:pt>
                <c:pt idx="114">
                  <c:v>0.38633364491120031</c:v>
                </c:pt>
                <c:pt idx="115">
                  <c:v>0.39934574044038812</c:v>
                </c:pt>
                <c:pt idx="116">
                  <c:v>0.38428445763923247</c:v>
                </c:pt>
                <c:pt idx="117">
                  <c:v>0.3712306550482421</c:v>
                </c:pt>
                <c:pt idx="118">
                  <c:v>0.37322704782847721</c:v>
                </c:pt>
                <c:pt idx="119">
                  <c:v>0.37923641461202273</c:v>
                </c:pt>
                <c:pt idx="120">
                  <c:v>0.38823383905013198</c:v>
                </c:pt>
                <c:pt idx="121">
                  <c:v>0.40116394118455412</c:v>
                </c:pt>
                <c:pt idx="122">
                  <c:v>0.39974852965426266</c:v>
                </c:pt>
                <c:pt idx="123">
                  <c:v>0.39913568032539093</c:v>
                </c:pt>
                <c:pt idx="124">
                  <c:v>0.39721886336154777</c:v>
                </c:pt>
                <c:pt idx="125">
                  <c:v>0.40119809843093074</c:v>
                </c:pt>
                <c:pt idx="126">
                  <c:v>0.40118707408221588</c:v>
                </c:pt>
                <c:pt idx="127">
                  <c:v>0.3892303676430181</c:v>
                </c:pt>
                <c:pt idx="128">
                  <c:v>0.39212803956587444</c:v>
                </c:pt>
                <c:pt idx="129">
                  <c:v>0.38216797626243199</c:v>
                </c:pt>
                <c:pt idx="130">
                  <c:v>0.38205719937360916</c:v>
                </c:pt>
                <c:pt idx="131">
                  <c:v>0.38956730769230768</c:v>
                </c:pt>
                <c:pt idx="132">
                  <c:v>0.38941354209586598</c:v>
                </c:pt>
                <c:pt idx="133">
                  <c:v>0.38799923089600619</c:v>
                </c:pt>
                <c:pt idx="134">
                  <c:v>0.37996813799544044</c:v>
                </c:pt>
                <c:pt idx="135">
                  <c:v>0.37604784662711488</c:v>
                </c:pt>
                <c:pt idx="136">
                  <c:v>0.37864401658930485</c:v>
                </c:pt>
                <c:pt idx="137">
                  <c:v>0.38693287927057013</c:v>
                </c:pt>
                <c:pt idx="138">
                  <c:v>0.39995331337709056</c:v>
                </c:pt>
                <c:pt idx="139">
                  <c:v>0.39292579777008846</c:v>
                </c:pt>
                <c:pt idx="140">
                  <c:v>0.39091033914595635</c:v>
                </c:pt>
                <c:pt idx="141">
                  <c:v>0.38999752855887521</c:v>
                </c:pt>
                <c:pt idx="142">
                  <c:v>0.39397429912957527</c:v>
                </c:pt>
                <c:pt idx="143">
                  <c:v>0.39436436024162552</c:v>
                </c:pt>
                <c:pt idx="144">
                  <c:v>0.39084594052881577</c:v>
                </c:pt>
                <c:pt idx="145">
                  <c:v>0.39885234199110425</c:v>
                </c:pt>
                <c:pt idx="146">
                  <c:v>0.39834033440408534</c:v>
                </c:pt>
                <c:pt idx="147">
                  <c:v>0.39580244880030746</c:v>
                </c:pt>
                <c:pt idx="148">
                  <c:v>0.39478957915831664</c:v>
                </c:pt>
                <c:pt idx="149">
                  <c:v>0.39327577687493137</c:v>
                </c:pt>
                <c:pt idx="150">
                  <c:v>0.39777375168135282</c:v>
                </c:pt>
                <c:pt idx="151">
                  <c:v>0.39074938237716167</c:v>
                </c:pt>
                <c:pt idx="152">
                  <c:v>0.39632750528367144</c:v>
                </c:pt>
                <c:pt idx="153">
                  <c:v>0.36676318823077347</c:v>
                </c:pt>
                <c:pt idx="154">
                  <c:v>0.38819129957458487</c:v>
                </c:pt>
                <c:pt idx="155">
                  <c:v>0.39268854978592604</c:v>
                </c:pt>
                <c:pt idx="156">
                  <c:v>0.38867085654691658</c:v>
                </c:pt>
                <c:pt idx="157">
                  <c:v>0.39565038419319432</c:v>
                </c:pt>
                <c:pt idx="158">
                  <c:v>0.38882851732938173</c:v>
                </c:pt>
                <c:pt idx="159">
                  <c:v>0.39252373634816967</c:v>
                </c:pt>
                <c:pt idx="160">
                  <c:v>0.38770545783826799</c:v>
                </c:pt>
                <c:pt idx="161">
                  <c:v>0.39560695862144662</c:v>
                </c:pt>
                <c:pt idx="162">
                  <c:v>0.40759184569374712</c:v>
                </c:pt>
                <c:pt idx="163">
                  <c:v>0.4030742427568042</c:v>
                </c:pt>
                <c:pt idx="164">
                  <c:v>0.40156108535213586</c:v>
                </c:pt>
                <c:pt idx="165">
                  <c:v>0.40355281207133054</c:v>
                </c:pt>
                <c:pt idx="166">
                  <c:v>0.40354174096732598</c:v>
                </c:pt>
                <c:pt idx="167">
                  <c:v>0.40649001536098311</c:v>
                </c:pt>
                <c:pt idx="168">
                  <c:v>0.41048358339962149</c:v>
                </c:pt>
                <c:pt idx="169">
                  <c:v>0.40056091941412036</c:v>
                </c:pt>
                <c:pt idx="170">
                  <c:v>0.4054332026000384</c:v>
                </c:pt>
                <c:pt idx="171">
                  <c:v>0.40842520980747077</c:v>
                </c:pt>
                <c:pt idx="172">
                  <c:v>0.41942517072100483</c:v>
                </c:pt>
                <c:pt idx="173">
                  <c:v>0.41841268100043877</c:v>
                </c:pt>
                <c:pt idx="174">
                  <c:v>0.41770053475935826</c:v>
                </c:pt>
                <c:pt idx="175">
                  <c:v>0.42387161346934299</c:v>
                </c:pt>
                <c:pt idx="176">
                  <c:v>0.42536126573253996</c:v>
                </c:pt>
                <c:pt idx="177">
                  <c:v>0.4403619413216342</c:v>
                </c:pt>
                <c:pt idx="178">
                  <c:v>0.44034986701763046</c:v>
                </c:pt>
                <c:pt idx="179">
                  <c:v>0.4493447027856986</c:v>
                </c:pt>
                <c:pt idx="180">
                  <c:v>0.45281014393420149</c:v>
                </c:pt>
                <c:pt idx="181">
                  <c:v>0.44028950542822676</c:v>
                </c:pt>
                <c:pt idx="182">
                  <c:v>0.43527428242454147</c:v>
                </c:pt>
                <c:pt idx="183">
                  <c:v>0.43125993749657326</c:v>
                </c:pt>
                <c:pt idx="184">
                  <c:v>0.43224869102771463</c:v>
                </c:pt>
                <c:pt idx="185">
                  <c:v>0.42169640654551432</c:v>
                </c:pt>
                <c:pt idx="186">
                  <c:v>0.41618243613638856</c:v>
                </c:pt>
                <c:pt idx="187">
                  <c:v>0.40716732903933128</c:v>
                </c:pt>
                <c:pt idx="188">
                  <c:v>0.40015348352792851</c:v>
                </c:pt>
                <c:pt idx="189">
                  <c:v>0.40512209158924606</c:v>
                </c:pt>
                <c:pt idx="190">
                  <c:v>0.39510824883529733</c:v>
                </c:pt>
                <c:pt idx="191">
                  <c:v>0.39559754460003832</c:v>
                </c:pt>
                <c:pt idx="192">
                  <c:v>0.40008769045270198</c:v>
                </c:pt>
                <c:pt idx="193">
                  <c:v>0.39707615159071608</c:v>
                </c:pt>
                <c:pt idx="194">
                  <c:v>0.39554334721613327</c:v>
                </c:pt>
                <c:pt idx="195">
                  <c:v>0.39803271501767268</c:v>
                </c:pt>
                <c:pt idx="196">
                  <c:v>0.3890213162365061</c:v>
                </c:pt>
                <c:pt idx="197">
                  <c:v>0.39041069618345708</c:v>
                </c:pt>
                <c:pt idx="198">
                  <c:v>0.39146782456236473</c:v>
                </c:pt>
                <c:pt idx="199">
                  <c:v>0.39305692526846375</c:v>
                </c:pt>
                <c:pt idx="200">
                  <c:v>0.39494589782221612</c:v>
                </c:pt>
                <c:pt idx="201">
                  <c:v>0.39493507916506876</c:v>
                </c:pt>
                <c:pt idx="202">
                  <c:v>0.39702385843810778</c:v>
                </c:pt>
                <c:pt idx="203">
                  <c:v>0.39889071487263761</c:v>
                </c:pt>
                <c:pt idx="204">
                  <c:v>0.40887677686176765</c:v>
                </c:pt>
                <c:pt idx="205">
                  <c:v>0.40036837204206832</c:v>
                </c:pt>
                <c:pt idx="206">
                  <c:v>0.40585544874428287</c:v>
                </c:pt>
                <c:pt idx="207">
                  <c:v>0.40534452538752258</c:v>
                </c:pt>
                <c:pt idx="208">
                  <c:v>0.4053112249089465</c:v>
                </c:pt>
                <c:pt idx="209">
                  <c:v>0.40280135823429541</c:v>
                </c:pt>
                <c:pt idx="210">
                  <c:v>0.40279032832224321</c:v>
                </c:pt>
                <c:pt idx="211">
                  <c:v>0.40977546549835708</c:v>
                </c:pt>
                <c:pt idx="212">
                  <c:v>0.40876482024040961</c:v>
                </c:pt>
                <c:pt idx="213">
                  <c:v>0.40474495523368836</c:v>
                </c:pt>
                <c:pt idx="214">
                  <c:v>0.39983709341802648</c:v>
                </c:pt>
                <c:pt idx="215">
                  <c:v>0.40472279260780286</c:v>
                </c:pt>
                <c:pt idx="216">
                  <c:v>0.40970815309642444</c:v>
                </c:pt>
                <c:pt idx="217">
                  <c:v>0.40370137158814029</c:v>
                </c:pt>
                <c:pt idx="218">
                  <c:v>0.40016013796501598</c:v>
                </c:pt>
                <c:pt idx="219">
                  <c:v>0.40464524252709955</c:v>
                </c:pt>
                <c:pt idx="220">
                  <c:v>0.40463416637013111</c:v>
                </c:pt>
                <c:pt idx="221">
                  <c:v>0.40662122953960694</c:v>
                </c:pt>
                <c:pt idx="222">
                  <c:v>0.40561105788969481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85-491C-AD90-63DD92EC5010}"/>
            </c:ext>
          </c:extLst>
        </c:ser>
        <c:ser>
          <c:idx val="3"/>
          <c:order val="3"/>
          <c:tx>
            <c:strRef>
              <c:f>'Grafico Paridades'!$E$1</c:f>
              <c:strCache>
                <c:ptCount val="1"/>
                <c:pt idx="0">
                  <c:v>Suma de P38</c:v>
                </c:pt>
              </c:strCache>
            </c:strRef>
          </c:tx>
          <c:marker>
            <c:symbol val="none"/>
          </c:marker>
          <c:cat>
            <c:strRef>
              <c:f>'Grafico Paridades'!$A$2:$A$225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'Grafico Paridades'!$E$2:$E$225</c:f>
              <c:numCache>
                <c:formatCode>0.00%</c:formatCode>
                <c:ptCount val="223"/>
                <c:pt idx="0">
                  <c:v>0.49250262253944094</c:v>
                </c:pt>
                <c:pt idx="1">
                  <c:v>0.48399227981885684</c:v>
                </c:pt>
                <c:pt idx="2">
                  <c:v>0.45195814935688228</c:v>
                </c:pt>
                <c:pt idx="3">
                  <c:v>0.4429474983287911</c:v>
                </c:pt>
                <c:pt idx="4">
                  <c:v>0.4429459798564308</c:v>
                </c:pt>
                <c:pt idx="5">
                  <c:v>0.43393244637635453</c:v>
                </c:pt>
                <c:pt idx="6">
                  <c:v>0.42692399986287749</c:v>
                </c:pt>
                <c:pt idx="7">
                  <c:v>0.4304260038188481</c:v>
                </c:pt>
                <c:pt idx="8">
                  <c:v>0.43442847740236945</c:v>
                </c:pt>
                <c:pt idx="9">
                  <c:v>0.42932197056696136</c:v>
                </c:pt>
                <c:pt idx="10">
                  <c:v>0.42471307710238726</c:v>
                </c:pt>
                <c:pt idx="11">
                  <c:v>0.41840550944922644</c:v>
                </c:pt>
                <c:pt idx="12">
                  <c:v>0.42440987529052027</c:v>
                </c:pt>
                <c:pt idx="13">
                  <c:v>0.42941323671067017</c:v>
                </c:pt>
                <c:pt idx="14">
                  <c:v>0.42190456602221305</c:v>
                </c:pt>
                <c:pt idx="15">
                  <c:v>0.41689547961593704</c:v>
                </c:pt>
                <c:pt idx="16">
                  <c:v>0.41439168529157694</c:v>
                </c:pt>
                <c:pt idx="17">
                  <c:v>0.4163921501414003</c:v>
                </c:pt>
                <c:pt idx="18">
                  <c:v>0.41478922002152702</c:v>
                </c:pt>
                <c:pt idx="19">
                  <c:v>0.41598892114888236</c:v>
                </c:pt>
                <c:pt idx="20">
                  <c:v>0.41598321741604427</c:v>
                </c:pt>
                <c:pt idx="21">
                  <c:v>0.41117738198072201</c:v>
                </c:pt>
                <c:pt idx="22">
                  <c:v>0.40426965752931621</c:v>
                </c:pt>
                <c:pt idx="23">
                  <c:v>0.39836289222373805</c:v>
                </c:pt>
                <c:pt idx="24">
                  <c:v>0.38885023154416481</c:v>
                </c:pt>
                <c:pt idx="25">
                  <c:v>0.37833946897558768</c:v>
                </c:pt>
                <c:pt idx="26">
                  <c:v>0.36782877846294121</c:v>
                </c:pt>
                <c:pt idx="27">
                  <c:v>0.37773634057722633</c:v>
                </c:pt>
                <c:pt idx="28">
                  <c:v>0.37313096205195706</c:v>
                </c:pt>
                <c:pt idx="29">
                  <c:v>0.36031589338598224</c:v>
                </c:pt>
                <c:pt idx="30">
                  <c:v>0.36631990265471559</c:v>
                </c:pt>
                <c:pt idx="31">
                  <c:v>0.36131429394061959</c:v>
                </c:pt>
                <c:pt idx="32">
                  <c:v>0.36121296877088716</c:v>
                </c:pt>
                <c:pt idx="33">
                  <c:v>0.36011078053662748</c:v>
                </c:pt>
                <c:pt idx="34">
                  <c:v>0.36280938197298379</c:v>
                </c:pt>
                <c:pt idx="35">
                  <c:v>0.3688132386410376</c:v>
                </c:pt>
                <c:pt idx="36">
                  <c:v>0.37281536093887641</c:v>
                </c:pt>
                <c:pt idx="37">
                  <c:v>0.37431534786155457</c:v>
                </c:pt>
                <c:pt idx="38">
                  <c:v>0.37411389693407143</c:v>
                </c:pt>
                <c:pt idx="39">
                  <c:v>0.37931436327367202</c:v>
                </c:pt>
                <c:pt idx="40">
                  <c:v>0.38531801932416826</c:v>
                </c:pt>
                <c:pt idx="41">
                  <c:v>0.38481628735947354</c:v>
                </c:pt>
                <c:pt idx="42">
                  <c:v>0.39031947381589727</c:v>
                </c:pt>
                <c:pt idx="43">
                  <c:v>0.39702360142856163</c:v>
                </c:pt>
                <c:pt idx="44">
                  <c:v>0.39832056620910661</c:v>
                </c:pt>
                <c:pt idx="45">
                  <c:v>0.39681799798468637</c:v>
                </c:pt>
                <c:pt idx="46">
                  <c:v>0.39431464147761741</c:v>
                </c:pt>
                <c:pt idx="47">
                  <c:v>0.39031010940199062</c:v>
                </c:pt>
                <c:pt idx="48">
                  <c:v>0.38820710904859668</c:v>
                </c:pt>
                <c:pt idx="49">
                  <c:v>0.38079602979028215</c:v>
                </c:pt>
                <c:pt idx="50">
                  <c:v>0.38029433739812318</c:v>
                </c:pt>
                <c:pt idx="51">
                  <c:v>0.37538925541941565</c:v>
                </c:pt>
                <c:pt idx="52">
                  <c:v>0.37528789208159685</c:v>
                </c:pt>
                <c:pt idx="53">
                  <c:v>0.37178138248468873</c:v>
                </c:pt>
                <c:pt idx="54">
                  <c:v>0.36977860031530607</c:v>
                </c:pt>
                <c:pt idx="55">
                  <c:v>0.38008506379784834</c:v>
                </c:pt>
                <c:pt idx="56">
                  <c:v>0.37417935307866834</c:v>
                </c:pt>
                <c:pt idx="57">
                  <c:v>0.37157613706076092</c:v>
                </c:pt>
                <c:pt idx="58">
                  <c:v>0.37156976983289242</c:v>
                </c:pt>
                <c:pt idx="59">
                  <c:v>0.37377008728910277</c:v>
                </c:pt>
                <c:pt idx="60">
                  <c:v>0.37346859042462044</c:v>
                </c:pt>
                <c:pt idx="61">
                  <c:v>0.37446546010356657</c:v>
                </c:pt>
                <c:pt idx="62">
                  <c:v>0.37026121167673082</c:v>
                </c:pt>
                <c:pt idx="63">
                  <c:v>0.37306190990250004</c:v>
                </c:pt>
                <c:pt idx="64">
                  <c:v>0.37926496593510534</c:v>
                </c:pt>
                <c:pt idx="65">
                  <c:v>0.38286617065973944</c:v>
                </c:pt>
                <c:pt idx="66">
                  <c:v>0.38636463331048665</c:v>
                </c:pt>
                <c:pt idx="67">
                  <c:v>0.38676358203021921</c:v>
                </c:pt>
                <c:pt idx="68">
                  <c:v>0.38606178161904303</c:v>
                </c:pt>
                <c:pt idx="69">
                  <c:v>0.39025794446329254</c:v>
                </c:pt>
                <c:pt idx="70">
                  <c:v>0.38825529115034541</c:v>
                </c:pt>
                <c:pt idx="71">
                  <c:v>0.38225003341226627</c:v>
                </c:pt>
                <c:pt idx="72">
                  <c:v>0.37253730115758665</c:v>
                </c:pt>
                <c:pt idx="73">
                  <c:v>0.36923393245720748</c:v>
                </c:pt>
                <c:pt idx="74">
                  <c:v>0.37403569372481293</c:v>
                </c:pt>
                <c:pt idx="75">
                  <c:v>0.37133271879294216</c:v>
                </c:pt>
                <c:pt idx="76">
                  <c:v>0.37023076026838647</c:v>
                </c:pt>
                <c:pt idx="77">
                  <c:v>0.36412321251726232</c:v>
                </c:pt>
                <c:pt idx="78">
                  <c:v>0.36372172077499298</c:v>
                </c:pt>
                <c:pt idx="79">
                  <c:v>0.3624196859054975</c:v>
                </c:pt>
                <c:pt idx="80">
                  <c:v>0.35711524754646634</c:v>
                </c:pt>
                <c:pt idx="81">
                  <c:v>0.35721408378308922</c:v>
                </c:pt>
                <c:pt idx="82">
                  <c:v>0.35821100100058934</c:v>
                </c:pt>
                <c:pt idx="83">
                  <c:v>0.35871006651155302</c:v>
                </c:pt>
                <c:pt idx="84">
                  <c:v>0.36381180824452591</c:v>
                </c:pt>
                <c:pt idx="85">
                  <c:v>0.36030853473414404</c:v>
                </c:pt>
                <c:pt idx="86">
                  <c:v>0.36220839387044607</c:v>
                </c:pt>
                <c:pt idx="87">
                  <c:v>0.36520636661127009</c:v>
                </c:pt>
                <c:pt idx="88">
                  <c:v>0.36400444085034062</c:v>
                </c:pt>
                <c:pt idx="89">
                  <c:v>0.36690481330331659</c:v>
                </c:pt>
                <c:pt idx="90">
                  <c:v>0.3677040001644748</c:v>
                </c:pt>
                <c:pt idx="91">
                  <c:v>0.36720246437247939</c:v>
                </c:pt>
                <c:pt idx="92">
                  <c:v>0.36769896039637884</c:v>
                </c:pt>
                <c:pt idx="93">
                  <c:v>0.36669716251546208</c:v>
                </c:pt>
                <c:pt idx="94">
                  <c:v>0.36569537149984233</c:v>
                </c:pt>
                <c:pt idx="95">
                  <c:v>0.36299268447292227</c:v>
                </c:pt>
                <c:pt idx="96">
                  <c:v>0.36018996319976976</c:v>
                </c:pt>
                <c:pt idx="97">
                  <c:v>0.36018626070330889</c:v>
                </c:pt>
                <c:pt idx="98">
                  <c:v>0.3581839986294329</c:v>
                </c:pt>
                <c:pt idx="99">
                  <c:v>0.35518123974219723</c:v>
                </c:pt>
                <c:pt idx="100">
                  <c:v>0.35518002275125748</c:v>
                </c:pt>
                <c:pt idx="101">
                  <c:v>0.35317779841221436</c:v>
                </c:pt>
                <c:pt idx="102">
                  <c:v>0.34706878002316194</c:v>
                </c:pt>
                <c:pt idx="103">
                  <c:v>0.34796802565622442</c:v>
                </c:pt>
                <c:pt idx="104">
                  <c:v>0.34816692934968818</c:v>
                </c:pt>
                <c:pt idx="105">
                  <c:v>0.34416147301987576</c:v>
                </c:pt>
                <c:pt idx="106">
                  <c:v>0.34115889592412907</c:v>
                </c:pt>
                <c:pt idx="107">
                  <c:v>0.34315865211656071</c:v>
                </c:pt>
                <c:pt idx="108">
                  <c:v>0.346158853720543</c:v>
                </c:pt>
                <c:pt idx="109">
                  <c:v>0.34865880692233109</c:v>
                </c:pt>
                <c:pt idx="110">
                  <c:v>0.35065611402336655</c:v>
                </c:pt>
                <c:pt idx="111">
                  <c:v>0.34465226075903399</c:v>
                </c:pt>
                <c:pt idx="112">
                  <c:v>0.3356471329898037</c:v>
                </c:pt>
                <c:pt idx="113">
                  <c:v>0.33814707081504625</c:v>
                </c:pt>
                <c:pt idx="114">
                  <c:v>0.33514461719783195</c:v>
                </c:pt>
                <c:pt idx="115">
                  <c:v>0.33063927613343974</c:v>
                </c:pt>
                <c:pt idx="116">
                  <c:v>0.32613626241100735</c:v>
                </c:pt>
                <c:pt idx="117">
                  <c:v>0.32113307226624732</c:v>
                </c:pt>
                <c:pt idx="118">
                  <c:v>0.32063176647937508</c:v>
                </c:pt>
                <c:pt idx="119">
                  <c:v>0.32763352188049238</c:v>
                </c:pt>
                <c:pt idx="120">
                  <c:v>0.33663373120828821</c:v>
                </c:pt>
                <c:pt idx="121">
                  <c:v>0.34263494184353427</c:v>
                </c:pt>
                <c:pt idx="122">
                  <c:v>0.34063298685103083</c:v>
                </c:pt>
                <c:pt idx="123">
                  <c:v>0.33933131657113885</c:v>
                </c:pt>
                <c:pt idx="124">
                  <c:v>0.34463218768842846</c:v>
                </c:pt>
                <c:pt idx="125">
                  <c:v>0.35313181975463442</c:v>
                </c:pt>
                <c:pt idx="126">
                  <c:v>0.35333068395159856</c:v>
                </c:pt>
                <c:pt idx="127">
                  <c:v>0.34812637464284979</c:v>
                </c:pt>
                <c:pt idx="128">
                  <c:v>0.34752496616934175</c:v>
                </c:pt>
                <c:pt idx="129">
                  <c:v>0.34321989188004032</c:v>
                </c:pt>
                <c:pt idx="130">
                  <c:v>0.34011764343146089</c:v>
                </c:pt>
                <c:pt idx="131">
                  <c:v>0.33911613566289822</c:v>
                </c:pt>
                <c:pt idx="132">
                  <c:v>0.33911032698994537</c:v>
                </c:pt>
                <c:pt idx="133">
                  <c:v>0.33710852123628843</c:v>
                </c:pt>
                <c:pt idx="134">
                  <c:v>0.3243032883760924</c:v>
                </c:pt>
                <c:pt idx="135">
                  <c:v>0.33320498239171248</c:v>
                </c:pt>
                <c:pt idx="136">
                  <c:v>0.33110318626695306</c:v>
                </c:pt>
                <c:pt idx="137">
                  <c:v>0.33710159226068132</c:v>
                </c:pt>
                <c:pt idx="138">
                  <c:v>0.3385008547067106</c:v>
                </c:pt>
                <c:pt idx="139">
                  <c:v>0.3365991353617846</c:v>
                </c:pt>
                <c:pt idx="140">
                  <c:v>0.33509754551838722</c:v>
                </c:pt>
                <c:pt idx="141">
                  <c:v>0.33609668534783982</c:v>
                </c:pt>
                <c:pt idx="142">
                  <c:v>0.33509295386733989</c:v>
                </c:pt>
                <c:pt idx="143">
                  <c:v>0.33659221704576597</c:v>
                </c:pt>
                <c:pt idx="144">
                  <c:v>0.33809146995248712</c:v>
                </c:pt>
                <c:pt idx="145">
                  <c:v>0.34209138057426303</c:v>
                </c:pt>
                <c:pt idx="146">
                  <c:v>0.3387893382844106</c:v>
                </c:pt>
                <c:pt idx="147">
                  <c:v>0.33758555250303157</c:v>
                </c:pt>
                <c:pt idx="148">
                  <c:v>0.33908477119279817</c:v>
                </c:pt>
                <c:pt idx="149">
                  <c:v>0.34308459620180315</c:v>
                </c:pt>
                <c:pt idx="150">
                  <c:v>0.33908244812951094</c:v>
                </c:pt>
                <c:pt idx="151">
                  <c:v>0.34068167026341933</c:v>
                </c:pt>
                <c:pt idx="152">
                  <c:v>0.33657722833663889</c:v>
                </c:pt>
                <c:pt idx="153">
                  <c:v>0.33657607541430595</c:v>
                </c:pt>
                <c:pt idx="154">
                  <c:v>0.33877541233493752</c:v>
                </c:pt>
                <c:pt idx="155">
                  <c:v>0.33527348459936429</c:v>
                </c:pt>
                <c:pt idx="156">
                  <c:v>0.33457218509472936</c:v>
                </c:pt>
                <c:pt idx="157">
                  <c:v>0.33546893197232308</c:v>
                </c:pt>
                <c:pt idx="158">
                  <c:v>0.33156699470098411</c:v>
                </c:pt>
                <c:pt idx="159">
                  <c:v>0.33406635564598447</c:v>
                </c:pt>
                <c:pt idx="160">
                  <c:v>0.33536546517642146</c:v>
                </c:pt>
                <c:pt idx="161">
                  <c:v>0.34506617707505549</c:v>
                </c:pt>
                <c:pt idx="162">
                  <c:v>0.35206390200961135</c:v>
                </c:pt>
                <c:pt idx="163">
                  <c:v>0.35506323043829724</c:v>
                </c:pt>
                <c:pt idx="164">
                  <c:v>0.35156140284775766</c:v>
                </c:pt>
                <c:pt idx="165">
                  <c:v>0.35256036992635725</c:v>
                </c:pt>
                <c:pt idx="166">
                  <c:v>0.35075886021969438</c:v>
                </c:pt>
                <c:pt idx="167">
                  <c:v>0.36655523435038156</c:v>
                </c:pt>
                <c:pt idx="168">
                  <c:v>0.36655397883934959</c:v>
                </c:pt>
                <c:pt idx="169">
                  <c:v>0.36325224861110161</c:v>
                </c:pt>
                <c:pt idx="170">
                  <c:v>0.36254842256328756</c:v>
                </c:pt>
                <c:pt idx="171">
                  <c:v>0.36804789664408377</c:v>
                </c:pt>
                <c:pt idx="172">
                  <c:v>0.37604764987344286</c:v>
                </c:pt>
                <c:pt idx="173">
                  <c:v>0.3696455727418449</c:v>
                </c:pt>
                <c:pt idx="174">
                  <c:v>0.37014436661928651</c:v>
                </c:pt>
                <c:pt idx="175">
                  <c:v>0.37304088119245943</c:v>
                </c:pt>
                <c:pt idx="176">
                  <c:v>0.37553986895869079</c:v>
                </c:pt>
                <c:pt idx="177">
                  <c:v>0.38153919923279789</c:v>
                </c:pt>
                <c:pt idx="178">
                  <c:v>0.38333807124680191</c:v>
                </c:pt>
                <c:pt idx="179">
                  <c:v>0.38663707478799336</c:v>
                </c:pt>
                <c:pt idx="180">
                  <c:v>0.38703313639866432</c:v>
                </c:pt>
                <c:pt idx="181">
                  <c:v>0.38253144094035124</c:v>
                </c:pt>
                <c:pt idx="182">
                  <c:v>0.38543035924062513</c:v>
                </c:pt>
                <c:pt idx="183">
                  <c:v>0.37982861722458539</c:v>
                </c:pt>
                <c:pt idx="184">
                  <c:v>0.37902725880970889</c:v>
                </c:pt>
                <c:pt idx="185">
                  <c:v>0.37322172866228515</c:v>
                </c:pt>
                <c:pt idx="186">
                  <c:v>0.37352046687489726</c:v>
                </c:pt>
                <c:pt idx="187">
                  <c:v>0.37111906433549668</c:v>
                </c:pt>
                <c:pt idx="188">
                  <c:v>0.36201735699656834</c:v>
                </c:pt>
                <c:pt idx="189">
                  <c:v>0.36001356215473873</c:v>
                </c:pt>
                <c:pt idx="190">
                  <c:v>0.35351210657899246</c:v>
                </c:pt>
                <c:pt idx="191">
                  <c:v>0.35011079108602661</c:v>
                </c:pt>
                <c:pt idx="192">
                  <c:v>0.3525096577988438</c:v>
                </c:pt>
                <c:pt idx="193">
                  <c:v>0.35730856561629898</c:v>
                </c:pt>
                <c:pt idx="194">
                  <c:v>0.35660488499842458</c:v>
                </c:pt>
                <c:pt idx="195">
                  <c:v>0.35400363702366805</c:v>
                </c:pt>
                <c:pt idx="196">
                  <c:v>0.35700244522222757</c:v>
                </c:pt>
                <c:pt idx="197">
                  <c:v>0.35660122123705901</c:v>
                </c:pt>
                <c:pt idx="198">
                  <c:v>0.35959630551740907</c:v>
                </c:pt>
                <c:pt idx="199">
                  <c:v>0.36499500006849223</c:v>
                </c:pt>
                <c:pt idx="200">
                  <c:v>0.36819369531343643</c:v>
                </c:pt>
                <c:pt idx="201">
                  <c:v>0.36999239741649143</c:v>
                </c:pt>
                <c:pt idx="202">
                  <c:v>0.37199108240555878</c:v>
                </c:pt>
                <c:pt idx="203">
                  <c:v>0.37648710660593815</c:v>
                </c:pt>
                <c:pt idx="204">
                  <c:v>0.38198561013112525</c:v>
                </c:pt>
                <c:pt idx="205">
                  <c:v>0.38148432256208648</c:v>
                </c:pt>
                <c:pt idx="206">
                  <c:v>0.38548283809282463</c:v>
                </c:pt>
                <c:pt idx="207">
                  <c:v>0.38588149883224782</c:v>
                </c:pt>
                <c:pt idx="208">
                  <c:v>0.38447761602920383</c:v>
                </c:pt>
                <c:pt idx="209">
                  <c:v>0.38397633022621891</c:v>
                </c:pt>
                <c:pt idx="210">
                  <c:v>0.38447498279221559</c:v>
                </c:pt>
                <c:pt idx="211">
                  <c:v>0.38447366618724749</c:v>
                </c:pt>
                <c:pt idx="212">
                  <c:v>0.38477232801750555</c:v>
                </c:pt>
                <c:pt idx="213">
                  <c:v>0.38296983456782513</c:v>
                </c:pt>
                <c:pt idx="214">
                  <c:v>0.3822685806646029</c:v>
                </c:pt>
                <c:pt idx="215">
                  <c:v>0.38146734012498928</c:v>
                </c:pt>
                <c:pt idx="216">
                  <c:v>0.37696643449555867</c:v>
                </c:pt>
                <c:pt idx="217">
                  <c:v>0.37396542100559194</c:v>
                </c:pt>
                <c:pt idx="218">
                  <c:v>0.3739602987354082</c:v>
                </c:pt>
                <c:pt idx="219">
                  <c:v>0.37735864562787641</c:v>
                </c:pt>
                <c:pt idx="220">
                  <c:v>0.37805727434913178</c:v>
                </c:pt>
                <c:pt idx="221">
                  <c:v>0.38395529287685681</c:v>
                </c:pt>
                <c:pt idx="222">
                  <c:v>0.37745475713527488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B85-491C-AD90-63DD92EC5010}"/>
            </c:ext>
          </c:extLst>
        </c:ser>
        <c:ser>
          <c:idx val="4"/>
          <c:order val="4"/>
          <c:tx>
            <c:strRef>
              <c:f>'Grafico Paridades'!$F$1</c:f>
              <c:strCache>
                <c:ptCount val="1"/>
                <c:pt idx="0">
                  <c:v>Suma de P41</c:v>
                </c:pt>
              </c:strCache>
            </c:strRef>
          </c:tx>
          <c:marker>
            <c:symbol val="none"/>
          </c:marker>
          <c:cat>
            <c:strRef>
              <c:f>'Grafico Paridades'!$A$2:$A$225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'Grafico Paridades'!$F$2:$F$225</c:f>
              <c:numCache>
                <c:formatCode>0.00%</c:formatCode>
                <c:ptCount val="223"/>
                <c:pt idx="0">
                  <c:v>0.44034939767296766</c:v>
                </c:pt>
                <c:pt idx="1">
                  <c:v>0.43143882647761594</c:v>
                </c:pt>
                <c:pt idx="2">
                  <c:v>0.41041603817568495</c:v>
                </c:pt>
                <c:pt idx="3">
                  <c:v>0.40040451826331397</c:v>
                </c:pt>
                <c:pt idx="4">
                  <c:v>0.40040314563293178</c:v>
                </c:pt>
                <c:pt idx="5">
                  <c:v>0.38638506182531224</c:v>
                </c:pt>
                <c:pt idx="6">
                  <c:v>0.37787528710020224</c:v>
                </c:pt>
                <c:pt idx="7">
                  <c:v>0.38588191737713007</c:v>
                </c:pt>
                <c:pt idx="8">
                  <c:v>0.39488948003510316</c:v>
                </c:pt>
                <c:pt idx="9">
                  <c:v>0.40039353748375972</c:v>
                </c:pt>
                <c:pt idx="10">
                  <c:v>0.39538455209861645</c:v>
                </c:pt>
                <c:pt idx="11">
                  <c:v>0.39077873418415793</c:v>
                </c:pt>
                <c:pt idx="12">
                  <c:v>0.3905772012697194</c:v>
                </c:pt>
                <c:pt idx="13">
                  <c:v>0.39838337578285948</c:v>
                </c:pt>
                <c:pt idx="14">
                  <c:v>0.40038392979569448</c:v>
                </c:pt>
                <c:pt idx="15">
                  <c:v>0.40037981235624204</c:v>
                </c:pt>
                <c:pt idx="16">
                  <c:v>0.40027834528526968</c:v>
                </c:pt>
                <c:pt idx="17">
                  <c:v>0.39937612477504497</c:v>
                </c:pt>
                <c:pt idx="18">
                  <c:v>0.39537099881395554</c:v>
                </c:pt>
                <c:pt idx="19">
                  <c:v>0.39536964353659415</c:v>
                </c:pt>
                <c:pt idx="20">
                  <c:v>0.39286191731423814</c:v>
                </c:pt>
                <c:pt idx="21">
                  <c:v>0.38235092482141148</c:v>
                </c:pt>
                <c:pt idx="22">
                  <c:v>0.36533405545481656</c:v>
                </c:pt>
                <c:pt idx="23">
                  <c:v>0.35832642064346287</c:v>
                </c:pt>
                <c:pt idx="24">
                  <c:v>0.35832273588883135</c:v>
                </c:pt>
                <c:pt idx="25">
                  <c:v>0.34831252699339815</c:v>
                </c:pt>
                <c:pt idx="26">
                  <c:v>0.33980372867528857</c:v>
                </c:pt>
                <c:pt idx="27">
                  <c:v>0.34630835675601562</c:v>
                </c:pt>
                <c:pt idx="28">
                  <c:v>0.34180317473375355</c:v>
                </c:pt>
                <c:pt idx="29">
                  <c:v>0.33429307886366127</c:v>
                </c:pt>
                <c:pt idx="30">
                  <c:v>0.3402971773295172</c:v>
                </c:pt>
                <c:pt idx="31">
                  <c:v>0.33819418261090123</c:v>
                </c:pt>
                <c:pt idx="32">
                  <c:v>0.33679180934165559</c:v>
                </c:pt>
                <c:pt idx="33">
                  <c:v>0.33528935931008952</c:v>
                </c:pt>
                <c:pt idx="34">
                  <c:v>0.3362867650839243</c:v>
                </c:pt>
                <c:pt idx="35">
                  <c:v>0.34048918259343552</c:v>
                </c:pt>
                <c:pt idx="36">
                  <c:v>0.34028784622608849</c:v>
                </c:pt>
                <c:pt idx="37">
                  <c:v>0.34639182324835305</c:v>
                </c:pt>
                <c:pt idx="38">
                  <c:v>0.34619046802968245</c:v>
                </c:pt>
                <c:pt idx="39">
                  <c:v>0.34778823545541165</c:v>
                </c:pt>
                <c:pt idx="40">
                  <c:v>0.35229076052495384</c:v>
                </c:pt>
                <c:pt idx="41">
                  <c:v>0.35419111598574171</c:v>
                </c:pt>
                <c:pt idx="42">
                  <c:v>0.35679203183427532</c:v>
                </c:pt>
                <c:pt idx="43">
                  <c:v>0.35919276670711059</c:v>
                </c:pt>
                <c:pt idx="44">
                  <c:v>0.36209140918204719</c:v>
                </c:pt>
                <c:pt idx="45">
                  <c:v>0.35828712050067518</c:v>
                </c:pt>
                <c:pt idx="46">
                  <c:v>0.35678469463647361</c:v>
                </c:pt>
                <c:pt idx="47">
                  <c:v>0.35278029119026078</c:v>
                </c:pt>
                <c:pt idx="48">
                  <c:v>0.35227868622094877</c:v>
                </c:pt>
                <c:pt idx="49">
                  <c:v>0.35027230072693499</c:v>
                </c:pt>
                <c:pt idx="50">
                  <c:v>0.35426569927445584</c:v>
                </c:pt>
                <c:pt idx="51">
                  <c:v>0.34926912860937365</c:v>
                </c:pt>
                <c:pt idx="52">
                  <c:v>0.35026869927615706</c:v>
                </c:pt>
                <c:pt idx="53">
                  <c:v>0.35026509789943761</c:v>
                </c:pt>
                <c:pt idx="54">
                  <c:v>0.34626088148605116</c:v>
                </c:pt>
                <c:pt idx="55">
                  <c:v>0.34726044533400052</c:v>
                </c:pt>
                <c:pt idx="56">
                  <c:v>0.34725925519737338</c:v>
                </c:pt>
                <c:pt idx="57">
                  <c:v>0.34495635455115614</c:v>
                </c:pt>
                <c:pt idx="58">
                  <c:v>0.34495044347265824</c:v>
                </c:pt>
                <c:pt idx="59">
                  <c:v>0.34775128603202998</c:v>
                </c:pt>
                <c:pt idx="60">
                  <c:v>0.34945131772850341</c:v>
                </c:pt>
                <c:pt idx="61">
                  <c:v>0.34824687363987483</c:v>
                </c:pt>
                <c:pt idx="62">
                  <c:v>0.34824568017162788</c:v>
                </c:pt>
                <c:pt idx="63">
                  <c:v>0.34824448671156116</c:v>
                </c:pt>
                <c:pt idx="64">
                  <c:v>0.35074504105608023</c:v>
                </c:pt>
                <c:pt idx="65">
                  <c:v>0.35524696963985236</c:v>
                </c:pt>
                <c:pt idx="66">
                  <c:v>0.35574366004112401</c:v>
                </c:pt>
                <c:pt idx="67">
                  <c:v>0.35974516879654289</c:v>
                </c:pt>
                <c:pt idx="68">
                  <c:v>0.35724223960082524</c:v>
                </c:pt>
                <c:pt idx="69">
                  <c:v>0.35723611839332164</c:v>
                </c:pt>
                <c:pt idx="70">
                  <c:v>0.35773522316043427</c:v>
                </c:pt>
                <c:pt idx="71">
                  <c:v>0.35923497904451196</c:v>
                </c:pt>
                <c:pt idx="72">
                  <c:v>0.3482218125244162</c:v>
                </c:pt>
                <c:pt idx="73">
                  <c:v>0.34521871733803949</c:v>
                </c:pt>
                <c:pt idx="74">
                  <c:v>0.34621816487101464</c:v>
                </c:pt>
                <c:pt idx="75">
                  <c:v>0.34871854621218096</c:v>
                </c:pt>
                <c:pt idx="76">
                  <c:v>0.34621579203476138</c:v>
                </c:pt>
                <c:pt idx="77">
                  <c:v>0.34521161945165013</c:v>
                </c:pt>
                <c:pt idx="78">
                  <c:v>0.34721165642069485</c:v>
                </c:pt>
                <c:pt idx="79">
                  <c:v>0.34270773722427633</c:v>
                </c:pt>
                <c:pt idx="80">
                  <c:v>0.33820384889522448</c:v>
                </c:pt>
                <c:pt idx="81">
                  <c:v>0.33670179045660925</c:v>
                </c:pt>
                <c:pt idx="82">
                  <c:v>0.33819921323519331</c:v>
                </c:pt>
                <c:pt idx="83">
                  <c:v>0.33869834731983456</c:v>
                </c:pt>
                <c:pt idx="84">
                  <c:v>0.33889730322447997</c:v>
                </c:pt>
                <c:pt idx="85">
                  <c:v>0.33419342016441023</c:v>
                </c:pt>
                <c:pt idx="86">
                  <c:v>0.33719400202856442</c:v>
                </c:pt>
                <c:pt idx="87">
                  <c:v>0.33618997035996367</c:v>
                </c:pt>
                <c:pt idx="88">
                  <c:v>0.33618881837744485</c:v>
                </c:pt>
                <c:pt idx="89">
                  <c:v>0.33908928614260703</c:v>
                </c:pt>
                <c:pt idx="90">
                  <c:v>0.33718706953857963</c:v>
                </c:pt>
                <c:pt idx="91">
                  <c:v>0.33508475563581291</c:v>
                </c:pt>
                <c:pt idx="92">
                  <c:v>0.33618190664811781</c:v>
                </c:pt>
                <c:pt idx="93">
                  <c:v>0.33568048574062076</c:v>
                </c:pt>
                <c:pt idx="94">
                  <c:v>0.33367826647112842</c:v>
                </c:pt>
                <c:pt idx="95">
                  <c:v>0.33707892888348262</c:v>
                </c:pt>
                <c:pt idx="96">
                  <c:v>0.33767809049978414</c:v>
                </c:pt>
                <c:pt idx="97">
                  <c:v>0.33717436071393087</c:v>
                </c:pt>
                <c:pt idx="98">
                  <c:v>0.3369731026212095</c:v>
                </c:pt>
                <c:pt idx="99">
                  <c:v>0.33447067167835642</c:v>
                </c:pt>
                <c:pt idx="100">
                  <c:v>0.33526993133506022</c:v>
                </c:pt>
                <c:pt idx="101">
                  <c:v>0.33416822852600453</c:v>
                </c:pt>
                <c:pt idx="102">
                  <c:v>0.32865982772444136</c:v>
                </c:pt>
                <c:pt idx="103">
                  <c:v>0.32875874994432241</c:v>
                </c:pt>
                <c:pt idx="104">
                  <c:v>0.33015829507298022</c:v>
                </c:pt>
                <c:pt idx="105">
                  <c:v>0.32755368100787013</c:v>
                </c:pt>
                <c:pt idx="106">
                  <c:v>0.32755255872598199</c:v>
                </c:pt>
                <c:pt idx="107">
                  <c:v>0.33115310160519418</c:v>
                </c:pt>
                <c:pt idx="108">
                  <c:v>0.33215242611335344</c:v>
                </c:pt>
                <c:pt idx="109">
                  <c:v>0.3311508323996889</c:v>
                </c:pt>
                <c:pt idx="110">
                  <c:v>0.33214787405351698</c:v>
                </c:pt>
                <c:pt idx="111">
                  <c:v>0.32264253728530756</c:v>
                </c:pt>
                <c:pt idx="112">
                  <c:v>0.32054051090889157</c:v>
                </c:pt>
                <c:pt idx="113">
                  <c:v>0.3231405440037276</c:v>
                </c:pt>
                <c:pt idx="114">
                  <c:v>0.32273926420304649</c:v>
                </c:pt>
                <c:pt idx="115">
                  <c:v>0.32013485132435926</c:v>
                </c:pt>
                <c:pt idx="116">
                  <c:v>0.31993367091730107</c:v>
                </c:pt>
                <c:pt idx="117">
                  <c:v>0.31433025328989067</c:v>
                </c:pt>
                <c:pt idx="118">
                  <c:v>0.31512950527614086</c:v>
                </c:pt>
                <c:pt idx="119">
                  <c:v>0.32513250262949628</c:v>
                </c:pt>
                <c:pt idx="120">
                  <c:v>0.33463293637198344</c:v>
                </c:pt>
                <c:pt idx="121">
                  <c:v>0.33503194751357557</c:v>
                </c:pt>
                <c:pt idx="122">
                  <c:v>0.33763181516071344</c:v>
                </c:pt>
                <c:pt idx="123">
                  <c:v>0.33963143271197416</c:v>
                </c:pt>
                <c:pt idx="124">
                  <c:v>0.3426314202707888</c:v>
                </c:pt>
                <c:pt idx="125">
                  <c:v>0.34863013933283316</c:v>
                </c:pt>
                <c:pt idx="126">
                  <c:v>0.35263042495169444</c:v>
                </c:pt>
                <c:pt idx="127">
                  <c:v>0.34612564835179893</c:v>
                </c:pt>
                <c:pt idx="128">
                  <c:v>0.34362356326761334</c:v>
                </c:pt>
                <c:pt idx="129">
                  <c:v>0.33811810975066631</c:v>
                </c:pt>
                <c:pt idx="130">
                  <c:v>0.33911729742136831</c:v>
                </c:pt>
                <c:pt idx="131">
                  <c:v>0.33561493662213082</c:v>
                </c:pt>
                <c:pt idx="132">
                  <c:v>0.33260821157568388</c:v>
                </c:pt>
                <c:pt idx="133">
                  <c:v>0.33010626708597973</c:v>
                </c:pt>
                <c:pt idx="134">
                  <c:v>0.33210577341413533</c:v>
                </c:pt>
                <c:pt idx="135">
                  <c:v>0.33110432053934802</c:v>
                </c:pt>
                <c:pt idx="136">
                  <c:v>0.33140327978924944</c:v>
                </c:pt>
                <c:pt idx="137">
                  <c:v>0.33510098933925292</c:v>
                </c:pt>
                <c:pt idx="138">
                  <c:v>0.33509984139109938</c:v>
                </c:pt>
                <c:pt idx="139">
                  <c:v>0.33489863452934765</c:v>
                </c:pt>
                <c:pt idx="140">
                  <c:v>0.33109638079577963</c:v>
                </c:pt>
                <c:pt idx="141">
                  <c:v>0.33159539045478836</c:v>
                </c:pt>
                <c:pt idx="142">
                  <c:v>0.33159198270753187</c:v>
                </c:pt>
                <c:pt idx="143">
                  <c:v>0.33009043573581803</c:v>
                </c:pt>
                <c:pt idx="144">
                  <c:v>0.3300893049831975</c:v>
                </c:pt>
                <c:pt idx="145">
                  <c:v>0.3345893766143011</c:v>
                </c:pt>
                <c:pt idx="146">
                  <c:v>0.3280865159648263</c:v>
                </c:pt>
                <c:pt idx="147">
                  <c:v>0.32808314435850178</c:v>
                </c:pt>
                <c:pt idx="148">
                  <c:v>0.32958239559889974</c:v>
                </c:pt>
                <c:pt idx="149">
                  <c:v>0.33158175988599925</c:v>
                </c:pt>
                <c:pt idx="150">
                  <c:v>0.32757965121656291</c:v>
                </c:pt>
                <c:pt idx="151">
                  <c:v>0.32957900866646117</c:v>
                </c:pt>
                <c:pt idx="152">
                  <c:v>0.32557470378477249</c:v>
                </c:pt>
                <c:pt idx="153">
                  <c:v>0.32837422157062895</c:v>
                </c:pt>
                <c:pt idx="154">
                  <c:v>0.32807302995529825</c:v>
                </c:pt>
                <c:pt idx="155">
                  <c:v>0.32497122657020716</c:v>
                </c:pt>
                <c:pt idx="156">
                  <c:v>0.32306970339491053</c:v>
                </c:pt>
                <c:pt idx="157">
                  <c:v>0.32256628074261834</c:v>
                </c:pt>
                <c:pt idx="158">
                  <c:v>0.3200646706012516</c:v>
                </c:pt>
                <c:pt idx="159">
                  <c:v>0.3225640709455988</c:v>
                </c:pt>
                <c:pt idx="160">
                  <c:v>0.32216288796100612</c:v>
                </c:pt>
                <c:pt idx="161">
                  <c:v>0.33056339571972704</c:v>
                </c:pt>
                <c:pt idx="162">
                  <c:v>0.33796134229843089</c:v>
                </c:pt>
                <c:pt idx="163">
                  <c:v>0.33505966816008331</c:v>
                </c:pt>
                <c:pt idx="164">
                  <c:v>0.33605869518306281</c:v>
                </c:pt>
                <c:pt idx="165">
                  <c:v>0.33005651652680251</c:v>
                </c:pt>
                <c:pt idx="166">
                  <c:v>0.3336559902175365</c:v>
                </c:pt>
                <c:pt idx="167">
                  <c:v>0.3470522955513845</c:v>
                </c:pt>
                <c:pt idx="168">
                  <c:v>0.35255191689187104</c:v>
                </c:pt>
                <c:pt idx="169">
                  <c:v>0.34604977428260231</c:v>
                </c:pt>
                <c:pt idx="170">
                  <c:v>0.34404595134281635</c:v>
                </c:pt>
                <c:pt idx="171">
                  <c:v>0.34904542371952513</c:v>
                </c:pt>
                <c:pt idx="172">
                  <c:v>0.35364481115757818</c:v>
                </c:pt>
                <c:pt idx="173">
                  <c:v>0.34504253949117014</c:v>
                </c:pt>
                <c:pt idx="174">
                  <c:v>0.34614148956210505</c:v>
                </c:pt>
                <c:pt idx="175">
                  <c:v>0.35353874397194213</c:v>
                </c:pt>
                <c:pt idx="176">
                  <c:v>0.35903811706037281</c:v>
                </c:pt>
                <c:pt idx="177">
                  <c:v>0.36403740110285304</c:v>
                </c:pt>
                <c:pt idx="178">
                  <c:v>0.37003675022519361</c:v>
                </c:pt>
                <c:pt idx="179">
                  <c:v>0.377036154151768</c:v>
                </c:pt>
                <c:pt idx="180">
                  <c:v>0.38003253703228018</c:v>
                </c:pt>
                <c:pt idx="181">
                  <c:v>0.38283146559991232</c:v>
                </c:pt>
                <c:pt idx="182">
                  <c:v>0.37202930367802944</c:v>
                </c:pt>
                <c:pt idx="183">
                  <c:v>0.37002787881278726</c:v>
                </c:pt>
                <c:pt idx="184">
                  <c:v>0.36902653957990128</c:v>
                </c:pt>
                <c:pt idx="185">
                  <c:v>0.36202107656952631</c:v>
                </c:pt>
                <c:pt idx="186">
                  <c:v>0.36001972710833469</c:v>
                </c:pt>
                <c:pt idx="187">
                  <c:v>0.35751836566946932</c:v>
                </c:pt>
                <c:pt idx="188">
                  <c:v>0.34751666175775553</c:v>
                </c:pt>
                <c:pt idx="189">
                  <c:v>0.34501299706495792</c:v>
                </c:pt>
                <c:pt idx="190">
                  <c:v>0.34101167848213981</c:v>
                </c:pt>
                <c:pt idx="191">
                  <c:v>0.33901044895219373</c:v>
                </c:pt>
                <c:pt idx="192">
                  <c:v>0.34350941121674566</c:v>
                </c:pt>
                <c:pt idx="193">
                  <c:v>0.34750833067916009</c:v>
                </c:pt>
                <c:pt idx="194">
                  <c:v>0.34900478088740938</c:v>
                </c:pt>
                <c:pt idx="195">
                  <c:v>0.34600355483104278</c:v>
                </c:pt>
                <c:pt idx="196">
                  <c:v>0.34700237672860773</c:v>
                </c:pt>
                <c:pt idx="197">
                  <c:v>0.3505012003465765</c:v>
                </c:pt>
                <c:pt idx="198">
                  <c:v>0.3524963784618651</c:v>
                </c:pt>
                <c:pt idx="199">
                  <c:v>0.35999506856070462</c:v>
                </c:pt>
                <c:pt idx="200">
                  <c:v>0.36279378777760657</c:v>
                </c:pt>
                <c:pt idx="201">
                  <c:v>0.36349253097539092</c:v>
                </c:pt>
                <c:pt idx="202">
                  <c:v>0.36749119027968508</c:v>
                </c:pt>
                <c:pt idx="203">
                  <c:v>0.36598746618266498</c:v>
                </c:pt>
                <c:pt idx="204">
                  <c:v>0.37598583615000808</c:v>
                </c:pt>
                <c:pt idx="205">
                  <c:v>0.37848444584469132</c:v>
                </c:pt>
                <c:pt idx="206">
                  <c:v>0.38208298945594887</c:v>
                </c:pt>
                <c:pt idx="207">
                  <c:v>0.38498154198086393</c:v>
                </c:pt>
                <c:pt idx="208">
                  <c:v>0.38297770335288694</c:v>
                </c:pt>
                <c:pt idx="209">
                  <c:v>0.38297639186625482</c:v>
                </c:pt>
                <c:pt idx="210">
                  <c:v>0.37997527558138339</c:v>
                </c:pt>
                <c:pt idx="211">
                  <c:v>0.38147387165262653</c:v>
                </c:pt>
                <c:pt idx="212">
                  <c:v>0.38097260128552402</c:v>
                </c:pt>
                <c:pt idx="213">
                  <c:v>0.38047003147012393</c:v>
                </c:pt>
                <c:pt idx="214">
                  <c:v>0.37896885187518831</c:v>
                </c:pt>
                <c:pt idx="215">
                  <c:v>0.37596781097508775</c:v>
                </c:pt>
                <c:pt idx="216">
                  <c:v>0.37146692417798416</c:v>
                </c:pt>
                <c:pt idx="217">
                  <c:v>0.36996579083440917</c:v>
                </c:pt>
                <c:pt idx="218">
                  <c:v>0.37076063842537266</c:v>
                </c:pt>
                <c:pt idx="219">
                  <c:v>0.37495890861275477</c:v>
                </c:pt>
                <c:pt idx="220">
                  <c:v>0.37545756815154446</c:v>
                </c:pt>
                <c:pt idx="221">
                  <c:v>0.37895587500085604</c:v>
                </c:pt>
                <c:pt idx="222">
                  <c:v>0.37395517660554384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B85-491C-AD90-63DD92EC5010}"/>
            </c:ext>
          </c:extLst>
        </c:ser>
        <c:ser>
          <c:idx val="5"/>
          <c:order val="5"/>
          <c:tx>
            <c:strRef>
              <c:f>'Grafico Paridades'!$G$1</c:f>
              <c:strCache>
                <c:ptCount val="1"/>
                <c:pt idx="0">
                  <c:v>Suma de PG30</c:v>
                </c:pt>
              </c:strCache>
            </c:strRef>
          </c:tx>
          <c:marker>
            <c:symbol val="none"/>
          </c:marker>
          <c:cat>
            <c:strRef>
              <c:f>'Grafico Paridades'!$A$2:$A$225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'Grafico Paridades'!$G$2:$G$225</c:f>
              <c:numCache>
                <c:formatCode>0.00%</c:formatCode>
                <c:ptCount val="2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0.3993099175392536</c:v>
                </c:pt>
                <c:pt idx="84">
                  <c:v>0.40100773601697814</c:v>
                </c:pt>
                <c:pt idx="85">
                  <c:v>0.39880742518167595</c:v>
                </c:pt>
                <c:pt idx="86">
                  <c:v>0.40480314367670517</c:v>
                </c:pt>
                <c:pt idx="87">
                  <c:v>0.40379948313337555</c:v>
                </c:pt>
                <c:pt idx="88">
                  <c:v>0.40379810094952523</c:v>
                </c:pt>
                <c:pt idx="89">
                  <c:v>0.40279722194648582</c:v>
                </c:pt>
                <c:pt idx="90">
                  <c:v>0.40019716034338759</c:v>
                </c:pt>
                <c:pt idx="91">
                  <c:v>0.40019579050416054</c:v>
                </c:pt>
                <c:pt idx="92">
                  <c:v>0.40378980804512721</c:v>
                </c:pt>
                <c:pt idx="93">
                  <c:v>0.39919083493922702</c:v>
                </c:pt>
                <c:pt idx="94">
                  <c:v>0.3958912080615018</c:v>
                </c:pt>
                <c:pt idx="95">
                  <c:v>0.39698926939467061</c:v>
                </c:pt>
                <c:pt idx="96">
                  <c:v>0.39958652226892477</c:v>
                </c:pt>
                <c:pt idx="97">
                  <c:v>0.39958241916216852</c:v>
                </c:pt>
                <c:pt idx="98">
                  <c:v>0.39868154435925524</c:v>
                </c:pt>
                <c:pt idx="99">
                  <c:v>0.39638144721574747</c:v>
                </c:pt>
                <c:pt idx="100">
                  <c:v>0.39558053408725297</c:v>
                </c:pt>
                <c:pt idx="101">
                  <c:v>0.3977779527181744</c:v>
                </c:pt>
                <c:pt idx="102">
                  <c:v>0.39207442293474981</c:v>
                </c:pt>
                <c:pt idx="103">
                  <c:v>0.39027412216901858</c:v>
                </c:pt>
                <c:pt idx="104">
                  <c:v>0.3857754047301229</c:v>
                </c:pt>
                <c:pt idx="105">
                  <c:v>0.38397250943790151</c:v>
                </c:pt>
                <c:pt idx="106">
                  <c:v>0.37767494712055144</c:v>
                </c:pt>
                <c:pt idx="107">
                  <c:v>0.38087173782835626</c:v>
                </c:pt>
                <c:pt idx="108">
                  <c:v>0.37987103663545257</c:v>
                </c:pt>
                <c:pt idx="109">
                  <c:v>0.37607203852459298</c:v>
                </c:pt>
                <c:pt idx="110">
                  <c:v>0.37766719145732081</c:v>
                </c:pt>
                <c:pt idx="111">
                  <c:v>0.36937104055362946</c:v>
                </c:pt>
                <c:pt idx="112">
                  <c:v>0.36976952721249084</c:v>
                </c:pt>
                <c:pt idx="113">
                  <c:v>0.36956838693558486</c:v>
                </c:pt>
                <c:pt idx="114">
                  <c:v>0.36057278974892532</c:v>
                </c:pt>
                <c:pt idx="115">
                  <c:v>0.36056908760485579</c:v>
                </c:pt>
                <c:pt idx="116">
                  <c:v>0.35237312962886908</c:v>
                </c:pt>
                <c:pt idx="117">
                  <c:v>0.34367755117406884</c:v>
                </c:pt>
                <c:pt idx="118">
                  <c:v>0.34627468428077618</c:v>
                </c:pt>
                <c:pt idx="119">
                  <c:v>0.35286918488249125</c:v>
                </c:pt>
                <c:pt idx="120">
                  <c:v>0.35926131268951456</c:v>
                </c:pt>
                <c:pt idx="121">
                  <c:v>0.36275774739471928</c:v>
                </c:pt>
                <c:pt idx="122">
                  <c:v>0.36855261536776684</c:v>
                </c:pt>
                <c:pt idx="123">
                  <c:v>0.36585317439946335</c:v>
                </c:pt>
                <c:pt idx="124">
                  <c:v>0.36924961840943471</c:v>
                </c:pt>
                <c:pt idx="125">
                  <c:v>0.37524170006262808</c:v>
                </c:pt>
                <c:pt idx="126">
                  <c:v>0.37054366499887065</c:v>
                </c:pt>
                <c:pt idx="127">
                  <c:v>0.36274657431109769</c:v>
                </c:pt>
                <c:pt idx="128">
                  <c:v>0.36184596430588117</c:v>
                </c:pt>
                <c:pt idx="129">
                  <c:v>0.35624623555823248</c:v>
                </c:pt>
                <c:pt idx="130">
                  <c:v>0.35064902176182122</c:v>
                </c:pt>
                <c:pt idx="131">
                  <c:v>0.34984839670100271</c:v>
                </c:pt>
                <c:pt idx="132">
                  <c:v>0.35323990897113428</c:v>
                </c:pt>
                <c:pt idx="133">
                  <c:v>0.35373833055000409</c:v>
                </c:pt>
                <c:pt idx="134">
                  <c:v>0.35263793687567802</c:v>
                </c:pt>
                <c:pt idx="135">
                  <c:v>0.35353605869590515</c:v>
                </c:pt>
                <c:pt idx="136">
                  <c:v>0.35123657257057206</c:v>
                </c:pt>
                <c:pt idx="137">
                  <c:v>0.35892711705484187</c:v>
                </c:pt>
                <c:pt idx="138">
                  <c:v>0.36362230214596386</c:v>
                </c:pt>
                <c:pt idx="139">
                  <c:v>0.36072328077091548</c:v>
                </c:pt>
                <c:pt idx="140">
                  <c:v>0.35952297031397035</c:v>
                </c:pt>
                <c:pt idx="141">
                  <c:v>0.36371849185219657</c:v>
                </c:pt>
                <c:pt idx="142">
                  <c:v>0.36461405267786567</c:v>
                </c:pt>
                <c:pt idx="143">
                  <c:v>0.36171508743113306</c:v>
                </c:pt>
                <c:pt idx="144">
                  <c:v>0.36601045063665388</c:v>
                </c:pt>
                <c:pt idx="145">
                  <c:v>0.36670864244846563</c:v>
                </c:pt>
                <c:pt idx="146">
                  <c:v>0.36630770652185068</c:v>
                </c:pt>
                <c:pt idx="147">
                  <c:v>0.36820241174940804</c:v>
                </c:pt>
                <c:pt idx="148">
                  <c:v>0.37109879994661865</c:v>
                </c:pt>
                <c:pt idx="149">
                  <c:v>0.36929899602378885</c:v>
                </c:pt>
                <c:pt idx="150">
                  <c:v>0.36719944976543173</c:v>
                </c:pt>
                <c:pt idx="151">
                  <c:v>0.37179441554886394</c:v>
                </c:pt>
                <c:pt idx="152">
                  <c:v>0.37039176301913135</c:v>
                </c:pt>
                <c:pt idx="153">
                  <c:v>0.37019066259700795</c:v>
                </c:pt>
                <c:pt idx="154">
                  <c:v>0.3678913240602919</c:v>
                </c:pt>
                <c:pt idx="155">
                  <c:v>0.36499250631317454</c:v>
                </c:pt>
                <c:pt idx="156">
                  <c:v>0.36289303226380426</c:v>
                </c:pt>
                <c:pt idx="157">
                  <c:v>0.36448793840889648</c:v>
                </c:pt>
                <c:pt idx="158">
                  <c:v>0.35869167256912721</c:v>
                </c:pt>
                <c:pt idx="159">
                  <c:v>0.36368613388445586</c:v>
                </c:pt>
                <c:pt idx="160">
                  <c:v>0.36418445661806725</c:v>
                </c:pt>
                <c:pt idx="161">
                  <c:v>0.37417451942488389</c:v>
                </c:pt>
                <c:pt idx="162">
                  <c:v>0.38346250047047636</c:v>
                </c:pt>
                <c:pt idx="163">
                  <c:v>0.38346118840202836</c:v>
                </c:pt>
                <c:pt idx="164">
                  <c:v>0.37866413010377781</c:v>
                </c:pt>
                <c:pt idx="165">
                  <c:v>0.37956203380551568</c:v>
                </c:pt>
                <c:pt idx="166">
                  <c:v>0.37466511097956962</c:v>
                </c:pt>
                <c:pt idx="167">
                  <c:v>0.38714732469736474</c:v>
                </c:pt>
                <c:pt idx="168">
                  <c:v>0.38674636548087882</c:v>
                </c:pt>
                <c:pt idx="169">
                  <c:v>0.38514650936811418</c:v>
                </c:pt>
                <c:pt idx="170">
                  <c:v>0.3854422778859346</c:v>
                </c:pt>
                <c:pt idx="171">
                  <c:v>0.38763891169869158</c:v>
                </c:pt>
                <c:pt idx="172">
                  <c:v>0.39473095359475557</c:v>
                </c:pt>
                <c:pt idx="173">
                  <c:v>0.38823569664082336</c:v>
                </c:pt>
                <c:pt idx="174">
                  <c:v>0.39083192199127531</c:v>
                </c:pt>
                <c:pt idx="175">
                  <c:v>0.39492401070213978</c:v>
                </c:pt>
                <c:pt idx="176">
                  <c:v>0.39921855487393892</c:v>
                </c:pt>
                <c:pt idx="177">
                  <c:v>0.40431230327083617</c:v>
                </c:pt>
                <c:pt idx="178">
                  <c:v>0.40421101611120808</c:v>
                </c:pt>
                <c:pt idx="179">
                  <c:v>0.40560828241219099</c:v>
                </c:pt>
                <c:pt idx="180">
                  <c:v>0.40580392425201428</c:v>
                </c:pt>
                <c:pt idx="181">
                  <c:v>0.40290537350403371</c:v>
                </c:pt>
                <c:pt idx="182">
                  <c:v>0.40040644982500073</c:v>
                </c:pt>
                <c:pt idx="183">
                  <c:v>0.39640902123932559</c:v>
                </c:pt>
                <c:pt idx="184">
                  <c:v>0.39670736839224191</c:v>
                </c:pt>
                <c:pt idx="185">
                  <c:v>0.38711156271275743</c:v>
                </c:pt>
                <c:pt idx="186">
                  <c:v>0.38880852839948821</c:v>
                </c:pt>
                <c:pt idx="187">
                  <c:v>0.38411194170273188</c:v>
                </c:pt>
                <c:pt idx="188">
                  <c:v>0.37472014670060483</c:v>
                </c:pt>
                <c:pt idx="189">
                  <c:v>0.37491609618917615</c:v>
                </c:pt>
                <c:pt idx="190">
                  <c:v>0.373616147793363</c:v>
                </c:pt>
                <c:pt idx="191">
                  <c:v>0.37551291305879902</c:v>
                </c:pt>
                <c:pt idx="192">
                  <c:v>0.37501214497334945</c:v>
                </c:pt>
                <c:pt idx="193">
                  <c:v>0.37181417912234904</c:v>
                </c:pt>
                <c:pt idx="194">
                  <c:v>0.37410795536184688</c:v>
                </c:pt>
                <c:pt idx="195">
                  <c:v>0.36981119165808551</c:v>
                </c:pt>
                <c:pt idx="196">
                  <c:v>0.36971003188417695</c:v>
                </c:pt>
                <c:pt idx="197">
                  <c:v>0.36811045845321222</c:v>
                </c:pt>
                <c:pt idx="198">
                  <c:v>0.37060274431859003</c:v>
                </c:pt>
                <c:pt idx="199">
                  <c:v>0.37369814651368044</c:v>
                </c:pt>
                <c:pt idx="200">
                  <c:v>0.37659374305116061</c:v>
                </c:pt>
                <c:pt idx="201">
                  <c:v>0.37509407627362168</c:v>
                </c:pt>
                <c:pt idx="202">
                  <c:v>0.37749019044393584</c:v>
                </c:pt>
                <c:pt idx="203">
                  <c:v>0.37988368910782705</c:v>
                </c:pt>
                <c:pt idx="204">
                  <c:v>0.38188019334909223</c:v>
                </c:pt>
                <c:pt idx="205">
                  <c:v>0.38347712454074617</c:v>
                </c:pt>
                <c:pt idx="206">
                  <c:v>0.38537371332396014</c:v>
                </c:pt>
                <c:pt idx="207">
                  <c:v>0.38906829408464583</c:v>
                </c:pt>
                <c:pt idx="208">
                  <c:v>0.38556821641517891</c:v>
                </c:pt>
                <c:pt idx="209">
                  <c:v>0.38576667305218793</c:v>
                </c:pt>
                <c:pt idx="210">
                  <c:v>0.38646456560929637</c:v>
                </c:pt>
                <c:pt idx="211">
                  <c:v>0.38636335648068965</c:v>
                </c:pt>
                <c:pt idx="212">
                  <c:v>0.38776044962730605</c:v>
                </c:pt>
                <c:pt idx="213">
                  <c:v>0.38955574635774953</c:v>
                </c:pt>
                <c:pt idx="214">
                  <c:v>0.38915487079847028</c:v>
                </c:pt>
                <c:pt idx="215">
                  <c:v>0.38745548771101646</c:v>
                </c:pt>
                <c:pt idx="216">
                  <c:v>0.38655519675989275</c:v>
                </c:pt>
                <c:pt idx="217">
                  <c:v>0.38355733280426357</c:v>
                </c:pt>
                <c:pt idx="218">
                  <c:v>0.38285290123520133</c:v>
                </c:pt>
                <c:pt idx="219">
                  <c:v>0.38644738012328023</c:v>
                </c:pt>
                <c:pt idx="220">
                  <c:v>0.38654594089819155</c:v>
                </c:pt>
                <c:pt idx="221">
                  <c:v>0.39093944120625018</c:v>
                </c:pt>
                <c:pt idx="222">
                  <c:v>0.38754211633515195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0A-43D1-B7D9-D00BF7C659CA}"/>
            </c:ext>
          </c:extLst>
        </c:ser>
        <c:ser>
          <c:idx val="6"/>
          <c:order val="6"/>
          <c:tx>
            <c:strRef>
              <c:f>'Grafico Paridades'!$H$1</c:f>
              <c:strCache>
                <c:ptCount val="1"/>
                <c:pt idx="0">
                  <c:v>Suma de P35</c:v>
                </c:pt>
              </c:strCache>
            </c:strRef>
          </c:tx>
          <c:marker>
            <c:symbol val="none"/>
          </c:marker>
          <c:cat>
            <c:strRef>
              <c:f>'Grafico Paridades'!$A$2:$A$225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'Grafico Paridades'!$H$2:$H$225</c:f>
              <c:numCache>
                <c:formatCode>0.00%</c:formatCode>
                <c:ptCount val="223"/>
                <c:pt idx="0">
                  <c:v>0.44585501642086789</c:v>
                </c:pt>
                <c:pt idx="1">
                  <c:v>0.44595358978138722</c:v>
                </c:pt>
                <c:pt idx="2">
                  <c:v>0.41942517072100483</c:v>
                </c:pt>
                <c:pt idx="3">
                  <c:v>0.41792221593733397</c:v>
                </c:pt>
                <c:pt idx="4">
                  <c:v>0.41641927145824909</c:v>
                </c:pt>
                <c:pt idx="5">
                  <c:v>0.40280142196504054</c:v>
                </c:pt>
                <c:pt idx="6">
                  <c:v>0.38538274313530563</c:v>
                </c:pt>
                <c:pt idx="7">
                  <c:v>0.39789380585579565</c:v>
                </c:pt>
                <c:pt idx="8">
                  <c:v>0.41941366827555943</c:v>
                </c:pt>
                <c:pt idx="9">
                  <c:v>0.4154082951394007</c:v>
                </c:pt>
                <c:pt idx="10">
                  <c:v>0.41039915534286769</c:v>
                </c:pt>
                <c:pt idx="11">
                  <c:v>0.39938707720153432</c:v>
                </c:pt>
                <c:pt idx="12">
                  <c:v>0.40779382828622163</c:v>
                </c:pt>
                <c:pt idx="13">
                  <c:v>0.4083930083402178</c:v>
                </c:pt>
                <c:pt idx="14">
                  <c:v>0.40088440970793909</c:v>
                </c:pt>
                <c:pt idx="15">
                  <c:v>0.39537506470178901</c:v>
                </c:pt>
                <c:pt idx="16">
                  <c:v>0.3999780614553482</c:v>
                </c:pt>
                <c:pt idx="17">
                  <c:v>0.40137801011226326</c:v>
                </c:pt>
                <c:pt idx="18">
                  <c:v>0.3991745679164696</c:v>
                </c:pt>
                <c:pt idx="19">
                  <c:v>0.40037432256870292</c:v>
                </c:pt>
                <c:pt idx="20">
                  <c:v>0.39736606668471985</c:v>
                </c:pt>
                <c:pt idx="21">
                  <c:v>0.39416176490751786</c:v>
                </c:pt>
                <c:pt idx="22">
                  <c:v>0.38034778376117889</c:v>
                </c:pt>
                <c:pt idx="23">
                  <c:v>0.37704347110724157</c:v>
                </c:pt>
                <c:pt idx="24">
                  <c:v>0.35982408813417566</c:v>
                </c:pt>
                <c:pt idx="25">
                  <c:v>0.36072366301270314</c:v>
                </c:pt>
                <c:pt idx="26">
                  <c:v>0.34530864916929171</c:v>
                </c:pt>
                <c:pt idx="27">
                  <c:v>0.35031192157400426</c:v>
                </c:pt>
                <c:pt idx="28">
                  <c:v>0.35481471579243234</c:v>
                </c:pt>
                <c:pt idx="29">
                  <c:v>0.34230009871668315</c:v>
                </c:pt>
                <c:pt idx="30">
                  <c:v>0.35230766594114726</c:v>
                </c:pt>
                <c:pt idx="31">
                  <c:v>0.35030471711694416</c:v>
                </c:pt>
                <c:pt idx="32">
                  <c:v>0.35040360312188296</c:v>
                </c:pt>
                <c:pt idx="33">
                  <c:v>0.35130317945624306</c:v>
                </c:pt>
                <c:pt idx="34">
                  <c:v>0.35089922570959486</c:v>
                </c:pt>
                <c:pt idx="35">
                  <c:v>0.35530176314129808</c:v>
                </c:pt>
                <c:pt idx="36">
                  <c:v>0.35630139193084565</c:v>
                </c:pt>
                <c:pt idx="37">
                  <c:v>0.36280565133639986</c:v>
                </c:pt>
                <c:pt idx="38">
                  <c:v>0.35830062895237441</c:v>
                </c:pt>
                <c:pt idx="39">
                  <c:v>0.37280897181911038</c:v>
                </c:pt>
                <c:pt idx="40">
                  <c:v>0.37130645498510756</c:v>
                </c:pt>
                <c:pt idx="41">
                  <c:v>0.37330682752947625</c:v>
                </c:pt>
                <c:pt idx="42">
                  <c:v>0.36629981388876515</c:v>
                </c:pt>
                <c:pt idx="43">
                  <c:v>0.36860043460080477</c:v>
                </c:pt>
                <c:pt idx="44">
                  <c:v>0.37280002741932722</c:v>
                </c:pt>
                <c:pt idx="45">
                  <c:v>0.37229834867667927</c:v>
                </c:pt>
                <c:pt idx="46">
                  <c:v>0.37529946841143791</c:v>
                </c:pt>
                <c:pt idx="47">
                  <c:v>0.36919333168819063</c:v>
                </c:pt>
                <c:pt idx="48">
                  <c:v>0.36779095791533711</c:v>
                </c:pt>
                <c:pt idx="49">
                  <c:v>0.36208148115144306</c:v>
                </c:pt>
                <c:pt idx="50">
                  <c:v>0.36428194424451799</c:v>
                </c:pt>
                <c:pt idx="51">
                  <c:v>0.35737537486076604</c:v>
                </c:pt>
                <c:pt idx="52">
                  <c:v>0.36257814213643341</c:v>
                </c:pt>
                <c:pt idx="53">
                  <c:v>0.36017259638287885</c:v>
                </c:pt>
                <c:pt idx="54">
                  <c:v>0.35386661183083146</c:v>
                </c:pt>
                <c:pt idx="55">
                  <c:v>0.35626720040030024</c:v>
                </c:pt>
                <c:pt idx="56">
                  <c:v>0.35706657710208306</c:v>
                </c:pt>
                <c:pt idx="57">
                  <c:v>0.3532625272891155</c:v>
                </c:pt>
                <c:pt idx="58">
                  <c:v>0.34925356765871113</c:v>
                </c:pt>
                <c:pt idx="59">
                  <c:v>0.35535678178409741</c:v>
                </c:pt>
                <c:pt idx="60">
                  <c:v>0.3562562116590699</c:v>
                </c:pt>
                <c:pt idx="61">
                  <c:v>0.35625254889596392</c:v>
                </c:pt>
                <c:pt idx="62">
                  <c:v>0.35124779810414197</c:v>
                </c:pt>
                <c:pt idx="63">
                  <c:v>0.35124659435562638</c:v>
                </c:pt>
                <c:pt idx="64">
                  <c:v>0.35875063400457857</c:v>
                </c:pt>
                <c:pt idx="65">
                  <c:v>0.3620517003259115</c:v>
                </c:pt>
                <c:pt idx="66">
                  <c:v>0.37025359835503768</c:v>
                </c:pt>
                <c:pt idx="67">
                  <c:v>0.36524891964043987</c:v>
                </c:pt>
                <c:pt idx="68">
                  <c:v>0.36324631085462056</c:v>
                </c:pt>
                <c:pt idx="69">
                  <c:v>0.3677430630519487</c:v>
                </c:pt>
                <c:pt idx="70">
                  <c:v>0.36624081587893409</c:v>
                </c:pt>
                <c:pt idx="71">
                  <c:v>0.36523890627088268</c:v>
                </c:pt>
                <c:pt idx="72">
                  <c:v>0.36123009862446631</c:v>
                </c:pt>
                <c:pt idx="73">
                  <c:v>0.3566259445196443</c:v>
                </c:pt>
                <c:pt idx="74">
                  <c:v>0.35772541601557145</c:v>
                </c:pt>
                <c:pt idx="75">
                  <c:v>0.35132017668607379</c:v>
                </c:pt>
                <c:pt idx="76">
                  <c:v>0.35021828674036559</c:v>
                </c:pt>
                <c:pt idx="77">
                  <c:v>0.3502146864002248</c:v>
                </c:pt>
                <c:pt idx="78">
                  <c:v>0.34821226638156133</c:v>
                </c:pt>
                <c:pt idx="79">
                  <c:v>0.34420864702233889</c:v>
                </c:pt>
                <c:pt idx="80">
                  <c:v>0.34410740720434235</c:v>
                </c:pt>
                <c:pt idx="81">
                  <c:v>0.34270538850338389</c:v>
                </c:pt>
                <c:pt idx="82">
                  <c:v>0.34270186548240744</c:v>
                </c:pt>
                <c:pt idx="83">
                  <c:v>0.34420157009755714</c:v>
                </c:pt>
                <c:pt idx="84">
                  <c:v>0.34119864304560876</c:v>
                </c:pt>
                <c:pt idx="85">
                  <c:v>0.33719515747127621</c:v>
                </c:pt>
                <c:pt idx="86">
                  <c:v>0.34059595931906028</c:v>
                </c:pt>
                <c:pt idx="87">
                  <c:v>0.34219336268782019</c:v>
                </c:pt>
                <c:pt idx="88">
                  <c:v>0.34069134719499988</c:v>
                </c:pt>
                <c:pt idx="89">
                  <c:v>0.34018990052666387</c:v>
                </c:pt>
                <c:pt idx="90">
                  <c:v>0.33918817974355636</c:v>
                </c:pt>
                <c:pt idx="91">
                  <c:v>0.33648552797946818</c:v>
                </c:pt>
                <c:pt idx="92">
                  <c:v>0.33818298942578517</c:v>
                </c:pt>
                <c:pt idx="93">
                  <c:v>0.33818183064181767</c:v>
                </c:pt>
                <c:pt idx="94">
                  <c:v>0.33918120639793858</c:v>
                </c:pt>
                <c:pt idx="95">
                  <c:v>0.34118110640922411</c:v>
                </c:pt>
                <c:pt idx="96">
                  <c:v>0.34127999013178184</c:v>
                </c:pt>
                <c:pt idx="97">
                  <c:v>0.34127648201638516</c:v>
                </c:pt>
                <c:pt idx="98">
                  <c:v>0.33827377077265719</c:v>
                </c:pt>
                <c:pt idx="99">
                  <c:v>0.3390730201369877</c:v>
                </c:pt>
                <c:pt idx="100">
                  <c:v>0.33817140194345074</c:v>
                </c:pt>
                <c:pt idx="101">
                  <c:v>0.33566898404333684</c:v>
                </c:pt>
                <c:pt idx="102">
                  <c:v>0.32916007099342831</c:v>
                </c:pt>
                <c:pt idx="103">
                  <c:v>0.33025947460931476</c:v>
                </c:pt>
                <c:pt idx="104">
                  <c:v>0.32515589666278355</c:v>
                </c:pt>
                <c:pt idx="105">
                  <c:v>0.32265138095613355</c:v>
                </c:pt>
                <c:pt idx="106">
                  <c:v>0.3212496231121344</c:v>
                </c:pt>
                <c:pt idx="107">
                  <c:v>0.32515032634951091</c:v>
                </c:pt>
                <c:pt idx="108">
                  <c:v>0.32915104876895562</c:v>
                </c:pt>
                <c:pt idx="109">
                  <c:v>0.33015037671268077</c:v>
                </c:pt>
                <c:pt idx="110">
                  <c:v>0.33024702778634324</c:v>
                </c:pt>
                <c:pt idx="111">
                  <c:v>0.32224236049487615</c:v>
                </c:pt>
                <c:pt idx="112">
                  <c:v>0.31863967766692253</c:v>
                </c:pt>
                <c:pt idx="113">
                  <c:v>0.32574167531768955</c:v>
                </c:pt>
                <c:pt idx="114">
                  <c:v>0.31663663087496657</c:v>
                </c:pt>
                <c:pt idx="115">
                  <c:v>0.31663337638799904</c:v>
                </c:pt>
                <c:pt idx="116">
                  <c:v>0.30532756836760566</c:v>
                </c:pt>
                <c:pt idx="117">
                  <c:v>0.29812353749327636</c:v>
                </c:pt>
                <c:pt idx="118">
                  <c:v>0.30272440729066741</c:v>
                </c:pt>
                <c:pt idx="119">
                  <c:v>0.30512434862152726</c:v>
                </c:pt>
                <c:pt idx="120">
                  <c:v>0.30962300091817296</c:v>
                </c:pt>
                <c:pt idx="121">
                  <c:v>0.31302327971632665</c:v>
                </c:pt>
                <c:pt idx="122">
                  <c:v>0.31672365238483519</c:v>
                </c:pt>
                <c:pt idx="123">
                  <c:v>0.31612233501320719</c:v>
                </c:pt>
                <c:pt idx="124">
                  <c:v>0.3217234007564545</c:v>
                </c:pt>
                <c:pt idx="125">
                  <c:v>0.32762229736442711</c:v>
                </c:pt>
                <c:pt idx="126">
                  <c:v>0.3275211379551341</c:v>
                </c:pt>
                <c:pt idx="127">
                  <c:v>0.31521442715506315</c:v>
                </c:pt>
                <c:pt idx="128">
                  <c:v>0.31211223213826889</c:v>
                </c:pt>
                <c:pt idx="129">
                  <c:v>0.30820766158041507</c:v>
                </c:pt>
                <c:pt idx="130">
                  <c:v>0.30700619049739808</c:v>
                </c:pt>
                <c:pt idx="131">
                  <c:v>0.30500445357999312</c:v>
                </c:pt>
                <c:pt idx="132">
                  <c:v>0.30609958719446395</c:v>
                </c:pt>
                <c:pt idx="133">
                  <c:v>0.30509821654916308</c:v>
                </c:pt>
                <c:pt idx="134">
                  <c:v>0.30369672532690206</c:v>
                </c:pt>
                <c:pt idx="135">
                  <c:v>0.304095811008948</c:v>
                </c:pt>
                <c:pt idx="136">
                  <c:v>0.30199411460420889</c:v>
                </c:pt>
                <c:pt idx="137">
                  <c:v>0.30609224697854148</c:v>
                </c:pt>
                <c:pt idx="138">
                  <c:v>0.30859194349001245</c:v>
                </c:pt>
                <c:pt idx="139">
                  <c:v>0.30729050336743013</c:v>
                </c:pt>
                <c:pt idx="140">
                  <c:v>0.30788962540465548</c:v>
                </c:pt>
                <c:pt idx="141">
                  <c:v>0.31008920374354265</c:v>
                </c:pt>
                <c:pt idx="142">
                  <c:v>0.30808546206310655</c:v>
                </c:pt>
                <c:pt idx="143">
                  <c:v>0.30868457111537406</c:v>
                </c:pt>
                <c:pt idx="144">
                  <c:v>0.3095837572493928</c:v>
                </c:pt>
                <c:pt idx="145">
                  <c:v>0.31168325785655071</c:v>
                </c:pt>
                <c:pt idx="146">
                  <c:v>0.31508308697841553</c:v>
                </c:pt>
                <c:pt idx="147">
                  <c:v>0.31507984900282948</c:v>
                </c:pt>
                <c:pt idx="148">
                  <c:v>0.32058014503625903</c:v>
                </c:pt>
                <c:pt idx="149">
                  <c:v>0.32207941684250913</c:v>
                </c:pt>
                <c:pt idx="150">
                  <c:v>0.31757721911834724</c:v>
                </c:pt>
                <c:pt idx="151">
                  <c:v>0.32007673072311854</c:v>
                </c:pt>
                <c:pt idx="152">
                  <c:v>0.32007344150883937</c:v>
                </c:pt>
                <c:pt idx="153">
                  <c:v>0.32017236772695196</c:v>
                </c:pt>
                <c:pt idx="154">
                  <c:v>0.3180708034322709</c:v>
                </c:pt>
                <c:pt idx="155">
                  <c:v>0.31566918776718184</c:v>
                </c:pt>
                <c:pt idx="156">
                  <c:v>0.31356765329506026</c:v>
                </c:pt>
                <c:pt idx="157">
                  <c:v>0.31406453380831678</c:v>
                </c:pt>
                <c:pt idx="158">
                  <c:v>0.3101626698545254</c:v>
                </c:pt>
                <c:pt idx="159">
                  <c:v>0.31326222331833037</c:v>
                </c:pt>
                <c:pt idx="160">
                  <c:v>0.31206091600072616</c:v>
                </c:pt>
                <c:pt idx="161">
                  <c:v>0.32456224481407397</c:v>
                </c:pt>
                <c:pt idx="162">
                  <c:v>0.32905972659421057</c:v>
                </c:pt>
                <c:pt idx="163">
                  <c:v>0.32905859947661908</c:v>
                </c:pt>
                <c:pt idx="164">
                  <c:v>0.32905747236674898</c:v>
                </c:pt>
                <c:pt idx="165">
                  <c:v>0.32805617400239762</c:v>
                </c:pt>
                <c:pt idx="166">
                  <c:v>0.3225541272336796</c:v>
                </c:pt>
                <c:pt idx="167">
                  <c:v>0.33455041170587352</c:v>
                </c:pt>
                <c:pt idx="168">
                  <c:v>0.33804978130341107</c:v>
                </c:pt>
                <c:pt idx="169">
                  <c:v>0.33504819186321322</c:v>
                </c:pt>
                <c:pt idx="170">
                  <c:v>0.33404461554796699</c:v>
                </c:pt>
                <c:pt idx="171">
                  <c:v>0.33714387488782788</c:v>
                </c:pt>
                <c:pt idx="172">
                  <c:v>0.34204334110829115</c:v>
                </c:pt>
                <c:pt idx="173">
                  <c:v>0.33274102286583279</c:v>
                </c:pt>
                <c:pt idx="174">
                  <c:v>0.33544020687411163</c:v>
                </c:pt>
                <c:pt idx="175">
                  <c:v>0.33803704515563349</c:v>
                </c:pt>
                <c:pt idx="176">
                  <c:v>0.34093619528100588</c:v>
                </c:pt>
                <c:pt idx="177">
                  <c:v>0.3474356954481625</c:v>
                </c:pt>
                <c:pt idx="178">
                  <c:v>0.35053481338900094</c:v>
                </c:pt>
                <c:pt idx="179">
                  <c:v>0.35153370871179429</c:v>
                </c:pt>
                <c:pt idx="180">
                  <c:v>0.35093004538059769</c:v>
                </c:pt>
                <c:pt idx="181">
                  <c:v>0.34732854755185355</c:v>
                </c:pt>
                <c:pt idx="182">
                  <c:v>0.34442712953417559</c:v>
                </c:pt>
                <c:pt idx="183">
                  <c:v>0.34142572385590697</c:v>
                </c:pt>
                <c:pt idx="184">
                  <c:v>0.33812431715979574</c:v>
                </c:pt>
                <c:pt idx="185">
                  <c:v>0.33351941722634537</c:v>
                </c:pt>
                <c:pt idx="186">
                  <c:v>0.33301824757520959</c:v>
                </c:pt>
                <c:pt idx="187">
                  <c:v>0.329516927239413</c:v>
                </c:pt>
                <c:pt idx="188">
                  <c:v>0.32061537196988898</c:v>
                </c:pt>
                <c:pt idx="189">
                  <c:v>0.32001205524865661</c:v>
                </c:pt>
                <c:pt idx="190">
                  <c:v>0.31401075379293808</c:v>
                </c:pt>
                <c:pt idx="191">
                  <c:v>0.31300964755763022</c:v>
                </c:pt>
                <c:pt idx="192">
                  <c:v>0.31350858927641856</c:v>
                </c:pt>
                <c:pt idx="193">
                  <c:v>0.31750761148383694</c:v>
                </c:pt>
                <c:pt idx="194">
                  <c:v>0.31500431512760446</c:v>
                </c:pt>
                <c:pt idx="195">
                  <c:v>0.31080319318349159</c:v>
                </c:pt>
                <c:pt idx="196">
                  <c:v>0.31260214111055556</c:v>
                </c:pt>
                <c:pt idx="197">
                  <c:v>0.31500107877081773</c:v>
                </c:pt>
                <c:pt idx="198">
                  <c:v>0.31899672263641127</c:v>
                </c:pt>
                <c:pt idx="199">
                  <c:v>0.32749551376008545</c:v>
                </c:pt>
                <c:pt idx="200">
                  <c:v>0.32599441790380301</c:v>
                </c:pt>
                <c:pt idx="201">
                  <c:v>0.32719327685047567</c:v>
                </c:pt>
                <c:pt idx="202">
                  <c:v>0.32649217313283585</c:v>
                </c:pt>
                <c:pt idx="203">
                  <c:v>0.32938871956439847</c:v>
                </c:pt>
                <c:pt idx="204">
                  <c:v>0.33118752375766664</c:v>
                </c:pt>
                <c:pt idx="205">
                  <c:v>0.3325863320685451</c:v>
                </c:pt>
                <c:pt idx="206">
                  <c:v>0.33298517531753719</c:v>
                </c:pt>
                <c:pt idx="207">
                  <c:v>0.33338401583485727</c:v>
                </c:pt>
                <c:pt idx="208">
                  <c:v>0.33498049771074973</c:v>
                </c:pt>
                <c:pt idx="209">
                  <c:v>0.33447938140799544</c:v>
                </c:pt>
                <c:pt idx="210">
                  <c:v>0.3370780668381167</c:v>
                </c:pt>
                <c:pt idx="211">
                  <c:v>0.33497705636600233</c:v>
                </c:pt>
                <c:pt idx="212">
                  <c:v>0.33577585173669017</c:v>
                </c:pt>
                <c:pt idx="213">
                  <c:v>0.33597353633104243</c:v>
                </c:pt>
                <c:pt idx="214">
                  <c:v>0.33697230364627567</c:v>
                </c:pt>
                <c:pt idx="215">
                  <c:v>0.33427138087492508</c:v>
                </c:pt>
                <c:pt idx="216">
                  <c:v>0.33017060124783415</c:v>
                </c:pt>
                <c:pt idx="217">
                  <c:v>0.3274697202655919</c:v>
                </c:pt>
                <c:pt idx="218">
                  <c:v>0.32696528793176072</c:v>
                </c:pt>
                <c:pt idx="219">
                  <c:v>0.32906393819855356</c:v>
                </c:pt>
                <c:pt idx="220">
                  <c:v>0.33026267579348911</c:v>
                </c:pt>
                <c:pt idx="221">
                  <c:v>0.33796064841764994</c:v>
                </c:pt>
                <c:pt idx="222">
                  <c:v>0.33246015032444742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0A-43D1-B7D9-D00BF7C659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20000"/>
        <c:axId val="133534080"/>
      </c:lineChart>
      <c:catAx>
        <c:axId val="1335200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3534080"/>
        <c:crosses val="autoZero"/>
        <c:auto val="1"/>
        <c:lblAlgn val="ctr"/>
        <c:lblOffset val="100"/>
        <c:noMultiLvlLbl val="0"/>
      </c:catAx>
      <c:valAx>
        <c:axId val="13353408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35200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dolares.xlsm]g29-41!Tabla dinámica4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29-41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'g29-41'!$B$1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'g29-41'!$A$2:$A$225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'g29-41'!$B$2:$B$225</c:f>
              <c:numCache>
                <c:formatCode>0.00%</c:formatCode>
                <c:ptCount val="223"/>
                <c:pt idx="0">
                  <c:v>0.10157508163756768</c:v>
                </c:pt>
                <c:pt idx="1">
                  <c:v>0.11047068378396457</c:v>
                </c:pt>
                <c:pt idx="2">
                  <c:v>0.10375366682928688</c:v>
                </c:pt>
                <c:pt idx="3">
                  <c:v>8.3607358549280975E-2</c:v>
                </c:pt>
                <c:pt idx="4">
                  <c:v>8.8031091786280546E-2</c:v>
                </c:pt>
                <c:pt idx="5">
                  <c:v>8.7392175878021172E-2</c:v>
                </c:pt>
                <c:pt idx="6">
                  <c:v>9.5888866448541221E-2</c:v>
                </c:pt>
                <c:pt idx="7">
                  <c:v>8.8877133739933833E-2</c:v>
                </c:pt>
                <c:pt idx="8">
                  <c:v>8.6912132689960342E-2</c:v>
                </c:pt>
                <c:pt idx="9">
                  <c:v>8.3410621243769079E-2</c:v>
                </c:pt>
                <c:pt idx="10">
                  <c:v>9.1403055588593574E-2</c:v>
                </c:pt>
                <c:pt idx="11">
                  <c:v>8.793292056361246E-2</c:v>
                </c:pt>
                <c:pt idx="12">
                  <c:v>9.2152380706093717E-2</c:v>
                </c:pt>
                <c:pt idx="13">
                  <c:v>8.8565463224291485E-2</c:v>
                </c:pt>
                <c:pt idx="14">
                  <c:v>7.6474159657646201E-2</c:v>
                </c:pt>
                <c:pt idx="15">
                  <c:v>8.3190018966398271E-2</c:v>
                </c:pt>
                <c:pt idx="16">
                  <c:v>7.9348421499182642E-2</c:v>
                </c:pt>
                <c:pt idx="17">
                  <c:v>8.1244993237377439E-2</c:v>
                </c:pt>
                <c:pt idx="18">
                  <c:v>9.5816269998499626E-2</c:v>
                </c:pt>
                <c:pt idx="19">
                  <c:v>9.4292762955801024E-2</c:v>
                </c:pt>
                <c:pt idx="20">
                  <c:v>9.4731579967095525E-2</c:v>
                </c:pt>
                <c:pt idx="21">
                  <c:v>0.10522911492246134</c:v>
                </c:pt>
                <c:pt idx="22">
                  <c:v>0.10268956941753737</c:v>
                </c:pt>
                <c:pt idx="23">
                  <c:v>0.11512392985606795</c:v>
                </c:pt>
                <c:pt idx="24">
                  <c:v>9.5950520727334454E-2</c:v>
                </c:pt>
                <c:pt idx="25">
                  <c:v>9.990481391945577E-2</c:v>
                </c:pt>
                <c:pt idx="26">
                  <c:v>0.10638683949712235</c:v>
                </c:pt>
                <c:pt idx="27">
                  <c:v>0.13713535185325593</c:v>
                </c:pt>
                <c:pt idx="28">
                  <c:v>0.15169866020457595</c:v>
                </c:pt>
                <c:pt idx="29">
                  <c:v>0.13902664302134038</c:v>
                </c:pt>
                <c:pt idx="30">
                  <c:v>0.11286877659516209</c:v>
                </c:pt>
                <c:pt idx="31">
                  <c:v>0.14516949889878261</c:v>
                </c:pt>
                <c:pt idx="32">
                  <c:v>0.13346779835001549</c:v>
                </c:pt>
                <c:pt idx="33">
                  <c:v>0.13294337077157015</c:v>
                </c:pt>
                <c:pt idx="34">
                  <c:v>0.11509250721201236</c:v>
                </c:pt>
                <c:pt idx="35">
                  <c:v>0.110172849846154</c:v>
                </c:pt>
                <c:pt idx="36">
                  <c:v>0.1173087664680334</c:v>
                </c:pt>
                <c:pt idx="37">
                  <c:v>0.12176341479434571</c:v>
                </c:pt>
                <c:pt idx="38">
                  <c:v>0.11289103796949007</c:v>
                </c:pt>
                <c:pt idx="39">
                  <c:v>0.11528198353074315</c:v>
                </c:pt>
                <c:pt idx="40">
                  <c:v>0.11569925574686835</c:v>
                </c:pt>
                <c:pt idx="41">
                  <c:v>0.11086679907217339</c:v>
                </c:pt>
                <c:pt idx="42">
                  <c:v>0.1087563534832835</c:v>
                </c:pt>
                <c:pt idx="43">
                  <c:v>0.1063427801463448</c:v>
                </c:pt>
                <c:pt idx="44">
                  <c:v>0.10099007434201179</c:v>
                </c:pt>
                <c:pt idx="45">
                  <c:v>0.10166159179183021</c:v>
                </c:pt>
                <c:pt idx="46">
                  <c:v>9.1074240483608015E-2</c:v>
                </c:pt>
                <c:pt idx="47">
                  <c:v>9.5066295332293549E-2</c:v>
                </c:pt>
                <c:pt idx="48">
                  <c:v>9.0624343914979977E-2</c:v>
                </c:pt>
                <c:pt idx="49">
                  <c:v>9.5600662634242772E-2</c:v>
                </c:pt>
                <c:pt idx="50">
                  <c:v>9.8537961749969372E-2</c:v>
                </c:pt>
                <c:pt idx="51">
                  <c:v>0.10452825250709774</c:v>
                </c:pt>
                <c:pt idx="52">
                  <c:v>0.10351617226425536</c:v>
                </c:pt>
                <c:pt idx="53">
                  <c:v>9.4024987273803096E-2</c:v>
                </c:pt>
                <c:pt idx="54">
                  <c:v>9.8620595911964259E-2</c:v>
                </c:pt>
                <c:pt idx="55">
                  <c:v>9.5395490279681583E-2</c:v>
                </c:pt>
                <c:pt idx="56">
                  <c:v>9.5384479988118054E-2</c:v>
                </c:pt>
                <c:pt idx="57">
                  <c:v>9.4657238591638049E-2</c:v>
                </c:pt>
                <c:pt idx="58">
                  <c:v>9.2590892506177747E-2</c:v>
                </c:pt>
                <c:pt idx="59">
                  <c:v>8.9777992812799023E-2</c:v>
                </c:pt>
                <c:pt idx="60">
                  <c:v>8.9976899411204458E-2</c:v>
                </c:pt>
                <c:pt idx="61">
                  <c:v>9.7279811946877404E-2</c:v>
                </c:pt>
                <c:pt idx="62">
                  <c:v>9.3246026446545893E-2</c:v>
                </c:pt>
                <c:pt idx="63">
                  <c:v>8.9011333649370084E-2</c:v>
                </c:pt>
                <c:pt idx="64">
                  <c:v>8.6398170317073808E-2</c:v>
                </c:pt>
                <c:pt idx="65">
                  <c:v>8.218587604987404E-2</c:v>
                </c:pt>
                <c:pt idx="66">
                  <c:v>9.0501519022236909E-2</c:v>
                </c:pt>
                <c:pt idx="67">
                  <c:v>7.774002444882222E-2</c:v>
                </c:pt>
                <c:pt idx="68">
                  <c:v>8.51576281750549E-2</c:v>
                </c:pt>
                <c:pt idx="69">
                  <c:v>8.5102824510250696E-2</c:v>
                </c:pt>
                <c:pt idx="70">
                  <c:v>9.2432783890353476E-2</c:v>
                </c:pt>
                <c:pt idx="71">
                  <c:v>9.2126942242221344E-2</c:v>
                </c:pt>
                <c:pt idx="72">
                  <c:v>8.5086278019175787E-2</c:v>
                </c:pt>
                <c:pt idx="73">
                  <c:v>8.4961648901806297E-2</c:v>
                </c:pt>
                <c:pt idx="74">
                  <c:v>9.4503555582779841E-2</c:v>
                </c:pt>
                <c:pt idx="75">
                  <c:v>8.3448207649646833E-2</c:v>
                </c:pt>
                <c:pt idx="76">
                  <c:v>8.5939062307438085E-2</c:v>
                </c:pt>
                <c:pt idx="77">
                  <c:v>8.7912468541521904E-2</c:v>
                </c:pt>
                <c:pt idx="78">
                  <c:v>8.4996096456349368E-2</c:v>
                </c:pt>
                <c:pt idx="79">
                  <c:v>8.134864578373513E-2</c:v>
                </c:pt>
                <c:pt idx="80">
                  <c:v>8.0414695317967855E-2</c:v>
                </c:pt>
                <c:pt idx="81">
                  <c:v>8.5321609405744514E-2</c:v>
                </c:pt>
                <c:pt idx="82">
                  <c:v>8.3789335542608923E-2</c:v>
                </c:pt>
                <c:pt idx="83">
                  <c:v>9.4330362526293898E-2</c:v>
                </c:pt>
                <c:pt idx="84">
                  <c:v>9.1808724851490275E-2</c:v>
                </c:pt>
                <c:pt idx="85">
                  <c:v>9.8309125870656211E-2</c:v>
                </c:pt>
                <c:pt idx="86">
                  <c:v>9.9817447932902037E-2</c:v>
                </c:pt>
                <c:pt idx="87">
                  <c:v>9.9479494343490293E-2</c:v>
                </c:pt>
                <c:pt idx="88">
                  <c:v>9.7258726756857206E-2</c:v>
                </c:pt>
                <c:pt idx="89">
                  <c:v>9.2839601767787328E-2</c:v>
                </c:pt>
                <c:pt idx="90">
                  <c:v>9.4729931947468038E-2</c:v>
                </c:pt>
                <c:pt idx="91">
                  <c:v>9.68203600800846E-2</c:v>
                </c:pt>
                <c:pt idx="92">
                  <c:v>9.5687555681968572E-2</c:v>
                </c:pt>
                <c:pt idx="93">
                  <c:v>9.366629355663042E-2</c:v>
                </c:pt>
                <c:pt idx="94">
                  <c:v>9.0635237821189429E-2</c:v>
                </c:pt>
                <c:pt idx="95">
                  <c:v>9.2244224232489291E-2</c:v>
                </c:pt>
                <c:pt idx="96">
                  <c:v>9.9365875823882843E-2</c:v>
                </c:pt>
                <c:pt idx="97">
                  <c:v>9.5816918275862528E-2</c:v>
                </c:pt>
                <c:pt idx="98">
                  <c:v>9.2793059689657065E-2</c:v>
                </c:pt>
                <c:pt idx="99">
                  <c:v>9.5283667954666029E-2</c:v>
                </c:pt>
                <c:pt idx="100">
                  <c:v>9.1962408013531283E-2</c:v>
                </c:pt>
                <c:pt idx="101">
                  <c:v>9.9578642433751252E-2</c:v>
                </c:pt>
                <c:pt idx="102">
                  <c:v>9.6996148951943473E-2</c:v>
                </c:pt>
                <c:pt idx="103">
                  <c:v>9.4877763711168683E-2</c:v>
                </c:pt>
                <c:pt idx="104">
                  <c:v>9.3566952451772267E-2</c:v>
                </c:pt>
                <c:pt idx="105">
                  <c:v>9.804376694746908E-2</c:v>
                </c:pt>
                <c:pt idx="106">
                  <c:v>9.2010745640974334E-2</c:v>
                </c:pt>
                <c:pt idx="107">
                  <c:v>8.5387528121191103E-2</c:v>
                </c:pt>
                <c:pt idx="108">
                  <c:v>8.9395173292685148E-2</c:v>
                </c:pt>
                <c:pt idx="109">
                  <c:v>8.5366889711015859E-2</c:v>
                </c:pt>
                <c:pt idx="110">
                  <c:v>8.4335491357536096E-2</c:v>
                </c:pt>
                <c:pt idx="111">
                  <c:v>8.8811643243135452E-2</c:v>
                </c:pt>
                <c:pt idx="112">
                  <c:v>8.8393559254970722E-2</c:v>
                </c:pt>
                <c:pt idx="113">
                  <c:v>8.2270062765029406E-2</c:v>
                </c:pt>
                <c:pt idx="114">
                  <c:v>6.3594380708153819E-2</c:v>
                </c:pt>
                <c:pt idx="115">
                  <c:v>7.921088911602886E-2</c:v>
                </c:pt>
                <c:pt idx="116">
                  <c:v>6.4350786721931397E-2</c:v>
                </c:pt>
                <c:pt idx="117">
                  <c:v>5.6900401758351427E-2</c:v>
                </c:pt>
                <c:pt idx="118">
                  <c:v>5.8097542552336345E-2</c:v>
                </c:pt>
                <c:pt idx="119">
                  <c:v>5.4103911982526454E-2</c:v>
                </c:pt>
                <c:pt idx="120">
                  <c:v>5.3600902678148543E-2</c:v>
                </c:pt>
                <c:pt idx="121">
                  <c:v>6.6131993670978551E-2</c:v>
                </c:pt>
                <c:pt idx="122">
                  <c:v>6.2116714493549219E-2</c:v>
                </c:pt>
                <c:pt idx="123">
                  <c:v>5.9504247613416772E-2</c:v>
                </c:pt>
                <c:pt idx="124">
                  <c:v>5.4587443090758969E-2</c:v>
                </c:pt>
                <c:pt idx="125">
                  <c:v>5.2567959098097583E-2</c:v>
                </c:pt>
                <c:pt idx="126">
                  <c:v>4.8556649130521434E-2</c:v>
                </c:pt>
                <c:pt idx="127">
                  <c:v>4.3104719291219173E-2</c:v>
                </c:pt>
                <c:pt idx="128">
                  <c:v>4.8504476298261101E-2</c:v>
                </c:pt>
                <c:pt idx="129">
                  <c:v>4.4049866511765678E-2</c:v>
                </c:pt>
                <c:pt idx="130">
                  <c:v>4.2939901952240844E-2</c:v>
                </c:pt>
                <c:pt idx="131">
                  <c:v>5.3952371070176863E-2</c:v>
                </c:pt>
                <c:pt idx="132">
                  <c:v>5.6805330520182107E-2</c:v>
                </c:pt>
                <c:pt idx="133">
                  <c:v>5.7892963810026454E-2</c:v>
                </c:pt>
                <c:pt idx="134">
                  <c:v>4.7862364581305106E-2</c:v>
                </c:pt>
                <c:pt idx="135">
                  <c:v>4.4943526087766861E-2</c:v>
                </c:pt>
                <c:pt idx="136">
                  <c:v>4.7240736800055416E-2</c:v>
                </c:pt>
                <c:pt idx="137">
                  <c:v>5.183188993131721E-2</c:v>
                </c:pt>
                <c:pt idx="138">
                  <c:v>6.4853471985991173E-2</c:v>
                </c:pt>
                <c:pt idx="139">
                  <c:v>5.8027163240740809E-2</c:v>
                </c:pt>
                <c:pt idx="140">
                  <c:v>5.9813958350176721E-2</c:v>
                </c:pt>
                <c:pt idx="141">
                  <c:v>5.8402138104086843E-2</c:v>
                </c:pt>
                <c:pt idx="142">
                  <c:v>6.2382316422043393E-2</c:v>
                </c:pt>
                <c:pt idx="143">
                  <c:v>6.4273924505807489E-2</c:v>
                </c:pt>
                <c:pt idx="144">
                  <c:v>6.0756635545618276E-2</c:v>
                </c:pt>
                <c:pt idx="145">
                  <c:v>6.4262965376803149E-2</c:v>
                </c:pt>
                <c:pt idx="146">
                  <c:v>7.0253818439259041E-2</c:v>
                </c:pt>
                <c:pt idx="147">
                  <c:v>6.7719304441805683E-2</c:v>
                </c:pt>
                <c:pt idx="148">
                  <c:v>6.5207183559416904E-2</c:v>
                </c:pt>
                <c:pt idx="149">
                  <c:v>6.1694016988932121E-2</c:v>
                </c:pt>
                <c:pt idx="150">
                  <c:v>7.019410046478991E-2</c:v>
                </c:pt>
                <c:pt idx="151">
                  <c:v>6.1170373710700499E-2</c:v>
                </c:pt>
                <c:pt idx="152">
                  <c:v>7.0752801498898954E-2</c:v>
                </c:pt>
                <c:pt idx="153">
                  <c:v>3.8388966660144519E-2</c:v>
                </c:pt>
                <c:pt idx="154">
                  <c:v>6.0118269619286624E-2</c:v>
                </c:pt>
                <c:pt idx="155">
                  <c:v>6.7717323215718883E-2</c:v>
                </c:pt>
                <c:pt idx="156">
                  <c:v>6.5601153152006042E-2</c:v>
                </c:pt>
                <c:pt idx="157">
                  <c:v>7.3084103450575977E-2</c:v>
                </c:pt>
                <c:pt idx="158">
                  <c:v>6.8763846728130129E-2</c:v>
                </c:pt>
                <c:pt idx="159">
                  <c:v>6.995966540257087E-2</c:v>
                </c:pt>
                <c:pt idx="160">
                  <c:v>6.5542569877261869E-2</c:v>
                </c:pt>
                <c:pt idx="161">
                  <c:v>6.5043562901719587E-2</c:v>
                </c:pt>
                <c:pt idx="162">
                  <c:v>6.9630503395316234E-2</c:v>
                </c:pt>
                <c:pt idx="163">
                  <c:v>6.8014574596720889E-2</c:v>
                </c:pt>
                <c:pt idx="164">
                  <c:v>6.5502390169073055E-2</c:v>
                </c:pt>
                <c:pt idx="165">
                  <c:v>7.3496295544528023E-2</c:v>
                </c:pt>
                <c:pt idx="166">
                  <c:v>6.9885750749789477E-2</c:v>
                </c:pt>
                <c:pt idx="167">
                  <c:v>5.943771980959861E-2</c:v>
                </c:pt>
                <c:pt idx="168">
                  <c:v>5.7931666507750446E-2</c:v>
                </c:pt>
                <c:pt idx="169">
                  <c:v>5.4511145131518057E-2</c:v>
                </c:pt>
                <c:pt idx="170">
                  <c:v>6.1387251257222053E-2</c:v>
                </c:pt>
                <c:pt idx="171">
                  <c:v>5.9379786087945641E-2</c:v>
                </c:pt>
                <c:pt idx="172">
                  <c:v>6.5780359563426649E-2</c:v>
                </c:pt>
                <c:pt idx="173">
                  <c:v>7.3370141509268627E-2</c:v>
                </c:pt>
                <c:pt idx="174">
                  <c:v>7.1559045197253202E-2</c:v>
                </c:pt>
                <c:pt idx="175">
                  <c:v>7.0332869497400863E-2</c:v>
                </c:pt>
                <c:pt idx="176">
                  <c:v>6.6323148672167154E-2</c:v>
                </c:pt>
                <c:pt idx="177">
                  <c:v>7.6324540218781156E-2</c:v>
                </c:pt>
                <c:pt idx="178">
                  <c:v>7.0313116792436847E-2</c:v>
                </c:pt>
                <c:pt idx="179">
                  <c:v>7.2308548633930603E-2</c:v>
                </c:pt>
                <c:pt idx="180">
                  <c:v>7.277760690192131E-2</c:v>
                </c:pt>
                <c:pt idx="181">
                  <c:v>5.7458039828314433E-2</c:v>
                </c:pt>
                <c:pt idx="182">
                  <c:v>6.3244978746512026E-2</c:v>
                </c:pt>
                <c:pt idx="183">
                  <c:v>6.1232058683786006E-2</c:v>
                </c:pt>
                <c:pt idx="184">
                  <c:v>6.3222151447813346E-2</c:v>
                </c:pt>
                <c:pt idx="185">
                  <c:v>5.9675329975988012E-2</c:v>
                </c:pt>
                <c:pt idx="186">
                  <c:v>5.616270902805387E-2</c:v>
                </c:pt>
                <c:pt idx="187">
                  <c:v>4.9648963369861965E-2</c:v>
                </c:pt>
                <c:pt idx="188">
                  <c:v>5.2636821770172981E-2</c:v>
                </c:pt>
                <c:pt idx="189">
                  <c:v>6.0109094524288142E-2</c:v>
                </c:pt>
                <c:pt idx="190">
                  <c:v>5.4096570353157514E-2</c:v>
                </c:pt>
                <c:pt idx="191">
                  <c:v>5.6587095647844587E-2</c:v>
                </c:pt>
                <c:pt idx="192">
                  <c:v>5.6578279235956319E-2</c:v>
                </c:pt>
                <c:pt idx="193">
                  <c:v>4.9567820911555982E-2</c:v>
                </c:pt>
                <c:pt idx="194">
                  <c:v>4.6538566328723885E-2</c:v>
                </c:pt>
                <c:pt idx="195">
                  <c:v>5.2029160186629897E-2</c:v>
                </c:pt>
                <c:pt idx="196">
                  <c:v>4.2018939507898367E-2</c:v>
                </c:pt>
                <c:pt idx="197">
                  <c:v>3.9909495836880582E-2</c:v>
                </c:pt>
                <c:pt idx="198">
                  <c:v>3.8971446100499629E-2</c:v>
                </c:pt>
                <c:pt idx="199">
                  <c:v>3.306185670775913E-2</c:v>
                </c:pt>
                <c:pt idx="200">
                  <c:v>3.215211004460955E-2</c:v>
                </c:pt>
                <c:pt idx="201">
                  <c:v>3.1442548189677844E-2</c:v>
                </c:pt>
                <c:pt idx="202">
                  <c:v>2.9532668158422704E-2</c:v>
                </c:pt>
                <c:pt idx="203">
                  <c:v>3.2903248689972631E-2</c:v>
                </c:pt>
                <c:pt idx="204">
                  <c:v>3.2890940711759575E-2</c:v>
                </c:pt>
                <c:pt idx="205">
                  <c:v>2.1883926197377002E-2</c:v>
                </c:pt>
                <c:pt idx="206">
                  <c:v>2.3772459288333991E-2</c:v>
                </c:pt>
                <c:pt idx="207">
                  <c:v>2.0362983406658652E-2</c:v>
                </c:pt>
                <c:pt idx="208">
                  <c:v>2.2333521556059555E-2</c:v>
                </c:pt>
                <c:pt idx="209">
                  <c:v>1.9824966368040597E-2</c:v>
                </c:pt>
                <c:pt idx="210">
                  <c:v>2.281505274085982E-2</c:v>
                </c:pt>
                <c:pt idx="211">
                  <c:v>2.8301593845730555E-2</c:v>
                </c:pt>
                <c:pt idx="212">
                  <c:v>2.7792218954885595E-2</c:v>
                </c:pt>
                <c:pt idx="213">
                  <c:v>2.4274923763564438E-2</c:v>
                </c:pt>
                <c:pt idx="214">
                  <c:v>2.0868241542838173E-2</c:v>
                </c:pt>
                <c:pt idx="215">
                  <c:v>2.8754981632715115E-2</c:v>
                </c:pt>
                <c:pt idx="216">
                  <c:v>3.8241228918440284E-2</c:v>
                </c:pt>
                <c:pt idx="217">
                  <c:v>3.373558075373112E-2</c:v>
                </c:pt>
                <c:pt idx="218">
                  <c:v>2.9399499539643326E-2</c:v>
                </c:pt>
                <c:pt idx="219">
                  <c:v>2.9686333914344776E-2</c:v>
                </c:pt>
                <c:pt idx="220">
                  <c:v>2.9176598218586647E-2</c:v>
                </c:pt>
                <c:pt idx="221">
                  <c:v>2.7665354538750908E-2</c:v>
                </c:pt>
                <c:pt idx="222">
                  <c:v>3.1655881284150977E-2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24-49D0-A83B-CD36996DE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739648"/>
        <c:axId val="133741184"/>
      </c:lineChart>
      <c:catAx>
        <c:axId val="1337396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3741184"/>
        <c:crosses val="autoZero"/>
        <c:auto val="1"/>
        <c:lblAlgn val="ctr"/>
        <c:lblOffset val="100"/>
        <c:noMultiLvlLbl val="0"/>
      </c:catAx>
      <c:valAx>
        <c:axId val="13374118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37396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dolares.xlsm]g29-29!Tabla dinámica1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gd29-al29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'g29-29'!$B$1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'g29-29'!$A$2:$A$205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'g29-29'!$B$2:$B$205</c:f>
              <c:numCache>
                <c:formatCode>General</c:formatCode>
                <c:ptCount val="203"/>
                <c:pt idx="0">
                  <c:v>1.9660515993591532E-2</c:v>
                </c:pt>
                <c:pt idx="1">
                  <c:v>2.3692787890506328E-2</c:v>
                </c:pt>
                <c:pt idx="2">
                  <c:v>2.1675781681582129E-2</c:v>
                </c:pt>
                <c:pt idx="3">
                  <c:v>-5.0407402292501069E-3</c:v>
                </c:pt>
                <c:pt idx="4">
                  <c:v>1.0081202010716606E-3</c:v>
                </c:pt>
                <c:pt idx="5">
                  <c:v>-4.0321467038581527E-3</c:v>
                </c:pt>
                <c:pt idx="6">
                  <c:v>5.0400441866887968E-3</c:v>
                </c:pt>
                <c:pt idx="7">
                  <c:v>-5.0399050012426838E-3</c:v>
                </c:pt>
                <c:pt idx="8">
                  <c:v>2.3182922788025917E-3</c:v>
                </c:pt>
                <c:pt idx="9">
                  <c:v>1.5723635158644722E-2</c:v>
                </c:pt>
                <c:pt idx="10">
                  <c:v>2.0257620941020515E-2</c:v>
                </c:pt>
                <c:pt idx="11">
                  <c:v>1.5117210149929616E-2</c:v>
                </c:pt>
                <c:pt idx="12">
                  <c:v>2.0558838146777836E-2</c:v>
                </c:pt>
                <c:pt idx="13">
                  <c:v>2.0860598028659028E-2</c:v>
                </c:pt>
                <c:pt idx="14">
                  <c:v>1.8844561016013228E-2</c:v>
                </c:pt>
                <c:pt idx="15">
                  <c:v>2.6198823951632921E-2</c:v>
                </c:pt>
                <c:pt idx="16">
                  <c:v>2.3175242932862217E-2</c:v>
                </c:pt>
                <c:pt idx="17">
                  <c:v>2.2771566597653614E-2</c:v>
                </c:pt>
                <c:pt idx="18">
                  <c:v>3.4559432451830185E-2</c:v>
                </c:pt>
                <c:pt idx="19">
                  <c:v>2.9923813730090787E-2</c:v>
                </c:pt>
                <c:pt idx="20">
                  <c:v>2.9719025144213485E-2</c:v>
                </c:pt>
                <c:pt idx="21">
                  <c:v>3.525888717156106E-2</c:v>
                </c:pt>
                <c:pt idx="22">
                  <c:v>1.9140010487676939E-2</c:v>
                </c:pt>
                <c:pt idx="23">
                  <c:v>2.7198211624441138E-2</c:v>
                </c:pt>
                <c:pt idx="24">
                  <c:v>1.601539862571405E-2</c:v>
                </c:pt>
                <c:pt idx="25">
                  <c:v>2.8202439428224479E-2</c:v>
                </c:pt>
                <c:pt idx="26">
                  <c:v>3.1424708187312023E-2</c:v>
                </c:pt>
                <c:pt idx="27">
                  <c:v>5.9423289183222983E-2</c:v>
                </c:pt>
                <c:pt idx="28">
                  <c:v>5.3781628542258764E-2</c:v>
                </c:pt>
                <c:pt idx="29">
                  <c:v>6.4854872530625718E-2</c:v>
                </c:pt>
                <c:pt idx="30">
                  <c:v>2.0140709063319107E-2</c:v>
                </c:pt>
                <c:pt idx="31">
                  <c:v>3.8266291452849932E-2</c:v>
                </c:pt>
                <c:pt idx="32">
                  <c:v>1.2587248599884138E-2</c:v>
                </c:pt>
                <c:pt idx="33">
                  <c:v>1.6111233723239915E-2</c:v>
                </c:pt>
                <c:pt idx="34">
                  <c:v>1.1276930291578169E-2</c:v>
                </c:pt>
                <c:pt idx="35">
                  <c:v>-4.0273640075028094E-4</c:v>
                </c:pt>
                <c:pt idx="36">
                  <c:v>5.5374727608750174E-3</c:v>
                </c:pt>
                <c:pt idx="37">
                  <c:v>1.0067854581563451E-2</c:v>
                </c:pt>
                <c:pt idx="38">
                  <c:v>1.9128396083299415E-3</c:v>
                </c:pt>
                <c:pt idx="39">
                  <c:v>3.0200231673009892E-3</c:v>
                </c:pt>
                <c:pt idx="40">
                  <c:v>1.3489064783915761E-2</c:v>
                </c:pt>
                <c:pt idx="41">
                  <c:v>1.4092664092664187E-2</c:v>
                </c:pt>
                <c:pt idx="42">
                  <c:v>2.2648299826259655E-2</c:v>
                </c:pt>
                <c:pt idx="43">
                  <c:v>1.2582041806850131E-2</c:v>
                </c:pt>
                <c:pt idx="44">
                  <c:v>1.0165448779815234E-2</c:v>
                </c:pt>
                <c:pt idx="45">
                  <c:v>1.6606463354105816E-2</c:v>
                </c:pt>
                <c:pt idx="46">
                  <c:v>1.0064245733035548E-2</c:v>
                </c:pt>
                <c:pt idx="47">
                  <c:v>2.2140730120216223E-2</c:v>
                </c:pt>
                <c:pt idx="48">
                  <c:v>1.8215280266894562E-2</c:v>
                </c:pt>
                <c:pt idx="49">
                  <c:v>1.6703884431946647E-2</c:v>
                </c:pt>
                <c:pt idx="50">
                  <c:v>1.6200308761096072E-2</c:v>
                </c:pt>
                <c:pt idx="51">
                  <c:v>1.9117849758786998E-2</c:v>
                </c:pt>
                <c:pt idx="52">
                  <c:v>2.1431524975190241E-2</c:v>
                </c:pt>
                <c:pt idx="53">
                  <c:v>1.9719396896276054E-2</c:v>
                </c:pt>
                <c:pt idx="54">
                  <c:v>2.3743109151047381E-2</c:v>
                </c:pt>
                <c:pt idx="55">
                  <c:v>2.2535211267605659E-2</c:v>
                </c:pt>
                <c:pt idx="56">
                  <c:v>2.2132186759274586E-2</c:v>
                </c:pt>
                <c:pt idx="57">
                  <c:v>1.9516026789405561E-2</c:v>
                </c:pt>
                <c:pt idx="58">
                  <c:v>1.8105158730158721E-2</c:v>
                </c:pt>
                <c:pt idx="59">
                  <c:v>1.3880239190939447E-2</c:v>
                </c:pt>
                <c:pt idx="60">
                  <c:v>1.7802424910443593E-2</c:v>
                </c:pt>
                <c:pt idx="61">
                  <c:v>2.2125478742457183E-2</c:v>
                </c:pt>
                <c:pt idx="62">
                  <c:v>2.1622031189728275E-2</c:v>
                </c:pt>
                <c:pt idx="63">
                  <c:v>1.9409009505441555E-2</c:v>
                </c:pt>
                <c:pt idx="64">
                  <c:v>1.9106788626845894E-2</c:v>
                </c:pt>
                <c:pt idx="65">
                  <c:v>1.7597873102460249E-2</c:v>
                </c:pt>
                <c:pt idx="66">
                  <c:v>2.1819559228650143E-2</c:v>
                </c:pt>
                <c:pt idx="67">
                  <c:v>1.216633150601909E-2</c:v>
                </c:pt>
                <c:pt idx="68">
                  <c:v>1.739435843755166E-2</c:v>
                </c:pt>
                <c:pt idx="69">
                  <c:v>1.7693557716142894E-2</c:v>
                </c:pt>
                <c:pt idx="70">
                  <c:v>2.4428500605927106E-2</c:v>
                </c:pt>
                <c:pt idx="71">
                  <c:v>2.5634140295794416E-2</c:v>
                </c:pt>
                <c:pt idx="72">
                  <c:v>1.7589634851572389E-2</c:v>
                </c:pt>
                <c:pt idx="73">
                  <c:v>1.5578961861489715E-2</c:v>
                </c:pt>
                <c:pt idx="74">
                  <c:v>2.3619065976429154E-2</c:v>
                </c:pt>
                <c:pt idx="75">
                  <c:v>1.7789189635707803E-2</c:v>
                </c:pt>
                <c:pt idx="76">
                  <c:v>2.1607742717109968E-2</c:v>
                </c:pt>
                <c:pt idx="77">
                  <c:v>2.3414828886869854E-2</c:v>
                </c:pt>
                <c:pt idx="78">
                  <c:v>2.0700952590716359E-2</c:v>
                </c:pt>
                <c:pt idx="79">
                  <c:v>1.6680890895575839E-2</c:v>
                </c:pt>
                <c:pt idx="80">
                  <c:v>1.4369287523400498E-2</c:v>
                </c:pt>
                <c:pt idx="81">
                  <c:v>1.9292498279421921E-2</c:v>
                </c:pt>
                <c:pt idx="82">
                  <c:v>1.9089958158995779E-2</c:v>
                </c:pt>
                <c:pt idx="83">
                  <c:v>2.9136502518649021E-2</c:v>
                </c:pt>
                <c:pt idx="84">
                  <c:v>2.9135700522983754E-2</c:v>
                </c:pt>
                <c:pt idx="85">
                  <c:v>3.164652775866339E-2</c:v>
                </c:pt>
                <c:pt idx="86">
                  <c:v>3.5161840801497313E-2</c:v>
                </c:pt>
                <c:pt idx="87">
                  <c:v>3.4958029448190431E-2</c:v>
                </c:pt>
                <c:pt idx="88">
                  <c:v>3.3148943196829539E-2</c:v>
                </c:pt>
                <c:pt idx="89">
                  <c:v>3.1741750832484761E-2</c:v>
                </c:pt>
                <c:pt idx="90">
                  <c:v>3.5658264076173674E-2</c:v>
                </c:pt>
                <c:pt idx="91">
                  <c:v>3.4652852307438309E-2</c:v>
                </c:pt>
                <c:pt idx="92">
                  <c:v>3.2339992295415732E-2</c:v>
                </c:pt>
                <c:pt idx="93">
                  <c:v>2.9125278595602988E-2</c:v>
                </c:pt>
                <c:pt idx="94">
                  <c:v>2.6613746423068463E-2</c:v>
                </c:pt>
                <c:pt idx="95">
                  <c:v>3.2839455220800673E-2</c:v>
                </c:pt>
                <c:pt idx="96">
                  <c:v>4.0571177020855165E-2</c:v>
                </c:pt>
                <c:pt idx="97">
                  <c:v>3.5848303942336845E-2</c:v>
                </c:pt>
                <c:pt idx="98">
                  <c:v>3.3437414030261348E-2</c:v>
                </c:pt>
                <c:pt idx="99">
                  <c:v>3.4038953536353889E-2</c:v>
                </c:pt>
                <c:pt idx="100">
                  <c:v>3.4640459947183067E-2</c:v>
                </c:pt>
                <c:pt idx="101">
                  <c:v>4.2169834676642981E-2</c:v>
                </c:pt>
                <c:pt idx="102">
                  <c:v>3.7244897959183676E-2</c:v>
                </c:pt>
                <c:pt idx="103">
                  <c:v>3.2626034819439487E-2</c:v>
                </c:pt>
                <c:pt idx="104">
                  <c:v>3.6740924092409311E-2</c:v>
                </c:pt>
                <c:pt idx="105">
                  <c:v>4.1656353986194772E-2</c:v>
                </c:pt>
                <c:pt idx="106">
                  <c:v>4.1253712462875403E-2</c:v>
                </c:pt>
                <c:pt idx="107">
                  <c:v>3.6133644988312952E-2</c:v>
                </c:pt>
                <c:pt idx="108">
                  <c:v>4.0950338228015137E-2</c:v>
                </c:pt>
                <c:pt idx="109">
                  <c:v>3.4626172079082695E-2</c:v>
                </c:pt>
                <c:pt idx="110">
                  <c:v>3.3218311795435829E-2</c:v>
                </c:pt>
                <c:pt idx="111">
                  <c:v>3.3217398476808491E-2</c:v>
                </c:pt>
                <c:pt idx="112">
                  <c:v>3.2614373694050347E-2</c:v>
                </c:pt>
                <c:pt idx="113">
                  <c:v>2.6090781623731907E-2</c:v>
                </c:pt>
                <c:pt idx="114">
                  <c:v>9.9342937262880127E-3</c:v>
                </c:pt>
                <c:pt idx="115">
                  <c:v>2.919839458998813E-2</c:v>
                </c:pt>
                <c:pt idx="116">
                  <c:v>2.0568750343614217E-2</c:v>
                </c:pt>
                <c:pt idx="117">
                  <c:v>2.0066521894499534E-2</c:v>
                </c:pt>
                <c:pt idx="118">
                  <c:v>2.257421660252884E-2</c:v>
                </c:pt>
                <c:pt idx="119">
                  <c:v>2.2974904483109293E-2</c:v>
                </c:pt>
                <c:pt idx="120">
                  <c:v>2.2270778364116173E-2</c:v>
                </c:pt>
                <c:pt idx="121">
                  <c:v>3.3505565480280386E-2</c:v>
                </c:pt>
                <c:pt idx="122">
                  <c:v>3.0194305502116214E-2</c:v>
                </c:pt>
                <c:pt idx="123">
                  <c:v>3.0795338994695887E-2</c:v>
                </c:pt>
                <c:pt idx="124">
                  <c:v>2.6080026382323873E-2</c:v>
                </c:pt>
                <c:pt idx="125">
                  <c:v>2.4573383528894543E-2</c:v>
                </c:pt>
                <c:pt idx="126">
                  <c:v>2.7581611343152346E-2</c:v>
                </c:pt>
                <c:pt idx="127">
                  <c:v>2.4170192888937791E-2</c:v>
                </c:pt>
                <c:pt idx="128">
                  <c:v>2.6075010303613144E-2</c:v>
                </c:pt>
                <c:pt idx="129">
                  <c:v>1.9354085389307107E-2</c:v>
                </c:pt>
                <c:pt idx="130">
                  <c:v>2.3063820434627347E-2</c:v>
                </c:pt>
                <c:pt idx="131">
                  <c:v>2.8578296703296702E-2</c:v>
                </c:pt>
                <c:pt idx="132">
                  <c:v>2.6869935448427473E-2</c:v>
                </c:pt>
                <c:pt idx="133">
                  <c:v>2.8072295775421696E-2</c:v>
                </c:pt>
                <c:pt idx="134">
                  <c:v>2.1153898975471763E-2</c:v>
                </c:pt>
                <c:pt idx="135">
                  <c:v>1.6341188749725288E-2</c:v>
                </c:pt>
                <c:pt idx="136">
                  <c:v>2.1553736713450011E-2</c:v>
                </c:pt>
                <c:pt idx="137">
                  <c:v>2.3556794463363728E-2</c:v>
                </c:pt>
                <c:pt idx="138">
                  <c:v>3.508362398044651E-2</c:v>
                </c:pt>
                <c:pt idx="139">
                  <c:v>2.8366836930850847E-2</c:v>
                </c:pt>
                <c:pt idx="140">
                  <c:v>2.9067691885212132E-2</c:v>
                </c:pt>
                <c:pt idx="141">
                  <c:v>2.7162510984182708E-2</c:v>
                </c:pt>
                <c:pt idx="142">
                  <c:v>3.1169169938768226E-2</c:v>
                </c:pt>
                <c:pt idx="143">
                  <c:v>3.2070291048874322E-2</c:v>
                </c:pt>
                <c:pt idx="144">
                  <c:v>2.6056396035254392E-2</c:v>
                </c:pt>
                <c:pt idx="145">
                  <c:v>3.2068530009334961E-2</c:v>
                </c:pt>
                <c:pt idx="146">
                  <c:v>3.2067649562089906E-2</c:v>
                </c:pt>
                <c:pt idx="147">
                  <c:v>2.6654038324273821E-2</c:v>
                </c:pt>
                <c:pt idx="148">
                  <c:v>2.4248496993988011E-2</c:v>
                </c:pt>
                <c:pt idx="149">
                  <c:v>2.0039530031843611E-2</c:v>
                </c:pt>
                <c:pt idx="150">
                  <c:v>2.905652090367572E-2</c:v>
                </c:pt>
                <c:pt idx="151">
                  <c:v>2.1541312105407606E-2</c:v>
                </c:pt>
                <c:pt idx="152">
                  <c:v>2.795130788021849E-2</c:v>
                </c:pt>
                <c:pt idx="153">
                  <c:v>-1.4025360926606667E-3</c:v>
                </c:pt>
                <c:pt idx="154">
                  <c:v>2.1538355976396306E-2</c:v>
                </c:pt>
                <c:pt idx="155">
                  <c:v>2.6646723021187868E-2</c:v>
                </c:pt>
                <c:pt idx="156">
                  <c:v>2.5043225292971427E-2</c:v>
                </c:pt>
                <c:pt idx="157">
                  <c:v>3.105104281009885E-2</c:v>
                </c:pt>
                <c:pt idx="158">
                  <c:v>2.834581926950408E-2</c:v>
                </c:pt>
                <c:pt idx="159">
                  <c:v>2.884583722078915E-2</c:v>
                </c:pt>
                <c:pt idx="160">
                  <c:v>2.2635348352221252E-2</c:v>
                </c:pt>
                <c:pt idx="161">
                  <c:v>2.0831961365382512E-2</c:v>
                </c:pt>
                <c:pt idx="162">
                  <c:v>2.6538535407578168E-2</c:v>
                </c:pt>
                <c:pt idx="163">
                  <c:v>2.2532100526777843E-2</c:v>
                </c:pt>
                <c:pt idx="164">
                  <c:v>2.6537079206562564E-2</c:v>
                </c:pt>
                <c:pt idx="165">
                  <c:v>3.0141289437585705E-2</c:v>
                </c:pt>
                <c:pt idx="166">
                  <c:v>3.3745301912156023E-2</c:v>
                </c:pt>
                <c:pt idx="167">
                  <c:v>2.8334156243142394E-2</c:v>
                </c:pt>
                <c:pt idx="168">
                  <c:v>2.903420467948542E-2</c:v>
                </c:pt>
                <c:pt idx="169">
                  <c:v>2.3727302649624249E-2</c:v>
                </c:pt>
                <c:pt idx="170">
                  <c:v>2.9031019445434847E-2</c:v>
                </c:pt>
                <c:pt idx="171">
                  <c:v>2.9530744336569548E-2</c:v>
                </c:pt>
                <c:pt idx="172">
                  <c:v>3.5536022817650725E-2</c:v>
                </c:pt>
                <c:pt idx="173">
                  <c:v>3.6035541904343937E-2</c:v>
                </c:pt>
                <c:pt idx="174">
                  <c:v>3.6835321541203891E-2</c:v>
                </c:pt>
                <c:pt idx="175">
                  <c:v>4.1836678732039057E-2</c:v>
                </c:pt>
                <c:pt idx="176">
                  <c:v>3.7531876388165297E-2</c:v>
                </c:pt>
                <c:pt idx="177">
                  <c:v>4.7038661913901825E-2</c:v>
                </c:pt>
                <c:pt idx="178">
                  <c:v>4.5035781854075863E-2</c:v>
                </c:pt>
                <c:pt idx="179">
                  <c:v>5.0038385610879588E-2</c:v>
                </c:pt>
                <c:pt idx="180">
                  <c:v>5.4037011651816291E-2</c:v>
                </c:pt>
                <c:pt idx="181">
                  <c:v>4.3028292575940319E-2</c:v>
                </c:pt>
                <c:pt idx="182">
                  <c:v>4.0125284425802543E-2</c:v>
                </c:pt>
                <c:pt idx="183">
                  <c:v>3.7822797302483668E-2</c:v>
                </c:pt>
                <c:pt idx="184">
                  <c:v>3.9922969379643125E-2</c:v>
                </c:pt>
                <c:pt idx="185">
                  <c:v>3.5516541951045644E-2</c:v>
                </c:pt>
                <c:pt idx="186">
                  <c:v>3.0513375726345826E-2</c:v>
                </c:pt>
                <c:pt idx="187">
                  <c:v>2.5410442647663511E-2</c:v>
                </c:pt>
                <c:pt idx="188">
                  <c:v>2.5509784574905381E-2</c:v>
                </c:pt>
                <c:pt idx="189">
                  <c:v>3.2609827619282494E-2</c:v>
                </c:pt>
                <c:pt idx="190">
                  <c:v>2.7807618525623468E-2</c:v>
                </c:pt>
                <c:pt idx="191">
                  <c:v>3.1907867693403813E-2</c:v>
                </c:pt>
                <c:pt idx="192">
                  <c:v>3.7508220979940832E-2</c:v>
                </c:pt>
                <c:pt idx="193">
                  <c:v>3.2006138163483466E-2</c:v>
                </c:pt>
                <c:pt idx="194">
                  <c:v>3.1503452433143342E-2</c:v>
                </c:pt>
                <c:pt idx="195">
                  <c:v>3.500287694879034E-2</c:v>
                </c:pt>
                <c:pt idx="196">
                  <c:v>3.3001808318263992E-2</c:v>
                </c:pt>
                <c:pt idx="197">
                  <c:v>3.5000958930381687E-2</c:v>
                </c:pt>
                <c:pt idx="198">
                  <c:v>3.3497246801632741E-2</c:v>
                </c:pt>
                <c:pt idx="199">
                  <c:v>3.2596427788735505E-2</c:v>
                </c:pt>
                <c:pt idx="200">
                  <c:v>3.0995754006300502E-2</c:v>
                </c:pt>
                <c:pt idx="201">
                  <c:v>3.1294855640168762E-2</c:v>
                </c:pt>
                <c:pt idx="202">
                  <c:v>3.3093653271975276E-2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B5-4AB8-B259-6E47E05E4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42400"/>
        <c:axId val="135152384"/>
      </c:lineChart>
      <c:catAx>
        <c:axId val="1351424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5152384"/>
        <c:crosses val="autoZero"/>
        <c:auto val="1"/>
        <c:lblAlgn val="ctr"/>
        <c:lblOffset val="100"/>
        <c:noMultiLvlLbl val="0"/>
      </c:catAx>
      <c:valAx>
        <c:axId val="135152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5142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dolares.xlsm]29-35!TablaDinámica3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9340581822515625E-2"/>
          <c:y val="0.12055011778891332"/>
          <c:w val="0.92581058345435119"/>
          <c:h val="0.71957108611826692"/>
        </c:manualLayout>
      </c:layout>
      <c:lineChart>
        <c:grouping val="standard"/>
        <c:varyColors val="0"/>
        <c:ser>
          <c:idx val="0"/>
          <c:order val="0"/>
          <c:tx>
            <c:strRef>
              <c:f>'29-35'!$B$1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'29-35'!$A$2:$A$225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'29-35'!$B$2:$B$225</c:f>
              <c:numCache>
                <c:formatCode>General</c:formatCode>
                <c:ptCount val="223"/>
                <c:pt idx="0">
                  <c:v>7.6408946896075913E-2</c:v>
                </c:pt>
                <c:pt idx="1">
                  <c:v>7.2263132589686974E-2</c:v>
                </c:pt>
                <c:pt idx="2">
                  <c:v>7.3068752602384879E-2</c:v>
                </c:pt>
                <c:pt idx="3">
                  <c:v>7.1130401104511076E-2</c:v>
                </c:pt>
                <c:pt idx="4">
                  <c:v>7.1006845759891579E-2</c:v>
                </c:pt>
                <c:pt idx="5">
                  <c:v>7.5007962442151022E-2</c:v>
                </c:pt>
                <c:pt idx="6">
                  <c:v>8.3341366226749036E-2</c:v>
                </c:pt>
                <c:pt idx="7">
                  <c:v>8.190515026251094E-2</c:v>
                </c:pt>
                <c:pt idx="8">
                  <c:v>6.0069652170701482E-2</c:v>
                </c:pt>
                <c:pt idx="9">
                  <c:v>5.2672228429483381E-2</c:v>
                </c:pt>
                <c:pt idx="10">
                  <c:v>5.6130831403321813E-2</c:v>
                </c:pt>
                <c:pt idx="11">
                  <c:v>6.4207367396306447E-2</c:v>
                </c:pt>
                <c:pt idx="12">
                  <c:v>5.4376915542813653E-2</c:v>
                </c:pt>
                <c:pt idx="13">
                  <c:v>5.7695232638274141E-2</c:v>
                </c:pt>
                <c:pt idx="14">
                  <c:v>5.7129118729388362E-2</c:v>
                </c:pt>
                <c:pt idx="15">
                  <c:v>6.1995942669218373E-2</c:v>
                </c:pt>
                <c:pt idx="16">
                  <c:v>5.6473462396241902E-2</c:v>
                </c:pt>
                <c:pt idx="17">
                  <c:v>5.6471541302505535E-2</c:v>
                </c:pt>
                <c:pt idx="18">
                  <c:v>5.7453268444155381E-2</c:v>
                </c:pt>
                <c:pt idx="19">
                  <c:v>5.9364270193601465E-2</c:v>
                </c:pt>
                <c:pt idx="20">
                  <c:v>6.0508405452400327E-2</c:v>
                </c:pt>
                <c:pt idx="21">
                  <c:v>5.8159387664793893E-2</c:v>
                </c:pt>
                <c:pt idx="22">
                  <c:v>6.8535830623498106E-2</c:v>
                </c:pt>
                <c:pt idx="23">
                  <c:v>6.920866776784812E-2</c:v>
                </c:pt>
                <c:pt idx="24">
                  <c:v>7.8433769856276092E-2</c:v>
                </c:pt>
                <c:pt idx="25">
                  <c:v>5.92912384719263E-2</c:v>
                </c:pt>
                <c:pt idx="26">
                  <c:v>6.9457210815807191E-2</c:v>
                </c:pt>
                <c:pt idx="27">
                  <c:v>7.3708497852044308E-2</c:v>
                </c:pt>
                <c:pt idx="28">
                  <c:v>8.4905490603638389E-2</c:v>
                </c:pt>
                <c:pt idx="29">
                  <c:v>6.6164750637692782E-2</c:v>
                </c:pt>
                <c:pt idx="30">
                  <c:v>8.0717578920212918E-2</c:v>
                </c:pt>
                <c:pt idx="31">
                  <c:v>9.4792672939889744E-2</c:v>
                </c:pt>
                <c:pt idx="32">
                  <c:v>0.10726875596990398</c:v>
                </c:pt>
                <c:pt idx="33">
                  <c:v>0.10081831690217669</c:v>
                </c:pt>
                <c:pt idx="34">
                  <c:v>8.9203116294763629E-2</c:v>
                </c:pt>
                <c:pt idx="35">
                  <c:v>9.5763005699041726E-2</c:v>
                </c:pt>
                <c:pt idx="36">
                  <c:v>9.5757748002401222E-2</c:v>
                </c:pt>
                <c:pt idx="37">
                  <c:v>9.5281732124735452E-2</c:v>
                </c:pt>
                <c:pt idx="38">
                  <c:v>9.886803743846817E-2</c:v>
                </c:pt>
                <c:pt idx="39">
                  <c:v>8.7241223999743434E-2</c:v>
                </c:pt>
                <c:pt idx="40">
                  <c:v>8.3194496502798865E-2</c:v>
                </c:pt>
                <c:pt idx="41">
                  <c:v>7.7658423435774671E-2</c:v>
                </c:pt>
                <c:pt idx="42">
                  <c:v>7.660027160253402E-2</c:v>
                </c:pt>
                <c:pt idx="43">
                  <c:v>8.4353070445800482E-2</c:v>
                </c:pt>
                <c:pt idx="44">
                  <c:v>8.0116007324916527E-2</c:v>
                </c:pt>
                <c:pt idx="45">
                  <c:v>7.1043900261720305E-2</c:v>
                </c:pt>
                <c:pt idx="46">
                  <c:v>6.2495220975608168E-2</c:v>
                </c:pt>
                <c:pt idx="47">
                  <c:v>5.6512524714147472E-2</c:v>
                </c:pt>
                <c:pt idx="48">
                  <c:v>5.6896791953697068E-2</c:v>
                </c:pt>
                <c:pt idx="49">
                  <c:v>6.7087597777788055E-2</c:v>
                </c:pt>
                <c:pt idx="50">
                  <c:v>7.2321408018811151E-2</c:v>
                </c:pt>
                <c:pt idx="51">
                  <c:v>7.7304156496918353E-2</c:v>
                </c:pt>
                <c:pt idx="52">
                  <c:v>6.9775204428788762E-2</c:v>
                </c:pt>
                <c:pt idx="53">
                  <c:v>6.4398091894085796E-2</c:v>
                </c:pt>
                <c:pt idx="54">
                  <c:v>6.7271756416136586E-2</c:v>
                </c:pt>
                <c:pt idx="55">
                  <c:v>6.3853523945776203E-2</c:v>
                </c:pt>
                <c:pt idx="56">
                  <c:v>6.3444971324133792E-2</c:v>
                </c:pt>
                <c:pt idx="57">
                  <c:v>6.6835039064273127E-2</c:v>
                </c:pt>
                <c:pt idx="58">
                  <c:v>7.0182609589966138E-2</c:v>
                </c:pt>
                <c:pt idx="59">
                  <c:v>6.829225786979215E-2</c:v>
                </c:pt>
                <c:pt idx="60">
                  <c:v>6.5369580570194374E-2</c:v>
                </c:pt>
                <c:pt idx="61">
                  <c:v>6.7148657948331136E-2</c:v>
                </c:pt>
                <c:pt idx="62">
                  <c:v>6.8621877324303526E-2</c:v>
                </c:pt>
                <c:pt idx="63">
                  <c:v>6.6600216499863307E-2</c:v>
                </c:pt>
                <c:pt idx="64">
                  <c:v>5.9285788741729573E-2</c:v>
                </c:pt>
                <c:pt idx="65">
                  <c:v>5.7783272261354657E-2</c:v>
                </c:pt>
                <c:pt idx="66">
                  <c:v>5.4172021479673094E-2</c:v>
                </c:pt>
                <c:pt idx="67">
                  <c:v>6.0069942098906148E-2</c:v>
                </c:pt>
                <c:pt idx="68">
                  <c:v>6.1759198483707922E-2</c:v>
                </c:pt>
                <c:pt idx="69">
                  <c:v>5.6902322135480743E-2</c:v>
                </c:pt>
                <c:pt idx="70">
                  <c:v>5.9498690565926549E-2</c:v>
                </c:pt>
                <c:pt idx="71">
                  <c:v>6.0488874720056207E-2</c:v>
                </c:pt>
                <c:pt idx="72">
                  <c:v>5.4488357067553284E-2</c:v>
                </c:pt>
                <c:pt idx="73">
                  <c:v>5.7975459858711775E-2</c:v>
                </c:pt>
                <c:pt idx="74">
                  <c:v>5.937723846179388E-2</c:v>
                </c:pt>
                <c:pt idx="75">
                  <c:v>6.3057387540046195E-2</c:v>
                </c:pt>
                <c:pt idx="76">
                  <c:v>6.0328824884723908E-2</c:v>
                </c:pt>
                <c:pt idx="77">
                  <c:v>5.9494572706077387E-2</c:v>
                </c:pt>
                <c:pt idx="78">
                  <c:v>6.3294533904766526E-2</c:v>
                </c:pt>
                <c:pt idx="79">
                  <c:v>6.3166845090096735E-2</c:v>
                </c:pt>
                <c:pt idx="80">
                  <c:v>6.0141849485449483E-2</c:v>
                </c:pt>
                <c:pt idx="81">
                  <c:v>6.0025513079547954E-2</c:v>
                </c:pt>
                <c:pt idx="82">
                  <c:v>6.019672513639901E-2</c:v>
                </c:pt>
                <c:pt idx="83">
                  <c:v>5.9690637229922294E-2</c:v>
                </c:pt>
                <c:pt idx="84">
                  <c:v>6.0371684507377732E-2</c:v>
                </c:pt>
                <c:pt idx="85">
                  <c:v>6.366086080512684E-2</c:v>
                </c:pt>
                <c:pt idx="86">
                  <c:v>6.1253649840908864E-2</c:v>
                </c:pt>
                <c:pt idx="87">
                  <c:v>5.8518072567443347E-2</c:v>
                </c:pt>
                <c:pt idx="88">
                  <c:v>5.9607254742472637E-2</c:v>
                </c:pt>
                <c:pt idx="89">
                  <c:v>5.9997236551245725E-2</c:v>
                </c:pt>
                <c:pt idx="90">
                  <c:v>5.7070557666317634E-2</c:v>
                </c:pt>
                <c:pt idx="91">
                  <c:v>6.0766735428991026E-2</c:v>
                </c:pt>
                <c:pt idx="92">
                  <c:v>6.1346480608885479E-2</c:v>
                </c:pt>
                <c:pt idx="93">
                  <c:v>6.2039670059830521E-2</c:v>
                </c:pt>
                <c:pt idx="94">
                  <c:v>5.8518551471310798E-2</c:v>
                </c:pt>
                <c:pt idx="95">
                  <c:v>5.5302591485947128E-2</c:v>
                </c:pt>
                <c:pt idx="96">
                  <c:v>5.5192799171029983E-2</c:v>
                </c:pt>
                <c:pt idx="97">
                  <c:v>5.5866493031071385E-2</c:v>
                </c:pt>
                <c:pt idx="98">
                  <c:v>5.8054977507948025E-2</c:v>
                </c:pt>
                <c:pt idx="99">
                  <c:v>5.6642365959680863E-2</c:v>
                </c:pt>
                <c:pt idx="100">
                  <c:v>5.4420477457957694E-2</c:v>
                </c:pt>
                <c:pt idx="101">
                  <c:v>5.5908052239775963E-2</c:v>
                </c:pt>
                <c:pt idx="102">
                  <c:v>5.9251007723772842E-2</c:v>
                </c:pt>
                <c:pt idx="103">
                  <c:v>6.0751004226736849E-2</c:v>
                </c:pt>
                <c:pt idx="104">
                  <c:v>6.182842676955963E-2</c:v>
                </c:pt>
                <c:pt idx="105">
                  <c:v>6.1289713013010894E-2</c:v>
                </c:pt>
                <c:pt idx="106">
                  <c:v>5.7059968791946525E-2</c:v>
                </c:pt>
                <c:pt idx="107">
                  <c:v>5.5256658388561419E-2</c:v>
                </c:pt>
                <c:pt idx="108">
                  <c:v>5.1446212409067826E-2</c:v>
                </c:pt>
                <c:pt idx="109">
                  <c:v>5.1741173318941291E-2</c:v>
                </c:pt>
                <c:pt idx="110">
                  <c:v>5.3018025829274007E-2</c:v>
                </c:pt>
                <c:pt idx="111">
                  <c:v>5.5994421556758378E-2</c:v>
                </c:pt>
                <c:pt idx="112">
                  <c:v>5.7680018802889421E-2</c:v>
                </c:pt>
                <c:pt idx="113">
                  <c:v>5.3578149827335553E-2</c:v>
                </c:pt>
                <c:pt idx="114">
                  <c:v>5.9762720309945727E-2</c:v>
                </c:pt>
                <c:pt idx="115">
                  <c:v>5.3513969462400945E-2</c:v>
                </c:pt>
                <c:pt idx="116">
                  <c:v>5.838813892801259E-2</c:v>
                </c:pt>
                <c:pt idx="117">
                  <c:v>5.3040595660466205E-2</c:v>
                </c:pt>
                <c:pt idx="118">
                  <c:v>4.7928423935280962E-2</c:v>
                </c:pt>
                <c:pt idx="119">
                  <c:v>5.1137161507386175E-2</c:v>
                </c:pt>
                <c:pt idx="120">
                  <c:v>5.6340059767842843E-2</c:v>
                </c:pt>
                <c:pt idx="121">
                  <c:v>5.463509598794708E-2</c:v>
                </c:pt>
                <c:pt idx="122">
                  <c:v>5.2830571767311263E-2</c:v>
                </c:pt>
                <c:pt idx="123">
                  <c:v>5.2218006317487853E-2</c:v>
                </c:pt>
                <c:pt idx="124">
                  <c:v>4.9415436222769393E-2</c:v>
                </c:pt>
                <c:pt idx="125">
                  <c:v>4.9002417537609089E-2</c:v>
                </c:pt>
                <c:pt idx="126">
                  <c:v>4.6084324783929431E-2</c:v>
                </c:pt>
                <c:pt idx="127">
                  <c:v>4.9845747599017165E-2</c:v>
                </c:pt>
                <c:pt idx="128">
                  <c:v>5.3940797123992412E-2</c:v>
                </c:pt>
                <c:pt idx="129">
                  <c:v>5.4606229292709807E-2</c:v>
                </c:pt>
                <c:pt idx="130">
                  <c:v>5.1987188441583732E-2</c:v>
                </c:pt>
                <c:pt idx="131">
                  <c:v>5.5984557409017865E-2</c:v>
                </c:pt>
                <c:pt idx="132">
                  <c:v>5.6444019452974559E-2</c:v>
                </c:pt>
                <c:pt idx="133">
                  <c:v>5.4828718571421409E-2</c:v>
                </c:pt>
                <c:pt idx="134">
                  <c:v>5.5117513693066611E-2</c:v>
                </c:pt>
                <c:pt idx="135">
                  <c:v>5.5610846868441588E-2</c:v>
                </c:pt>
                <c:pt idx="136">
                  <c:v>5.5096165271645958E-2</c:v>
                </c:pt>
                <c:pt idx="137">
                  <c:v>5.7283837828664919E-2</c:v>
                </c:pt>
                <c:pt idx="138">
                  <c:v>5.6277745906631593E-2</c:v>
                </c:pt>
                <c:pt idx="139">
                  <c:v>5.7268457471807477E-2</c:v>
                </c:pt>
                <c:pt idx="140">
                  <c:v>5.3953021856088745E-2</c:v>
                </c:pt>
                <c:pt idx="141">
                  <c:v>5.2745813831149846E-2</c:v>
                </c:pt>
                <c:pt idx="142">
                  <c:v>5.4719667127700489E-2</c:v>
                </c:pt>
                <c:pt idx="143">
                  <c:v>5.3609498077377138E-2</c:v>
                </c:pt>
                <c:pt idx="144">
                  <c:v>5.520578724416858E-2</c:v>
                </c:pt>
                <c:pt idx="145">
                  <c:v>5.5100554125218582E-2</c:v>
                </c:pt>
                <c:pt idx="146">
                  <c:v>5.1189597863579905E-2</c:v>
                </c:pt>
                <c:pt idx="147">
                  <c:v>5.4068561473204158E-2</c:v>
                </c:pt>
                <c:pt idx="148">
                  <c:v>4.9960937128069594E-2</c:v>
                </c:pt>
                <c:pt idx="149">
                  <c:v>5.1156830000578635E-2</c:v>
                </c:pt>
                <c:pt idx="150">
                  <c:v>5.1140011659329854E-2</c:v>
                </c:pt>
                <c:pt idx="151">
                  <c:v>4.9131339548635522E-2</c:v>
                </c:pt>
                <c:pt idx="152">
                  <c:v>4.830275589461358E-2</c:v>
                </c:pt>
                <c:pt idx="153">
                  <c:v>4.7993356596482184E-2</c:v>
                </c:pt>
                <c:pt idx="154">
                  <c:v>4.8582140165917664E-2</c:v>
                </c:pt>
                <c:pt idx="155">
                  <c:v>5.037263899755634E-2</c:v>
                </c:pt>
                <c:pt idx="156">
                  <c:v>5.0059977958884894E-2</c:v>
                </c:pt>
                <c:pt idx="157">
                  <c:v>5.0534807574778684E-2</c:v>
                </c:pt>
                <c:pt idx="158">
                  <c:v>5.0320028205352252E-2</c:v>
                </c:pt>
                <c:pt idx="159">
                  <c:v>5.0415675809050153E-2</c:v>
                </c:pt>
                <c:pt idx="160">
                  <c:v>5.3009193485320572E-2</c:v>
                </c:pt>
                <c:pt idx="161">
                  <c:v>5.0212752441990138E-2</c:v>
                </c:pt>
                <c:pt idx="162">
                  <c:v>5.1993583691958389E-2</c:v>
                </c:pt>
                <c:pt idx="163">
                  <c:v>5.1483542753407274E-2</c:v>
                </c:pt>
                <c:pt idx="164">
                  <c:v>4.5966533778824314E-2</c:v>
                </c:pt>
                <c:pt idx="165">
                  <c:v>4.5355348631347214E-2</c:v>
                </c:pt>
                <c:pt idx="166">
                  <c:v>4.7242311821490357E-2</c:v>
                </c:pt>
                <c:pt idx="167">
                  <c:v>4.3605447411967202E-2</c:v>
                </c:pt>
                <c:pt idx="168">
                  <c:v>4.3399597416725E-2</c:v>
                </c:pt>
                <c:pt idx="169">
                  <c:v>4.1785424901282897E-2</c:v>
                </c:pt>
                <c:pt idx="170">
                  <c:v>4.2357567606636559E-2</c:v>
                </c:pt>
                <c:pt idx="171">
                  <c:v>4.1750590583073344E-2</c:v>
                </c:pt>
                <c:pt idx="172">
                  <c:v>4.1845806795062945E-2</c:v>
                </c:pt>
                <c:pt idx="173">
                  <c:v>4.963611623026204E-2</c:v>
                </c:pt>
                <c:pt idx="174">
                  <c:v>4.5425006344042729E-2</c:v>
                </c:pt>
                <c:pt idx="175">
                  <c:v>4.3997889581670446E-2</c:v>
                </c:pt>
                <c:pt idx="176">
                  <c:v>4.6893194063368782E-2</c:v>
                </c:pt>
                <c:pt idx="177">
                  <c:v>4.5887583959569878E-2</c:v>
                </c:pt>
                <c:pt idx="178">
                  <c:v>4.4779271774553653E-2</c:v>
                </c:pt>
                <c:pt idx="179">
                  <c:v>4.7772608463024724E-2</c:v>
                </c:pt>
                <c:pt idx="180">
                  <c:v>4.7843086901787513E-2</c:v>
                </c:pt>
                <c:pt idx="181">
                  <c:v>4.9932665300432888E-2</c:v>
                </c:pt>
                <c:pt idx="182">
                  <c:v>5.0721868464563336E-2</c:v>
                </c:pt>
                <c:pt idx="183">
                  <c:v>5.2011416338182626E-2</c:v>
                </c:pt>
                <c:pt idx="184">
                  <c:v>5.4201404488275762E-2</c:v>
                </c:pt>
                <c:pt idx="185">
                  <c:v>5.2660447368123309E-2</c:v>
                </c:pt>
                <c:pt idx="186">
                  <c:v>5.2650812834833138E-2</c:v>
                </c:pt>
                <c:pt idx="187">
                  <c:v>5.2239959152254767E-2</c:v>
                </c:pt>
                <c:pt idx="188">
                  <c:v>5.4028326983134145E-2</c:v>
                </c:pt>
                <c:pt idx="189">
                  <c:v>5.2500208721306951E-2</c:v>
                </c:pt>
                <c:pt idx="190">
                  <c:v>5.3289876516735779E-2</c:v>
                </c:pt>
                <c:pt idx="191">
                  <c:v>5.0680029349004285E-2</c:v>
                </c:pt>
                <c:pt idx="192">
                  <c:v>4.9070880196342592E-2</c:v>
                </c:pt>
                <c:pt idx="193">
                  <c:v>4.7562401943395671E-2</c:v>
                </c:pt>
                <c:pt idx="194">
                  <c:v>4.9035579655385464E-2</c:v>
                </c:pt>
                <c:pt idx="195">
                  <c:v>5.2226644885390749E-2</c:v>
                </c:pt>
                <c:pt idx="196">
                  <c:v>4.3417366807686542E-2</c:v>
                </c:pt>
                <c:pt idx="197">
                  <c:v>4.0408658482257664E-2</c:v>
                </c:pt>
                <c:pt idx="198">
                  <c:v>3.8973855124320722E-2</c:v>
                </c:pt>
                <c:pt idx="199">
                  <c:v>3.2964983719642793E-2</c:v>
                </c:pt>
                <c:pt idx="200">
                  <c:v>3.7955725912112603E-2</c:v>
                </c:pt>
                <c:pt idx="201">
                  <c:v>3.644694667442433E-2</c:v>
                </c:pt>
                <c:pt idx="202">
                  <c:v>3.7438032033296653E-2</c:v>
                </c:pt>
                <c:pt idx="203">
                  <c:v>3.6511033927795478E-2</c:v>
                </c:pt>
                <c:pt idx="204">
                  <c:v>3.8701002987697797E-2</c:v>
                </c:pt>
                <c:pt idx="205">
                  <c:v>3.929140675704651E-2</c:v>
                </c:pt>
                <c:pt idx="206">
                  <c:v>3.8882378704318099E-2</c:v>
                </c:pt>
                <c:pt idx="207">
                  <c:v>3.6474120770280505E-2</c:v>
                </c:pt>
                <c:pt idx="208">
                  <c:v>3.5446974425515587E-2</c:v>
                </c:pt>
                <c:pt idx="209">
                  <c:v>3.5837996323534183E-2</c:v>
                </c:pt>
                <c:pt idx="210">
                  <c:v>3.2529534684378414E-2</c:v>
                </c:pt>
                <c:pt idx="211">
                  <c:v>3.3421081640569394E-2</c:v>
                </c:pt>
                <c:pt idx="212">
                  <c:v>3.201254398084219E-2</c:v>
                </c:pt>
                <c:pt idx="213">
                  <c:v>3.1295034158785873E-2</c:v>
                </c:pt>
                <c:pt idx="214">
                  <c:v>2.9286868404978295E-2</c:v>
                </c:pt>
                <c:pt idx="215">
                  <c:v>2.9779269364636873E-2</c:v>
                </c:pt>
                <c:pt idx="216">
                  <c:v>3.2571007469244073E-2</c:v>
                </c:pt>
                <c:pt idx="217">
                  <c:v>3.4762327260895343E-2</c:v>
                </c:pt>
                <c:pt idx="218">
                  <c:v>3.3928199790995262E-2</c:v>
                </c:pt>
                <c:pt idx="219">
                  <c:v>3.5616342103647225E-2</c:v>
                </c:pt>
                <c:pt idx="220">
                  <c:v>3.5906267353802368E-2</c:v>
                </c:pt>
                <c:pt idx="221">
                  <c:v>3.1894828672184239E-2</c:v>
                </c:pt>
                <c:pt idx="222">
                  <c:v>2.8693537919702028E-2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55-45AB-AFC6-13E1EAB4B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463935"/>
        <c:axId val="484466015"/>
      </c:lineChart>
      <c:catAx>
        <c:axId val="484463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66015"/>
        <c:crosses val="autoZero"/>
        <c:auto val="1"/>
        <c:lblAlgn val="ctr"/>
        <c:lblOffset val="100"/>
        <c:noMultiLvlLbl val="0"/>
      </c:catAx>
      <c:valAx>
        <c:axId val="484466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63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dolares.xlsm]29-41!Tabla dinámica2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'29-41'!$B$1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'29-41'!$A$2:$A$205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'29-41'!$B$2:$B$205</c:f>
              <c:numCache>
                <c:formatCode>0.00%</c:formatCode>
                <c:ptCount val="203"/>
                <c:pt idx="0">
                  <c:v>8.1914565643976145E-2</c:v>
                </c:pt>
                <c:pt idx="1">
                  <c:v>8.6777895893458246E-2</c:v>
                </c:pt>
                <c:pt idx="2">
                  <c:v>8.2077885147704754E-2</c:v>
                </c:pt>
                <c:pt idx="3">
                  <c:v>8.8648098778531081E-2</c:v>
                </c:pt>
                <c:pt idx="4">
                  <c:v>8.7022971585208886E-2</c:v>
                </c:pt>
                <c:pt idx="5">
                  <c:v>9.1424322581879325E-2</c:v>
                </c:pt>
                <c:pt idx="6">
                  <c:v>9.0848822261852424E-2</c:v>
                </c:pt>
                <c:pt idx="7">
                  <c:v>9.3917038741176517E-2</c:v>
                </c:pt>
                <c:pt idx="8">
                  <c:v>8.459384041115775E-2</c:v>
                </c:pt>
                <c:pt idx="9">
                  <c:v>6.7686986085124357E-2</c:v>
                </c:pt>
                <c:pt idx="10">
                  <c:v>7.1145434647573058E-2</c:v>
                </c:pt>
                <c:pt idx="11">
                  <c:v>7.2815710413682844E-2</c:v>
                </c:pt>
                <c:pt idx="12">
                  <c:v>7.1593542559315881E-2</c:v>
                </c:pt>
                <c:pt idx="13">
                  <c:v>6.7704865195632458E-2</c:v>
                </c:pt>
                <c:pt idx="14">
                  <c:v>5.7629598641632973E-2</c:v>
                </c:pt>
                <c:pt idx="15">
                  <c:v>5.699119501476535E-2</c:v>
                </c:pt>
                <c:pt idx="16">
                  <c:v>5.6173178566320425E-2</c:v>
                </c:pt>
                <c:pt idx="17">
                  <c:v>5.8473426639723824E-2</c:v>
                </c:pt>
                <c:pt idx="18">
                  <c:v>6.125683754666944E-2</c:v>
                </c:pt>
                <c:pt idx="19">
                  <c:v>6.4368949225710237E-2</c:v>
                </c:pt>
                <c:pt idx="20">
                  <c:v>6.501255482288204E-2</c:v>
                </c:pt>
                <c:pt idx="21">
                  <c:v>6.9970227750900282E-2</c:v>
                </c:pt>
                <c:pt idx="22">
                  <c:v>8.3549558929860435E-2</c:v>
                </c:pt>
                <c:pt idx="23">
                  <c:v>8.7925718231626815E-2</c:v>
                </c:pt>
                <c:pt idx="24">
                  <c:v>7.9935122101620404E-2</c:v>
                </c:pt>
                <c:pt idx="25">
                  <c:v>7.1702374491231291E-2</c:v>
                </c:pt>
                <c:pt idx="26">
                  <c:v>7.4962131309810331E-2</c:v>
                </c:pt>
                <c:pt idx="27">
                  <c:v>7.7712062670032944E-2</c:v>
                </c:pt>
                <c:pt idx="28">
                  <c:v>9.7917031662317189E-2</c:v>
                </c:pt>
                <c:pt idx="29">
                  <c:v>7.4171770490714661E-2</c:v>
                </c:pt>
                <c:pt idx="30">
                  <c:v>9.2728067531842984E-2</c:v>
                </c:pt>
                <c:pt idx="31">
                  <c:v>0.10690320744593268</c:v>
                </c:pt>
                <c:pt idx="32">
                  <c:v>0.12088054975013135</c:v>
                </c:pt>
                <c:pt idx="33">
                  <c:v>0.11683213704833023</c:v>
                </c:pt>
                <c:pt idx="34">
                  <c:v>0.10381557692043419</c:v>
                </c:pt>
                <c:pt idx="35">
                  <c:v>0.11057558624690428</c:v>
                </c:pt>
                <c:pt idx="36">
                  <c:v>0.11177129370715838</c:v>
                </c:pt>
                <c:pt idx="37">
                  <c:v>0.11169556021278226</c:v>
                </c:pt>
                <c:pt idx="38">
                  <c:v>0.11097819836116013</c:v>
                </c:pt>
                <c:pt idx="39">
                  <c:v>0.11226196036344216</c:v>
                </c:pt>
                <c:pt idx="40">
                  <c:v>0.10221019096295259</c:v>
                </c:pt>
                <c:pt idx="41">
                  <c:v>9.6774134979509208E-2</c:v>
                </c:pt>
                <c:pt idx="42">
                  <c:v>8.6108053657023842E-2</c:v>
                </c:pt>
                <c:pt idx="43">
                  <c:v>9.3760738339494665E-2</c:v>
                </c:pt>
                <c:pt idx="44">
                  <c:v>9.0824625562196559E-2</c:v>
                </c:pt>
                <c:pt idx="45">
                  <c:v>8.5055128437724392E-2</c:v>
                </c:pt>
                <c:pt idx="46">
                  <c:v>8.1009994750572467E-2</c:v>
                </c:pt>
                <c:pt idx="47">
                  <c:v>7.2925565212077326E-2</c:v>
                </c:pt>
                <c:pt idx="48">
                  <c:v>7.2409063648085414E-2</c:v>
                </c:pt>
                <c:pt idx="49">
                  <c:v>7.8896778202296125E-2</c:v>
                </c:pt>
                <c:pt idx="50">
                  <c:v>8.23376529888733E-2</c:v>
                </c:pt>
                <c:pt idx="51">
                  <c:v>8.5410402748310743E-2</c:v>
                </c:pt>
                <c:pt idx="52">
                  <c:v>8.2084647289065116E-2</c:v>
                </c:pt>
                <c:pt idx="53">
                  <c:v>7.4305590377527042E-2</c:v>
                </c:pt>
                <c:pt idx="54">
                  <c:v>7.4877486760916878E-2</c:v>
                </c:pt>
                <c:pt idx="55">
                  <c:v>7.2860279012075924E-2</c:v>
                </c:pt>
                <c:pt idx="56">
                  <c:v>7.3252293228843468E-2</c:v>
                </c:pt>
                <c:pt idx="57">
                  <c:v>7.5141211802232488E-2</c:v>
                </c:pt>
                <c:pt idx="58">
                  <c:v>7.4485733776019025E-2</c:v>
                </c:pt>
                <c:pt idx="59">
                  <c:v>7.5897753621859576E-2</c:v>
                </c:pt>
                <c:pt idx="60">
                  <c:v>7.2174474500760866E-2</c:v>
                </c:pt>
                <c:pt idx="61">
                  <c:v>7.5154333204420221E-2</c:v>
                </c:pt>
                <c:pt idx="62">
                  <c:v>7.1623995256817619E-2</c:v>
                </c:pt>
                <c:pt idx="63">
                  <c:v>6.9602324143928529E-2</c:v>
                </c:pt>
                <c:pt idx="64">
                  <c:v>6.7291381690227914E-2</c:v>
                </c:pt>
                <c:pt idx="65">
                  <c:v>6.4588002947413792E-2</c:v>
                </c:pt>
                <c:pt idx="66">
                  <c:v>6.8681959793586767E-2</c:v>
                </c:pt>
                <c:pt idx="67">
                  <c:v>6.557369294280313E-2</c:v>
                </c:pt>
                <c:pt idx="68">
                  <c:v>6.776326973750324E-2</c:v>
                </c:pt>
                <c:pt idx="69">
                  <c:v>6.7409266794107803E-2</c:v>
                </c:pt>
                <c:pt idx="70">
                  <c:v>6.800428328442637E-2</c:v>
                </c:pt>
                <c:pt idx="71">
                  <c:v>6.6492801946426927E-2</c:v>
                </c:pt>
                <c:pt idx="72">
                  <c:v>6.7496643167603398E-2</c:v>
                </c:pt>
                <c:pt idx="73">
                  <c:v>6.9382687040316582E-2</c:v>
                </c:pt>
                <c:pt idx="74">
                  <c:v>7.0884489606350687E-2</c:v>
                </c:pt>
                <c:pt idx="75">
                  <c:v>6.565901801393903E-2</c:v>
                </c:pt>
                <c:pt idx="76">
                  <c:v>6.4331319590328118E-2</c:v>
                </c:pt>
                <c:pt idx="77">
                  <c:v>6.449763965465205E-2</c:v>
                </c:pt>
                <c:pt idx="78">
                  <c:v>6.4295143865633009E-2</c:v>
                </c:pt>
                <c:pt idx="79">
                  <c:v>6.466775488815929E-2</c:v>
                </c:pt>
                <c:pt idx="80">
                  <c:v>6.6045407794567357E-2</c:v>
                </c:pt>
                <c:pt idx="81">
                  <c:v>6.6029111126322593E-2</c:v>
                </c:pt>
                <c:pt idx="82">
                  <c:v>6.4699377383613144E-2</c:v>
                </c:pt>
                <c:pt idx="83">
                  <c:v>6.5193860007644877E-2</c:v>
                </c:pt>
                <c:pt idx="84">
                  <c:v>6.2673024328506521E-2</c:v>
                </c:pt>
                <c:pt idx="85">
                  <c:v>6.6662598111992821E-2</c:v>
                </c:pt>
                <c:pt idx="86">
                  <c:v>6.4655607131404724E-2</c:v>
                </c:pt>
                <c:pt idx="87">
                  <c:v>6.4521464895299863E-2</c:v>
                </c:pt>
                <c:pt idx="88">
                  <c:v>6.4109783560027667E-2</c:v>
                </c:pt>
                <c:pt idx="89">
                  <c:v>6.1097850935302567E-2</c:v>
                </c:pt>
                <c:pt idx="90">
                  <c:v>5.9071667871294364E-2</c:v>
                </c:pt>
                <c:pt idx="91">
                  <c:v>6.2167507772646291E-2</c:v>
                </c:pt>
                <c:pt idx="92">
                  <c:v>6.3347563386552841E-2</c:v>
                </c:pt>
                <c:pt idx="93">
                  <c:v>6.4541014961027432E-2</c:v>
                </c:pt>
                <c:pt idx="94">
                  <c:v>6.4021491398120967E-2</c:v>
                </c:pt>
                <c:pt idx="95">
                  <c:v>5.9404769011688618E-2</c:v>
                </c:pt>
                <c:pt idx="96">
                  <c:v>5.8794698803027678E-2</c:v>
                </c:pt>
                <c:pt idx="97">
                  <c:v>5.9968614333525683E-2</c:v>
                </c:pt>
                <c:pt idx="98">
                  <c:v>5.9355645659395717E-2</c:v>
                </c:pt>
                <c:pt idx="99">
                  <c:v>6.1244714418312141E-2</c:v>
                </c:pt>
                <c:pt idx="100">
                  <c:v>5.7321948066348216E-2</c:v>
                </c:pt>
                <c:pt idx="101">
                  <c:v>5.7408807757108271E-2</c:v>
                </c:pt>
                <c:pt idx="102">
                  <c:v>5.9751250992759797E-2</c:v>
                </c:pt>
                <c:pt idx="103">
                  <c:v>6.2251728891729197E-2</c:v>
                </c:pt>
                <c:pt idx="104">
                  <c:v>5.6826028359362957E-2</c:v>
                </c:pt>
                <c:pt idx="105">
                  <c:v>5.6387412961274308E-2</c:v>
                </c:pt>
                <c:pt idx="106">
                  <c:v>5.0757033178098931E-2</c:v>
                </c:pt>
                <c:pt idx="107">
                  <c:v>4.9253883132878151E-2</c:v>
                </c:pt>
                <c:pt idx="108">
                  <c:v>4.8444835064670011E-2</c:v>
                </c:pt>
                <c:pt idx="109">
                  <c:v>5.0740717631933163E-2</c:v>
                </c:pt>
                <c:pt idx="110">
                  <c:v>5.1117179562100268E-2</c:v>
                </c:pt>
                <c:pt idx="111">
                  <c:v>5.5594244766326961E-2</c:v>
                </c:pt>
                <c:pt idx="112">
                  <c:v>5.5779185560920375E-2</c:v>
                </c:pt>
                <c:pt idx="113">
                  <c:v>5.6179281141297499E-2</c:v>
                </c:pt>
                <c:pt idx="114">
                  <c:v>5.3660086981865807E-2</c:v>
                </c:pt>
                <c:pt idx="115">
                  <c:v>5.0012494526040729E-2</c:v>
                </c:pt>
                <c:pt idx="116">
                  <c:v>4.378203637831718E-2</c:v>
                </c:pt>
                <c:pt idx="117">
                  <c:v>3.6833879863851893E-2</c:v>
                </c:pt>
                <c:pt idx="118">
                  <c:v>3.5523325949807505E-2</c:v>
                </c:pt>
                <c:pt idx="119">
                  <c:v>3.1129007499417161E-2</c:v>
                </c:pt>
                <c:pt idx="120">
                  <c:v>3.133012431403237E-2</c:v>
                </c:pt>
                <c:pt idx="121">
                  <c:v>3.2626428190698165E-2</c:v>
                </c:pt>
                <c:pt idx="122">
                  <c:v>3.1922408991433004E-2</c:v>
                </c:pt>
                <c:pt idx="123">
                  <c:v>2.8708908618720885E-2</c:v>
                </c:pt>
                <c:pt idx="124">
                  <c:v>2.8507416708435096E-2</c:v>
                </c:pt>
                <c:pt idx="125">
                  <c:v>2.799457556920304E-2</c:v>
                </c:pt>
                <c:pt idx="126">
                  <c:v>2.0975037787369089E-2</c:v>
                </c:pt>
                <c:pt idx="127">
                  <c:v>1.8934526402281382E-2</c:v>
                </c:pt>
                <c:pt idx="128">
                  <c:v>2.2429465994647957E-2</c:v>
                </c:pt>
                <c:pt idx="129">
                  <c:v>2.4695781122458571E-2</c:v>
                </c:pt>
                <c:pt idx="130">
                  <c:v>1.9876081517613498E-2</c:v>
                </c:pt>
                <c:pt idx="131">
                  <c:v>2.5374074366880162E-2</c:v>
                </c:pt>
                <c:pt idx="132">
                  <c:v>2.9935395071754634E-2</c:v>
                </c:pt>
                <c:pt idx="133">
                  <c:v>2.9820668034604758E-2</c:v>
                </c:pt>
                <c:pt idx="134">
                  <c:v>2.6708465605833343E-2</c:v>
                </c:pt>
                <c:pt idx="135">
                  <c:v>2.8602337338041572E-2</c:v>
                </c:pt>
                <c:pt idx="136">
                  <c:v>2.5687000086605405E-2</c:v>
                </c:pt>
                <c:pt idx="137">
                  <c:v>2.8275095467953482E-2</c:v>
                </c:pt>
                <c:pt idx="138">
                  <c:v>2.9769848005544663E-2</c:v>
                </c:pt>
                <c:pt idx="139">
                  <c:v>2.9660326309889962E-2</c:v>
                </c:pt>
                <c:pt idx="140">
                  <c:v>3.0746266464964589E-2</c:v>
                </c:pt>
                <c:pt idx="141">
                  <c:v>3.1239627119904134E-2</c:v>
                </c:pt>
                <c:pt idx="142">
                  <c:v>3.1213146483275167E-2</c:v>
                </c:pt>
                <c:pt idx="143">
                  <c:v>3.2203633456933167E-2</c:v>
                </c:pt>
                <c:pt idx="144">
                  <c:v>3.4700239510363884E-2</c:v>
                </c:pt>
                <c:pt idx="145">
                  <c:v>3.2194435367468188E-2</c:v>
                </c:pt>
                <c:pt idx="146">
                  <c:v>3.8186168877169135E-2</c:v>
                </c:pt>
                <c:pt idx="147">
                  <c:v>4.1065266117531862E-2</c:v>
                </c:pt>
                <c:pt idx="148">
                  <c:v>4.0958686565428892E-2</c:v>
                </c:pt>
                <c:pt idx="149">
                  <c:v>4.165448695708851E-2</c:v>
                </c:pt>
                <c:pt idx="150">
                  <c:v>4.113757956111419E-2</c:v>
                </c:pt>
                <c:pt idx="151">
                  <c:v>3.9629061605292892E-2</c:v>
                </c:pt>
                <c:pt idx="152">
                  <c:v>4.2801493618680464E-2</c:v>
                </c:pt>
                <c:pt idx="153">
                  <c:v>3.9791502752805186E-2</c:v>
                </c:pt>
                <c:pt idx="154">
                  <c:v>3.8579913642890318E-2</c:v>
                </c:pt>
                <c:pt idx="155">
                  <c:v>4.1070600194531015E-2</c:v>
                </c:pt>
                <c:pt idx="156">
                  <c:v>4.0557927859034615E-2</c:v>
                </c:pt>
                <c:pt idx="157">
                  <c:v>4.2033060640477127E-2</c:v>
                </c:pt>
                <c:pt idx="158">
                  <c:v>4.0418027458626049E-2</c:v>
                </c:pt>
                <c:pt idx="159">
                  <c:v>4.111382818178172E-2</c:v>
                </c:pt>
                <c:pt idx="160">
                  <c:v>4.2907221525040617E-2</c:v>
                </c:pt>
                <c:pt idx="161">
                  <c:v>4.4211601536337075E-2</c:v>
                </c:pt>
                <c:pt idx="162">
                  <c:v>4.3091967987738067E-2</c:v>
                </c:pt>
                <c:pt idx="163">
                  <c:v>4.5482474069943046E-2</c:v>
                </c:pt>
                <c:pt idx="164">
                  <c:v>3.8965310962510491E-2</c:v>
                </c:pt>
                <c:pt idx="165">
                  <c:v>4.3355006106942318E-2</c:v>
                </c:pt>
                <c:pt idx="166">
                  <c:v>3.6140448837633454E-2</c:v>
                </c:pt>
                <c:pt idx="167">
                  <c:v>3.1103563566456216E-2</c:v>
                </c:pt>
                <c:pt idx="168">
                  <c:v>2.8897461828265025E-2</c:v>
                </c:pt>
                <c:pt idx="169">
                  <c:v>3.0783842481893808E-2</c:v>
                </c:pt>
                <c:pt idx="170">
                  <c:v>3.2356231811787206E-2</c:v>
                </c:pt>
                <c:pt idx="171">
                  <c:v>2.9849041751376093E-2</c:v>
                </c:pt>
                <c:pt idx="172">
                  <c:v>3.0244336745775924E-2</c:v>
                </c:pt>
                <c:pt idx="173">
                  <c:v>3.733459960492469E-2</c:v>
                </c:pt>
                <c:pt idx="174">
                  <c:v>3.472372365604931E-2</c:v>
                </c:pt>
                <c:pt idx="175">
                  <c:v>2.8496190765361806E-2</c:v>
                </c:pt>
                <c:pt idx="176">
                  <c:v>2.8791272284001856E-2</c:v>
                </c:pt>
                <c:pt idx="177">
                  <c:v>2.9285878304879331E-2</c:v>
                </c:pt>
                <c:pt idx="178">
                  <c:v>2.5277334938360985E-2</c:v>
                </c:pt>
                <c:pt idx="179">
                  <c:v>2.2270163023051015E-2</c:v>
                </c:pt>
                <c:pt idx="180">
                  <c:v>1.8740595250105019E-2</c:v>
                </c:pt>
                <c:pt idx="181">
                  <c:v>1.4429747252374114E-2</c:v>
                </c:pt>
                <c:pt idx="182">
                  <c:v>2.3119694320709483E-2</c:v>
                </c:pt>
                <c:pt idx="183">
                  <c:v>2.3409261381302338E-2</c:v>
                </c:pt>
                <c:pt idx="184">
                  <c:v>2.3299182068170221E-2</c:v>
                </c:pt>
                <c:pt idx="185">
                  <c:v>2.4158788024942368E-2</c:v>
                </c:pt>
                <c:pt idx="186">
                  <c:v>2.5649333301708044E-2</c:v>
                </c:pt>
                <c:pt idx="187">
                  <c:v>2.4238520722198453E-2</c:v>
                </c:pt>
                <c:pt idx="188">
                  <c:v>2.71270371952676E-2</c:v>
                </c:pt>
                <c:pt idx="189">
                  <c:v>2.7499266905005648E-2</c:v>
                </c:pt>
                <c:pt idx="190">
                  <c:v>2.6288951827534046E-2</c:v>
                </c:pt>
                <c:pt idx="191">
                  <c:v>2.4679227954440774E-2</c:v>
                </c:pt>
                <c:pt idx="192">
                  <c:v>1.9070058256015487E-2</c:v>
                </c:pt>
                <c:pt idx="193">
                  <c:v>1.7561682748072516E-2</c:v>
                </c:pt>
                <c:pt idx="194">
                  <c:v>1.5035113895580543E-2</c:v>
                </c:pt>
                <c:pt idx="195">
                  <c:v>1.7026283237839557E-2</c:v>
                </c:pt>
                <c:pt idx="196">
                  <c:v>9.0171311896343753E-3</c:v>
                </c:pt>
                <c:pt idx="197">
                  <c:v>4.9085369064988948E-3</c:v>
                </c:pt>
                <c:pt idx="198">
                  <c:v>5.4741992988668886E-3</c:v>
                </c:pt>
                <c:pt idx="199">
                  <c:v>4.6542891902362493E-4</c:v>
                </c:pt>
                <c:pt idx="200">
                  <c:v>1.1563560383090477E-3</c:v>
                </c:pt>
                <c:pt idx="201">
                  <c:v>1.4769254950908195E-4</c:v>
                </c:pt>
                <c:pt idx="202">
                  <c:v>-3.5609851135525727E-3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4C-4913-9571-56E26D7B8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537216"/>
        <c:axId val="134538752"/>
      </c:lineChart>
      <c:catAx>
        <c:axId val="134537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4538752"/>
        <c:crosses val="autoZero"/>
        <c:auto val="1"/>
        <c:lblAlgn val="ctr"/>
        <c:lblOffset val="100"/>
        <c:noMultiLvlLbl val="0"/>
      </c:catAx>
      <c:valAx>
        <c:axId val="13453875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45372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dolares.xlsm]30-35!TablaDinámica4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'30-35'!$B$1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'30-35'!$A$2:$A$225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2/8/2021</c:v>
                </c:pt>
                <c:pt idx="214">
                  <c:v>3/8/2021</c:v>
                </c:pt>
                <c:pt idx="215">
                  <c:v>4/8/2021</c:v>
                </c:pt>
                <c:pt idx="216">
                  <c:v>5/8/2021</c:v>
                </c:pt>
                <c:pt idx="217">
                  <c:v>13/8/2021</c:v>
                </c:pt>
                <c:pt idx="218">
                  <c:v>12/8/2021</c:v>
                </c:pt>
                <c:pt idx="219">
                  <c:v>11/8/2021</c:v>
                </c:pt>
                <c:pt idx="220">
                  <c:v>10/8/2021</c:v>
                </c:pt>
                <c:pt idx="221">
                  <c:v>9/8/2021</c:v>
                </c:pt>
                <c:pt idx="222">
                  <c:v>1/8/2021</c:v>
                </c:pt>
              </c:strCache>
            </c:strRef>
          </c:cat>
          <c:val>
            <c:numRef>
              <c:f>'30-35'!$B$2:$B$225</c:f>
              <c:numCache>
                <c:formatCode>General</c:formatCode>
                <c:ptCount val="223"/>
                <c:pt idx="0">
                  <c:v>7.337488258565239E-2</c:v>
                </c:pt>
                <c:pt idx="1">
                  <c:v>6.5366485774914884E-2</c:v>
                </c:pt>
                <c:pt idx="2">
                  <c:v>6.0661492471820788E-2</c:v>
                </c:pt>
                <c:pt idx="3">
                  <c:v>5.1552081726401633E-2</c:v>
                </c:pt>
                <c:pt idx="4">
                  <c:v>5.5055432524528103E-2</c:v>
                </c:pt>
                <c:pt idx="5">
                  <c:v>5.8858657086342858E-2</c:v>
                </c:pt>
                <c:pt idx="6">
                  <c:v>6.8968496109149513E-2</c:v>
                </c:pt>
                <c:pt idx="7">
                  <c:v>6.8067368045771293E-2</c:v>
                </c:pt>
                <c:pt idx="8">
                  <c:v>4.104047827994739E-2</c:v>
                </c:pt>
                <c:pt idx="9">
                  <c:v>3.7036402217247799E-2</c:v>
                </c:pt>
                <c:pt idx="10">
                  <c:v>3.9037968435053305E-2</c:v>
                </c:pt>
                <c:pt idx="11">
                  <c:v>4.7746274642890274E-2</c:v>
                </c:pt>
                <c:pt idx="12">
                  <c:v>3.8637314118429467E-2</c:v>
                </c:pt>
                <c:pt idx="13">
                  <c:v>3.9037566973697313E-2</c:v>
                </c:pt>
                <c:pt idx="14">
                  <c:v>4.2540792540792516E-2</c:v>
                </c:pt>
                <c:pt idx="15">
                  <c:v>4.9046527013639651E-2</c:v>
                </c:pt>
                <c:pt idx="16">
                  <c:v>4.4942479878241126E-2</c:v>
                </c:pt>
                <c:pt idx="17">
                  <c:v>4.704430542462934E-2</c:v>
                </c:pt>
                <c:pt idx="18">
                  <c:v>4.8245271247677579E-2</c:v>
                </c:pt>
                <c:pt idx="19">
                  <c:v>4.7344263643749107E-2</c:v>
                </c:pt>
                <c:pt idx="20">
                  <c:v>5.0446472949395138E-2</c:v>
                </c:pt>
                <c:pt idx="21">
                  <c:v>5.0746575624203039E-2</c:v>
                </c:pt>
                <c:pt idx="22">
                  <c:v>6.4058574107145883E-2</c:v>
                </c:pt>
                <c:pt idx="23">
                  <c:v>6.5259448675848486E-2</c:v>
                </c:pt>
                <c:pt idx="24">
                  <c:v>7.4066710770317123E-2</c:v>
                </c:pt>
                <c:pt idx="25">
                  <c:v>5.3447956728297386E-2</c:v>
                </c:pt>
                <c:pt idx="26">
                  <c:v>5.805188884585194E-2</c:v>
                </c:pt>
                <c:pt idx="27">
                  <c:v>5.1045451429354904E-2</c:v>
                </c:pt>
                <c:pt idx="28">
                  <c:v>4.7041725365992382E-2</c:v>
                </c:pt>
                <c:pt idx="29">
                  <c:v>4.0335362509597406E-2</c:v>
                </c:pt>
                <c:pt idx="30">
                  <c:v>4.0235136848960518E-2</c:v>
                </c:pt>
                <c:pt idx="31">
                  <c:v>3.8033083572696802E-2</c:v>
                </c:pt>
                <c:pt idx="32">
                  <c:v>3.7332346176653097E-2</c:v>
                </c:pt>
                <c:pt idx="33">
                  <c:v>2.9525480894470546E-2</c:v>
                </c:pt>
                <c:pt idx="34">
                  <c:v>3.5830554136918102E-2</c:v>
                </c:pt>
                <c:pt idx="35">
                  <c:v>2.8824481066110963E-2</c:v>
                </c:pt>
                <c:pt idx="36">
                  <c:v>2.7923620322670151E-2</c:v>
                </c:pt>
                <c:pt idx="37">
                  <c:v>1.7414671264147197E-2</c:v>
                </c:pt>
                <c:pt idx="38">
                  <c:v>2.2018474404894517E-2</c:v>
                </c:pt>
                <c:pt idx="39">
                  <c:v>1.1009124000027404E-2</c:v>
                </c:pt>
                <c:pt idx="40">
                  <c:v>1.3010738314842063E-2</c:v>
                </c:pt>
                <c:pt idx="41">
                  <c:v>1.9015629284343361E-2</c:v>
                </c:pt>
                <c:pt idx="42">
                  <c:v>2.8723509996195495E-2</c:v>
                </c:pt>
                <c:pt idx="43">
                  <c:v>3.0725043014511788E-2</c:v>
                </c:pt>
                <c:pt idx="44">
                  <c:v>3.0124243826367081E-2</c:v>
                </c:pt>
                <c:pt idx="45">
                  <c:v>2.9823899974637191E-2</c:v>
                </c:pt>
                <c:pt idx="46">
                  <c:v>2.2417888246443252E-2</c:v>
                </c:pt>
                <c:pt idx="47">
                  <c:v>2.5420196868745026E-2</c:v>
                </c:pt>
                <c:pt idx="48">
                  <c:v>2.3018209611027907E-2</c:v>
                </c:pt>
                <c:pt idx="49">
                  <c:v>2.6720772655454805E-2</c:v>
                </c:pt>
                <c:pt idx="50">
                  <c:v>2.8021688018809165E-2</c:v>
                </c:pt>
                <c:pt idx="51">
                  <c:v>3.2925370576642909E-2</c:v>
                </c:pt>
                <c:pt idx="52">
                  <c:v>2.7821342399649063E-2</c:v>
                </c:pt>
                <c:pt idx="53">
                  <c:v>2.6219844471329301E-2</c:v>
                </c:pt>
                <c:pt idx="54">
                  <c:v>3.1223524573308625E-2</c:v>
                </c:pt>
                <c:pt idx="55">
                  <c:v>3.0522892169126792E-2</c:v>
                </c:pt>
                <c:pt idx="56">
                  <c:v>3.1623609407023079E-2</c:v>
                </c:pt>
                <c:pt idx="57">
                  <c:v>3.3024542211163854E-2</c:v>
                </c:pt>
                <c:pt idx="58">
                  <c:v>4.2230660616612015E-2</c:v>
                </c:pt>
                <c:pt idx="59">
                  <c:v>4.1630082011316405E-2</c:v>
                </c:pt>
                <c:pt idx="60">
                  <c:v>4.2530587066040626E-2</c:v>
                </c:pt>
                <c:pt idx="61">
                  <c:v>4.7333554951626666E-2</c:v>
                </c:pt>
                <c:pt idx="62">
                  <c:v>4.9334804690980616E-2</c:v>
                </c:pt>
                <c:pt idx="63">
                  <c:v>4.6832879247416859E-2</c:v>
                </c:pt>
                <c:pt idx="64">
                  <c:v>3.992789483063508E-2</c:v>
                </c:pt>
                <c:pt idx="65">
                  <c:v>4.0428105840704331E-2</c:v>
                </c:pt>
                <c:pt idx="66">
                  <c:v>3.7425633995887608E-2</c:v>
                </c:pt>
                <c:pt idx="67">
                  <c:v>4.2128711005102792E-2</c:v>
                </c:pt>
                <c:pt idx="68">
                  <c:v>4.3229313027326743E-2</c:v>
                </c:pt>
                <c:pt idx="69">
                  <c:v>4.1527447936478556E-2</c:v>
                </c:pt>
                <c:pt idx="70">
                  <c:v>4.3328489966005024E-2</c:v>
                </c:pt>
                <c:pt idx="71">
                  <c:v>4.4429061475142972E-2</c:v>
                </c:pt>
                <c:pt idx="72">
                  <c:v>4.4528363957863526E-2</c:v>
                </c:pt>
                <c:pt idx="73">
                  <c:v>4.6129225708068489E-2</c:v>
                </c:pt>
                <c:pt idx="74">
                  <c:v>4.3527428242454147E-2</c:v>
                </c:pt>
                <c:pt idx="75">
                  <c:v>4.4427843477247708E-2</c:v>
                </c:pt>
                <c:pt idx="76">
                  <c:v>4.5028065438046994E-2</c:v>
                </c:pt>
                <c:pt idx="77">
                  <c:v>4.0424780944483096E-2</c:v>
                </c:pt>
                <c:pt idx="78">
                  <c:v>4.2425862340741971E-2</c:v>
                </c:pt>
                <c:pt idx="79">
                  <c:v>4.582777916750902E-2</c:v>
                </c:pt>
                <c:pt idx="80">
                  <c:v>4.3626295301277485E-2</c:v>
                </c:pt>
                <c:pt idx="81">
                  <c:v>4.4426625546132081E-2</c:v>
                </c:pt>
                <c:pt idx="82">
                  <c:v>4.552681716627599E-2</c:v>
                </c:pt>
                <c:pt idx="83">
                  <c:v>4.3925723625821977E-2</c:v>
                </c:pt>
                <c:pt idx="84">
                  <c:v>4.6427029434944977E-2</c:v>
                </c:pt>
                <c:pt idx="85">
                  <c:v>4.9928897204203737E-2</c:v>
                </c:pt>
                <c:pt idx="86">
                  <c:v>4.6526768825899789E-2</c:v>
                </c:pt>
                <c:pt idx="87">
                  <c:v>4.3924820532150022E-2</c:v>
                </c:pt>
                <c:pt idx="88">
                  <c:v>4.5325456763387673E-2</c:v>
                </c:pt>
                <c:pt idx="89">
                  <c:v>4.4324742921562355E-2</c:v>
                </c:pt>
                <c:pt idx="90">
                  <c:v>4.3724257978741632E-2</c:v>
                </c:pt>
                <c:pt idx="91">
                  <c:v>4.5124880499179287E-2</c:v>
                </c:pt>
                <c:pt idx="92">
                  <c:v>4.2923225580965063E-2</c:v>
                </c:pt>
                <c:pt idx="93">
                  <c:v>4.1722432951963928E-2</c:v>
                </c:pt>
                <c:pt idx="94">
                  <c:v>3.8820739847315766E-2</c:v>
                </c:pt>
                <c:pt idx="95">
                  <c:v>3.5418801075913553E-2</c:v>
                </c:pt>
                <c:pt idx="96">
                  <c:v>3.5118521411977521E-2</c:v>
                </c:pt>
                <c:pt idx="97">
                  <c:v>3.541831563582537E-2</c:v>
                </c:pt>
                <c:pt idx="98">
                  <c:v>3.7119068014390966E-2</c:v>
                </c:pt>
                <c:pt idx="99">
                  <c:v>3.5618175027668286E-2</c:v>
                </c:pt>
                <c:pt idx="100">
                  <c:v>3.2116278113564434E-2</c:v>
                </c:pt>
                <c:pt idx="101">
                  <c:v>2.9014606668425647E-2</c:v>
                </c:pt>
                <c:pt idx="102">
                  <c:v>3.2415763830355881E-2</c:v>
                </c:pt>
                <c:pt idx="103">
                  <c:v>3.7418068313809061E-2</c:v>
                </c:pt>
                <c:pt idx="104">
                  <c:v>3.6917700267251385E-2</c:v>
                </c:pt>
                <c:pt idx="105">
                  <c:v>4.1019245330857268E-2</c:v>
                </c:pt>
                <c:pt idx="106">
                  <c:v>3.641696132445249E-2</c:v>
                </c:pt>
                <c:pt idx="107">
                  <c:v>3.5816559025576844E-2</c:v>
                </c:pt>
                <c:pt idx="108">
                  <c:v>3.5716390398333464E-2</c:v>
                </c:pt>
                <c:pt idx="109">
                  <c:v>3.7817224968907104E-2</c:v>
                </c:pt>
                <c:pt idx="110">
                  <c:v>3.7716791722342158E-2</c:v>
                </c:pt>
                <c:pt idx="111">
                  <c:v>4.0818032624001688E-2</c:v>
                </c:pt>
                <c:pt idx="112">
                  <c:v>4.3719164565288848E-2</c:v>
                </c:pt>
                <c:pt idx="113">
                  <c:v>3.8216621612824797E-2</c:v>
                </c:pt>
                <c:pt idx="114">
                  <c:v>4.1017699418242126E-2</c:v>
                </c:pt>
                <c:pt idx="115">
                  <c:v>4.051706712073927E-2</c:v>
                </c:pt>
                <c:pt idx="116">
                  <c:v>4.6219310807940284E-2</c:v>
                </c:pt>
                <c:pt idx="117">
                  <c:v>3.7115380003357512E-2</c:v>
                </c:pt>
                <c:pt idx="118">
                  <c:v>3.2513361655474804E-2</c:v>
                </c:pt>
                <c:pt idx="119">
                  <c:v>3.8915859545499698E-2</c:v>
                </c:pt>
                <c:pt idx="120">
                  <c:v>4.011593646791195E-2</c:v>
                </c:pt>
                <c:pt idx="121">
                  <c:v>4.1116193021224101E-2</c:v>
                </c:pt>
                <c:pt idx="122">
                  <c:v>4.1416169326380814E-2</c:v>
                </c:pt>
                <c:pt idx="123">
                  <c:v>4.2216337144168781E-2</c:v>
                </c:pt>
                <c:pt idx="124">
                  <c:v>3.7614427451625299E-2</c:v>
                </c:pt>
                <c:pt idx="125">
                  <c:v>3.6613667430650476E-2</c:v>
                </c:pt>
                <c:pt idx="126">
                  <c:v>3.2612061995532571E-2</c:v>
                </c:pt>
                <c:pt idx="127">
                  <c:v>3.8213872159071405E-2</c:v>
                </c:pt>
                <c:pt idx="128">
                  <c:v>4.1214820397745766E-2</c:v>
                </c:pt>
                <c:pt idx="129">
                  <c:v>3.8613488273300967E-2</c:v>
                </c:pt>
                <c:pt idx="130">
                  <c:v>3.6012456363331113E-2</c:v>
                </c:pt>
                <c:pt idx="131">
                  <c:v>3.5612195957519688E-2</c:v>
                </c:pt>
                <c:pt idx="132">
                  <c:v>4.2513831554786663E-2</c:v>
                </c:pt>
                <c:pt idx="133">
                  <c:v>4.1313299486821109E-2</c:v>
                </c:pt>
                <c:pt idx="134">
                  <c:v>4.2113412833539476E-2</c:v>
                </c:pt>
                <c:pt idx="135">
                  <c:v>3.9912575194924471E-2</c:v>
                </c:pt>
                <c:pt idx="136">
                  <c:v>3.9912438465412148E-2</c:v>
                </c:pt>
                <c:pt idx="137">
                  <c:v>4.0512209158924561E-2</c:v>
                </c:pt>
                <c:pt idx="138">
                  <c:v>3.9711831949930276E-2</c:v>
                </c:pt>
                <c:pt idx="139">
                  <c:v>3.8511342381660374E-2</c:v>
                </c:pt>
                <c:pt idx="140">
                  <c:v>3.4710103968621009E-2</c:v>
                </c:pt>
                <c:pt idx="141">
                  <c:v>3.2009208128365718E-2</c:v>
                </c:pt>
                <c:pt idx="142">
                  <c:v>3.5709905830041855E-2</c:v>
                </c:pt>
                <c:pt idx="143">
                  <c:v>3.4009317621266077E-2</c:v>
                </c:pt>
                <c:pt idx="144">
                  <c:v>3.400920111948097E-2</c:v>
                </c:pt>
                <c:pt idx="145">
                  <c:v>3.2108576948636947E-2</c:v>
                </c:pt>
                <c:pt idx="146">
                  <c:v>2.720717449464416E-2</c:v>
                </c:pt>
                <c:pt idx="147">
                  <c:v>3.3708542575858258E-2</c:v>
                </c:pt>
                <c:pt idx="148">
                  <c:v>3.2008002000500135E-2</c:v>
                </c:pt>
                <c:pt idx="149">
                  <c:v>3.1507769038941091E-2</c:v>
                </c:pt>
                <c:pt idx="150">
                  <c:v>3.4808463701790526E-2</c:v>
                </c:pt>
                <c:pt idx="151">
                  <c:v>3.160757715890794E-2</c:v>
                </c:pt>
                <c:pt idx="152">
                  <c:v>3.1807298249940885E-2</c:v>
                </c:pt>
                <c:pt idx="153">
                  <c:v>3.1107031041262778E-2</c:v>
                </c:pt>
                <c:pt idx="154">
                  <c:v>3.2407213934608714E-2</c:v>
                </c:pt>
                <c:pt idx="155">
                  <c:v>3.2107037158829399E-2</c:v>
                </c:pt>
                <c:pt idx="156">
                  <c:v>2.9506366099535108E-2</c:v>
                </c:pt>
                <c:pt idx="157">
                  <c:v>3.0006165650476091E-2</c:v>
                </c:pt>
                <c:pt idx="158">
                  <c:v>2.8105678887172414E-2</c:v>
                </c:pt>
                <c:pt idx="159">
                  <c:v>2.7905542881805245E-2</c:v>
                </c:pt>
                <c:pt idx="160">
                  <c:v>3.0205896356480522E-2</c:v>
                </c:pt>
                <c:pt idx="161">
                  <c:v>2.64050639848738E-2</c:v>
                </c:pt>
                <c:pt idx="162">
                  <c:v>2.8005083114400975E-2</c:v>
                </c:pt>
                <c:pt idx="163">
                  <c:v>2.8004987189499564E-2</c:v>
                </c:pt>
                <c:pt idx="164">
                  <c:v>2.1703790730572825E-2</c:v>
                </c:pt>
                <c:pt idx="165">
                  <c:v>1.9803390991608216E-2</c:v>
                </c:pt>
                <c:pt idx="166">
                  <c:v>2.1503608482245307E-2</c:v>
                </c:pt>
                <c:pt idx="167">
                  <c:v>2.0003014152817522E-2</c:v>
                </c:pt>
                <c:pt idx="168">
                  <c:v>1.8602739444507244E-2</c:v>
                </c:pt>
                <c:pt idx="169">
                  <c:v>1.8502661341699811E-2</c:v>
                </c:pt>
                <c:pt idx="170">
                  <c:v>1.9002538010213677E-2</c:v>
                </c:pt>
                <c:pt idx="171">
                  <c:v>1.890245990916628E-2</c:v>
                </c:pt>
                <c:pt idx="172">
                  <c:v>2.1002661296123049E-2</c:v>
                </c:pt>
                <c:pt idx="173">
                  <c:v>2.7803427819868165E-2</c:v>
                </c:pt>
                <c:pt idx="174">
                  <c:v>2.3102769167537229E-2</c:v>
                </c:pt>
                <c:pt idx="175">
                  <c:v>2.7002959228408618E-2</c:v>
                </c:pt>
                <c:pt idx="176">
                  <c:v>2.930311094671012E-2</c:v>
                </c:pt>
                <c:pt idx="177">
                  <c:v>2.9102990033222587E-2</c:v>
                </c:pt>
                <c:pt idx="178">
                  <c:v>2.9202900288042288E-2</c:v>
                </c:pt>
                <c:pt idx="179">
                  <c:v>3.1503020837614526E-2</c:v>
                </c:pt>
                <c:pt idx="180">
                  <c:v>3.2102748522989943E-2</c:v>
                </c:pt>
                <c:pt idx="181">
                  <c:v>3.3302737211277689E-2</c:v>
                </c:pt>
                <c:pt idx="182">
                  <c:v>3.5202772821146922E-2</c:v>
                </c:pt>
                <c:pt idx="183">
                  <c:v>3.3902554302036425E-2</c:v>
                </c:pt>
                <c:pt idx="184">
                  <c:v>3.4902510112028551E-2</c:v>
                </c:pt>
                <c:pt idx="185">
                  <c:v>3.3001921344735785E-2</c:v>
                </c:pt>
                <c:pt idx="186">
                  <c:v>3.2401775439750147E-2</c:v>
                </c:pt>
                <c:pt idx="187">
                  <c:v>3.0501566861311336E-2</c:v>
                </c:pt>
                <c:pt idx="188">
                  <c:v>2.9301404861876934E-2</c:v>
                </c:pt>
                <c:pt idx="189">
                  <c:v>2.8501073670583521E-2</c:v>
                </c:pt>
                <c:pt idx="190">
                  <c:v>2.750094181307583E-2</c:v>
                </c:pt>
                <c:pt idx="191">
                  <c:v>2.6300810641423866E-2</c:v>
                </c:pt>
                <c:pt idx="192">
                  <c:v>2.4500671251267092E-2</c:v>
                </c:pt>
                <c:pt idx="193">
                  <c:v>2.310055378039888E-2</c:v>
                </c:pt>
                <c:pt idx="194">
                  <c:v>2.3000315072809197E-2</c:v>
                </c:pt>
                <c:pt idx="195">
                  <c:v>2.6900276372702536E-2</c:v>
                </c:pt>
                <c:pt idx="196">
                  <c:v>2.5000171234049517E-2</c:v>
                </c:pt>
                <c:pt idx="197">
                  <c:v>2.3600080822194558E-2</c:v>
                </c:pt>
                <c:pt idx="198">
                  <c:v>2.3899754454577538E-2</c:v>
                </c:pt>
                <c:pt idx="199">
                  <c:v>1.99997260311503E-2</c:v>
                </c:pt>
                <c:pt idx="200">
                  <c:v>2.4899573637437777E-2</c:v>
                </c:pt>
                <c:pt idx="201">
                  <c:v>2.5699471928659012E-2</c:v>
                </c:pt>
                <c:pt idx="202">
                  <c:v>2.919930001678045E-2</c:v>
                </c:pt>
                <c:pt idx="203">
                  <c:v>2.8999006883325962E-2</c:v>
                </c:pt>
                <c:pt idx="204">
                  <c:v>3.0698843536716092E-2</c:v>
                </c:pt>
                <c:pt idx="205">
                  <c:v>3.0598742517430833E-2</c:v>
                </c:pt>
                <c:pt idx="206">
                  <c:v>2.9998664443021406E-2</c:v>
                </c:pt>
                <c:pt idx="207">
                  <c:v>2.9398590478538655E-2</c:v>
                </c:pt>
                <c:pt idx="208">
                  <c:v>2.7198416530544445E-2</c:v>
                </c:pt>
                <c:pt idx="209">
                  <c:v>2.6698354211041719E-2</c:v>
                </c:pt>
                <c:pt idx="210">
                  <c:v>2.2998503522031088E-2</c:v>
                </c:pt>
                <c:pt idx="211">
                  <c:v>2.4098349428121335E-2</c:v>
                </c:pt>
                <c:pt idx="212">
                  <c:v>2.2898353200625943E-2</c:v>
                </c:pt>
                <c:pt idx="213">
                  <c:v>1.8898446703010718E-2</c:v>
                </c:pt>
                <c:pt idx="214">
                  <c:v>1.9798304939645572E-2</c:v>
                </c:pt>
                <c:pt idx="215">
                  <c:v>2.1698067980248259E-2</c:v>
                </c:pt>
                <c:pt idx="216">
                  <c:v>2.2197947450064537E-2</c:v>
                </c:pt>
                <c:pt idx="217">
                  <c:v>1.8697758830277134E-2</c:v>
                </c:pt>
                <c:pt idx="218">
                  <c:v>1.8797811213762838E-2</c:v>
                </c:pt>
                <c:pt idx="219">
                  <c:v>2.499717497680054E-2</c:v>
                </c:pt>
                <c:pt idx="220">
                  <c:v>2.4397326320403256E-2</c:v>
                </c:pt>
                <c:pt idx="221">
                  <c:v>2.3997452325266788E-2</c:v>
                </c:pt>
                <c:pt idx="222">
                  <c:v>2.1798283011954522E-2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12-4557-B182-EC387C126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2686223"/>
        <c:axId val="552688303"/>
      </c:lineChart>
      <c:catAx>
        <c:axId val="552686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88303"/>
        <c:crosses val="autoZero"/>
        <c:auto val="1"/>
        <c:lblAlgn val="ctr"/>
        <c:lblOffset val="100"/>
        <c:noMultiLvlLbl val="0"/>
      </c:catAx>
      <c:valAx>
        <c:axId val="552688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862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dolares.xlsm]29-30!Tabla dinámica7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29-30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9959576399572018E-2"/>
          <c:y val="0.15313447135813152"/>
          <c:w val="0.94656569886096054"/>
          <c:h val="0.69639212598425204"/>
        </c:manualLayout>
      </c:layout>
      <c:lineChart>
        <c:grouping val="standard"/>
        <c:varyColors val="0"/>
        <c:ser>
          <c:idx val="0"/>
          <c:order val="0"/>
          <c:tx>
            <c:strRef>
              <c:f>'29-30'!$B$1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'29-30'!$A$2:$A$205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'29-30'!$B$2:$B$205</c:f>
              <c:numCache>
                <c:formatCode>0.00%</c:formatCode>
                <c:ptCount val="203"/>
                <c:pt idx="0">
                  <c:v>3.0340643104235232E-3</c:v>
                </c:pt>
                <c:pt idx="1">
                  <c:v>6.8966468147720894E-3</c:v>
                </c:pt>
                <c:pt idx="2">
                  <c:v>1.2407260130564091E-2</c:v>
                </c:pt>
                <c:pt idx="3">
                  <c:v>1.9578319378109443E-2</c:v>
                </c:pt>
                <c:pt idx="4">
                  <c:v>1.5951413235363476E-2</c:v>
                </c:pt>
                <c:pt idx="5">
                  <c:v>1.6149305355808163E-2</c:v>
                </c:pt>
                <c:pt idx="6">
                  <c:v>1.4372870117599523E-2</c:v>
                </c:pt>
                <c:pt idx="7">
                  <c:v>1.3837782216739647E-2</c:v>
                </c:pt>
                <c:pt idx="8">
                  <c:v>1.9029173890754092E-2</c:v>
                </c:pt>
                <c:pt idx="9">
                  <c:v>1.5635826212235582E-2</c:v>
                </c:pt>
                <c:pt idx="10">
                  <c:v>1.7092862968268507E-2</c:v>
                </c:pt>
                <c:pt idx="11">
                  <c:v>1.6461092753416173E-2</c:v>
                </c:pt>
                <c:pt idx="12">
                  <c:v>1.5739601424384186E-2</c:v>
                </c:pt>
                <c:pt idx="13">
                  <c:v>1.8657665664576828E-2</c:v>
                </c:pt>
                <c:pt idx="14">
                  <c:v>1.4588326188595846E-2</c:v>
                </c:pt>
                <c:pt idx="15">
                  <c:v>1.2949415655578722E-2</c:v>
                </c:pt>
                <c:pt idx="16">
                  <c:v>1.1530982518000776E-2</c:v>
                </c:pt>
                <c:pt idx="17">
                  <c:v>9.4272358778761944E-3</c:v>
                </c:pt>
                <c:pt idx="18">
                  <c:v>9.2079971964778018E-3</c:v>
                </c:pt>
                <c:pt idx="19">
                  <c:v>1.2020006549852358E-2</c:v>
                </c:pt>
                <c:pt idx="20">
                  <c:v>1.0061932503005189E-2</c:v>
                </c:pt>
                <c:pt idx="21">
                  <c:v>7.4128120405908549E-3</c:v>
                </c:pt>
                <c:pt idx="22">
                  <c:v>4.4772565163522238E-3</c:v>
                </c:pt>
                <c:pt idx="23">
                  <c:v>3.9492190919996339E-3</c:v>
                </c:pt>
                <c:pt idx="24">
                  <c:v>4.3670590859589686E-3</c:v>
                </c:pt>
                <c:pt idx="25">
                  <c:v>5.8432817436289142E-3</c:v>
                </c:pt>
                <c:pt idx="26">
                  <c:v>1.1405321969955251E-2</c:v>
                </c:pt>
                <c:pt idx="27">
                  <c:v>2.2663046422689404E-2</c:v>
                </c:pt>
                <c:pt idx="28">
                  <c:v>3.7863765237646008E-2</c:v>
                </c:pt>
                <c:pt idx="29">
                  <c:v>2.5829388128095376E-2</c:v>
                </c:pt>
                <c:pt idx="30">
                  <c:v>4.04824420712524E-2</c:v>
                </c:pt>
                <c:pt idx="31">
                  <c:v>5.6759589367192942E-2</c:v>
                </c:pt>
                <c:pt idx="32">
                  <c:v>6.9936409793250887E-2</c:v>
                </c:pt>
                <c:pt idx="33">
                  <c:v>7.129283600770614E-2</c:v>
                </c:pt>
                <c:pt idx="34">
                  <c:v>5.3372562157845527E-2</c:v>
                </c:pt>
                <c:pt idx="35">
                  <c:v>6.6938524632930763E-2</c:v>
                </c:pt>
                <c:pt idx="36">
                  <c:v>6.7834127679731071E-2</c:v>
                </c:pt>
                <c:pt idx="37">
                  <c:v>7.7867060860588255E-2</c:v>
                </c:pt>
                <c:pt idx="38">
                  <c:v>7.6849563033573653E-2</c:v>
                </c:pt>
                <c:pt idx="39">
                  <c:v>7.623209999971603E-2</c:v>
                </c:pt>
                <c:pt idx="40">
                  <c:v>7.0183758187956802E-2</c:v>
                </c:pt>
                <c:pt idx="41">
                  <c:v>5.864279415143131E-2</c:v>
                </c:pt>
                <c:pt idx="42">
                  <c:v>4.7876761606338525E-2</c:v>
                </c:pt>
                <c:pt idx="43">
                  <c:v>5.3628027431288694E-2</c:v>
                </c:pt>
                <c:pt idx="44">
                  <c:v>4.9991763498549446E-2</c:v>
                </c:pt>
                <c:pt idx="45">
                  <c:v>4.1220000287083114E-2</c:v>
                </c:pt>
                <c:pt idx="46">
                  <c:v>4.0077332729164916E-2</c:v>
                </c:pt>
                <c:pt idx="47">
                  <c:v>3.1092327845402445E-2</c:v>
                </c:pt>
                <c:pt idx="48">
                  <c:v>3.3878582342669161E-2</c:v>
                </c:pt>
                <c:pt idx="49">
                  <c:v>4.036682512233325E-2</c:v>
                </c:pt>
                <c:pt idx="50">
                  <c:v>4.4299720000001985E-2</c:v>
                </c:pt>
                <c:pt idx="51">
                  <c:v>4.4378785920275443E-2</c:v>
                </c:pt>
                <c:pt idx="52">
                  <c:v>4.1953862029139699E-2</c:v>
                </c:pt>
                <c:pt idx="53">
                  <c:v>3.8178247422756495E-2</c:v>
                </c:pt>
                <c:pt idx="54">
                  <c:v>3.604823184282796E-2</c:v>
                </c:pt>
                <c:pt idx="55">
                  <c:v>3.3330631776649411E-2</c:v>
                </c:pt>
                <c:pt idx="56">
                  <c:v>3.1821361917110713E-2</c:v>
                </c:pt>
                <c:pt idx="57">
                  <c:v>3.3810496853109273E-2</c:v>
                </c:pt>
                <c:pt idx="58">
                  <c:v>2.7951948973354124E-2</c:v>
                </c:pt>
                <c:pt idx="59">
                  <c:v>2.6662175858475745E-2</c:v>
                </c:pt>
                <c:pt idx="60">
                  <c:v>2.2838993504153748E-2</c:v>
                </c:pt>
                <c:pt idx="61">
                  <c:v>1.981510299670447E-2</c:v>
                </c:pt>
                <c:pt idx="62">
                  <c:v>1.928707263332291E-2</c:v>
                </c:pt>
                <c:pt idx="63">
                  <c:v>1.9767337252446449E-2</c:v>
                </c:pt>
                <c:pt idx="64">
                  <c:v>1.9357893911094493E-2</c:v>
                </c:pt>
                <c:pt idx="65">
                  <c:v>1.7355166420650325E-2</c:v>
                </c:pt>
                <c:pt idx="66">
                  <c:v>1.6746387483785485E-2</c:v>
                </c:pt>
                <c:pt idx="67">
                  <c:v>1.7941231093803356E-2</c:v>
                </c:pt>
                <c:pt idx="68">
                  <c:v>1.8529885456381179E-2</c:v>
                </c:pt>
                <c:pt idx="69">
                  <c:v>1.5374874199002186E-2</c:v>
                </c:pt>
                <c:pt idx="70">
                  <c:v>1.6170200599921525E-2</c:v>
                </c:pt>
                <c:pt idx="71">
                  <c:v>1.6059813244913235E-2</c:v>
                </c:pt>
                <c:pt idx="72">
                  <c:v>9.9599931096897576E-3</c:v>
                </c:pt>
                <c:pt idx="73">
                  <c:v>1.1846234150643287E-2</c:v>
                </c:pt>
                <c:pt idx="74">
                  <c:v>1.5849810219339733E-2</c:v>
                </c:pt>
                <c:pt idx="75">
                  <c:v>1.8629544062798487E-2</c:v>
                </c:pt>
                <c:pt idx="76">
                  <c:v>1.5300759446676915E-2</c:v>
                </c:pt>
                <c:pt idx="77">
                  <c:v>1.906979176159429E-2</c:v>
                </c:pt>
                <c:pt idx="78">
                  <c:v>2.0868671564024555E-2</c:v>
                </c:pt>
                <c:pt idx="79">
                  <c:v>1.7339065922587715E-2</c:v>
                </c:pt>
                <c:pt idx="80">
                  <c:v>1.6515554184171999E-2</c:v>
                </c:pt>
                <c:pt idx="81">
                  <c:v>1.5598887533415873E-2</c:v>
                </c:pt>
                <c:pt idx="82">
                  <c:v>1.466990797012302E-2</c:v>
                </c:pt>
                <c:pt idx="83">
                  <c:v>1.5764913604100317E-2</c:v>
                </c:pt>
                <c:pt idx="84">
                  <c:v>1.3944655072432754E-2</c:v>
                </c:pt>
                <c:pt idx="85">
                  <c:v>1.3731963600923103E-2</c:v>
                </c:pt>
                <c:pt idx="86">
                  <c:v>1.4726881015009075E-2</c:v>
                </c:pt>
                <c:pt idx="87">
                  <c:v>1.4593252035293325E-2</c:v>
                </c:pt>
                <c:pt idx="88">
                  <c:v>1.4281797979084965E-2</c:v>
                </c:pt>
                <c:pt idx="89">
                  <c:v>1.5672493629683371E-2</c:v>
                </c:pt>
                <c:pt idx="90">
                  <c:v>1.3346299687576002E-2</c:v>
                </c:pt>
                <c:pt idx="91">
                  <c:v>1.5641854929811738E-2</c:v>
                </c:pt>
                <c:pt idx="92">
                  <c:v>1.8423255027920415E-2</c:v>
                </c:pt>
                <c:pt idx="93">
                  <c:v>2.0317237107866593E-2</c:v>
                </c:pt>
                <c:pt idx="94">
                  <c:v>1.9697811623995032E-2</c:v>
                </c:pt>
                <c:pt idx="95">
                  <c:v>1.9883790410033575E-2</c:v>
                </c:pt>
                <c:pt idx="96">
                  <c:v>2.0074277759052461E-2</c:v>
                </c:pt>
                <c:pt idx="97">
                  <c:v>2.0448177395246014E-2</c:v>
                </c:pt>
                <c:pt idx="98">
                  <c:v>2.0935909493557059E-2</c:v>
                </c:pt>
                <c:pt idx="99">
                  <c:v>2.1024190932012576E-2</c:v>
                </c:pt>
                <c:pt idx="100">
                  <c:v>2.2304199344393261E-2</c:v>
                </c:pt>
                <c:pt idx="101">
                  <c:v>2.6893445571350316E-2</c:v>
                </c:pt>
                <c:pt idx="102">
                  <c:v>2.683524389341696E-2</c:v>
                </c:pt>
                <c:pt idx="103">
                  <c:v>2.3332935912927788E-2</c:v>
                </c:pt>
                <c:pt idx="104">
                  <c:v>2.4910726502308245E-2</c:v>
                </c:pt>
                <c:pt idx="105">
                  <c:v>2.0270467682153626E-2</c:v>
                </c:pt>
                <c:pt idx="106">
                  <c:v>2.0643007467494034E-2</c:v>
                </c:pt>
                <c:pt idx="107">
                  <c:v>1.9440099362984575E-2</c:v>
                </c:pt>
                <c:pt idx="108">
                  <c:v>1.5729822010734362E-2</c:v>
                </c:pt>
                <c:pt idx="109">
                  <c:v>1.3923948350034188E-2</c:v>
                </c:pt>
                <c:pt idx="110">
                  <c:v>1.5301234106931849E-2</c:v>
                </c:pt>
                <c:pt idx="111">
                  <c:v>1.517638893275669E-2</c:v>
                </c:pt>
                <c:pt idx="112">
                  <c:v>1.3960854237600573E-2</c:v>
                </c:pt>
                <c:pt idx="113">
                  <c:v>1.5361528214510756E-2</c:v>
                </c:pt>
                <c:pt idx="114">
                  <c:v>1.8745020891703601E-2</c:v>
                </c:pt>
                <c:pt idx="115">
                  <c:v>1.2996902341661676E-2</c:v>
                </c:pt>
                <c:pt idx="116">
                  <c:v>1.2168828120072306E-2</c:v>
                </c:pt>
                <c:pt idx="117">
                  <c:v>1.5925215657108693E-2</c:v>
                </c:pt>
                <c:pt idx="118">
                  <c:v>1.5415062279806158E-2</c:v>
                </c:pt>
                <c:pt idx="119">
                  <c:v>1.2221301961886477E-2</c:v>
                </c:pt>
                <c:pt idx="120">
                  <c:v>1.6224123299930893E-2</c:v>
                </c:pt>
                <c:pt idx="121">
                  <c:v>1.3518902966722979E-2</c:v>
                </c:pt>
                <c:pt idx="122">
                  <c:v>1.1414402440930449E-2</c:v>
                </c:pt>
                <c:pt idx="123">
                  <c:v>1.0001669173319072E-2</c:v>
                </c:pt>
                <c:pt idx="124">
                  <c:v>1.1801008771144095E-2</c:v>
                </c:pt>
                <c:pt idx="125">
                  <c:v>1.2388750106958613E-2</c:v>
                </c:pt>
                <c:pt idx="126">
                  <c:v>1.347226278839686E-2</c:v>
                </c:pt>
                <c:pt idx="127">
                  <c:v>1.163187543994576E-2</c:v>
                </c:pt>
                <c:pt idx="128">
                  <c:v>1.2725976726246646E-2</c:v>
                </c:pt>
                <c:pt idx="129">
                  <c:v>1.599274101940884E-2</c:v>
                </c:pt>
                <c:pt idx="130">
                  <c:v>1.5974732078252618E-2</c:v>
                </c:pt>
                <c:pt idx="131">
                  <c:v>2.0372361451498178E-2</c:v>
                </c:pt>
                <c:pt idx="132">
                  <c:v>1.3930187898187896E-2</c:v>
                </c:pt>
                <c:pt idx="133">
                  <c:v>1.35154190846003E-2</c:v>
                </c:pt>
                <c:pt idx="134">
                  <c:v>1.3004100859527135E-2</c:v>
                </c:pt>
                <c:pt idx="135">
                  <c:v>1.5698271673517117E-2</c:v>
                </c:pt>
                <c:pt idx="136">
                  <c:v>1.518372680623381E-2</c:v>
                </c:pt>
                <c:pt idx="137">
                  <c:v>1.6771628669740357E-2</c:v>
                </c:pt>
                <c:pt idx="138">
                  <c:v>1.6565913956701317E-2</c:v>
                </c:pt>
                <c:pt idx="139">
                  <c:v>1.8757115090147103E-2</c:v>
                </c:pt>
                <c:pt idx="140">
                  <c:v>1.9242917887467736E-2</c:v>
                </c:pt>
                <c:pt idx="141">
                  <c:v>2.0736605702784128E-2</c:v>
                </c:pt>
                <c:pt idx="142">
                  <c:v>1.9009761297658634E-2</c:v>
                </c:pt>
                <c:pt idx="143">
                  <c:v>1.960018045611106E-2</c:v>
                </c:pt>
                <c:pt idx="144">
                  <c:v>2.1196586124687611E-2</c:v>
                </c:pt>
                <c:pt idx="145">
                  <c:v>2.2991977176581635E-2</c:v>
                </c:pt>
                <c:pt idx="146">
                  <c:v>2.3982423368935746E-2</c:v>
                </c:pt>
                <c:pt idx="147">
                  <c:v>2.03600188973459E-2</c:v>
                </c:pt>
                <c:pt idx="148">
                  <c:v>1.7952935127569458E-2</c:v>
                </c:pt>
                <c:pt idx="149">
                  <c:v>1.9649060961637543E-2</c:v>
                </c:pt>
                <c:pt idx="150">
                  <c:v>1.6331547957539327E-2</c:v>
                </c:pt>
                <c:pt idx="151">
                  <c:v>1.7523762389727582E-2</c:v>
                </c:pt>
                <c:pt idx="152">
                  <c:v>1.6495457644672695E-2</c:v>
                </c:pt>
                <c:pt idx="153">
                  <c:v>1.6886325555219406E-2</c:v>
                </c:pt>
                <c:pt idx="154">
                  <c:v>1.617492623130895E-2</c:v>
                </c:pt>
                <c:pt idx="155">
                  <c:v>1.8265601838726941E-2</c:v>
                </c:pt>
                <c:pt idx="156">
                  <c:v>2.0553611859349785E-2</c:v>
                </c:pt>
                <c:pt idx="157">
                  <c:v>2.0528641924302593E-2</c:v>
                </c:pt>
                <c:pt idx="158">
                  <c:v>2.2214349318179838E-2</c:v>
                </c:pt>
                <c:pt idx="159">
                  <c:v>2.2510132927244908E-2</c:v>
                </c:pt>
                <c:pt idx="160">
                  <c:v>2.280329712884005E-2</c:v>
                </c:pt>
                <c:pt idx="161">
                  <c:v>2.3807688457116338E-2</c:v>
                </c:pt>
                <c:pt idx="162">
                  <c:v>2.3988500577557414E-2</c:v>
                </c:pt>
                <c:pt idx="163">
                  <c:v>2.347855556390771E-2</c:v>
                </c:pt>
                <c:pt idx="164">
                  <c:v>2.4262743048251489E-2</c:v>
                </c:pt>
                <c:pt idx="165">
                  <c:v>2.5551957639738998E-2</c:v>
                </c:pt>
                <c:pt idx="166">
                  <c:v>2.573870333924505E-2</c:v>
                </c:pt>
                <c:pt idx="167">
                  <c:v>2.360243325914968E-2</c:v>
                </c:pt>
                <c:pt idx="168">
                  <c:v>2.4796857972217756E-2</c:v>
                </c:pt>
                <c:pt idx="169">
                  <c:v>2.3282763559583086E-2</c:v>
                </c:pt>
                <c:pt idx="170">
                  <c:v>2.3355029596422883E-2</c:v>
                </c:pt>
                <c:pt idx="171">
                  <c:v>2.2848130673907063E-2</c:v>
                </c:pt>
                <c:pt idx="172">
                  <c:v>2.0843145498939897E-2</c:v>
                </c:pt>
                <c:pt idx="173">
                  <c:v>2.1832688410393875E-2</c:v>
                </c:pt>
                <c:pt idx="174">
                  <c:v>2.2322237176505499E-2</c:v>
                </c:pt>
                <c:pt idx="175">
                  <c:v>1.6994930353261828E-2</c:v>
                </c:pt>
                <c:pt idx="176">
                  <c:v>1.7590083116658661E-2</c:v>
                </c:pt>
                <c:pt idx="177">
                  <c:v>1.6784593926347291E-2</c:v>
                </c:pt>
                <c:pt idx="178">
                  <c:v>1.5576371486511364E-2</c:v>
                </c:pt>
                <c:pt idx="179">
                  <c:v>1.6269587625410198E-2</c:v>
                </c:pt>
                <c:pt idx="180">
                  <c:v>1.5740338378797569E-2</c:v>
                </c:pt>
                <c:pt idx="181">
                  <c:v>1.6629928089155199E-2</c:v>
                </c:pt>
                <c:pt idx="182">
                  <c:v>1.5519095643416414E-2</c:v>
                </c:pt>
                <c:pt idx="183">
                  <c:v>1.81088620361462E-2</c:v>
                </c:pt>
                <c:pt idx="184">
                  <c:v>1.9298894376247211E-2</c:v>
                </c:pt>
                <c:pt idx="185">
                  <c:v>1.9658526023387524E-2</c:v>
                </c:pt>
                <c:pt idx="186">
                  <c:v>2.0249037395082992E-2</c:v>
                </c:pt>
                <c:pt idx="187">
                  <c:v>2.1738392290943431E-2</c:v>
                </c:pt>
                <c:pt idx="188">
                  <c:v>2.4726922121257211E-2</c:v>
                </c:pt>
                <c:pt idx="189">
                  <c:v>2.399913505072343E-2</c:v>
                </c:pt>
                <c:pt idx="190">
                  <c:v>2.5788934703659949E-2</c:v>
                </c:pt>
                <c:pt idx="191">
                  <c:v>2.4379218707580419E-2</c:v>
                </c:pt>
                <c:pt idx="192">
                  <c:v>2.45702089450755E-2</c:v>
                </c:pt>
                <c:pt idx="193">
                  <c:v>2.4461848162996791E-2</c:v>
                </c:pt>
                <c:pt idx="194">
                  <c:v>2.6035264582576267E-2</c:v>
                </c:pt>
                <c:pt idx="195">
                  <c:v>2.5326368512688213E-2</c:v>
                </c:pt>
                <c:pt idx="196">
                  <c:v>1.8417195573637024E-2</c:v>
                </c:pt>
                <c:pt idx="197">
                  <c:v>1.6808577660063106E-2</c:v>
                </c:pt>
                <c:pt idx="198">
                  <c:v>1.5074100669743185E-2</c:v>
                </c:pt>
                <c:pt idx="199">
                  <c:v>1.2965257688492493E-2</c:v>
                </c:pt>
                <c:pt idx="200">
                  <c:v>1.3056152274674826E-2</c:v>
                </c:pt>
                <c:pt idx="201">
                  <c:v>1.0747474745765317E-2</c:v>
                </c:pt>
                <c:pt idx="202">
                  <c:v>8.2387320165162037E-3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FD-43AF-95E1-8D64EE423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69152"/>
        <c:axId val="135170688"/>
      </c:lineChart>
      <c:catAx>
        <c:axId val="1351691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5170688"/>
        <c:crosses val="autoZero"/>
        <c:auto val="1"/>
        <c:lblAlgn val="ctr"/>
        <c:lblOffset val="100"/>
        <c:noMultiLvlLbl val="0"/>
      </c:catAx>
      <c:valAx>
        <c:axId val="13517068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51691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dolares.xlsm]29-38!TablaDinámica2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8275356847517351E-2"/>
          <c:y val="0.1261664284518928"/>
          <c:w val="0.93658747707906376"/>
          <c:h val="0.80554844191466679"/>
        </c:manualLayout>
      </c:layout>
      <c:lineChart>
        <c:grouping val="standard"/>
        <c:varyColors val="0"/>
        <c:ser>
          <c:idx val="0"/>
          <c:order val="0"/>
          <c:tx>
            <c:strRef>
              <c:f>'29-38'!$B$1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'29-38'!$A$2:$A$205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'29-38'!$B$2:$B$205</c:f>
              <c:numCache>
                <c:formatCode>General</c:formatCode>
                <c:ptCount val="203"/>
                <c:pt idx="0">
                  <c:v>2.9761340777502865E-2</c:v>
                </c:pt>
                <c:pt idx="1">
                  <c:v>3.4224442552217349E-2</c:v>
                </c:pt>
                <c:pt idx="2">
                  <c:v>4.0535773966507427E-2</c:v>
                </c:pt>
                <c:pt idx="3">
                  <c:v>4.610511871305395E-2</c:v>
                </c:pt>
                <c:pt idx="4">
                  <c:v>4.4480137361709859E-2</c:v>
                </c:pt>
                <c:pt idx="5">
                  <c:v>4.3876938030837032E-2</c:v>
                </c:pt>
                <c:pt idx="6">
                  <c:v>4.1800109499177174E-2</c:v>
                </c:pt>
                <c:pt idx="7">
                  <c:v>4.9372952299458484E-2</c:v>
                </c:pt>
                <c:pt idx="8">
                  <c:v>4.5054843043891457E-2</c:v>
                </c:pt>
                <c:pt idx="9">
                  <c:v>3.8758553001922713E-2</c:v>
                </c:pt>
                <c:pt idx="10">
                  <c:v>4.1816909643802247E-2</c:v>
                </c:pt>
                <c:pt idx="11">
                  <c:v>4.5188935148614329E-2</c:v>
                </c:pt>
                <c:pt idx="12">
                  <c:v>3.7760868538515013E-2</c:v>
                </c:pt>
                <c:pt idx="13">
                  <c:v>3.6675004267821776E-2</c:v>
                </c:pt>
                <c:pt idx="14">
                  <c:v>3.610896241511441E-2</c:v>
                </c:pt>
                <c:pt idx="15">
                  <c:v>4.0475527755070351E-2</c:v>
                </c:pt>
                <c:pt idx="16">
                  <c:v>4.2059838560013163E-2</c:v>
                </c:pt>
                <c:pt idx="17">
                  <c:v>4.1457401273368499E-2</c:v>
                </c:pt>
                <c:pt idx="18">
                  <c:v>4.1838616339097967E-2</c:v>
                </c:pt>
                <c:pt idx="19">
                  <c:v>4.3749671613422025E-2</c:v>
                </c:pt>
                <c:pt idx="20">
                  <c:v>4.189125472107591E-2</c:v>
                </c:pt>
                <c:pt idx="21">
                  <c:v>4.1143770591589746E-2</c:v>
                </c:pt>
                <c:pt idx="22">
                  <c:v>4.4613956855360792E-2</c:v>
                </c:pt>
                <c:pt idx="23">
                  <c:v>4.7889246651351636E-2</c:v>
                </c:pt>
                <c:pt idx="24">
                  <c:v>4.9407626446286934E-2</c:v>
                </c:pt>
                <c:pt idx="25">
                  <c:v>4.1675432509041765E-2</c:v>
                </c:pt>
                <c:pt idx="26">
                  <c:v>4.6937081522157698E-2</c:v>
                </c:pt>
                <c:pt idx="27">
                  <c:v>4.6284078848822241E-2</c:v>
                </c:pt>
                <c:pt idx="28">
                  <c:v>6.6589244344113674E-2</c:v>
                </c:pt>
                <c:pt idx="29">
                  <c:v>4.8148955968393692E-2</c:v>
                </c:pt>
                <c:pt idx="30">
                  <c:v>6.6705342206644591E-2</c:v>
                </c:pt>
                <c:pt idx="31">
                  <c:v>8.3783096116214317E-2</c:v>
                </c:pt>
                <c:pt idx="32">
                  <c:v>9.6459390320899785E-2</c:v>
                </c:pt>
                <c:pt idx="33">
                  <c:v>9.2010715821792266E-2</c:v>
                </c:pt>
                <c:pt idx="34">
                  <c:v>7.7292960031374702E-2</c:v>
                </c:pt>
                <c:pt idx="35">
                  <c:v>8.2251530199302203E-2</c:v>
                </c:pt>
                <c:pt idx="36">
                  <c:v>7.9243778994370462E-2</c:v>
                </c:pt>
                <c:pt idx="37">
                  <c:v>8.3772035599580741E-2</c:v>
                </c:pt>
                <c:pt idx="38">
                  <c:v>8.3054769456771149E-2</c:v>
                </c:pt>
                <c:pt idx="39">
                  <c:v>8.0735832545181796E-2</c:v>
                </c:pt>
                <c:pt idx="40">
                  <c:v>6.9182932163738164E-2</c:v>
                </c:pt>
                <c:pt idx="41">
                  <c:v>6.6148963605777378E-2</c:v>
                </c:pt>
                <c:pt idx="42">
                  <c:v>5.25806116754019E-2</c:v>
                </c:pt>
                <c:pt idx="43">
                  <c:v>5.5929903618043619E-2</c:v>
                </c:pt>
                <c:pt idx="44">
                  <c:v>5.4595468535137137E-2</c:v>
                </c:pt>
                <c:pt idx="45">
                  <c:v>4.6524250953713209E-2</c:v>
                </c:pt>
                <c:pt idx="46">
                  <c:v>4.3480047909428665E-2</c:v>
                </c:pt>
                <c:pt idx="47">
                  <c:v>3.5395747000347477E-2</c:v>
                </c:pt>
                <c:pt idx="48">
                  <c:v>3.6480640820437504E-2</c:v>
                </c:pt>
                <c:pt idx="49">
                  <c:v>4.8373049138948965E-2</c:v>
                </c:pt>
                <c:pt idx="50">
                  <c:v>5.6309014865205953E-2</c:v>
                </c:pt>
                <c:pt idx="51">
                  <c:v>5.9290275938268744E-2</c:v>
                </c:pt>
                <c:pt idx="52">
                  <c:v>5.7065454483625322E-2</c:v>
                </c:pt>
                <c:pt idx="53">
                  <c:v>5.278930579227592E-2</c:v>
                </c:pt>
                <c:pt idx="54">
                  <c:v>5.135976793166197E-2</c:v>
                </c:pt>
                <c:pt idx="55">
                  <c:v>4.0035660548228102E-2</c:v>
                </c:pt>
                <c:pt idx="56">
                  <c:v>4.633219534754851E-2</c:v>
                </c:pt>
                <c:pt idx="57">
                  <c:v>4.8521429292627705E-2</c:v>
                </c:pt>
                <c:pt idx="58">
                  <c:v>4.7866407415784851E-2</c:v>
                </c:pt>
                <c:pt idx="59">
                  <c:v>4.9878952364786788E-2</c:v>
                </c:pt>
                <c:pt idx="60">
                  <c:v>4.8157201804643834E-2</c:v>
                </c:pt>
                <c:pt idx="61">
                  <c:v>4.8935746740728481E-2</c:v>
                </c:pt>
                <c:pt idx="62">
                  <c:v>4.9608463751714682E-2</c:v>
                </c:pt>
                <c:pt idx="63">
                  <c:v>4.4784900952989648E-2</c:v>
                </c:pt>
                <c:pt idx="64">
                  <c:v>3.8771456811202809E-2</c:v>
                </c:pt>
                <c:pt idx="65">
                  <c:v>3.6968801927526718E-2</c:v>
                </c:pt>
                <c:pt idx="66">
                  <c:v>3.8060986524224127E-2</c:v>
                </c:pt>
                <c:pt idx="67">
                  <c:v>3.8555279709126811E-2</c:v>
                </c:pt>
                <c:pt idx="68">
                  <c:v>3.8943727719285448E-2</c:v>
                </c:pt>
                <c:pt idx="69">
                  <c:v>3.4387440724136908E-2</c:v>
                </c:pt>
                <c:pt idx="70">
                  <c:v>3.7484215294515233E-2</c:v>
                </c:pt>
                <c:pt idx="71">
                  <c:v>4.3477747578672621E-2</c:v>
                </c:pt>
                <c:pt idx="72">
                  <c:v>4.3181154534432942E-2</c:v>
                </c:pt>
                <c:pt idx="73">
                  <c:v>4.5367471921148594E-2</c:v>
                </c:pt>
                <c:pt idx="74">
                  <c:v>4.3066960752552397E-2</c:v>
                </c:pt>
                <c:pt idx="75">
                  <c:v>4.3044845433177825E-2</c:v>
                </c:pt>
                <c:pt idx="76">
                  <c:v>4.0316351356703028E-2</c:v>
                </c:pt>
                <c:pt idx="77">
                  <c:v>4.5586046589039864E-2</c:v>
                </c:pt>
                <c:pt idx="78">
                  <c:v>4.7785079511334871E-2</c:v>
                </c:pt>
                <c:pt idx="79">
                  <c:v>4.495580620693812E-2</c:v>
                </c:pt>
                <c:pt idx="80">
                  <c:v>4.7134009143325495E-2</c:v>
                </c:pt>
                <c:pt idx="81">
                  <c:v>4.5516817799842624E-2</c:v>
                </c:pt>
                <c:pt idx="82">
                  <c:v>4.4687589618217116E-2</c:v>
                </c:pt>
                <c:pt idx="83">
                  <c:v>4.5182140815926419E-2</c:v>
                </c:pt>
                <c:pt idx="84">
                  <c:v>3.7758519308460581E-2</c:v>
                </c:pt>
                <c:pt idx="85">
                  <c:v>4.0547483542259011E-2</c:v>
                </c:pt>
                <c:pt idx="86">
                  <c:v>3.964121528952308E-2</c:v>
                </c:pt>
                <c:pt idx="87">
                  <c:v>3.5505068643993443E-2</c:v>
                </c:pt>
                <c:pt idx="88">
                  <c:v>3.6294161087131904E-2</c:v>
                </c:pt>
                <c:pt idx="89">
                  <c:v>3.3282323774593003E-2</c:v>
                </c:pt>
                <c:pt idx="90">
                  <c:v>2.8554737245399198E-2</c:v>
                </c:pt>
                <c:pt idx="91">
                  <c:v>3.0049799035979818E-2</c:v>
                </c:pt>
                <c:pt idx="92">
                  <c:v>3.1830509638291815E-2</c:v>
                </c:pt>
                <c:pt idx="93">
                  <c:v>3.3524338186186109E-2</c:v>
                </c:pt>
                <c:pt idx="94">
                  <c:v>3.2004386369407056E-2</c:v>
                </c:pt>
                <c:pt idx="95">
                  <c:v>3.3491013422248972E-2</c:v>
                </c:pt>
                <c:pt idx="96">
                  <c:v>3.6282826103042065E-2</c:v>
                </c:pt>
                <c:pt idx="97">
                  <c:v>3.6956714344147656E-2</c:v>
                </c:pt>
                <c:pt idx="98">
                  <c:v>3.8144749651172316E-2</c:v>
                </c:pt>
                <c:pt idx="99">
                  <c:v>4.0534146354471334E-2</c:v>
                </c:pt>
                <c:pt idx="100">
                  <c:v>3.7411856650150954E-2</c:v>
                </c:pt>
                <c:pt idx="101">
                  <c:v>3.8399237870898439E-2</c:v>
                </c:pt>
                <c:pt idx="102">
                  <c:v>4.1342298694039215E-2</c:v>
                </c:pt>
                <c:pt idx="103">
                  <c:v>4.3042453179827189E-2</c:v>
                </c:pt>
                <c:pt idx="104">
                  <c:v>3.8817394082654999E-2</c:v>
                </c:pt>
                <c:pt idx="105">
                  <c:v>3.9779620949268679E-2</c:v>
                </c:pt>
                <c:pt idx="106">
                  <c:v>3.7150695979951853E-2</c:v>
                </c:pt>
                <c:pt idx="107">
                  <c:v>3.7248332621511615E-2</c:v>
                </c:pt>
                <c:pt idx="108">
                  <c:v>3.4438407457480447E-2</c:v>
                </c:pt>
                <c:pt idx="109">
                  <c:v>3.3232743109290974E-2</c:v>
                </c:pt>
                <c:pt idx="110">
                  <c:v>3.2608939592250696E-2</c:v>
                </c:pt>
                <c:pt idx="111">
                  <c:v>3.3584521292600533E-2</c:v>
                </c:pt>
                <c:pt idx="112">
                  <c:v>4.067256348000825E-2</c:v>
                </c:pt>
                <c:pt idx="113">
                  <c:v>4.1172754329978856E-2</c:v>
                </c:pt>
                <c:pt idx="114">
                  <c:v>4.125473398708035E-2</c:v>
                </c:pt>
                <c:pt idx="115">
                  <c:v>3.9508069716960248E-2</c:v>
                </c:pt>
                <c:pt idx="116">
                  <c:v>3.7579444884610902E-2</c:v>
                </c:pt>
                <c:pt idx="117">
                  <c:v>3.0031060887495242E-2</c:v>
                </c:pt>
                <c:pt idx="118">
                  <c:v>3.0021064746573289E-2</c:v>
                </c:pt>
                <c:pt idx="119">
                  <c:v>2.8627988248421055E-2</c:v>
                </c:pt>
                <c:pt idx="120">
                  <c:v>2.9329329477727595E-2</c:v>
                </c:pt>
                <c:pt idx="121">
                  <c:v>2.5023433860739464E-2</c:v>
                </c:pt>
                <c:pt idx="122">
                  <c:v>2.8921237301115621E-2</c:v>
                </c:pt>
                <c:pt idx="123">
                  <c:v>2.900902475955619E-2</c:v>
                </c:pt>
                <c:pt idx="124">
                  <c:v>2.6506649290795437E-2</c:v>
                </c:pt>
                <c:pt idx="125">
                  <c:v>2.3492895147401771E-2</c:v>
                </c:pt>
                <c:pt idx="126">
                  <c:v>2.0274778787464975E-2</c:v>
                </c:pt>
                <c:pt idx="127">
                  <c:v>1.6933800111230524E-2</c:v>
                </c:pt>
                <c:pt idx="128">
                  <c:v>1.8528063092919544E-2</c:v>
                </c:pt>
                <c:pt idx="129">
                  <c:v>1.959399899308456E-2</c:v>
                </c:pt>
                <c:pt idx="130">
                  <c:v>1.8875735507520919E-2</c:v>
                </c:pt>
                <c:pt idx="131">
                  <c:v>2.1872875326112762E-2</c:v>
                </c:pt>
                <c:pt idx="132">
                  <c:v>2.3433279657493145E-2</c:v>
                </c:pt>
                <c:pt idx="133">
                  <c:v>2.2818413884296063E-2</c:v>
                </c:pt>
                <c:pt idx="134">
                  <c:v>3.451095064387627E-2</c:v>
                </c:pt>
                <c:pt idx="135">
                  <c:v>2.6501675485677112E-2</c:v>
                </c:pt>
                <c:pt idx="136">
                  <c:v>2.5987093608901779E-2</c:v>
                </c:pt>
                <c:pt idx="137">
                  <c:v>2.6274492546525086E-2</c:v>
                </c:pt>
                <c:pt idx="138">
                  <c:v>2.6368834689933451E-2</c:v>
                </c:pt>
                <c:pt idx="139">
                  <c:v>2.7959825477453015E-2</c:v>
                </c:pt>
                <c:pt idx="140">
                  <c:v>2.6745101742357003E-2</c:v>
                </c:pt>
                <c:pt idx="141">
                  <c:v>2.6738332226852679E-2</c:v>
                </c:pt>
                <c:pt idx="142">
                  <c:v>2.7712175323467148E-2</c:v>
                </c:pt>
                <c:pt idx="143">
                  <c:v>2.5701852146985227E-2</c:v>
                </c:pt>
                <c:pt idx="144">
                  <c:v>2.6698074541074257E-2</c:v>
                </c:pt>
                <c:pt idx="145">
                  <c:v>2.4692431407506266E-2</c:v>
                </c:pt>
                <c:pt idx="146">
                  <c:v>2.7483346557584831E-2</c:v>
                </c:pt>
                <c:pt idx="147">
                  <c:v>3.1562857973002068E-2</c:v>
                </c:pt>
                <c:pt idx="148">
                  <c:v>3.1456310971530455E-2</c:v>
                </c:pt>
                <c:pt idx="149">
                  <c:v>3.0151650641284611E-2</c:v>
                </c:pt>
                <c:pt idx="150">
                  <c:v>2.9634782648166158E-2</c:v>
                </c:pt>
                <c:pt idx="151">
                  <c:v>2.8526400008334729E-2</c:v>
                </c:pt>
                <c:pt idx="152">
                  <c:v>3.1798969066814065E-2</c:v>
                </c:pt>
                <c:pt idx="153">
                  <c:v>3.1589648909128187E-2</c:v>
                </c:pt>
                <c:pt idx="154">
                  <c:v>2.7877531263251043E-2</c:v>
                </c:pt>
                <c:pt idx="155">
                  <c:v>3.0768342165373885E-2</c:v>
                </c:pt>
                <c:pt idx="156">
                  <c:v>2.9055446159215792E-2</c:v>
                </c:pt>
                <c:pt idx="157">
                  <c:v>2.9130409410772384E-2</c:v>
                </c:pt>
                <c:pt idx="158">
                  <c:v>2.8915703358893541E-2</c:v>
                </c:pt>
                <c:pt idx="159">
                  <c:v>2.9611543481396052E-2</c:v>
                </c:pt>
                <c:pt idx="160">
                  <c:v>2.9704644309625272E-2</c:v>
                </c:pt>
                <c:pt idx="161">
                  <c:v>2.9708820181008622E-2</c:v>
                </c:pt>
                <c:pt idx="162">
                  <c:v>2.8989408276557604E-2</c:v>
                </c:pt>
                <c:pt idx="163">
                  <c:v>2.547891179172912E-2</c:v>
                </c:pt>
                <c:pt idx="164">
                  <c:v>2.3462603297815632E-2</c:v>
                </c:pt>
                <c:pt idx="165">
                  <c:v>2.0851152707387577E-2</c:v>
                </c:pt>
                <c:pt idx="166">
                  <c:v>1.9037578835475577E-2</c:v>
                </c:pt>
                <c:pt idx="167">
                  <c:v>1.1600624767459156E-2</c:v>
                </c:pt>
                <c:pt idx="168">
                  <c:v>1.4895399880786475E-2</c:v>
                </c:pt>
                <c:pt idx="169">
                  <c:v>1.3581368153394502E-2</c:v>
                </c:pt>
                <c:pt idx="170">
                  <c:v>1.3853760591315989E-2</c:v>
                </c:pt>
                <c:pt idx="171">
                  <c:v>1.0846568826817449E-2</c:v>
                </c:pt>
                <c:pt idx="172">
                  <c:v>7.8414980299112425E-3</c:v>
                </c:pt>
                <c:pt idx="173">
                  <c:v>1.2731566354249935E-2</c:v>
                </c:pt>
                <c:pt idx="174">
                  <c:v>1.072084659886785E-2</c:v>
                </c:pt>
                <c:pt idx="175">
                  <c:v>8.9940535448445047E-3</c:v>
                </c:pt>
                <c:pt idx="176">
                  <c:v>1.2289520385683872E-2</c:v>
                </c:pt>
                <c:pt idx="177">
                  <c:v>1.1784080174934486E-2</c:v>
                </c:pt>
                <c:pt idx="178">
                  <c:v>1.1976013916752681E-2</c:v>
                </c:pt>
                <c:pt idx="179">
                  <c:v>1.2669242386825652E-2</c:v>
                </c:pt>
                <c:pt idx="180">
                  <c:v>1.1739995883720877E-2</c:v>
                </c:pt>
                <c:pt idx="181">
                  <c:v>1.4729771911935197E-2</c:v>
                </c:pt>
                <c:pt idx="182">
                  <c:v>9.7186387581137956E-3</c:v>
                </c:pt>
                <c:pt idx="183">
                  <c:v>1.3608522969504211E-2</c:v>
                </c:pt>
                <c:pt idx="184">
                  <c:v>1.3298462838362612E-2</c:v>
                </c:pt>
                <c:pt idx="185">
                  <c:v>1.2958135932183534E-2</c:v>
                </c:pt>
                <c:pt idx="186">
                  <c:v>1.2148593535145469E-2</c:v>
                </c:pt>
                <c:pt idx="187">
                  <c:v>1.0637822056171087E-2</c:v>
                </c:pt>
                <c:pt idx="188">
                  <c:v>1.262634195645479E-2</c:v>
                </c:pt>
                <c:pt idx="189">
                  <c:v>1.2498701815224833E-2</c:v>
                </c:pt>
                <c:pt idx="190">
                  <c:v>1.3788523730681401E-2</c:v>
                </c:pt>
                <c:pt idx="191">
                  <c:v>1.35788858206079E-2</c:v>
                </c:pt>
                <c:pt idx="192">
                  <c:v>1.006981167391735E-2</c:v>
                </c:pt>
                <c:pt idx="193">
                  <c:v>7.7614478109336305E-3</c:v>
                </c:pt>
                <c:pt idx="194">
                  <c:v>7.4350097845653496E-3</c:v>
                </c:pt>
                <c:pt idx="195">
                  <c:v>9.0262010452142882E-3</c:v>
                </c:pt>
                <c:pt idx="196">
                  <c:v>-9.8293730398546497E-4</c:v>
                </c:pt>
                <c:pt idx="197">
                  <c:v>-1.19148398398361E-3</c:v>
                </c:pt>
                <c:pt idx="198">
                  <c:v>-1.6257277566770756E-3</c:v>
                </c:pt>
                <c:pt idx="199">
                  <c:v>-4.5345025887639778E-3</c:v>
                </c:pt>
                <c:pt idx="200">
                  <c:v>-4.2435514975208144E-3</c:v>
                </c:pt>
                <c:pt idx="201">
                  <c:v>-6.3521738915914283E-3</c:v>
                </c:pt>
                <c:pt idx="202">
                  <c:v>-8.0608772394262784E-3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66-4138-8089-154C247C4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4556831"/>
        <c:axId val="1394557663"/>
      </c:lineChart>
      <c:catAx>
        <c:axId val="1394556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557663"/>
        <c:crosses val="autoZero"/>
        <c:auto val="1"/>
        <c:lblAlgn val="ctr"/>
        <c:lblOffset val="100"/>
        <c:noMultiLvlLbl val="0"/>
      </c:catAx>
      <c:valAx>
        <c:axId val="139455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556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dolares.xlsm]30-41!Tabla dinámica4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6854126214556013E-2"/>
          <c:y val="0.16561468973004881"/>
          <c:w val="0.93481998562585122"/>
          <c:h val="0.74459075145727271"/>
        </c:manualLayout>
      </c:layout>
      <c:lineChart>
        <c:grouping val="standard"/>
        <c:varyColors val="0"/>
        <c:ser>
          <c:idx val="0"/>
          <c:order val="0"/>
          <c:tx>
            <c:strRef>
              <c:f>'30-41'!$B$1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'30-41'!$A$2:$A$205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'30-41'!$B$2:$B$205</c:f>
              <c:numCache>
                <c:formatCode>General</c:formatCode>
                <c:ptCount val="203"/>
                <c:pt idx="0">
                  <c:v>7.8880501333552622E-2</c:v>
                </c:pt>
                <c:pt idx="1">
                  <c:v>7.9881249078686156E-2</c:v>
                </c:pt>
                <c:pt idx="2">
                  <c:v>6.9670625017140664E-2</c:v>
                </c:pt>
                <c:pt idx="3">
                  <c:v>6.9069779400421638E-2</c:v>
                </c:pt>
                <c:pt idx="4">
                  <c:v>7.107155834984541E-2</c:v>
                </c:pt>
                <c:pt idx="5">
                  <c:v>7.5275017226071161E-2</c:v>
                </c:pt>
                <c:pt idx="6">
                  <c:v>7.6475952144252901E-2</c:v>
                </c:pt>
                <c:pt idx="7">
                  <c:v>8.007925652443687E-2</c:v>
                </c:pt>
                <c:pt idx="8">
                  <c:v>6.5564666520403658E-2</c:v>
                </c:pt>
                <c:pt idx="9">
                  <c:v>5.2051159872888775E-2</c:v>
                </c:pt>
                <c:pt idx="10">
                  <c:v>5.4052571679304551E-2</c:v>
                </c:pt>
                <c:pt idx="11">
                  <c:v>5.635461766026667E-2</c:v>
                </c:pt>
                <c:pt idx="12">
                  <c:v>5.5853941134931695E-2</c:v>
                </c:pt>
                <c:pt idx="13">
                  <c:v>4.904719953105563E-2</c:v>
                </c:pt>
                <c:pt idx="14">
                  <c:v>4.3041272453037127E-2</c:v>
                </c:pt>
                <c:pt idx="15">
                  <c:v>4.4041779359186628E-2</c:v>
                </c:pt>
                <c:pt idx="16">
                  <c:v>4.4642196048319649E-2</c:v>
                </c:pt>
                <c:pt idx="17">
                  <c:v>4.904619076184763E-2</c:v>
                </c:pt>
                <c:pt idx="18">
                  <c:v>5.2048840350191639E-2</c:v>
                </c:pt>
                <c:pt idx="19">
                  <c:v>5.2348942675857879E-2</c:v>
                </c:pt>
                <c:pt idx="20">
                  <c:v>5.4950622319876852E-2</c:v>
                </c:pt>
                <c:pt idx="21">
                  <c:v>6.2557415710309427E-2</c:v>
                </c:pt>
                <c:pt idx="22">
                  <c:v>7.9072302413508211E-2</c:v>
                </c:pt>
                <c:pt idx="23">
                  <c:v>8.3976499139627181E-2</c:v>
                </c:pt>
                <c:pt idx="24">
                  <c:v>7.5568063015661435E-2</c:v>
                </c:pt>
                <c:pt idx="25">
                  <c:v>6.5859092747602377E-2</c:v>
                </c:pt>
                <c:pt idx="26">
                  <c:v>6.355680933985508E-2</c:v>
                </c:pt>
                <c:pt idx="27">
                  <c:v>5.5049016247343541E-2</c:v>
                </c:pt>
                <c:pt idx="28">
                  <c:v>6.0053266424671181E-2</c:v>
                </c:pt>
                <c:pt idx="29">
                  <c:v>4.8342382362619285E-2</c:v>
                </c:pt>
                <c:pt idx="30">
                  <c:v>5.2245625460590583E-2</c:v>
                </c:pt>
                <c:pt idx="31">
                  <c:v>5.0143618078739738E-2</c:v>
                </c:pt>
                <c:pt idx="32">
                  <c:v>5.0944139956880463E-2</c:v>
                </c:pt>
                <c:pt idx="33">
                  <c:v>4.5539301040624092E-2</c:v>
                </c:pt>
                <c:pt idx="34">
                  <c:v>5.0443014762588667E-2</c:v>
                </c:pt>
                <c:pt idx="35">
                  <c:v>4.3637061613973516E-2</c:v>
                </c:pt>
                <c:pt idx="36">
                  <c:v>4.393716602742731E-2</c:v>
                </c:pt>
                <c:pt idx="37">
                  <c:v>3.3828499352194008E-2</c:v>
                </c:pt>
                <c:pt idx="38">
                  <c:v>3.4128635327586476E-2</c:v>
                </c:pt>
                <c:pt idx="39">
                  <c:v>3.6029860363726129E-2</c:v>
                </c:pt>
                <c:pt idx="40">
                  <c:v>3.2026432774995783E-2</c:v>
                </c:pt>
                <c:pt idx="41">
                  <c:v>3.8131340828077898E-2</c:v>
                </c:pt>
                <c:pt idx="42">
                  <c:v>3.8231292050685317E-2</c:v>
                </c:pt>
                <c:pt idx="43">
                  <c:v>4.0132710908205971E-2</c:v>
                </c:pt>
                <c:pt idx="44">
                  <c:v>4.0832862063647113E-2</c:v>
                </c:pt>
                <c:pt idx="45">
                  <c:v>4.3835128150641278E-2</c:v>
                </c:pt>
                <c:pt idx="46">
                  <c:v>4.0932662021407551E-2</c:v>
                </c:pt>
                <c:pt idx="47">
                  <c:v>4.183323736667488E-2</c:v>
                </c:pt>
                <c:pt idx="48">
                  <c:v>3.8530481305416253E-2</c:v>
                </c:pt>
                <c:pt idx="49">
                  <c:v>3.8529953079962875E-2</c:v>
                </c:pt>
                <c:pt idx="50">
                  <c:v>3.8037932988871315E-2</c:v>
                </c:pt>
                <c:pt idx="51">
                  <c:v>4.10316168280353E-2</c:v>
                </c:pt>
                <c:pt idx="52">
                  <c:v>4.0130785259925417E-2</c:v>
                </c:pt>
                <c:pt idx="53">
                  <c:v>3.6127342954770547E-2</c:v>
                </c:pt>
                <c:pt idx="54">
                  <c:v>3.8829254918088918E-2</c:v>
                </c:pt>
                <c:pt idx="55">
                  <c:v>3.9529647235426513E-2</c:v>
                </c:pt>
                <c:pt idx="56">
                  <c:v>4.1430931311732755E-2</c:v>
                </c:pt>
                <c:pt idx="57">
                  <c:v>4.1330714949123215E-2</c:v>
                </c:pt>
                <c:pt idx="58">
                  <c:v>4.6533784802664901E-2</c:v>
                </c:pt>
                <c:pt idx="59">
                  <c:v>4.9235577763383831E-2</c:v>
                </c:pt>
                <c:pt idx="60">
                  <c:v>4.9335480996607117E-2</c:v>
                </c:pt>
                <c:pt idx="61">
                  <c:v>5.5339230207715751E-2</c:v>
                </c:pt>
                <c:pt idx="62">
                  <c:v>5.2336922623494708E-2</c:v>
                </c:pt>
                <c:pt idx="63">
                  <c:v>4.983498689148208E-2</c:v>
                </c:pt>
                <c:pt idx="64">
                  <c:v>4.7933487779133421E-2</c:v>
                </c:pt>
                <c:pt idx="65">
                  <c:v>4.7232836526763466E-2</c:v>
                </c:pt>
                <c:pt idx="66">
                  <c:v>5.1935572309801281E-2</c:v>
                </c:pt>
                <c:pt idx="67">
                  <c:v>4.7632461848999774E-2</c:v>
                </c:pt>
                <c:pt idx="68">
                  <c:v>4.9233384281122061E-2</c:v>
                </c:pt>
                <c:pt idx="69">
                  <c:v>5.2034392595105616E-2</c:v>
                </c:pt>
                <c:pt idx="70">
                  <c:v>5.1834082684504845E-2</c:v>
                </c:pt>
                <c:pt idx="71">
                  <c:v>5.0432988701513692E-2</c:v>
                </c:pt>
                <c:pt idx="72">
                  <c:v>5.7536650057913641E-2</c:v>
                </c:pt>
                <c:pt idx="73">
                  <c:v>5.7536452889673295E-2</c:v>
                </c:pt>
                <c:pt idx="74">
                  <c:v>5.5034679387010954E-2</c:v>
                </c:pt>
                <c:pt idx="75">
                  <c:v>4.7029473951140544E-2</c:v>
                </c:pt>
                <c:pt idx="76">
                  <c:v>4.9030560143651203E-2</c:v>
                </c:pt>
                <c:pt idx="77">
                  <c:v>4.542784789305776E-2</c:v>
                </c:pt>
                <c:pt idx="78">
                  <c:v>4.3426472301608454E-2</c:v>
                </c:pt>
                <c:pt idx="79">
                  <c:v>4.7328688965571575E-2</c:v>
                </c:pt>
                <c:pt idx="80">
                  <c:v>4.9529853610395358E-2</c:v>
                </c:pt>
                <c:pt idx="81">
                  <c:v>5.043022359290672E-2</c:v>
                </c:pt>
                <c:pt idx="82">
                  <c:v>5.0029469413490124E-2</c:v>
                </c:pt>
                <c:pt idx="83">
                  <c:v>4.942894640354456E-2</c:v>
                </c:pt>
                <c:pt idx="84">
                  <c:v>4.8728369256073767E-2</c:v>
                </c:pt>
                <c:pt idx="85">
                  <c:v>5.2930634511069719E-2</c:v>
                </c:pt>
                <c:pt idx="86">
                  <c:v>4.992872611639565E-2</c:v>
                </c:pt>
                <c:pt idx="87">
                  <c:v>4.9928212860006538E-2</c:v>
                </c:pt>
                <c:pt idx="88">
                  <c:v>4.9827985580942702E-2</c:v>
                </c:pt>
                <c:pt idx="89">
                  <c:v>4.5425357305619196E-2</c:v>
                </c:pt>
                <c:pt idx="90">
                  <c:v>4.5725368183718362E-2</c:v>
                </c:pt>
                <c:pt idx="91">
                  <c:v>4.6525652842834553E-2</c:v>
                </c:pt>
                <c:pt idx="92">
                  <c:v>4.4924308358632425E-2</c:v>
                </c:pt>
                <c:pt idx="93">
                  <c:v>4.4223777853160839E-2</c:v>
                </c:pt>
                <c:pt idx="94">
                  <c:v>4.4323679774125935E-2</c:v>
                </c:pt>
                <c:pt idx="95">
                  <c:v>3.9520978601655044E-2</c:v>
                </c:pt>
                <c:pt idx="96">
                  <c:v>3.8720421043975217E-2</c:v>
                </c:pt>
                <c:pt idx="97">
                  <c:v>3.9520436938279668E-2</c:v>
                </c:pt>
                <c:pt idx="98">
                  <c:v>3.8419736165838658E-2</c:v>
                </c:pt>
                <c:pt idx="99">
                  <c:v>4.0220523486299564E-2</c:v>
                </c:pt>
                <c:pt idx="100">
                  <c:v>3.5017748721954955E-2</c:v>
                </c:pt>
                <c:pt idx="101">
                  <c:v>3.0515362185757955E-2</c:v>
                </c:pt>
                <c:pt idx="102">
                  <c:v>3.2916007099342837E-2</c:v>
                </c:pt>
                <c:pt idx="103">
                  <c:v>3.8918792978801409E-2</c:v>
                </c:pt>
                <c:pt idx="104">
                  <c:v>3.1915301857054712E-2</c:v>
                </c:pt>
                <c:pt idx="105">
                  <c:v>3.6116945279120682E-2</c:v>
                </c:pt>
                <c:pt idx="106">
                  <c:v>3.0114025710604897E-2</c:v>
                </c:pt>
                <c:pt idx="107">
                  <c:v>2.9813783769893576E-2</c:v>
                </c:pt>
                <c:pt idx="108">
                  <c:v>3.2715013053935649E-2</c:v>
                </c:pt>
                <c:pt idx="109">
                  <c:v>3.6816769281898976E-2</c:v>
                </c:pt>
                <c:pt idx="110">
                  <c:v>3.5815945455168419E-2</c:v>
                </c:pt>
                <c:pt idx="111">
                  <c:v>4.0417855833570271E-2</c:v>
                </c:pt>
                <c:pt idx="112">
                  <c:v>4.1818331323319802E-2</c:v>
                </c:pt>
                <c:pt idx="113">
                  <c:v>4.0817752926786743E-2</c:v>
                </c:pt>
                <c:pt idx="114">
                  <c:v>3.4915066090162206E-2</c:v>
                </c:pt>
                <c:pt idx="115">
                  <c:v>3.7015592184379054E-2</c:v>
                </c:pt>
                <c:pt idx="116">
                  <c:v>3.1613208258244874E-2</c:v>
                </c:pt>
                <c:pt idx="117">
                  <c:v>2.0908664206743199E-2</c:v>
                </c:pt>
                <c:pt idx="118">
                  <c:v>2.0108263670001347E-2</c:v>
                </c:pt>
                <c:pt idx="119">
                  <c:v>1.8907705537530684E-2</c:v>
                </c:pt>
                <c:pt idx="120">
                  <c:v>1.5106001014101478E-2</c:v>
                </c:pt>
                <c:pt idx="121">
                  <c:v>1.9107525223975186E-2</c:v>
                </c:pt>
                <c:pt idx="122">
                  <c:v>2.0508006550502555E-2</c:v>
                </c:pt>
                <c:pt idx="123">
                  <c:v>1.8707239445401813E-2</c:v>
                </c:pt>
                <c:pt idx="124">
                  <c:v>1.6706407937291001E-2</c:v>
                </c:pt>
                <c:pt idx="125">
                  <c:v>1.5605825462244427E-2</c:v>
                </c:pt>
                <c:pt idx="126">
                  <c:v>7.5027749989722281E-3</c:v>
                </c:pt>
                <c:pt idx="127">
                  <c:v>7.3026509623356217E-3</c:v>
                </c:pt>
                <c:pt idx="128">
                  <c:v>9.7034892684013108E-3</c:v>
                </c:pt>
                <c:pt idx="129">
                  <c:v>8.7030401030497306E-3</c:v>
                </c:pt>
                <c:pt idx="130">
                  <c:v>3.9013494393608794E-3</c:v>
                </c:pt>
                <c:pt idx="131">
                  <c:v>5.0017129153819839E-3</c:v>
                </c:pt>
                <c:pt idx="132">
                  <c:v>1.6005207173566738E-2</c:v>
                </c:pt>
                <c:pt idx="133">
                  <c:v>1.6305248950004458E-2</c:v>
                </c:pt>
                <c:pt idx="134">
                  <c:v>1.3704364746306208E-2</c:v>
                </c:pt>
                <c:pt idx="135">
                  <c:v>1.2904065664524456E-2</c:v>
                </c:pt>
                <c:pt idx="136">
                  <c:v>1.0503273280371594E-2</c:v>
                </c:pt>
                <c:pt idx="137">
                  <c:v>1.1503466798213124E-2</c:v>
                </c:pt>
                <c:pt idx="138">
                  <c:v>1.3203934048843347E-2</c:v>
                </c:pt>
                <c:pt idx="139">
                  <c:v>1.0903211219742859E-2</c:v>
                </c:pt>
                <c:pt idx="140">
                  <c:v>1.1503348577496852E-2</c:v>
                </c:pt>
                <c:pt idx="141">
                  <c:v>1.0503021417120006E-2</c:v>
                </c:pt>
                <c:pt idx="142">
                  <c:v>1.2203385185616533E-2</c:v>
                </c:pt>
                <c:pt idx="143">
                  <c:v>1.2603453000822107E-2</c:v>
                </c:pt>
                <c:pt idx="144">
                  <c:v>1.3503653385676273E-2</c:v>
                </c:pt>
                <c:pt idx="145">
                  <c:v>9.2024581908865533E-3</c:v>
                </c:pt>
                <c:pt idx="146">
                  <c:v>1.420374550823339E-2</c:v>
                </c:pt>
                <c:pt idx="147">
                  <c:v>2.0705247220185963E-2</c:v>
                </c:pt>
                <c:pt idx="148">
                  <c:v>2.3005751437859434E-2</c:v>
                </c:pt>
                <c:pt idx="149">
                  <c:v>2.2005425995450967E-2</c:v>
                </c:pt>
                <c:pt idx="150">
                  <c:v>2.4806031603574863E-2</c:v>
                </c:pt>
                <c:pt idx="151">
                  <c:v>2.2105299215565311E-2</c:v>
                </c:pt>
                <c:pt idx="152">
                  <c:v>2.6306035974007769E-2</c:v>
                </c:pt>
                <c:pt idx="153">
                  <c:v>2.290517719758578E-2</c:v>
                </c:pt>
                <c:pt idx="154">
                  <c:v>2.2404987411581367E-2</c:v>
                </c:pt>
                <c:pt idx="155">
                  <c:v>2.2804998355804074E-2</c:v>
                </c:pt>
                <c:pt idx="156">
                  <c:v>2.000431599968483E-2</c:v>
                </c:pt>
                <c:pt idx="157">
                  <c:v>2.1504418716174534E-2</c:v>
                </c:pt>
                <c:pt idx="158">
                  <c:v>1.8203678140446211E-2</c:v>
                </c:pt>
                <c:pt idx="159">
                  <c:v>1.8603695254536812E-2</c:v>
                </c:pt>
                <c:pt idx="160">
                  <c:v>2.0103924396200568E-2</c:v>
                </c:pt>
                <c:pt idx="161">
                  <c:v>2.0403913079220737E-2</c:v>
                </c:pt>
                <c:pt idx="162">
                  <c:v>1.9103467410180652E-2</c:v>
                </c:pt>
                <c:pt idx="163">
                  <c:v>2.2003918506035336E-2</c:v>
                </c:pt>
                <c:pt idx="164">
                  <c:v>1.4702567914259002E-2</c:v>
                </c:pt>
                <c:pt idx="165">
                  <c:v>1.780304846720332E-2</c:v>
                </c:pt>
                <c:pt idx="166">
                  <c:v>1.0401745498388404E-2</c:v>
                </c:pt>
                <c:pt idx="167">
                  <c:v>7.5011303073065361E-3</c:v>
                </c:pt>
                <c:pt idx="168">
                  <c:v>4.1006038560472691E-3</c:v>
                </c:pt>
                <c:pt idx="169">
                  <c:v>7.5010789223107222E-3</c:v>
                </c:pt>
                <c:pt idx="170">
                  <c:v>9.0012022153643234E-3</c:v>
                </c:pt>
                <c:pt idx="171">
                  <c:v>7.0009110774690297E-3</c:v>
                </c:pt>
                <c:pt idx="172">
                  <c:v>9.401191246836027E-3</c:v>
                </c:pt>
                <c:pt idx="173">
                  <c:v>1.5501911194530815E-2</c:v>
                </c:pt>
                <c:pt idx="174">
                  <c:v>1.2401486479543811E-2</c:v>
                </c:pt>
                <c:pt idx="175">
                  <c:v>1.1501260412099978E-2</c:v>
                </c:pt>
                <c:pt idx="176">
                  <c:v>1.1201189167343195E-2</c:v>
                </c:pt>
                <c:pt idx="177">
                  <c:v>1.250128437853204E-2</c:v>
                </c:pt>
                <c:pt idx="178">
                  <c:v>9.7009634518496202E-3</c:v>
                </c:pt>
                <c:pt idx="179">
                  <c:v>6.0005753976408172E-3</c:v>
                </c:pt>
                <c:pt idx="180">
                  <c:v>3.0002568713074496E-3</c:v>
                </c:pt>
                <c:pt idx="181">
                  <c:v>-2.2001808367810849E-3</c:v>
                </c:pt>
                <c:pt idx="182">
                  <c:v>7.6005986772930689E-3</c:v>
                </c:pt>
                <c:pt idx="183">
                  <c:v>5.3003993451561371E-3</c:v>
                </c:pt>
                <c:pt idx="184">
                  <c:v>4.0002876919230101E-3</c:v>
                </c:pt>
                <c:pt idx="185">
                  <c:v>4.5002620015548445E-3</c:v>
                </c:pt>
                <c:pt idx="186">
                  <c:v>5.4002959066250522E-3</c:v>
                </c:pt>
                <c:pt idx="187">
                  <c:v>2.500128431255022E-3</c:v>
                </c:pt>
                <c:pt idx="188">
                  <c:v>2.4001150740103894E-3</c:v>
                </c:pt>
                <c:pt idx="189">
                  <c:v>3.500131854282218E-3</c:v>
                </c:pt>
                <c:pt idx="190">
                  <c:v>5.0001712387409691E-4</c:v>
                </c:pt>
                <c:pt idx="191">
                  <c:v>3.0000924686035546E-4</c:v>
                </c:pt>
                <c:pt idx="192">
                  <c:v>-5.5001506890600127E-3</c:v>
                </c:pt>
                <c:pt idx="193">
                  <c:v>-6.9001654149242753E-3</c:v>
                </c:pt>
                <c:pt idx="194">
                  <c:v>-1.1000150686995724E-2</c:v>
                </c:pt>
                <c:pt idx="195">
                  <c:v>-8.3000852748486564E-3</c:v>
                </c:pt>
                <c:pt idx="196">
                  <c:v>-9.4000643840026488E-3</c:v>
                </c:pt>
                <c:pt idx="197">
                  <c:v>-1.1900040753564212E-2</c:v>
                </c:pt>
                <c:pt idx="198">
                  <c:v>-9.5999013708762959E-3</c:v>
                </c:pt>
                <c:pt idx="199">
                  <c:v>-1.2499828769468868E-2</c:v>
                </c:pt>
                <c:pt idx="200">
                  <c:v>-1.1899796236365778E-2</c:v>
                </c:pt>
                <c:pt idx="201">
                  <c:v>-1.0599782196256236E-2</c:v>
                </c:pt>
                <c:pt idx="202">
                  <c:v>-1.1799717130068776E-2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1B-4FB3-ABF4-4D01A095A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588672"/>
        <c:axId val="134676480"/>
      </c:lineChart>
      <c:catAx>
        <c:axId val="1345886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4676480"/>
        <c:crosses val="autoZero"/>
        <c:auto val="1"/>
        <c:lblAlgn val="ctr"/>
        <c:lblOffset val="100"/>
        <c:noMultiLvlLbl val="0"/>
      </c:catAx>
      <c:valAx>
        <c:axId val="134676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4588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190499</xdr:rowOff>
    </xdr:from>
    <xdr:to>
      <xdr:col>14</xdr:col>
      <xdr:colOff>742950</xdr:colOff>
      <xdr:row>28</xdr:row>
      <xdr:rowOff>76200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642937</xdr:colOff>
      <xdr:row>1</xdr:row>
      <xdr:rowOff>152399</xdr:rowOff>
    </xdr:from>
    <xdr:to>
      <xdr:col>14</xdr:col>
      <xdr:colOff>352425</xdr:colOff>
      <xdr:row>28</xdr:row>
      <xdr:rowOff>85724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190499</xdr:colOff>
      <xdr:row>1</xdr:row>
      <xdr:rowOff>28575</xdr:rowOff>
    </xdr:from>
    <xdr:to>
      <xdr:col>19</xdr:col>
      <xdr:colOff>438150</xdr:colOff>
      <xdr:row>26</xdr:row>
      <xdr:rowOff>28575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942973</xdr:colOff>
      <xdr:row>0</xdr:row>
      <xdr:rowOff>190498</xdr:rowOff>
    </xdr:from>
    <xdr:to>
      <xdr:col>17</xdr:col>
      <xdr:colOff>0</xdr:colOff>
      <xdr:row>28</xdr:row>
      <xdr:rowOff>171450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6</xdr:row>
      <xdr:rowOff>85725</xdr:rowOff>
    </xdr:from>
    <xdr:to>
      <xdr:col>16</xdr:col>
      <xdr:colOff>200025</xdr:colOff>
      <xdr:row>33</xdr:row>
      <xdr:rowOff>161926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761997</xdr:colOff>
      <xdr:row>0</xdr:row>
      <xdr:rowOff>190498</xdr:rowOff>
    </xdr:from>
    <xdr:to>
      <xdr:col>23</xdr:col>
      <xdr:colOff>85724</xdr:colOff>
      <xdr:row>34</xdr:row>
      <xdr:rowOff>95249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1</xdr:row>
      <xdr:rowOff>9523</xdr:rowOff>
    </xdr:from>
    <xdr:to>
      <xdr:col>17</xdr:col>
      <xdr:colOff>104775</xdr:colOff>
      <xdr:row>24</xdr:row>
      <xdr:rowOff>104774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1</xdr:row>
      <xdr:rowOff>0</xdr:rowOff>
    </xdr:from>
    <xdr:to>
      <xdr:col>18</xdr:col>
      <xdr:colOff>438150</xdr:colOff>
      <xdr:row>35</xdr:row>
      <xdr:rowOff>76200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857248</xdr:colOff>
      <xdr:row>0</xdr:row>
      <xdr:rowOff>104775</xdr:rowOff>
    </xdr:from>
    <xdr:to>
      <xdr:col>23</xdr:col>
      <xdr:colOff>142875</xdr:colOff>
      <xdr:row>30</xdr:row>
      <xdr:rowOff>104775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190499</xdr:rowOff>
    </xdr:from>
    <xdr:to>
      <xdr:col>18</xdr:col>
      <xdr:colOff>457200</xdr:colOff>
      <xdr:row>31</xdr:row>
      <xdr:rowOff>9525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0</xdr:row>
      <xdr:rowOff>114300</xdr:rowOff>
    </xdr:from>
    <xdr:to>
      <xdr:col>18</xdr:col>
      <xdr:colOff>676275</xdr:colOff>
      <xdr:row>25</xdr:row>
      <xdr:rowOff>95250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rian" refreshedDate="44393.812055092596" createdVersion="4" refreshedVersion="6" minRefreshableVersion="3" recordCount="203">
  <cacheSource type="worksheet">
    <worksheetSource ref="A1:S228" sheet="Paridad usd"/>
  </cacheSource>
  <cacheFields count="19">
    <cacheField name="Fecha" numFmtId="14">
      <sharedItems containsSemiMixedTypes="0" containsNonDate="0" containsDate="1" containsString="0" minDate="2020-09-14T00:00:00" maxDate="2021-07-17T00:00:00" count="204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8.0608772394262784E-3" maxValue="9.6459390320899785E-2"/>
    </cacheField>
    <cacheField name="29-41" numFmtId="10">
      <sharedItems containsSemiMixedTypes="0" containsString="0" containsNumber="1" minValue="-3.5609851135525727E-3" maxValue="0.120880549750131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drian" refreshedDate="44393.813165624997" createdVersion="6" refreshedVersion="6" minRefreshableVersion="3" recordCount="203">
  <cacheSource type="worksheet">
    <worksheetSource ref="A1:U228" sheet="Paridad usd"/>
  </cacheSource>
  <cacheFields count="21">
    <cacheField name="Fecha" numFmtId="14">
      <sharedItems containsSemiMixedTypes="0" containsNonDate="0" containsDate="1" containsString="0" minDate="2020-09-14T00:00:00" maxDate="2021-07-17T00:00:00" count="203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8.0608772394262784E-3" maxValue="9.6459390320899785E-2"/>
    </cacheField>
    <cacheField name="29-41" numFmtId="10">
      <sharedItems containsSemiMixedTypes="0" containsString="0" containsNumber="1" minValue="-3.5609851135525727E-3" maxValue="0.12088054975013135"/>
    </cacheField>
    <cacheField name="g29-41" numFmtId="10">
      <sharedItems containsSemiMixedTypes="0" containsString="0" containsNumber="1" minValue="2.9532668158422704E-2" maxValue="0.15169866020457595"/>
    </cacheField>
    <cacheField name="30-41" numFmtId="10">
      <sharedItems containsSemiMixedTypes="0" containsString="0" containsNumber="1" minValue="-1.2499828769468868E-2" maxValue="8.3976499139627181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drian" refreshedDate="44407.904846527781" createdVersion="6" refreshedVersion="6" minRefreshableVersion="3" recordCount="213">
  <cacheSource type="worksheet">
    <worksheetSource ref="A1:Y228" sheet="Paridad usd"/>
  </cacheSource>
  <cacheFields count="25">
    <cacheField name="Fecha" numFmtId="14">
      <sharedItems containsSemiMixedTypes="0" containsNonDate="0" containsDate="1" containsString="0" minDate="2020-09-14T00:00:00" maxDate="2021-07-31T00:00:00" count="213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6983932299973192E-2" maxValue="9.6459390320899785E-2"/>
    </cacheField>
    <cacheField name="29-41" numFmtId="10">
      <sharedItems containsSemiMixedTypes="0" containsString="0" containsNumber="1" minValue="-1.5123405375726151E-2" maxValue="0.12088054975013135"/>
    </cacheField>
    <cacheField name="g29-41" numFmtId="10">
      <sharedItems containsSemiMixedTypes="0" containsString="0" containsNumber="1" minValue="1.9824966368040597E-2" maxValue="0.15169866020457595"/>
    </cacheField>
    <cacheField name="30-41" numFmtId="10">
      <sharedItems containsSemiMixedTypes="0" containsString="0" containsNumber="1" minValue="-2.2398465858502858E-2" maxValue="8.3976499139627181E-2"/>
    </cacheField>
    <cacheField name="30-35" numFmtId="10">
      <sharedItems containsSemiMixedTypes="0" containsString="0" containsNumber="1" minValue="1.1009124000027404E-2" maxValue="7.4066710770317123E-2"/>
    </cacheField>
    <cacheField name="29-35" numFmtId="10">
      <sharedItems containsSemiMixedTypes="0" containsString="0" containsNumber="1" minValue="3.201254398084219E-2" maxValue="0.10726875596990398"/>
    </cacheField>
    <cacheField name="g30-30" numFmtId="10">
      <sharedItems containsSemiMixedTypes="0" containsString="0" containsNumber="1" minValue="-0.51922989900652028" maxValue="3.7002884445663797E-2"/>
    </cacheField>
    <cacheField name="30-38" numFmtId="10">
      <sharedItems containsSemiMixedTypes="0" containsString="0" containsNumber="1" minValue="-2.6098123080189439E-2" maxValue="4.5040567360327965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drian" refreshedDate="44421.716551041667" createdVersion="4" refreshedVersion="6" minRefreshableVersion="3" recordCount="223">
  <cacheSource type="worksheet">
    <worksheetSource ref="A1:T228" sheet="Paridad usd"/>
  </cacheSource>
  <cacheFields count="20">
    <cacheField name="Fecha" numFmtId="14">
      <sharedItems containsSemiMixedTypes="0" containsNonDate="0" containsDate="1" containsString="0" minDate="2020-09-14T00:00:00" maxDate="2021-08-14T00:00:00" count="224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7416689885427328E-2" maxValue="9.6459390320899785E-2"/>
    </cacheField>
    <cacheField name="29-41" numFmtId="10">
      <sharedItems containsSemiMixedTypes="0" containsString="0" containsNumber="1" minValue="-1.5123405375726151E-2" maxValue="0.12088054975013135"/>
    </cacheField>
    <cacheField name="g29-41" numFmtId="10">
      <sharedItems containsSemiMixedTypes="0" containsString="0" containsNumber="1" minValue="1.9824966368040597E-2" maxValue="0.151698660204575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Adrian" refreshedDate="44421.716727893516" createdVersion="6" refreshedVersion="6" minRefreshableVersion="3" recordCount="223">
  <cacheSource type="worksheet">
    <worksheetSource ref="A1:X228" sheet="Paridad usd"/>
  </cacheSource>
  <cacheFields count="24">
    <cacheField name="Fecha" numFmtId="14">
      <sharedItems containsSemiMixedTypes="0" containsNonDate="0" containsDate="1" containsString="0" minDate="2020-09-14T00:00:00" maxDate="2021-08-14T00:00:00" count="224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37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36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94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67" maxValue="0.44034939767296766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7416689885427328E-2" maxValue="9.6459390320899785E-2"/>
    </cacheField>
    <cacheField name="29-41" numFmtId="10">
      <sharedItems containsSemiMixedTypes="0" containsString="0" containsNumber="1" minValue="-1.5123405375726151E-2" maxValue="0.12088054975013135"/>
    </cacheField>
    <cacheField name="g29-41" numFmtId="10">
      <sharedItems containsSemiMixedTypes="0" containsString="0" containsNumber="1" minValue="1.9824966368040597E-2" maxValue="0.15169866020457595"/>
    </cacheField>
    <cacheField name="30-41" numFmtId="10">
      <sharedItems containsSemiMixedTypes="0" containsString="0" containsNumber="1" minValue="-2.3098101525901915E-2" maxValue="8.3976499139627181E-2"/>
    </cacheField>
    <cacheField name="30-35" numFmtId="10">
      <sharedItems containsSemiMixedTypes="0" containsString="0" containsNumber="1" minValue="1.1009124000027404E-2" maxValue="7.4066710770317123E-2"/>
    </cacheField>
    <cacheField name="29-35" numFmtId="10">
      <sharedItems containsSemiMixedTypes="0" containsString="0" containsNumber="1" minValue="2.8693537919702028E-2" maxValue="0.10726875596990398"/>
    </cacheField>
    <cacheField name="g30-30" numFmtId="10">
      <sharedItems containsSemiMixedTypes="0" containsString="0" containsNumber="1" minValue="-0.51922989900652028" maxValue="3.7002884445663797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3">
  <r>
    <x v="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</r>
  <r>
    <x v="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</r>
  <r>
    <x v="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</r>
  <r>
    <x v="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</r>
  <r>
    <x v="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</r>
  <r>
    <x v="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</r>
  <r>
    <x v="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</r>
  <r>
    <x v="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</r>
  <r>
    <x v="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</r>
  <r>
    <x v="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</r>
  <r>
    <x v="1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</r>
  <r>
    <x v="1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</r>
  <r>
    <x v="1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</r>
  <r>
    <x v="1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</r>
  <r>
    <x v="1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</r>
  <r>
    <x v="1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</r>
  <r>
    <x v="1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</r>
  <r>
    <x v="1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</r>
  <r>
    <x v="1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</r>
  <r>
    <x v="1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</r>
  <r>
    <x v="2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</r>
  <r>
    <x v="2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</r>
  <r>
    <x v="2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</r>
  <r>
    <x v="2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</r>
  <r>
    <x v="2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</r>
  <r>
    <x v="2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</r>
  <r>
    <x v="2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</r>
  <r>
    <x v="2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</r>
  <r>
    <x v="2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</r>
  <r>
    <x v="2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</r>
  <r>
    <x v="3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</r>
  <r>
    <x v="3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</r>
  <r>
    <x v="3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</r>
  <r>
    <x v="3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</r>
  <r>
    <x v="3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</r>
  <r>
    <x v="3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</r>
  <r>
    <x v="3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</r>
  <r>
    <x v="3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</r>
  <r>
    <x v="3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</r>
  <r>
    <x v="3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</r>
  <r>
    <x v="4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</r>
  <r>
    <x v="4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</r>
  <r>
    <x v="4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</r>
  <r>
    <x v="4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</r>
  <r>
    <x v="4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</r>
  <r>
    <x v="4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</r>
  <r>
    <x v="4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</r>
  <r>
    <x v="4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</r>
  <r>
    <x v="4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</r>
  <r>
    <x v="4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</r>
  <r>
    <x v="5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</r>
  <r>
    <x v="5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</r>
  <r>
    <x v="5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</r>
  <r>
    <x v="5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</r>
  <r>
    <x v="5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</r>
  <r>
    <x v="5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</r>
  <r>
    <x v="5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</r>
  <r>
    <x v="5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</r>
  <r>
    <x v="5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</r>
  <r>
    <x v="5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</r>
  <r>
    <x v="6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</r>
  <r>
    <x v="6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</r>
  <r>
    <x v="6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</r>
  <r>
    <x v="6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</r>
  <r>
    <x v="6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</r>
  <r>
    <x v="6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</r>
  <r>
    <x v="6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</r>
  <r>
    <x v="6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</r>
  <r>
    <x v="6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</r>
  <r>
    <x v="6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</r>
  <r>
    <x v="7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</r>
  <r>
    <x v="7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</r>
  <r>
    <x v="7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</r>
  <r>
    <x v="7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</r>
  <r>
    <x v="7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</r>
  <r>
    <x v="7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</r>
  <r>
    <x v="7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</r>
  <r>
    <x v="7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</r>
  <r>
    <x v="7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</r>
  <r>
    <x v="7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</r>
  <r>
    <x v="8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</r>
  <r>
    <x v="8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</r>
  <r>
    <x v="8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</r>
  <r>
    <x v="8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</r>
  <r>
    <x v="8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</r>
  <r>
    <x v="8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</r>
  <r>
    <x v="8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</r>
  <r>
    <x v="8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</r>
  <r>
    <x v="8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</r>
  <r>
    <x v="8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</r>
  <r>
    <x v="9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</r>
  <r>
    <x v="9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</r>
  <r>
    <x v="9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</r>
  <r>
    <x v="9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</r>
  <r>
    <x v="9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</r>
  <r>
    <x v="9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</r>
  <r>
    <x v="9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</r>
  <r>
    <x v="9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</r>
  <r>
    <x v="9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</r>
  <r>
    <x v="9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</r>
  <r>
    <x v="10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</r>
  <r>
    <x v="10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</r>
  <r>
    <x v="10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</r>
  <r>
    <x v="10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</r>
  <r>
    <x v="10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</r>
  <r>
    <x v="10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</r>
  <r>
    <x v="10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</r>
  <r>
    <x v="10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</r>
  <r>
    <x v="10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</r>
  <r>
    <x v="10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</r>
  <r>
    <x v="11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</r>
  <r>
    <x v="11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</r>
  <r>
    <x v="11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</r>
  <r>
    <x v="11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</r>
  <r>
    <x v="11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</r>
  <r>
    <x v="11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</r>
  <r>
    <x v="11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</r>
  <r>
    <x v="11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</r>
  <r>
    <x v="11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</r>
  <r>
    <x v="11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</r>
  <r>
    <x v="12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</r>
  <r>
    <x v="12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</r>
  <r>
    <x v="12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</r>
  <r>
    <x v="12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</r>
  <r>
    <x v="12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</r>
  <r>
    <x v="12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</r>
  <r>
    <x v="12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</r>
  <r>
    <x v="12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</r>
  <r>
    <x v="12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</r>
  <r>
    <x v="12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</r>
  <r>
    <x v="13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</r>
  <r>
    <x v="13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</r>
  <r>
    <x v="13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</r>
  <r>
    <x v="13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</r>
  <r>
    <x v="13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</r>
  <r>
    <x v="13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</r>
  <r>
    <x v="13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</r>
  <r>
    <x v="13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</r>
  <r>
    <x v="13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</r>
  <r>
    <x v="13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</r>
  <r>
    <x v="14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</r>
  <r>
    <x v="14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</r>
  <r>
    <x v="14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</r>
  <r>
    <x v="14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</r>
  <r>
    <x v="14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</r>
  <r>
    <x v="14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</r>
  <r>
    <x v="14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</r>
  <r>
    <x v="14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</r>
  <r>
    <x v="14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</r>
  <r>
    <x v="14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</r>
  <r>
    <x v="15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</r>
  <r>
    <x v="15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</r>
  <r>
    <x v="15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</r>
  <r>
    <x v="15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</r>
  <r>
    <x v="15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</r>
  <r>
    <x v="15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</r>
  <r>
    <x v="15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</r>
  <r>
    <x v="15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</r>
  <r>
    <x v="15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</r>
  <r>
    <x v="15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</r>
  <r>
    <x v="16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</r>
  <r>
    <x v="16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</r>
  <r>
    <x v="16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</r>
  <r>
    <x v="16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</r>
  <r>
    <x v="16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</r>
  <r>
    <x v="16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</r>
  <r>
    <x v="16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</r>
  <r>
    <x v="16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</r>
  <r>
    <x v="16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</r>
  <r>
    <x v="16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</r>
  <r>
    <x v="17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</r>
  <r>
    <x v="17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</r>
  <r>
    <x v="17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</r>
  <r>
    <x v="17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</r>
  <r>
    <x v="17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</r>
  <r>
    <x v="17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</r>
  <r>
    <x v="17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</r>
  <r>
    <x v="17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</r>
  <r>
    <x v="17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</r>
  <r>
    <x v="17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</r>
  <r>
    <x v="18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</r>
  <r>
    <x v="18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</r>
  <r>
    <x v="18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</r>
  <r>
    <x v="18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</r>
  <r>
    <x v="18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</r>
  <r>
    <x v="18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</r>
  <r>
    <x v="18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</r>
  <r>
    <x v="18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</r>
  <r>
    <x v="18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</r>
  <r>
    <x v="18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</r>
  <r>
    <x v="19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</r>
  <r>
    <x v="19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</r>
  <r>
    <x v="19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</r>
  <r>
    <x v="19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</r>
  <r>
    <x v="19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</r>
  <r>
    <x v="19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</r>
  <r>
    <x v="19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</r>
  <r>
    <x v="19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</r>
  <r>
    <x v="19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</r>
  <r>
    <x v="19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</r>
  <r>
    <x v="20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</r>
  <r>
    <x v="20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</r>
  <r>
    <x v="20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03">
  <r>
    <x v="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  <n v="-1.1799717130068776E-2"/>
  </r>
  <r>
    <x v="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  <n v="-1.0599782196256236E-2"/>
  </r>
  <r>
    <x v="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  <n v="-1.1899796236365778E-2"/>
  </r>
  <r>
    <x v="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  <n v="-1.2499828769468868E-2"/>
  </r>
  <r>
    <x v="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  <n v="-9.5999013708762959E-3"/>
  </r>
  <r>
    <x v="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  <n v="-1.1900040753564212E-2"/>
  </r>
  <r>
    <x v="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  <n v="-9.4000643840026488E-3"/>
  </r>
  <r>
    <x v="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  <n v="-8.3000852748486564E-3"/>
  </r>
  <r>
    <x v="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  <n v="-1.1000150686995724E-2"/>
  </r>
  <r>
    <x v="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  <n v="-6.9001654149242753E-3"/>
  </r>
  <r>
    <x v="1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  <n v="-5.5001506890600127E-3"/>
  </r>
  <r>
    <x v="1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  <n v="3.0000924686035546E-4"/>
  </r>
  <r>
    <x v="1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  <n v="5.0001712387409691E-4"/>
  </r>
  <r>
    <x v="1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  <n v="3.500131854282218E-3"/>
  </r>
  <r>
    <x v="1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  <n v="2.4001150740103894E-3"/>
  </r>
  <r>
    <x v="1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  <n v="2.500128431255022E-3"/>
  </r>
  <r>
    <x v="1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  <n v="5.4002959066250522E-3"/>
  </r>
  <r>
    <x v="1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  <n v="4.5002620015548445E-3"/>
  </r>
  <r>
    <x v="1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  <n v="4.0002876919230101E-3"/>
  </r>
  <r>
    <x v="1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  <n v="5.3003993451561371E-3"/>
  </r>
  <r>
    <x v="2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  <n v="7.6005986772930689E-3"/>
  </r>
  <r>
    <x v="2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  <n v="-2.2001808367810849E-3"/>
  </r>
  <r>
    <x v="2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  <n v="3.0002568713074496E-3"/>
  </r>
  <r>
    <x v="2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  <n v="6.0005753976408172E-3"/>
  </r>
  <r>
    <x v="2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  <n v="9.7009634518496202E-3"/>
  </r>
  <r>
    <x v="2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  <n v="1.250128437853204E-2"/>
  </r>
  <r>
    <x v="2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  <n v="1.1201189167343195E-2"/>
  </r>
  <r>
    <x v="2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  <n v="1.1501260412099978E-2"/>
  </r>
  <r>
    <x v="2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  <n v="1.2401486479543811E-2"/>
  </r>
  <r>
    <x v="2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  <n v="1.5501911194530815E-2"/>
  </r>
  <r>
    <x v="3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  <n v="9.401191246836027E-3"/>
  </r>
  <r>
    <x v="3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  <n v="7.0009110774690297E-3"/>
  </r>
  <r>
    <x v="3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  <n v="9.0012022153643234E-3"/>
  </r>
  <r>
    <x v="3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  <n v="7.5010789223107222E-3"/>
  </r>
  <r>
    <x v="3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  <n v="4.1006038560472691E-3"/>
  </r>
  <r>
    <x v="3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  <n v="7.5011303073065361E-3"/>
  </r>
  <r>
    <x v="3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  <n v="1.0401745498388404E-2"/>
  </r>
  <r>
    <x v="3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  <n v="1.780304846720332E-2"/>
  </r>
  <r>
    <x v="3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  <n v="1.4702567914259002E-2"/>
  </r>
  <r>
    <x v="3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  <n v="2.2003918506035336E-2"/>
  </r>
  <r>
    <x v="4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  <n v="1.9103467410180652E-2"/>
  </r>
  <r>
    <x v="4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  <n v="2.0403913079220737E-2"/>
  </r>
  <r>
    <x v="4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  <n v="2.0103924396200568E-2"/>
  </r>
  <r>
    <x v="4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  <n v="1.8603695254536812E-2"/>
  </r>
  <r>
    <x v="4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  <n v="1.8203678140446211E-2"/>
  </r>
  <r>
    <x v="4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  <n v="2.1504418716174534E-2"/>
  </r>
  <r>
    <x v="4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  <n v="2.000431599968483E-2"/>
  </r>
  <r>
    <x v="4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  <n v="2.2804998355804074E-2"/>
  </r>
  <r>
    <x v="4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  <n v="2.2404987411581367E-2"/>
  </r>
  <r>
    <x v="4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  <n v="2.290517719758578E-2"/>
  </r>
  <r>
    <x v="5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  <n v="2.6306035974007769E-2"/>
  </r>
  <r>
    <x v="5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  <n v="2.2105299215565311E-2"/>
  </r>
  <r>
    <x v="5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  <n v="2.4806031603574863E-2"/>
  </r>
  <r>
    <x v="5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  <n v="2.2005425995450967E-2"/>
  </r>
  <r>
    <x v="5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  <n v="2.3005751437859434E-2"/>
  </r>
  <r>
    <x v="5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  <n v="2.0705247220185963E-2"/>
  </r>
  <r>
    <x v="5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  <n v="1.420374550823339E-2"/>
  </r>
  <r>
    <x v="5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  <n v="9.2024581908865533E-3"/>
  </r>
  <r>
    <x v="5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  <n v="1.3503653385676273E-2"/>
  </r>
  <r>
    <x v="5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  <n v="1.2603453000822107E-2"/>
  </r>
  <r>
    <x v="6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  <n v="1.2203385185616533E-2"/>
  </r>
  <r>
    <x v="6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  <n v="1.0503021417120006E-2"/>
  </r>
  <r>
    <x v="6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  <n v="1.1503348577496852E-2"/>
  </r>
  <r>
    <x v="6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  <n v="1.0903211219742859E-2"/>
  </r>
  <r>
    <x v="6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  <n v="1.3203934048843347E-2"/>
  </r>
  <r>
    <x v="6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  <n v="1.1503466798213124E-2"/>
  </r>
  <r>
    <x v="6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  <n v="1.0503273280371594E-2"/>
  </r>
  <r>
    <x v="6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  <n v="1.2904065664524456E-2"/>
  </r>
  <r>
    <x v="6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  <n v="1.3704364746306208E-2"/>
  </r>
  <r>
    <x v="6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  <n v="1.6305248950004458E-2"/>
  </r>
  <r>
    <x v="7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  <n v="1.6005207173566738E-2"/>
  </r>
  <r>
    <x v="7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  <n v="5.0017129153819839E-3"/>
  </r>
  <r>
    <x v="7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  <n v="3.9013494393608794E-3"/>
  </r>
  <r>
    <x v="7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  <n v="8.7030401030497306E-3"/>
  </r>
  <r>
    <x v="7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  <n v="9.7034892684013108E-3"/>
  </r>
  <r>
    <x v="7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  <n v="7.3026509623356217E-3"/>
  </r>
  <r>
    <x v="7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  <n v="7.5027749989722281E-3"/>
  </r>
  <r>
    <x v="7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  <n v="1.5605825462244427E-2"/>
  </r>
  <r>
    <x v="7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  <n v="1.6706407937291001E-2"/>
  </r>
  <r>
    <x v="7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  <n v="1.8707239445401813E-2"/>
  </r>
  <r>
    <x v="8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  <n v="2.0508006550502555E-2"/>
  </r>
  <r>
    <x v="8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  <n v="1.9107525223975186E-2"/>
  </r>
  <r>
    <x v="8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  <n v="1.5106001014101478E-2"/>
  </r>
  <r>
    <x v="8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  <n v="1.8907705537530684E-2"/>
  </r>
  <r>
    <x v="8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  <n v="2.0108263670001347E-2"/>
  </r>
  <r>
    <x v="8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  <n v="2.0908664206743199E-2"/>
  </r>
  <r>
    <x v="8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  <n v="3.1613208258244874E-2"/>
  </r>
  <r>
    <x v="8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  <n v="3.7015592184379054E-2"/>
  </r>
  <r>
    <x v="8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  <n v="3.4915066090162206E-2"/>
  </r>
  <r>
    <x v="8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  <n v="4.0817752926786743E-2"/>
  </r>
  <r>
    <x v="9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  <n v="4.1818331323319802E-2"/>
  </r>
  <r>
    <x v="9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  <n v="4.0417855833570271E-2"/>
  </r>
  <r>
    <x v="9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  <n v="3.5815945455168419E-2"/>
  </r>
  <r>
    <x v="9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  <n v="3.6816769281898976E-2"/>
  </r>
  <r>
    <x v="9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  <n v="3.2715013053935649E-2"/>
  </r>
  <r>
    <x v="9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  <n v="2.9813783769893576E-2"/>
  </r>
  <r>
    <x v="9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  <n v="3.0114025710604897E-2"/>
  </r>
  <r>
    <x v="9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  <n v="3.6116945279120682E-2"/>
  </r>
  <r>
    <x v="9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  <n v="3.1915301857054712E-2"/>
  </r>
  <r>
    <x v="9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  <n v="3.8918792978801409E-2"/>
  </r>
  <r>
    <x v="10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  <n v="3.2916007099342837E-2"/>
  </r>
  <r>
    <x v="10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  <n v="3.0515362185757955E-2"/>
  </r>
  <r>
    <x v="10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  <n v="3.5017748721954955E-2"/>
  </r>
  <r>
    <x v="10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  <n v="4.0220523486299564E-2"/>
  </r>
  <r>
    <x v="10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  <n v="3.8419736165838658E-2"/>
  </r>
  <r>
    <x v="10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  <n v="3.9520436938279668E-2"/>
  </r>
  <r>
    <x v="10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  <n v="3.8720421043975217E-2"/>
  </r>
  <r>
    <x v="10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  <n v="3.9520978601655044E-2"/>
  </r>
  <r>
    <x v="10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  <n v="4.4323679774125935E-2"/>
  </r>
  <r>
    <x v="10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  <n v="4.4223777853160839E-2"/>
  </r>
  <r>
    <x v="11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  <n v="4.4924308358632425E-2"/>
  </r>
  <r>
    <x v="11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  <n v="4.6525652842834553E-2"/>
  </r>
  <r>
    <x v="11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  <n v="4.5725368183718362E-2"/>
  </r>
  <r>
    <x v="11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  <n v="4.5425357305619196E-2"/>
  </r>
  <r>
    <x v="11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  <n v="4.9827985580942702E-2"/>
  </r>
  <r>
    <x v="11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  <n v="4.9928212860006538E-2"/>
  </r>
  <r>
    <x v="11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  <n v="4.992872611639565E-2"/>
  </r>
  <r>
    <x v="11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  <n v="5.2930634511069719E-2"/>
  </r>
  <r>
    <x v="11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  <n v="4.8728369256073767E-2"/>
  </r>
  <r>
    <x v="11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  <n v="4.942894640354456E-2"/>
  </r>
  <r>
    <x v="12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  <n v="5.0029469413490124E-2"/>
  </r>
  <r>
    <x v="12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  <n v="5.043022359290672E-2"/>
  </r>
  <r>
    <x v="12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  <n v="4.9529853610395358E-2"/>
  </r>
  <r>
    <x v="12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  <n v="4.7328688965571575E-2"/>
  </r>
  <r>
    <x v="12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  <n v="4.3426472301608454E-2"/>
  </r>
  <r>
    <x v="12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  <n v="4.542784789305776E-2"/>
  </r>
  <r>
    <x v="12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  <n v="4.9030560143651203E-2"/>
  </r>
  <r>
    <x v="12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  <n v="4.7029473951140544E-2"/>
  </r>
  <r>
    <x v="12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  <n v="5.5034679387010954E-2"/>
  </r>
  <r>
    <x v="12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  <n v="5.7536452889673295E-2"/>
  </r>
  <r>
    <x v="13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  <n v="5.7536650057913641E-2"/>
  </r>
  <r>
    <x v="13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  <n v="5.0432988701513692E-2"/>
  </r>
  <r>
    <x v="13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  <n v="5.1834082684504845E-2"/>
  </r>
  <r>
    <x v="13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  <n v="5.2034392595105616E-2"/>
  </r>
  <r>
    <x v="13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  <n v="4.9233384281122061E-2"/>
  </r>
  <r>
    <x v="13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  <n v="4.7632461848999774E-2"/>
  </r>
  <r>
    <x v="13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  <n v="5.1935572309801281E-2"/>
  </r>
  <r>
    <x v="13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  <n v="4.7232836526763466E-2"/>
  </r>
  <r>
    <x v="13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  <n v="4.7933487779133421E-2"/>
  </r>
  <r>
    <x v="13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  <n v="4.983498689148208E-2"/>
  </r>
  <r>
    <x v="14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  <n v="5.2336922623494708E-2"/>
  </r>
  <r>
    <x v="14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  <n v="5.5339230207715751E-2"/>
  </r>
  <r>
    <x v="14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  <n v="4.9335480996607117E-2"/>
  </r>
  <r>
    <x v="14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  <n v="4.9235577763383831E-2"/>
  </r>
  <r>
    <x v="14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  <n v="4.6533784802664901E-2"/>
  </r>
  <r>
    <x v="14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  <n v="4.1330714949123215E-2"/>
  </r>
  <r>
    <x v="14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  <n v="4.1430931311732755E-2"/>
  </r>
  <r>
    <x v="14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  <n v="3.9529647235426513E-2"/>
  </r>
  <r>
    <x v="14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  <n v="3.8829254918088918E-2"/>
  </r>
  <r>
    <x v="14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  <n v="3.6127342954770547E-2"/>
  </r>
  <r>
    <x v="15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  <n v="4.0130785259925417E-2"/>
  </r>
  <r>
    <x v="15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  <n v="4.10316168280353E-2"/>
  </r>
  <r>
    <x v="15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  <n v="3.8037932988871315E-2"/>
  </r>
  <r>
    <x v="15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  <n v="3.8529953079962875E-2"/>
  </r>
  <r>
    <x v="15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  <n v="3.8530481305416253E-2"/>
  </r>
  <r>
    <x v="15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  <n v="4.183323736667488E-2"/>
  </r>
  <r>
    <x v="15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  <n v="4.0932662021407551E-2"/>
  </r>
  <r>
    <x v="15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  <n v="4.3835128150641278E-2"/>
  </r>
  <r>
    <x v="15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  <n v="4.0832862063647113E-2"/>
  </r>
  <r>
    <x v="15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  <n v="4.0132710908205971E-2"/>
  </r>
  <r>
    <x v="16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  <n v="3.8231292050685317E-2"/>
  </r>
  <r>
    <x v="16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  <n v="3.8131340828077898E-2"/>
  </r>
  <r>
    <x v="16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  <n v="3.2026432774995783E-2"/>
  </r>
  <r>
    <x v="16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  <n v="3.6029860363726129E-2"/>
  </r>
  <r>
    <x v="16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  <n v="3.4128635327586476E-2"/>
  </r>
  <r>
    <x v="16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  <n v="3.3828499352194008E-2"/>
  </r>
  <r>
    <x v="16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  <n v="4.393716602742731E-2"/>
  </r>
  <r>
    <x v="16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  <n v="4.3637061613973516E-2"/>
  </r>
  <r>
    <x v="16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  <n v="5.0443014762588667E-2"/>
  </r>
  <r>
    <x v="16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  <n v="4.5539301040624092E-2"/>
  </r>
  <r>
    <x v="17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  <n v="5.0944139956880463E-2"/>
  </r>
  <r>
    <x v="17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  <n v="5.0143618078739738E-2"/>
  </r>
  <r>
    <x v="17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  <n v="5.2245625460590583E-2"/>
  </r>
  <r>
    <x v="17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  <n v="4.8342382362619285E-2"/>
  </r>
  <r>
    <x v="17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  <n v="6.0053266424671181E-2"/>
  </r>
  <r>
    <x v="17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  <n v="5.5049016247343541E-2"/>
  </r>
  <r>
    <x v="17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  <n v="6.355680933985508E-2"/>
  </r>
  <r>
    <x v="17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  <n v="6.5859092747602377E-2"/>
  </r>
  <r>
    <x v="17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  <n v="7.5568063015661435E-2"/>
  </r>
  <r>
    <x v="17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  <n v="8.3976499139627181E-2"/>
  </r>
  <r>
    <x v="18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  <n v="7.9072302413508211E-2"/>
  </r>
  <r>
    <x v="18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  <n v="6.2557415710309427E-2"/>
  </r>
  <r>
    <x v="18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  <n v="5.4950622319876852E-2"/>
  </r>
  <r>
    <x v="18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  <n v="5.2348942675857879E-2"/>
  </r>
  <r>
    <x v="18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  <n v="5.2048840350191639E-2"/>
  </r>
  <r>
    <x v="18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  <n v="4.904619076184763E-2"/>
  </r>
  <r>
    <x v="18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  <n v="4.4642196048319649E-2"/>
  </r>
  <r>
    <x v="18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  <n v="4.4041779359186628E-2"/>
  </r>
  <r>
    <x v="18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  <n v="4.3041272453037127E-2"/>
  </r>
  <r>
    <x v="18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  <n v="4.904719953105563E-2"/>
  </r>
  <r>
    <x v="19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  <n v="5.5853941134931695E-2"/>
  </r>
  <r>
    <x v="19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  <n v="5.635461766026667E-2"/>
  </r>
  <r>
    <x v="19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  <n v="5.4052571679304551E-2"/>
  </r>
  <r>
    <x v="19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  <n v="5.2051159872888775E-2"/>
  </r>
  <r>
    <x v="19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  <n v="6.5564666520403658E-2"/>
  </r>
  <r>
    <x v="19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  <n v="8.007925652443687E-2"/>
  </r>
  <r>
    <x v="19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  <n v="7.6475952144252901E-2"/>
  </r>
  <r>
    <x v="19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  <n v="7.5275017226071161E-2"/>
  </r>
  <r>
    <x v="19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  <n v="7.107155834984541E-2"/>
  </r>
  <r>
    <x v="19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  <n v="6.9069779400421638E-2"/>
  </r>
  <r>
    <x v="20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  <n v="6.9670625017140664E-2"/>
  </r>
  <r>
    <x v="20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  <n v="7.9881249078686156E-2"/>
  </r>
  <r>
    <x v="20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  <n v="7.8880501333552622E-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13">
  <r>
    <x v="0"/>
    <n v="36.799999999999997"/>
    <n v="0.36778839571753236"/>
    <n v="40.9"/>
    <n v="0.40876482024040961"/>
    <n v="35.869999999999997"/>
    <n v="0.35867420493731611"/>
    <n v="38.82"/>
    <n v="0.38776044962730605"/>
    <n v="33.58"/>
    <n v="0.33577585173669017"/>
    <n v="38.479999999999997"/>
    <n v="0.38477232801750555"/>
    <n v="38.1"/>
    <n v="0.38097260128552402"/>
    <n v="9.114190780216247E-3"/>
    <n v="4.0976424522877253E-2"/>
    <n v="-1.6983932299973192E-2"/>
    <n v="-1.3184205567991658E-2"/>
    <n v="2.7792218954885595E-2"/>
    <n v="-2.2298396348207905E-2"/>
    <n v="2.2898353200625943E-2"/>
    <n v="3.201254398084219E-2"/>
    <n v="2.9086244689989937E-2"/>
    <n v="-2.6098123080189439E-2"/>
  </r>
  <r>
    <x v="1"/>
    <n v="36.86"/>
    <n v="0.36839813800657173"/>
    <n v="41"/>
    <n v="0.40977546549835708"/>
    <n v="35.909999999999997"/>
    <n v="0.35907540579412367"/>
    <n v="38.68"/>
    <n v="0.38636335648068965"/>
    <n v="33.5"/>
    <n v="0.33497705636600233"/>
    <n v="38.450000000000003"/>
    <n v="0.38447366618724749"/>
    <n v="38.15"/>
    <n v="0.38147387165262653"/>
    <n v="9.3227322124480594E-3"/>
    <n v="4.1377327491785354E-2"/>
    <n v="-1.6075528180675758E-2"/>
    <n v="-1.3075733646054799E-2"/>
    <n v="2.8301593845730555E-2"/>
    <n v="-2.2398465858502858E-2"/>
    <n v="2.4098349428121335E-2"/>
    <n v="3.3421081640569394E-2"/>
    <n v="2.7287950686565976E-2"/>
    <n v="-2.5398260393123817E-2"/>
  </r>
  <r>
    <x v="2"/>
    <n v="36.979999999999997"/>
    <n v="0.36960760152249511"/>
    <n v="40.299999999999997"/>
    <n v="0.40279032832224321"/>
    <n v="36.01"/>
    <n v="0.36007657036014779"/>
    <n v="38.69"/>
    <n v="0.38646456560929637"/>
    <n v="33.71"/>
    <n v="0.3370780668381167"/>
    <n v="38.450000000000003"/>
    <n v="0.38447498279221559"/>
    <n v="38"/>
    <n v="0.37997527558138339"/>
    <n v="9.5310311623473254E-3"/>
    <n v="3.3182726799748097E-2"/>
    <n v="-1.4867381269720481E-2"/>
    <n v="-1.0367674058888277E-2"/>
    <n v="2.281505274085982E-2"/>
    <n v="-1.9898705221235602E-2"/>
    <n v="2.2998503522031088E-2"/>
    <n v="3.2529534684378414E-2"/>
    <n v="2.6387995249148588E-2"/>
    <n v="-2.4398412432067806E-2"/>
  </r>
  <r>
    <x v="3"/>
    <n v="37.049999999999997"/>
    <n v="0.37031737773152962"/>
    <n v="40.299999999999997"/>
    <n v="0.40280135823429541"/>
    <n v="36.119999999999997"/>
    <n v="0.36117773561903715"/>
    <n v="38.619999999999997"/>
    <n v="0.38576667305218793"/>
    <n v="33.450000000000003"/>
    <n v="0.33447938140799544"/>
    <n v="38.4"/>
    <n v="0.38397633022621891"/>
    <n v="38.299999999999997"/>
    <n v="0.38297639186625482"/>
    <n v="9.1396421124924632E-3"/>
    <n v="3.2483980502765797E-2"/>
    <n v="-1.3658952494689292E-2"/>
    <n v="-1.2659014134725199E-2"/>
    <n v="1.9824966368040597E-2"/>
    <n v="-2.1798656247217663E-2"/>
    <n v="2.6698354211041719E-2"/>
    <n v="3.5837996323534183E-2"/>
    <n v="2.458893743315077E-2"/>
    <n v="-2.2798594607181755E-2"/>
  </r>
  <r>
    <x v="4"/>
    <n v="37.06"/>
    <n v="0.37042747213626531"/>
    <n v="40.549999999999997"/>
    <n v="0.4053112249089465"/>
    <n v="36.22"/>
    <n v="0.36217891424129417"/>
    <n v="38.6"/>
    <n v="0.38556821641517891"/>
    <n v="33.5"/>
    <n v="0.33498049771074973"/>
    <n v="38.450000000000003"/>
    <n v="0.38447761602920383"/>
    <n v="38.299999999999997"/>
    <n v="0.38297770335288694"/>
    <n v="8.2485578949711424E-3"/>
    <n v="3.4883752772681187E-2"/>
    <n v="-1.4050143892938516E-2"/>
    <n v="-1.2550231216621632E-2"/>
    <n v="2.2333521556059555E-2"/>
    <n v="-2.0798789111592775E-2"/>
    <n v="2.7198416530544445E-2"/>
    <n v="3.5446974425515587E-2"/>
    <n v="2.3389302173884741E-2"/>
    <n v="-2.2298701787909658E-2"/>
  </r>
  <r>
    <x v="5"/>
    <n v="37"/>
    <n v="0.36985813660513778"/>
    <n v="40.549999999999997"/>
    <n v="0.40534452538752258"/>
    <n v="36.28"/>
    <n v="0.36278260631339593"/>
    <n v="38.950000000000003"/>
    <n v="0.38906829408464583"/>
    <n v="33.340000000000003"/>
    <n v="0.33338401583485727"/>
    <n v="38.590000000000003"/>
    <n v="0.38588149883224782"/>
    <n v="38.5"/>
    <n v="0.38498154198086393"/>
    <n v="7.0755302917418494E-3"/>
    <n v="3.5486388782384803E-2"/>
    <n v="-1.6023362227110038E-2"/>
    <n v="-1.5123405375726151E-2"/>
    <n v="2.0362983406658652E-2"/>
    <n v="-2.2198935667468001E-2"/>
    <n v="2.9398590478538655E-2"/>
    <n v="3.6474120770280505E-2"/>
    <n v="2.6285687771249899E-2"/>
    <n v="-2.3098892518851888E-2"/>
  </r>
  <r>
    <x v="6"/>
    <n v="37.200000000000003"/>
    <n v="0.37186755402185528"/>
    <n v="40.6"/>
    <n v="0.40585544874428287"/>
    <n v="36.299999999999997"/>
    <n v="0.36298383976055859"/>
    <n v="38.58"/>
    <n v="0.38537371332396014"/>
    <n v="33.299999999999997"/>
    <n v="0.33298517531753719"/>
    <n v="38.549999999999997"/>
    <n v="0.38548283809282463"/>
    <n v="38.21"/>
    <n v="0.38208298945594887"/>
    <n v="8.8837142612966935E-3"/>
    <n v="3.3987894722427581E-2"/>
    <n v="-1.3615284070969347E-2"/>
    <n v="-1.0215435434093589E-2"/>
    <n v="2.3772459288333991E-2"/>
    <n v="-1.9099149695390283E-2"/>
    <n v="2.9998664443021406E-2"/>
    <n v="3.8882378704318099E-2"/>
    <n v="2.2389873563401552E-2"/>
    <n v="-2.249899833226604E-2"/>
  </r>
  <r>
    <x v="7"/>
    <n v="37.200000000000003"/>
    <n v="0.37187773882559161"/>
    <n v="40.049999999999997"/>
    <n v="0.40036837204206832"/>
    <n v="36.32"/>
    <n v="0.36318507458597593"/>
    <n v="38.39"/>
    <n v="0.38347712454074617"/>
    <n v="33.26"/>
    <n v="0.3325863320685451"/>
    <n v="38.15"/>
    <n v="0.38148432256208648"/>
    <n v="37.85"/>
    <n v="0.37848444584469132"/>
    <n v="8.6926642396156772E-3"/>
    <n v="2.8490633216476713E-2"/>
    <n v="-9.606583736494867E-3"/>
    <n v="-6.6067070190997113E-3"/>
    <n v="2.1883926197377002E-2"/>
    <n v="-1.5299371258715388E-2"/>
    <n v="3.0598742517430833E-2"/>
    <n v="3.929140675704651E-2"/>
    <n v="2.0292049954770242E-2"/>
    <n v="-1.8299247976110544E-2"/>
  </r>
  <r>
    <x v="8"/>
    <n v="37"/>
    <n v="0.36988852674536443"/>
    <n v="40.9"/>
    <n v="0.40887677686176765"/>
    <n v="36.19"/>
    <n v="0.36188636729438273"/>
    <n v="38.229999999999997"/>
    <n v="0.38188019334909223"/>
    <n v="33.119999999999997"/>
    <n v="0.33118752375766664"/>
    <n v="38.200000000000003"/>
    <n v="0.38198561013112525"/>
    <n v="37.6"/>
    <n v="0.37598583615000808"/>
    <n v="8.0021594509817051E-3"/>
    <n v="3.8988250116403222E-2"/>
    <n v="-1.2097083385760821E-2"/>
    <n v="-6.0973094046436471E-3"/>
    <n v="3.2890940711759575E-2"/>
    <n v="-1.4099468855625352E-2"/>
    <n v="3.0698843536716092E-2"/>
    <n v="3.8701002987697797E-2"/>
    <n v="1.9993826054709507E-2"/>
    <n v="-2.0099242836742526E-2"/>
  </r>
  <r>
    <x v="9"/>
    <n v="36.6"/>
    <n v="0.36589975349219395"/>
    <n v="39.9"/>
    <n v="0.39889071487263761"/>
    <n v="35.840000000000003"/>
    <n v="0.35838772644772443"/>
    <n v="38.03"/>
    <n v="0.37988368910782705"/>
    <n v="32.94"/>
    <n v="0.32938871956439847"/>
    <n v="37.65"/>
    <n v="0.37648710660593815"/>
    <n v="36.6"/>
    <n v="0.36598746618266498"/>
    <n v="7.5120270444695159E-3"/>
    <n v="3.2990961380443662E-2"/>
    <n v="-1.0587353113744202E-2"/>
    <n v="-8.7712690471031252E-5"/>
    <n v="3.2903248689972631E-2"/>
    <n v="-7.5997397349405471E-3"/>
    <n v="2.8999006883325962E-2"/>
    <n v="3.6511033927795478E-2"/>
    <n v="2.1495962660102619E-2"/>
    <n v="-1.8099380158213718E-2"/>
  </r>
  <r>
    <x v="1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  <n v="-1.1799717130068776E-2"/>
    <n v="2.919930001678045E-2"/>
    <n v="3.7438032033296653E-2"/>
    <n v="2.1798717294319536E-2"/>
    <n v="-1.6299609255942482E-2"/>
  </r>
  <r>
    <x v="1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  <n v="-1.0599782196256236E-2"/>
    <n v="2.5699471928659012E-2"/>
    <n v="3.644694667442433E-2"/>
    <n v="2.2201327494487E-2"/>
    <n v="-1.7099648637356746E-2"/>
  </r>
  <r>
    <x v="1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  <n v="-1.1899796236365778E-2"/>
    <n v="2.4899573637437777E-2"/>
    <n v="3.7955725912112603E-2"/>
    <n v="2.5699751509919821E-2"/>
    <n v="-1.729970377219564E-2"/>
  </r>
  <r>
    <x v="1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  <n v="-1.2499828769468868E-2"/>
    <n v="1.99997260311503E-2"/>
    <n v="3.2964983719642793E-2"/>
    <n v="2.6202906722444685E-2"/>
    <n v="-1.7499760277256471E-2"/>
  </r>
  <r>
    <x v="1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  <n v="-9.5999013708762959E-3"/>
    <n v="2.3899754454577538E-2"/>
    <n v="3.8973855124320722E-2"/>
    <n v="2.7706267227601222E-2"/>
    <n v="-1.669982842642026E-2"/>
  </r>
  <r>
    <x v="1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  <n v="-1.1900040753564212E-2"/>
    <n v="2.3600080822194558E-2"/>
    <n v="4.0408658482257664E-2"/>
    <n v="2.9509298860199928E-2"/>
    <n v="-1.8000061644046716E-2"/>
  </r>
  <r>
    <x v="1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  <n v="-9.4000643840026488E-3"/>
    <n v="2.5000171234049517E-2"/>
    <n v="4.3417366807686542E-2"/>
    <n v="3.2107719539571866E-2"/>
    <n v="-1.9400132877622489E-2"/>
  </r>
  <r>
    <x v="1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  <n v="-8.3000852748486564E-3"/>
    <n v="2.6900276372702536E-2"/>
    <n v="5.2226644885390749E-2"/>
    <n v="3.2107722101891389E-2"/>
    <n v="-1.6300167467473925E-2"/>
  </r>
  <r>
    <x v="1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  <n v="-1.1000150686995724E-2"/>
    <n v="2.3000315072809197E-2"/>
    <n v="4.9035579655385464E-2"/>
    <n v="3.610332516143322E-2"/>
    <n v="-1.8600254798010918E-2"/>
  </r>
  <r>
    <x v="1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  <n v="-6.9001654149242753E-3"/>
    <n v="2.310055378039888E-2"/>
    <n v="4.7562401943395671E-2"/>
    <n v="3.1206013858113224E-2"/>
    <n v="-1.6700400352063161E-2"/>
  </r>
  <r>
    <x v="2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  <n v="-5.5001506890600127E-3"/>
    <n v="2.4500671251267092E-2"/>
    <n v="4.9070880196342592E-2"/>
    <n v="3.7002884445663797E-2"/>
    <n v="-1.450039727115815E-2"/>
  </r>
  <r>
    <x v="2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  <n v="3.0000924686035546E-4"/>
    <n v="2.6300810641423866E-2"/>
    <n v="5.0680029349004285E-2"/>
    <n v="3.6202454859744937E-2"/>
    <n v="-1.0800332886972519E-2"/>
  </r>
  <r>
    <x v="2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  <n v="5.0001712387409691E-4"/>
    <n v="2.750094181307583E-2"/>
    <n v="5.3289876516735779E-2"/>
    <n v="3.2104452187349086E-2"/>
    <n v="-1.2000410972978548E-2"/>
  </r>
  <r>
    <x v="2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  <n v="3.500131854282218E-3"/>
    <n v="2.8501073670583521E-2"/>
    <n v="5.2500208721306951E-2"/>
    <n v="2.6402967269936017E-2"/>
    <n v="-1.1500433235498597E-2"/>
  </r>
  <r>
    <x v="2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  <n v="2.4001150740103894E-3"/>
    <n v="2.9301404861876934E-2"/>
    <n v="5.4028326983134145E-2"/>
    <n v="2.4803369868838909E-2"/>
    <n v="-1.2100580164802421E-2"/>
  </r>
  <r>
    <x v="2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  <n v="2.500128431255022E-3"/>
    <n v="3.0501566861311336E-2"/>
    <n v="5.2239959152254767E-2"/>
    <n v="2.4093447602007545E-2"/>
    <n v="-1.1100570234772345E-2"/>
  </r>
  <r>
    <x v="2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  <n v="5.4002959066250522E-3"/>
    <n v="3.2401775439750147E-2"/>
    <n v="5.2650812834833138E-2"/>
    <n v="2.3388505384528469E-2"/>
    <n v="-8.1004438599375228E-3"/>
  </r>
  <r>
    <x v="2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  <n v="4.5002620015548445E-3"/>
    <n v="3.3001921344735785E-2"/>
    <n v="5.2660447368123309E-2"/>
    <n v="2.0590224141676272E-2"/>
    <n v="-6.7003900912039893E-3"/>
  </r>
  <r>
    <x v="2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  <n v="4.0002876919230101E-3"/>
    <n v="3.4902510112028551E-2"/>
    <n v="5.4201404488275762E-2"/>
    <n v="2.368054112041762E-2"/>
    <n v="-6.0004315378845985E-3"/>
  </r>
  <r>
    <x v="2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  <n v="5.3003993451561371E-3"/>
    <n v="3.3902554302036425E-2"/>
    <n v="5.2011416338182626E-2"/>
    <n v="2.1080743081382192E-2"/>
    <n v="-4.5003390666419896E-3"/>
  </r>
  <r>
    <x v="3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  <n v="7.6005986772930689E-3"/>
    <n v="3.5202772821146922E-2"/>
    <n v="5.0721868464563336E-2"/>
    <n v="2.0776547469678219E-2"/>
    <n v="-5.8004568853026184E-3"/>
  </r>
  <r>
    <x v="3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  <n v="-2.2001808367810849E-3"/>
    <n v="3.3302737211277689E-2"/>
    <n v="4.9932665300432888E-2"/>
    <n v="2.2274088740902476E-2"/>
    <n v="-1.9001561772200026E-3"/>
  </r>
  <r>
    <x v="3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  <n v="3.0002568713074496E-3"/>
    <n v="3.2102748522989943E-2"/>
    <n v="4.7843086901787513E-2"/>
    <n v="2.2771130348426649E-2"/>
    <n v="-4.0003424950766919E-3"/>
  </r>
  <r>
    <x v="3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  <n v="6.0005753976408172E-3"/>
    <n v="3.1503020837614526E-2"/>
    <n v="4.7772608463024724E-2"/>
    <n v="2.2571552862782174E-2"/>
    <n v="-3.6003452385845458E-3"/>
  </r>
  <r>
    <x v="3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  <n v="9.7009634518496202E-3"/>
    <n v="2.9202900288042288E-2"/>
    <n v="4.4779271774553653E-2"/>
    <n v="2.4473302434164845E-2"/>
    <n v="-3.6003575697586832E-3"/>
  </r>
  <r>
    <x v="3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  <n v="1.250128437853204E-2"/>
    <n v="2.9102990033222587E-2"/>
    <n v="4.5887583959569878E-2"/>
    <n v="2.7773617789451088E-2"/>
    <n v="-5.0005137514128051E-3"/>
  </r>
  <r>
    <x v="3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  <n v="1.1201189167343195E-2"/>
    <n v="2.930311094671012E-2"/>
    <n v="4.6893194063368782E-2"/>
    <n v="2.8979248646222922E-2"/>
    <n v="-5.3005627309747894E-3"/>
  </r>
  <r>
    <x v="3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  <n v="1.1501260412099978E-2"/>
    <n v="2.7002959228408618E-2"/>
    <n v="4.3997889581670446E-2"/>
    <n v="2.9884006318097678E-2"/>
    <n v="-8.0008768084173232E-3"/>
  </r>
  <r>
    <x v="3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  <n v="1.2401486479543811E-2"/>
    <n v="2.3102769167537229E-2"/>
    <n v="4.5425006344042729E-2"/>
    <n v="3.2288945949626446E-2"/>
    <n v="-1.1601390577637649E-2"/>
  </r>
  <r>
    <x v="3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  <n v="1.5501911194530815E-2"/>
    <n v="2.7803427819868165E-2"/>
    <n v="4.963611623026204E-2"/>
    <n v="2.7691245955122401E-2"/>
    <n v="-9.1011220561439399E-3"/>
  </r>
  <r>
    <x v="4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  <n v="9.401191246836027E-3"/>
    <n v="2.1002661296123049E-2"/>
    <n v="4.1845806795062945E-2"/>
    <n v="3.1684951190341371E-2"/>
    <n v="-1.3001647469028654E-2"/>
  </r>
  <r>
    <x v="4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  <n v="7.0009110774690297E-3"/>
    <n v="1.890245990916628E-2"/>
    <n v="4.1750590583073344E-2"/>
    <n v="3.1592576901697422E-2"/>
    <n v="-1.2001561847089615E-2"/>
  </r>
  <r>
    <x v="4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  <n v="9.0012022153643234E-3"/>
    <n v="1.9002538010213677E-2"/>
    <n v="4.2357567606636559E-2"/>
    <n v="3.2395124327753932E-2"/>
    <n v="-9.5012690051068938E-3"/>
  </r>
  <r>
    <x v="4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  <n v="7.5010789223107222E-3"/>
    <n v="1.8502661341699811E-2"/>
    <n v="4.1785424901282897E-2"/>
    <n v="3.1595656163201147E-2"/>
    <n v="-9.7013954061885843E-3"/>
  </r>
  <r>
    <x v="4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  <n v="4.1006038560472691E-3"/>
    <n v="1.8602739444507244E-2"/>
    <n v="4.3399597416725E-2"/>
    <n v="3.0093844732960506E-2"/>
    <n v="-9.9014580914312811E-3"/>
  </r>
  <r>
    <x v="4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  <n v="7.5011303073065361E-3"/>
    <n v="2.0003014152817522E-2"/>
    <n v="4.3605447411967202E-2"/>
    <n v="3.2593898838673696E-2"/>
    <n v="-1.2001808491690524E-2"/>
  </r>
  <r>
    <x v="4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  <n v="1.0401745498388404E-2"/>
    <n v="2.1503608482245307E-2"/>
    <n v="4.7242311821490357E-2"/>
    <n v="3.0607375263644709E-2"/>
    <n v="-6.7011245037694733E-3"/>
  </r>
  <r>
    <x v="4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  <n v="1.780304846720332E-2"/>
    <n v="1.9803390991608216E-2"/>
    <n v="4.5355348631347214E-2"/>
    <n v="3.1702468811509843E-2"/>
    <n v="-4.7008049323514212E-3"/>
  </r>
  <r>
    <x v="4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  <n v="1.4702567914259002E-2"/>
    <n v="2.1703790730572825E-2"/>
    <n v="4.5966533778824314E-2"/>
    <n v="2.7902867006456E-2"/>
    <n v="-8.0013975043585761E-4"/>
  </r>
  <r>
    <x v="4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  <n v="2.2003918506035336E-2"/>
    <n v="2.8004987189499564E-2"/>
    <n v="5.1483542753407274E-2"/>
    <n v="2.6397601735909715E-2"/>
    <n v="2.0003562278214093E-3"/>
  </r>
  <r>
    <x v="5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  <n v="1.9103467410180652E-2"/>
    <n v="2.8005083114400975E-2"/>
    <n v="5.1993583691958389E-2"/>
    <n v="2.6397690761864823E-2"/>
    <n v="5.0009076990001899E-3"/>
  </r>
  <r>
    <x v="5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  <n v="2.0403913079220737E-2"/>
    <n v="2.64050639848738E-2"/>
    <n v="5.0212752441990138E-2"/>
    <n v="2.3207210625936114E-2"/>
    <n v="5.9011317238922834E-3"/>
  </r>
  <r>
    <x v="5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  <n v="2.0103924396200568E-2"/>
    <n v="3.0205896356480522E-2"/>
    <n v="5.3009193485320572E-2"/>
    <n v="2.1917644260860569E-2"/>
    <n v="6.9013471807852222E-3"/>
  </r>
  <r>
    <x v="5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  <n v="1.8603695254536812E-2"/>
    <n v="2.7905542881805245E-2"/>
    <n v="5.0415675809050153E-2"/>
    <n v="2.2518367684320251E-2"/>
    <n v="7.1014105541511441E-3"/>
  </r>
  <r>
    <x v="5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  <n v="1.8203678140446211E-2"/>
    <n v="2.8105678887172414E-2"/>
    <n v="5.0320028205352252E-2"/>
    <n v="2.0423323827429396E-2"/>
    <n v="6.7013540407137029E-3"/>
  </r>
  <r>
    <x v="5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  <n v="2.1504418716174534E-2"/>
    <n v="3.0006165650476091E-2"/>
    <n v="5.0534807574778684E-2"/>
    <n v="2.0417238950103611E-2"/>
    <n v="8.6017674864697913E-3"/>
  </r>
  <r>
    <x v="5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  <n v="2.000431599968483E-2"/>
    <n v="2.9506366099535108E-2"/>
    <n v="5.0059977958884894E-2"/>
    <n v="1.9819012869208896E-2"/>
    <n v="8.5018342998660068E-3"/>
  </r>
  <r>
    <x v="5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  <n v="2.2804998355804074E-2"/>
    <n v="3.2107037158829399E-2"/>
    <n v="5.037263899755634E-2"/>
    <n v="1.7216281387163301E-2"/>
    <n v="1.2502740326646944E-2"/>
  </r>
  <r>
    <x v="5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  <n v="2.2404987411581367E-2"/>
    <n v="3.2407213934608714E-2"/>
    <n v="4.8582140165917664E-2"/>
    <n v="1.7413306693412289E-2"/>
    <n v="1.1702605031942093E-2"/>
  </r>
  <r>
    <x v="5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  <n v="2.290517719758578E-2"/>
    <n v="3.1107031041262778E-2"/>
    <n v="4.7993356596482184E-2"/>
    <n v="1.8911263828793212E-2"/>
    <n v="1.4703323353908782E-2"/>
  </r>
  <r>
    <x v="6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  <n v="2.6306035974007769E-2"/>
    <n v="3.1807298249940885E-2"/>
    <n v="4.830275589461358E-2"/>
    <n v="1.8511023260351089E-2"/>
    <n v="1.5303511422141369E-2"/>
  </r>
  <r>
    <x v="6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  <n v="2.2105299215565311E-2"/>
    <n v="3.160757715890794E-2"/>
    <n v="4.9131339548635522E-2"/>
    <n v="2.0110107666837462E-2"/>
    <n v="1.1002637618607147E-2"/>
  </r>
  <r>
    <x v="6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  <n v="2.4806031603574863E-2"/>
    <n v="3.4808463701790526E-2"/>
    <n v="5.1140011659329854E-2"/>
    <n v="1.481376694529396E-2"/>
    <n v="1.3303234690626831E-2"/>
  </r>
  <r>
    <x v="6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  <n v="2.2005425995450967E-2"/>
    <n v="3.1507769038941091E-2"/>
    <n v="5.1156830000578635E-2"/>
    <n v="1.5711810142338634E-2"/>
    <n v="1.0502589679647067E-2"/>
  </r>
  <r>
    <x v="6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  <n v="2.3005751437859434E-2"/>
    <n v="3.2008002000500135E-2"/>
    <n v="4.9960937128069594E-2"/>
    <n v="1.8510652909859482E-2"/>
    <n v="1.3503375843960996E-2"/>
  </r>
  <r>
    <x v="6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  <n v="2.0705247220185963E-2"/>
    <n v="3.3708542575858258E-2"/>
    <n v="5.4068561473204158E-2"/>
    <n v="1.9414020170720303E-2"/>
    <n v="1.1202839075656168E-2"/>
  </r>
  <r>
    <x v="6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  <n v="1.420374550823339E-2"/>
    <n v="2.720717449464416E-2"/>
    <n v="5.1189597863579905E-2"/>
    <n v="2.4017445048790997E-2"/>
    <n v="3.5009231886490855E-3"/>
  </r>
  <r>
    <x v="6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  <n v="9.2024581908865533E-3"/>
    <n v="3.2108576948636947E-2"/>
    <n v="5.5100554125218582E-2"/>
    <n v="2.291680764327797E-2"/>
    <n v="1.7004542309246307E-3"/>
  </r>
  <r>
    <x v="6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  <n v="1.3503653385676273E-2"/>
    <n v="3.400920111948097E-2"/>
    <n v="5.520578724416858E-2"/>
    <n v="2.2417492267780115E-2"/>
    <n v="5.5014884163866462E-3"/>
  </r>
  <r>
    <x v="6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  <n v="1.2603453000822107E-2"/>
    <n v="3.4009317621266077E-2"/>
    <n v="5.3609498077377138E-2"/>
    <n v="1.9021198694492925E-2"/>
    <n v="6.1016716908741664E-3"/>
  </r>
  <r>
    <x v="7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  <n v="1.2203385185616533E-2"/>
    <n v="3.5709905830041855E-2"/>
    <n v="5.4719667127700489E-2"/>
    <n v="2.0818684784717267E-2"/>
    <n v="8.7024140258085136E-3"/>
  </r>
  <r>
    <x v="7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  <n v="1.0503021417120006E-2"/>
    <n v="3.2009208128365718E-2"/>
    <n v="5.2745813831149846E-2"/>
    <n v="2.1620079980288198E-2"/>
    <n v="6.0017265240685513E-3"/>
  </r>
  <r>
    <x v="7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  <n v="1.1503348577496852E-2"/>
    <n v="3.4710103968621009E-2"/>
    <n v="5.3953021856088745E-2"/>
    <n v="1.6923240940693862E-2"/>
    <n v="7.5021838548892661E-3"/>
  </r>
  <r>
    <x v="7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  <n v="1.0903211219742859E-2"/>
    <n v="3.8511342381660374E-2"/>
    <n v="5.7268457471807477E-2"/>
    <n v="1.4921435021824969E-2"/>
    <n v="9.2027103873059124E-3"/>
  </r>
  <r>
    <x v="7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  <n v="1.3203934048843347E-2"/>
    <n v="3.9711831949930276E-2"/>
    <n v="5.6277745906631593E-2"/>
    <n v="1.5318526706021129E-2"/>
    <n v="9.8029207332321344E-3"/>
  </r>
  <r>
    <x v="7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  <n v="1.1503466798213124E-2"/>
    <n v="4.0512209158924561E-2"/>
    <n v="5.7283837828664919E-2"/>
    <n v="1.2322660917375827E-2"/>
    <n v="9.5028638767847284E-3"/>
  </r>
  <r>
    <x v="7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  <n v="1.0503273280371594E-2"/>
    <n v="3.9912438465412148E-2"/>
    <n v="5.5096165271645958E-2"/>
    <n v="9.3300195009510256E-3"/>
    <n v="1.0803366802667969E-2"/>
  </r>
  <r>
    <x v="7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  <n v="1.2904065664524456E-2"/>
    <n v="3.9912575194924471E-2"/>
    <n v="5.5610846868441588E-2"/>
    <n v="9.5276724920326794E-3"/>
    <n v="1.0803403812159995E-2"/>
  </r>
  <r>
    <x v="7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  <n v="1.3704364746306208E-2"/>
    <n v="4.2113412833539476E-2"/>
    <n v="5.5117513693066611E-2"/>
    <n v="6.8277987152364772E-3"/>
    <n v="2.1506849784349136E-2"/>
  </r>
  <r>
    <x v="7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  <n v="1.6305248950004458E-2"/>
    <n v="4.1313299486821109E-2"/>
    <n v="5.4828718571421409E-2"/>
    <n v="7.326814514019897E-3"/>
    <n v="9.3029947996957629E-3"/>
  </r>
  <r>
    <x v="8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  <n v="1.6005207173566738E-2"/>
    <n v="4.2513831554786663E-2"/>
    <n v="5.6444019452974559E-2"/>
    <n v="4.6264902218836612E-3"/>
    <n v="9.5030917593052489E-3"/>
  </r>
  <r>
    <x v="8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  <n v="5.0017129153819839E-3"/>
    <n v="3.5612195957519688E-2"/>
    <n v="5.5984557409017865E-2"/>
    <n v="9.2317471634899007E-3"/>
    <n v="1.5005138746145841E-3"/>
  </r>
  <r>
    <x v="8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  <n v="3.9013494393608794E-3"/>
    <n v="3.6012456363331113E-2"/>
    <n v="5.1987188441583732E-2"/>
    <n v="7.6303749010920296E-3"/>
    <n v="2.9010034292683007E-3"/>
  </r>
  <r>
    <x v="8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  <n v="8.7030401030497306E-3"/>
    <n v="3.8613488273300967E-2"/>
    <n v="5.4606229292709807E-2"/>
    <n v="9.4250857045164449E-3"/>
    <n v="3.60125797367572E-3"/>
  </r>
  <r>
    <x v="8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  <n v="9.7034892684013108E-3"/>
    <n v="4.1214820397745766E-2"/>
    <n v="5.3940797123992412E-2"/>
    <n v="8.5189117698665218E-3"/>
    <n v="5.8020863666728983E-3"/>
  </r>
  <r>
    <x v="8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  <n v="7.3026509623356217E-3"/>
    <n v="3.8213872159071405E-2"/>
    <n v="4.9845747599017165E-2"/>
    <n v="9.3182749969631384E-3"/>
    <n v="5.3019246712847634E-3"/>
  </r>
  <r>
    <x v="8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  <n v="7.5027749989722281E-3"/>
    <n v="3.2612061995532571E-2"/>
    <n v="4.6084324783929431E-2"/>
    <n v="1.0410465048203976E-2"/>
    <n v="6.802515999068115E-3"/>
  </r>
  <r>
    <x v="8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  <n v="1.5605825462244427E-2"/>
    <n v="3.6613667430650476E-2"/>
    <n v="4.9002417537609089E-2"/>
    <n v="1.1005735267550498E-2"/>
    <n v="1.1104145040443159E-2"/>
  </r>
  <r>
    <x v="8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  <n v="1.6706407937291001E-2"/>
    <n v="3.7614427451625299E-2"/>
    <n v="4.9415436222769393E-2"/>
    <n v="9.9117902013549086E-3"/>
    <n v="1.4705640519651342E-2"/>
  </r>
  <r>
    <x v="8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  <n v="1.8707239445401813E-2"/>
    <n v="4.2216337144168781E-2"/>
    <n v="5.2218006317487853E-2"/>
    <n v="7.5145022420873842E-3"/>
    <n v="1.9007355586237118E-2"/>
  </r>
  <r>
    <x v="9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  <n v="2.0508006550502555E-2"/>
    <n v="4.1416169326380814E-2"/>
    <n v="5.2830571767311263E-2"/>
    <n v="1.0412793656550845E-2"/>
    <n v="1.7506834860185172E-2"/>
  </r>
  <r>
    <x v="9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  <n v="1.9107525223975186E-2"/>
    <n v="4.1116193021224101E-2"/>
    <n v="5.463509598794708E-2"/>
    <n v="8.6182746571685231E-3"/>
    <n v="1.1504530894016485E-2"/>
  </r>
  <r>
    <x v="9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  <n v="1.5106001014101478E-2"/>
    <n v="4.011593646791195E-2"/>
    <n v="5.6340059767842843E-2"/>
    <n v="9.5223753034296421E-3"/>
    <n v="1.3105206177796702E-2"/>
  </r>
  <r>
    <x v="9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  <n v="1.8907705537530684E-2"/>
    <n v="3.8915859545499698E-2"/>
    <n v="5.1137161507386175E-2"/>
    <n v="8.8289767154642873E-3"/>
    <n v="1.6406686286534578E-2"/>
  </r>
  <r>
    <x v="9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  <n v="2.0108263670001347E-2"/>
    <n v="3.2513361655474804E-2"/>
    <n v="4.7928423935280962E-2"/>
    <n v="1.1036915334633968E-2"/>
    <n v="1.4606002466767132E-2"/>
  </r>
  <r>
    <x v="9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  <n v="2.0908664206743199E-2"/>
    <n v="3.7115380003357512E-2"/>
    <n v="5.3040595660466205E-2"/>
    <n v="8.4386336774349702E-3"/>
    <n v="1.4105845230386549E-2"/>
  </r>
  <r>
    <x v="9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  <n v="3.1613208258244874E-2"/>
    <n v="4.6219310807940284E-2"/>
    <n v="5.838813892801259E-2"/>
    <n v="8.2625045332312963E-4"/>
    <n v="2.5410616764538596E-2"/>
  </r>
  <r>
    <x v="9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  <n v="3.7015592184379054E-2"/>
    <n v="4.051706712073927E-2"/>
    <n v="5.3513969462400945E-2"/>
    <n v="3.4186440961174736E-3"/>
    <n v="2.6511167375298572E-2"/>
  </r>
  <r>
    <x v="9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  <n v="3.4915066090162206E-2"/>
    <n v="4.1017699418242126E-2"/>
    <n v="5.9762720309945727E-2"/>
    <n v="2.9184594557166155E-3"/>
    <n v="2.2509713095376749E-2"/>
  </r>
  <r>
    <x v="9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  <n v="4.0817752926786743E-2"/>
    <n v="3.8216621612824797E-2"/>
    <n v="5.3578149827335553E-2"/>
    <n v="5.6100900050705116E-3"/>
    <n v="2.58112261154681E-2"/>
  </r>
  <r>
    <x v="10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  <n v="4.1818331323319802E-2"/>
    <n v="4.3719164565288848E-2"/>
    <n v="5.7680018802889421E-2"/>
    <n v="7.4106849802794694E-3"/>
    <n v="2.6711709242407677E-2"/>
  </r>
  <r>
    <x v="10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  <n v="4.0417855833570271E-2"/>
    <n v="4.0818032624001688E-2"/>
    <n v="5.5994421556758378E-2"/>
    <n v="6.3106474347516262E-3"/>
    <n v="1.8408132359843843E-2"/>
  </r>
  <r>
    <x v="10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  <n v="3.5815945455168419E-2"/>
    <n v="3.7716791722342158E-2"/>
    <n v="5.3018025829274007E-2"/>
    <n v="9.7033719486354086E-3"/>
    <n v="1.7307705485318847E-2"/>
  </r>
  <r>
    <x v="10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  <n v="3.6816769281898976E-2"/>
    <n v="3.7817224968907104E-2"/>
    <n v="5.1741173318941291E-2"/>
    <n v="8.1044368430051028E-3"/>
    <n v="1.9308794759256787E-2"/>
  </r>
  <r>
    <x v="10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  <n v="3.2715013053935649E-2"/>
    <n v="3.5716390398333464E-2"/>
    <n v="5.1446212409067826E-2"/>
    <n v="1.5003597468163488E-2"/>
    <n v="1.8708585446746084E-2"/>
  </r>
  <r>
    <x v="10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  <n v="2.9813783769893576E-2"/>
    <n v="3.5816559025576844E-2"/>
    <n v="5.5256658388561419E-2"/>
    <n v="1.9904852453268507E-2"/>
    <n v="1.780823325852704E-2"/>
  </r>
  <r>
    <x v="10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  <n v="3.0114025710604897E-2"/>
    <n v="3.641696132445249E-2"/>
    <n v="5.7059968791946525E-2"/>
    <n v="2.0008362683964553E-2"/>
    <n v="1.6507688512457819E-2"/>
  </r>
  <r>
    <x v="10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  <n v="3.6116945279120682E-2"/>
    <n v="4.1019245330857268E-2"/>
    <n v="6.1289713013010894E-2"/>
    <n v="2.0301883150910693E-2"/>
    <n v="1.9509153267115054E-2"/>
  </r>
  <r>
    <x v="10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  <n v="3.1915301857054712E-2"/>
    <n v="3.6917700267251385E-2"/>
    <n v="6.182842676955963E-2"/>
    <n v="2.370180780008796E-2"/>
    <n v="1.3906667580346754E-2"/>
  </r>
  <r>
    <x v="10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  <n v="3.8918792978801409E-2"/>
    <n v="3.7418068313809061E-2"/>
    <n v="6.0751004226736849E-2"/>
    <n v="2.2596579245894755E-2"/>
    <n v="1.9709517266899401E-2"/>
  </r>
  <r>
    <x v="11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  <n v="3.2916007099342837E-2"/>
    <n v="3.2415763830355881E-2"/>
    <n v="5.9251007723772842E-2"/>
    <n v="3.0498588110965619E-2"/>
    <n v="1.4507054800622254E-2"/>
  </r>
  <r>
    <x v="11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  <n v="3.0515362185757955E-2"/>
    <n v="2.9014606668425647E-2"/>
    <n v="5.5908052239775963E-2"/>
    <n v="3.3094362006411915E-2"/>
    <n v="1.1505792299548123E-2"/>
  </r>
  <r>
    <x v="11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  <n v="3.5017748721954955E-2"/>
    <n v="3.2116278113564434E-2"/>
    <n v="5.4420477457957694E-2"/>
    <n v="2.5292854030237788E-2"/>
    <n v="1.5107657305757693E-2"/>
  </r>
  <r>
    <x v="11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  <n v="4.0220523486299564E-2"/>
    <n v="3.5618175027668286E-2"/>
    <n v="5.6642365959680863E-2"/>
    <n v="2.1690252051091485E-2"/>
    <n v="1.9509955422458758E-2"/>
  </r>
  <r>
    <x v="11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  <n v="3.8419736165838658E-2"/>
    <n v="3.7119068014390966E-2"/>
    <n v="5.8054977507948025E-2"/>
    <n v="2.328870557220708E-2"/>
    <n v="1.7208840157615257E-2"/>
  </r>
  <r>
    <x v="11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  <n v="3.9520436938279668E-2"/>
    <n v="3.541831563582537E-2"/>
    <n v="5.5866493031071385E-2"/>
    <n v="2.2887621509957989E-2"/>
    <n v="1.6508536948901642E-2"/>
  </r>
  <r>
    <x v="11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  <n v="3.8720421043975217E-2"/>
    <n v="3.5118521411977521E-2"/>
    <n v="5.5192799171029983E-2"/>
    <n v="2.3188010725165409E-2"/>
    <n v="1.6208548343989604E-2"/>
  </r>
  <r>
    <x v="11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  <n v="3.9520978601655044E-2"/>
    <n v="3.5418801075913553E-2"/>
    <n v="5.5302591485947128E-2"/>
    <n v="2.0389361909532944E-2"/>
    <n v="1.3607223012215397E-2"/>
  </r>
  <r>
    <x v="11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  <n v="4.4323679774125935E-2"/>
    <n v="3.8820739847315766E-2"/>
    <n v="5.8518551471310798E-2"/>
    <n v="1.7889261816247448E-2"/>
    <n v="1.2306574745412024E-2"/>
  </r>
  <r>
    <x v="11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  <n v="4.4223777853160839E-2"/>
    <n v="4.1722432951963928E-2"/>
    <n v="6.2039670059830521E-2"/>
    <n v="1.9286571345445425E-2"/>
    <n v="1.3207101078319516E-2"/>
  </r>
  <r>
    <x v="12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  <n v="4.4924308358632425E-2"/>
    <n v="4.2923225580965063E-2"/>
    <n v="6.1346480608885479E-2"/>
    <n v="2.268359303837697E-2"/>
    <n v="1.34072546103714E-2"/>
  </r>
  <r>
    <x v="12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  <n v="4.6525652842834553E-2"/>
    <n v="4.5124880499179287E-2"/>
    <n v="6.0766735428991026E-2"/>
    <n v="1.8585382025513075E-2"/>
    <n v="1.440794410616808E-2"/>
  </r>
  <r>
    <x v="12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  <n v="4.5725368183718362E-2"/>
    <n v="4.3724257978741632E-2"/>
    <n v="5.7070557666317634E-2"/>
    <n v="1.7284722621089599E-2"/>
    <n v="1.5208437557823196E-2"/>
  </r>
  <r>
    <x v="12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  <n v="4.5425357305619196E-2"/>
    <n v="4.4324742921562355E-2"/>
    <n v="5.9997236551245725E-2"/>
    <n v="1.8282578498259594E-2"/>
    <n v="1.7609830144909633E-2"/>
  </r>
  <r>
    <x v="12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  <n v="4.9827985580942702E-2"/>
    <n v="4.5325456763387673E-2"/>
    <n v="5.9607254742472637E-2"/>
    <n v="1.7781296991137674E-2"/>
    <n v="2.201236310804694E-2"/>
  </r>
  <r>
    <x v="12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  <n v="4.9928212860006538E-2"/>
    <n v="4.3924820532150022E-2"/>
    <n v="5.8518072567443347E-2"/>
    <n v="1.7681299913405335E-2"/>
    <n v="2.0911816608700118E-2"/>
  </r>
  <r>
    <x v="12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  <n v="4.992872611639565E-2"/>
    <n v="4.6526768825899789E-2"/>
    <n v="6.1253649840908864E-2"/>
    <n v="1.7680415531745097E-2"/>
    <n v="2.4914334274514005E-2"/>
  </r>
  <r>
    <x v="12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  <n v="5.2930634511069719E-2"/>
    <n v="4.9928897204203737E-2"/>
    <n v="6.366086080512684E-2"/>
    <n v="1.1683370506196E-2"/>
    <n v="2.6815519941335908E-2"/>
  </r>
  <r>
    <x v="12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  <n v="4.8728369256073767E-2"/>
    <n v="4.6427029434944977E-2"/>
    <n v="6.0371684507377732E-2"/>
    <n v="1.3382063536424404E-2"/>
    <n v="2.3813864236027826E-2"/>
  </r>
  <r>
    <x v="12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  <n v="4.942894640354456E-2"/>
    <n v="4.3925723625821977E-2"/>
    <n v="5.9690637229922294E-2"/>
    <n v="1.1182623815874482E-2"/>
    <n v="2.9417227211826102E-2"/>
  </r>
  <r>
    <x v="13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  <n v="5.0029469413490124E-2"/>
    <n v="4.552681716627599E-2"/>
    <n v="6.019672513639901E-2"/>
    <n v="-0.38822868264868343"/>
    <n v="3.0017681648094097E-2"/>
  </r>
  <r>
    <x v="13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  <n v="5.043022359290672E-2"/>
    <n v="4.4426625546132081E-2"/>
    <n v="6.0025513079547954E-2"/>
    <n v="-0.38713201404951597"/>
    <n v="2.9917930266426751E-2"/>
  </r>
  <r>
    <x v="13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  <n v="4.9529853610395358E-2"/>
    <n v="4.3626295301277485E-2"/>
    <n v="6.0141849485449483E-2"/>
    <n v="-0.38773370250561984"/>
    <n v="3.0618454959153496E-2"/>
  </r>
  <r>
    <x v="13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  <n v="4.7328688965571575E-2"/>
    <n v="4.582777916750902E-2"/>
    <n v="6.3166845090096735E-2"/>
    <n v="-0.39003642618984791"/>
    <n v="2.7616740284350405E-2"/>
  </r>
  <r>
    <x v="13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  <n v="4.3426472301608454E-2"/>
    <n v="4.2425862340741971E-2"/>
    <n v="6.3294533904766526E-2"/>
    <n v="-0.3906381287223033"/>
    <n v="2.6916407947310317E-2"/>
  </r>
  <r>
    <x v="13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  <n v="4.542784789305776E-2"/>
    <n v="4.0424780944483096E-2"/>
    <n v="5.9494572706077387E-2"/>
    <n v="-0.39063946734470789"/>
    <n v="2.6516254827445573E-2"/>
  </r>
  <r>
    <x v="13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  <n v="4.9030560143651203E-2"/>
    <n v="4.5028065438046994E-2"/>
    <n v="6.0328824884723908E-2"/>
    <n v="-0.39524635217841259"/>
    <n v="2.5015591910026114E-2"/>
  </r>
  <r>
    <x v="13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  <n v="4.7029473951140544E-2"/>
    <n v="4.4427843477247708E-2"/>
    <n v="6.3057387540046195E-2"/>
    <n v="-0.3957480201633215"/>
    <n v="2.4415301370379339E-2"/>
  </r>
  <r>
    <x v="13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  <n v="5.5034679387010954E-2"/>
    <n v="4.3527428242454147E-2"/>
    <n v="5.937723846179388E-2"/>
    <n v="-0.4012528442580256"/>
    <n v="2.7217150533212664E-2"/>
  </r>
  <r>
    <x v="13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  <n v="5.7536452889673295E-2"/>
    <n v="4.6129225708068489E-2"/>
    <n v="5.7975459858711775E-2"/>
    <n v="-0.40275517022771279"/>
    <n v="3.3521237770505308E-2"/>
  </r>
  <r>
    <x v="14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  <n v="5.7536650057913641E-2"/>
    <n v="4.4528363957863526E-2"/>
    <n v="5.4488357067553284E-2"/>
    <n v="-0.40575846258232984"/>
    <n v="3.3221161424743184E-2"/>
  </r>
  <r>
    <x v="14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  <n v="5.0432988701513692E-2"/>
    <n v="4.4429061475142972E-2"/>
    <n v="6.0488874720056207E-2"/>
    <n v="-0.40966796774602565"/>
    <n v="2.7417934333759386E-2"/>
  </r>
  <r>
    <x v="14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  <n v="5.1834082684504845E-2"/>
    <n v="4.3328489966005024E-2"/>
    <n v="5.9498690565926549E-2"/>
    <n v="-0.40956930584493911"/>
    <n v="2.1314014694593708E-2"/>
  </r>
  <r>
    <x v="14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  <n v="5.2034392595105616E-2"/>
    <n v="4.1527447936478556E-2"/>
    <n v="5.6902322135480743E-2"/>
    <n v="-0.40927051098842726"/>
    <n v="1.9012566525134722E-2"/>
  </r>
  <r>
    <x v="14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  <n v="4.9233384281122061E-2"/>
    <n v="4.3229313027326743E-2"/>
    <n v="6.1759198483707922E-2"/>
    <n v="-0.4064756238819473"/>
    <n v="2.0413842262904269E-2"/>
  </r>
  <r>
    <x v="14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  <n v="4.7632461848999774E-2"/>
    <n v="4.2128711005102792E-2"/>
    <n v="6.0069942098906148E-2"/>
    <n v="-0.40737763064554267"/>
    <n v="2.0614048615323455E-2"/>
  </r>
  <r>
    <x v="14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  <n v="5.1935572309801281E-2"/>
    <n v="3.7425633995887608E-2"/>
    <n v="5.4172021479673094E-2"/>
    <n v="-0.40767923235092529"/>
    <n v="2.1314599040438642E-2"/>
  </r>
  <r>
    <x v="14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  <n v="4.7232836526763466E-2"/>
    <n v="4.0428105840704331E-2"/>
    <n v="5.7783272261354657E-2"/>
    <n v="-0.40247980616661583"/>
    <n v="1.9613635506876392E-2"/>
  </r>
  <r>
    <x v="14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  <n v="4.7933487779133421E-2"/>
    <n v="3.992789483063508E-2"/>
    <n v="5.9285788741729573E-2"/>
    <n v="-0.39867852883521365"/>
    <n v="1.9413562900108317E-2"/>
  </r>
  <r>
    <x v="14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  <n v="4.983498689148208E-2"/>
    <n v="4.6832879247416859E-2"/>
    <n v="6.6600216499863307E-2"/>
    <n v="-0.39807947360304324"/>
    <n v="2.5017563700543199E-2"/>
  </r>
  <r>
    <x v="15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  <n v="5.2336922623494708E-2"/>
    <n v="4.9334804690980616E-2"/>
    <n v="6.8621877324303526E-2"/>
    <n v="-0.40058260279512259"/>
    <n v="3.0321391118391772E-2"/>
  </r>
  <r>
    <x v="15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  <n v="5.5339230207715751E-2"/>
    <n v="4.7333554951626666E-2"/>
    <n v="6.7148657948331136E-2"/>
    <n v="-0.40358610384759058"/>
    <n v="2.9120643744024011E-2"/>
  </r>
  <r>
    <x v="15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  <n v="4.9335480996607117E-2"/>
    <n v="4.2530587066040626E-2"/>
    <n v="6.5369580570194374E-2"/>
    <n v="-0.39878679872511053"/>
    <n v="2.5318208300490086E-2"/>
  </r>
  <r>
    <x v="15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  <n v="4.9235577763383831E-2"/>
    <n v="4.1630082011316405E-2"/>
    <n v="6.829225786979215E-2"/>
    <n v="-0.39698686379541381"/>
    <n v="2.3216776506311043E-2"/>
  </r>
  <r>
    <x v="15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  <n v="4.6533784802664901E-2"/>
    <n v="4.2230660616612015E-2"/>
    <n v="7.0182609589966138E-2"/>
    <n v="-0.39148422827532314"/>
    <n v="1.9914458442430727E-2"/>
  </r>
  <r>
    <x v="15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  <n v="4.1330714949123215E-2"/>
    <n v="3.3024542211163854E-2"/>
    <n v="6.6835039064273127E-2"/>
    <n v="-0.38628706950027936"/>
    <n v="1.4710932439518432E-2"/>
  </r>
  <r>
    <x v="15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  <n v="4.1430931311732755E-2"/>
    <n v="3.1623609407023079E-2"/>
    <n v="6.3444971324133792E-2"/>
    <n v="-0.38869018650910614"/>
    <n v="1.4510833430437797E-2"/>
  </r>
  <r>
    <x v="15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  <n v="3.9529647235426513E-2"/>
    <n v="3.0522892169126792E-2"/>
    <n v="6.3853523945776203E-2"/>
    <n v="-0.38679009256942704"/>
    <n v="6.7050287715786916E-3"/>
  </r>
  <r>
    <x v="15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  <n v="3.8829254918088918E-2"/>
    <n v="3.1223524573308625E-2"/>
    <n v="6.7271756416136586E-2"/>
    <n v="-0.38509013640414008"/>
    <n v="1.531153608883401E-2"/>
  </r>
  <r>
    <x v="15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  <n v="3.6127342954770547E-2"/>
    <n v="2.6219844471329301E-2"/>
    <n v="6.4398091894085796E-2"/>
    <n v="-0.38639244085420815"/>
    <n v="1.4611058369519425E-2"/>
  </r>
  <r>
    <x v="16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  <n v="4.0130785259925417E-2"/>
    <n v="2.7821342399649063E-2"/>
    <n v="6.9775204428788762E-2"/>
    <n v="-0.39039948453608248"/>
    <n v="1.5111592454485623E-2"/>
  </r>
  <r>
    <x v="16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  <n v="4.10316168280353E-2"/>
    <n v="3.2925370576642909E-2"/>
    <n v="7.7304156496918353E-2"/>
    <n v="-0.39030074543740895"/>
    <n v="1.4911490017993301E-2"/>
  </r>
  <r>
    <x v="16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  <n v="3.8037932988871315E-2"/>
    <n v="2.8021688018809165E-2"/>
    <n v="7.2321408018811151E-2"/>
    <n v="-0.39230363226332715"/>
    <n v="1.2009294865203968E-2"/>
  </r>
  <r>
    <x v="16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  <n v="3.8529953079962875E-2"/>
    <n v="2.6720772655454805E-2"/>
    <n v="6.7087597777788055E-2"/>
    <n v="-0.38880225380689787"/>
    <n v="8.006224016615715E-3"/>
  </r>
  <r>
    <x v="16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  <n v="3.8530481305416253E-2"/>
    <n v="2.3018209611027907E-2"/>
    <n v="5.6896791953697068E-2"/>
    <n v="-0.39080916752636502"/>
    <n v="2.6020584777683431E-3"/>
  </r>
  <r>
    <x v="16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  <n v="4.183323736667488E-2"/>
    <n v="2.5420196868745026E-2"/>
    <n v="5.6512524714147472E-2"/>
    <n v="-0.39461352855693566"/>
    <n v="4.3034191549450318E-3"/>
  </r>
  <r>
    <x v="16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  <n v="4.0932662021407551E-2"/>
    <n v="2.2417888246443252E-2"/>
    <n v="6.2495220975608168E-2"/>
    <n v="-0.39771735665788116"/>
    <n v="3.402715180263749E-3"/>
  </r>
  <r>
    <x v="16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  <n v="4.3835128150641278E-2"/>
    <n v="2.9823899974637191E-2"/>
    <n v="7.1043900261720305E-2"/>
    <n v="-0.40212224865131646"/>
    <n v="5.3042506666300948E-3"/>
  </r>
  <r>
    <x v="16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  <n v="4.0832862063647113E-2"/>
    <n v="3.0124243826367081E-2"/>
    <n v="8.0116007324916527E-2"/>
    <n v="-0.4029242712456943"/>
    <n v="4.6037050365876908E-3"/>
  </r>
  <r>
    <x v="16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  <n v="4.0132710908205971E-2"/>
    <n v="3.0725043014511788E-2"/>
    <n v="8.4353070445800482E-2"/>
    <n v="-0.39932547761531656"/>
    <n v="2.3018761867549253E-3"/>
  </r>
  <r>
    <x v="17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  <n v="3.8231292050685317E-2"/>
    <n v="2.8723509996195495E-2"/>
    <n v="7.660027160253402E-2"/>
    <n v="-0.39502332388496064"/>
    <n v="4.7038500690633755E-3"/>
  </r>
  <r>
    <x v="17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  <n v="3.8131340828077898E-2"/>
    <n v="1.9015629284343361E-2"/>
    <n v="7.7658423435774671E-2"/>
    <n v="-0.39232245681381961"/>
    <n v="7.5061694543460677E-3"/>
  </r>
  <r>
    <x v="17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  <n v="3.2026432774995783E-2"/>
    <n v="1.3010738314842063E-2"/>
    <n v="8.3194496502798865E-2"/>
    <n v="-0.38431719329994962"/>
    <n v="-1.0008260242186373E-3"/>
  </r>
  <r>
    <x v="17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  <n v="3.6029860363726129E-2"/>
    <n v="1.1009124000027404E-2"/>
    <n v="8.7241223999743434E-2"/>
    <n v="-0.38381809581913778"/>
    <n v="4.5037325454657662E-3"/>
  </r>
  <r>
    <x v="17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  <n v="3.4128635327586476E-2"/>
    <n v="2.2018474404894517E-2"/>
    <n v="9.886803743846817E-2"/>
    <n v="-0.38031910335726893"/>
    <n v="6.2052064231974957E-3"/>
  </r>
  <r>
    <x v="17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  <n v="3.3828499352194008E-2"/>
    <n v="1.7414671264147197E-2"/>
    <n v="9.5281732124735452E-2"/>
    <n v="-0.38022032260054706"/>
    <n v="5.9049747389924856E-3"/>
  </r>
  <r>
    <x v="17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  <n v="4.393716602742731E-2"/>
    <n v="2.7923620322670151E-2"/>
    <n v="9.5757748002401222E-2"/>
    <n v="-0.3842250122535158"/>
    <n v="1.1409651314639391E-2"/>
  </r>
  <r>
    <x v="17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  <n v="4.3637061613973516E-2"/>
    <n v="2.8824481066110963E-2"/>
    <n v="9.5763005699041726E-2"/>
    <n v="-0.38412624420740904"/>
    <n v="1.531300556637144E-2"/>
  </r>
  <r>
    <x v="17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  <n v="5.0443014762588667E-2"/>
    <n v="3.5830554136918102E-2"/>
    <n v="8.9203116294763629E-2"/>
    <n v="-0.38672977984651297"/>
    <n v="2.3920397873529176E-2"/>
  </r>
  <r>
    <x v="17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  <n v="4.5539301040624092E-2"/>
    <n v="2.9525480894470546E-2"/>
    <n v="0.10081831690217669"/>
    <n v="-0.38082866035071361"/>
    <n v="2.0717879814086126E-2"/>
  </r>
  <r>
    <x v="18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  <n v="5.0944139956880463E-2"/>
    <n v="3.7332346176653097E-2"/>
    <n v="0.10726875596990398"/>
    <n v="-0.38773594929853605"/>
    <n v="2.6522980527648898E-2"/>
  </r>
  <r>
    <x v="18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  <n v="5.0143618078739738E-2"/>
    <n v="3.8033083572696802E-2"/>
    <n v="9.4792672939889744E-2"/>
    <n v="-0.38833780068964097"/>
    <n v="2.7023506749021375E-2"/>
  </r>
  <r>
    <x v="18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  <n v="5.2245625460590583E-2"/>
    <n v="4.0235136848960518E-2"/>
    <n v="8.0717578920212918E-2"/>
    <n v="-0.39254280279010778"/>
    <n v="2.6222900135392191E-2"/>
  </r>
  <r>
    <x v="18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  <n v="4.8342382362619285E-2"/>
    <n v="4.0335362509597406E-2"/>
    <n v="6.6164750637692782E-2"/>
    <n v="-0.38263546122628056"/>
    <n v="2.2319567840298316E-2"/>
  </r>
  <r>
    <x v="18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  <n v="6.0053266424671181E-2"/>
    <n v="4.7041725365992382E-2"/>
    <n v="8.4905490603638389E-2"/>
    <n v="-0.40185644115842473"/>
    <n v="2.8725479106467666E-2"/>
  </r>
  <r>
    <x v="18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  <n v="5.5049016247343541E-2"/>
    <n v="5.1045451429354904E-2"/>
    <n v="7.3708497852044308E-2"/>
    <n v="-0.40135737300335916"/>
    <n v="2.3621032426132837E-2"/>
  </r>
  <r>
    <x v="18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  <n v="6.355680933985508E-2"/>
    <n v="5.805188884585194E-2"/>
    <n v="6.9457210815807191E-2"/>
    <n v="-0.40336053801514365"/>
    <n v="3.5531759552202447E-2"/>
  </r>
  <r>
    <x v="18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  <n v="6.5859092747602377E-2"/>
    <n v="5.3447956728297386E-2"/>
    <n v="5.92912384719263E-2"/>
    <n v="-0.41417161974100053"/>
    <n v="3.5832150765412851E-2"/>
  </r>
  <r>
    <x v="18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  <n v="7.5568063015661435E-2"/>
    <n v="7.4066710770317123E-2"/>
    <n v="7.8433769856276092E-2"/>
    <n v="-0.43389079890449278"/>
    <n v="4.5040567360327965E-2"/>
  </r>
  <r>
    <x v="18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  <n v="8.3976499139627181E-2"/>
    <n v="6.5259448675848486E-2"/>
    <n v="6.920866776784812E-2"/>
    <n v="-0.44230291978309005"/>
    <n v="4.3940027559352002E-2"/>
  </r>
  <r>
    <x v="19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  <n v="7.9072302413508211E-2"/>
    <n v="6.4058574107145883E-2"/>
    <n v="6.8535830623498106E-2"/>
    <n v="-0.44440635786832478"/>
    <n v="4.0136700339008569E-2"/>
  </r>
  <r>
    <x v="19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  <n v="6.2557415710309427E-2"/>
    <n v="5.0746575624203039E-2"/>
    <n v="5.8159387664793893E-2"/>
    <n v="-0.4449083405317209"/>
    <n v="3.3730958550998891E-2"/>
  </r>
  <r>
    <x v="19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  <n v="5.4950622319876852E-2"/>
    <n v="5.0446472949395138E-2"/>
    <n v="6.0508405452400327E-2"/>
    <n v="-0.44781253963411499"/>
    <n v="3.1829322218070721E-2"/>
  </r>
  <r>
    <x v="19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  <n v="5.2348942675857879E-2"/>
    <n v="4.7344263643749107E-2"/>
    <n v="5.9364270193601465E-2"/>
    <n v="-0.44771858621245203"/>
    <n v="3.1729665063569668E-2"/>
  </r>
  <r>
    <x v="19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  <n v="5.2048840350191639E-2"/>
    <n v="4.8245271247677579E-2"/>
    <n v="5.7453268444155381E-2"/>
    <n v="-0.44741983916414718"/>
    <n v="3.2630619142620165E-2"/>
  </r>
  <r>
    <x v="19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  <n v="4.904619076184763E-2"/>
    <n v="4.704430542462934E-2"/>
    <n v="5.6471541302505535E-2"/>
    <n v="-0.4484223155368926"/>
    <n v="3.2030165395492305E-2"/>
  </r>
  <r>
    <x v="19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  <n v="4.4642196048319649E-2"/>
    <n v="4.4942479878241126E-2"/>
    <n v="5.6473462396241902E-2"/>
    <n v="-0.44492054133358933"/>
    <n v="3.0528856042012387E-2"/>
  </r>
  <r>
    <x v="19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  <n v="4.4041779359186628E-2"/>
    <n v="4.9046527013639651E-2"/>
    <n v="6.1995942669218373E-2"/>
    <n v="-0.44442159171542867"/>
    <n v="2.7526112099491629E-2"/>
  </r>
  <r>
    <x v="19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  <n v="4.3041272453037127E-2"/>
    <n v="4.2540792540792516E-2"/>
    <n v="5.7129118729388362E-2"/>
    <n v="-0.44342520224873161"/>
    <n v="2.1520636226518564E-2"/>
  </r>
  <r>
    <x v="19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  <n v="4.904719953105563E-2"/>
    <n v="3.9037566973697313E-2"/>
    <n v="5.7695232638274141E-2"/>
    <n v="-0.44743057531391511"/>
    <n v="1.8017338603244948E-2"/>
  </r>
  <r>
    <x v="20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  <n v="5.5853941134931695E-2"/>
    <n v="3.8637314118429467E-2"/>
    <n v="5.4376915542813653E-2"/>
    <n v="-0.44643114240465109"/>
    <n v="2.2021267114130827E-2"/>
  </r>
  <r>
    <x v="20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  <n v="5.635461766026667E-2"/>
    <n v="4.7746274642890274E-2"/>
    <n v="6.4207367396306447E-2"/>
    <n v="-0.4471333518444246"/>
    <n v="2.8727842395198155E-2"/>
  </r>
  <r>
    <x v="20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  <n v="5.4052571679304551E-2"/>
    <n v="3.9037968435053305E-2"/>
    <n v="5.6130831403321813E-2"/>
    <n v="-0.449437123777921"/>
    <n v="2.472404667553374E-2"/>
  </r>
  <r>
    <x v="20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  <n v="5.2051159872888775E-2"/>
    <n v="3.7036402217247799E-2"/>
    <n v="5.2672228429483381E-2"/>
    <n v="-0.4524446973566485"/>
    <n v="2.3122726789687131E-2"/>
  </r>
  <r>
    <x v="20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  <n v="6.5564666520403658E-2"/>
    <n v="4.104047827994739E-2"/>
    <n v="6.0069652170701482E-2"/>
    <n v="-0.46045414655550682"/>
    <n v="2.6025669153137365E-2"/>
  </r>
  <r>
    <x v="20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  <n v="8.007925652443687E-2"/>
    <n v="6.8067368045771293E-2"/>
    <n v="8.190515026251094E-2"/>
    <n v="-0.46596117390156694"/>
    <n v="3.5535170082718837E-2"/>
  </r>
  <r>
    <x v="20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  <n v="7.6475952144252901E-2"/>
    <n v="6.8968496109149513E-2"/>
    <n v="8.3341366226749036E-2"/>
    <n v="-0.45435123924445514"/>
    <n v="2.7427239381577651E-2"/>
  </r>
  <r>
    <x v="20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  <n v="7.5275017226071161E-2"/>
    <n v="5.8858657086342858E-2"/>
    <n v="7.5007962442151022E-2"/>
    <n v="-0.4616600790513834"/>
    <n v="2.7727632675028868E-2"/>
  </r>
  <r>
    <x v="20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  <n v="7.107155834984541E-2"/>
    <n v="5.5055432524528103E-2"/>
    <n v="7.1006845759891579E-2"/>
    <n v="-0.47147470398277719"/>
    <n v="2.8528724126346383E-2"/>
  </r>
  <r>
    <x v="20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  <n v="6.9069779400421638E-2"/>
    <n v="5.1552081726401633E-2"/>
    <n v="7.1130401104511076E-2"/>
    <n v="-0.46947429766373561"/>
    <n v="2.6526799334944506E-2"/>
  </r>
  <r>
    <x v="21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  <n v="6.9670625017140664E-2"/>
    <n v="6.0661492471820788E-2"/>
    <n v="7.3068752602384879E-2"/>
    <n v="-0.48008666319282561"/>
    <n v="2.8128513835943336E-2"/>
  </r>
  <r>
    <x v="21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  <n v="7.9881249078686156E-2"/>
    <n v="6.5366485774914884E-2"/>
    <n v="7.2263132589686974E-2"/>
    <n v="-0.5113200755563021"/>
    <n v="2.732779573744526E-2"/>
  </r>
  <r>
    <x v="21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  <n v="7.8880501333552622E-2"/>
    <n v="7.337488258565239E-2"/>
    <n v="7.6408946896075913E-2"/>
    <n v="-0.51922989900652028"/>
    <n v="2.6727276467079342E-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23">
  <r>
    <x v="0"/>
    <n v="36.15"/>
    <n v="0.36115368824414945"/>
    <n v="40.6"/>
    <n v="0.40561105788969481"/>
    <n v="35.119999999999997"/>
    <n v="0.35115790915472456"/>
    <n v="38.799999999999997"/>
    <n v="0.38754211633515195"/>
    <n v="33.25"/>
    <n v="0.33246015032444742"/>
    <n v="37.75"/>
    <n v="0.37745475713527488"/>
    <n v="37.4"/>
    <n v="0.37395517660554384"/>
    <n v="9.9957790894248943E-3"/>
    <n v="4.4457369645545364E-2"/>
    <n v="-1.6301068891125425E-2"/>
    <n v="-1.2801488361394386E-2"/>
    <n v="3.1655881284150977E-2"/>
  </r>
  <r>
    <x v="1"/>
    <n v="37.020000000000003"/>
    <n v="0.36985547708983418"/>
    <n v="40.700000000000003"/>
    <n v="0.40662122953960694"/>
    <n v="35.68"/>
    <n v="0.35675845963141278"/>
    <n v="39.14"/>
    <n v="0.39093944120625018"/>
    <n v="33.799999999999997"/>
    <n v="0.33796064841764994"/>
    <n v="38.4"/>
    <n v="0.38395529287685681"/>
    <n v="37.9"/>
    <n v="0.37895587500085604"/>
    <n v="1.3097017458421401E-2"/>
    <n v="3.6765752449772759E-2"/>
    <n v="-1.4099815787022629E-2"/>
    <n v="-9.1003979110218514E-3"/>
    <n v="2.7665354538750908E-2"/>
  </r>
  <r>
    <x v="2"/>
    <n v="36.65"/>
    <n v="0.36616894314729148"/>
    <n v="40.5"/>
    <n v="0.40463416637013111"/>
    <n v="35.53"/>
    <n v="0.35525985077028965"/>
    <n v="38.700000000000003"/>
    <n v="0.38654594089819155"/>
    <n v="33.03"/>
    <n v="0.33026267579348911"/>
    <n v="37.81"/>
    <n v="0.37805727434913178"/>
    <n v="37.549999999999997"/>
    <n v="0.37545756815154446"/>
    <n v="1.0909092377001828E-2"/>
    <n v="3.8465223222839628E-2"/>
    <n v="-1.1888331201840296E-2"/>
    <n v="-9.2886250042529817E-3"/>
    <n v="2.9176598218586647E-2"/>
  </r>
  <r>
    <x v="3"/>
    <n v="36.5"/>
    <n v="0.36468028030220079"/>
    <n v="40.5"/>
    <n v="0.40464524252709955"/>
    <n v="35.35"/>
    <n v="0.35346126451895682"/>
    <n v="38.69"/>
    <n v="0.38644738012328023"/>
    <n v="32.909999999999997"/>
    <n v="0.32906393819855356"/>
    <n v="37.74"/>
    <n v="0.37735864562787641"/>
    <n v="37.5"/>
    <n v="0.37495890861275477"/>
    <n v="1.1219015783243969E-2"/>
    <n v="3.9964962224898759E-2"/>
    <n v="-1.2678365325675622E-2"/>
    <n v="-1.0278628310553983E-2"/>
    <n v="2.9686333914344776E-2"/>
  </r>
  <r>
    <x v="4"/>
    <n v="36.119999999999997"/>
    <n v="0.36089348772275598"/>
    <n v="40.049999999999997"/>
    <n v="0.40016013796501598"/>
    <n v="35.1"/>
    <n v="0.35096274025702751"/>
    <n v="38.33"/>
    <n v="0.38285290123520133"/>
    <n v="32.700000000000003"/>
    <n v="0.32696528793176072"/>
    <n v="37.4"/>
    <n v="0.3739602987354082"/>
    <n v="37.08"/>
    <n v="0.37076063842537266"/>
    <n v="9.9307474657284733E-3"/>
    <n v="3.9266650242260004E-2"/>
    <n v="-1.3066811012652224E-2"/>
    <n v="-9.8671507026166783E-3"/>
    <n v="2.9399499539643326E-2"/>
  </r>
  <r>
    <x v="5"/>
    <n v="36.25"/>
    <n v="0.36223204752648724"/>
    <n v="40.4"/>
    <n v="0.40370137158814029"/>
    <n v="34.97"/>
    <n v="0.34966766771565644"/>
    <n v="38.4"/>
    <n v="0.38355733280426357"/>
    <n v="32.75"/>
    <n v="0.3274697202655919"/>
    <n v="37.4"/>
    <n v="0.37396542100559194"/>
    <n v="37"/>
    <n v="0.36996579083440917"/>
    <n v="1.2564379810830806E-2"/>
    <n v="4.1469324061653046E-2"/>
    <n v="-1.1733373479104692E-2"/>
    <n v="-7.7337433079219253E-3"/>
    <n v="3.373558075373112E-2"/>
  </r>
  <r>
    <x v="6"/>
    <n v="36.299999999999997"/>
    <n v="0.36274160871707822"/>
    <n v="41"/>
    <n v="0.40970815309642444"/>
    <n v="35.19"/>
    <n v="0.35186866922808241"/>
    <n v="38.700000000000003"/>
    <n v="0.38655519675989275"/>
    <n v="33.020000000000003"/>
    <n v="0.33017060124783415"/>
    <n v="37.700000000000003"/>
    <n v="0.37696643449555867"/>
    <n v="37.15"/>
    <n v="0.37146692417798416"/>
    <n v="1.0872939488995814E-2"/>
    <n v="4.696654437934622E-2"/>
    <n v="-1.4224825778480443E-2"/>
    <n v="-8.7253154609059358E-3"/>
    <n v="3.8241228918440284E-2"/>
  </r>
  <r>
    <x v="7"/>
    <n v="36.43"/>
    <n v="0.36405065023956196"/>
    <n v="40.5"/>
    <n v="0.40472279260780286"/>
    <n v="35.409999999999997"/>
    <n v="0.35406968581457066"/>
    <n v="38.79"/>
    <n v="0.38745548771101646"/>
    <n v="33.43"/>
    <n v="0.33427138087492508"/>
    <n v="38.15"/>
    <n v="0.38146734012498928"/>
    <n v="37.6"/>
    <n v="0.37596781097508775"/>
    <n v="9.980964424991301E-3"/>
    <n v="4.0672142368240904E-2"/>
    <n v="-1.7416689885427328E-2"/>
    <n v="-1.1917160735525789E-2"/>
    <n v="2.8754981632715115E-2"/>
  </r>
  <r>
    <x v="8"/>
    <n v="36.65"/>
    <n v="0.36625917205125397"/>
    <n v="40.01"/>
    <n v="0.39983709341802648"/>
    <n v="35.590000000000003"/>
    <n v="0.35587075034928639"/>
    <n v="38.96"/>
    <n v="0.38915487079847028"/>
    <n v="33.700000000000003"/>
    <n v="0.33697230364627567"/>
    <n v="38.229999999999997"/>
    <n v="0.3822685806646029"/>
    <n v="37.9"/>
    <n v="0.37896885187518831"/>
    <n v="1.0388421701967576E-2"/>
    <n v="3.3577921366772512E-2"/>
    <n v="-1.600940861334893E-2"/>
    <n v="-1.2709679823934339E-2"/>
    <n v="2.0868241542838173E-2"/>
  </r>
  <r>
    <x v="9"/>
    <n v="36.75"/>
    <n v="0.36726857048982831"/>
    <n v="40.5"/>
    <n v="0.40474495523368836"/>
    <n v="35.78"/>
    <n v="0.35777181934299696"/>
    <n v="39"/>
    <n v="0.38955574635774953"/>
    <n v="33.6"/>
    <n v="0.33597353633104243"/>
    <n v="38.299999999999997"/>
    <n v="0.38296983456782513"/>
    <n v="38.049999999999997"/>
    <n v="0.38047003147012393"/>
    <n v="9.4967511468313504E-3"/>
    <n v="3.7476384743860058E-2"/>
    <n v="-1.5701264077996824E-2"/>
    <n v="-1.3201460980295621E-2"/>
    <n v="2.4274923763564438E-2"/>
  </r>
  <r>
    <x v="10"/>
    <n v="36.799999999999997"/>
    <n v="0.36778839571753236"/>
    <n v="40.9"/>
    <n v="0.40876482024040961"/>
    <n v="35.869999999999997"/>
    <n v="0.35867420493731611"/>
    <n v="38.82"/>
    <n v="0.38776044962730605"/>
    <n v="33.58"/>
    <n v="0.33577585173669017"/>
    <n v="38.479999999999997"/>
    <n v="0.38477232801750555"/>
    <n v="38.1"/>
    <n v="0.38097260128552402"/>
    <n v="9.114190780216247E-3"/>
    <n v="4.0976424522877253E-2"/>
    <n v="-1.6983932299973192E-2"/>
    <n v="-1.3184205567991658E-2"/>
    <n v="2.7792218954885595E-2"/>
  </r>
  <r>
    <x v="11"/>
    <n v="36.86"/>
    <n v="0.36839813800657173"/>
    <n v="41"/>
    <n v="0.40977546549835708"/>
    <n v="35.909999999999997"/>
    <n v="0.35907540579412367"/>
    <n v="38.68"/>
    <n v="0.38636335648068965"/>
    <n v="33.5"/>
    <n v="0.33497705636600233"/>
    <n v="38.450000000000003"/>
    <n v="0.38447366618724749"/>
    <n v="38.15"/>
    <n v="0.38147387165262653"/>
    <n v="9.3227322124480594E-3"/>
    <n v="4.1377327491785354E-2"/>
    <n v="-1.6075528180675758E-2"/>
    <n v="-1.3075733646054799E-2"/>
    <n v="2.8301593845730555E-2"/>
  </r>
  <r>
    <x v="12"/>
    <n v="36.979999999999997"/>
    <n v="0.36960760152249511"/>
    <n v="40.299999999999997"/>
    <n v="0.40279032832224321"/>
    <n v="36.01"/>
    <n v="0.36007657036014779"/>
    <n v="38.69"/>
    <n v="0.38646456560929637"/>
    <n v="33.71"/>
    <n v="0.3370780668381167"/>
    <n v="38.450000000000003"/>
    <n v="0.38447498279221559"/>
    <n v="38"/>
    <n v="0.37997527558138339"/>
    <n v="9.5310311623473254E-3"/>
    <n v="3.3182726799748097E-2"/>
    <n v="-1.4867381269720481E-2"/>
    <n v="-1.0367674058888277E-2"/>
    <n v="2.281505274085982E-2"/>
  </r>
  <r>
    <x v="13"/>
    <n v="37.049999999999997"/>
    <n v="0.37031737773152962"/>
    <n v="40.299999999999997"/>
    <n v="0.40280135823429541"/>
    <n v="36.119999999999997"/>
    <n v="0.36117773561903715"/>
    <n v="38.619999999999997"/>
    <n v="0.38576667305218793"/>
    <n v="33.450000000000003"/>
    <n v="0.33447938140799544"/>
    <n v="38.4"/>
    <n v="0.38397633022621891"/>
    <n v="38.299999999999997"/>
    <n v="0.38297639186625482"/>
    <n v="9.1396421124924632E-3"/>
    <n v="3.2483980502765797E-2"/>
    <n v="-1.3658952494689292E-2"/>
    <n v="-1.2659014134725199E-2"/>
    <n v="1.9824966368040597E-2"/>
  </r>
  <r>
    <x v="14"/>
    <n v="37.06"/>
    <n v="0.37042747213626531"/>
    <n v="40.549999999999997"/>
    <n v="0.4053112249089465"/>
    <n v="36.22"/>
    <n v="0.36217891424129417"/>
    <n v="38.6"/>
    <n v="0.38556821641517891"/>
    <n v="33.5"/>
    <n v="0.33498049771074973"/>
    <n v="38.450000000000003"/>
    <n v="0.38447761602920383"/>
    <n v="38.299999999999997"/>
    <n v="0.38297770335288694"/>
    <n v="8.2485578949711424E-3"/>
    <n v="3.4883752772681187E-2"/>
    <n v="-1.4050143892938516E-2"/>
    <n v="-1.2550231216621632E-2"/>
    <n v="2.2333521556059555E-2"/>
  </r>
  <r>
    <x v="15"/>
    <n v="37"/>
    <n v="0.36985813660513778"/>
    <n v="40.549999999999997"/>
    <n v="0.40534452538752258"/>
    <n v="36.28"/>
    <n v="0.36278260631339593"/>
    <n v="38.950000000000003"/>
    <n v="0.38906829408464583"/>
    <n v="33.340000000000003"/>
    <n v="0.33338401583485727"/>
    <n v="38.590000000000003"/>
    <n v="0.38588149883224782"/>
    <n v="38.5"/>
    <n v="0.38498154198086393"/>
    <n v="7.0755302917418494E-3"/>
    <n v="3.5486388782384803E-2"/>
    <n v="-1.6023362227110038E-2"/>
    <n v="-1.5123405375726151E-2"/>
    <n v="2.0362983406658652E-2"/>
  </r>
  <r>
    <x v="16"/>
    <n v="37.200000000000003"/>
    <n v="0.37186755402185528"/>
    <n v="40.6"/>
    <n v="0.40585544874428287"/>
    <n v="36.299999999999997"/>
    <n v="0.36298383976055859"/>
    <n v="38.58"/>
    <n v="0.38537371332396014"/>
    <n v="33.299999999999997"/>
    <n v="0.33298517531753719"/>
    <n v="38.549999999999997"/>
    <n v="0.38548283809282463"/>
    <n v="38.21"/>
    <n v="0.38208298945594887"/>
    <n v="8.8837142612966935E-3"/>
    <n v="3.3987894722427581E-2"/>
    <n v="-1.3615284070969347E-2"/>
    <n v="-1.0215435434093589E-2"/>
    <n v="2.3772459288333991E-2"/>
  </r>
  <r>
    <x v="17"/>
    <n v="37.200000000000003"/>
    <n v="0.37187773882559161"/>
    <n v="40.049999999999997"/>
    <n v="0.40036837204206832"/>
    <n v="36.32"/>
    <n v="0.36318507458597593"/>
    <n v="38.39"/>
    <n v="0.38347712454074617"/>
    <n v="33.26"/>
    <n v="0.3325863320685451"/>
    <n v="38.15"/>
    <n v="0.38148432256208648"/>
    <n v="37.85"/>
    <n v="0.37848444584469132"/>
    <n v="8.6926642396156772E-3"/>
    <n v="2.8490633216476713E-2"/>
    <n v="-9.606583736494867E-3"/>
    <n v="-6.6067070190997113E-3"/>
    <n v="2.1883926197377002E-2"/>
  </r>
  <r>
    <x v="18"/>
    <n v="37"/>
    <n v="0.36988852674536443"/>
    <n v="40.9"/>
    <n v="0.40887677686176765"/>
    <n v="36.19"/>
    <n v="0.36188636729438273"/>
    <n v="38.229999999999997"/>
    <n v="0.38188019334909223"/>
    <n v="33.119999999999997"/>
    <n v="0.33118752375766664"/>
    <n v="38.200000000000003"/>
    <n v="0.38198561013112525"/>
    <n v="37.6"/>
    <n v="0.37598583615000808"/>
    <n v="8.0021594509817051E-3"/>
    <n v="3.8988250116403222E-2"/>
    <n v="-1.2097083385760821E-2"/>
    <n v="-6.0973094046436471E-3"/>
    <n v="3.2890940711759575E-2"/>
  </r>
  <r>
    <x v="19"/>
    <n v="36.6"/>
    <n v="0.36589975349219395"/>
    <n v="39.9"/>
    <n v="0.39889071487263761"/>
    <n v="35.840000000000003"/>
    <n v="0.35838772644772443"/>
    <n v="38.03"/>
    <n v="0.37988368910782705"/>
    <n v="32.94"/>
    <n v="0.32938871956439847"/>
    <n v="37.65"/>
    <n v="0.37648710660593815"/>
    <n v="36.6"/>
    <n v="0.36598746618266498"/>
    <n v="7.5120270444695159E-3"/>
    <n v="3.2990961380443662E-2"/>
    <n v="-1.0587353113744202E-2"/>
    <n v="-8.7712690471031252E-5"/>
    <n v="3.2903248689972631E-2"/>
  </r>
  <r>
    <x v="2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</r>
  <r>
    <x v="2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</r>
  <r>
    <x v="2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</r>
  <r>
    <x v="2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</r>
  <r>
    <x v="2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</r>
  <r>
    <x v="2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</r>
  <r>
    <x v="2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</r>
  <r>
    <x v="2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</r>
  <r>
    <x v="2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</r>
  <r>
    <x v="2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</r>
  <r>
    <x v="3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</r>
  <r>
    <x v="3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</r>
  <r>
    <x v="3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</r>
  <r>
    <x v="3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</r>
  <r>
    <x v="3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</r>
  <r>
    <x v="3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</r>
  <r>
    <x v="3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</r>
  <r>
    <x v="3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</r>
  <r>
    <x v="3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</r>
  <r>
    <x v="3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</r>
  <r>
    <x v="4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</r>
  <r>
    <x v="4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</r>
  <r>
    <x v="4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</r>
  <r>
    <x v="4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</r>
  <r>
    <x v="4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</r>
  <r>
    <x v="4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</r>
  <r>
    <x v="4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</r>
  <r>
    <x v="4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</r>
  <r>
    <x v="4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</r>
  <r>
    <x v="4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</r>
  <r>
    <x v="5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</r>
  <r>
    <x v="5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</r>
  <r>
    <x v="5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</r>
  <r>
    <x v="5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</r>
  <r>
    <x v="5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</r>
  <r>
    <x v="5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</r>
  <r>
    <x v="5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</r>
  <r>
    <x v="5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</r>
  <r>
    <x v="5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</r>
  <r>
    <x v="5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</r>
  <r>
    <x v="6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</r>
  <r>
    <x v="6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</r>
  <r>
    <x v="6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</r>
  <r>
    <x v="6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</r>
  <r>
    <x v="6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</r>
  <r>
    <x v="6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</r>
  <r>
    <x v="6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</r>
  <r>
    <x v="6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</r>
  <r>
    <x v="6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</r>
  <r>
    <x v="6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</r>
  <r>
    <x v="7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</r>
  <r>
    <x v="7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</r>
  <r>
    <x v="7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</r>
  <r>
    <x v="7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</r>
  <r>
    <x v="7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</r>
  <r>
    <x v="7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</r>
  <r>
    <x v="7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</r>
  <r>
    <x v="7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</r>
  <r>
    <x v="7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</r>
  <r>
    <x v="7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</r>
  <r>
    <x v="8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</r>
  <r>
    <x v="8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</r>
  <r>
    <x v="8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</r>
  <r>
    <x v="8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</r>
  <r>
    <x v="8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</r>
  <r>
    <x v="8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</r>
  <r>
    <x v="8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</r>
  <r>
    <x v="8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</r>
  <r>
    <x v="8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</r>
  <r>
    <x v="8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</r>
  <r>
    <x v="9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</r>
  <r>
    <x v="9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</r>
  <r>
    <x v="9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</r>
  <r>
    <x v="9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</r>
  <r>
    <x v="9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</r>
  <r>
    <x v="9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</r>
  <r>
    <x v="9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</r>
  <r>
    <x v="9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</r>
  <r>
    <x v="9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</r>
  <r>
    <x v="9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</r>
  <r>
    <x v="10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</r>
  <r>
    <x v="10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</r>
  <r>
    <x v="10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</r>
  <r>
    <x v="10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</r>
  <r>
    <x v="10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</r>
  <r>
    <x v="10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</r>
  <r>
    <x v="10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</r>
  <r>
    <x v="10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</r>
  <r>
    <x v="10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</r>
  <r>
    <x v="10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</r>
  <r>
    <x v="11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</r>
  <r>
    <x v="11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</r>
  <r>
    <x v="11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</r>
  <r>
    <x v="11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</r>
  <r>
    <x v="11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</r>
  <r>
    <x v="11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</r>
  <r>
    <x v="11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</r>
  <r>
    <x v="11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</r>
  <r>
    <x v="11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</r>
  <r>
    <x v="11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</r>
  <r>
    <x v="12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</r>
  <r>
    <x v="12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</r>
  <r>
    <x v="12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</r>
  <r>
    <x v="12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</r>
  <r>
    <x v="12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</r>
  <r>
    <x v="12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</r>
  <r>
    <x v="12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</r>
  <r>
    <x v="12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</r>
  <r>
    <x v="12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</r>
  <r>
    <x v="12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</r>
  <r>
    <x v="13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</r>
  <r>
    <x v="13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</r>
  <r>
    <x v="13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</r>
  <r>
    <x v="13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</r>
  <r>
    <x v="13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</r>
  <r>
    <x v="13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</r>
  <r>
    <x v="13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</r>
  <r>
    <x v="13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</r>
  <r>
    <x v="13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</r>
  <r>
    <x v="13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</r>
  <r>
    <x v="14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</r>
  <r>
    <x v="14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</r>
  <r>
    <x v="14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</r>
  <r>
    <x v="14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</r>
  <r>
    <x v="14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</r>
  <r>
    <x v="14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</r>
  <r>
    <x v="14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</r>
  <r>
    <x v="14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</r>
  <r>
    <x v="14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</r>
  <r>
    <x v="14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</r>
  <r>
    <x v="15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</r>
  <r>
    <x v="15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</r>
  <r>
    <x v="15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</r>
  <r>
    <x v="15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</r>
  <r>
    <x v="15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</r>
  <r>
    <x v="15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</r>
  <r>
    <x v="15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</r>
  <r>
    <x v="15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</r>
  <r>
    <x v="15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</r>
  <r>
    <x v="15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</r>
  <r>
    <x v="16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</r>
  <r>
    <x v="16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</r>
  <r>
    <x v="16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</r>
  <r>
    <x v="16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</r>
  <r>
    <x v="16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</r>
  <r>
    <x v="16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</r>
  <r>
    <x v="16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</r>
  <r>
    <x v="16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</r>
  <r>
    <x v="16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</r>
  <r>
    <x v="16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</r>
  <r>
    <x v="17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</r>
  <r>
    <x v="17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</r>
  <r>
    <x v="17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</r>
  <r>
    <x v="17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</r>
  <r>
    <x v="17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</r>
  <r>
    <x v="17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</r>
  <r>
    <x v="17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</r>
  <r>
    <x v="17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</r>
  <r>
    <x v="17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</r>
  <r>
    <x v="17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</r>
  <r>
    <x v="18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</r>
  <r>
    <x v="18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</r>
  <r>
    <x v="18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</r>
  <r>
    <x v="18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</r>
  <r>
    <x v="18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</r>
  <r>
    <x v="18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</r>
  <r>
    <x v="18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</r>
  <r>
    <x v="18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</r>
  <r>
    <x v="18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</r>
  <r>
    <x v="18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</r>
  <r>
    <x v="19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</r>
  <r>
    <x v="19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</r>
  <r>
    <x v="19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</r>
  <r>
    <x v="19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</r>
  <r>
    <x v="19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</r>
  <r>
    <x v="19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</r>
  <r>
    <x v="19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</r>
  <r>
    <x v="19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</r>
  <r>
    <x v="19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</r>
  <r>
    <x v="19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</r>
  <r>
    <x v="20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</r>
  <r>
    <x v="20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</r>
  <r>
    <x v="20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</r>
  <r>
    <x v="20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</r>
  <r>
    <x v="20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</r>
  <r>
    <x v="20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</r>
  <r>
    <x v="20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</r>
  <r>
    <x v="20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</r>
  <r>
    <x v="20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</r>
  <r>
    <x v="20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</r>
  <r>
    <x v="21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</r>
  <r>
    <x v="21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</r>
  <r>
    <x v="21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</r>
  <r>
    <x v="21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</r>
  <r>
    <x v="21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</r>
  <r>
    <x v="21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</r>
  <r>
    <x v="21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</r>
  <r>
    <x v="21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</r>
  <r>
    <x v="21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</r>
  <r>
    <x v="21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</r>
  <r>
    <x v="22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</r>
  <r>
    <x v="22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</r>
  <r>
    <x v="22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223">
  <r>
    <x v="0"/>
    <n v="36.15"/>
    <n v="0.36115368824414945"/>
    <n v="40.6"/>
    <n v="0.40561105788969481"/>
    <n v="35.119999999999997"/>
    <n v="0.35115790915472456"/>
    <n v="38.799999999999997"/>
    <n v="0.38754211633515195"/>
    <n v="33.25"/>
    <n v="0.33246015032444742"/>
    <n v="37.75"/>
    <n v="0.37745475713527488"/>
    <n v="37.4"/>
    <n v="0.37395517660554384"/>
    <n v="9.9957790894248943E-3"/>
    <n v="4.4457369645545364E-2"/>
    <n v="-1.6301068891125425E-2"/>
    <n v="-1.2801488361394386E-2"/>
    <n v="3.1655881284150977E-2"/>
    <n v="-2.2797267450819281E-2"/>
    <n v="1.8697758830277134E-2"/>
    <n v="2.8693537919702028E-2"/>
    <n v="3.6384207180427397E-2"/>
  </r>
  <r>
    <x v="1"/>
    <n v="37.020000000000003"/>
    <n v="0.36985547708983418"/>
    <n v="40.700000000000003"/>
    <n v="0.40662122953960694"/>
    <n v="35.68"/>
    <n v="0.35675845963141278"/>
    <n v="39.14"/>
    <n v="0.39093944120625018"/>
    <n v="33.799999999999997"/>
    <n v="0.33796064841764994"/>
    <n v="38.4"/>
    <n v="0.38395529287685681"/>
    <n v="37.9"/>
    <n v="0.37895587500085604"/>
    <n v="1.3097017458421401E-2"/>
    <n v="3.6765752449772759E-2"/>
    <n v="-1.4099815787022629E-2"/>
    <n v="-9.1003979110218514E-3"/>
    <n v="2.7665354538750908E-2"/>
    <n v="-2.2197415369443252E-2"/>
    <n v="1.8797811213762838E-2"/>
    <n v="3.1894828672184239E-2"/>
    <n v="3.4180981574837399E-2"/>
  </r>
  <r>
    <x v="2"/>
    <n v="36.65"/>
    <n v="0.36616894314729148"/>
    <n v="40.5"/>
    <n v="0.40463416637013111"/>
    <n v="35.53"/>
    <n v="0.35525985077028965"/>
    <n v="38.700000000000003"/>
    <n v="0.38654594089819155"/>
    <n v="33.03"/>
    <n v="0.33026267579348911"/>
    <n v="37.81"/>
    <n v="0.37805727434913178"/>
    <n v="37.549999999999997"/>
    <n v="0.37545756815154446"/>
    <n v="1.0909092377001828E-2"/>
    <n v="3.8465223222839628E-2"/>
    <n v="-1.1888331201840296E-2"/>
    <n v="-9.2886250042529817E-3"/>
    <n v="2.9176598218586647E-2"/>
    <n v="-2.0197717381254809E-2"/>
    <n v="2.499717497680054E-2"/>
    <n v="3.5906267353802368E-2"/>
    <n v="3.12860901279019E-2"/>
  </r>
  <r>
    <x v="3"/>
    <n v="36.5"/>
    <n v="0.36468028030220079"/>
    <n v="40.5"/>
    <n v="0.40464524252709955"/>
    <n v="35.35"/>
    <n v="0.35346126451895682"/>
    <n v="38.69"/>
    <n v="0.38644738012328023"/>
    <n v="32.909999999999997"/>
    <n v="0.32906393819855356"/>
    <n v="37.74"/>
    <n v="0.37735864562787641"/>
    <n v="37.5"/>
    <n v="0.37495890861275477"/>
    <n v="1.1219015783243969E-2"/>
    <n v="3.9964962224898759E-2"/>
    <n v="-1.2678365325675622E-2"/>
    <n v="-1.0278628310553983E-2"/>
    <n v="2.9686333914344776E-2"/>
    <n v="-2.1497644093797952E-2"/>
    <n v="2.4397326320403256E-2"/>
    <n v="3.5616342103647225E-2"/>
    <n v="3.2986115604323407E-2"/>
  </r>
  <r>
    <x v="4"/>
    <n v="36.119999999999997"/>
    <n v="0.36089348772275598"/>
    <n v="40.049999999999997"/>
    <n v="0.40016013796501598"/>
    <n v="35.1"/>
    <n v="0.35096274025702751"/>
    <n v="38.33"/>
    <n v="0.38285290123520133"/>
    <n v="32.700000000000003"/>
    <n v="0.32696528793176072"/>
    <n v="37.4"/>
    <n v="0.3739602987354082"/>
    <n v="37.08"/>
    <n v="0.37076063842537266"/>
    <n v="9.9307474657284733E-3"/>
    <n v="3.9266650242260004E-2"/>
    <n v="-1.3066811012652224E-2"/>
    <n v="-9.8671507026166783E-3"/>
    <n v="2.9399499539643326E-2"/>
    <n v="-1.9797898168345152E-2"/>
    <n v="2.3997452325266788E-2"/>
    <n v="3.3928199790995262E-2"/>
    <n v="3.189016097817382E-2"/>
  </r>
  <r>
    <x v="5"/>
    <n v="36.25"/>
    <n v="0.36223204752648724"/>
    <n v="40.4"/>
    <n v="0.40370137158814029"/>
    <n v="34.97"/>
    <n v="0.34966766771565644"/>
    <n v="38.4"/>
    <n v="0.38355733280426357"/>
    <n v="32.75"/>
    <n v="0.3274697202655919"/>
    <n v="37.4"/>
    <n v="0.37396542100559194"/>
    <n v="37"/>
    <n v="0.36996579083440917"/>
    <n v="1.2564379810830806E-2"/>
    <n v="4.1469324061653046E-2"/>
    <n v="-1.1733373479104692E-2"/>
    <n v="-7.7337433079219253E-3"/>
    <n v="3.373558075373112E-2"/>
    <n v="-2.0298123118752731E-2"/>
    <n v="2.2197947450064537E-2"/>
    <n v="3.4762327260895343E-2"/>
    <n v="3.3889665088607135E-2"/>
  </r>
  <r>
    <x v="6"/>
    <n v="36.299999999999997"/>
    <n v="0.36274160871707822"/>
    <n v="41"/>
    <n v="0.40970815309642444"/>
    <n v="35.19"/>
    <n v="0.35186866922808241"/>
    <n v="38.700000000000003"/>
    <n v="0.38655519675989275"/>
    <n v="33.020000000000003"/>
    <n v="0.33017060124783415"/>
    <n v="37.700000000000003"/>
    <n v="0.37696643449555867"/>
    <n v="37.15"/>
    <n v="0.37146692417798416"/>
    <n v="1.0872939488995814E-2"/>
    <n v="4.696654437934622E-2"/>
    <n v="-1.4224825778480443E-2"/>
    <n v="-8.7253154609059358E-3"/>
    <n v="3.8241228918440284E-2"/>
    <n v="-1.959825494990175E-2"/>
    <n v="2.1698067980248259E-2"/>
    <n v="3.2571007469244073E-2"/>
    <n v="3.4686527531810341E-2"/>
  </r>
  <r>
    <x v="7"/>
    <n v="36.43"/>
    <n v="0.36405065023956196"/>
    <n v="40.5"/>
    <n v="0.40472279260780286"/>
    <n v="35.409999999999997"/>
    <n v="0.35406968581457066"/>
    <n v="38.79"/>
    <n v="0.38745548771101646"/>
    <n v="33.43"/>
    <n v="0.33427138087492508"/>
    <n v="38.15"/>
    <n v="0.38146734012498928"/>
    <n v="37.6"/>
    <n v="0.37596781097508775"/>
    <n v="9.980964424991301E-3"/>
    <n v="4.0672142368240904E-2"/>
    <n v="-1.7416689885427328E-2"/>
    <n v="-1.1917160735525789E-2"/>
    <n v="2.8754981632715115E-2"/>
    <n v="-2.189812516051709E-2"/>
    <n v="1.9798304939645572E-2"/>
    <n v="2.9779269364636873E-2"/>
    <n v="3.3385801896445799E-2"/>
  </r>
  <r>
    <x v="8"/>
    <n v="36.65"/>
    <n v="0.36625917205125397"/>
    <n v="40.01"/>
    <n v="0.39983709341802648"/>
    <n v="35.590000000000003"/>
    <n v="0.35587075034928639"/>
    <n v="38.96"/>
    <n v="0.38915487079847028"/>
    <n v="33.700000000000003"/>
    <n v="0.33697230364627567"/>
    <n v="38.229999999999997"/>
    <n v="0.3822685806646029"/>
    <n v="37.9"/>
    <n v="0.37896885187518831"/>
    <n v="1.0388421701967576E-2"/>
    <n v="3.3577921366772512E-2"/>
    <n v="-1.600940861334893E-2"/>
    <n v="-1.2709679823934339E-2"/>
    <n v="2.0868241542838173E-2"/>
    <n v="-2.3098101525901915E-2"/>
    <n v="1.8898446703010718E-2"/>
    <n v="2.9286868404978295E-2"/>
    <n v="3.3284120449183885E-2"/>
  </r>
  <r>
    <x v="9"/>
    <n v="36.75"/>
    <n v="0.36726857048982831"/>
    <n v="40.5"/>
    <n v="0.40474495523368836"/>
    <n v="35.78"/>
    <n v="0.35777181934299696"/>
    <n v="39"/>
    <n v="0.38955574635774953"/>
    <n v="33.6"/>
    <n v="0.33597353633104243"/>
    <n v="38.299999999999997"/>
    <n v="0.38296983456782513"/>
    <n v="38.049999999999997"/>
    <n v="0.38047003147012393"/>
    <n v="9.4967511468313504E-3"/>
    <n v="3.7476384743860058E-2"/>
    <n v="-1.5701264077996824E-2"/>
    <n v="-1.3201460980295621E-2"/>
    <n v="2.4274923763564438E-2"/>
    <n v="-2.2698212127126971E-2"/>
    <n v="2.1798283011954522E-2"/>
    <n v="3.1295034158785873E-2"/>
    <n v="3.1783927014752578E-2"/>
  </r>
  <r>
    <x v="10"/>
    <n v="36.799999999999997"/>
    <n v="0.36778839571753236"/>
    <n v="40.9"/>
    <n v="0.40876482024040961"/>
    <n v="35.869999999999997"/>
    <n v="0.35867420493731611"/>
    <n v="38.82"/>
    <n v="0.38776044962730605"/>
    <n v="33.58"/>
    <n v="0.33577585173669017"/>
    <n v="38.479999999999997"/>
    <n v="0.38477232801750555"/>
    <n v="38.1"/>
    <n v="0.38097260128552402"/>
    <n v="9.114190780216247E-3"/>
    <n v="4.0976424522877253E-2"/>
    <n v="-1.6983932299973192E-2"/>
    <n v="-1.3184205567991658E-2"/>
    <n v="2.7792218954885595E-2"/>
    <n v="-2.2298396348207905E-2"/>
    <n v="2.2898353200625943E-2"/>
    <n v="3.201254398084219E-2"/>
    <n v="2.9086244689989937E-2"/>
  </r>
  <r>
    <x v="11"/>
    <n v="36.86"/>
    <n v="0.36839813800657173"/>
    <n v="41"/>
    <n v="0.40977546549835708"/>
    <n v="35.909999999999997"/>
    <n v="0.35907540579412367"/>
    <n v="38.68"/>
    <n v="0.38636335648068965"/>
    <n v="33.5"/>
    <n v="0.33497705636600233"/>
    <n v="38.450000000000003"/>
    <n v="0.38447366618724749"/>
    <n v="38.15"/>
    <n v="0.38147387165262653"/>
    <n v="9.3227322124480594E-3"/>
    <n v="4.1377327491785354E-2"/>
    <n v="-1.6075528180675758E-2"/>
    <n v="-1.3075733646054799E-2"/>
    <n v="2.8301593845730555E-2"/>
    <n v="-2.2398465858502858E-2"/>
    <n v="2.4098349428121335E-2"/>
    <n v="3.3421081640569394E-2"/>
    <n v="2.7287950686565976E-2"/>
  </r>
  <r>
    <x v="12"/>
    <n v="36.979999999999997"/>
    <n v="0.36960760152249511"/>
    <n v="40.299999999999997"/>
    <n v="0.40279032832224321"/>
    <n v="36.01"/>
    <n v="0.36007657036014779"/>
    <n v="38.69"/>
    <n v="0.38646456560929637"/>
    <n v="33.71"/>
    <n v="0.3370780668381167"/>
    <n v="38.450000000000003"/>
    <n v="0.38447498279221559"/>
    <n v="38"/>
    <n v="0.37997527558138339"/>
    <n v="9.5310311623473254E-3"/>
    <n v="3.3182726799748097E-2"/>
    <n v="-1.4867381269720481E-2"/>
    <n v="-1.0367674058888277E-2"/>
    <n v="2.281505274085982E-2"/>
    <n v="-1.9898705221235602E-2"/>
    <n v="2.2998503522031088E-2"/>
    <n v="3.2529534684378414E-2"/>
    <n v="2.6387995249148588E-2"/>
  </r>
  <r>
    <x v="13"/>
    <n v="37.049999999999997"/>
    <n v="0.37031737773152962"/>
    <n v="40.299999999999997"/>
    <n v="0.40280135823429541"/>
    <n v="36.119999999999997"/>
    <n v="0.36117773561903715"/>
    <n v="38.619999999999997"/>
    <n v="0.38576667305218793"/>
    <n v="33.450000000000003"/>
    <n v="0.33447938140799544"/>
    <n v="38.4"/>
    <n v="0.38397633022621891"/>
    <n v="38.299999999999997"/>
    <n v="0.38297639186625482"/>
    <n v="9.1396421124924632E-3"/>
    <n v="3.2483980502765797E-2"/>
    <n v="-1.3658952494689292E-2"/>
    <n v="-1.2659014134725199E-2"/>
    <n v="1.9824966368040597E-2"/>
    <n v="-2.1798656247217663E-2"/>
    <n v="2.6698354211041719E-2"/>
    <n v="3.5837996323534183E-2"/>
    <n v="2.458893743315077E-2"/>
  </r>
  <r>
    <x v="14"/>
    <n v="37.06"/>
    <n v="0.37042747213626531"/>
    <n v="40.549999999999997"/>
    <n v="0.4053112249089465"/>
    <n v="36.22"/>
    <n v="0.36217891424129417"/>
    <n v="38.6"/>
    <n v="0.38556821641517891"/>
    <n v="33.5"/>
    <n v="0.33498049771074973"/>
    <n v="38.450000000000003"/>
    <n v="0.38447761602920383"/>
    <n v="38.299999999999997"/>
    <n v="0.38297770335288694"/>
    <n v="8.2485578949711424E-3"/>
    <n v="3.4883752772681187E-2"/>
    <n v="-1.4050143892938516E-2"/>
    <n v="-1.2550231216621632E-2"/>
    <n v="2.2333521556059555E-2"/>
    <n v="-2.0798789111592775E-2"/>
    <n v="2.7198416530544445E-2"/>
    <n v="3.5446974425515587E-2"/>
    <n v="2.3389302173884741E-2"/>
  </r>
  <r>
    <x v="15"/>
    <n v="37"/>
    <n v="0.36985813660513778"/>
    <n v="40.549999999999997"/>
    <n v="0.40534452538752258"/>
    <n v="36.28"/>
    <n v="0.36278260631339593"/>
    <n v="38.950000000000003"/>
    <n v="0.38906829408464583"/>
    <n v="33.340000000000003"/>
    <n v="0.33338401583485727"/>
    <n v="38.590000000000003"/>
    <n v="0.38588149883224782"/>
    <n v="38.5"/>
    <n v="0.38498154198086393"/>
    <n v="7.0755302917418494E-3"/>
    <n v="3.5486388782384803E-2"/>
    <n v="-1.6023362227110038E-2"/>
    <n v="-1.5123405375726151E-2"/>
    <n v="2.0362983406658652E-2"/>
    <n v="-2.2198935667468001E-2"/>
    <n v="2.9398590478538655E-2"/>
    <n v="3.6474120770280505E-2"/>
    <n v="2.6285687771249899E-2"/>
  </r>
  <r>
    <x v="16"/>
    <n v="37.200000000000003"/>
    <n v="0.37186755402185528"/>
    <n v="40.6"/>
    <n v="0.40585544874428287"/>
    <n v="36.299999999999997"/>
    <n v="0.36298383976055859"/>
    <n v="38.58"/>
    <n v="0.38537371332396014"/>
    <n v="33.299999999999997"/>
    <n v="0.33298517531753719"/>
    <n v="38.549999999999997"/>
    <n v="0.38548283809282463"/>
    <n v="38.21"/>
    <n v="0.38208298945594887"/>
    <n v="8.8837142612966935E-3"/>
    <n v="3.3987894722427581E-2"/>
    <n v="-1.3615284070969347E-2"/>
    <n v="-1.0215435434093589E-2"/>
    <n v="2.3772459288333991E-2"/>
    <n v="-1.9099149695390283E-2"/>
    <n v="2.9998664443021406E-2"/>
    <n v="3.8882378704318099E-2"/>
    <n v="2.2389873563401552E-2"/>
  </r>
  <r>
    <x v="17"/>
    <n v="37.200000000000003"/>
    <n v="0.37187773882559161"/>
    <n v="40.049999999999997"/>
    <n v="0.40036837204206832"/>
    <n v="36.32"/>
    <n v="0.36318507458597593"/>
    <n v="38.39"/>
    <n v="0.38347712454074617"/>
    <n v="33.26"/>
    <n v="0.3325863320685451"/>
    <n v="38.15"/>
    <n v="0.38148432256208648"/>
    <n v="37.85"/>
    <n v="0.37848444584469132"/>
    <n v="8.6926642396156772E-3"/>
    <n v="2.8490633216476713E-2"/>
    <n v="-9.606583736494867E-3"/>
    <n v="-6.6067070190997113E-3"/>
    <n v="2.1883926197377002E-2"/>
    <n v="-1.5299371258715388E-2"/>
    <n v="3.0598742517430833E-2"/>
    <n v="3.929140675704651E-2"/>
    <n v="2.0292049954770242E-2"/>
  </r>
  <r>
    <x v="18"/>
    <n v="37"/>
    <n v="0.36988852674536443"/>
    <n v="40.9"/>
    <n v="0.40887677686176765"/>
    <n v="36.19"/>
    <n v="0.36188636729438273"/>
    <n v="38.229999999999997"/>
    <n v="0.38188019334909223"/>
    <n v="33.119999999999997"/>
    <n v="0.33118752375766664"/>
    <n v="38.200000000000003"/>
    <n v="0.38198561013112525"/>
    <n v="37.6"/>
    <n v="0.37598583615000808"/>
    <n v="8.0021594509817051E-3"/>
    <n v="3.8988250116403222E-2"/>
    <n v="-1.2097083385760821E-2"/>
    <n v="-6.0973094046436471E-3"/>
    <n v="3.2890940711759575E-2"/>
    <n v="-1.4099468855625352E-2"/>
    <n v="3.0698843536716092E-2"/>
    <n v="3.8701002987697797E-2"/>
    <n v="1.9993826054709507E-2"/>
  </r>
  <r>
    <x v="19"/>
    <n v="36.6"/>
    <n v="0.36589975349219395"/>
    <n v="39.9"/>
    <n v="0.39889071487263761"/>
    <n v="35.840000000000003"/>
    <n v="0.35838772644772443"/>
    <n v="38.03"/>
    <n v="0.37988368910782705"/>
    <n v="32.94"/>
    <n v="0.32938871956439847"/>
    <n v="37.65"/>
    <n v="0.37648710660593815"/>
    <n v="36.6"/>
    <n v="0.36598746618266498"/>
    <n v="7.5120270444695159E-3"/>
    <n v="3.2990961380443662E-2"/>
    <n v="-1.0587353113744202E-2"/>
    <n v="-8.7712690471031252E-5"/>
    <n v="3.2903248689972631E-2"/>
    <n v="-7.5997397349405471E-3"/>
    <n v="2.8999006883325962E-2"/>
    <n v="3.6511033927795478E-2"/>
    <n v="2.1495962660102619E-2"/>
  </r>
  <r>
    <x v="20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  <n v="-1.1799717130068776E-2"/>
    <n v="2.919930001678045E-2"/>
    <n v="3.7438032033296653E-2"/>
    <n v="2.1798717294319536E-2"/>
  </r>
  <r>
    <x v="21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  <n v="-1.0599782196256236E-2"/>
    <n v="2.5699471928659012E-2"/>
    <n v="3.644694667442433E-2"/>
    <n v="2.2201327494487E-2"/>
  </r>
  <r>
    <x v="22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  <n v="-1.1899796236365778E-2"/>
    <n v="2.4899573637437777E-2"/>
    <n v="3.7955725912112603E-2"/>
    <n v="2.5699751509919821E-2"/>
  </r>
  <r>
    <x v="23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  <n v="-1.2499828769468868E-2"/>
    <n v="1.99997260311503E-2"/>
    <n v="3.2964983719642793E-2"/>
    <n v="2.6202906722444685E-2"/>
  </r>
  <r>
    <x v="24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  <n v="-9.5999013708762959E-3"/>
    <n v="2.3899754454577538E-2"/>
    <n v="3.8973855124320722E-2"/>
    <n v="2.7706267227601222E-2"/>
  </r>
  <r>
    <x v="25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  <n v="-1.1900040753564212E-2"/>
    <n v="2.3600080822194558E-2"/>
    <n v="4.0408658482257664E-2"/>
    <n v="2.9509298860199928E-2"/>
  </r>
  <r>
    <x v="26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  <n v="-9.4000643840026488E-3"/>
    <n v="2.5000171234049517E-2"/>
    <n v="4.3417366807686542E-2"/>
    <n v="3.2107719539571866E-2"/>
  </r>
  <r>
    <x v="27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  <n v="-8.3000852748486564E-3"/>
    <n v="2.6900276372702536E-2"/>
    <n v="5.2226644885390749E-2"/>
    <n v="3.2107722101891389E-2"/>
  </r>
  <r>
    <x v="28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  <n v="-1.1000150686995724E-2"/>
    <n v="2.3000315072809197E-2"/>
    <n v="4.9035579655385464E-2"/>
    <n v="3.610332516143322E-2"/>
  </r>
  <r>
    <x v="29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  <n v="-6.9001654149242753E-3"/>
    <n v="2.310055378039888E-2"/>
    <n v="4.7562401943395671E-2"/>
    <n v="3.1206013858113224E-2"/>
  </r>
  <r>
    <x v="30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  <n v="-5.5001506890600127E-3"/>
    <n v="2.4500671251267092E-2"/>
    <n v="4.9070880196342592E-2"/>
    <n v="3.7002884445663797E-2"/>
  </r>
  <r>
    <x v="31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  <n v="3.0000924686035546E-4"/>
    <n v="2.6300810641423866E-2"/>
    <n v="5.0680029349004285E-2"/>
    <n v="3.6202454859744937E-2"/>
  </r>
  <r>
    <x v="32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  <n v="5.0001712387409691E-4"/>
    <n v="2.750094181307583E-2"/>
    <n v="5.3289876516735779E-2"/>
    <n v="3.2104452187349086E-2"/>
  </r>
  <r>
    <x v="33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  <n v="3.500131854282218E-3"/>
    <n v="2.8501073670583521E-2"/>
    <n v="5.2500208721306951E-2"/>
    <n v="2.6402967269936017E-2"/>
  </r>
  <r>
    <x v="34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  <n v="2.4001150740103894E-3"/>
    <n v="2.9301404861876934E-2"/>
    <n v="5.4028326983134145E-2"/>
    <n v="2.4803369868838909E-2"/>
  </r>
  <r>
    <x v="35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  <n v="2.500128431255022E-3"/>
    <n v="3.0501566861311336E-2"/>
    <n v="5.2239959152254767E-2"/>
    <n v="2.4093447602007545E-2"/>
  </r>
  <r>
    <x v="36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  <n v="5.4002959066250522E-3"/>
    <n v="3.2401775439750147E-2"/>
    <n v="5.2650812834833138E-2"/>
    <n v="2.3388505384528469E-2"/>
  </r>
  <r>
    <x v="37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  <n v="4.5002620015548445E-3"/>
    <n v="3.3001921344735785E-2"/>
    <n v="5.2660447368123309E-2"/>
    <n v="2.0590224141676272E-2"/>
  </r>
  <r>
    <x v="38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  <n v="4.0002876919230101E-3"/>
    <n v="3.4902510112028551E-2"/>
    <n v="5.4201404488275762E-2"/>
    <n v="2.368054112041762E-2"/>
  </r>
  <r>
    <x v="39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  <n v="5.3003993451561371E-3"/>
    <n v="3.3902554302036425E-2"/>
    <n v="5.2011416338182626E-2"/>
    <n v="2.1080743081382192E-2"/>
  </r>
  <r>
    <x v="40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  <n v="7.6005986772930689E-3"/>
    <n v="3.5202772821146922E-2"/>
    <n v="5.0721868464563336E-2"/>
    <n v="2.0776547469678219E-2"/>
  </r>
  <r>
    <x v="41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  <n v="-2.2001808367810849E-3"/>
    <n v="3.3302737211277689E-2"/>
    <n v="4.9932665300432888E-2"/>
    <n v="2.2274088740902476E-2"/>
  </r>
  <r>
    <x v="42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  <n v="3.0002568713074496E-3"/>
    <n v="3.2102748522989943E-2"/>
    <n v="4.7843086901787513E-2"/>
    <n v="2.2771130348426649E-2"/>
  </r>
  <r>
    <x v="43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  <n v="6.0005753976408172E-3"/>
    <n v="3.1503020837614526E-2"/>
    <n v="4.7772608463024724E-2"/>
    <n v="2.2571552862782174E-2"/>
  </r>
  <r>
    <x v="44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  <n v="9.7009634518496202E-3"/>
    <n v="2.9202900288042288E-2"/>
    <n v="4.4779271774553653E-2"/>
    <n v="2.4473302434164845E-2"/>
  </r>
  <r>
    <x v="45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  <n v="1.250128437853204E-2"/>
    <n v="2.9102990033222587E-2"/>
    <n v="4.5887583959569878E-2"/>
    <n v="2.7773617789451088E-2"/>
  </r>
  <r>
    <x v="46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  <n v="1.1201189167343195E-2"/>
    <n v="2.930311094671012E-2"/>
    <n v="4.6893194063368782E-2"/>
    <n v="2.8979248646222922E-2"/>
  </r>
  <r>
    <x v="47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  <n v="1.1501260412099978E-2"/>
    <n v="2.7002959228408618E-2"/>
    <n v="4.3997889581670446E-2"/>
    <n v="2.9884006318097678E-2"/>
  </r>
  <r>
    <x v="48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  <n v="1.2401486479543811E-2"/>
    <n v="2.3102769167537229E-2"/>
    <n v="4.5425006344042729E-2"/>
    <n v="3.2288945949626446E-2"/>
  </r>
  <r>
    <x v="49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  <n v="1.5501911194530815E-2"/>
    <n v="2.7803427819868165E-2"/>
    <n v="4.963611623026204E-2"/>
    <n v="2.7691245955122401E-2"/>
  </r>
  <r>
    <x v="50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  <n v="9.401191246836027E-3"/>
    <n v="2.1002661296123049E-2"/>
    <n v="4.1845806795062945E-2"/>
    <n v="3.1684951190341371E-2"/>
  </r>
  <r>
    <x v="51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  <n v="7.0009110774690297E-3"/>
    <n v="1.890245990916628E-2"/>
    <n v="4.1750590583073344E-2"/>
    <n v="3.1592576901697422E-2"/>
  </r>
  <r>
    <x v="52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  <n v="9.0012022153643234E-3"/>
    <n v="1.9002538010213677E-2"/>
    <n v="4.2357567606636559E-2"/>
    <n v="3.2395124327753932E-2"/>
  </r>
  <r>
    <x v="53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  <n v="7.5010789223107222E-3"/>
    <n v="1.8502661341699811E-2"/>
    <n v="4.1785424901282897E-2"/>
    <n v="3.1595656163201147E-2"/>
  </r>
  <r>
    <x v="54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  <n v="4.1006038560472691E-3"/>
    <n v="1.8602739444507244E-2"/>
    <n v="4.3399597416725E-2"/>
    <n v="3.0093844732960506E-2"/>
  </r>
  <r>
    <x v="55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  <n v="7.5011303073065361E-3"/>
    <n v="2.0003014152817522E-2"/>
    <n v="4.3605447411967202E-2"/>
    <n v="3.2593898838673696E-2"/>
  </r>
  <r>
    <x v="56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  <n v="1.0401745498388404E-2"/>
    <n v="2.1503608482245307E-2"/>
    <n v="4.7242311821490357E-2"/>
    <n v="3.0607375263644709E-2"/>
  </r>
  <r>
    <x v="57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  <n v="1.780304846720332E-2"/>
    <n v="1.9803390991608216E-2"/>
    <n v="4.5355348631347214E-2"/>
    <n v="3.1702468811509843E-2"/>
  </r>
  <r>
    <x v="58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  <n v="1.4702567914259002E-2"/>
    <n v="2.1703790730572825E-2"/>
    <n v="4.5966533778824314E-2"/>
    <n v="2.7902867006456E-2"/>
  </r>
  <r>
    <x v="59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  <n v="2.2003918506035336E-2"/>
    <n v="2.8004987189499564E-2"/>
    <n v="5.1483542753407274E-2"/>
    <n v="2.6397601735909715E-2"/>
  </r>
  <r>
    <x v="60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  <n v="1.9103467410180652E-2"/>
    <n v="2.8005083114400975E-2"/>
    <n v="5.1993583691958389E-2"/>
    <n v="2.6397690761864823E-2"/>
  </r>
  <r>
    <x v="61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  <n v="2.0403913079220737E-2"/>
    <n v="2.64050639848738E-2"/>
    <n v="5.0212752441990138E-2"/>
    <n v="2.3207210625936114E-2"/>
  </r>
  <r>
    <x v="62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  <n v="2.0103924396200568E-2"/>
    <n v="3.0205896356480522E-2"/>
    <n v="5.3009193485320572E-2"/>
    <n v="2.1917644260860569E-2"/>
  </r>
  <r>
    <x v="63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  <n v="1.8603695254536812E-2"/>
    <n v="2.7905542881805245E-2"/>
    <n v="5.0415675809050153E-2"/>
    <n v="2.2518367684320251E-2"/>
  </r>
  <r>
    <x v="64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  <n v="1.8203678140446211E-2"/>
    <n v="2.8105678887172414E-2"/>
    <n v="5.0320028205352252E-2"/>
    <n v="2.0423323827429396E-2"/>
  </r>
  <r>
    <x v="65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  <n v="2.1504418716174534E-2"/>
    <n v="3.0006165650476091E-2"/>
    <n v="5.0534807574778684E-2"/>
    <n v="2.0417238950103611E-2"/>
  </r>
  <r>
    <x v="66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  <n v="2.000431599968483E-2"/>
    <n v="2.9506366099535108E-2"/>
    <n v="5.0059977958884894E-2"/>
    <n v="1.9819012869208896E-2"/>
  </r>
  <r>
    <x v="67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  <n v="2.2804998355804074E-2"/>
    <n v="3.2107037158829399E-2"/>
    <n v="5.037263899755634E-2"/>
    <n v="1.7216281387163301E-2"/>
  </r>
  <r>
    <x v="68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  <n v="2.2404987411581367E-2"/>
    <n v="3.2407213934608714E-2"/>
    <n v="4.8582140165917664E-2"/>
    <n v="1.7413306693412289E-2"/>
  </r>
  <r>
    <x v="69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  <n v="2.290517719758578E-2"/>
    <n v="3.1107031041262778E-2"/>
    <n v="4.7993356596482184E-2"/>
    <n v="1.8911263828793212E-2"/>
  </r>
  <r>
    <x v="70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  <n v="2.6306035974007769E-2"/>
    <n v="3.1807298249940885E-2"/>
    <n v="4.830275589461358E-2"/>
    <n v="1.8511023260351089E-2"/>
  </r>
  <r>
    <x v="71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  <n v="2.2105299215565311E-2"/>
    <n v="3.160757715890794E-2"/>
    <n v="4.9131339548635522E-2"/>
    <n v="2.0110107666837462E-2"/>
  </r>
  <r>
    <x v="72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  <n v="2.4806031603574863E-2"/>
    <n v="3.4808463701790526E-2"/>
    <n v="5.1140011659329854E-2"/>
    <n v="1.481376694529396E-2"/>
  </r>
  <r>
    <x v="73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  <n v="2.2005425995450967E-2"/>
    <n v="3.1507769038941091E-2"/>
    <n v="5.1156830000578635E-2"/>
    <n v="1.5711810142338634E-2"/>
  </r>
  <r>
    <x v="74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  <n v="2.3005751437859434E-2"/>
    <n v="3.2008002000500135E-2"/>
    <n v="4.9960937128069594E-2"/>
    <n v="1.8510652909859482E-2"/>
  </r>
  <r>
    <x v="75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  <n v="2.0705247220185963E-2"/>
    <n v="3.3708542575858258E-2"/>
    <n v="5.4068561473204158E-2"/>
    <n v="1.9414020170720303E-2"/>
  </r>
  <r>
    <x v="76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  <n v="1.420374550823339E-2"/>
    <n v="2.720717449464416E-2"/>
    <n v="5.1189597863579905E-2"/>
    <n v="2.4017445048790997E-2"/>
  </r>
  <r>
    <x v="77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  <n v="9.2024581908865533E-3"/>
    <n v="3.2108576948636947E-2"/>
    <n v="5.5100554125218582E-2"/>
    <n v="2.291680764327797E-2"/>
  </r>
  <r>
    <x v="78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  <n v="1.3503653385676273E-2"/>
    <n v="3.400920111948097E-2"/>
    <n v="5.520578724416858E-2"/>
    <n v="2.2417492267780115E-2"/>
  </r>
  <r>
    <x v="79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  <n v="1.2603453000822107E-2"/>
    <n v="3.4009317621266077E-2"/>
    <n v="5.3609498077377138E-2"/>
    <n v="1.9021198694492925E-2"/>
  </r>
  <r>
    <x v="80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  <n v="1.2203385185616533E-2"/>
    <n v="3.5709905830041855E-2"/>
    <n v="5.4719667127700489E-2"/>
    <n v="2.0818684784717267E-2"/>
  </r>
  <r>
    <x v="81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  <n v="1.0503021417120006E-2"/>
    <n v="3.2009208128365718E-2"/>
    <n v="5.2745813831149846E-2"/>
    <n v="2.1620079980288198E-2"/>
  </r>
  <r>
    <x v="82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  <n v="1.1503348577496852E-2"/>
    <n v="3.4710103968621009E-2"/>
    <n v="5.3953021856088745E-2"/>
    <n v="1.6923240940693862E-2"/>
  </r>
  <r>
    <x v="83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  <n v="1.0903211219742859E-2"/>
    <n v="3.8511342381660374E-2"/>
    <n v="5.7268457471807477E-2"/>
    <n v="1.4921435021824969E-2"/>
  </r>
  <r>
    <x v="84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  <n v="1.3203934048843347E-2"/>
    <n v="3.9711831949930276E-2"/>
    <n v="5.6277745906631593E-2"/>
    <n v="1.5318526706021129E-2"/>
  </r>
  <r>
    <x v="85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  <n v="1.1503466798213124E-2"/>
    <n v="4.0512209158924561E-2"/>
    <n v="5.7283837828664919E-2"/>
    <n v="1.2322660917375827E-2"/>
  </r>
  <r>
    <x v="86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  <n v="1.0503273280371594E-2"/>
    <n v="3.9912438465412148E-2"/>
    <n v="5.5096165271645958E-2"/>
    <n v="9.3300195009510256E-3"/>
  </r>
  <r>
    <x v="87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  <n v="1.2904065664524456E-2"/>
    <n v="3.9912575194924471E-2"/>
    <n v="5.5610846868441588E-2"/>
    <n v="9.5276724920326794E-3"/>
  </r>
  <r>
    <x v="88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  <n v="1.3704364746306208E-2"/>
    <n v="4.2113412833539476E-2"/>
    <n v="5.5117513693066611E-2"/>
    <n v="6.8277987152364772E-3"/>
  </r>
  <r>
    <x v="89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  <n v="1.6305248950004458E-2"/>
    <n v="4.1313299486821109E-2"/>
    <n v="5.4828718571421409E-2"/>
    <n v="7.326814514019897E-3"/>
  </r>
  <r>
    <x v="90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  <n v="1.6005207173566738E-2"/>
    <n v="4.2513831554786663E-2"/>
    <n v="5.6444019452974559E-2"/>
    <n v="4.6264902218836612E-3"/>
  </r>
  <r>
    <x v="91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  <n v="5.0017129153819839E-3"/>
    <n v="3.5612195957519688E-2"/>
    <n v="5.5984557409017865E-2"/>
    <n v="9.2317471634899007E-3"/>
  </r>
  <r>
    <x v="92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  <n v="3.9013494393608794E-3"/>
    <n v="3.6012456363331113E-2"/>
    <n v="5.1987188441583732E-2"/>
    <n v="7.6303749010920296E-3"/>
  </r>
  <r>
    <x v="93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  <n v="8.7030401030497306E-3"/>
    <n v="3.8613488273300967E-2"/>
    <n v="5.4606229292709807E-2"/>
    <n v="9.4250857045164449E-3"/>
  </r>
  <r>
    <x v="94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  <n v="9.7034892684013108E-3"/>
    <n v="4.1214820397745766E-2"/>
    <n v="5.3940797123992412E-2"/>
    <n v="8.5189117698665218E-3"/>
  </r>
  <r>
    <x v="95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  <n v="7.3026509623356217E-3"/>
    <n v="3.8213872159071405E-2"/>
    <n v="4.9845747599017165E-2"/>
    <n v="9.3182749969631384E-3"/>
  </r>
  <r>
    <x v="96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  <n v="7.5027749989722281E-3"/>
    <n v="3.2612061995532571E-2"/>
    <n v="4.6084324783929431E-2"/>
    <n v="1.0410465048203976E-2"/>
  </r>
  <r>
    <x v="97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  <n v="1.5605825462244427E-2"/>
    <n v="3.6613667430650476E-2"/>
    <n v="4.9002417537609089E-2"/>
    <n v="1.1005735267550498E-2"/>
  </r>
  <r>
    <x v="98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  <n v="1.6706407937291001E-2"/>
    <n v="3.7614427451625299E-2"/>
    <n v="4.9415436222769393E-2"/>
    <n v="9.9117902013549086E-3"/>
  </r>
  <r>
    <x v="99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  <n v="1.8707239445401813E-2"/>
    <n v="4.2216337144168781E-2"/>
    <n v="5.2218006317487853E-2"/>
    <n v="7.5145022420873842E-3"/>
  </r>
  <r>
    <x v="100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  <n v="2.0508006550502555E-2"/>
    <n v="4.1416169326380814E-2"/>
    <n v="5.2830571767311263E-2"/>
    <n v="1.0412793656550845E-2"/>
  </r>
  <r>
    <x v="101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  <n v="1.9107525223975186E-2"/>
    <n v="4.1116193021224101E-2"/>
    <n v="5.463509598794708E-2"/>
    <n v="8.6182746571685231E-3"/>
  </r>
  <r>
    <x v="102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  <n v="1.5106001014101478E-2"/>
    <n v="4.011593646791195E-2"/>
    <n v="5.6340059767842843E-2"/>
    <n v="9.5223753034296421E-3"/>
  </r>
  <r>
    <x v="103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  <n v="1.8907705537530684E-2"/>
    <n v="3.8915859545499698E-2"/>
    <n v="5.1137161507386175E-2"/>
    <n v="8.8289767154642873E-3"/>
  </r>
  <r>
    <x v="104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  <n v="2.0108263670001347E-2"/>
    <n v="3.2513361655474804E-2"/>
    <n v="4.7928423935280962E-2"/>
    <n v="1.1036915334633968E-2"/>
  </r>
  <r>
    <x v="105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  <n v="2.0908664206743199E-2"/>
    <n v="3.7115380003357512E-2"/>
    <n v="5.3040595660466205E-2"/>
    <n v="8.4386336774349702E-3"/>
  </r>
  <r>
    <x v="106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  <n v="3.1613208258244874E-2"/>
    <n v="4.6219310807940284E-2"/>
    <n v="5.838813892801259E-2"/>
    <n v="8.2625045332312963E-4"/>
  </r>
  <r>
    <x v="107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  <n v="3.7015592184379054E-2"/>
    <n v="4.051706712073927E-2"/>
    <n v="5.3513969462400945E-2"/>
    <n v="3.4186440961174736E-3"/>
  </r>
  <r>
    <x v="108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  <n v="3.4915066090162206E-2"/>
    <n v="4.1017699418242126E-2"/>
    <n v="5.9762720309945727E-2"/>
    <n v="2.9184594557166155E-3"/>
  </r>
  <r>
    <x v="109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  <n v="4.0817752926786743E-2"/>
    <n v="3.8216621612824797E-2"/>
    <n v="5.3578149827335553E-2"/>
    <n v="5.6100900050705116E-3"/>
  </r>
  <r>
    <x v="110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  <n v="4.1818331323319802E-2"/>
    <n v="4.3719164565288848E-2"/>
    <n v="5.7680018802889421E-2"/>
    <n v="7.4106849802794694E-3"/>
  </r>
  <r>
    <x v="111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  <n v="4.0417855833570271E-2"/>
    <n v="4.0818032624001688E-2"/>
    <n v="5.5994421556758378E-2"/>
    <n v="6.3106474347516262E-3"/>
  </r>
  <r>
    <x v="112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  <n v="3.5815945455168419E-2"/>
    <n v="3.7716791722342158E-2"/>
    <n v="5.3018025829274007E-2"/>
    <n v="9.7033719486354086E-3"/>
  </r>
  <r>
    <x v="113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  <n v="3.6816769281898976E-2"/>
    <n v="3.7817224968907104E-2"/>
    <n v="5.1741173318941291E-2"/>
    <n v="8.1044368430051028E-3"/>
  </r>
  <r>
    <x v="114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  <n v="3.2715013053935649E-2"/>
    <n v="3.5716390398333464E-2"/>
    <n v="5.1446212409067826E-2"/>
    <n v="1.5003597468163488E-2"/>
  </r>
  <r>
    <x v="115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  <n v="2.9813783769893576E-2"/>
    <n v="3.5816559025576844E-2"/>
    <n v="5.5256658388561419E-2"/>
    <n v="1.9904852453268507E-2"/>
  </r>
  <r>
    <x v="116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  <n v="3.0114025710604897E-2"/>
    <n v="3.641696132445249E-2"/>
    <n v="5.7059968791946525E-2"/>
    <n v="2.0008362683964553E-2"/>
  </r>
  <r>
    <x v="117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  <n v="3.6116945279120682E-2"/>
    <n v="4.1019245330857268E-2"/>
    <n v="6.1289713013010894E-2"/>
    <n v="2.0301883150910693E-2"/>
  </r>
  <r>
    <x v="118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  <n v="3.1915301857054712E-2"/>
    <n v="3.6917700267251385E-2"/>
    <n v="6.182842676955963E-2"/>
    <n v="2.370180780008796E-2"/>
  </r>
  <r>
    <x v="119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  <n v="3.8918792978801409E-2"/>
    <n v="3.7418068313809061E-2"/>
    <n v="6.0751004226736849E-2"/>
    <n v="2.2596579245894755E-2"/>
  </r>
  <r>
    <x v="120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  <n v="3.2916007099342837E-2"/>
    <n v="3.2415763830355881E-2"/>
    <n v="5.9251007723772842E-2"/>
    <n v="3.0498588110965619E-2"/>
  </r>
  <r>
    <x v="121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  <n v="3.0515362185757955E-2"/>
    <n v="2.9014606668425647E-2"/>
    <n v="5.5908052239775963E-2"/>
    <n v="3.3094362006411915E-2"/>
  </r>
  <r>
    <x v="122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  <n v="3.5017748721954955E-2"/>
    <n v="3.2116278113564434E-2"/>
    <n v="5.4420477457957694E-2"/>
    <n v="2.5292854030237788E-2"/>
  </r>
  <r>
    <x v="123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  <n v="4.0220523486299564E-2"/>
    <n v="3.5618175027668286E-2"/>
    <n v="5.6642365959680863E-2"/>
    <n v="2.1690252051091485E-2"/>
  </r>
  <r>
    <x v="124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  <n v="3.8419736165838658E-2"/>
    <n v="3.7119068014390966E-2"/>
    <n v="5.8054977507948025E-2"/>
    <n v="2.328870557220708E-2"/>
  </r>
  <r>
    <x v="125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  <n v="3.9520436938279668E-2"/>
    <n v="3.541831563582537E-2"/>
    <n v="5.5866493031071385E-2"/>
    <n v="2.2887621509957989E-2"/>
  </r>
  <r>
    <x v="126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  <n v="3.8720421043975217E-2"/>
    <n v="3.5118521411977521E-2"/>
    <n v="5.5192799171029983E-2"/>
    <n v="2.3188010725165409E-2"/>
  </r>
  <r>
    <x v="127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  <n v="3.9520978601655044E-2"/>
    <n v="3.5418801075913553E-2"/>
    <n v="5.5302591485947128E-2"/>
    <n v="2.0389361909532944E-2"/>
  </r>
  <r>
    <x v="128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  <n v="4.4323679774125935E-2"/>
    <n v="3.8820739847315766E-2"/>
    <n v="5.8518551471310798E-2"/>
    <n v="1.7889261816247448E-2"/>
  </r>
  <r>
    <x v="129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  <n v="4.4223777853160839E-2"/>
    <n v="4.1722432951963928E-2"/>
    <n v="6.2039670059830521E-2"/>
    <n v="1.9286571345445425E-2"/>
  </r>
  <r>
    <x v="130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  <n v="4.4924308358632425E-2"/>
    <n v="4.2923225580965063E-2"/>
    <n v="6.1346480608885479E-2"/>
    <n v="2.268359303837697E-2"/>
  </r>
  <r>
    <x v="131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  <n v="4.6525652842834553E-2"/>
    <n v="4.5124880499179287E-2"/>
    <n v="6.0766735428991026E-2"/>
    <n v="1.8585382025513075E-2"/>
  </r>
  <r>
    <x v="132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  <n v="4.5725368183718362E-2"/>
    <n v="4.3724257978741632E-2"/>
    <n v="5.7070557666317634E-2"/>
    <n v="1.7284722621089599E-2"/>
  </r>
  <r>
    <x v="133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  <n v="4.5425357305619196E-2"/>
    <n v="4.4324742921562355E-2"/>
    <n v="5.9997236551245725E-2"/>
    <n v="1.8282578498259594E-2"/>
  </r>
  <r>
    <x v="134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  <n v="4.9827985580942702E-2"/>
    <n v="4.5325456763387673E-2"/>
    <n v="5.9607254742472637E-2"/>
    <n v="1.7781296991137674E-2"/>
  </r>
  <r>
    <x v="135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  <n v="4.9928212860006538E-2"/>
    <n v="4.3924820532150022E-2"/>
    <n v="5.8518072567443347E-2"/>
    <n v="1.7681299913405335E-2"/>
  </r>
  <r>
    <x v="136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  <n v="4.992872611639565E-2"/>
    <n v="4.6526768825899789E-2"/>
    <n v="6.1253649840908864E-2"/>
    <n v="1.7680415531745097E-2"/>
  </r>
  <r>
    <x v="137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  <n v="5.2930634511069719E-2"/>
    <n v="4.9928897204203737E-2"/>
    <n v="6.366086080512684E-2"/>
    <n v="1.1683370506196E-2"/>
  </r>
  <r>
    <x v="138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  <n v="4.8728369256073767E-2"/>
    <n v="4.6427029434944977E-2"/>
    <n v="6.0371684507377732E-2"/>
    <n v="1.3382063536424404E-2"/>
  </r>
  <r>
    <x v="139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  <n v="4.942894640354456E-2"/>
    <n v="4.3925723625821977E-2"/>
    <n v="5.9690637229922294E-2"/>
    <n v="1.1182623815874482E-2"/>
  </r>
  <r>
    <x v="140"/>
    <n v="40.1"/>
    <n v="0.40289859061880645"/>
    <n v="42"/>
    <n v="0.42198854877780223"/>
    <n v="38.799999999999997"/>
    <n v="0.38822868264868343"/>
    <m/>
    <n v="0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  <n v="5.0029469413490124E-2"/>
    <n v="4.552681716627599E-2"/>
    <n v="6.019672513639901E-2"/>
    <n v="-0.38822868264868343"/>
  </r>
  <r>
    <x v="141"/>
    <n v="40.08"/>
    <n v="0.40273090158293184"/>
    <n v="42"/>
    <n v="0.42202339986235377"/>
    <n v="38.69"/>
    <n v="0.38713201404951597"/>
    <m/>
    <n v="0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  <n v="5.043022359290672E-2"/>
    <n v="4.4426625546132081E-2"/>
    <n v="6.0025513079547954E-2"/>
    <n v="-0.38713201404951597"/>
  </r>
  <r>
    <x v="142"/>
    <n v="40.229999999999997"/>
    <n v="0.40424925668979184"/>
    <n v="41.66"/>
    <n v="0.41861854421319233"/>
    <n v="38.75"/>
    <n v="0.38773370250561984"/>
    <m/>
    <n v="0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  <n v="4.9529853610395358E-2"/>
    <n v="4.3626295301277485E-2"/>
    <n v="6.0141849485449483E-2"/>
    <n v="-0.38773370250561984"/>
  </r>
  <r>
    <x v="143"/>
    <n v="40.54"/>
    <n v="0.40737549211243562"/>
    <n v="42.2"/>
    <n v="0.42405638300801146"/>
    <n v="38.979999999999997"/>
    <n v="0.39003642618984791"/>
    <m/>
    <n v="0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  <n v="4.7328688965571575E-2"/>
    <n v="4.582777916750902E-2"/>
    <n v="6.3166845090096735E-2"/>
    <n v="-0.39003642618984791"/>
  </r>
  <r>
    <x v="144"/>
    <n v="40.950000000000003"/>
    <n v="0.41150680028632786"/>
    <n v="43.01"/>
    <n v="0.43220775287704422"/>
    <n v="39.04"/>
    <n v="0.3906381287223033"/>
    <m/>
    <n v="0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  <n v="4.3426472301608454E-2"/>
    <n v="4.2425862340741971E-2"/>
    <n v="6.3294533904766526E-2"/>
    <n v="-0.3906381287223033"/>
  </r>
  <r>
    <x v="145"/>
    <n v="40.770000000000003"/>
    <n v="0.40970925910630218"/>
    <n v="43.1"/>
    <n v="0.43312408799317204"/>
    <n v="39.04"/>
    <n v="0.39063946734470789"/>
    <m/>
    <n v="0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  <n v="4.542784789305776E-2"/>
    <n v="4.0424780944483096E-2"/>
    <n v="5.9494572706077387E-2"/>
    <n v="-0.39063946734470789"/>
  </r>
  <r>
    <x v="146"/>
    <n v="40.85"/>
    <n v="0.4105471116250895"/>
    <n v="43"/>
    <n v="0.43215485434219947"/>
    <n v="39.5"/>
    <n v="0.39524635217841259"/>
    <m/>
    <n v="0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  <n v="4.9030560143651203E-2"/>
    <n v="4.5028065438046994E-2"/>
    <n v="6.0328824884723908E-2"/>
    <n v="-0.39524635217841259"/>
  </r>
  <r>
    <x v="147"/>
    <n v="41.23"/>
    <n v="0.41437756422611999"/>
    <n v="43"/>
    <n v="0.43216675386182779"/>
    <n v="39.549999999999997"/>
    <n v="0.3957480201633215"/>
    <m/>
    <n v="0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  <n v="4.7029473951140544E-2"/>
    <n v="4.4427843477247708E-2"/>
    <n v="6.3057387540046195E-2"/>
    <n v="-0.3957480201633215"/>
  </r>
  <r>
    <x v="148"/>
    <n v="41.5"/>
    <n v="0.41710265447736533"/>
    <n v="43.85"/>
    <n v="0.44072172045379449"/>
    <n v="40.1"/>
    <n v="0.4012528442580256"/>
    <m/>
    <n v="0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  <n v="5.5034679387010954E-2"/>
    <n v="4.3527428242454147E-2"/>
    <n v="5.937723846179388E-2"/>
    <n v="-0.4012528442580256"/>
  </r>
  <r>
    <x v="149"/>
    <n v="41.25"/>
    <n v="0.41460140437835608"/>
    <n v="42.8"/>
    <n v="0.43018036623984579"/>
    <n v="40.25"/>
    <n v="0.40275517022771279"/>
    <m/>
    <n v="0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  <n v="5.7536452889673295E-2"/>
    <n v="4.6129225708068489E-2"/>
    <n v="5.7975459858711775E-2"/>
    <n v="-0.40275517022771279"/>
  </r>
  <r>
    <x v="150"/>
    <n v="41.36"/>
    <n v="0.4157184556920196"/>
    <n v="43.11"/>
    <n v="0.43330809054359198"/>
    <n v="40.549999999999997"/>
    <n v="0.40575846258232984"/>
    <m/>
    <n v="0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  <n v="5.7536650057913641E-2"/>
    <n v="4.4528363957863526E-2"/>
    <n v="5.4488357067553284E-2"/>
    <n v="-0.40575846258232984"/>
  </r>
  <r>
    <x v="151"/>
    <n v="42.35"/>
    <n v="0.42572778099093889"/>
    <n v="44.9"/>
    <n v="0.4513619212867333"/>
    <n v="40.94"/>
    <n v="0.40966796774602565"/>
    <m/>
    <n v="0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  <n v="5.0432988701513692E-2"/>
    <n v="4.4429061475142972E-2"/>
    <n v="6.0488874720056207E-2"/>
    <n v="-0.40966796774602565"/>
  </r>
  <r>
    <x v="152"/>
    <n v="42.35"/>
    <n v="0.42573950644486064"/>
    <n v="44.78"/>
    <n v="0.45016800705078774"/>
    <n v="40.93"/>
    <n v="0.40956930584493911"/>
    <m/>
    <n v="0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  <n v="5.1834082684504845E-2"/>
    <n v="4.3328489966005024E-2"/>
    <n v="5.9498690565926549E-2"/>
    <n v="-0.40956930584493911"/>
  </r>
  <r>
    <x v="153"/>
    <n v="42.24"/>
    <n v="0.42464538518742945"/>
    <n v="44"/>
    <n v="0.44233894290357234"/>
    <n v="40.9"/>
    <n v="0.40927051098842726"/>
    <m/>
    <n v="0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  <n v="5.2034392595105616E-2"/>
    <n v="4.1527447936478556E-2"/>
    <n v="5.6902322135480743E-2"/>
    <n v="-0.40927051098842726"/>
  </r>
  <r>
    <x v="154"/>
    <n v="42.27"/>
    <n v="0.42500550933832848"/>
    <n v="44"/>
    <n v="0.44239986777588014"/>
    <n v="40.619999999999997"/>
    <n v="0.4064756238819473"/>
    <m/>
    <n v="0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  <n v="4.9233384281122061E-2"/>
    <n v="4.3229313027326743E-2"/>
    <n v="6.1759198483707922E-2"/>
    <n v="-0.4064756238819473"/>
  </r>
  <r>
    <x v="155"/>
    <n v="42.3"/>
    <n v="0.42531886173934602"/>
    <n v="43.51"/>
    <n v="0.43748519324536511"/>
    <n v="40.71"/>
    <n v="0.40737763064554267"/>
    <m/>
    <n v="0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  <n v="4.7632461848999774E-2"/>
    <n v="4.2128711005102792E-2"/>
    <n v="6.0069942098906148E-2"/>
    <n v="-0.40737763064554267"/>
  </r>
  <r>
    <x v="156"/>
    <n v="42.21"/>
    <n v="0.42442561983471078"/>
    <n v="44.38"/>
    <n v="0.44624517906336092"/>
    <n v="40.74"/>
    <n v="0.40767923235092529"/>
    <m/>
    <n v="0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  <n v="5.1935572309801281E-2"/>
    <n v="3.7425633995887608E-2"/>
    <n v="5.4172021479673094E-2"/>
    <n v="-0.40767923235092529"/>
  </r>
  <r>
    <x v="157"/>
    <n v="41.75"/>
    <n v="0.41983497258726615"/>
    <n v="43.5"/>
    <n v="0.4374328456897264"/>
    <n v="40.22"/>
    <n v="0.40247980616661583"/>
    <m/>
    <n v="0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  <n v="4.7232836526763466E-2"/>
    <n v="4.0428105840704331E-2"/>
    <n v="5.7783272261354657E-2"/>
    <n v="-0.40247980616661583"/>
  </r>
  <r>
    <x v="158"/>
    <n v="41.57"/>
    <n v="0.41803642274630815"/>
    <n v="43.47"/>
    <n v="0.43714321137315404"/>
    <n v="39.840000000000003"/>
    <n v="0.39867852883521365"/>
    <m/>
    <n v="0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  <n v="4.7933487779133421E-2"/>
    <n v="3.992789483063508E-2"/>
    <n v="5.9285788741729573E-2"/>
    <n v="-0.39867852883521365"/>
  </r>
  <r>
    <x v="159"/>
    <n v="41.55"/>
    <n v="0.41784681085548969"/>
    <n v="43.48"/>
    <n v="0.43725582036093125"/>
    <n v="39.78"/>
    <n v="0.39807947360304324"/>
    <m/>
    <n v="0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  <n v="4.983498689148208E-2"/>
    <n v="4.6832879247416859E-2"/>
    <n v="6.6600216499863307E-2"/>
    <n v="-0.39807947360304324"/>
  </r>
  <r>
    <x v="160"/>
    <n v="41.75"/>
    <n v="0.4198696754284455"/>
    <n v="43.9"/>
    <n v="0.44149170661817377"/>
    <n v="40.03"/>
    <n v="0.40058260279512259"/>
    <m/>
    <n v="0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  <n v="5.2336922623494708E-2"/>
    <n v="4.9334804690980616E-2"/>
    <n v="6.8621877324303526E-2"/>
    <n v="-0.40058260279512259"/>
  </r>
  <r>
    <x v="161"/>
    <n v="42.1"/>
    <n v="0.42340120684429505"/>
    <n v="44.3"/>
    <n v="0.44552668558675224"/>
    <n v="40.33"/>
    <n v="0.40358610384759058"/>
    <m/>
    <n v="0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  <n v="5.5339230207715751E-2"/>
    <n v="4.7333554951626666E-2"/>
    <n v="6.7148657948331136E-2"/>
    <n v="-0.40358610384759058"/>
  </r>
  <r>
    <x v="162"/>
    <n v="41.92"/>
    <n v="0.42162579222926427"/>
    <n v="43.69"/>
    <n v="0.43942821713970787"/>
    <n v="39.85"/>
    <n v="0.39878679872511053"/>
    <m/>
    <n v="0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  <n v="4.9335480996607117E-2"/>
    <n v="4.2530587066040626E-2"/>
    <n v="6.5369580570194374E-2"/>
    <n v="-0.39878679872511053"/>
  </r>
  <r>
    <x v="163"/>
    <n v="42.12"/>
    <n v="0.42364903965388956"/>
    <n v="43.5"/>
    <n v="0.43752927884482901"/>
    <n v="39.67"/>
    <n v="0.39698686379541381"/>
    <m/>
    <n v="0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  <n v="4.9235577763383831E-2"/>
    <n v="4.1630082011316405E-2"/>
    <n v="6.829225786979215E-2"/>
    <n v="-0.39698686379541381"/>
  </r>
  <r>
    <x v="164"/>
    <n v="41.7"/>
    <n v="0.41943617724867727"/>
    <n v="43.5"/>
    <n v="0.43754133597883599"/>
    <n v="39.119999999999997"/>
    <n v="0.39148422827532314"/>
    <m/>
    <n v="0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  <n v="4.6533784802664901E-2"/>
    <n v="4.2230660616612015E-2"/>
    <n v="7.0182609589966138E-2"/>
    <n v="-0.39148422827532314"/>
  </r>
  <r>
    <x v="165"/>
    <n v="41.76"/>
    <n v="0.42009756635338863"/>
    <n v="43.7"/>
    <n v="0.43961359314279419"/>
    <n v="38.6"/>
    <n v="0.38628706950027936"/>
    <m/>
    <n v="0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  <n v="4.1330714949123215E-2"/>
    <n v="3.3024542211163854E-2"/>
    <n v="6.6835039064273127E-2"/>
    <n v="-0.38628706950027936"/>
  </r>
  <r>
    <x v="166"/>
    <n v="41.8"/>
    <n v="0.42051154842621685"/>
    <n v="44"/>
    <n v="0.44264373518549144"/>
    <n v="38.840000000000003"/>
    <n v="0.38869018650910614"/>
    <m/>
    <n v="0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  <n v="4.1430931311732755E-2"/>
    <n v="3.1623609407023079E-2"/>
    <n v="6.3444971324133792E-2"/>
    <n v="-0.38869018650910614"/>
  </r>
  <r>
    <x v="167"/>
    <n v="41.76"/>
    <n v="0.42012072434607645"/>
    <n v="44"/>
    <n v="0.44265593561368211"/>
    <n v="38.65"/>
    <n v="0.38679009256942704"/>
    <m/>
    <n v="0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  <n v="3.9529647235426513E-2"/>
    <n v="3.0522892169126792E-2"/>
    <n v="6.3853523945776203E-2"/>
    <n v="-0.38679009256942704"/>
  </r>
  <r>
    <x v="168"/>
    <n v="41.86"/>
    <n v="0.42113836824696804"/>
    <n v="44.22"/>
    <n v="0.44488147739801542"/>
    <n v="38.479999999999997"/>
    <n v="0.38509013640414008"/>
    <m/>
    <n v="0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  <n v="3.8829254918088918E-2"/>
    <n v="3.1223524573308625E-2"/>
    <n v="6.7271756416136586E-2"/>
    <n v="-0.38509013640414008"/>
  </r>
  <r>
    <x v="169"/>
    <n v="42.2"/>
    <n v="0.42457068827696465"/>
    <n v="44.16"/>
    <n v="0.4442900851732407"/>
    <n v="38.61"/>
    <n v="0.38639244085420815"/>
    <m/>
    <n v="0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  <n v="3.6127342954770547E-2"/>
    <n v="2.6219844471329301E-2"/>
    <n v="6.4398091894085796E-2"/>
    <n v="-0.38639244085420815"/>
  </r>
  <r>
    <x v="170"/>
    <n v="42.97"/>
    <n v="0.43235334656522217"/>
    <n v="45.1"/>
    <n v="0.45378487154041242"/>
    <n v="39.01"/>
    <n v="0.39039948453608248"/>
    <m/>
    <n v="0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  <n v="4.0130785259925417E-2"/>
    <n v="2.7821342399649063E-2"/>
    <n v="6.9775204428788762E-2"/>
    <n v="-0.39039948453608248"/>
  </r>
  <r>
    <x v="171"/>
    <n v="43.2"/>
    <n v="0.43467953135768439"/>
    <n v="45.1"/>
    <n v="0.45379738111647139"/>
    <n v="39"/>
    <n v="0.39030074543740895"/>
    <m/>
    <n v="0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  <n v="4.10316168280353E-2"/>
    <n v="3.2925370576642909E-2"/>
    <n v="7.7304156496918353E-2"/>
    <n v="-0.39030074543740895"/>
  </r>
  <r>
    <x v="172"/>
    <n v="43.39"/>
    <n v="0.43660335226332914"/>
    <n v="45"/>
    <n v="0.45280366102442521"/>
    <n v="39.200000000000003"/>
    <n v="0.39230363226332715"/>
    <m/>
    <n v="0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  <n v="3.8037932988871315E-2"/>
    <n v="2.8021688018809165E-2"/>
    <n v="7.2321408018811151E-2"/>
    <n v="-0.39230363226332715"/>
  </r>
  <r>
    <x v="173"/>
    <n v="42.65"/>
    <n v="0.42916907892923112"/>
    <n v="44.31"/>
    <n v="0.44587296336117777"/>
    <n v="38.85"/>
    <n v="0.38880225380689787"/>
    <m/>
    <n v="0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  <n v="3.8529953079962875E-2"/>
    <n v="2.6720772655454805E-2"/>
    <n v="6.7087597777788055E-2"/>
    <n v="-0.38880225380689787"/>
  </r>
  <r>
    <x v="174"/>
    <n v="42.2"/>
    <n v="0.42468774986903418"/>
    <n v="44.01"/>
    <n v="0.44290303013592874"/>
    <n v="39.049999999999997"/>
    <n v="0.39080916752636502"/>
    <m/>
    <n v="0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  <n v="3.8530481305416253E-2"/>
    <n v="2.3018209611027907E-2"/>
    <n v="5.6896791953697068E-2"/>
    <n v="-0.39080916752636502"/>
  </r>
  <r>
    <x v="175"/>
    <n v="42.3"/>
    <n v="0.4257058564023381"/>
    <n v="44.5"/>
    <n v="0.44784658652255432"/>
    <n v="39.43"/>
    <n v="0.39461352855693566"/>
    <m/>
    <n v="0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  <n v="4.183323736667488E-2"/>
    <n v="2.5420196868745026E-2"/>
    <n v="5.6512524714147472E-2"/>
    <n v="-0.39461352855693566"/>
  </r>
  <r>
    <x v="176"/>
    <n v="43.5"/>
    <n v="0.43779468938704608"/>
    <n v="44.5"/>
    <n v="0.44785893512008162"/>
    <n v="39.74"/>
    <n v="0.39771735665788116"/>
    <m/>
    <n v="0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  <n v="4.0932662021407551E-2"/>
    <n v="2.2417888246443252E-2"/>
    <n v="6.2495220975608168E-2"/>
    <n v="-0.39771735665788116"/>
  </r>
  <r>
    <x v="177"/>
    <n v="44.05"/>
    <n v="0.44334224893839957"/>
    <n v="45.7"/>
    <n v="0.45994871229250539"/>
    <n v="40.18"/>
    <n v="0.40212224865131646"/>
    <m/>
    <n v="0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  <n v="4.3835128150641278E-2"/>
    <n v="2.9823899974637191E-2"/>
    <n v="7.1043900261720305E-2"/>
    <n v="-0.40212224865131646"/>
  </r>
  <r>
    <x v="178"/>
    <n v="45"/>
    <n v="0.45291603474424375"/>
    <n v="46.01"/>
    <n v="0.46308148352405898"/>
    <n v="40.26"/>
    <n v="0.4029242712456943"/>
    <m/>
    <n v="0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  <n v="4.0832862063647113E-2"/>
    <n v="3.0124243826367081E-2"/>
    <n v="8.0116007324916527E-2"/>
    <n v="-0.4029242712456943"/>
  </r>
  <r>
    <x v="179"/>
    <n v="45"/>
    <n v="0.45295350504660525"/>
    <n v="46.25"/>
    <n v="0.46553554685345538"/>
    <n v="39.9"/>
    <n v="0.39932547761531656"/>
    <m/>
    <n v="0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  <n v="4.0132710908205971E-2"/>
    <n v="3.0725043014511788E-2"/>
    <n v="8.4353070445800482E-2"/>
    <n v="-0.39932547761531656"/>
  </r>
  <r>
    <x v="180"/>
    <n v="44"/>
    <n v="0.44290008549129917"/>
    <n v="46.25"/>
    <n v="0.46554838531755882"/>
    <n v="39.47"/>
    <n v="0.39502332388496064"/>
    <m/>
    <n v="0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  <n v="3.8231292050685317E-2"/>
    <n v="2.8723509996195495E-2"/>
    <n v="7.660027160253402E-2"/>
    <n v="-0.39502332388496064"/>
  </r>
  <r>
    <x v="181"/>
    <n v="44.8"/>
    <n v="0.45096525096525092"/>
    <n v="46.2"/>
    <n v="0.46505791505791511"/>
    <n v="39.200000000000003"/>
    <n v="0.39232245681381961"/>
    <m/>
    <n v="0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  <n v="3.8131340828077898E-2"/>
    <n v="1.9015629284343361E-2"/>
    <n v="7.7658423435774671E-2"/>
    <n v="-0.39232245681381961"/>
  </r>
  <r>
    <x v="182"/>
    <n v="45.15"/>
    <n v="0.45450095148790642"/>
    <n v="46.49"/>
    <n v="0.46799001627182218"/>
    <n v="38.4"/>
    <n v="0.38431719329994962"/>
    <m/>
    <n v="0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  <n v="3.2026432774995783E-2"/>
    <n v="1.3010738314842063E-2"/>
    <n v="8.3194496502798865E-2"/>
    <n v="-0.38431719329994962"/>
  </r>
  <r>
    <x v="183"/>
    <n v="45.7"/>
    <n v="0.46005019581885381"/>
    <n v="46"/>
    <n v="0.4630702189861548"/>
    <n v="38.35"/>
    <n v="0.38381809581913778"/>
    <m/>
    <n v="0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  <n v="3.6029860363726129E-2"/>
    <n v="1.1009124000027404E-2"/>
    <n v="8.7241223999743434E-2"/>
    <n v="-0.38381809581913778"/>
  </r>
  <r>
    <x v="184"/>
    <n v="45.41"/>
    <n v="0.45716866639084258"/>
    <n v="45.6"/>
    <n v="0.45908150599917252"/>
    <n v="38"/>
    <n v="0.38031910335726893"/>
    <m/>
    <n v="0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  <n v="3.4128635327586476E-2"/>
    <n v="2.2018474404894517E-2"/>
    <n v="9.886803743846817E-2"/>
    <n v="-0.38031910335726893"/>
  </r>
  <r>
    <x v="185"/>
    <n v="45.5"/>
    <n v="0.45808738346113531"/>
    <n v="46.5"/>
    <n v="0.46815523804269876"/>
    <n v="37.99"/>
    <n v="0.38022032260054706"/>
    <m/>
    <n v="0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  <n v="3.3828499352194008E-2"/>
    <n v="1.7414671264147197E-2"/>
    <n v="9.5281732124735452E-2"/>
    <n v="-0.38022032260054706"/>
  </r>
  <r>
    <x v="186"/>
    <n v="44.9"/>
    <n v="0.45205913993324687"/>
    <n v="45.45"/>
    <n v="0.45759661269412188"/>
    <n v="38.39"/>
    <n v="0.3842250122535158"/>
    <m/>
    <n v="0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  <n v="4.393716602742731E-2"/>
    <n v="2.7923620322670151E-2"/>
    <n v="9.5757748002401222E-2"/>
    <n v="-0.3842250122535158"/>
  </r>
  <r>
    <x v="187"/>
    <n v="44.8"/>
    <n v="0.4510647688403398"/>
    <n v="44.76"/>
    <n v="0.45066203243958952"/>
    <n v="38.380000000000003"/>
    <n v="0.38412624420740904"/>
    <m/>
    <n v="0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  <n v="4.3637061613973516E-2"/>
    <n v="2.8824481066110963E-2"/>
    <n v="9.5763005699041726E-2"/>
    <n v="-0.38412624420740904"/>
  </r>
  <r>
    <x v="188"/>
    <n v="43.71"/>
    <n v="0.44010234200435849"/>
    <n v="44.83"/>
    <n v="0.45137927229593666"/>
    <n v="38.64"/>
    <n v="0.38672977984651297"/>
    <m/>
    <n v="0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  <n v="5.0443014762588667E-2"/>
    <n v="3.5830554136918102E-2"/>
    <n v="8.9203116294763629E-2"/>
    <n v="-0.38672977984651297"/>
  </r>
  <r>
    <x v="189"/>
    <n v="44.9"/>
    <n v="0.45212149635841975"/>
    <n v="46.5"/>
    <n v="0.46823273008165966"/>
    <n v="38.049999999999997"/>
    <n v="0.38082866035071361"/>
    <m/>
    <n v="0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  <n v="4.5539301040624092E-2"/>
    <n v="2.9525480894470546E-2"/>
    <n v="0.10081831690217669"/>
    <n v="-0.38082866035071361"/>
  </r>
  <r>
    <x v="190"/>
    <n v="45.45"/>
    <n v="0.45767235909178694"/>
    <n v="46.7"/>
    <n v="0.47025960769167108"/>
    <n v="38.74"/>
    <n v="0.38773594929853605"/>
    <m/>
    <n v="0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  <n v="5.0944139956880463E-2"/>
    <n v="3.7332346176653097E-2"/>
    <n v="0.10726875596990398"/>
    <n v="-0.38773594929853605"/>
  </r>
  <r>
    <x v="191"/>
    <n v="44.2"/>
    <n v="0.44509739005683391"/>
    <n v="48"/>
    <n v="0.48336368150968384"/>
    <n v="38.799999999999997"/>
    <n v="0.38833780068964097"/>
    <m/>
    <n v="0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  <n v="5.0143618078739738E-2"/>
    <n v="3.8033083572696802E-2"/>
    <n v="9.4792672939889744E-2"/>
    <n v="-0.38833780068964097"/>
  </r>
  <r>
    <x v="192"/>
    <n v="43"/>
    <n v="0.43302524486136018"/>
    <n v="45"/>
    <n v="0.45316595392467929"/>
    <n v="39.22"/>
    <n v="0.39254280279010778"/>
    <m/>
    <n v="0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  <n v="5.2245625460590583E-2"/>
    <n v="4.0235136848960518E-2"/>
    <n v="8.0717578920212918E-2"/>
    <n v="-0.39254280279010778"/>
  </r>
  <r>
    <x v="193"/>
    <n v="40.56"/>
    <n v="0.40846484935437594"/>
    <n v="47"/>
    <n v="0.47331972188500165"/>
    <n v="38.229999999999997"/>
    <n v="0.38263546122628056"/>
    <m/>
    <n v="0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  <n v="4.8342382362619285E-2"/>
    <n v="4.0335362509597406E-2"/>
    <n v="6.6164750637692782E-2"/>
    <n v="-0.38263546122628056"/>
  </r>
  <r>
    <x v="194"/>
    <n v="43.66"/>
    <n v="0.43972020639607073"/>
    <n v="49"/>
    <n v="0.4935018349383295"/>
    <n v="40.15"/>
    <n v="0.40185644115842473"/>
    <m/>
    <n v="0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  <n v="6.0053266424671181E-2"/>
    <n v="4.7041725365992382E-2"/>
    <n v="8.4905490603638389E-2"/>
    <n v="-0.40185644115842473"/>
  </r>
  <r>
    <x v="195"/>
    <n v="42.1"/>
    <n v="0.42402041942604857"/>
    <n v="48"/>
    <n v="0.48344370860927155"/>
    <n v="40.1"/>
    <n v="0.40135737300335916"/>
    <m/>
    <n v="0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  <n v="5.5049016247343541E-2"/>
    <n v="5.1045451429354904E-2"/>
    <n v="7.3708497852044308E-2"/>
    <n v="-0.40135737300335916"/>
  </r>
  <r>
    <x v="196"/>
    <n v="41.18"/>
    <n v="0.41476585998509891"/>
    <n v="44.3"/>
    <n v="0.44619056817241093"/>
    <n v="40.299999999999997"/>
    <n v="0.40336053801514365"/>
    <m/>
    <n v="0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  <n v="6.355680933985508E-2"/>
    <n v="5.805188884585194E-2"/>
    <n v="6.9457210815807191E-2"/>
    <n v="-0.40336053801514365"/>
  </r>
  <r>
    <x v="197"/>
    <n v="41.7"/>
    <n v="0.42001490148462944"/>
    <n v="44.5"/>
    <n v="0.44821734091285392"/>
    <n v="41.38"/>
    <n v="0.41417161974100053"/>
    <m/>
    <n v="0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  <n v="6.5859092747602377E-2"/>
    <n v="5.3447956728297386E-2"/>
    <n v="5.92912384719263E-2"/>
    <n v="-0.41417161974100053"/>
  </r>
  <r>
    <x v="198"/>
    <n v="43.51"/>
    <n v="0.43825785799045175"/>
    <n v="45.1"/>
    <n v="0.4542732566161658"/>
    <n v="43.35"/>
    <n v="0.43389079890449278"/>
    <m/>
    <n v="0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  <n v="7.5568063015661435E-2"/>
    <n v="7.4066710770317123E-2"/>
    <n v="7.8433769856276092E-2"/>
    <n v="-0.43389079890449278"/>
  </r>
  <r>
    <x v="199"/>
    <n v="44.3"/>
    <n v="0.44625213887508969"/>
    <n v="47"/>
    <n v="0.47345035049953083"/>
    <n v="44.19"/>
    <n v="0.44230291978309005"/>
    <m/>
    <n v="0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  <n v="8.3976499139627181E-2"/>
    <n v="6.5259448675848486E-2"/>
    <n v="6.920866776784812E-2"/>
    <n v="-0.44230291978309005"/>
  </r>
  <r>
    <x v="200"/>
    <n v="44.56"/>
    <n v="0.448883614384677"/>
    <n v="46.46"/>
    <n v="0.46802362487235394"/>
    <n v="44.4"/>
    <n v="0.44440635786832478"/>
    <m/>
    <n v="0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  <n v="7.9072302413508211E-2"/>
    <n v="6.4058574107145883E-2"/>
    <n v="6.8535830623498106E-2"/>
    <n v="-0.44440635786832478"/>
  </r>
  <r>
    <x v="201"/>
    <n v="44.9"/>
    <n v="0.45232115257231176"/>
    <n v="48.4"/>
    <n v="0.48758003974387282"/>
    <n v="44.45"/>
    <n v="0.4449083405317209"/>
    <m/>
    <n v="0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  <n v="6.2557415710309427E-2"/>
    <n v="5.0746575624203039E-2"/>
    <n v="5.8159387664793893E-2"/>
    <n v="-0.4449083405317209"/>
  </r>
  <r>
    <x v="202"/>
    <n v="45.45"/>
    <n v="0.45787447213712018"/>
    <n v="48.4"/>
    <n v="0.48759349728133367"/>
    <n v="44.74"/>
    <n v="0.44781253963411499"/>
    <m/>
    <n v="0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  <n v="5.4950622319876852E-2"/>
    <n v="5.0446472949395138E-2"/>
    <n v="6.0508405452400327E-2"/>
    <n v="-0.44781253963411499"/>
  </r>
  <r>
    <x v="203"/>
    <n v="45.63"/>
    <n v="0.45973859276230439"/>
    <n v="48.6"/>
    <n v="0.48966240649239517"/>
    <n v="44.73"/>
    <n v="0.44771858621245203"/>
    <m/>
    <n v="0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  <n v="5.2348942675857879E-2"/>
    <n v="4.7344263643749107E-2"/>
    <n v="5.9364270193601465E-2"/>
    <n v="-0.44771858621245203"/>
  </r>
  <r>
    <x v="204"/>
    <n v="45.32"/>
    <n v="0.45662783636062498"/>
    <n v="48.75"/>
    <n v="0.49118726881245517"/>
    <n v="44.7"/>
    <n v="0.44741983916414718"/>
    <m/>
    <n v="0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  <n v="5.2048840350191639E-2"/>
    <n v="4.8245271247677579E-2"/>
    <n v="5.7453268444155381E-2"/>
    <n v="-0.44741983916414718"/>
  </r>
  <r>
    <x v="205"/>
    <n v="45.44"/>
    <n v="0.4578495514147688"/>
    <n v="47.7"/>
    <n v="0.48062111801242241"/>
    <n v="44.8"/>
    <n v="0.4484223155368926"/>
    <m/>
    <n v="0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  <n v="4.904619076184763E-2"/>
    <n v="4.704430542462934E-2"/>
    <n v="5.6471541302505535E-2"/>
    <n v="-0.4484223155368926"/>
  </r>
  <r>
    <x v="206"/>
    <n v="45.3"/>
    <n v="0.4564515238515901"/>
    <n v="47.6"/>
    <n v="0.47962676678445232"/>
    <n v="44.45"/>
    <n v="0.44492054133358933"/>
    <m/>
    <n v="0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  <n v="4.4642196048319649E-2"/>
    <n v="4.4942479878241126E-2"/>
    <n v="5.6473462396241902E-2"/>
    <n v="-0.44492054133358933"/>
  </r>
  <r>
    <x v="207"/>
    <n v="45.39"/>
    <n v="0.45737100737100739"/>
    <n v="47.99"/>
    <n v="0.48356983132264031"/>
    <n v="44.4"/>
    <n v="0.44442159171542867"/>
    <m/>
    <n v="0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  <n v="4.4041779359186628E-2"/>
    <n v="4.9046527013639651E-2"/>
    <n v="6.1995942669218373E-2"/>
    <n v="-0.44442159171542867"/>
  </r>
  <r>
    <x v="208"/>
    <n v="45.45"/>
    <n v="0.45801352843732746"/>
    <n v="47.32"/>
    <n v="0.47685808945334068"/>
    <n v="44.3"/>
    <n v="0.44342520224873161"/>
    <m/>
    <n v="0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  <n v="4.3041272453037127E-2"/>
    <n v="4.2540792540792516E-2"/>
    <n v="5.7129118729388362E-2"/>
    <n v="-0.44342520224873161"/>
  </r>
  <r>
    <x v="209"/>
    <n v="46.25"/>
    <n v="0.46608824097849194"/>
    <n v="48.32"/>
    <n v="0.48694883900715097"/>
    <n v="44.7"/>
    <n v="0.44743057531391511"/>
    <m/>
    <n v="0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  <n v="4.904719953105563E-2"/>
    <n v="3.9037566973697313E-2"/>
    <n v="5.7695232638274141E-2"/>
    <n v="-0.44743057531391511"/>
  </r>
  <r>
    <x v="210"/>
    <n v="45.86"/>
    <n v="0.46217074382903528"/>
    <n v="47.9"/>
    <n v="0.48272958197581312"/>
    <n v="44.6"/>
    <n v="0.44643114240465109"/>
    <m/>
    <n v="0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  <n v="5.5853941134931695E-2"/>
    <n v="3.8637314118429467E-2"/>
    <n v="5.4376915542813653E-2"/>
    <n v="-0.44643114240465109"/>
  </r>
  <r>
    <x v="211"/>
    <n v="46"/>
    <n v="0.46359444459784077"/>
    <n v="47.5"/>
    <n v="0.47871165474777039"/>
    <n v="44.67"/>
    <n v="0.4471333518444246"/>
    <m/>
    <n v="0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  <n v="5.635461766026667E-2"/>
    <n v="4.7746274642890274E-2"/>
    <n v="6.4207367396306447E-2"/>
    <n v="-0.4471333518444246"/>
  </r>
  <r>
    <x v="212"/>
    <n v="46.29"/>
    <n v="0.46652998674618951"/>
    <n v="48.3"/>
    <n v="0.48678760768721002"/>
    <n v="44.9"/>
    <n v="0.449437123777921"/>
    <m/>
    <n v="0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  <n v="5.4052571679304551E-2"/>
    <n v="3.9037968435053305E-2"/>
    <n v="5.6130831403321813E-2"/>
    <n v="-0.449437123777921"/>
  </r>
  <r>
    <x v="213"/>
    <n v="46.44"/>
    <n v="0.46808052356888408"/>
    <n v="48"/>
    <n v="0.4838041587275288"/>
    <n v="45.2"/>
    <n v="0.4524446973566485"/>
    <m/>
    <n v="0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  <n v="5.2051159872888775E-2"/>
    <n v="3.7036402217247799E-2"/>
    <n v="5.2672228429483381E-2"/>
    <n v="-0.4524446973566485"/>
  </r>
  <r>
    <x v="214"/>
    <n v="47.57"/>
    <n v="0.47948332044626091"/>
    <n v="47.8"/>
    <n v="0.4818016127250635"/>
    <n v="46"/>
    <n v="0.46045414655550682"/>
    <m/>
    <n v="0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  <n v="6.5564666520403658E-2"/>
    <n v="4.104047827994739E-2"/>
    <n v="6.0069652170701482E-2"/>
    <n v="-0.46045414655550682"/>
  </r>
  <r>
    <x v="215"/>
    <n v="47.6"/>
    <n v="0.47979895611830659"/>
    <n v="47.1"/>
    <n v="0.4747590511170639"/>
    <n v="46.55"/>
    <n v="0.46596117390156694"/>
    <m/>
    <n v="0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  <n v="8.007925652443687E-2"/>
    <n v="6.8067368045771293E-2"/>
    <n v="8.190515026251094E-2"/>
    <n v="-0.46596117390156694"/>
  </r>
  <r>
    <x v="216"/>
    <n v="46.5"/>
    <n v="0.46872410936205466"/>
    <n v="47"/>
    <n v="0.47376415354874346"/>
    <n v="45.39"/>
    <n v="0.45435123924445514"/>
    <m/>
    <n v="0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  <n v="7.6475952144252901E-2"/>
    <n v="6.8968496109149513E-2"/>
    <n v="8.3341366226749036E-2"/>
    <n v="-0.45435123924445514"/>
  </r>
  <r>
    <x v="217"/>
    <n v="47.4"/>
    <n v="0.47780938440719156"/>
    <n v="47"/>
    <n v="0.47377723770333341"/>
    <n v="46.12"/>
    <n v="0.4616600790513834"/>
    <m/>
    <n v="0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  <n v="7.5275017226071161E-2"/>
    <n v="5.8858657086342858E-2"/>
    <n v="7.5007962442151022E-2"/>
    <n v="-0.4616600790513834"/>
  </r>
  <r>
    <x v="218"/>
    <n v="48.35"/>
    <n v="0.48742611721814066"/>
    <n v="48.45"/>
    <n v="0.48843423741921232"/>
    <n v="47.1"/>
    <n v="0.47147470398277719"/>
    <m/>
    <n v="0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  <n v="7.107155834984541E-2"/>
    <n v="5.5055432524528103E-2"/>
    <n v="7.1006845759891579E-2"/>
    <n v="-0.47147470398277719"/>
  </r>
  <r>
    <x v="219"/>
    <n v="48.51"/>
    <n v="0.48905261704184505"/>
    <n v="48.01"/>
    <n v="0.48401187681259494"/>
    <n v="46.9"/>
    <n v="0.46947429766373561"/>
    <m/>
    <n v="0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  <n v="6.9069779400421638E-2"/>
    <n v="5.1552081726401633E-2"/>
    <n v="7.1130401104511076E-2"/>
    <n v="-0.46947429766373561"/>
  </r>
  <r>
    <x v="220"/>
    <n v="48.85"/>
    <n v="0.4924939233233897"/>
    <n v="51"/>
    <n v="0.51416970500497183"/>
    <n v="47.96"/>
    <n v="0.48008666319282561"/>
    <m/>
    <n v="0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  <n v="6.9670625017140664E-2"/>
    <n v="6.0661492471820788E-2"/>
    <n v="7.3068752602384879E-2"/>
    <n v="-0.48008666319282561"/>
  </r>
  <r>
    <x v="221"/>
    <n v="51.4"/>
    <n v="0.51821672237107419"/>
    <n v="53.75"/>
    <n v="0.54190951026158052"/>
    <n v="51.08"/>
    <n v="0.5113200755563021"/>
    <m/>
    <n v="0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  <n v="7.9881249078686156E-2"/>
    <n v="6.5366485774914884E-2"/>
    <n v="7.2263132589686974E-2"/>
    <n v="-0.5113200755563021"/>
  </r>
  <r>
    <x v="222"/>
    <n v="51.8"/>
    <n v="0.5222639633169438"/>
    <n v="53.75"/>
    <n v="0.54192447931053533"/>
    <n v="51.87"/>
    <n v="0.51922989900652028"/>
    <m/>
    <n v="0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  <n v="7.8880501333552622E-2"/>
    <n v="7.337488258565239E-2"/>
    <n v="7.6408946896075913E-2"/>
    <n v="-0.5192298990065202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Dinámica6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A205" firstHeaderRow="1" firstDataRow="1" firstDataCol="1"/>
  <pivotFields count="21">
    <pivotField axis="axisRow" showAll="0" defaultSubtotal="0">
      <items count="203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aDinámica2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3:B217" firstHeaderRow="1" firstDataRow="1" firstDataCol="1"/>
  <pivotFields count="25">
    <pivotField axis="axisRow" numFmtId="14" showAll="0">
      <items count="214"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dataField="1" numFmtId="10" showAll="0"/>
  </pivotFields>
  <rowFields count="1">
    <field x="0"/>
  </rowFields>
  <rowItems count="2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 t="grand">
      <x/>
    </i>
  </rowItems>
  <colItems count="1">
    <i/>
  </colItems>
  <dataFields count="1">
    <dataField name="Suma de 30-38" fld="2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 diná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H225" firstHeaderRow="0" firstDataRow="1" firstDataCol="1"/>
  <pivotFields count="20">
    <pivotField axis="axisRow" numFmtId="14" showAll="0" sortType="ascending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m="1" x="223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dataField="1" numFmtId="10" showAll="0"/>
    <pivotField numFmtId="2" showAll="0"/>
    <pivotField dataField="1" numFmtId="10" showAll="0"/>
    <pivotField numFmtId="2" showAll="0"/>
    <pivotField dataField="1" numFmtId="10" showAll="0"/>
    <pivotField showAll="0" defaultSubtotal="0"/>
    <pivotField dataField="1" numFmtId="10" showAll="0" defaultSubtotal="0"/>
    <pivotField showAll="0" defaultSubtotal="0"/>
    <pivotField dataField="1" numFmtId="10" showAll="0" defaultSubtotal="0"/>
    <pivotField showAll="0"/>
    <pivotField dataField="1" numFmtId="10" showAll="0"/>
    <pivotField numFmtId="2" showAll="0"/>
    <pivotField dataField="1" numFmtId="10" showAll="0"/>
    <pivotField numFmtId="10" showAll="0"/>
    <pivotField numFmtId="10" showAll="0"/>
    <pivotField numFmtId="10" showAll="0"/>
    <pivotField numFmtId="10" showAll="0"/>
    <pivotField numFmtId="10"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a de P29" fld="2" baseField="0" baseItem="0"/>
    <dataField name="Suma de P30" fld="6" baseField="0" baseItem="0"/>
    <dataField name="Suma de PG29" fld="4" baseField="0" baseItem="0"/>
    <dataField name="Suma de P38" fld="12" baseField="0" baseItem="0"/>
    <dataField name="Suma de P41" fld="14" baseField="0" baseItem="0"/>
    <dataField name="Suma de PG30" fld="8" baseField="0" baseItem="0"/>
    <dataField name="Suma de P35" fld="10" baseField="0" baseItem="0"/>
  </dataFields>
  <formats count="2">
    <format dxfId="4">
      <pivotArea outline="0" collapsedLevelsAreSubtotals="1" fieldPosition="0"/>
    </format>
    <format dxfId="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a dinámica4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25" firstHeaderRow="1" firstDataRow="1" firstDataCol="1"/>
  <pivotFields count="20">
    <pivotField axis="axisRow" numFmtId="14" showAll="0" sortType="ascending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m="1" x="223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numFmtId="10" showAll="0" defaultSubtotal="0"/>
    <pivotField numFmtId="10" showAll="0"/>
    <pivotField numFmtId="10" showAll="0"/>
    <pivotField dataField="1" numFmtId="10"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 t="grand">
      <x/>
    </i>
  </rowItems>
  <colItems count="1">
    <i/>
  </colItems>
  <dataFields count="1">
    <dataField name="Suma de g29-41" fld="19" baseField="0" baseItem="0"/>
  </dataFields>
  <formats count="1">
    <format dxfId="2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dataField="1" numFmtId="10" showAll="0" defaultSubtota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g29-29" fld="16" baseField="0" baseItem="0"/>
  </dataFields>
  <chartFormats count="1">
    <chartFormat chart="0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laDinámica3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25" firstHeaderRow="1" firstDataRow="1" firstDataCol="1"/>
  <pivotFields count="24">
    <pivotField axis="axisRow" numFmtId="14" showAll="0" sortType="ascending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m="1" x="223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9"/>
    </i>
    <i>
      <x v="220"/>
    </i>
    <i>
      <x v="221"/>
    </i>
    <i>
      <x v="222"/>
    </i>
    <i>
      <x v="223"/>
    </i>
    <i t="grand">
      <x/>
    </i>
  </rowItems>
  <colItems count="1">
    <i/>
  </colItems>
  <dataFields count="1">
    <dataField name="Suma de 29-35" fld="22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Tabla 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numFmtId="10" showAll="0" defaultSubtotal="0"/>
    <pivotField numFmtId="10" showAll="0"/>
    <pivotField dataField="1"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29-41" fld="18" baseField="0" baseItem="0"/>
  </dataFields>
  <formats count="1">
    <format dxfId="1">
      <pivotArea collapsedLevelsAreSubtotals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TablaDinámica4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25" firstHeaderRow="1" firstDataRow="1" firstDataCol="1"/>
  <pivotFields count="24">
    <pivotField axis="axisRow" numFmtId="14" showAll="0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8"/>
        <item x="7"/>
        <item x="6"/>
        <item x="5"/>
        <item m="1" x="223"/>
        <item x="0"/>
        <item x="1"/>
        <item x="2"/>
        <item x="3"/>
        <item x="4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 t="grand">
      <x/>
    </i>
  </rowItems>
  <colItems count="1">
    <i/>
  </colItems>
  <dataFields count="1">
    <dataField name="Suma de 30-35" fld="21" baseField="0" baseItem="1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dataField="1" numFmtId="10" showAll="0"/>
    <pivotField numFmtId="10" showAll="0" defaultSubtota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29-30" fld="15" baseField="0" baseItem="0"/>
  </dataFields>
  <formats count="1">
    <format dxfId="0">
      <pivotArea collapsedLevelsAreSubtotals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TablaDinámica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05" firstHeaderRow="1" firstDataRow="1" firstDataCol="1"/>
  <pivotFields count="21">
    <pivotField axis="axisRow" numFmtId="14" showAll="0">
      <items count="204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dataField="1" numFmtId="10" showAll="0"/>
    <pivotField numFmtId="10" showAl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 t="grand">
      <x/>
    </i>
  </rowItems>
  <colItems count="1">
    <i/>
  </colItems>
  <dataFields count="1">
    <dataField name="Suma de 29-38" fld="17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1.xml><?xml version="1.0" encoding="utf-8"?>
<pivotTableDefinition xmlns="http://schemas.openxmlformats.org/spreadsheetml/2006/main" name="Tabla dinámica4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21">
    <pivotField axis="axisRow" showAll="0" sortType="ascending">
      <items count="204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 t="grand">
      <x/>
    </i>
  </rowItems>
  <colItems count="1">
    <i/>
  </colItems>
  <dataFields count="1">
    <dataField name="Suma de 30-41" fld="20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Y115"/>
  <sheetViews>
    <sheetView workbookViewId="0">
      <selection activeCell="B8" sqref="B8"/>
    </sheetView>
  </sheetViews>
  <sheetFormatPr baseColWidth="10" defaultRowHeight="15" x14ac:dyDescent="0.25"/>
  <cols>
    <col min="1" max="1" width="22.140625" bestFit="1" customWidth="1"/>
    <col min="2" max="2" width="10.7109375" bestFit="1" customWidth="1"/>
    <col min="7" max="7" width="22.140625" bestFit="1" customWidth="1"/>
    <col min="8" max="8" width="11.85546875" bestFit="1" customWidth="1"/>
    <col min="13" max="13" width="22.140625" bestFit="1" customWidth="1"/>
    <col min="14" max="14" width="11.85546875" bestFit="1" customWidth="1"/>
    <col min="15" max="17" width="11.42578125" customWidth="1"/>
    <col min="19" max="19" width="22.140625" bestFit="1" customWidth="1"/>
    <col min="21" max="23" width="11.42578125" customWidth="1"/>
  </cols>
  <sheetData>
    <row r="1" spans="1:25" ht="15.75" thickBot="1" x14ac:dyDescent="0.3">
      <c r="A1" t="s">
        <v>5</v>
      </c>
      <c r="B1" s="6">
        <v>145</v>
      </c>
    </row>
    <row r="2" spans="1:25" ht="19.5" thickBot="1" x14ac:dyDescent="0.35">
      <c r="A2" s="25" t="s">
        <v>11</v>
      </c>
      <c r="B2" s="21"/>
      <c r="C2" s="22" t="s">
        <v>6</v>
      </c>
      <c r="D2" s="22" t="s">
        <v>7</v>
      </c>
      <c r="E2" s="23" t="s">
        <v>8</v>
      </c>
      <c r="F2" s="2"/>
      <c r="G2" s="20" t="s">
        <v>9</v>
      </c>
      <c r="H2" s="21"/>
      <c r="I2" s="22" t="s">
        <v>6</v>
      </c>
      <c r="J2" s="22" t="s">
        <v>7</v>
      </c>
      <c r="K2" s="23" t="s">
        <v>8</v>
      </c>
      <c r="L2" s="2"/>
      <c r="M2" s="20" t="s">
        <v>2</v>
      </c>
      <c r="N2" s="24"/>
      <c r="O2" s="22" t="s">
        <v>6</v>
      </c>
      <c r="P2" s="22" t="s">
        <v>7</v>
      </c>
      <c r="Q2" s="23" t="s">
        <v>8</v>
      </c>
      <c r="S2" s="20" t="s">
        <v>10</v>
      </c>
      <c r="T2" s="24"/>
      <c r="U2" s="22" t="s">
        <v>6</v>
      </c>
      <c r="V2" s="22" t="s">
        <v>7</v>
      </c>
      <c r="W2" s="23" t="s">
        <v>8</v>
      </c>
      <c r="Y2" s="1"/>
    </row>
    <row r="3" spans="1:25" ht="18.75" x14ac:dyDescent="0.3">
      <c r="A3" s="32" t="s">
        <v>12</v>
      </c>
      <c r="B3" s="26">
        <v>1</v>
      </c>
      <c r="C3" s="33"/>
      <c r="D3" s="33"/>
      <c r="E3" s="34"/>
      <c r="F3" s="2"/>
      <c r="G3" s="35" t="s">
        <v>12</v>
      </c>
      <c r="H3" s="26"/>
      <c r="I3" s="33"/>
      <c r="J3" s="33"/>
      <c r="K3" s="34"/>
      <c r="L3" s="2"/>
      <c r="M3" s="35"/>
      <c r="N3" s="13"/>
      <c r="O3" s="33"/>
      <c r="P3" s="33"/>
      <c r="Q3" s="34"/>
      <c r="S3" s="35"/>
      <c r="T3" s="13"/>
      <c r="U3" s="33"/>
      <c r="V3" s="33"/>
      <c r="W3" s="34"/>
    </row>
    <row r="4" spans="1:25" ht="18.75" x14ac:dyDescent="0.3">
      <c r="A4" s="32" t="s">
        <v>13</v>
      </c>
      <c r="B4" s="29">
        <v>44076</v>
      </c>
      <c r="C4" s="33"/>
      <c r="D4" s="33"/>
      <c r="E4" s="34"/>
      <c r="F4" s="2">
        <f>A10-B5</f>
        <v>308</v>
      </c>
      <c r="G4" s="32" t="s">
        <v>13</v>
      </c>
      <c r="H4" s="29">
        <v>44076</v>
      </c>
      <c r="I4" s="33"/>
      <c r="J4" s="33"/>
      <c r="K4" s="34"/>
      <c r="L4" s="2"/>
      <c r="M4" s="32" t="s">
        <v>13</v>
      </c>
      <c r="N4" s="29">
        <v>44076</v>
      </c>
      <c r="O4" s="33"/>
      <c r="P4" s="33"/>
      <c r="Q4" s="34"/>
      <c r="S4" s="32" t="s">
        <v>13</v>
      </c>
      <c r="T4" s="29">
        <v>44076</v>
      </c>
      <c r="U4" s="33"/>
      <c r="V4" s="33"/>
      <c r="W4" s="34"/>
    </row>
    <row r="5" spans="1:25" ht="18.75" x14ac:dyDescent="0.3">
      <c r="A5" s="32" t="s">
        <v>18</v>
      </c>
      <c r="B5" s="29">
        <v>44078</v>
      </c>
      <c r="C5" s="33"/>
      <c r="D5" s="31">
        <f>DAYS360(B5,A10)</f>
        <v>305</v>
      </c>
      <c r="E5" s="34"/>
      <c r="G5" s="32" t="s">
        <v>18</v>
      </c>
      <c r="H5" s="29">
        <v>44078</v>
      </c>
      <c r="I5" s="33"/>
      <c r="J5" s="33"/>
      <c r="K5" s="34"/>
      <c r="L5" s="2"/>
      <c r="M5" s="32" t="s">
        <v>18</v>
      </c>
      <c r="N5" s="29">
        <v>44078</v>
      </c>
      <c r="O5" s="33"/>
      <c r="P5" s="33"/>
      <c r="Q5" s="34"/>
      <c r="S5" s="32" t="s">
        <v>18</v>
      </c>
      <c r="T5" s="29">
        <v>44076</v>
      </c>
      <c r="U5" s="33"/>
      <c r="V5" s="33"/>
      <c r="W5" s="34"/>
    </row>
    <row r="6" spans="1:25" ht="18.75" x14ac:dyDescent="0.3">
      <c r="A6" s="32" t="s">
        <v>14</v>
      </c>
      <c r="B6" s="30">
        <v>0.01</v>
      </c>
      <c r="C6" s="33"/>
      <c r="D6" s="33"/>
      <c r="E6" s="34"/>
      <c r="F6" s="2">
        <f>DAYS360(B5,A10)</f>
        <v>305</v>
      </c>
      <c r="G6" s="32" t="s">
        <v>14</v>
      </c>
      <c r="H6" s="30">
        <v>0.01</v>
      </c>
      <c r="I6" s="33"/>
      <c r="J6" s="33"/>
      <c r="K6" s="34"/>
      <c r="L6" s="2"/>
      <c r="M6" s="32" t="s">
        <v>14</v>
      </c>
      <c r="N6" s="39">
        <v>1.25E-3</v>
      </c>
      <c r="O6" s="33"/>
      <c r="P6" s="33"/>
      <c r="Q6" s="34"/>
      <c r="S6" s="32" t="s">
        <v>14</v>
      </c>
      <c r="T6" s="39">
        <v>1.25E-3</v>
      </c>
      <c r="U6" s="33"/>
      <c r="V6" s="33"/>
      <c r="W6" s="34"/>
      <c r="Y6" s="57"/>
    </row>
    <row r="7" spans="1:25" ht="18.75" x14ac:dyDescent="0.3">
      <c r="A7" s="37" t="s">
        <v>16</v>
      </c>
      <c r="B7" s="26">
        <v>100</v>
      </c>
      <c r="C7" s="33"/>
      <c r="D7" s="33"/>
      <c r="E7" s="34"/>
      <c r="F7" s="2"/>
      <c r="G7" s="32" t="s">
        <v>16</v>
      </c>
      <c r="H7" s="26">
        <v>100</v>
      </c>
      <c r="I7" s="33"/>
      <c r="J7" s="33"/>
      <c r="K7" s="34"/>
      <c r="L7" s="2"/>
      <c r="M7" s="32" t="s">
        <v>16</v>
      </c>
      <c r="N7" s="26">
        <v>100</v>
      </c>
      <c r="O7" s="33"/>
      <c r="P7" s="60"/>
      <c r="Q7" s="34"/>
      <c r="S7" s="32" t="s">
        <v>16</v>
      </c>
      <c r="T7" s="26">
        <v>100</v>
      </c>
      <c r="U7" s="33"/>
      <c r="V7" s="33"/>
      <c r="W7" s="34"/>
    </row>
    <row r="8" spans="1:25" ht="18.75" x14ac:dyDescent="0.3">
      <c r="A8" s="37" t="s">
        <v>17</v>
      </c>
      <c r="B8" s="56">
        <f ca="1">B6*DAYS360(B5,TODAY())/360*100</f>
        <v>0.94444444444444442</v>
      </c>
      <c r="C8" s="33"/>
      <c r="D8" s="60"/>
      <c r="E8" s="34"/>
      <c r="F8" s="59"/>
      <c r="G8" s="32" t="s">
        <v>17</v>
      </c>
      <c r="H8" s="58">
        <f ca="1">H6*DAYS360(H5,TODAY())/360*100</f>
        <v>0.94444444444444442</v>
      </c>
      <c r="I8" s="33"/>
      <c r="J8" s="33"/>
      <c r="K8" s="34"/>
      <c r="L8" s="2"/>
      <c r="M8" s="32" t="s">
        <v>17</v>
      </c>
      <c r="N8" s="58">
        <f ca="1">N6*DAYS360(N5,TODAY())/360*100</f>
        <v>0.11805555555555555</v>
      </c>
      <c r="O8" s="33"/>
      <c r="P8" s="33"/>
      <c r="Q8" s="34"/>
      <c r="S8" s="32" t="s">
        <v>17</v>
      </c>
      <c r="T8" s="58">
        <f ca="1">T6*DAYS360(T5,TODAY())/360*100</f>
        <v>0.11874999999999999</v>
      </c>
      <c r="U8" s="33"/>
      <c r="V8" s="33"/>
      <c r="W8" s="34"/>
    </row>
    <row r="9" spans="1:25" ht="18.75" x14ac:dyDescent="0.3">
      <c r="A9" s="36" t="s">
        <v>15</v>
      </c>
      <c r="B9" s="58">
        <f ca="1">B7+B8</f>
        <v>100.94444444444444</v>
      </c>
      <c r="C9" s="33"/>
      <c r="D9" s="33"/>
      <c r="E9" s="34"/>
      <c r="F9" s="2"/>
      <c r="G9" s="38" t="s">
        <v>15</v>
      </c>
      <c r="H9" s="58">
        <f ca="1">H7+H8</f>
        <v>100.94444444444444</v>
      </c>
      <c r="I9" s="33"/>
      <c r="J9" s="33"/>
      <c r="K9" s="34"/>
      <c r="L9" s="2"/>
      <c r="M9" s="38" t="s">
        <v>15</v>
      </c>
      <c r="N9" s="58">
        <f ca="1">N7+N8</f>
        <v>100.11805555555556</v>
      </c>
      <c r="O9" s="33"/>
      <c r="P9" s="33"/>
      <c r="Q9" s="34"/>
      <c r="S9" s="38" t="s">
        <v>15</v>
      </c>
      <c r="T9" s="58">
        <f ca="1">T7+T8</f>
        <v>100.11875000000001</v>
      </c>
      <c r="U9" s="33"/>
      <c r="V9" s="33"/>
      <c r="W9" s="34"/>
    </row>
    <row r="10" spans="1:25" ht="15.75" thickBot="1" x14ac:dyDescent="0.3">
      <c r="A10" s="16">
        <v>44386</v>
      </c>
      <c r="B10" s="17" t="s">
        <v>4</v>
      </c>
      <c r="C10" s="49">
        <v>0.84719999999999995</v>
      </c>
      <c r="D10" s="18">
        <v>0</v>
      </c>
      <c r="E10" s="52">
        <v>0.84719999999999995</v>
      </c>
      <c r="F10" s="2"/>
      <c r="G10" s="16">
        <v>44386</v>
      </c>
      <c r="H10" s="13" t="s">
        <v>4</v>
      </c>
      <c r="I10" s="18">
        <v>0.85</v>
      </c>
      <c r="J10" s="18">
        <v>0</v>
      </c>
      <c r="K10" s="19">
        <v>0.85</v>
      </c>
      <c r="L10" s="2"/>
      <c r="M10" s="16">
        <v>44386</v>
      </c>
      <c r="N10" s="13" t="s">
        <v>4</v>
      </c>
      <c r="O10" s="18">
        <v>0.11</v>
      </c>
      <c r="P10" s="18">
        <v>0</v>
      </c>
      <c r="Q10" s="19">
        <v>0.11</v>
      </c>
      <c r="S10" s="16">
        <v>44386</v>
      </c>
      <c r="T10" s="13" t="s">
        <v>4</v>
      </c>
      <c r="U10" s="18">
        <v>0.11</v>
      </c>
      <c r="V10" s="18">
        <v>0</v>
      </c>
      <c r="W10" s="19">
        <v>0.11</v>
      </c>
    </row>
    <row r="11" spans="1:25" ht="15.75" thickBot="1" x14ac:dyDescent="0.3">
      <c r="A11" s="7">
        <v>44570</v>
      </c>
      <c r="B11" s="4" t="s">
        <v>4</v>
      </c>
      <c r="C11" s="50">
        <v>0.5</v>
      </c>
      <c r="D11" s="5">
        <v>0</v>
      </c>
      <c r="E11" s="53">
        <v>0.5</v>
      </c>
      <c r="F11" s="2"/>
      <c r="G11" s="7">
        <v>44570</v>
      </c>
      <c r="H11" s="13" t="s">
        <v>4</v>
      </c>
      <c r="I11" s="5">
        <v>0.5</v>
      </c>
      <c r="J11" s="5">
        <v>0</v>
      </c>
      <c r="K11" s="8">
        <v>0.5</v>
      </c>
      <c r="L11" s="2"/>
      <c r="M11" s="7">
        <v>44570</v>
      </c>
      <c r="N11" s="13" t="s">
        <v>4</v>
      </c>
      <c r="O11" s="5">
        <v>0.25</v>
      </c>
      <c r="P11" s="5">
        <v>0</v>
      </c>
      <c r="Q11" s="8">
        <v>0.25</v>
      </c>
      <c r="S11" s="7">
        <v>44570</v>
      </c>
      <c r="T11" s="13" t="s">
        <v>4</v>
      </c>
      <c r="U11" s="5">
        <v>0.25</v>
      </c>
      <c r="V11" s="5">
        <v>0</v>
      </c>
      <c r="W11" s="8">
        <v>0.25</v>
      </c>
    </row>
    <row r="12" spans="1:25" ht="15.75" thickBot="1" x14ac:dyDescent="0.3">
      <c r="A12" s="7">
        <v>44751</v>
      </c>
      <c r="B12" s="4" t="s">
        <v>4</v>
      </c>
      <c r="C12" s="50">
        <v>0.5</v>
      </c>
      <c r="D12" s="5">
        <v>0</v>
      </c>
      <c r="E12" s="53">
        <v>0.5</v>
      </c>
      <c r="F12" s="2"/>
      <c r="G12" s="7">
        <v>44751</v>
      </c>
      <c r="H12" s="13" t="s">
        <v>4</v>
      </c>
      <c r="I12" s="5">
        <v>0.5</v>
      </c>
      <c r="J12" s="5">
        <v>0</v>
      </c>
      <c r="K12" s="8">
        <v>0.5</v>
      </c>
      <c r="L12" s="2"/>
      <c r="M12" s="7">
        <v>44751</v>
      </c>
      <c r="N12" s="13" t="s">
        <v>4</v>
      </c>
      <c r="O12" s="5">
        <v>0.25</v>
      </c>
      <c r="P12" s="5">
        <v>0</v>
      </c>
      <c r="Q12" s="8">
        <v>0.25</v>
      </c>
      <c r="S12" s="7">
        <v>44751</v>
      </c>
      <c r="T12" s="13" t="s">
        <v>4</v>
      </c>
      <c r="U12" s="5">
        <v>0.25</v>
      </c>
      <c r="V12" s="5">
        <v>0</v>
      </c>
      <c r="W12" s="8">
        <v>0.25</v>
      </c>
    </row>
    <row r="13" spans="1:25" ht="15.75" thickBot="1" x14ac:dyDescent="0.3">
      <c r="A13" s="7">
        <v>44935</v>
      </c>
      <c r="B13" s="4" t="s">
        <v>4</v>
      </c>
      <c r="C13" s="50">
        <v>0.5</v>
      </c>
      <c r="D13" s="5">
        <v>0</v>
      </c>
      <c r="E13" s="53">
        <v>0.5</v>
      </c>
      <c r="F13" s="2"/>
      <c r="G13" s="7">
        <v>44935</v>
      </c>
      <c r="H13" s="13" t="s">
        <v>4</v>
      </c>
      <c r="I13" s="5">
        <v>0.5</v>
      </c>
      <c r="J13" s="5">
        <v>0</v>
      </c>
      <c r="K13" s="8">
        <v>0.5</v>
      </c>
      <c r="L13" s="2"/>
      <c r="M13" s="7">
        <v>44935</v>
      </c>
      <c r="N13" s="13" t="s">
        <v>4</v>
      </c>
      <c r="O13" s="5">
        <v>0.25</v>
      </c>
      <c r="P13" s="5">
        <v>0</v>
      </c>
      <c r="Q13" s="8">
        <v>0.25</v>
      </c>
      <c r="S13" s="7">
        <v>44935</v>
      </c>
      <c r="T13" s="13" t="s">
        <v>4</v>
      </c>
      <c r="U13" s="5">
        <v>0.25</v>
      </c>
      <c r="V13" s="5">
        <v>0</v>
      </c>
      <c r="W13" s="8">
        <v>0.25</v>
      </c>
    </row>
    <row r="14" spans="1:25" ht="15.75" thickBot="1" x14ac:dyDescent="0.3">
      <c r="A14" s="7">
        <v>45116</v>
      </c>
      <c r="B14" s="4" t="s">
        <v>4</v>
      </c>
      <c r="C14" s="50">
        <v>0.5</v>
      </c>
      <c r="D14" s="5">
        <v>0</v>
      </c>
      <c r="E14" s="53">
        <v>0.5</v>
      </c>
      <c r="F14" s="2"/>
      <c r="G14" s="7">
        <v>45116</v>
      </c>
      <c r="H14" s="13" t="s">
        <v>4</v>
      </c>
      <c r="I14" s="5">
        <v>0.5</v>
      </c>
      <c r="J14" s="5">
        <v>0</v>
      </c>
      <c r="K14" s="8">
        <v>0.5</v>
      </c>
      <c r="L14" s="2"/>
      <c r="M14" s="7">
        <v>45116</v>
      </c>
      <c r="N14" s="13" t="s">
        <v>4</v>
      </c>
      <c r="O14" s="5">
        <v>0.25</v>
      </c>
      <c r="P14" s="5">
        <v>0</v>
      </c>
      <c r="Q14" s="8">
        <v>0.25</v>
      </c>
      <c r="S14" s="7">
        <v>45116</v>
      </c>
      <c r="T14" s="13" t="s">
        <v>4</v>
      </c>
      <c r="U14" s="5">
        <v>0.25</v>
      </c>
      <c r="V14" s="5">
        <v>0</v>
      </c>
      <c r="W14" s="8">
        <v>0.25</v>
      </c>
    </row>
    <row r="15" spans="1:25" ht="15.75" thickBot="1" x14ac:dyDescent="0.3">
      <c r="A15" s="7">
        <v>45300</v>
      </c>
      <c r="B15" s="4" t="s">
        <v>4</v>
      </c>
      <c r="C15" s="50">
        <v>0.5</v>
      </c>
      <c r="D15" s="5">
        <v>0</v>
      </c>
      <c r="E15" s="53">
        <v>0.5</v>
      </c>
      <c r="F15" s="2"/>
      <c r="G15" s="7">
        <v>45300</v>
      </c>
      <c r="H15" s="13" t="s">
        <v>4</v>
      </c>
      <c r="I15" s="5">
        <v>0.5</v>
      </c>
      <c r="J15" s="5">
        <v>0</v>
      </c>
      <c r="K15" s="8">
        <v>0.5</v>
      </c>
      <c r="L15" s="2"/>
      <c r="M15" s="7">
        <v>45300</v>
      </c>
      <c r="N15" s="13" t="s">
        <v>4</v>
      </c>
      <c r="O15" s="5">
        <v>0.38</v>
      </c>
      <c r="P15" s="5">
        <v>0</v>
      </c>
      <c r="Q15" s="8">
        <v>0.38</v>
      </c>
      <c r="S15" s="7">
        <v>45300</v>
      </c>
      <c r="T15" s="13" t="s">
        <v>4</v>
      </c>
      <c r="U15" s="5">
        <v>0.38</v>
      </c>
      <c r="V15" s="5">
        <v>0</v>
      </c>
      <c r="W15" s="8">
        <v>0.38</v>
      </c>
    </row>
    <row r="16" spans="1:25" ht="15.75" thickBot="1" x14ac:dyDescent="0.3">
      <c r="A16" s="7">
        <v>45482</v>
      </c>
      <c r="B16" s="4" t="s">
        <v>4</v>
      </c>
      <c r="C16" s="50">
        <v>0.5</v>
      </c>
      <c r="D16" s="5">
        <v>0</v>
      </c>
      <c r="E16" s="53">
        <v>0.5</v>
      </c>
      <c r="F16" s="2"/>
      <c r="G16" s="7">
        <v>45482</v>
      </c>
      <c r="H16" s="13" t="s">
        <v>4</v>
      </c>
      <c r="I16" s="5">
        <v>0.5</v>
      </c>
      <c r="J16" s="5">
        <v>0</v>
      </c>
      <c r="K16" s="8">
        <v>0.5</v>
      </c>
      <c r="L16" s="2"/>
      <c r="M16" s="7">
        <v>45482</v>
      </c>
      <c r="N16" s="13" t="s">
        <v>4</v>
      </c>
      <c r="O16" s="5">
        <v>0.38</v>
      </c>
      <c r="P16" s="5">
        <v>4</v>
      </c>
      <c r="Q16" s="8">
        <v>4.38</v>
      </c>
      <c r="S16" s="7">
        <v>45482</v>
      </c>
      <c r="T16" s="13" t="s">
        <v>4</v>
      </c>
      <c r="U16" s="5">
        <v>0.38</v>
      </c>
      <c r="V16" s="5">
        <v>4</v>
      </c>
      <c r="W16" s="8">
        <v>4.38</v>
      </c>
    </row>
    <row r="17" spans="1:23" ht="15.75" thickBot="1" x14ac:dyDescent="0.3">
      <c r="A17" s="7">
        <v>45666</v>
      </c>
      <c r="B17" s="4" t="s">
        <v>4</v>
      </c>
      <c r="C17" s="50">
        <v>0.5</v>
      </c>
      <c r="D17" s="5">
        <v>10</v>
      </c>
      <c r="E17" s="53">
        <v>10.5</v>
      </c>
      <c r="F17" s="2"/>
      <c r="G17" s="7">
        <v>45666</v>
      </c>
      <c r="H17" s="13" t="s">
        <v>4</v>
      </c>
      <c r="I17" s="5">
        <v>0.5</v>
      </c>
      <c r="J17" s="5">
        <v>10</v>
      </c>
      <c r="K17" s="8">
        <v>10.5</v>
      </c>
      <c r="L17" s="2"/>
      <c r="M17" s="7">
        <v>45666</v>
      </c>
      <c r="N17" s="13" t="s">
        <v>4</v>
      </c>
      <c r="O17" s="5">
        <v>0.36</v>
      </c>
      <c r="P17" s="5">
        <v>8</v>
      </c>
      <c r="Q17" s="8">
        <v>8.36</v>
      </c>
      <c r="S17" s="7">
        <v>45666</v>
      </c>
      <c r="T17" s="13" t="s">
        <v>4</v>
      </c>
      <c r="U17" s="5">
        <v>0.36</v>
      </c>
      <c r="V17" s="5">
        <v>8</v>
      </c>
      <c r="W17" s="8">
        <v>8.36</v>
      </c>
    </row>
    <row r="18" spans="1:23" ht="15.75" thickBot="1" x14ac:dyDescent="0.3">
      <c r="A18" s="7">
        <v>45847</v>
      </c>
      <c r="B18" s="4" t="s">
        <v>4</v>
      </c>
      <c r="C18" s="50">
        <v>0.45</v>
      </c>
      <c r="D18" s="5">
        <v>10</v>
      </c>
      <c r="E18" s="53">
        <v>10.45</v>
      </c>
      <c r="F18" s="2"/>
      <c r="G18" s="7">
        <v>45847</v>
      </c>
      <c r="H18" s="13" t="s">
        <v>4</v>
      </c>
      <c r="I18" s="5">
        <v>0.45</v>
      </c>
      <c r="J18" s="5">
        <v>10</v>
      </c>
      <c r="K18" s="8">
        <v>10.45</v>
      </c>
      <c r="L18" s="2"/>
      <c r="M18" s="7">
        <v>45847</v>
      </c>
      <c r="N18" s="13" t="s">
        <v>4</v>
      </c>
      <c r="O18" s="5">
        <v>0.33</v>
      </c>
      <c r="P18" s="5">
        <v>8</v>
      </c>
      <c r="Q18" s="8">
        <v>8.33</v>
      </c>
      <c r="S18" s="7">
        <v>45847</v>
      </c>
      <c r="T18" s="13" t="s">
        <v>4</v>
      </c>
      <c r="U18" s="5">
        <v>0.33</v>
      </c>
      <c r="V18" s="5">
        <v>8</v>
      </c>
      <c r="W18" s="8">
        <v>8.33</v>
      </c>
    </row>
    <row r="19" spans="1:23" ht="15.75" thickBot="1" x14ac:dyDescent="0.3">
      <c r="A19" s="7">
        <v>46031</v>
      </c>
      <c r="B19" s="4" t="s">
        <v>4</v>
      </c>
      <c r="C19" s="50">
        <v>0.4</v>
      </c>
      <c r="D19" s="5">
        <v>10</v>
      </c>
      <c r="E19" s="53">
        <v>10.4</v>
      </c>
      <c r="F19" s="2"/>
      <c r="G19" s="7">
        <v>46031</v>
      </c>
      <c r="H19" s="13" t="s">
        <v>4</v>
      </c>
      <c r="I19" s="5">
        <v>0.4</v>
      </c>
      <c r="J19" s="5">
        <v>10</v>
      </c>
      <c r="K19" s="8">
        <v>10.4</v>
      </c>
      <c r="L19" s="2"/>
      <c r="M19" s="7">
        <v>46031</v>
      </c>
      <c r="N19" s="13" t="s">
        <v>4</v>
      </c>
      <c r="O19" s="5">
        <v>0.3</v>
      </c>
      <c r="P19" s="5">
        <v>8</v>
      </c>
      <c r="Q19" s="8">
        <v>8.3000000000000007</v>
      </c>
      <c r="S19" s="7">
        <v>46031</v>
      </c>
      <c r="T19" s="13" t="s">
        <v>4</v>
      </c>
      <c r="U19" s="5">
        <v>0.3</v>
      </c>
      <c r="V19" s="5">
        <v>8</v>
      </c>
      <c r="W19" s="8">
        <v>8.3000000000000007</v>
      </c>
    </row>
    <row r="20" spans="1:23" ht="15.75" thickBot="1" x14ac:dyDescent="0.3">
      <c r="A20" s="7">
        <v>46212</v>
      </c>
      <c r="B20" s="4" t="s">
        <v>4</v>
      </c>
      <c r="C20" s="50">
        <v>0.35</v>
      </c>
      <c r="D20" s="5">
        <v>10</v>
      </c>
      <c r="E20" s="53">
        <v>10.35</v>
      </c>
      <c r="F20" s="2"/>
      <c r="G20" s="7">
        <v>46212</v>
      </c>
      <c r="H20" s="13" t="s">
        <v>4</v>
      </c>
      <c r="I20" s="5">
        <v>0.35</v>
      </c>
      <c r="J20" s="5">
        <v>10</v>
      </c>
      <c r="K20" s="8">
        <v>10.35</v>
      </c>
      <c r="L20" s="2"/>
      <c r="M20" s="7">
        <v>46212</v>
      </c>
      <c r="N20" s="13" t="s">
        <v>4</v>
      </c>
      <c r="O20" s="5">
        <v>0.27</v>
      </c>
      <c r="P20" s="5">
        <v>8</v>
      </c>
      <c r="Q20" s="8">
        <v>8.27</v>
      </c>
      <c r="S20" s="7">
        <v>46212</v>
      </c>
      <c r="T20" s="13" t="s">
        <v>4</v>
      </c>
      <c r="U20" s="5">
        <v>0.27</v>
      </c>
      <c r="V20" s="5">
        <v>8</v>
      </c>
      <c r="W20" s="8">
        <v>8.27</v>
      </c>
    </row>
    <row r="21" spans="1:23" ht="15.75" thickBot="1" x14ac:dyDescent="0.3">
      <c r="A21" s="7">
        <v>46396</v>
      </c>
      <c r="B21" s="4" t="s">
        <v>4</v>
      </c>
      <c r="C21" s="50">
        <v>0.3</v>
      </c>
      <c r="D21" s="5">
        <v>10</v>
      </c>
      <c r="E21" s="53">
        <v>10.3</v>
      </c>
      <c r="F21" s="2"/>
      <c r="G21" s="7">
        <v>46396</v>
      </c>
      <c r="H21" s="13" t="s">
        <v>4</v>
      </c>
      <c r="I21" s="5">
        <v>0.3</v>
      </c>
      <c r="J21" s="5">
        <v>10</v>
      </c>
      <c r="K21" s="8">
        <v>10.3</v>
      </c>
      <c r="L21" s="2"/>
      <c r="M21" s="7">
        <v>46396</v>
      </c>
      <c r="N21" s="13" t="s">
        <v>4</v>
      </c>
      <c r="O21" s="5">
        <v>0.24</v>
      </c>
      <c r="P21" s="5">
        <v>8</v>
      </c>
      <c r="Q21" s="8">
        <v>8.24</v>
      </c>
      <c r="S21" s="7">
        <v>46396</v>
      </c>
      <c r="T21" s="13" t="s">
        <v>4</v>
      </c>
      <c r="U21" s="5">
        <v>0.24</v>
      </c>
      <c r="V21" s="5">
        <v>8</v>
      </c>
      <c r="W21" s="8">
        <v>8.24</v>
      </c>
    </row>
    <row r="22" spans="1:23" ht="15.75" thickBot="1" x14ac:dyDescent="0.3">
      <c r="A22" s="7">
        <v>46577</v>
      </c>
      <c r="B22" s="4" t="s">
        <v>4</v>
      </c>
      <c r="C22" s="50">
        <v>0.25</v>
      </c>
      <c r="D22" s="5">
        <v>10</v>
      </c>
      <c r="E22" s="53">
        <v>10.25</v>
      </c>
      <c r="F22" s="2"/>
      <c r="G22" s="7">
        <v>46577</v>
      </c>
      <c r="H22" s="13" t="s">
        <v>4</v>
      </c>
      <c r="I22" s="5">
        <v>0.25</v>
      </c>
      <c r="J22" s="5">
        <v>10</v>
      </c>
      <c r="K22" s="8">
        <v>10.25</v>
      </c>
      <c r="L22" s="2"/>
      <c r="M22" s="7">
        <v>46577</v>
      </c>
      <c r="N22" s="13" t="s">
        <v>4</v>
      </c>
      <c r="O22" s="5">
        <v>0.21</v>
      </c>
      <c r="P22" s="5">
        <v>8</v>
      </c>
      <c r="Q22" s="8">
        <v>8.2100000000000009</v>
      </c>
      <c r="S22" s="7">
        <v>46577</v>
      </c>
      <c r="T22" s="13" t="s">
        <v>4</v>
      </c>
      <c r="U22" s="5">
        <v>0.21</v>
      </c>
      <c r="V22" s="5">
        <v>8</v>
      </c>
      <c r="W22" s="8">
        <v>8.2100000000000009</v>
      </c>
    </row>
    <row r="23" spans="1:23" ht="15.75" thickBot="1" x14ac:dyDescent="0.3">
      <c r="A23" s="7">
        <v>46761</v>
      </c>
      <c r="B23" s="4" t="s">
        <v>4</v>
      </c>
      <c r="C23" s="50">
        <v>0.2</v>
      </c>
      <c r="D23" s="5">
        <v>10</v>
      </c>
      <c r="E23" s="53">
        <v>10.199999999999999</v>
      </c>
      <c r="F23" s="2"/>
      <c r="G23" s="7">
        <v>46761</v>
      </c>
      <c r="H23" s="13" t="s">
        <v>4</v>
      </c>
      <c r="I23" s="5">
        <v>0.2</v>
      </c>
      <c r="J23" s="5">
        <v>10</v>
      </c>
      <c r="K23" s="8">
        <v>10.199999999999999</v>
      </c>
      <c r="L23" s="2"/>
      <c r="M23" s="7">
        <v>46761</v>
      </c>
      <c r="N23" s="13" t="s">
        <v>4</v>
      </c>
      <c r="O23" s="5">
        <v>0.42</v>
      </c>
      <c r="P23" s="5">
        <v>8</v>
      </c>
      <c r="Q23" s="8">
        <v>8.42</v>
      </c>
      <c r="S23" s="7">
        <v>46761</v>
      </c>
      <c r="T23" s="13" t="s">
        <v>4</v>
      </c>
      <c r="U23" s="5">
        <v>0.42</v>
      </c>
      <c r="V23" s="5">
        <v>8</v>
      </c>
      <c r="W23" s="8">
        <v>8.42</v>
      </c>
    </row>
    <row r="24" spans="1:23" ht="15.75" thickBot="1" x14ac:dyDescent="0.3">
      <c r="A24" s="7">
        <v>46943</v>
      </c>
      <c r="B24" s="4" t="s">
        <v>4</v>
      </c>
      <c r="C24" s="50">
        <v>0.15</v>
      </c>
      <c r="D24" s="5">
        <v>10</v>
      </c>
      <c r="E24" s="53">
        <v>10.15</v>
      </c>
      <c r="F24" s="2"/>
      <c r="G24" s="7">
        <v>46943</v>
      </c>
      <c r="H24" s="13" t="s">
        <v>4</v>
      </c>
      <c r="I24" s="5">
        <v>0.15</v>
      </c>
      <c r="J24" s="5">
        <v>10</v>
      </c>
      <c r="K24" s="8">
        <v>10.15</v>
      </c>
      <c r="L24" s="2"/>
      <c r="M24" s="7">
        <v>46943</v>
      </c>
      <c r="N24" s="13" t="s">
        <v>4</v>
      </c>
      <c r="O24" s="5">
        <v>0.35</v>
      </c>
      <c r="P24" s="5">
        <v>8</v>
      </c>
      <c r="Q24" s="8">
        <v>8.35</v>
      </c>
      <c r="S24" s="7">
        <v>46943</v>
      </c>
      <c r="T24" s="13" t="s">
        <v>4</v>
      </c>
      <c r="U24" s="5">
        <v>0.35</v>
      </c>
      <c r="V24" s="5">
        <v>8</v>
      </c>
      <c r="W24" s="8">
        <v>8.35</v>
      </c>
    </row>
    <row r="25" spans="1:23" ht="15.75" thickBot="1" x14ac:dyDescent="0.3">
      <c r="A25" s="7">
        <v>47127</v>
      </c>
      <c r="B25" s="4" t="s">
        <v>4</v>
      </c>
      <c r="C25" s="50">
        <v>0.1</v>
      </c>
      <c r="D25" s="5">
        <v>10</v>
      </c>
      <c r="E25" s="53">
        <v>10.1</v>
      </c>
      <c r="F25" s="2"/>
      <c r="G25" s="7">
        <v>47127</v>
      </c>
      <c r="H25" s="13" t="s">
        <v>4</v>
      </c>
      <c r="I25" s="5">
        <v>0.1</v>
      </c>
      <c r="J25" s="5">
        <v>10</v>
      </c>
      <c r="K25" s="8">
        <v>10.1</v>
      </c>
      <c r="L25" s="2"/>
      <c r="M25" s="7">
        <v>47127</v>
      </c>
      <c r="N25" s="13" t="s">
        <v>4</v>
      </c>
      <c r="O25" s="5">
        <v>0.28000000000000003</v>
      </c>
      <c r="P25" s="5">
        <v>8</v>
      </c>
      <c r="Q25" s="8">
        <v>8.2799999999999994</v>
      </c>
      <c r="S25" s="7">
        <v>47127</v>
      </c>
      <c r="T25" s="13" t="s">
        <v>4</v>
      </c>
      <c r="U25" s="5">
        <v>0.28000000000000003</v>
      </c>
      <c r="V25" s="5">
        <v>8</v>
      </c>
      <c r="W25" s="8">
        <v>8.2799999999999994</v>
      </c>
    </row>
    <row r="26" spans="1:23" ht="15.75" thickBot="1" x14ac:dyDescent="0.3">
      <c r="A26" s="7">
        <v>47308</v>
      </c>
      <c r="B26" s="4" t="s">
        <v>4</v>
      </c>
      <c r="C26" s="50">
        <v>0.05</v>
      </c>
      <c r="D26" s="5">
        <v>10</v>
      </c>
      <c r="E26" s="53">
        <v>10.050000000000001</v>
      </c>
      <c r="F26" s="2"/>
      <c r="G26" s="7">
        <v>47308</v>
      </c>
      <c r="H26" s="13" t="s">
        <v>4</v>
      </c>
      <c r="I26" s="5">
        <v>0.05</v>
      </c>
      <c r="J26" s="5">
        <v>10</v>
      </c>
      <c r="K26" s="8">
        <v>10.050000000000001</v>
      </c>
      <c r="L26" s="2"/>
      <c r="M26" s="7">
        <v>47308</v>
      </c>
      <c r="N26" s="13" t="s">
        <v>4</v>
      </c>
      <c r="O26" s="5">
        <v>0.21</v>
      </c>
      <c r="P26" s="5">
        <v>8</v>
      </c>
      <c r="Q26" s="8">
        <v>8.2100000000000009</v>
      </c>
      <c r="S26" s="7">
        <v>47308</v>
      </c>
      <c r="T26" s="13" t="s">
        <v>4</v>
      </c>
      <c r="U26" s="5">
        <v>0.21</v>
      </c>
      <c r="V26" s="5">
        <v>8</v>
      </c>
      <c r="W26" s="8">
        <v>8.2100000000000009</v>
      </c>
    </row>
    <row r="27" spans="1:23" ht="15.75" thickBot="1" x14ac:dyDescent="0.3">
      <c r="A27" s="9"/>
      <c r="B27" s="10"/>
      <c r="C27" s="51">
        <f>SUM(C10:C26)</f>
        <v>6.5972</v>
      </c>
      <c r="D27" s="11">
        <f>SUM(D10:D26)</f>
        <v>100</v>
      </c>
      <c r="E27" s="54">
        <f>SUM(E10:E26)</f>
        <v>106.5972</v>
      </c>
      <c r="F27" s="2"/>
      <c r="G27" s="14"/>
      <c r="H27" s="10"/>
      <c r="I27" s="11">
        <f>SUM(I10:I26)</f>
        <v>6.6</v>
      </c>
      <c r="J27" s="11">
        <f>SUM(J10:J26)</f>
        <v>100</v>
      </c>
      <c r="K27" s="12">
        <f>SUM(K10:K26)</f>
        <v>106.6</v>
      </c>
      <c r="L27" s="2"/>
      <c r="M27" s="7">
        <v>47492</v>
      </c>
      <c r="N27" s="13" t="s">
        <v>4</v>
      </c>
      <c r="O27" s="5">
        <v>0.14000000000000001</v>
      </c>
      <c r="P27" s="5">
        <v>8</v>
      </c>
      <c r="Q27" s="8">
        <v>8.14</v>
      </c>
      <c r="S27" s="7">
        <v>47492</v>
      </c>
      <c r="T27" s="13" t="s">
        <v>4</v>
      </c>
      <c r="U27" s="5">
        <v>0.14000000000000001</v>
      </c>
      <c r="V27" s="5">
        <v>8</v>
      </c>
      <c r="W27" s="8">
        <v>8.14</v>
      </c>
    </row>
    <row r="28" spans="1:23" ht="15.75" thickBot="1" x14ac:dyDescent="0.3">
      <c r="B28" s="2"/>
      <c r="F28" s="2"/>
      <c r="I28" s="2"/>
      <c r="J28" s="2"/>
      <c r="K28" s="2"/>
      <c r="L28" s="2"/>
      <c r="M28" s="7">
        <v>47673</v>
      </c>
      <c r="N28" s="13" t="s">
        <v>4</v>
      </c>
      <c r="O28" s="5">
        <v>7.0000000000000007E-2</v>
      </c>
      <c r="P28" s="5">
        <v>8</v>
      </c>
      <c r="Q28" s="8">
        <v>8.07</v>
      </c>
      <c r="S28" s="7">
        <v>47673</v>
      </c>
      <c r="T28" s="13" t="s">
        <v>4</v>
      </c>
      <c r="U28" s="5">
        <v>7.0000000000000007E-2</v>
      </c>
      <c r="V28" s="5">
        <v>8</v>
      </c>
      <c r="W28" s="8">
        <v>8.07</v>
      </c>
    </row>
    <row r="29" spans="1:23" ht="15.75" thickBot="1" x14ac:dyDescent="0.3">
      <c r="B29" s="2"/>
      <c r="F29" s="2"/>
      <c r="G29" s="2"/>
      <c r="H29" s="2"/>
      <c r="I29" s="2"/>
      <c r="J29" s="2"/>
      <c r="K29" s="2"/>
      <c r="L29" s="2"/>
      <c r="M29" s="9"/>
      <c r="N29" s="15"/>
      <c r="O29" s="11">
        <f>SUM(O10:O28)</f>
        <v>5.0499999999999989</v>
      </c>
      <c r="P29" s="11">
        <f>SUM(P10:P28)</f>
        <v>100</v>
      </c>
      <c r="Q29" s="12">
        <f>SUM(Q10:Q28)</f>
        <v>105.05000000000001</v>
      </c>
      <c r="S29" s="9"/>
      <c r="T29" s="15"/>
      <c r="U29" s="11">
        <f>SUM(U10:U28)</f>
        <v>5.0499999999999989</v>
      </c>
      <c r="V29" s="11">
        <f>SUM(V10:V28)</f>
        <v>100</v>
      </c>
      <c r="W29" s="12">
        <f>SUM(W10:W28)</f>
        <v>105.05000000000001</v>
      </c>
    </row>
    <row r="30" spans="1:23" ht="15.75" thickBot="1" x14ac:dyDescent="0.3">
      <c r="B30" s="2"/>
      <c r="F30" s="2"/>
      <c r="G30" s="2"/>
      <c r="H30" s="2"/>
      <c r="I30" s="2"/>
      <c r="J30" s="2"/>
      <c r="K30" s="2"/>
      <c r="L30" s="2"/>
      <c r="M30" s="13"/>
      <c r="N30" s="13"/>
      <c r="O30" s="31"/>
      <c r="P30" s="31"/>
      <c r="Q30" s="31"/>
      <c r="S30" s="13"/>
      <c r="T30" s="13"/>
      <c r="U30" s="31"/>
      <c r="V30" s="31"/>
      <c r="W30" s="31"/>
    </row>
    <row r="31" spans="1:23" ht="19.5" thickBot="1" x14ac:dyDescent="0.35">
      <c r="A31" s="25" t="s">
        <v>19</v>
      </c>
      <c r="B31" s="21"/>
      <c r="C31" s="22" t="s">
        <v>6</v>
      </c>
      <c r="D31" s="22" t="s">
        <v>7</v>
      </c>
      <c r="E31" s="23" t="s">
        <v>8</v>
      </c>
      <c r="F31" s="2"/>
      <c r="G31" s="25" t="s">
        <v>21</v>
      </c>
      <c r="H31" s="21"/>
      <c r="I31" s="22" t="s">
        <v>6</v>
      </c>
      <c r="J31" s="22" t="s">
        <v>7</v>
      </c>
      <c r="K31" s="23" t="s">
        <v>8</v>
      </c>
      <c r="L31" s="2"/>
      <c r="M31" s="25" t="s">
        <v>20</v>
      </c>
      <c r="N31" s="21"/>
      <c r="O31" s="22" t="s">
        <v>6</v>
      </c>
      <c r="P31" s="22" t="s">
        <v>7</v>
      </c>
      <c r="Q31" s="23" t="s">
        <v>8</v>
      </c>
      <c r="S31" s="13"/>
      <c r="T31" s="13"/>
      <c r="U31" s="31"/>
      <c r="V31" s="31"/>
      <c r="W31" s="31"/>
    </row>
    <row r="32" spans="1:23" ht="18.75" x14ac:dyDescent="0.3">
      <c r="A32" s="32" t="s">
        <v>12</v>
      </c>
      <c r="B32" s="26">
        <v>1</v>
      </c>
      <c r="C32" s="33"/>
      <c r="D32" s="33"/>
      <c r="E32" s="34"/>
      <c r="F32" s="2"/>
      <c r="G32" s="32" t="s">
        <v>12</v>
      </c>
      <c r="H32" s="26">
        <v>0.125</v>
      </c>
      <c r="I32" s="33"/>
      <c r="J32" s="33"/>
      <c r="K32" s="34"/>
      <c r="L32" s="13"/>
      <c r="M32" s="32" t="s">
        <v>12</v>
      </c>
      <c r="N32" s="26">
        <v>1</v>
      </c>
      <c r="O32" s="33"/>
      <c r="P32" s="33"/>
      <c r="Q32" s="34"/>
      <c r="R32" s="13"/>
      <c r="S32" s="13"/>
      <c r="T32" s="31"/>
      <c r="U32" s="31"/>
      <c r="V32" s="31"/>
    </row>
    <row r="33" spans="1:22" ht="18.75" x14ac:dyDescent="0.3">
      <c r="A33" s="32" t="s">
        <v>13</v>
      </c>
      <c r="B33" s="29">
        <v>44076</v>
      </c>
      <c r="C33" s="33"/>
      <c r="D33" s="33"/>
      <c r="E33" s="34"/>
      <c r="F33" s="2"/>
      <c r="G33" s="32" t="s">
        <v>13</v>
      </c>
      <c r="H33" s="29">
        <v>44076</v>
      </c>
      <c r="I33" s="33"/>
      <c r="J33" s="33"/>
      <c r="K33" s="34"/>
      <c r="L33" s="13"/>
      <c r="M33" s="32" t="s">
        <v>13</v>
      </c>
      <c r="N33" s="29">
        <v>44076</v>
      </c>
      <c r="O33" s="33"/>
      <c r="P33" s="33"/>
      <c r="Q33" s="34"/>
      <c r="R33" s="13"/>
      <c r="S33" s="13"/>
      <c r="T33" s="31"/>
      <c r="U33" s="31"/>
      <c r="V33" s="31"/>
    </row>
    <row r="34" spans="1:22" ht="18.75" x14ac:dyDescent="0.3">
      <c r="A34" s="32" t="s">
        <v>18</v>
      </c>
      <c r="B34" s="29">
        <v>44078</v>
      </c>
      <c r="C34" s="33"/>
      <c r="D34" s="33"/>
      <c r="E34" s="34"/>
      <c r="F34" s="2"/>
      <c r="G34" s="32" t="s">
        <v>18</v>
      </c>
      <c r="H34" s="29">
        <v>44078</v>
      </c>
      <c r="I34" s="33"/>
      <c r="J34" s="33"/>
      <c r="K34" s="34"/>
      <c r="L34" s="13"/>
      <c r="M34" s="32" t="s">
        <v>18</v>
      </c>
      <c r="N34" s="29">
        <v>44078</v>
      </c>
      <c r="O34" s="33"/>
      <c r="P34" s="33"/>
      <c r="Q34" s="34"/>
      <c r="R34" s="13"/>
      <c r="S34" s="13"/>
      <c r="T34" s="31"/>
      <c r="U34" s="31"/>
      <c r="V34" s="31"/>
    </row>
    <row r="35" spans="1:22" ht="18.75" x14ac:dyDescent="0.3">
      <c r="A35" s="32" t="s">
        <v>14</v>
      </c>
      <c r="B35" s="39">
        <v>1.25E-3</v>
      </c>
      <c r="C35" s="33"/>
      <c r="D35" s="33"/>
      <c r="E35" s="34"/>
      <c r="F35" s="2"/>
      <c r="G35" s="32" t="s">
        <v>14</v>
      </c>
      <c r="H35" s="39">
        <v>1.25E-3</v>
      </c>
      <c r="I35" s="33"/>
      <c r="J35" s="33"/>
      <c r="K35" s="34"/>
      <c r="L35" s="13"/>
      <c r="M35" s="32" t="s">
        <v>14</v>
      </c>
      <c r="N35" s="39">
        <v>1.25E-3</v>
      </c>
      <c r="O35" s="33"/>
      <c r="P35" s="33"/>
      <c r="Q35" s="34"/>
      <c r="R35" s="13"/>
      <c r="S35" s="13"/>
      <c r="T35" s="31"/>
      <c r="U35" s="31"/>
      <c r="V35" s="31"/>
    </row>
    <row r="36" spans="1:22" ht="18.75" x14ac:dyDescent="0.3">
      <c r="A36" s="32" t="s">
        <v>16</v>
      </c>
      <c r="B36" s="26">
        <v>100</v>
      </c>
      <c r="C36" s="33"/>
      <c r="D36" s="33"/>
      <c r="E36" s="34"/>
      <c r="F36" s="2"/>
      <c r="G36" s="32" t="s">
        <v>16</v>
      </c>
      <c r="H36" s="26">
        <v>100</v>
      </c>
      <c r="I36" s="33"/>
      <c r="J36" s="33"/>
      <c r="K36" s="34"/>
      <c r="L36" s="13"/>
      <c r="M36" s="32" t="s">
        <v>16</v>
      </c>
      <c r="N36" s="26">
        <v>100</v>
      </c>
      <c r="O36" s="33"/>
      <c r="P36" s="33"/>
      <c r="Q36" s="34"/>
      <c r="R36" s="13"/>
      <c r="S36" s="13"/>
      <c r="T36" s="31"/>
      <c r="U36" s="31"/>
      <c r="V36" s="31"/>
    </row>
    <row r="37" spans="1:22" ht="18.75" x14ac:dyDescent="0.3">
      <c r="A37" s="32" t="s">
        <v>17</v>
      </c>
      <c r="B37" s="58">
        <f ca="1">B35*DAYS360(B34,TODAY())/360*100</f>
        <v>0.11805555555555555</v>
      </c>
      <c r="C37" s="33"/>
      <c r="D37" s="33"/>
      <c r="E37" s="34"/>
      <c r="F37" s="2"/>
      <c r="G37" s="32" t="s">
        <v>17</v>
      </c>
      <c r="H37" s="58">
        <f ca="1">H35*DAYS360(H34,TODAY())/360*100</f>
        <v>0.11805555555555555</v>
      </c>
      <c r="I37" s="33"/>
      <c r="J37" s="33"/>
      <c r="K37" s="34"/>
      <c r="L37" s="13"/>
      <c r="M37" s="32" t="s">
        <v>17</v>
      </c>
      <c r="N37" s="58">
        <f ca="1">N35*DAYS360(N33,TODAY())/360*100</f>
        <v>0.11874999999999999</v>
      </c>
      <c r="O37" s="33"/>
      <c r="P37" s="33"/>
      <c r="Q37" s="34"/>
      <c r="R37" s="13"/>
      <c r="S37" s="13"/>
      <c r="T37" s="31"/>
      <c r="U37" s="31"/>
      <c r="V37" s="31"/>
    </row>
    <row r="38" spans="1:22" ht="19.5" thickBot="1" x14ac:dyDescent="0.35">
      <c r="A38" s="38" t="s">
        <v>15</v>
      </c>
      <c r="B38" s="58">
        <f ca="1">B36+B37</f>
        <v>100.11805555555556</v>
      </c>
      <c r="C38" s="33"/>
      <c r="D38" s="33"/>
      <c r="E38" s="34"/>
      <c r="F38" s="2"/>
      <c r="G38" s="38" t="s">
        <v>15</v>
      </c>
      <c r="H38" s="58">
        <f ca="1">H36+H37</f>
        <v>100.11805555555556</v>
      </c>
      <c r="I38" s="33"/>
      <c r="J38" s="33"/>
      <c r="K38" s="34"/>
      <c r="L38" s="13"/>
      <c r="M38" s="38" t="s">
        <v>15</v>
      </c>
      <c r="N38" s="58">
        <f ca="1">N36+N37</f>
        <v>100.11875000000001</v>
      </c>
      <c r="O38" s="33"/>
      <c r="P38" s="33"/>
      <c r="Q38" s="34"/>
      <c r="R38" s="13"/>
      <c r="S38" s="13"/>
      <c r="T38" s="31"/>
      <c r="U38" s="31"/>
      <c r="V38" s="31"/>
    </row>
    <row r="39" spans="1:22" ht="15.75" thickBot="1" x14ac:dyDescent="0.3">
      <c r="A39" s="7">
        <v>44386</v>
      </c>
      <c r="B39" s="4" t="s">
        <v>4</v>
      </c>
      <c r="C39" s="5">
        <v>0.11</v>
      </c>
      <c r="D39" s="5">
        <v>0</v>
      </c>
      <c r="E39" s="8">
        <v>0.11</v>
      </c>
      <c r="F39" s="2"/>
      <c r="G39" s="7">
        <v>44386</v>
      </c>
      <c r="H39" s="4" t="s">
        <v>4</v>
      </c>
      <c r="I39" s="5">
        <v>0.11</v>
      </c>
      <c r="J39" s="5">
        <v>0</v>
      </c>
      <c r="K39" s="8">
        <v>0.11</v>
      </c>
      <c r="L39" s="13"/>
      <c r="M39" s="7">
        <v>44386</v>
      </c>
      <c r="N39" s="4" t="s">
        <v>4</v>
      </c>
      <c r="O39" s="5">
        <v>0.11</v>
      </c>
      <c r="P39" s="5">
        <v>0</v>
      </c>
      <c r="Q39" s="8">
        <v>0.11</v>
      </c>
      <c r="R39" s="13"/>
      <c r="S39" s="13"/>
      <c r="T39" s="31"/>
      <c r="U39" s="31"/>
      <c r="V39" s="31"/>
    </row>
    <row r="40" spans="1:22" ht="15.75" thickBot="1" x14ac:dyDescent="0.3">
      <c r="A40" s="7">
        <v>44570</v>
      </c>
      <c r="B40" s="4" t="s">
        <v>4</v>
      </c>
      <c r="C40" s="5">
        <v>0.56000000000000005</v>
      </c>
      <c r="D40" s="5">
        <v>0</v>
      </c>
      <c r="E40" s="8">
        <v>0.56000000000000005</v>
      </c>
      <c r="F40" s="2"/>
      <c r="G40" s="7">
        <v>44570</v>
      </c>
      <c r="H40" s="4" t="s">
        <v>4</v>
      </c>
      <c r="I40" s="5">
        <v>1</v>
      </c>
      <c r="J40" s="5">
        <v>0</v>
      </c>
      <c r="K40" s="8">
        <v>1</v>
      </c>
      <c r="L40" s="13"/>
      <c r="M40" s="7">
        <v>44570</v>
      </c>
      <c r="N40" s="4" t="s">
        <v>4</v>
      </c>
      <c r="O40" s="5">
        <v>1.25</v>
      </c>
      <c r="P40" s="5">
        <v>0</v>
      </c>
      <c r="Q40" s="8">
        <v>1.25</v>
      </c>
      <c r="R40" s="13"/>
      <c r="S40" s="13"/>
      <c r="T40" s="31"/>
      <c r="U40" s="31"/>
      <c r="V40" s="31"/>
    </row>
    <row r="41" spans="1:22" ht="15.75" thickBot="1" x14ac:dyDescent="0.3">
      <c r="A41" s="7">
        <v>44751</v>
      </c>
      <c r="B41" s="4" t="s">
        <v>4</v>
      </c>
      <c r="C41" s="5">
        <v>0.56000000000000005</v>
      </c>
      <c r="D41" s="5">
        <v>0</v>
      </c>
      <c r="E41" s="8">
        <v>0.56000000000000005</v>
      </c>
      <c r="F41" s="2"/>
      <c r="G41" s="7">
        <v>44751</v>
      </c>
      <c r="H41" s="4" t="s">
        <v>4</v>
      </c>
      <c r="I41" s="5">
        <v>1</v>
      </c>
      <c r="J41" s="5">
        <v>0</v>
      </c>
      <c r="K41" s="8">
        <v>1</v>
      </c>
      <c r="L41" s="13"/>
      <c r="M41" s="7">
        <v>44751</v>
      </c>
      <c r="N41" s="4" t="s">
        <v>4</v>
      </c>
      <c r="O41" s="5">
        <v>1.25</v>
      </c>
      <c r="P41" s="5">
        <v>0</v>
      </c>
      <c r="Q41" s="8">
        <v>1.25</v>
      </c>
      <c r="R41" s="13"/>
      <c r="S41" s="13"/>
      <c r="T41" s="31"/>
      <c r="U41" s="31"/>
      <c r="V41" s="31"/>
    </row>
    <row r="42" spans="1:22" ht="15.75" thickBot="1" x14ac:dyDescent="0.3">
      <c r="A42" s="7">
        <v>44935</v>
      </c>
      <c r="B42" s="4" t="s">
        <v>4</v>
      </c>
      <c r="C42" s="5">
        <v>0.75</v>
      </c>
      <c r="D42" s="5">
        <v>0</v>
      </c>
      <c r="E42" s="8">
        <v>0.75</v>
      </c>
      <c r="F42" s="2"/>
      <c r="G42" s="7">
        <v>44935</v>
      </c>
      <c r="H42" s="4" t="s">
        <v>4</v>
      </c>
      <c r="I42" s="5">
        <v>1.94</v>
      </c>
      <c r="J42" s="5">
        <v>0</v>
      </c>
      <c r="K42" s="8">
        <v>1.94</v>
      </c>
      <c r="L42" s="13"/>
      <c r="M42" s="7">
        <v>44935</v>
      </c>
      <c r="N42" s="4" t="s">
        <v>4</v>
      </c>
      <c r="O42" s="5">
        <v>1.75</v>
      </c>
      <c r="P42" s="5">
        <v>0</v>
      </c>
      <c r="Q42" s="8">
        <v>1.75</v>
      </c>
      <c r="R42" s="13"/>
      <c r="S42" s="13"/>
      <c r="T42" s="31"/>
      <c r="U42" s="31"/>
      <c r="V42" s="31"/>
    </row>
    <row r="43" spans="1:22" ht="15.75" thickBot="1" x14ac:dyDescent="0.3">
      <c r="A43" s="7">
        <v>45116</v>
      </c>
      <c r="B43" s="4" t="s">
        <v>4</v>
      </c>
      <c r="C43" s="5">
        <v>0.75</v>
      </c>
      <c r="D43" s="5">
        <v>0</v>
      </c>
      <c r="E43" s="8">
        <v>0.75</v>
      </c>
      <c r="F43" s="2"/>
      <c r="G43" s="7">
        <v>45116</v>
      </c>
      <c r="H43" s="4" t="s">
        <v>4</v>
      </c>
      <c r="I43" s="5">
        <v>1.94</v>
      </c>
      <c r="J43" s="5">
        <v>0</v>
      </c>
      <c r="K43" s="8">
        <v>1.94</v>
      </c>
      <c r="L43" s="13"/>
      <c r="M43" s="7">
        <v>45116</v>
      </c>
      <c r="N43" s="4" t="s">
        <v>4</v>
      </c>
      <c r="O43" s="5">
        <v>1.75</v>
      </c>
      <c r="P43" s="5">
        <v>0</v>
      </c>
      <c r="Q43" s="8">
        <v>1.75</v>
      </c>
      <c r="R43" s="13"/>
      <c r="S43" s="13"/>
      <c r="T43" s="31"/>
      <c r="U43" s="31"/>
      <c r="V43" s="31"/>
    </row>
    <row r="44" spans="1:22" ht="15.75" thickBot="1" x14ac:dyDescent="0.3">
      <c r="A44" s="7">
        <v>45300</v>
      </c>
      <c r="B44" s="4" t="s">
        <v>4</v>
      </c>
      <c r="C44" s="5">
        <v>1.81</v>
      </c>
      <c r="D44" s="5">
        <v>0</v>
      </c>
      <c r="E44" s="8">
        <v>1.81</v>
      </c>
      <c r="F44" s="2"/>
      <c r="G44" s="7">
        <v>45300</v>
      </c>
      <c r="H44" s="4" t="s">
        <v>4</v>
      </c>
      <c r="I44" s="5">
        <v>2.12</v>
      </c>
      <c r="J44" s="5">
        <v>0</v>
      </c>
      <c r="K44" s="8">
        <v>2.12</v>
      </c>
      <c r="L44" s="13"/>
      <c r="M44" s="7">
        <v>45300</v>
      </c>
      <c r="N44" s="4" t="s">
        <v>4</v>
      </c>
      <c r="O44" s="5">
        <v>1.75</v>
      </c>
      <c r="P44" s="5">
        <v>0</v>
      </c>
      <c r="Q44" s="8">
        <v>1.75</v>
      </c>
      <c r="R44" s="13"/>
      <c r="S44" s="13"/>
      <c r="T44" s="31"/>
      <c r="U44" s="31"/>
      <c r="V44" s="31"/>
    </row>
    <row r="45" spans="1:22" ht="15.75" thickBot="1" x14ac:dyDescent="0.3">
      <c r="A45" s="7">
        <v>45482</v>
      </c>
      <c r="B45" s="4" t="s">
        <v>4</v>
      </c>
      <c r="C45" s="5">
        <v>1.81</v>
      </c>
      <c r="D45" s="5">
        <v>0</v>
      </c>
      <c r="E45" s="8">
        <v>1.81</v>
      </c>
      <c r="F45" s="2"/>
      <c r="G45" s="7">
        <v>45482</v>
      </c>
      <c r="H45" s="4" t="s">
        <v>4</v>
      </c>
      <c r="I45" s="5">
        <v>2.12</v>
      </c>
      <c r="J45" s="5">
        <v>0</v>
      </c>
      <c r="K45" s="8">
        <v>2.12</v>
      </c>
      <c r="L45" s="13"/>
      <c r="M45" s="7">
        <v>45482</v>
      </c>
      <c r="N45" s="4" t="s">
        <v>4</v>
      </c>
      <c r="O45" s="5">
        <v>1.75</v>
      </c>
      <c r="P45" s="5">
        <v>0</v>
      </c>
      <c r="Q45" s="8">
        <v>1.75</v>
      </c>
      <c r="R45" s="13"/>
      <c r="S45" s="13"/>
      <c r="T45" s="31"/>
      <c r="U45" s="31"/>
      <c r="V45" s="31"/>
    </row>
    <row r="46" spans="1:22" ht="15.75" thickBot="1" x14ac:dyDescent="0.3">
      <c r="A46" s="7">
        <v>45666</v>
      </c>
      <c r="B46" s="4" t="s">
        <v>4</v>
      </c>
      <c r="C46" s="5">
        <v>2.06</v>
      </c>
      <c r="D46" s="5">
        <v>0</v>
      </c>
      <c r="E46" s="8">
        <v>2.06</v>
      </c>
      <c r="F46" s="2"/>
      <c r="G46" s="7">
        <v>45666</v>
      </c>
      <c r="H46" s="4" t="s">
        <v>4</v>
      </c>
      <c r="I46" s="5">
        <v>2.5</v>
      </c>
      <c r="J46" s="5">
        <v>0</v>
      </c>
      <c r="K46" s="8">
        <v>2.5</v>
      </c>
      <c r="L46" s="13"/>
      <c r="M46" s="7">
        <v>45666</v>
      </c>
      <c r="N46" s="4" t="s">
        <v>4</v>
      </c>
      <c r="O46" s="5">
        <v>1.75</v>
      </c>
      <c r="P46" s="5">
        <v>0</v>
      </c>
      <c r="Q46" s="8">
        <v>1.75</v>
      </c>
      <c r="R46" s="13"/>
      <c r="S46" s="13"/>
      <c r="T46" s="31"/>
      <c r="U46" s="31"/>
      <c r="V46" s="31"/>
    </row>
    <row r="47" spans="1:22" ht="15.75" thickBot="1" x14ac:dyDescent="0.3">
      <c r="A47" s="7">
        <v>45847</v>
      </c>
      <c r="B47" s="4" t="s">
        <v>4</v>
      </c>
      <c r="C47" s="5">
        <v>2.06</v>
      </c>
      <c r="D47" s="5">
        <v>0</v>
      </c>
      <c r="E47" s="8">
        <v>2.06</v>
      </c>
      <c r="F47" s="2"/>
      <c r="G47" s="7">
        <v>45847</v>
      </c>
      <c r="H47" s="4" t="s">
        <v>4</v>
      </c>
      <c r="I47" s="5">
        <v>2.5</v>
      </c>
      <c r="J47" s="5">
        <v>0</v>
      </c>
      <c r="K47" s="8">
        <v>2.5</v>
      </c>
      <c r="L47" s="13"/>
      <c r="M47" s="7">
        <v>45847</v>
      </c>
      <c r="N47" s="4" t="s">
        <v>4</v>
      </c>
      <c r="O47" s="5">
        <v>1.75</v>
      </c>
      <c r="P47" s="5">
        <v>0</v>
      </c>
      <c r="Q47" s="8">
        <v>1.75</v>
      </c>
      <c r="R47" s="13"/>
      <c r="S47" s="13"/>
      <c r="T47" s="31"/>
      <c r="U47" s="31"/>
      <c r="V47" s="31"/>
    </row>
    <row r="48" spans="1:22" ht="15.75" thickBot="1" x14ac:dyDescent="0.3">
      <c r="A48" s="7">
        <v>46031</v>
      </c>
      <c r="B48" s="4" t="s">
        <v>4</v>
      </c>
      <c r="C48" s="5">
        <v>2.06</v>
      </c>
      <c r="D48" s="5">
        <v>0</v>
      </c>
      <c r="E48" s="8">
        <v>2.06</v>
      </c>
      <c r="F48" s="2"/>
      <c r="G48" s="7">
        <v>46031</v>
      </c>
      <c r="H48" s="4" t="s">
        <v>4</v>
      </c>
      <c r="I48" s="5">
        <v>2.5</v>
      </c>
      <c r="J48" s="5">
        <v>0</v>
      </c>
      <c r="K48" s="8">
        <v>2.5</v>
      </c>
      <c r="L48" s="13"/>
      <c r="M48" s="7">
        <v>46031</v>
      </c>
      <c r="N48" s="4" t="s">
        <v>4</v>
      </c>
      <c r="O48" s="5">
        <v>1.75</v>
      </c>
      <c r="P48" s="5">
        <v>0</v>
      </c>
      <c r="Q48" s="8">
        <v>1.75</v>
      </c>
      <c r="R48" s="13"/>
      <c r="S48" s="13"/>
      <c r="T48" s="31"/>
      <c r="U48" s="31"/>
      <c r="V48" s="31"/>
    </row>
    <row r="49" spans="1:23" ht="15.75" thickBot="1" x14ac:dyDescent="0.3">
      <c r="A49" s="7">
        <v>46212</v>
      </c>
      <c r="B49" s="4" t="s">
        <v>4</v>
      </c>
      <c r="C49" s="5">
        <v>2.06</v>
      </c>
      <c r="D49" s="5">
        <v>0</v>
      </c>
      <c r="E49" s="8">
        <v>2.06</v>
      </c>
      <c r="F49" s="2"/>
      <c r="G49" s="7">
        <v>46212</v>
      </c>
      <c r="H49" s="4" t="s">
        <v>4</v>
      </c>
      <c r="I49" s="5">
        <v>2.5</v>
      </c>
      <c r="J49" s="5">
        <v>0</v>
      </c>
      <c r="K49" s="8">
        <v>2.5</v>
      </c>
      <c r="L49" s="13"/>
      <c r="M49" s="7">
        <v>46212</v>
      </c>
      <c r="N49" s="4" t="s">
        <v>4</v>
      </c>
      <c r="O49" s="5">
        <v>1.75</v>
      </c>
      <c r="P49" s="5">
        <v>0</v>
      </c>
      <c r="Q49" s="8">
        <v>1.75</v>
      </c>
      <c r="R49" s="13"/>
      <c r="S49" s="13"/>
      <c r="T49" s="31"/>
      <c r="U49" s="31"/>
      <c r="V49" s="31"/>
    </row>
    <row r="50" spans="1:23" ht="15.75" thickBot="1" x14ac:dyDescent="0.3">
      <c r="A50" s="7">
        <v>46396</v>
      </c>
      <c r="B50" s="4" t="s">
        <v>4</v>
      </c>
      <c r="C50" s="5">
        <v>2.06</v>
      </c>
      <c r="D50" s="5">
        <v>0</v>
      </c>
      <c r="E50" s="8">
        <v>2.06</v>
      </c>
      <c r="F50" s="2"/>
      <c r="G50" s="7">
        <v>46396</v>
      </c>
      <c r="H50" s="4" t="s">
        <v>4</v>
      </c>
      <c r="I50" s="5">
        <v>2.5</v>
      </c>
      <c r="J50" s="5">
        <v>0</v>
      </c>
      <c r="K50" s="8">
        <v>2.5</v>
      </c>
      <c r="L50" s="13"/>
      <c r="M50" s="7">
        <v>46396</v>
      </c>
      <c r="N50" s="4" t="s">
        <v>4</v>
      </c>
      <c r="O50" s="5">
        <v>1.75</v>
      </c>
      <c r="P50" s="5">
        <v>0</v>
      </c>
      <c r="Q50" s="8">
        <v>1.75</v>
      </c>
      <c r="R50" s="13"/>
      <c r="S50" s="13"/>
      <c r="T50" s="31"/>
      <c r="U50" s="31"/>
      <c r="V50" s="31"/>
    </row>
    <row r="51" spans="1:23" ht="15.75" thickBot="1" x14ac:dyDescent="0.3">
      <c r="A51" s="7">
        <v>46577</v>
      </c>
      <c r="B51" s="4" t="s">
        <v>4</v>
      </c>
      <c r="C51" s="5">
        <v>2.06</v>
      </c>
      <c r="D51" s="5">
        <v>0</v>
      </c>
      <c r="E51" s="8">
        <v>2.06</v>
      </c>
      <c r="F51" s="2"/>
      <c r="G51" s="7">
        <v>46577</v>
      </c>
      <c r="H51" s="4" t="s">
        <v>4</v>
      </c>
      <c r="I51" s="5">
        <v>2.5</v>
      </c>
      <c r="J51" s="5">
        <v>4.55</v>
      </c>
      <c r="K51" s="8">
        <v>7.05</v>
      </c>
      <c r="L51" s="13"/>
      <c r="M51" s="7">
        <v>46577</v>
      </c>
      <c r="N51" s="4" t="s">
        <v>4</v>
      </c>
      <c r="O51" s="5">
        <v>1.75</v>
      </c>
      <c r="P51" s="5">
        <v>0</v>
      </c>
      <c r="Q51" s="8">
        <v>1.75</v>
      </c>
      <c r="R51" s="13"/>
      <c r="S51" s="13"/>
      <c r="T51" s="31"/>
      <c r="U51" s="31"/>
      <c r="V51" s="31"/>
    </row>
    <row r="52" spans="1:23" ht="15.75" thickBot="1" x14ac:dyDescent="0.3">
      <c r="A52" s="7">
        <v>46761</v>
      </c>
      <c r="B52" s="4" t="s">
        <v>4</v>
      </c>
      <c r="C52" s="5">
        <v>2.38</v>
      </c>
      <c r="D52" s="5">
        <v>0</v>
      </c>
      <c r="E52" s="8">
        <v>2.38</v>
      </c>
      <c r="F52" s="2"/>
      <c r="G52" s="7">
        <v>46761</v>
      </c>
      <c r="H52" s="4" t="s">
        <v>4</v>
      </c>
      <c r="I52" s="5">
        <v>2.39</v>
      </c>
      <c r="J52" s="5">
        <v>4.55</v>
      </c>
      <c r="K52" s="8">
        <v>6.94</v>
      </c>
      <c r="L52" s="13"/>
      <c r="M52" s="7">
        <v>46761</v>
      </c>
      <c r="N52" s="4" t="s">
        <v>4</v>
      </c>
      <c r="O52" s="5">
        <v>1.75</v>
      </c>
      <c r="P52" s="5">
        <v>3.57</v>
      </c>
      <c r="Q52" s="8">
        <v>5.32</v>
      </c>
      <c r="R52" s="13"/>
      <c r="S52" s="13"/>
      <c r="T52" s="31"/>
      <c r="U52" s="31"/>
      <c r="V52" s="31"/>
    </row>
    <row r="53" spans="1:23" ht="15.75" thickBot="1" x14ac:dyDescent="0.3">
      <c r="A53" s="7">
        <v>46943</v>
      </c>
      <c r="B53" s="4" t="s">
        <v>4</v>
      </c>
      <c r="C53" s="5">
        <v>2.38</v>
      </c>
      <c r="D53" s="5">
        <v>0</v>
      </c>
      <c r="E53" s="8">
        <v>2.38</v>
      </c>
      <c r="F53" s="2"/>
      <c r="G53" s="7">
        <v>46943</v>
      </c>
      <c r="H53" s="4" t="s">
        <v>4</v>
      </c>
      <c r="I53" s="5">
        <v>2.27</v>
      </c>
      <c r="J53" s="5">
        <v>4.55</v>
      </c>
      <c r="K53" s="8">
        <v>6.82</v>
      </c>
      <c r="L53" s="13"/>
      <c r="M53" s="7">
        <v>46943</v>
      </c>
      <c r="N53" s="4" t="s">
        <v>4</v>
      </c>
      <c r="O53" s="5">
        <v>1.69</v>
      </c>
      <c r="P53" s="5">
        <v>3.57</v>
      </c>
      <c r="Q53" s="8">
        <v>5.26</v>
      </c>
      <c r="R53" s="13"/>
      <c r="S53" s="13"/>
      <c r="T53" s="31"/>
      <c r="U53" s="31"/>
      <c r="V53" s="31"/>
    </row>
    <row r="54" spans="1:23" ht="15.75" thickBot="1" x14ac:dyDescent="0.3">
      <c r="A54" s="7">
        <v>47127</v>
      </c>
      <c r="B54" s="4" t="s">
        <v>4</v>
      </c>
      <c r="C54" s="5">
        <v>2.5</v>
      </c>
      <c r="D54" s="5">
        <v>0</v>
      </c>
      <c r="E54" s="8">
        <v>2.5</v>
      </c>
      <c r="F54" s="2"/>
      <c r="G54" s="7">
        <v>47127</v>
      </c>
      <c r="H54" s="4" t="s">
        <v>4</v>
      </c>
      <c r="I54" s="5">
        <v>2.16</v>
      </c>
      <c r="J54" s="5">
        <v>4.55</v>
      </c>
      <c r="K54" s="8">
        <v>6.71</v>
      </c>
      <c r="L54" s="13"/>
      <c r="M54" s="7">
        <v>47127</v>
      </c>
      <c r="N54" s="4" t="s">
        <v>4</v>
      </c>
      <c r="O54" s="5">
        <v>1.63</v>
      </c>
      <c r="P54" s="5">
        <v>3.57</v>
      </c>
      <c r="Q54" s="8">
        <v>5.2</v>
      </c>
      <c r="R54" s="13"/>
      <c r="S54" s="13"/>
      <c r="T54" s="31"/>
      <c r="U54" s="31"/>
      <c r="V54" s="31"/>
    </row>
    <row r="55" spans="1:23" ht="15.75" thickBot="1" x14ac:dyDescent="0.3">
      <c r="A55" s="7">
        <v>47308</v>
      </c>
      <c r="B55" s="4" t="s">
        <v>4</v>
      </c>
      <c r="C55" s="5">
        <v>2.5</v>
      </c>
      <c r="D55" s="5">
        <v>0</v>
      </c>
      <c r="E55" s="8">
        <v>2.5</v>
      </c>
      <c r="F55" s="2"/>
      <c r="G55" s="7">
        <v>47308</v>
      </c>
      <c r="H55" s="4" t="s">
        <v>4</v>
      </c>
      <c r="I55" s="5">
        <v>2.0499999999999998</v>
      </c>
      <c r="J55" s="5">
        <v>4.55</v>
      </c>
      <c r="K55" s="8">
        <v>6.6</v>
      </c>
      <c r="L55" s="13"/>
      <c r="M55" s="7">
        <v>47308</v>
      </c>
      <c r="N55" s="4" t="s">
        <v>4</v>
      </c>
      <c r="O55" s="5">
        <v>1.56</v>
      </c>
      <c r="P55" s="5">
        <v>3.57</v>
      </c>
      <c r="Q55" s="8">
        <v>5.13</v>
      </c>
      <c r="R55" s="13"/>
      <c r="S55" s="13"/>
      <c r="T55" s="31"/>
      <c r="U55" s="31"/>
      <c r="V55" s="31"/>
    </row>
    <row r="56" spans="1:23" ht="15.75" thickBot="1" x14ac:dyDescent="0.3">
      <c r="A56" s="7">
        <v>47492</v>
      </c>
      <c r="B56" s="4" t="s">
        <v>4</v>
      </c>
      <c r="C56" s="5">
        <v>2.5</v>
      </c>
      <c r="D56" s="5">
        <v>0</v>
      </c>
      <c r="E56" s="8">
        <v>2.5</v>
      </c>
      <c r="F56" s="2"/>
      <c r="G56" s="7">
        <v>47492</v>
      </c>
      <c r="H56" s="4" t="s">
        <v>4</v>
      </c>
      <c r="I56" s="5">
        <v>1.93</v>
      </c>
      <c r="J56" s="5">
        <v>4.55</v>
      </c>
      <c r="K56" s="8">
        <v>6.48</v>
      </c>
      <c r="L56" s="13"/>
      <c r="M56" s="7">
        <v>47492</v>
      </c>
      <c r="N56" s="4" t="s">
        <v>4</v>
      </c>
      <c r="O56" s="5">
        <v>2.09</v>
      </c>
      <c r="P56" s="5">
        <v>3.57</v>
      </c>
      <c r="Q56" s="8">
        <v>5.66</v>
      </c>
      <c r="R56" s="13"/>
      <c r="S56" s="13"/>
      <c r="T56" s="31"/>
      <c r="U56" s="31"/>
      <c r="V56" s="31"/>
    </row>
    <row r="57" spans="1:23" ht="15.75" thickBot="1" x14ac:dyDescent="0.3">
      <c r="A57" s="7">
        <v>47673</v>
      </c>
      <c r="B57" s="4" t="s">
        <v>4</v>
      </c>
      <c r="C57" s="5">
        <v>2.5</v>
      </c>
      <c r="D57" s="5">
        <v>0</v>
      </c>
      <c r="E57" s="8">
        <v>2.5</v>
      </c>
      <c r="F57" s="2"/>
      <c r="G57" s="7">
        <v>47673</v>
      </c>
      <c r="H57" s="4" t="s">
        <v>4</v>
      </c>
      <c r="I57" s="5">
        <v>1.82</v>
      </c>
      <c r="J57" s="5">
        <v>4.55</v>
      </c>
      <c r="K57" s="8">
        <v>6.37</v>
      </c>
      <c r="L57" s="13"/>
      <c r="M57" s="7">
        <v>47673</v>
      </c>
      <c r="N57" s="4" t="s">
        <v>4</v>
      </c>
      <c r="O57" s="5">
        <v>2</v>
      </c>
      <c r="P57" s="5">
        <v>3.57</v>
      </c>
      <c r="Q57" s="8">
        <v>5.57</v>
      </c>
      <c r="R57" s="13"/>
      <c r="S57" s="13"/>
      <c r="T57" s="31"/>
      <c r="U57" s="31"/>
      <c r="V57" s="31"/>
    </row>
    <row r="58" spans="1:23" ht="15.75" thickBot="1" x14ac:dyDescent="0.3">
      <c r="A58" s="7">
        <v>47857</v>
      </c>
      <c r="B58" s="4" t="s">
        <v>4</v>
      </c>
      <c r="C58" s="5">
        <v>2.5</v>
      </c>
      <c r="D58" s="5">
        <v>10</v>
      </c>
      <c r="E58" s="8">
        <v>12.5</v>
      </c>
      <c r="F58" s="2"/>
      <c r="G58" s="7">
        <v>47857</v>
      </c>
      <c r="H58" s="4" t="s">
        <v>4</v>
      </c>
      <c r="I58" s="5">
        <v>1.7</v>
      </c>
      <c r="J58" s="5">
        <v>4.55</v>
      </c>
      <c r="K58" s="8">
        <v>6.25</v>
      </c>
      <c r="L58" s="13"/>
      <c r="M58" s="7">
        <v>47857</v>
      </c>
      <c r="N58" s="4" t="s">
        <v>4</v>
      </c>
      <c r="O58" s="5">
        <v>1.92</v>
      </c>
      <c r="P58" s="5">
        <v>3.57</v>
      </c>
      <c r="Q58" s="8">
        <v>5.49</v>
      </c>
      <c r="R58" s="13"/>
      <c r="S58" s="13"/>
      <c r="T58" s="31"/>
      <c r="U58" s="31"/>
      <c r="V58" s="31"/>
    </row>
    <row r="59" spans="1:23" ht="15.75" thickBot="1" x14ac:dyDescent="0.3">
      <c r="A59" s="7">
        <v>48038</v>
      </c>
      <c r="B59" s="4" t="s">
        <v>4</v>
      </c>
      <c r="C59" s="5">
        <v>2.25</v>
      </c>
      <c r="D59" s="5">
        <v>10</v>
      </c>
      <c r="E59" s="8">
        <v>12.25</v>
      </c>
      <c r="F59" s="2"/>
      <c r="G59" s="7">
        <v>48038</v>
      </c>
      <c r="H59" s="4" t="s">
        <v>4</v>
      </c>
      <c r="I59" s="5">
        <v>1.59</v>
      </c>
      <c r="J59" s="5">
        <v>4.55</v>
      </c>
      <c r="K59" s="8">
        <v>6.14</v>
      </c>
      <c r="L59" s="13"/>
      <c r="M59" s="7">
        <v>48038</v>
      </c>
      <c r="N59" s="4" t="s">
        <v>4</v>
      </c>
      <c r="O59" s="5">
        <v>1.83</v>
      </c>
      <c r="P59" s="5">
        <v>3.57</v>
      </c>
      <c r="Q59" s="8">
        <v>5.4</v>
      </c>
      <c r="R59" s="13"/>
      <c r="S59" s="13"/>
      <c r="T59" s="31"/>
      <c r="U59" s="31"/>
      <c r="V59" s="31"/>
    </row>
    <row r="60" spans="1:23" ht="15.75" thickBot="1" x14ac:dyDescent="0.3">
      <c r="A60" s="7">
        <v>48222</v>
      </c>
      <c r="B60" s="4" t="s">
        <v>4</v>
      </c>
      <c r="C60" s="5">
        <v>2</v>
      </c>
      <c r="D60" s="5">
        <v>10</v>
      </c>
      <c r="E60" s="8">
        <v>12</v>
      </c>
      <c r="F60" s="2"/>
      <c r="G60" s="7">
        <v>48222</v>
      </c>
      <c r="H60" s="4" t="s">
        <v>4</v>
      </c>
      <c r="I60" s="5">
        <v>1.48</v>
      </c>
      <c r="J60" s="5">
        <v>4.55</v>
      </c>
      <c r="K60" s="8">
        <v>6.03</v>
      </c>
      <c r="L60" s="2"/>
      <c r="M60" s="7">
        <v>48222</v>
      </c>
      <c r="N60" s="4" t="s">
        <v>4</v>
      </c>
      <c r="O60" s="5">
        <v>1.74</v>
      </c>
      <c r="P60" s="5">
        <v>3.57</v>
      </c>
      <c r="Q60" s="8">
        <v>5.31</v>
      </c>
      <c r="S60" s="13"/>
      <c r="T60" s="13"/>
      <c r="U60" s="31"/>
      <c r="V60" s="31"/>
      <c r="W60" s="31"/>
    </row>
    <row r="61" spans="1:23" ht="15.75" thickBot="1" x14ac:dyDescent="0.3">
      <c r="A61" s="7">
        <v>48404</v>
      </c>
      <c r="B61" s="4" t="s">
        <v>4</v>
      </c>
      <c r="C61" s="5">
        <v>1.75</v>
      </c>
      <c r="D61" s="5">
        <v>10</v>
      </c>
      <c r="E61" s="8">
        <v>11.75</v>
      </c>
      <c r="F61" s="2"/>
      <c r="G61" s="7">
        <v>48404</v>
      </c>
      <c r="H61" s="4" t="s">
        <v>4</v>
      </c>
      <c r="I61" s="5">
        <v>1.36</v>
      </c>
      <c r="J61" s="5">
        <v>4.55</v>
      </c>
      <c r="K61" s="8">
        <v>5.91</v>
      </c>
      <c r="L61" s="2"/>
      <c r="M61" s="7">
        <v>48404</v>
      </c>
      <c r="N61" s="4" t="s">
        <v>4</v>
      </c>
      <c r="O61" s="5">
        <v>1.65</v>
      </c>
      <c r="P61" s="5">
        <v>3.57</v>
      </c>
      <c r="Q61" s="8">
        <v>5.22</v>
      </c>
      <c r="S61" s="13"/>
      <c r="T61" s="13"/>
      <c r="U61" s="31"/>
      <c r="V61" s="31"/>
      <c r="W61" s="31"/>
    </row>
    <row r="62" spans="1:23" ht="15.75" thickBot="1" x14ac:dyDescent="0.3">
      <c r="A62" s="7">
        <v>48588</v>
      </c>
      <c r="B62" s="4" t="s">
        <v>4</v>
      </c>
      <c r="C62" s="5">
        <v>1.5</v>
      </c>
      <c r="D62" s="5">
        <v>10</v>
      </c>
      <c r="E62" s="8">
        <v>11.5</v>
      </c>
      <c r="F62" s="2"/>
      <c r="G62" s="7">
        <v>48588</v>
      </c>
      <c r="H62" s="4" t="s">
        <v>4</v>
      </c>
      <c r="I62" s="5">
        <v>1.25</v>
      </c>
      <c r="J62" s="5">
        <v>4.55</v>
      </c>
      <c r="K62" s="8">
        <v>5.8</v>
      </c>
      <c r="L62" s="2"/>
      <c r="M62" s="7">
        <v>48588</v>
      </c>
      <c r="N62" s="4" t="s">
        <v>4</v>
      </c>
      <c r="O62" s="5">
        <v>1.57</v>
      </c>
      <c r="P62" s="5">
        <v>3.57</v>
      </c>
      <c r="Q62" s="8">
        <v>5.14</v>
      </c>
      <c r="S62" s="13"/>
      <c r="T62" s="13"/>
      <c r="U62" s="31"/>
      <c r="V62" s="31"/>
      <c r="W62" s="31"/>
    </row>
    <row r="63" spans="1:23" ht="15.75" thickBot="1" x14ac:dyDescent="0.3">
      <c r="A63" s="7">
        <v>48769</v>
      </c>
      <c r="B63" s="4" t="s">
        <v>4</v>
      </c>
      <c r="C63" s="5">
        <v>1.25</v>
      </c>
      <c r="D63" s="5">
        <v>10</v>
      </c>
      <c r="E63" s="8">
        <v>11.25</v>
      </c>
      <c r="F63" s="2"/>
      <c r="G63" s="7">
        <v>48769</v>
      </c>
      <c r="H63" s="4" t="s">
        <v>4</v>
      </c>
      <c r="I63" s="5">
        <v>1.1399999999999999</v>
      </c>
      <c r="J63" s="5">
        <v>4.55</v>
      </c>
      <c r="K63" s="8">
        <v>5.69</v>
      </c>
      <c r="L63" s="2"/>
      <c r="M63" s="7">
        <v>48769</v>
      </c>
      <c r="N63" s="4" t="s">
        <v>4</v>
      </c>
      <c r="O63" s="5">
        <v>1.48</v>
      </c>
      <c r="P63" s="5">
        <v>3.57</v>
      </c>
      <c r="Q63" s="8">
        <v>5.05</v>
      </c>
      <c r="S63" s="13"/>
      <c r="T63" s="13"/>
      <c r="U63" s="31"/>
      <c r="V63" s="31"/>
      <c r="W63" s="31"/>
    </row>
    <row r="64" spans="1:23" ht="15.75" thickBot="1" x14ac:dyDescent="0.3">
      <c r="A64" s="7">
        <v>48953</v>
      </c>
      <c r="B64" s="4" t="s">
        <v>4</v>
      </c>
      <c r="C64" s="5">
        <v>1</v>
      </c>
      <c r="D64" s="5">
        <v>10</v>
      </c>
      <c r="E64" s="8">
        <v>11</v>
      </c>
      <c r="F64" s="2"/>
      <c r="G64" s="7">
        <v>48953</v>
      </c>
      <c r="H64" s="4" t="s">
        <v>4</v>
      </c>
      <c r="I64" s="5">
        <v>1.02</v>
      </c>
      <c r="J64" s="5">
        <v>4.55</v>
      </c>
      <c r="K64" s="8">
        <v>5.57</v>
      </c>
      <c r="L64" s="2"/>
      <c r="M64" s="7">
        <v>48953</v>
      </c>
      <c r="N64" s="4" t="s">
        <v>4</v>
      </c>
      <c r="O64" s="5">
        <v>1.39</v>
      </c>
      <c r="P64" s="5">
        <v>3.57</v>
      </c>
      <c r="Q64" s="8">
        <v>4.96</v>
      </c>
      <c r="S64" s="13"/>
      <c r="T64" s="13"/>
      <c r="U64" s="31"/>
      <c r="V64" s="31"/>
      <c r="W64" s="31"/>
    </row>
    <row r="65" spans="1:23" ht="15.75" thickBot="1" x14ac:dyDescent="0.3">
      <c r="A65" s="7">
        <v>49134</v>
      </c>
      <c r="B65" s="4" t="s">
        <v>4</v>
      </c>
      <c r="C65" s="5">
        <v>0.75</v>
      </c>
      <c r="D65" s="5">
        <v>10</v>
      </c>
      <c r="E65" s="8">
        <v>10.75</v>
      </c>
      <c r="F65" s="2"/>
      <c r="G65" s="7">
        <v>49134</v>
      </c>
      <c r="H65" s="4" t="s">
        <v>4</v>
      </c>
      <c r="I65" s="5">
        <v>0.91</v>
      </c>
      <c r="J65" s="5">
        <v>4.55</v>
      </c>
      <c r="K65" s="8">
        <v>5.46</v>
      </c>
      <c r="L65" s="2"/>
      <c r="M65" s="7">
        <v>49134</v>
      </c>
      <c r="N65" s="4" t="s">
        <v>4</v>
      </c>
      <c r="O65" s="5">
        <v>1.31</v>
      </c>
      <c r="P65" s="5">
        <v>3.57</v>
      </c>
      <c r="Q65" s="8">
        <v>4.88</v>
      </c>
      <c r="S65" s="13"/>
      <c r="T65" s="13"/>
      <c r="U65" s="31"/>
      <c r="V65" s="31"/>
      <c r="W65" s="31"/>
    </row>
    <row r="66" spans="1:23" ht="15.75" thickBot="1" x14ac:dyDescent="0.3">
      <c r="A66" s="7">
        <v>49318</v>
      </c>
      <c r="B66" s="4" t="s">
        <v>4</v>
      </c>
      <c r="C66" s="5">
        <v>0.5</v>
      </c>
      <c r="D66" s="5">
        <v>10</v>
      </c>
      <c r="E66" s="8">
        <v>10.5</v>
      </c>
      <c r="F66" s="2"/>
      <c r="G66" s="7">
        <v>49318</v>
      </c>
      <c r="H66" s="4" t="s">
        <v>4</v>
      </c>
      <c r="I66" s="5">
        <v>0.8</v>
      </c>
      <c r="J66" s="5">
        <v>4.55</v>
      </c>
      <c r="K66" s="8">
        <v>5.35</v>
      </c>
      <c r="L66" s="2"/>
      <c r="M66" s="7">
        <v>49318</v>
      </c>
      <c r="N66" s="4" t="s">
        <v>4</v>
      </c>
      <c r="O66" s="5">
        <v>1.22</v>
      </c>
      <c r="P66" s="5">
        <v>3.57</v>
      </c>
      <c r="Q66" s="8">
        <v>4.79</v>
      </c>
      <c r="S66" s="13"/>
      <c r="T66" s="13"/>
      <c r="U66" s="31"/>
      <c r="V66" s="31"/>
      <c r="W66" s="31"/>
    </row>
    <row r="67" spans="1:23" ht="15.75" thickBot="1" x14ac:dyDescent="0.3">
      <c r="A67" s="7">
        <v>49499</v>
      </c>
      <c r="B67" s="4" t="s">
        <v>4</v>
      </c>
      <c r="C67" s="5">
        <v>0.25</v>
      </c>
      <c r="D67" s="5">
        <v>10</v>
      </c>
      <c r="E67" s="8">
        <v>10.25</v>
      </c>
      <c r="F67" s="2"/>
      <c r="G67" s="7">
        <v>49499</v>
      </c>
      <c r="H67" s="4" t="s">
        <v>4</v>
      </c>
      <c r="I67" s="5">
        <v>0.68</v>
      </c>
      <c r="J67" s="5">
        <v>4.55</v>
      </c>
      <c r="K67" s="8">
        <v>5.23</v>
      </c>
      <c r="L67" s="2"/>
      <c r="M67" s="7">
        <v>49499</v>
      </c>
      <c r="N67" s="4" t="s">
        <v>4</v>
      </c>
      <c r="O67" s="5">
        <v>1.1299999999999999</v>
      </c>
      <c r="P67" s="5">
        <v>3.57</v>
      </c>
      <c r="Q67" s="8">
        <v>4.7</v>
      </c>
      <c r="S67" s="13"/>
      <c r="T67" s="13"/>
      <c r="U67" s="31"/>
      <c r="V67" s="31"/>
      <c r="W67" s="31"/>
    </row>
    <row r="68" spans="1:23" ht="15.75" thickBot="1" x14ac:dyDescent="0.3">
      <c r="A68" s="9"/>
      <c r="B68" s="10"/>
      <c r="C68" s="11">
        <f>SUM(C39:C67)</f>
        <v>47.22</v>
      </c>
      <c r="D68" s="11">
        <f>SUM(D39:D67)</f>
        <v>100</v>
      </c>
      <c r="E68" s="12">
        <f>SUM(E39:E67)</f>
        <v>147.22</v>
      </c>
      <c r="F68" s="2"/>
      <c r="G68" s="7">
        <v>49683</v>
      </c>
      <c r="H68" s="4" t="s">
        <v>4</v>
      </c>
      <c r="I68" s="5">
        <v>0.56999999999999995</v>
      </c>
      <c r="J68" s="5">
        <v>4.55</v>
      </c>
      <c r="K68" s="8">
        <v>5.12</v>
      </c>
      <c r="L68" s="2"/>
      <c r="M68" s="7">
        <v>49683</v>
      </c>
      <c r="N68" s="4" t="s">
        <v>4</v>
      </c>
      <c r="O68" s="5">
        <v>1.04</v>
      </c>
      <c r="P68" s="5">
        <v>3.57</v>
      </c>
      <c r="Q68" s="8">
        <v>4.6100000000000003</v>
      </c>
      <c r="S68" s="13"/>
      <c r="T68" s="13"/>
      <c r="U68" s="31"/>
      <c r="V68" s="31"/>
      <c r="W68" s="31"/>
    </row>
    <row r="69" spans="1:23" ht="15.75" thickBot="1" x14ac:dyDescent="0.3">
      <c r="B69" s="2"/>
      <c r="F69" s="2"/>
      <c r="G69" s="7">
        <v>49865</v>
      </c>
      <c r="H69" s="4" t="s">
        <v>4</v>
      </c>
      <c r="I69" s="5">
        <v>0.45</v>
      </c>
      <c r="J69" s="5">
        <v>4.55</v>
      </c>
      <c r="K69" s="8">
        <v>5</v>
      </c>
      <c r="L69" s="2"/>
      <c r="M69" s="7">
        <v>49865</v>
      </c>
      <c r="N69" s="4" t="s">
        <v>4</v>
      </c>
      <c r="O69" s="5">
        <v>0.96</v>
      </c>
      <c r="P69" s="5">
        <v>3.57</v>
      </c>
      <c r="Q69" s="8">
        <v>4.53</v>
      </c>
      <c r="S69" s="13"/>
      <c r="T69" s="13"/>
      <c r="U69" s="31"/>
      <c r="V69" s="31"/>
      <c r="W69" s="31"/>
    </row>
    <row r="70" spans="1:23" ht="15.75" thickBot="1" x14ac:dyDescent="0.3">
      <c r="B70" s="2"/>
      <c r="F70" s="2"/>
      <c r="G70" s="7">
        <v>50049</v>
      </c>
      <c r="H70" s="4" t="s">
        <v>4</v>
      </c>
      <c r="I70" s="5">
        <v>0.34</v>
      </c>
      <c r="J70" s="5">
        <v>4.55</v>
      </c>
      <c r="K70" s="8">
        <v>4.8899999999999997</v>
      </c>
      <c r="L70" s="2"/>
      <c r="M70" s="7">
        <v>50049</v>
      </c>
      <c r="N70" s="4" t="s">
        <v>4</v>
      </c>
      <c r="O70" s="5">
        <v>0.87</v>
      </c>
      <c r="P70" s="5">
        <v>3.57</v>
      </c>
      <c r="Q70" s="8">
        <v>4.4400000000000004</v>
      </c>
      <c r="S70" s="13"/>
      <c r="T70" s="13"/>
      <c r="U70" s="31"/>
      <c r="V70" s="31"/>
      <c r="W70" s="31"/>
    </row>
    <row r="71" spans="1:23" ht="15.75" thickBot="1" x14ac:dyDescent="0.3">
      <c r="B71" s="2"/>
      <c r="F71" s="2"/>
      <c r="G71" s="7">
        <v>50230</v>
      </c>
      <c r="H71" s="4" t="s">
        <v>4</v>
      </c>
      <c r="I71" s="5">
        <v>0.23</v>
      </c>
      <c r="J71" s="5">
        <v>4.55</v>
      </c>
      <c r="K71" s="8">
        <v>4.78</v>
      </c>
      <c r="L71" s="2"/>
      <c r="M71" s="7">
        <v>50230</v>
      </c>
      <c r="N71" s="4" t="s">
        <v>4</v>
      </c>
      <c r="O71" s="5">
        <v>0.78</v>
      </c>
      <c r="P71" s="5">
        <v>3.57</v>
      </c>
      <c r="Q71" s="8">
        <v>4.3499999999999996</v>
      </c>
      <c r="S71" s="13"/>
      <c r="T71" s="13"/>
      <c r="U71" s="31"/>
      <c r="V71" s="31"/>
      <c r="W71" s="31"/>
    </row>
    <row r="72" spans="1:23" ht="15.75" thickBot="1" x14ac:dyDescent="0.3">
      <c r="B72" s="2"/>
      <c r="F72" s="2"/>
      <c r="G72" s="7">
        <v>50414</v>
      </c>
      <c r="H72" s="4" t="s">
        <v>4</v>
      </c>
      <c r="I72" s="5">
        <v>0.11</v>
      </c>
      <c r="J72" s="5">
        <v>4.55</v>
      </c>
      <c r="K72" s="8">
        <v>4.66</v>
      </c>
      <c r="L72" s="2"/>
      <c r="M72" s="7">
        <v>50414</v>
      </c>
      <c r="N72" s="4" t="s">
        <v>4</v>
      </c>
      <c r="O72" s="5">
        <v>0.7</v>
      </c>
      <c r="P72" s="5">
        <v>3.57</v>
      </c>
      <c r="Q72" s="8">
        <v>4.2699999999999996</v>
      </c>
      <c r="S72" s="13"/>
      <c r="T72" s="13"/>
      <c r="U72" s="31"/>
      <c r="V72" s="31"/>
      <c r="W72" s="31"/>
    </row>
    <row r="73" spans="1:23" ht="15.75" thickBot="1" x14ac:dyDescent="0.3">
      <c r="B73" s="2"/>
      <c r="F73" s="2"/>
      <c r="G73" s="9"/>
      <c r="H73" s="15"/>
      <c r="I73" s="11">
        <f>SUM(I39:I72)</f>
        <v>51.48</v>
      </c>
      <c r="J73" s="11">
        <f>SUM(J39:J72)</f>
        <v>100.09999999999997</v>
      </c>
      <c r="K73" s="12">
        <f>SUM(K39:K72)</f>
        <v>151.57999999999998</v>
      </c>
      <c r="L73" s="2"/>
      <c r="M73" s="7">
        <v>50595</v>
      </c>
      <c r="N73" s="4" t="s">
        <v>4</v>
      </c>
      <c r="O73" s="5">
        <v>0.61</v>
      </c>
      <c r="P73" s="5">
        <v>3.57</v>
      </c>
      <c r="Q73" s="8">
        <v>4.18</v>
      </c>
      <c r="S73" s="13"/>
      <c r="T73" s="13"/>
      <c r="U73" s="31"/>
      <c r="V73" s="31"/>
      <c r="W73" s="31"/>
    </row>
    <row r="74" spans="1:23" ht="15.75" thickBot="1" x14ac:dyDescent="0.3">
      <c r="B74" s="2"/>
      <c r="F74" s="2"/>
      <c r="L74" s="2"/>
      <c r="M74" s="7">
        <v>50779</v>
      </c>
      <c r="N74" s="4" t="s">
        <v>4</v>
      </c>
      <c r="O74" s="5">
        <v>0.52</v>
      </c>
      <c r="P74" s="5">
        <v>3.57</v>
      </c>
      <c r="Q74" s="8">
        <v>4.09</v>
      </c>
      <c r="S74" s="13"/>
      <c r="T74" s="13"/>
      <c r="U74" s="31"/>
      <c r="V74" s="31"/>
      <c r="W74" s="31"/>
    </row>
    <row r="75" spans="1:23" ht="15.75" thickBot="1" x14ac:dyDescent="0.3">
      <c r="B75" s="2"/>
      <c r="F75" s="2"/>
      <c r="L75" s="2"/>
      <c r="M75" s="7">
        <v>50960</v>
      </c>
      <c r="N75" s="4" t="s">
        <v>4</v>
      </c>
      <c r="O75" s="5">
        <v>0.44</v>
      </c>
      <c r="P75" s="5">
        <v>3.57</v>
      </c>
      <c r="Q75" s="8">
        <v>4.01</v>
      </c>
      <c r="S75" s="13"/>
      <c r="T75" s="13"/>
      <c r="U75" s="31"/>
      <c r="V75" s="31"/>
      <c r="W75" s="31"/>
    </row>
    <row r="76" spans="1:23" ht="15.75" thickBot="1" x14ac:dyDescent="0.3">
      <c r="B76" s="2"/>
      <c r="F76" s="26"/>
      <c r="L76" s="2"/>
      <c r="M76" s="7">
        <v>51144</v>
      </c>
      <c r="N76" s="4" t="s">
        <v>4</v>
      </c>
      <c r="O76" s="5">
        <v>0.35</v>
      </c>
      <c r="P76" s="5">
        <v>3.57</v>
      </c>
      <c r="Q76" s="8">
        <v>3.92</v>
      </c>
    </row>
    <row r="77" spans="1:23" ht="15.75" thickBot="1" x14ac:dyDescent="0.3">
      <c r="B77" s="2"/>
      <c r="F77" s="26"/>
      <c r="L77" s="2"/>
      <c r="M77" s="7">
        <v>51326</v>
      </c>
      <c r="N77" s="4" t="s">
        <v>4</v>
      </c>
      <c r="O77" s="5">
        <v>0.26</v>
      </c>
      <c r="P77" s="5">
        <v>3.57</v>
      </c>
      <c r="Q77" s="8">
        <v>3.83</v>
      </c>
    </row>
    <row r="78" spans="1:23" ht="15.75" thickBot="1" x14ac:dyDescent="0.3">
      <c r="B78" s="2"/>
      <c r="F78" s="26"/>
      <c r="L78" s="2"/>
      <c r="M78" s="7">
        <v>51510</v>
      </c>
      <c r="N78" s="4" t="s">
        <v>4</v>
      </c>
      <c r="O78" s="5">
        <v>0.17</v>
      </c>
      <c r="P78" s="5">
        <v>3.57</v>
      </c>
      <c r="Q78" s="8">
        <v>3.74</v>
      </c>
    </row>
    <row r="79" spans="1:23" ht="15.75" thickBot="1" x14ac:dyDescent="0.3">
      <c r="B79" s="2"/>
      <c r="F79" s="26"/>
      <c r="L79" s="2"/>
      <c r="M79" s="7">
        <v>51691</v>
      </c>
      <c r="N79" s="4" t="s">
        <v>4</v>
      </c>
      <c r="O79" s="5">
        <v>0.09</v>
      </c>
      <c r="P79" s="5">
        <v>3.57</v>
      </c>
      <c r="Q79" s="8">
        <v>3.66</v>
      </c>
    </row>
    <row r="80" spans="1:23" ht="15.75" thickBot="1" x14ac:dyDescent="0.3">
      <c r="B80" s="2"/>
      <c r="F80" s="13"/>
      <c r="M80" s="9"/>
      <c r="N80" s="15"/>
      <c r="O80" s="11">
        <f>SUM(O39:O79)</f>
        <v>52.860000000000007</v>
      </c>
      <c r="P80" s="11">
        <f>SUM(P39:P79)</f>
        <v>99.959999999999923</v>
      </c>
      <c r="Q80" s="12">
        <f>SUM(Q39:Q79)</f>
        <v>152.82</v>
      </c>
    </row>
    <row r="81" spans="1:13" x14ac:dyDescent="0.25">
      <c r="B81" s="2"/>
      <c r="F81" s="13"/>
    </row>
    <row r="82" spans="1:13" x14ac:dyDescent="0.25">
      <c r="B82" s="2"/>
      <c r="F82" s="13"/>
    </row>
    <row r="83" spans="1:13" x14ac:dyDescent="0.25">
      <c r="B83" s="2"/>
      <c r="F83" s="13"/>
    </row>
    <row r="84" spans="1:13" x14ac:dyDescent="0.25">
      <c r="A84" s="13"/>
      <c r="B84" s="26"/>
      <c r="C84" s="13"/>
      <c r="D84" s="13"/>
      <c r="E84" s="13"/>
      <c r="F84" s="13"/>
      <c r="M84" s="2"/>
    </row>
    <row r="85" spans="1:13" x14ac:dyDescent="0.25">
      <c r="A85" s="27"/>
      <c r="B85" s="28"/>
      <c r="C85" s="13"/>
      <c r="D85" s="26"/>
      <c r="E85" s="26"/>
      <c r="F85" s="2"/>
      <c r="G85" s="2"/>
      <c r="H85" s="2"/>
      <c r="I85" s="2"/>
      <c r="J85" s="2"/>
      <c r="K85" s="2"/>
      <c r="L85" s="2"/>
    </row>
    <row r="86" spans="1:13" x14ac:dyDescent="0.25">
      <c r="A86" s="27"/>
      <c r="B86" s="28"/>
      <c r="C86" s="13"/>
      <c r="D86" s="26"/>
      <c r="E86" s="26"/>
      <c r="F86" s="2"/>
      <c r="G86" s="2"/>
      <c r="H86" s="2"/>
      <c r="I86" s="2"/>
      <c r="J86" s="2"/>
      <c r="K86" s="2"/>
      <c r="L86" s="2"/>
    </row>
    <row r="87" spans="1:13" x14ac:dyDescent="0.25">
      <c r="A87" s="27"/>
      <c r="B87" s="28"/>
      <c r="C87" s="13"/>
      <c r="D87" s="26"/>
      <c r="E87" s="26"/>
      <c r="F87" s="2"/>
      <c r="G87" s="2"/>
      <c r="H87" s="2"/>
      <c r="I87" s="2"/>
      <c r="J87" s="2"/>
      <c r="K87" s="2"/>
      <c r="L87" s="2"/>
    </row>
    <row r="88" spans="1:13" x14ac:dyDescent="0.25">
      <c r="A88" s="27"/>
      <c r="B88" s="28"/>
      <c r="C88" s="13"/>
      <c r="D88" s="26"/>
      <c r="E88" s="26"/>
      <c r="F88" s="2"/>
      <c r="G88" s="2"/>
      <c r="H88" s="2"/>
      <c r="I88" s="2"/>
      <c r="J88" s="2"/>
      <c r="K88" s="2"/>
      <c r="L88" s="2"/>
    </row>
    <row r="89" spans="1:13" x14ac:dyDescent="0.25">
      <c r="A89" s="27"/>
      <c r="B89" s="28"/>
      <c r="C89" s="13"/>
      <c r="D89" s="26"/>
      <c r="E89" s="26"/>
      <c r="F89" s="2"/>
      <c r="G89" s="2"/>
      <c r="H89" s="2"/>
      <c r="I89" s="2"/>
      <c r="J89" s="2"/>
      <c r="K89" s="2"/>
      <c r="L89" s="2"/>
    </row>
    <row r="90" spans="1:13" x14ac:dyDescent="0.25">
      <c r="A90" s="1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</row>
    <row r="91" spans="1:13" x14ac:dyDescent="0.25"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</row>
    <row r="92" spans="1:13" x14ac:dyDescent="0.25">
      <c r="B92" s="2"/>
      <c r="F92" s="2"/>
      <c r="G92" s="2"/>
      <c r="H92" s="2"/>
      <c r="I92" s="2"/>
      <c r="J92" s="2"/>
      <c r="K92" s="2"/>
      <c r="L92" s="2"/>
    </row>
    <row r="93" spans="1:13" x14ac:dyDescent="0.25">
      <c r="B93" s="2"/>
      <c r="F93" s="2"/>
      <c r="G93" s="2"/>
      <c r="H93" s="2"/>
      <c r="I93" s="2"/>
      <c r="J93" s="2"/>
      <c r="K93" s="2"/>
      <c r="L93" s="2"/>
    </row>
    <row r="94" spans="1:13" x14ac:dyDescent="0.25">
      <c r="B94" s="2"/>
      <c r="F94" s="2"/>
      <c r="G94" s="2"/>
      <c r="H94" s="2"/>
      <c r="I94" s="2"/>
      <c r="J94" s="2"/>
      <c r="K94" s="2"/>
      <c r="L94" s="2"/>
    </row>
    <row r="95" spans="1:13" x14ac:dyDescent="0.25">
      <c r="B95" s="2"/>
      <c r="F95" s="2"/>
      <c r="G95" s="2"/>
      <c r="H95" s="2"/>
      <c r="I95" s="2"/>
      <c r="J95" s="2"/>
      <c r="K95" s="2"/>
      <c r="L95" s="2"/>
    </row>
    <row r="96" spans="1:13" x14ac:dyDescent="0.25">
      <c r="B96" s="2"/>
      <c r="F96" s="2"/>
      <c r="G96" s="2"/>
      <c r="H96" s="2"/>
      <c r="I96" s="2"/>
      <c r="J96" s="2"/>
      <c r="K96" s="2"/>
      <c r="L96" s="2"/>
    </row>
    <row r="97" spans="2:12" x14ac:dyDescent="0.25">
      <c r="B97" s="2"/>
      <c r="F97" s="2"/>
      <c r="G97" s="2"/>
      <c r="H97" s="2"/>
      <c r="I97" s="2"/>
      <c r="J97" s="2"/>
      <c r="K97" s="2"/>
      <c r="L97" s="2"/>
    </row>
    <row r="98" spans="2:12" x14ac:dyDescent="0.25">
      <c r="B98" s="2"/>
      <c r="F98" s="2"/>
      <c r="G98" s="2"/>
      <c r="H98" s="2"/>
      <c r="I98" s="2"/>
      <c r="J98" s="2"/>
      <c r="K98" s="2"/>
      <c r="L98" s="2"/>
    </row>
    <row r="99" spans="2:12" x14ac:dyDescent="0.25">
      <c r="B99" s="2"/>
      <c r="F99" s="2"/>
      <c r="G99" s="2"/>
      <c r="H99" s="2"/>
      <c r="I99" s="2"/>
      <c r="J99" s="2"/>
      <c r="K99" s="2"/>
      <c r="L99" s="2"/>
    </row>
    <row r="100" spans="2:12" x14ac:dyDescent="0.25">
      <c r="B100" s="2"/>
      <c r="F100" s="2"/>
      <c r="G100" s="2"/>
      <c r="H100" s="2"/>
      <c r="I100" s="2"/>
      <c r="J100" s="2"/>
      <c r="K100" s="2"/>
      <c r="L100" s="2"/>
    </row>
    <row r="101" spans="2:12" x14ac:dyDescent="0.25">
      <c r="B101" s="2"/>
      <c r="F101" s="2"/>
      <c r="G101" s="2"/>
      <c r="H101" s="2"/>
      <c r="I101" s="2"/>
      <c r="J101" s="2"/>
      <c r="K101" s="2"/>
      <c r="L101" s="2"/>
    </row>
    <row r="102" spans="2:12" x14ac:dyDescent="0.25">
      <c r="B102" s="2"/>
      <c r="F102" s="2"/>
      <c r="G102" s="2"/>
      <c r="H102" s="2"/>
      <c r="I102" s="2"/>
      <c r="J102" s="2"/>
      <c r="K102" s="2"/>
      <c r="L102" s="2"/>
    </row>
    <row r="103" spans="2:12" x14ac:dyDescent="0.25">
      <c r="B103" s="2"/>
      <c r="F103" s="2"/>
      <c r="G103" s="2"/>
      <c r="H103" s="2"/>
      <c r="I103" s="2"/>
      <c r="J103" s="2"/>
      <c r="K103" s="2"/>
      <c r="L103" s="2"/>
    </row>
    <row r="104" spans="2:12" x14ac:dyDescent="0.25">
      <c r="B104" s="2"/>
      <c r="F104" s="2"/>
      <c r="G104" s="2"/>
      <c r="H104" s="2"/>
      <c r="I104" s="2"/>
      <c r="J104" s="2"/>
      <c r="K104" s="2"/>
      <c r="L104" s="2"/>
    </row>
    <row r="105" spans="2:12" x14ac:dyDescent="0.25">
      <c r="B105" s="2"/>
      <c r="F105" s="2"/>
      <c r="G105" s="2"/>
      <c r="H105" s="2"/>
      <c r="I105" s="2"/>
      <c r="J105" s="2"/>
      <c r="K105" s="2"/>
      <c r="L105" s="2"/>
    </row>
    <row r="106" spans="2:12" x14ac:dyDescent="0.25">
      <c r="B106" s="2"/>
      <c r="F106" s="2"/>
      <c r="G106" s="2"/>
      <c r="H106" s="2"/>
      <c r="I106" s="2"/>
      <c r="J106" s="2"/>
      <c r="K106" s="2"/>
      <c r="L106" s="2"/>
    </row>
    <row r="107" spans="2:12" x14ac:dyDescent="0.25">
      <c r="B107" s="2"/>
      <c r="F107" s="2"/>
      <c r="G107" s="2"/>
      <c r="H107" s="2"/>
      <c r="I107" s="2"/>
      <c r="J107" s="2"/>
      <c r="K107" s="2"/>
      <c r="L107" s="2"/>
    </row>
    <row r="108" spans="2:12" x14ac:dyDescent="0.25">
      <c r="B108" s="2"/>
    </row>
    <row r="109" spans="2:12" x14ac:dyDescent="0.25">
      <c r="B109" s="2"/>
    </row>
    <row r="110" spans="2:12" x14ac:dyDescent="0.25">
      <c r="B110" s="2"/>
    </row>
    <row r="111" spans="2:12" x14ac:dyDescent="0.25">
      <c r="B111" s="2"/>
    </row>
    <row r="112" spans="2:12" x14ac:dyDescent="0.25">
      <c r="B112" s="2"/>
    </row>
    <row r="113" spans="2:2" x14ac:dyDescent="0.25">
      <c r="B113" s="2"/>
    </row>
    <row r="114" spans="2:2" x14ac:dyDescent="0.25">
      <c r="B114" s="2"/>
    </row>
    <row r="115" spans="2:2" x14ac:dyDescent="0.25">
      <c r="B115" s="2"/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Y115"/>
  <sheetViews>
    <sheetView topLeftCell="A22" workbookViewId="0">
      <selection activeCell="E40" sqref="E40"/>
    </sheetView>
  </sheetViews>
  <sheetFormatPr baseColWidth="10" defaultRowHeight="15" x14ac:dyDescent="0.25"/>
  <cols>
    <col min="1" max="1" width="22.140625" bestFit="1" customWidth="1"/>
    <col min="2" max="2" width="10.7109375" bestFit="1" customWidth="1"/>
    <col min="7" max="7" width="22.140625" bestFit="1" customWidth="1"/>
    <col min="8" max="8" width="11.85546875" bestFit="1" customWidth="1"/>
    <col min="13" max="13" width="22.140625" bestFit="1" customWidth="1"/>
    <col min="14" max="14" width="11.85546875" bestFit="1" customWidth="1"/>
    <col min="15" max="17" width="11.42578125" customWidth="1"/>
    <col min="19" max="19" width="22.140625" bestFit="1" customWidth="1"/>
    <col min="21" max="23" width="11.42578125" customWidth="1"/>
  </cols>
  <sheetData>
    <row r="1" spans="1:25" ht="15.75" thickBot="1" x14ac:dyDescent="0.3">
      <c r="A1" t="s">
        <v>5</v>
      </c>
      <c r="B1" s="6">
        <v>145</v>
      </c>
    </row>
    <row r="2" spans="1:25" ht="19.5" thickBot="1" x14ac:dyDescent="0.35">
      <c r="A2" s="25" t="s">
        <v>11</v>
      </c>
      <c r="B2" s="21"/>
      <c r="C2" s="22" t="s">
        <v>6</v>
      </c>
      <c r="D2" s="22" t="s">
        <v>7</v>
      </c>
      <c r="E2" s="23" t="s">
        <v>8</v>
      </c>
      <c r="F2" s="2"/>
      <c r="G2" s="20" t="s">
        <v>9</v>
      </c>
      <c r="H2" s="21"/>
      <c r="I2" s="22" t="s">
        <v>6</v>
      </c>
      <c r="J2" s="22" t="s">
        <v>7</v>
      </c>
      <c r="K2" s="23" t="s">
        <v>8</v>
      </c>
      <c r="L2" s="2"/>
      <c r="M2" s="20" t="s">
        <v>2</v>
      </c>
      <c r="N2" s="24"/>
      <c r="O2" s="22" t="s">
        <v>6</v>
      </c>
      <c r="P2" s="22" t="s">
        <v>7</v>
      </c>
      <c r="Q2" s="23" t="s">
        <v>8</v>
      </c>
      <c r="S2" s="20" t="s">
        <v>10</v>
      </c>
      <c r="T2" s="24"/>
      <c r="U2" s="22" t="s">
        <v>6</v>
      </c>
      <c r="V2" s="22" t="s">
        <v>7</v>
      </c>
      <c r="W2" s="23" t="s">
        <v>8</v>
      </c>
      <c r="Y2" s="1"/>
    </row>
    <row r="3" spans="1:25" ht="18.75" x14ac:dyDescent="0.3">
      <c r="A3" s="32" t="s">
        <v>12</v>
      </c>
      <c r="B3" s="26">
        <v>1</v>
      </c>
      <c r="C3" s="33"/>
      <c r="D3" s="33"/>
      <c r="E3" s="34"/>
      <c r="F3" s="2"/>
      <c r="G3" s="35" t="s">
        <v>12</v>
      </c>
      <c r="H3" s="26"/>
      <c r="I3" s="33"/>
      <c r="J3" s="33"/>
      <c r="K3" s="34"/>
      <c r="L3" s="2"/>
      <c r="M3" s="35"/>
      <c r="N3" s="13"/>
      <c r="O3" s="33"/>
      <c r="P3" s="33"/>
      <c r="Q3" s="34"/>
      <c r="S3" s="35"/>
      <c r="T3" s="13"/>
      <c r="U3" s="33"/>
      <c r="V3" s="33"/>
      <c r="W3" s="34"/>
    </row>
    <row r="4" spans="1:25" ht="18.75" x14ac:dyDescent="0.3">
      <c r="A4" s="32" t="s">
        <v>13</v>
      </c>
      <c r="B4" s="29">
        <v>44076</v>
      </c>
      <c r="C4" s="33"/>
      <c r="D4" s="33"/>
      <c r="E4" s="34"/>
      <c r="F4" s="2">
        <f>A10-B5</f>
        <v>-44386</v>
      </c>
      <c r="G4" s="32" t="s">
        <v>13</v>
      </c>
      <c r="H4" s="29">
        <v>44076</v>
      </c>
      <c r="I4" s="33"/>
      <c r="J4" s="33"/>
      <c r="K4" s="34"/>
      <c r="L4" s="2"/>
      <c r="M4" s="32" t="s">
        <v>13</v>
      </c>
      <c r="N4" s="29">
        <v>44076</v>
      </c>
      <c r="O4" s="33"/>
      <c r="P4" s="33"/>
      <c r="Q4" s="34"/>
      <c r="S4" s="32" t="s">
        <v>13</v>
      </c>
      <c r="T4" s="29">
        <v>44076</v>
      </c>
      <c r="U4" s="33"/>
      <c r="V4" s="33"/>
      <c r="W4" s="34"/>
    </row>
    <row r="5" spans="1:25" ht="18.75" x14ac:dyDescent="0.3">
      <c r="A5" s="32" t="s">
        <v>18</v>
      </c>
      <c r="B5" s="29">
        <v>44386</v>
      </c>
      <c r="C5" s="33"/>
      <c r="D5" s="31">
        <f>DAYS360(B5,A10)</f>
        <v>-43749</v>
      </c>
      <c r="E5" s="34"/>
      <c r="G5" s="32" t="s">
        <v>18</v>
      </c>
      <c r="H5" s="29">
        <v>44386</v>
      </c>
      <c r="I5" s="33"/>
      <c r="J5" s="33"/>
      <c r="K5" s="34"/>
      <c r="L5" s="2"/>
      <c r="M5" s="32" t="s">
        <v>18</v>
      </c>
      <c r="N5" s="29">
        <v>44386</v>
      </c>
      <c r="O5" s="33"/>
      <c r="P5" s="33"/>
      <c r="Q5" s="34"/>
      <c r="S5" s="32" t="s">
        <v>18</v>
      </c>
      <c r="T5" s="29">
        <v>44076</v>
      </c>
      <c r="U5" s="33"/>
      <c r="V5" s="33"/>
      <c r="W5" s="34"/>
    </row>
    <row r="6" spans="1:25" ht="18.75" x14ac:dyDescent="0.3">
      <c r="A6" s="32" t="s">
        <v>14</v>
      </c>
      <c r="B6" s="30">
        <v>0.01</v>
      </c>
      <c r="C6" s="33"/>
      <c r="D6" s="33"/>
      <c r="E6" s="34"/>
      <c r="F6" s="2">
        <f>DAYS360(B5,A10)</f>
        <v>-43749</v>
      </c>
      <c r="G6" s="32" t="s">
        <v>14</v>
      </c>
      <c r="H6" s="30">
        <v>0.01</v>
      </c>
      <c r="I6" s="33"/>
      <c r="J6" s="33"/>
      <c r="K6" s="34"/>
      <c r="L6" s="2"/>
      <c r="M6" s="32" t="s">
        <v>14</v>
      </c>
      <c r="N6" s="39">
        <v>1.25E-3</v>
      </c>
      <c r="O6" s="33"/>
      <c r="P6" s="33"/>
      <c r="Q6" s="34"/>
      <c r="S6" s="32" t="s">
        <v>14</v>
      </c>
      <c r="T6" s="39">
        <v>1.25E-3</v>
      </c>
      <c r="U6" s="33"/>
      <c r="V6" s="33"/>
      <c r="W6" s="34"/>
      <c r="Y6" s="57"/>
    </row>
    <row r="7" spans="1:25" ht="18.75" x14ac:dyDescent="0.3">
      <c r="A7" s="37" t="s">
        <v>16</v>
      </c>
      <c r="B7" s="26">
        <v>100</v>
      </c>
      <c r="C7" s="33"/>
      <c r="D7" s="33"/>
      <c r="E7" s="34"/>
      <c r="F7" s="2"/>
      <c r="G7" s="32" t="s">
        <v>16</v>
      </c>
      <c r="H7" s="26">
        <v>100</v>
      </c>
      <c r="I7" s="33"/>
      <c r="J7" s="33"/>
      <c r="K7" s="34"/>
      <c r="L7" s="2"/>
      <c r="M7" s="32" t="s">
        <v>16</v>
      </c>
      <c r="N7" s="26">
        <v>100</v>
      </c>
      <c r="O7" s="33"/>
      <c r="P7" s="60"/>
      <c r="Q7" s="34"/>
      <c r="S7" s="32" t="s">
        <v>16</v>
      </c>
      <c r="T7" s="26">
        <v>100</v>
      </c>
      <c r="U7" s="33"/>
      <c r="V7" s="33"/>
      <c r="W7" s="34"/>
    </row>
    <row r="8" spans="1:25" ht="18.75" x14ac:dyDescent="0.3">
      <c r="A8" s="37" t="s">
        <v>17</v>
      </c>
      <c r="B8" s="56">
        <f ca="1">B6*DAYS360(B5,TODAY())/360*100</f>
        <v>9.7222222222222224E-2</v>
      </c>
      <c r="C8" s="33"/>
      <c r="D8" s="60"/>
      <c r="E8" s="34"/>
      <c r="F8" s="59"/>
      <c r="G8" s="32" t="s">
        <v>17</v>
      </c>
      <c r="H8" s="58">
        <f ca="1">H6*DAYS360(H5,TODAY())/360*100</f>
        <v>9.7222222222222224E-2</v>
      </c>
      <c r="I8" s="33"/>
      <c r="J8" s="33"/>
      <c r="K8" s="34"/>
      <c r="L8" s="2"/>
      <c r="M8" s="32" t="s">
        <v>17</v>
      </c>
      <c r="N8" s="58">
        <f ca="1">N6*DAYS360(N5,TODAY())/360*100</f>
        <v>1.2152777777777778E-2</v>
      </c>
      <c r="O8" s="33"/>
      <c r="P8" s="33"/>
      <c r="Q8" s="34"/>
      <c r="S8" s="32" t="s">
        <v>17</v>
      </c>
      <c r="T8" s="58">
        <f ca="1">T6*DAYS360(T5,TODAY())/360*100</f>
        <v>0.11874999999999999</v>
      </c>
      <c r="U8" s="33"/>
      <c r="V8" s="33"/>
      <c r="W8" s="34"/>
    </row>
    <row r="9" spans="1:25" ht="19.5" thickBot="1" x14ac:dyDescent="0.35">
      <c r="A9" s="36" t="s">
        <v>15</v>
      </c>
      <c r="B9" s="58">
        <f ca="1">B7+B8</f>
        <v>100.09722222222223</v>
      </c>
      <c r="C9" s="33"/>
      <c r="D9" s="33"/>
      <c r="E9" s="52">
        <f>-'Paridad usd'!B31</f>
        <v>-35.54</v>
      </c>
      <c r="F9" s="2"/>
      <c r="G9" s="38" t="s">
        <v>15</v>
      </c>
      <c r="H9" s="58">
        <f ca="1">H7+H8</f>
        <v>100.09722222222223</v>
      </c>
      <c r="I9" s="33"/>
      <c r="J9" s="33"/>
      <c r="K9" s="62">
        <f>-'Paridad usd'!D31</f>
        <v>-39.04</v>
      </c>
      <c r="L9" s="2"/>
      <c r="M9" s="38" t="s">
        <v>15</v>
      </c>
      <c r="N9" s="58">
        <f ca="1">N7+N8</f>
        <v>100.01215277777777</v>
      </c>
      <c r="O9" s="33"/>
      <c r="P9" s="33"/>
      <c r="Q9" s="62">
        <f>-'Paridad usd'!F31</f>
        <v>-33.86</v>
      </c>
      <c r="S9" s="38" t="s">
        <v>15</v>
      </c>
      <c r="T9" s="58">
        <f ca="1">T7+T8</f>
        <v>100.11875000000001</v>
      </c>
      <c r="U9" s="33"/>
      <c r="V9" s="33"/>
      <c r="W9" s="34"/>
    </row>
    <row r="10" spans="1:25" ht="15.75" thickBot="1" x14ac:dyDescent="0.3">
      <c r="A10" s="16"/>
      <c r="B10" s="17"/>
      <c r="C10" s="49"/>
      <c r="D10" s="18"/>
      <c r="E10" s="5"/>
      <c r="F10" s="2"/>
      <c r="G10" s="16"/>
      <c r="H10" s="13"/>
      <c r="I10" s="18"/>
      <c r="J10" s="18"/>
      <c r="K10" s="19"/>
      <c r="L10" s="2"/>
      <c r="M10" s="16"/>
      <c r="N10" s="13"/>
      <c r="O10" s="18"/>
      <c r="P10" s="18"/>
      <c r="Q10" s="19"/>
      <c r="S10" s="16">
        <v>44386</v>
      </c>
      <c r="T10" s="13" t="s">
        <v>4</v>
      </c>
      <c r="U10" s="18">
        <v>0.11</v>
      </c>
      <c r="V10" s="18">
        <v>0</v>
      </c>
      <c r="W10" s="19">
        <v>0.11</v>
      </c>
    </row>
    <row r="11" spans="1:25" ht="15.75" thickBot="1" x14ac:dyDescent="0.3">
      <c r="A11" s="7">
        <v>44570</v>
      </c>
      <c r="B11" s="4" t="s">
        <v>4</v>
      </c>
      <c r="C11" s="50">
        <v>0.5</v>
      </c>
      <c r="D11" s="5">
        <v>0</v>
      </c>
      <c r="E11" s="61">
        <v>0.5</v>
      </c>
      <c r="F11" s="2"/>
      <c r="G11" s="7">
        <v>44570</v>
      </c>
      <c r="H11" s="13" t="s">
        <v>4</v>
      </c>
      <c r="I11" s="5">
        <v>0.5</v>
      </c>
      <c r="J11" s="5">
        <v>0</v>
      </c>
      <c r="K11" s="8">
        <v>0.5</v>
      </c>
      <c r="L11" s="2"/>
      <c r="M11" s="7">
        <v>44570</v>
      </c>
      <c r="N11" s="13" t="s">
        <v>4</v>
      </c>
      <c r="O11" s="5">
        <v>0.25</v>
      </c>
      <c r="P11" s="5">
        <v>0</v>
      </c>
      <c r="Q11" s="63">
        <v>0.25</v>
      </c>
      <c r="S11" s="7">
        <v>44570</v>
      </c>
      <c r="T11" s="13" t="s">
        <v>4</v>
      </c>
      <c r="U11" s="5">
        <v>0.25</v>
      </c>
      <c r="V11" s="5">
        <v>0</v>
      </c>
      <c r="W11" s="8">
        <v>0.25</v>
      </c>
    </row>
    <row r="12" spans="1:25" ht="15.75" thickBot="1" x14ac:dyDescent="0.3">
      <c r="A12" s="7">
        <v>44751</v>
      </c>
      <c r="B12" s="4" t="s">
        <v>4</v>
      </c>
      <c r="C12" s="50">
        <v>0.5</v>
      </c>
      <c r="D12" s="5">
        <v>0</v>
      </c>
      <c r="E12" s="61">
        <v>0.5</v>
      </c>
      <c r="F12" s="2"/>
      <c r="G12" s="7">
        <v>44751</v>
      </c>
      <c r="H12" s="13" t="s">
        <v>4</v>
      </c>
      <c r="I12" s="5">
        <v>0.5</v>
      </c>
      <c r="J12" s="5">
        <v>0</v>
      </c>
      <c r="K12" s="8">
        <v>0.5</v>
      </c>
      <c r="L12" s="2"/>
      <c r="M12" s="7">
        <v>44751</v>
      </c>
      <c r="N12" s="13" t="s">
        <v>4</v>
      </c>
      <c r="O12" s="5">
        <v>0.25</v>
      </c>
      <c r="P12" s="5">
        <v>0</v>
      </c>
      <c r="Q12" s="63">
        <v>0.25</v>
      </c>
      <c r="S12" s="7">
        <v>44751</v>
      </c>
      <c r="T12" s="13" t="s">
        <v>4</v>
      </c>
      <c r="U12" s="5">
        <v>0.25</v>
      </c>
      <c r="V12" s="5">
        <v>0</v>
      </c>
      <c r="W12" s="8">
        <v>0.25</v>
      </c>
    </row>
    <row r="13" spans="1:25" ht="15.75" thickBot="1" x14ac:dyDescent="0.3">
      <c r="A13" s="7">
        <v>44935</v>
      </c>
      <c r="B13" s="4" t="s">
        <v>4</v>
      </c>
      <c r="C13" s="50">
        <v>0.5</v>
      </c>
      <c r="D13" s="5">
        <v>0</v>
      </c>
      <c r="E13" s="61">
        <v>0.5</v>
      </c>
      <c r="F13" s="2"/>
      <c r="G13" s="7">
        <v>44935</v>
      </c>
      <c r="H13" s="13" t="s">
        <v>4</v>
      </c>
      <c r="I13" s="5">
        <v>0.5</v>
      </c>
      <c r="J13" s="5">
        <v>0</v>
      </c>
      <c r="K13" s="8">
        <v>0.5</v>
      </c>
      <c r="L13" s="2"/>
      <c r="M13" s="7">
        <v>44935</v>
      </c>
      <c r="N13" s="13" t="s">
        <v>4</v>
      </c>
      <c r="O13" s="5">
        <v>0.25</v>
      </c>
      <c r="P13" s="5">
        <v>0</v>
      </c>
      <c r="Q13" s="63">
        <v>0.25</v>
      </c>
      <c r="S13" s="7">
        <v>44935</v>
      </c>
      <c r="T13" s="13" t="s">
        <v>4</v>
      </c>
      <c r="U13" s="5">
        <v>0.25</v>
      </c>
      <c r="V13" s="5">
        <v>0</v>
      </c>
      <c r="W13" s="8">
        <v>0.25</v>
      </c>
    </row>
    <row r="14" spans="1:25" ht="15.75" thickBot="1" x14ac:dyDescent="0.3">
      <c r="A14" s="7">
        <v>45116</v>
      </c>
      <c r="B14" s="4" t="s">
        <v>4</v>
      </c>
      <c r="C14" s="50">
        <v>0.5</v>
      </c>
      <c r="D14" s="5">
        <v>0</v>
      </c>
      <c r="E14" s="61">
        <v>0.5</v>
      </c>
      <c r="F14" s="2"/>
      <c r="G14" s="7">
        <v>45116</v>
      </c>
      <c r="H14" s="13" t="s">
        <v>4</v>
      </c>
      <c r="I14" s="5">
        <v>0.5</v>
      </c>
      <c r="J14" s="5">
        <v>0</v>
      </c>
      <c r="K14" s="8">
        <v>0.5</v>
      </c>
      <c r="L14" s="2"/>
      <c r="M14" s="7">
        <v>45116</v>
      </c>
      <c r="N14" s="13" t="s">
        <v>4</v>
      </c>
      <c r="O14" s="5">
        <v>0.25</v>
      </c>
      <c r="P14" s="5">
        <v>0</v>
      </c>
      <c r="Q14" s="63">
        <v>0.25</v>
      </c>
      <c r="S14" s="7">
        <v>45116</v>
      </c>
      <c r="T14" s="13" t="s">
        <v>4</v>
      </c>
      <c r="U14" s="5">
        <v>0.25</v>
      </c>
      <c r="V14" s="5">
        <v>0</v>
      </c>
      <c r="W14" s="8">
        <v>0.25</v>
      </c>
    </row>
    <row r="15" spans="1:25" ht="15.75" thickBot="1" x14ac:dyDescent="0.3">
      <c r="A15" s="7">
        <v>45300</v>
      </c>
      <c r="B15" s="4" t="s">
        <v>4</v>
      </c>
      <c r="C15" s="50">
        <v>0.5</v>
      </c>
      <c r="D15" s="5">
        <v>0</v>
      </c>
      <c r="E15" s="61">
        <v>0.5</v>
      </c>
      <c r="F15" s="2"/>
      <c r="G15" s="7">
        <v>45300</v>
      </c>
      <c r="H15" s="13" t="s">
        <v>4</v>
      </c>
      <c r="I15" s="5">
        <v>0.5</v>
      </c>
      <c r="J15" s="5">
        <v>0</v>
      </c>
      <c r="K15" s="8">
        <v>0.5</v>
      </c>
      <c r="L15" s="2"/>
      <c r="M15" s="7">
        <v>45300</v>
      </c>
      <c r="N15" s="13" t="s">
        <v>4</v>
      </c>
      <c r="O15" s="5">
        <v>0.38</v>
      </c>
      <c r="P15" s="5">
        <v>0</v>
      </c>
      <c r="Q15" s="63">
        <v>0.38</v>
      </c>
      <c r="S15" s="7">
        <v>45300</v>
      </c>
      <c r="T15" s="13" t="s">
        <v>4</v>
      </c>
      <c r="U15" s="5">
        <v>0.38</v>
      </c>
      <c r="V15" s="5">
        <v>0</v>
      </c>
      <c r="W15" s="8">
        <v>0.38</v>
      </c>
    </row>
    <row r="16" spans="1:25" ht="15.75" thickBot="1" x14ac:dyDescent="0.3">
      <c r="A16" s="7">
        <v>45482</v>
      </c>
      <c r="B16" s="4" t="s">
        <v>4</v>
      </c>
      <c r="C16" s="50">
        <v>0.5</v>
      </c>
      <c r="D16" s="5">
        <v>0</v>
      </c>
      <c r="E16" s="61">
        <v>0.5</v>
      </c>
      <c r="F16" s="2"/>
      <c r="G16" s="7">
        <v>45482</v>
      </c>
      <c r="H16" s="13" t="s">
        <v>4</v>
      </c>
      <c r="I16" s="5">
        <v>0.5</v>
      </c>
      <c r="J16" s="5">
        <v>0</v>
      </c>
      <c r="K16" s="8">
        <v>0.5</v>
      </c>
      <c r="L16" s="2"/>
      <c r="M16" s="7">
        <v>45482</v>
      </c>
      <c r="N16" s="13" t="s">
        <v>4</v>
      </c>
      <c r="O16" s="5">
        <v>0.38</v>
      </c>
      <c r="P16" s="5">
        <v>4</v>
      </c>
      <c r="Q16" s="63">
        <v>4.38</v>
      </c>
      <c r="S16" s="7">
        <v>45482</v>
      </c>
      <c r="T16" s="13" t="s">
        <v>4</v>
      </c>
      <c r="U16" s="5">
        <v>0.38</v>
      </c>
      <c r="V16" s="5">
        <v>4</v>
      </c>
      <c r="W16" s="8">
        <v>4.38</v>
      </c>
    </row>
    <row r="17" spans="1:23" ht="15.75" thickBot="1" x14ac:dyDescent="0.3">
      <c r="A17" s="7">
        <v>45666</v>
      </c>
      <c r="B17" s="4" t="s">
        <v>4</v>
      </c>
      <c r="C17" s="50">
        <v>0.5</v>
      </c>
      <c r="D17" s="5">
        <v>10</v>
      </c>
      <c r="E17" s="61">
        <v>10.5</v>
      </c>
      <c r="F17" s="2"/>
      <c r="G17" s="7">
        <v>45666</v>
      </c>
      <c r="H17" s="13" t="s">
        <v>4</v>
      </c>
      <c r="I17" s="5">
        <v>0.5</v>
      </c>
      <c r="J17" s="5">
        <v>10</v>
      </c>
      <c r="K17" s="8">
        <v>10.5</v>
      </c>
      <c r="L17" s="2"/>
      <c r="M17" s="7">
        <v>45666</v>
      </c>
      <c r="N17" s="13" t="s">
        <v>4</v>
      </c>
      <c r="O17" s="5">
        <v>0.36</v>
      </c>
      <c r="P17" s="5">
        <v>8</v>
      </c>
      <c r="Q17" s="63">
        <v>8.36</v>
      </c>
      <c r="S17" s="7">
        <v>45666</v>
      </c>
      <c r="T17" s="13" t="s">
        <v>4</v>
      </c>
      <c r="U17" s="5">
        <v>0.36</v>
      </c>
      <c r="V17" s="5">
        <v>8</v>
      </c>
      <c r="W17" s="8">
        <v>8.36</v>
      </c>
    </row>
    <row r="18" spans="1:23" ht="15.75" thickBot="1" x14ac:dyDescent="0.3">
      <c r="A18" s="7">
        <v>45847</v>
      </c>
      <c r="B18" s="4" t="s">
        <v>4</v>
      </c>
      <c r="C18" s="50">
        <v>0.45</v>
      </c>
      <c r="D18" s="5">
        <v>10</v>
      </c>
      <c r="E18" s="61">
        <v>10.45</v>
      </c>
      <c r="F18" s="2"/>
      <c r="G18" s="7">
        <v>45847</v>
      </c>
      <c r="H18" s="13" t="s">
        <v>4</v>
      </c>
      <c r="I18" s="5">
        <v>0.45</v>
      </c>
      <c r="J18" s="5">
        <v>10</v>
      </c>
      <c r="K18" s="8">
        <v>10.45</v>
      </c>
      <c r="L18" s="2"/>
      <c r="M18" s="7">
        <v>45847</v>
      </c>
      <c r="N18" s="13" t="s">
        <v>4</v>
      </c>
      <c r="O18" s="5">
        <v>0.33</v>
      </c>
      <c r="P18" s="5">
        <v>8</v>
      </c>
      <c r="Q18" s="63">
        <v>8.33</v>
      </c>
      <c r="S18" s="7">
        <v>45847</v>
      </c>
      <c r="T18" s="13" t="s">
        <v>4</v>
      </c>
      <c r="U18" s="5">
        <v>0.33</v>
      </c>
      <c r="V18" s="5">
        <v>8</v>
      </c>
      <c r="W18" s="8">
        <v>8.33</v>
      </c>
    </row>
    <row r="19" spans="1:23" ht="15.75" thickBot="1" x14ac:dyDescent="0.3">
      <c r="A19" s="7">
        <v>46031</v>
      </c>
      <c r="B19" s="4" t="s">
        <v>4</v>
      </c>
      <c r="C19" s="50">
        <v>0.4</v>
      </c>
      <c r="D19" s="5">
        <v>10</v>
      </c>
      <c r="E19" s="61">
        <v>10.4</v>
      </c>
      <c r="F19" s="2"/>
      <c r="G19" s="7">
        <v>46031</v>
      </c>
      <c r="H19" s="13" t="s">
        <v>4</v>
      </c>
      <c r="I19" s="5">
        <v>0.4</v>
      </c>
      <c r="J19" s="5">
        <v>10</v>
      </c>
      <c r="K19" s="8">
        <v>10.4</v>
      </c>
      <c r="L19" s="2"/>
      <c r="M19" s="7">
        <v>46031</v>
      </c>
      <c r="N19" s="13" t="s">
        <v>4</v>
      </c>
      <c r="O19" s="5">
        <v>0.3</v>
      </c>
      <c r="P19" s="5">
        <v>8</v>
      </c>
      <c r="Q19" s="63">
        <v>8.3000000000000007</v>
      </c>
      <c r="S19" s="7">
        <v>46031</v>
      </c>
      <c r="T19" s="13" t="s">
        <v>4</v>
      </c>
      <c r="U19" s="5">
        <v>0.3</v>
      </c>
      <c r="V19" s="5">
        <v>8</v>
      </c>
      <c r="W19" s="8">
        <v>8.3000000000000007</v>
      </c>
    </row>
    <row r="20" spans="1:23" ht="15.75" thickBot="1" x14ac:dyDescent="0.3">
      <c r="A20" s="7">
        <v>46212</v>
      </c>
      <c r="B20" s="4" t="s">
        <v>4</v>
      </c>
      <c r="C20" s="50">
        <v>0.35</v>
      </c>
      <c r="D20" s="5">
        <v>10</v>
      </c>
      <c r="E20" s="61">
        <v>10.35</v>
      </c>
      <c r="F20" s="2"/>
      <c r="G20" s="7">
        <v>46212</v>
      </c>
      <c r="H20" s="13" t="s">
        <v>4</v>
      </c>
      <c r="I20" s="5">
        <v>0.35</v>
      </c>
      <c r="J20" s="5">
        <v>10</v>
      </c>
      <c r="K20" s="8">
        <v>10.35</v>
      </c>
      <c r="L20" s="2"/>
      <c r="M20" s="7">
        <v>46212</v>
      </c>
      <c r="N20" s="13" t="s">
        <v>4</v>
      </c>
      <c r="O20" s="5">
        <v>0.27</v>
      </c>
      <c r="P20" s="5">
        <v>8</v>
      </c>
      <c r="Q20" s="63">
        <v>8.27</v>
      </c>
      <c r="S20" s="7">
        <v>46212</v>
      </c>
      <c r="T20" s="13" t="s">
        <v>4</v>
      </c>
      <c r="U20" s="5">
        <v>0.27</v>
      </c>
      <c r="V20" s="5">
        <v>8</v>
      </c>
      <c r="W20" s="8">
        <v>8.27</v>
      </c>
    </row>
    <row r="21" spans="1:23" ht="15.75" thickBot="1" x14ac:dyDescent="0.3">
      <c r="A21" s="7">
        <v>46396</v>
      </c>
      <c r="B21" s="4" t="s">
        <v>4</v>
      </c>
      <c r="C21" s="50">
        <v>0.3</v>
      </c>
      <c r="D21" s="5">
        <v>10</v>
      </c>
      <c r="E21" s="53">
        <v>10.3</v>
      </c>
      <c r="F21" s="2"/>
      <c r="G21" s="7">
        <v>46396</v>
      </c>
      <c r="H21" s="13" t="s">
        <v>4</v>
      </c>
      <c r="I21" s="5">
        <v>0.3</v>
      </c>
      <c r="J21" s="5">
        <v>10</v>
      </c>
      <c r="K21" s="8">
        <v>10.3</v>
      </c>
      <c r="L21" s="2"/>
      <c r="M21" s="7">
        <v>46396</v>
      </c>
      <c r="N21" s="13" t="s">
        <v>4</v>
      </c>
      <c r="O21" s="5">
        <v>0.24</v>
      </c>
      <c r="P21" s="5">
        <v>8</v>
      </c>
      <c r="Q21" s="8">
        <v>8.24</v>
      </c>
      <c r="S21" s="7">
        <v>46396</v>
      </c>
      <c r="T21" s="13" t="s">
        <v>4</v>
      </c>
      <c r="U21" s="5">
        <v>0.24</v>
      </c>
      <c r="V21" s="5">
        <v>8</v>
      </c>
      <c r="W21" s="8">
        <v>8.24</v>
      </c>
    </row>
    <row r="22" spans="1:23" ht="15.75" thickBot="1" x14ac:dyDescent="0.3">
      <c r="A22" s="7">
        <v>46577</v>
      </c>
      <c r="B22" s="4" t="s">
        <v>4</v>
      </c>
      <c r="C22" s="50">
        <v>0.25</v>
      </c>
      <c r="D22" s="5">
        <v>10</v>
      </c>
      <c r="E22" s="53">
        <v>10.25</v>
      </c>
      <c r="F22" s="2"/>
      <c r="G22" s="7">
        <v>46577</v>
      </c>
      <c r="H22" s="13" t="s">
        <v>4</v>
      </c>
      <c r="I22" s="5">
        <v>0.25</v>
      </c>
      <c r="J22" s="5">
        <v>10</v>
      </c>
      <c r="K22" s="8">
        <v>10.25</v>
      </c>
      <c r="L22" s="2"/>
      <c r="M22" s="7">
        <v>46577</v>
      </c>
      <c r="N22" s="13" t="s">
        <v>4</v>
      </c>
      <c r="O22" s="5">
        <v>0.21</v>
      </c>
      <c r="P22" s="5">
        <v>8</v>
      </c>
      <c r="Q22" s="8">
        <v>8.2100000000000009</v>
      </c>
      <c r="S22" s="7">
        <v>46577</v>
      </c>
      <c r="T22" s="13" t="s">
        <v>4</v>
      </c>
      <c r="U22" s="5">
        <v>0.21</v>
      </c>
      <c r="V22" s="5">
        <v>8</v>
      </c>
      <c r="W22" s="8">
        <v>8.2100000000000009</v>
      </c>
    </row>
    <row r="23" spans="1:23" ht="15.75" thickBot="1" x14ac:dyDescent="0.3">
      <c r="A23" s="7">
        <v>46761</v>
      </c>
      <c r="B23" s="4" t="s">
        <v>4</v>
      </c>
      <c r="C23" s="50">
        <v>0.2</v>
      </c>
      <c r="D23" s="5">
        <v>10</v>
      </c>
      <c r="E23" s="53">
        <v>10.199999999999999</v>
      </c>
      <c r="F23" s="2"/>
      <c r="G23" s="7">
        <v>46761</v>
      </c>
      <c r="H23" s="13" t="s">
        <v>4</v>
      </c>
      <c r="I23" s="5">
        <v>0.2</v>
      </c>
      <c r="J23" s="5">
        <v>10</v>
      </c>
      <c r="K23" s="8">
        <v>10.199999999999999</v>
      </c>
      <c r="L23" s="2"/>
      <c r="M23" s="7">
        <v>46761</v>
      </c>
      <c r="N23" s="13" t="s">
        <v>4</v>
      </c>
      <c r="O23" s="5">
        <v>0.42</v>
      </c>
      <c r="P23" s="5">
        <v>8</v>
      </c>
      <c r="Q23" s="8">
        <v>8.42</v>
      </c>
      <c r="S23" s="7">
        <v>46761</v>
      </c>
      <c r="T23" s="13" t="s">
        <v>4</v>
      </c>
      <c r="U23" s="5">
        <v>0.42</v>
      </c>
      <c r="V23" s="5">
        <v>8</v>
      </c>
      <c r="W23" s="8">
        <v>8.42</v>
      </c>
    </row>
    <row r="24" spans="1:23" ht="15.75" thickBot="1" x14ac:dyDescent="0.3">
      <c r="A24" s="7">
        <v>46943</v>
      </c>
      <c r="B24" s="4" t="s">
        <v>4</v>
      </c>
      <c r="C24" s="50">
        <v>0.15</v>
      </c>
      <c r="D24" s="5">
        <v>10</v>
      </c>
      <c r="E24" s="53">
        <v>10.15</v>
      </c>
      <c r="F24" s="2"/>
      <c r="G24" s="7">
        <v>46943</v>
      </c>
      <c r="H24" s="13" t="s">
        <v>4</v>
      </c>
      <c r="I24" s="5">
        <v>0.15</v>
      </c>
      <c r="J24" s="5">
        <v>10</v>
      </c>
      <c r="K24" s="8">
        <v>10.15</v>
      </c>
      <c r="L24" s="2"/>
      <c r="M24" s="7">
        <v>46943</v>
      </c>
      <c r="N24" s="13" t="s">
        <v>4</v>
      </c>
      <c r="O24" s="5">
        <v>0.35</v>
      </c>
      <c r="P24" s="5">
        <v>8</v>
      </c>
      <c r="Q24" s="8">
        <v>8.35</v>
      </c>
      <c r="S24" s="7">
        <v>46943</v>
      </c>
      <c r="T24" s="13" t="s">
        <v>4</v>
      </c>
      <c r="U24" s="5">
        <v>0.35</v>
      </c>
      <c r="V24" s="5">
        <v>8</v>
      </c>
      <c r="W24" s="8">
        <v>8.35</v>
      </c>
    </row>
    <row r="25" spans="1:23" ht="15.75" thickBot="1" x14ac:dyDescent="0.3">
      <c r="A25" s="7">
        <v>47127</v>
      </c>
      <c r="B25" s="4" t="s">
        <v>4</v>
      </c>
      <c r="C25" s="50">
        <v>0.1</v>
      </c>
      <c r="D25" s="5">
        <v>10</v>
      </c>
      <c r="E25" s="53">
        <v>10.1</v>
      </c>
      <c r="F25" s="2"/>
      <c r="G25" s="7">
        <v>47127</v>
      </c>
      <c r="H25" s="13" t="s">
        <v>4</v>
      </c>
      <c r="I25" s="5">
        <v>0.1</v>
      </c>
      <c r="J25" s="5">
        <v>10</v>
      </c>
      <c r="K25" s="8">
        <v>10.1</v>
      </c>
      <c r="L25" s="2"/>
      <c r="M25" s="7">
        <v>47127</v>
      </c>
      <c r="N25" s="13" t="s">
        <v>4</v>
      </c>
      <c r="O25" s="5">
        <v>0.28000000000000003</v>
      </c>
      <c r="P25" s="5">
        <v>8</v>
      </c>
      <c r="Q25" s="8">
        <v>8.2799999999999994</v>
      </c>
      <c r="S25" s="7">
        <v>47127</v>
      </c>
      <c r="T25" s="13" t="s">
        <v>4</v>
      </c>
      <c r="U25" s="5">
        <v>0.28000000000000003</v>
      </c>
      <c r="V25" s="5">
        <v>8</v>
      </c>
      <c r="W25" s="8">
        <v>8.2799999999999994</v>
      </c>
    </row>
    <row r="26" spans="1:23" ht="15.75" thickBot="1" x14ac:dyDescent="0.3">
      <c r="A26" s="7">
        <v>47308</v>
      </c>
      <c r="B26" s="4" t="s">
        <v>4</v>
      </c>
      <c r="C26" s="50">
        <v>0.05</v>
      </c>
      <c r="D26" s="5">
        <v>10</v>
      </c>
      <c r="E26" s="53">
        <v>10.050000000000001</v>
      </c>
      <c r="F26" s="2"/>
      <c r="G26" s="7">
        <v>47308</v>
      </c>
      <c r="H26" s="13" t="s">
        <v>4</v>
      </c>
      <c r="I26" s="5">
        <v>0.05</v>
      </c>
      <c r="J26" s="5">
        <v>10</v>
      </c>
      <c r="K26" s="8">
        <v>10.050000000000001</v>
      </c>
      <c r="L26" s="2"/>
      <c r="M26" s="7">
        <v>47308</v>
      </c>
      <c r="N26" s="13" t="s">
        <v>4</v>
      </c>
      <c r="O26" s="5">
        <v>0.21</v>
      </c>
      <c r="P26" s="5">
        <v>8</v>
      </c>
      <c r="Q26" s="8">
        <v>8.2100000000000009</v>
      </c>
      <c r="S26" s="7">
        <v>47308</v>
      </c>
      <c r="T26" s="13" t="s">
        <v>4</v>
      </c>
      <c r="U26" s="5">
        <v>0.21</v>
      </c>
      <c r="V26" s="5">
        <v>8</v>
      </c>
      <c r="W26" s="8">
        <v>8.2100000000000009</v>
      </c>
    </row>
    <row r="27" spans="1:23" ht="15.75" thickBot="1" x14ac:dyDescent="0.3">
      <c r="A27" s="9"/>
      <c r="B27" s="10"/>
      <c r="C27" s="51">
        <f>SUM(C10:C26)</f>
        <v>5.75</v>
      </c>
      <c r="D27" s="11">
        <f>SUM(D10:D26)</f>
        <v>100</v>
      </c>
      <c r="E27" s="54">
        <f>SUM(E9:E26)</f>
        <v>70.209999999999994</v>
      </c>
      <c r="F27" s="2"/>
      <c r="G27" s="14"/>
      <c r="H27" s="10"/>
      <c r="I27" s="11">
        <f>SUM(I10:I26)</f>
        <v>5.75</v>
      </c>
      <c r="J27" s="11">
        <f>SUM(J10:J26)</f>
        <v>100</v>
      </c>
      <c r="K27" s="12">
        <f>SUM(K10:K26)</f>
        <v>105.75</v>
      </c>
      <c r="L27" s="2"/>
      <c r="M27" s="7">
        <v>47492</v>
      </c>
      <c r="N27" s="13" t="s">
        <v>4</v>
      </c>
      <c r="O27" s="5">
        <v>0.14000000000000001</v>
      </c>
      <c r="P27" s="5">
        <v>8</v>
      </c>
      <c r="Q27" s="8">
        <v>8.14</v>
      </c>
      <c r="S27" s="7">
        <v>47492</v>
      </c>
      <c r="T27" s="13" t="s">
        <v>4</v>
      </c>
      <c r="U27" s="5">
        <v>0.14000000000000001</v>
      </c>
      <c r="V27" s="5">
        <v>8</v>
      </c>
      <c r="W27" s="8">
        <v>8.14</v>
      </c>
    </row>
    <row r="28" spans="1:23" ht="15.75" thickBot="1" x14ac:dyDescent="0.3">
      <c r="B28" s="2"/>
      <c r="F28" s="2"/>
      <c r="I28" s="2"/>
      <c r="J28" s="2"/>
      <c r="K28" s="2"/>
      <c r="L28" s="2"/>
      <c r="M28" s="7">
        <v>47673</v>
      </c>
      <c r="N28" s="13" t="s">
        <v>4</v>
      </c>
      <c r="O28" s="5">
        <v>7.0000000000000007E-2</v>
      </c>
      <c r="P28" s="5">
        <v>8</v>
      </c>
      <c r="Q28" s="8">
        <v>8.07</v>
      </c>
      <c r="S28" s="7">
        <v>47673</v>
      </c>
      <c r="T28" s="13" t="s">
        <v>4</v>
      </c>
      <c r="U28" s="5">
        <v>7.0000000000000007E-2</v>
      </c>
      <c r="V28" s="5">
        <v>8</v>
      </c>
      <c r="W28" s="8">
        <v>8.07</v>
      </c>
    </row>
    <row r="29" spans="1:23" ht="15.75" thickBot="1" x14ac:dyDescent="0.3">
      <c r="B29" s="2"/>
      <c r="F29" s="2"/>
      <c r="G29" s="2"/>
      <c r="H29" s="2"/>
      <c r="I29" s="2"/>
      <c r="J29" s="2"/>
      <c r="K29" s="2"/>
      <c r="L29" s="2"/>
      <c r="M29" s="9"/>
      <c r="N29" s="15"/>
      <c r="O29" s="11">
        <f>SUM(O10:O28)</f>
        <v>4.9399999999999995</v>
      </c>
      <c r="P29" s="11">
        <f>SUM(P10:P28)</f>
        <v>100</v>
      </c>
      <c r="Q29" s="12">
        <f>SUM(Q10:Q28)</f>
        <v>104.94</v>
      </c>
      <c r="S29" s="9"/>
      <c r="T29" s="15"/>
      <c r="U29" s="11">
        <f>SUM(U10:U28)</f>
        <v>5.0499999999999989</v>
      </c>
      <c r="V29" s="11">
        <f>SUM(V10:V28)</f>
        <v>100</v>
      </c>
      <c r="W29" s="12">
        <f>SUM(W10:W28)</f>
        <v>105.05000000000001</v>
      </c>
    </row>
    <row r="30" spans="1:23" ht="15.75" thickBot="1" x14ac:dyDescent="0.3">
      <c r="B30" s="2"/>
      <c r="F30" s="2"/>
      <c r="G30" s="2"/>
      <c r="H30" s="2"/>
      <c r="I30" s="2"/>
      <c r="J30" s="2"/>
      <c r="K30" s="2"/>
      <c r="L30" s="2"/>
      <c r="M30" s="13"/>
      <c r="N30" s="13"/>
      <c r="O30" s="31"/>
      <c r="P30" s="31"/>
      <c r="Q30" s="31"/>
      <c r="S30" s="13"/>
      <c r="T30" s="13"/>
      <c r="U30" s="31"/>
      <c r="V30" s="31"/>
      <c r="W30" s="31"/>
    </row>
    <row r="31" spans="1:23" ht="19.5" thickBot="1" x14ac:dyDescent="0.35">
      <c r="A31" s="25" t="s">
        <v>19</v>
      </c>
      <c r="B31" s="21"/>
      <c r="C31" s="22" t="s">
        <v>6</v>
      </c>
      <c r="D31" s="22" t="s">
        <v>7</v>
      </c>
      <c r="E31" s="23" t="s">
        <v>8</v>
      </c>
      <c r="F31" s="2"/>
      <c r="G31" s="25" t="s">
        <v>21</v>
      </c>
      <c r="H31" s="21"/>
      <c r="I31" s="22" t="s">
        <v>6</v>
      </c>
      <c r="J31" s="22" t="s">
        <v>7</v>
      </c>
      <c r="K31" s="23" t="s">
        <v>8</v>
      </c>
      <c r="L31" s="2"/>
      <c r="M31" s="25" t="s">
        <v>20</v>
      </c>
      <c r="N31" s="21"/>
      <c r="O31" s="22" t="s">
        <v>6</v>
      </c>
      <c r="P31" s="22" t="s">
        <v>7</v>
      </c>
      <c r="Q31" s="23" t="s">
        <v>8</v>
      </c>
      <c r="S31" s="13"/>
      <c r="T31" s="13"/>
      <c r="U31" s="31"/>
      <c r="V31" s="31"/>
      <c r="W31" s="31"/>
    </row>
    <row r="32" spans="1:23" ht="18.75" x14ac:dyDescent="0.3">
      <c r="A32" s="32" t="s">
        <v>12</v>
      </c>
      <c r="B32" s="26">
        <v>1</v>
      </c>
      <c r="C32" s="33"/>
      <c r="D32" s="33"/>
      <c r="E32" s="34"/>
      <c r="F32" s="2"/>
      <c r="G32" s="32" t="s">
        <v>12</v>
      </c>
      <c r="H32" s="26">
        <v>0.125</v>
      </c>
      <c r="I32" s="33"/>
      <c r="J32" s="33"/>
      <c r="K32" s="34"/>
      <c r="L32" s="13"/>
      <c r="M32" s="32" t="s">
        <v>12</v>
      </c>
      <c r="N32" s="26">
        <v>1</v>
      </c>
      <c r="O32" s="33"/>
      <c r="P32" s="33"/>
      <c r="Q32" s="34"/>
      <c r="R32" s="13"/>
      <c r="S32" s="13"/>
      <c r="T32" s="31"/>
      <c r="U32" s="31"/>
      <c r="V32" s="31"/>
    </row>
    <row r="33" spans="1:22" ht="18.75" x14ac:dyDescent="0.3">
      <c r="A33" s="32" t="s">
        <v>13</v>
      </c>
      <c r="B33" s="29">
        <v>44076</v>
      </c>
      <c r="C33" s="33"/>
      <c r="D33" s="33"/>
      <c r="E33" s="34"/>
      <c r="F33" s="2"/>
      <c r="G33" s="32" t="s">
        <v>13</v>
      </c>
      <c r="H33" s="29">
        <v>44076</v>
      </c>
      <c r="I33" s="33"/>
      <c r="J33" s="33"/>
      <c r="K33" s="34"/>
      <c r="L33" s="13"/>
      <c r="M33" s="32" t="s">
        <v>13</v>
      </c>
      <c r="N33" s="29">
        <v>44076</v>
      </c>
      <c r="O33" s="33"/>
      <c r="P33" s="33"/>
      <c r="Q33" s="34"/>
      <c r="R33" s="13"/>
      <c r="S33" s="13"/>
      <c r="T33" s="31"/>
      <c r="U33" s="31"/>
      <c r="V33" s="31"/>
    </row>
    <row r="34" spans="1:22" ht="18.75" x14ac:dyDescent="0.3">
      <c r="A34" s="32" t="s">
        <v>18</v>
      </c>
      <c r="B34" s="29">
        <v>44386</v>
      </c>
      <c r="C34" s="33"/>
      <c r="D34" s="33"/>
      <c r="E34" s="34"/>
      <c r="F34" s="2"/>
      <c r="G34" s="32" t="s">
        <v>18</v>
      </c>
      <c r="H34" s="29">
        <v>44386</v>
      </c>
      <c r="I34" s="33"/>
      <c r="J34" s="33"/>
      <c r="K34" s="34"/>
      <c r="L34" s="13"/>
      <c r="M34" s="32" t="s">
        <v>18</v>
      </c>
      <c r="N34" s="29">
        <v>44386</v>
      </c>
      <c r="O34" s="33"/>
      <c r="P34" s="33"/>
      <c r="Q34" s="34"/>
      <c r="R34" s="13"/>
      <c r="S34" s="13"/>
      <c r="T34" s="31"/>
      <c r="U34" s="31"/>
      <c r="V34" s="31"/>
    </row>
    <row r="35" spans="1:22" ht="18.75" x14ac:dyDescent="0.3">
      <c r="A35" s="32" t="s">
        <v>14</v>
      </c>
      <c r="B35" s="39">
        <v>1.25E-3</v>
      </c>
      <c r="C35" s="33"/>
      <c r="D35" s="33"/>
      <c r="E35" s="34"/>
      <c r="F35" s="2"/>
      <c r="G35" s="32" t="s">
        <v>14</v>
      </c>
      <c r="H35" s="39">
        <v>1.25E-3</v>
      </c>
      <c r="I35" s="33"/>
      <c r="J35" s="33"/>
      <c r="K35" s="34"/>
      <c r="L35" s="13"/>
      <c r="M35" s="32" t="s">
        <v>14</v>
      </c>
      <c r="N35" s="39">
        <v>1.25E-3</v>
      </c>
      <c r="O35" s="33"/>
      <c r="P35" s="33"/>
      <c r="Q35" s="34"/>
      <c r="R35" s="13"/>
      <c r="S35" s="13"/>
      <c r="T35" s="31"/>
      <c r="U35" s="31"/>
      <c r="V35" s="31"/>
    </row>
    <row r="36" spans="1:22" ht="18.75" x14ac:dyDescent="0.3">
      <c r="A36" s="32" t="s">
        <v>16</v>
      </c>
      <c r="B36" s="26">
        <v>100</v>
      </c>
      <c r="C36" s="33"/>
      <c r="D36" s="33"/>
      <c r="E36" s="34"/>
      <c r="F36" s="2"/>
      <c r="G36" s="32" t="s">
        <v>16</v>
      </c>
      <c r="H36" s="26">
        <v>100</v>
      </c>
      <c r="I36" s="33"/>
      <c r="J36" s="33"/>
      <c r="K36" s="34"/>
      <c r="L36" s="13"/>
      <c r="M36" s="32" t="s">
        <v>16</v>
      </c>
      <c r="N36" s="26">
        <v>100</v>
      </c>
      <c r="O36" s="33"/>
      <c r="P36" s="33"/>
      <c r="Q36" s="34"/>
      <c r="R36" s="13"/>
      <c r="S36" s="13"/>
      <c r="T36" s="31"/>
      <c r="U36" s="31"/>
      <c r="V36" s="31"/>
    </row>
    <row r="37" spans="1:22" ht="18.75" x14ac:dyDescent="0.3">
      <c r="A37" s="32" t="s">
        <v>17</v>
      </c>
      <c r="B37" s="58">
        <f ca="1">B35*DAYS360(B34,TODAY())/360*100</f>
        <v>1.2152777777777778E-2</v>
      </c>
      <c r="C37" s="33"/>
      <c r="D37" s="33"/>
      <c r="E37" s="34"/>
      <c r="F37" s="2"/>
      <c r="G37" s="32" t="s">
        <v>17</v>
      </c>
      <c r="H37" s="58">
        <f ca="1">H35*DAYS360(H34,TODAY())/360*100</f>
        <v>1.2152777777777778E-2</v>
      </c>
      <c r="I37" s="33"/>
      <c r="J37" s="33"/>
      <c r="K37" s="34"/>
      <c r="L37" s="13"/>
      <c r="M37" s="32" t="s">
        <v>17</v>
      </c>
      <c r="N37" s="58">
        <f ca="1">N35*DAYS360(N33,TODAY())/360*100</f>
        <v>0.11874999999999999</v>
      </c>
      <c r="O37" s="33"/>
      <c r="P37" s="33"/>
      <c r="Q37" s="34"/>
      <c r="R37" s="13"/>
      <c r="S37" s="13"/>
      <c r="T37" s="31"/>
      <c r="U37" s="31"/>
      <c r="V37" s="31"/>
    </row>
    <row r="38" spans="1:22" ht="19.5" thickBot="1" x14ac:dyDescent="0.35">
      <c r="A38" s="38" t="s">
        <v>15</v>
      </c>
      <c r="B38" s="58">
        <f ca="1">B36+B37</f>
        <v>100.01215277777777</v>
      </c>
      <c r="C38" s="33"/>
      <c r="D38" s="33"/>
      <c r="E38" s="62">
        <f>-'Paridad usd'!J31</f>
        <v>-31.5</v>
      </c>
      <c r="F38" s="2"/>
      <c r="G38" s="38" t="s">
        <v>15</v>
      </c>
      <c r="H38" s="58">
        <f ca="1">H36+H37</f>
        <v>100.01215277777777</v>
      </c>
      <c r="I38" s="33"/>
      <c r="J38" s="33"/>
      <c r="K38" s="62">
        <f>-'Paridad usd'!L31</f>
        <v>-35.659999999999997</v>
      </c>
      <c r="L38" s="13"/>
      <c r="M38" s="38" t="s">
        <v>15</v>
      </c>
      <c r="N38" s="58">
        <f ca="1">N36+N37</f>
        <v>100.11875000000001</v>
      </c>
      <c r="O38" s="33"/>
      <c r="P38" s="33"/>
      <c r="Q38" s="62">
        <f>-'Paridad usd'!N31</f>
        <v>-35.049999999999997</v>
      </c>
      <c r="R38" s="13"/>
      <c r="S38" s="13"/>
      <c r="T38" s="31"/>
      <c r="U38" s="31"/>
      <c r="V38" s="31"/>
    </row>
    <row r="39" spans="1:22" ht="15.75" thickBot="1" x14ac:dyDescent="0.3">
      <c r="A39" s="7"/>
      <c r="B39" s="4"/>
      <c r="C39" s="5"/>
      <c r="D39" s="5"/>
      <c r="E39" s="8"/>
      <c r="F39" s="2"/>
      <c r="G39" s="7"/>
      <c r="H39" s="4"/>
      <c r="I39" s="5"/>
      <c r="J39" s="5"/>
      <c r="K39" s="8"/>
      <c r="L39" s="13"/>
      <c r="M39" s="7"/>
      <c r="N39" s="4"/>
      <c r="O39" s="5"/>
      <c r="P39" s="5"/>
      <c r="Q39" s="8"/>
      <c r="R39" s="13"/>
      <c r="S39" s="13"/>
      <c r="T39" s="31"/>
      <c r="U39" s="31"/>
      <c r="V39" s="31"/>
    </row>
    <row r="40" spans="1:22" ht="15.75" thickBot="1" x14ac:dyDescent="0.3">
      <c r="A40" s="7">
        <v>44570</v>
      </c>
      <c r="B40" s="4" t="s">
        <v>4</v>
      </c>
      <c r="C40" s="5">
        <v>0.56000000000000005</v>
      </c>
      <c r="D40" s="5">
        <v>0</v>
      </c>
      <c r="E40" s="63">
        <v>0.56000000000000005</v>
      </c>
      <c r="F40" s="2"/>
      <c r="G40" s="7">
        <v>44570</v>
      </c>
      <c r="H40" s="4" t="s">
        <v>4</v>
      </c>
      <c r="I40" s="5">
        <v>1</v>
      </c>
      <c r="J40" s="5">
        <v>0</v>
      </c>
      <c r="K40" s="63">
        <v>1</v>
      </c>
      <c r="L40" s="13"/>
      <c r="M40" s="7">
        <v>44570</v>
      </c>
      <c r="N40" s="4" t="s">
        <v>4</v>
      </c>
      <c r="O40" s="5">
        <v>1.25</v>
      </c>
      <c r="P40" s="5">
        <v>0</v>
      </c>
      <c r="Q40" s="63">
        <v>1.25</v>
      </c>
      <c r="R40" s="13"/>
      <c r="S40" s="13"/>
      <c r="T40" s="31"/>
      <c r="U40" s="31"/>
      <c r="V40" s="31"/>
    </row>
    <row r="41" spans="1:22" ht="15.75" thickBot="1" x14ac:dyDescent="0.3">
      <c r="A41" s="7">
        <v>44751</v>
      </c>
      <c r="B41" s="4" t="s">
        <v>4</v>
      </c>
      <c r="C41" s="5">
        <v>0.56000000000000005</v>
      </c>
      <c r="D41" s="5">
        <v>0</v>
      </c>
      <c r="E41" s="63">
        <v>0.56000000000000005</v>
      </c>
      <c r="F41" s="2"/>
      <c r="G41" s="7">
        <v>44751</v>
      </c>
      <c r="H41" s="4" t="s">
        <v>4</v>
      </c>
      <c r="I41" s="5">
        <v>1</v>
      </c>
      <c r="J41" s="5">
        <v>0</v>
      </c>
      <c r="K41" s="63">
        <v>1</v>
      </c>
      <c r="L41" s="13"/>
      <c r="M41" s="7">
        <v>44751</v>
      </c>
      <c r="N41" s="4" t="s">
        <v>4</v>
      </c>
      <c r="O41" s="5">
        <v>1.25</v>
      </c>
      <c r="P41" s="5">
        <v>0</v>
      </c>
      <c r="Q41" s="63">
        <v>1.25</v>
      </c>
      <c r="R41" s="13"/>
      <c r="S41" s="13"/>
      <c r="T41" s="31"/>
      <c r="U41" s="31"/>
      <c r="V41" s="31"/>
    </row>
    <row r="42" spans="1:22" ht="15.75" thickBot="1" x14ac:dyDescent="0.3">
      <c r="A42" s="7">
        <v>44935</v>
      </c>
      <c r="B42" s="4" t="s">
        <v>4</v>
      </c>
      <c r="C42" s="5">
        <v>0.75</v>
      </c>
      <c r="D42" s="5">
        <v>0</v>
      </c>
      <c r="E42" s="63">
        <v>0.75</v>
      </c>
      <c r="F42" s="2"/>
      <c r="G42" s="7">
        <v>44935</v>
      </c>
      <c r="H42" s="4" t="s">
        <v>4</v>
      </c>
      <c r="I42" s="5">
        <v>1.94</v>
      </c>
      <c r="J42" s="5">
        <v>0</v>
      </c>
      <c r="K42" s="63">
        <v>1.94</v>
      </c>
      <c r="L42" s="13"/>
      <c r="M42" s="7">
        <v>44935</v>
      </c>
      <c r="N42" s="4" t="s">
        <v>4</v>
      </c>
      <c r="O42" s="5">
        <v>1.75</v>
      </c>
      <c r="P42" s="5">
        <v>0</v>
      </c>
      <c r="Q42" s="63">
        <v>1.75</v>
      </c>
      <c r="R42" s="13"/>
      <c r="S42" s="13"/>
      <c r="T42" s="31"/>
      <c r="U42" s="31"/>
      <c r="V42" s="31"/>
    </row>
    <row r="43" spans="1:22" ht="15.75" thickBot="1" x14ac:dyDescent="0.3">
      <c r="A43" s="7">
        <v>45116</v>
      </c>
      <c r="B43" s="4" t="s">
        <v>4</v>
      </c>
      <c r="C43" s="5">
        <v>0.75</v>
      </c>
      <c r="D43" s="5">
        <v>0</v>
      </c>
      <c r="E43" s="63">
        <v>0.75</v>
      </c>
      <c r="F43" s="2"/>
      <c r="G43" s="7">
        <v>45116</v>
      </c>
      <c r="H43" s="4" t="s">
        <v>4</v>
      </c>
      <c r="I43" s="5">
        <v>1.94</v>
      </c>
      <c r="J43" s="5">
        <v>0</v>
      </c>
      <c r="K43" s="63">
        <v>1.94</v>
      </c>
      <c r="L43" s="13"/>
      <c r="M43" s="7">
        <v>45116</v>
      </c>
      <c r="N43" s="4" t="s">
        <v>4</v>
      </c>
      <c r="O43" s="5">
        <v>1.75</v>
      </c>
      <c r="P43" s="5">
        <v>0</v>
      </c>
      <c r="Q43" s="63">
        <v>1.75</v>
      </c>
      <c r="R43" s="13"/>
      <c r="S43" s="13"/>
      <c r="T43" s="31"/>
      <c r="U43" s="31"/>
      <c r="V43" s="31"/>
    </row>
    <row r="44" spans="1:22" ht="15.75" thickBot="1" x14ac:dyDescent="0.3">
      <c r="A44" s="7">
        <v>45300</v>
      </c>
      <c r="B44" s="4" t="s">
        <v>4</v>
      </c>
      <c r="C44" s="5">
        <v>1.81</v>
      </c>
      <c r="D44" s="5">
        <v>0</v>
      </c>
      <c r="E44" s="63">
        <v>1.81</v>
      </c>
      <c r="F44" s="2"/>
      <c r="G44" s="7">
        <v>45300</v>
      </c>
      <c r="H44" s="4" t="s">
        <v>4</v>
      </c>
      <c r="I44" s="5">
        <v>2.12</v>
      </c>
      <c r="J44" s="5">
        <v>0</v>
      </c>
      <c r="K44" s="63">
        <v>2.12</v>
      </c>
      <c r="L44" s="13"/>
      <c r="M44" s="7">
        <v>45300</v>
      </c>
      <c r="N44" s="4" t="s">
        <v>4</v>
      </c>
      <c r="O44" s="5">
        <v>1.75</v>
      </c>
      <c r="P44" s="5">
        <v>0</v>
      </c>
      <c r="Q44" s="63">
        <v>1.75</v>
      </c>
      <c r="R44" s="13"/>
      <c r="S44" s="13"/>
      <c r="T44" s="31"/>
      <c r="U44" s="31"/>
      <c r="V44" s="31"/>
    </row>
    <row r="45" spans="1:22" ht="15.75" thickBot="1" x14ac:dyDescent="0.3">
      <c r="A45" s="7">
        <v>45482</v>
      </c>
      <c r="B45" s="4" t="s">
        <v>4</v>
      </c>
      <c r="C45" s="5">
        <v>1.81</v>
      </c>
      <c r="D45" s="5">
        <v>0</v>
      </c>
      <c r="E45" s="63">
        <v>1.81</v>
      </c>
      <c r="F45" s="2"/>
      <c r="G45" s="7">
        <v>45482</v>
      </c>
      <c r="H45" s="4" t="s">
        <v>4</v>
      </c>
      <c r="I45" s="5">
        <v>2.12</v>
      </c>
      <c r="J45" s="5">
        <v>0</v>
      </c>
      <c r="K45" s="63">
        <v>2.12</v>
      </c>
      <c r="L45" s="13"/>
      <c r="M45" s="7">
        <v>45482</v>
      </c>
      <c r="N45" s="4" t="s">
        <v>4</v>
      </c>
      <c r="O45" s="5">
        <v>1.75</v>
      </c>
      <c r="P45" s="5">
        <v>0</v>
      </c>
      <c r="Q45" s="63">
        <v>1.75</v>
      </c>
      <c r="R45" s="13"/>
      <c r="S45" s="13"/>
      <c r="T45" s="31"/>
      <c r="U45" s="31"/>
      <c r="V45" s="31"/>
    </row>
    <row r="46" spans="1:22" ht="15.75" thickBot="1" x14ac:dyDescent="0.3">
      <c r="A46" s="7">
        <v>45666</v>
      </c>
      <c r="B46" s="4" t="s">
        <v>4</v>
      </c>
      <c r="C46" s="5">
        <v>2.06</v>
      </c>
      <c r="D46" s="5">
        <v>0</v>
      </c>
      <c r="E46" s="63">
        <v>2.06</v>
      </c>
      <c r="F46" s="2"/>
      <c r="G46" s="7">
        <v>45666</v>
      </c>
      <c r="H46" s="4" t="s">
        <v>4</v>
      </c>
      <c r="I46" s="5">
        <v>2.5</v>
      </c>
      <c r="J46" s="5">
        <v>0</v>
      </c>
      <c r="K46" s="63">
        <v>2.5</v>
      </c>
      <c r="L46" s="13"/>
      <c r="M46" s="7">
        <v>45666</v>
      </c>
      <c r="N46" s="4" t="s">
        <v>4</v>
      </c>
      <c r="O46" s="5">
        <v>1.75</v>
      </c>
      <c r="P46" s="5">
        <v>0</v>
      </c>
      <c r="Q46" s="63">
        <v>1.75</v>
      </c>
      <c r="R46" s="13"/>
      <c r="S46" s="13"/>
      <c r="T46" s="31"/>
      <c r="U46" s="31"/>
      <c r="V46" s="31"/>
    </row>
    <row r="47" spans="1:22" ht="15.75" thickBot="1" x14ac:dyDescent="0.3">
      <c r="A47" s="7">
        <v>45847</v>
      </c>
      <c r="B47" s="4" t="s">
        <v>4</v>
      </c>
      <c r="C47" s="5">
        <v>2.06</v>
      </c>
      <c r="D47" s="5">
        <v>0</v>
      </c>
      <c r="E47" s="63">
        <v>2.06</v>
      </c>
      <c r="F47" s="2"/>
      <c r="G47" s="7">
        <v>45847</v>
      </c>
      <c r="H47" s="4" t="s">
        <v>4</v>
      </c>
      <c r="I47" s="5">
        <v>2.5</v>
      </c>
      <c r="J47" s="5">
        <v>0</v>
      </c>
      <c r="K47" s="63">
        <v>2.5</v>
      </c>
      <c r="L47" s="13"/>
      <c r="M47" s="7">
        <v>45847</v>
      </c>
      <c r="N47" s="4" t="s">
        <v>4</v>
      </c>
      <c r="O47" s="5">
        <v>1.75</v>
      </c>
      <c r="P47" s="5">
        <v>0</v>
      </c>
      <c r="Q47" s="63">
        <v>1.75</v>
      </c>
      <c r="R47" s="13"/>
      <c r="S47" s="13"/>
      <c r="T47" s="31"/>
      <c r="U47" s="31"/>
      <c r="V47" s="31"/>
    </row>
    <row r="48" spans="1:22" ht="15.75" thickBot="1" x14ac:dyDescent="0.3">
      <c r="A48" s="7">
        <v>46031</v>
      </c>
      <c r="B48" s="4" t="s">
        <v>4</v>
      </c>
      <c r="C48" s="5">
        <v>2.06</v>
      </c>
      <c r="D48" s="5">
        <v>0</v>
      </c>
      <c r="E48" s="63">
        <v>2.06</v>
      </c>
      <c r="F48" s="2"/>
      <c r="G48" s="7">
        <v>46031</v>
      </c>
      <c r="H48" s="4" t="s">
        <v>4</v>
      </c>
      <c r="I48" s="5">
        <v>2.5</v>
      </c>
      <c r="J48" s="5">
        <v>0</v>
      </c>
      <c r="K48" s="63">
        <v>2.5</v>
      </c>
      <c r="L48" s="13"/>
      <c r="M48" s="7">
        <v>46031</v>
      </c>
      <c r="N48" s="4" t="s">
        <v>4</v>
      </c>
      <c r="O48" s="5">
        <v>1.75</v>
      </c>
      <c r="P48" s="5">
        <v>0</v>
      </c>
      <c r="Q48" s="63">
        <v>1.75</v>
      </c>
      <c r="R48" s="13"/>
      <c r="S48" s="13"/>
      <c r="T48" s="31"/>
      <c r="U48" s="31"/>
      <c r="V48" s="31"/>
    </row>
    <row r="49" spans="1:23" ht="15.75" thickBot="1" x14ac:dyDescent="0.3">
      <c r="A49" s="7">
        <v>46212</v>
      </c>
      <c r="B49" s="4" t="s">
        <v>4</v>
      </c>
      <c r="C49" s="5">
        <v>2.06</v>
      </c>
      <c r="D49" s="5">
        <v>0</v>
      </c>
      <c r="E49" s="63">
        <v>2.06</v>
      </c>
      <c r="F49" s="2"/>
      <c r="G49" s="7">
        <v>46212</v>
      </c>
      <c r="H49" s="4" t="s">
        <v>4</v>
      </c>
      <c r="I49" s="5">
        <v>2.5</v>
      </c>
      <c r="J49" s="5">
        <v>0</v>
      </c>
      <c r="K49" s="63">
        <v>2.5</v>
      </c>
      <c r="L49" s="13"/>
      <c r="M49" s="7">
        <v>46212</v>
      </c>
      <c r="N49" s="4" t="s">
        <v>4</v>
      </c>
      <c r="O49" s="5">
        <v>1.75</v>
      </c>
      <c r="P49" s="5">
        <v>0</v>
      </c>
      <c r="Q49" s="63">
        <v>1.75</v>
      </c>
      <c r="R49" s="13"/>
      <c r="S49" s="13"/>
      <c r="T49" s="31"/>
      <c r="U49" s="31"/>
      <c r="V49" s="31"/>
    </row>
    <row r="50" spans="1:23" ht="15.75" thickBot="1" x14ac:dyDescent="0.3">
      <c r="A50" s="7">
        <v>46396</v>
      </c>
      <c r="B50" s="4" t="s">
        <v>4</v>
      </c>
      <c r="C50" s="5">
        <v>2.06</v>
      </c>
      <c r="D50" s="5">
        <v>0</v>
      </c>
      <c r="E50" s="63">
        <v>2.06</v>
      </c>
      <c r="F50" s="2"/>
      <c r="G50" s="7">
        <v>46396</v>
      </c>
      <c r="H50" s="4" t="s">
        <v>4</v>
      </c>
      <c r="I50" s="5">
        <v>2.5</v>
      </c>
      <c r="J50" s="5">
        <v>0</v>
      </c>
      <c r="K50" s="63">
        <v>2.5</v>
      </c>
      <c r="L50" s="13"/>
      <c r="M50" s="7">
        <v>46396</v>
      </c>
      <c r="N50" s="4" t="s">
        <v>4</v>
      </c>
      <c r="O50" s="5">
        <v>1.75</v>
      </c>
      <c r="P50" s="5">
        <v>0</v>
      </c>
      <c r="Q50" s="63">
        <v>1.75</v>
      </c>
      <c r="R50" s="13"/>
      <c r="S50" s="13"/>
      <c r="T50" s="31"/>
      <c r="U50" s="31"/>
      <c r="V50" s="31"/>
    </row>
    <row r="51" spans="1:23" ht="15.75" thickBot="1" x14ac:dyDescent="0.3">
      <c r="A51" s="7">
        <v>46577</v>
      </c>
      <c r="B51" s="4" t="s">
        <v>4</v>
      </c>
      <c r="C51" s="5">
        <v>2.06</v>
      </c>
      <c r="D51" s="5">
        <v>0</v>
      </c>
      <c r="E51" s="63">
        <v>2.06</v>
      </c>
      <c r="F51" s="2"/>
      <c r="G51" s="7">
        <v>46577</v>
      </c>
      <c r="H51" s="4" t="s">
        <v>4</v>
      </c>
      <c r="I51" s="5">
        <v>2.5</v>
      </c>
      <c r="J51" s="5">
        <v>4.55</v>
      </c>
      <c r="K51" s="63">
        <v>7.05</v>
      </c>
      <c r="L51" s="13"/>
      <c r="M51" s="7">
        <v>46577</v>
      </c>
      <c r="N51" s="4" t="s">
        <v>4</v>
      </c>
      <c r="O51" s="5">
        <v>1.75</v>
      </c>
      <c r="P51" s="5">
        <v>0</v>
      </c>
      <c r="Q51" s="63">
        <v>1.75</v>
      </c>
      <c r="R51" s="13"/>
      <c r="S51" s="13"/>
      <c r="T51" s="31"/>
      <c r="U51" s="31"/>
      <c r="V51" s="31"/>
    </row>
    <row r="52" spans="1:23" ht="15.75" thickBot="1" x14ac:dyDescent="0.3">
      <c r="A52" s="7">
        <v>46761</v>
      </c>
      <c r="B52" s="4" t="s">
        <v>4</v>
      </c>
      <c r="C52" s="5">
        <v>2.38</v>
      </c>
      <c r="D52" s="5">
        <v>0</v>
      </c>
      <c r="E52" s="63">
        <v>2.38</v>
      </c>
      <c r="F52" s="2"/>
      <c r="G52" s="7">
        <v>46761</v>
      </c>
      <c r="H52" s="4" t="s">
        <v>4</v>
      </c>
      <c r="I52" s="5">
        <v>2.39</v>
      </c>
      <c r="J52" s="5">
        <v>4.55</v>
      </c>
      <c r="K52" s="63">
        <v>6.94</v>
      </c>
      <c r="L52" s="13"/>
      <c r="M52" s="7">
        <v>46761</v>
      </c>
      <c r="N52" s="4" t="s">
        <v>4</v>
      </c>
      <c r="O52" s="5">
        <v>1.75</v>
      </c>
      <c r="P52" s="5">
        <v>3.57</v>
      </c>
      <c r="Q52" s="63">
        <v>5.32</v>
      </c>
      <c r="R52" s="13"/>
      <c r="S52" s="13"/>
      <c r="T52" s="31"/>
      <c r="U52" s="31"/>
      <c r="V52" s="31"/>
    </row>
    <row r="53" spans="1:23" ht="15.75" thickBot="1" x14ac:dyDescent="0.3">
      <c r="A53" s="7">
        <v>46943</v>
      </c>
      <c r="B53" s="4" t="s">
        <v>4</v>
      </c>
      <c r="C53" s="5">
        <v>2.38</v>
      </c>
      <c r="D53" s="5">
        <v>0</v>
      </c>
      <c r="E53" s="63">
        <v>2.38</v>
      </c>
      <c r="F53" s="2"/>
      <c r="G53" s="7">
        <v>46943</v>
      </c>
      <c r="H53" s="4" t="s">
        <v>4</v>
      </c>
      <c r="I53" s="5">
        <v>2.27</v>
      </c>
      <c r="J53" s="5">
        <v>4.55</v>
      </c>
      <c r="K53" s="8">
        <v>6.82</v>
      </c>
      <c r="L53" s="13"/>
      <c r="M53" s="7">
        <v>46943</v>
      </c>
      <c r="N53" s="4" t="s">
        <v>4</v>
      </c>
      <c r="O53" s="5">
        <v>1.69</v>
      </c>
      <c r="P53" s="5">
        <v>3.57</v>
      </c>
      <c r="Q53" s="63">
        <v>5.26</v>
      </c>
      <c r="R53" s="13"/>
      <c r="S53" s="13"/>
      <c r="T53" s="31"/>
      <c r="U53" s="31"/>
      <c r="V53" s="31"/>
    </row>
    <row r="54" spans="1:23" ht="15.75" thickBot="1" x14ac:dyDescent="0.3">
      <c r="A54" s="7">
        <v>47127</v>
      </c>
      <c r="B54" s="4" t="s">
        <v>4</v>
      </c>
      <c r="C54" s="5">
        <v>2.5</v>
      </c>
      <c r="D54" s="5">
        <v>0</v>
      </c>
      <c r="E54" s="63">
        <v>2.5</v>
      </c>
      <c r="F54" s="2"/>
      <c r="G54" s="7">
        <v>47127</v>
      </c>
      <c r="H54" s="4" t="s">
        <v>4</v>
      </c>
      <c r="I54" s="5">
        <v>2.16</v>
      </c>
      <c r="J54" s="5">
        <v>4.55</v>
      </c>
      <c r="K54" s="8">
        <v>6.71</v>
      </c>
      <c r="L54" s="13"/>
      <c r="M54" s="7">
        <v>47127</v>
      </c>
      <c r="N54" s="4" t="s">
        <v>4</v>
      </c>
      <c r="O54" s="5">
        <v>1.63</v>
      </c>
      <c r="P54" s="5">
        <v>3.57</v>
      </c>
      <c r="Q54" s="63">
        <v>5.2</v>
      </c>
      <c r="R54" s="13"/>
      <c r="S54" s="13"/>
      <c r="T54" s="31"/>
      <c r="U54" s="31"/>
      <c r="V54" s="31"/>
    </row>
    <row r="55" spans="1:23" ht="15.75" thickBot="1" x14ac:dyDescent="0.3">
      <c r="A55" s="7">
        <v>47308</v>
      </c>
      <c r="B55" s="4" t="s">
        <v>4</v>
      </c>
      <c r="C55" s="5">
        <v>2.5</v>
      </c>
      <c r="D55" s="5">
        <v>0</v>
      </c>
      <c r="E55" s="63">
        <v>2.5</v>
      </c>
      <c r="F55" s="2"/>
      <c r="G55" s="7">
        <v>47308</v>
      </c>
      <c r="H55" s="4" t="s">
        <v>4</v>
      </c>
      <c r="I55" s="5">
        <v>2.0499999999999998</v>
      </c>
      <c r="J55" s="5">
        <v>4.55</v>
      </c>
      <c r="K55" s="8">
        <v>6.6</v>
      </c>
      <c r="L55" s="13"/>
      <c r="M55" s="7">
        <v>47308</v>
      </c>
      <c r="N55" s="4" t="s">
        <v>4</v>
      </c>
      <c r="O55" s="5">
        <v>1.56</v>
      </c>
      <c r="P55" s="5">
        <v>3.57</v>
      </c>
      <c r="Q55" s="8">
        <v>5.13</v>
      </c>
      <c r="R55" s="13"/>
      <c r="S55" s="13"/>
      <c r="T55" s="31"/>
      <c r="U55" s="31"/>
      <c r="V55" s="31"/>
    </row>
    <row r="56" spans="1:23" ht="15.75" thickBot="1" x14ac:dyDescent="0.3">
      <c r="A56" s="7">
        <v>47492</v>
      </c>
      <c r="B56" s="4" t="s">
        <v>4</v>
      </c>
      <c r="C56" s="5">
        <v>2.5</v>
      </c>
      <c r="D56" s="5">
        <v>0</v>
      </c>
      <c r="E56" s="63">
        <v>2.5</v>
      </c>
      <c r="F56" s="2"/>
      <c r="G56" s="7">
        <v>47492</v>
      </c>
      <c r="H56" s="4" t="s">
        <v>4</v>
      </c>
      <c r="I56" s="5">
        <v>1.93</v>
      </c>
      <c r="J56" s="5">
        <v>4.55</v>
      </c>
      <c r="K56" s="8">
        <v>6.48</v>
      </c>
      <c r="L56" s="13"/>
      <c r="M56" s="7">
        <v>47492</v>
      </c>
      <c r="N56" s="4" t="s">
        <v>4</v>
      </c>
      <c r="O56" s="5">
        <v>2.09</v>
      </c>
      <c r="P56" s="5">
        <v>3.57</v>
      </c>
      <c r="Q56" s="8">
        <v>5.66</v>
      </c>
      <c r="R56" s="13"/>
      <c r="S56" s="13"/>
      <c r="T56" s="31"/>
      <c r="U56" s="31"/>
      <c r="V56" s="31"/>
    </row>
    <row r="57" spans="1:23" ht="15.75" thickBot="1" x14ac:dyDescent="0.3">
      <c r="A57" s="7">
        <v>47673</v>
      </c>
      <c r="B57" s="4" t="s">
        <v>4</v>
      </c>
      <c r="C57" s="5">
        <v>2.5</v>
      </c>
      <c r="D57" s="5">
        <v>0</v>
      </c>
      <c r="E57" s="63">
        <v>2.5</v>
      </c>
      <c r="F57" s="2"/>
      <c r="G57" s="7">
        <v>47673</v>
      </c>
      <c r="H57" s="4" t="s">
        <v>4</v>
      </c>
      <c r="I57" s="5">
        <v>1.82</v>
      </c>
      <c r="J57" s="5">
        <v>4.55</v>
      </c>
      <c r="K57" s="8">
        <v>6.37</v>
      </c>
      <c r="L57" s="13"/>
      <c r="M57" s="7">
        <v>47673</v>
      </c>
      <c r="N57" s="4" t="s">
        <v>4</v>
      </c>
      <c r="O57" s="5">
        <v>2</v>
      </c>
      <c r="P57" s="5">
        <v>3.57</v>
      </c>
      <c r="Q57" s="8">
        <v>5.57</v>
      </c>
      <c r="R57" s="13"/>
      <c r="S57" s="13"/>
      <c r="T57" s="31"/>
      <c r="U57" s="31"/>
      <c r="V57" s="31"/>
    </row>
    <row r="58" spans="1:23" ht="15.75" thickBot="1" x14ac:dyDescent="0.3">
      <c r="A58" s="7">
        <v>47857</v>
      </c>
      <c r="B58" s="4" t="s">
        <v>4</v>
      </c>
      <c r="C58" s="5">
        <v>2.5</v>
      </c>
      <c r="D58" s="5">
        <v>10</v>
      </c>
      <c r="E58" s="8">
        <v>12.5</v>
      </c>
      <c r="F58" s="2"/>
      <c r="G58" s="7">
        <v>47857</v>
      </c>
      <c r="H58" s="4" t="s">
        <v>4</v>
      </c>
      <c r="I58" s="5">
        <v>1.7</v>
      </c>
      <c r="J58" s="5">
        <v>4.55</v>
      </c>
      <c r="K58" s="8">
        <v>6.25</v>
      </c>
      <c r="L58" s="13"/>
      <c r="M58" s="7">
        <v>47857</v>
      </c>
      <c r="N58" s="4" t="s">
        <v>4</v>
      </c>
      <c r="O58" s="5">
        <v>1.92</v>
      </c>
      <c r="P58" s="5">
        <v>3.57</v>
      </c>
      <c r="Q58" s="8">
        <v>5.49</v>
      </c>
      <c r="R58" s="13"/>
      <c r="S58" s="13"/>
      <c r="T58" s="31"/>
      <c r="U58" s="31"/>
      <c r="V58" s="31"/>
    </row>
    <row r="59" spans="1:23" ht="15.75" thickBot="1" x14ac:dyDescent="0.3">
      <c r="A59" s="7">
        <v>48038</v>
      </c>
      <c r="B59" s="4" t="s">
        <v>4</v>
      </c>
      <c r="C59" s="5">
        <v>2.25</v>
      </c>
      <c r="D59" s="5">
        <v>10</v>
      </c>
      <c r="E59" s="8">
        <v>12.25</v>
      </c>
      <c r="F59" s="2"/>
      <c r="G59" s="7">
        <v>48038</v>
      </c>
      <c r="H59" s="4" t="s">
        <v>4</v>
      </c>
      <c r="I59" s="5">
        <v>1.59</v>
      </c>
      <c r="J59" s="5">
        <v>4.55</v>
      </c>
      <c r="K59" s="8">
        <v>6.14</v>
      </c>
      <c r="L59" s="13"/>
      <c r="M59" s="7">
        <v>48038</v>
      </c>
      <c r="N59" s="4" t="s">
        <v>4</v>
      </c>
      <c r="O59" s="5">
        <v>1.83</v>
      </c>
      <c r="P59" s="5">
        <v>3.57</v>
      </c>
      <c r="Q59" s="8">
        <v>5.4</v>
      </c>
      <c r="R59" s="13"/>
      <c r="S59" s="13"/>
      <c r="T59" s="31"/>
      <c r="U59" s="31"/>
      <c r="V59" s="31"/>
    </row>
    <row r="60" spans="1:23" ht="15.75" thickBot="1" x14ac:dyDescent="0.3">
      <c r="A60" s="7">
        <v>48222</v>
      </c>
      <c r="B60" s="4" t="s">
        <v>4</v>
      </c>
      <c r="C60" s="5">
        <v>2</v>
      </c>
      <c r="D60" s="5">
        <v>10</v>
      </c>
      <c r="E60" s="8">
        <v>12</v>
      </c>
      <c r="F60" s="2"/>
      <c r="G60" s="7">
        <v>48222</v>
      </c>
      <c r="H60" s="4" t="s">
        <v>4</v>
      </c>
      <c r="I60" s="5">
        <v>1.48</v>
      </c>
      <c r="J60" s="5">
        <v>4.55</v>
      </c>
      <c r="K60" s="8">
        <v>6.03</v>
      </c>
      <c r="L60" s="2"/>
      <c r="M60" s="7">
        <v>48222</v>
      </c>
      <c r="N60" s="4" t="s">
        <v>4</v>
      </c>
      <c r="O60" s="5">
        <v>1.74</v>
      </c>
      <c r="P60" s="5">
        <v>3.57</v>
      </c>
      <c r="Q60" s="8">
        <v>5.31</v>
      </c>
      <c r="S60" s="13"/>
      <c r="T60" s="13"/>
      <c r="U60" s="31"/>
      <c r="V60" s="31"/>
      <c r="W60" s="31"/>
    </row>
    <row r="61" spans="1:23" ht="15.75" thickBot="1" x14ac:dyDescent="0.3">
      <c r="A61" s="7">
        <v>48404</v>
      </c>
      <c r="B61" s="4" t="s">
        <v>4</v>
      </c>
      <c r="C61" s="5">
        <v>1.75</v>
      </c>
      <c r="D61" s="5">
        <v>10</v>
      </c>
      <c r="E61" s="8">
        <v>11.75</v>
      </c>
      <c r="F61" s="2"/>
      <c r="G61" s="7">
        <v>48404</v>
      </c>
      <c r="H61" s="4" t="s">
        <v>4</v>
      </c>
      <c r="I61" s="5">
        <v>1.36</v>
      </c>
      <c r="J61" s="5">
        <v>4.55</v>
      </c>
      <c r="K61" s="8">
        <v>5.91</v>
      </c>
      <c r="L61" s="2"/>
      <c r="M61" s="7">
        <v>48404</v>
      </c>
      <c r="N61" s="4" t="s">
        <v>4</v>
      </c>
      <c r="O61" s="5">
        <v>1.65</v>
      </c>
      <c r="P61" s="5">
        <v>3.57</v>
      </c>
      <c r="Q61" s="8">
        <v>5.22</v>
      </c>
      <c r="S61" s="13"/>
      <c r="T61" s="13"/>
      <c r="U61" s="31"/>
      <c r="V61" s="31"/>
      <c r="W61" s="31"/>
    </row>
    <row r="62" spans="1:23" ht="15.75" thickBot="1" x14ac:dyDescent="0.3">
      <c r="A62" s="7">
        <v>48588</v>
      </c>
      <c r="B62" s="4" t="s">
        <v>4</v>
      </c>
      <c r="C62" s="5">
        <v>1.5</v>
      </c>
      <c r="D62" s="5">
        <v>10</v>
      </c>
      <c r="E62" s="8">
        <v>11.5</v>
      </c>
      <c r="F62" s="2"/>
      <c r="G62" s="7">
        <v>48588</v>
      </c>
      <c r="H62" s="4" t="s">
        <v>4</v>
      </c>
      <c r="I62" s="5">
        <v>1.25</v>
      </c>
      <c r="J62" s="5">
        <v>4.55</v>
      </c>
      <c r="K62" s="8">
        <v>5.8</v>
      </c>
      <c r="L62" s="2"/>
      <c r="M62" s="7">
        <v>48588</v>
      </c>
      <c r="N62" s="4" t="s">
        <v>4</v>
      </c>
      <c r="O62" s="5">
        <v>1.57</v>
      </c>
      <c r="P62" s="5">
        <v>3.57</v>
      </c>
      <c r="Q62" s="8">
        <v>5.14</v>
      </c>
      <c r="S62" s="13"/>
      <c r="T62" s="13"/>
      <c r="U62" s="31"/>
      <c r="V62" s="31"/>
      <c r="W62" s="31"/>
    </row>
    <row r="63" spans="1:23" ht="15.75" thickBot="1" x14ac:dyDescent="0.3">
      <c r="A63" s="7">
        <v>48769</v>
      </c>
      <c r="B63" s="4" t="s">
        <v>4</v>
      </c>
      <c r="C63" s="5">
        <v>1.25</v>
      </c>
      <c r="D63" s="5">
        <v>10</v>
      </c>
      <c r="E63" s="8">
        <v>11.25</v>
      </c>
      <c r="F63" s="2"/>
      <c r="G63" s="7">
        <v>48769</v>
      </c>
      <c r="H63" s="4" t="s">
        <v>4</v>
      </c>
      <c r="I63" s="5">
        <v>1.1399999999999999</v>
      </c>
      <c r="J63" s="5">
        <v>4.55</v>
      </c>
      <c r="K63" s="8">
        <v>5.69</v>
      </c>
      <c r="L63" s="2"/>
      <c r="M63" s="7">
        <v>48769</v>
      </c>
      <c r="N63" s="4" t="s">
        <v>4</v>
      </c>
      <c r="O63" s="5">
        <v>1.48</v>
      </c>
      <c r="P63" s="5">
        <v>3.57</v>
      </c>
      <c r="Q63" s="8">
        <v>5.05</v>
      </c>
      <c r="S63" s="13"/>
      <c r="T63" s="13"/>
      <c r="U63" s="31"/>
      <c r="V63" s="31"/>
      <c r="W63" s="31"/>
    </row>
    <row r="64" spans="1:23" ht="15.75" thickBot="1" x14ac:dyDescent="0.3">
      <c r="A64" s="7">
        <v>48953</v>
      </c>
      <c r="B64" s="4" t="s">
        <v>4</v>
      </c>
      <c r="C64" s="5">
        <v>1</v>
      </c>
      <c r="D64" s="5">
        <v>10</v>
      </c>
      <c r="E64" s="8">
        <v>11</v>
      </c>
      <c r="F64" s="2"/>
      <c r="G64" s="7">
        <v>48953</v>
      </c>
      <c r="H64" s="4" t="s">
        <v>4</v>
      </c>
      <c r="I64" s="5">
        <v>1.02</v>
      </c>
      <c r="J64" s="5">
        <v>4.55</v>
      </c>
      <c r="K64" s="8">
        <v>5.57</v>
      </c>
      <c r="L64" s="2"/>
      <c r="M64" s="7">
        <v>48953</v>
      </c>
      <c r="N64" s="4" t="s">
        <v>4</v>
      </c>
      <c r="O64" s="5">
        <v>1.39</v>
      </c>
      <c r="P64" s="5">
        <v>3.57</v>
      </c>
      <c r="Q64" s="8">
        <v>4.96</v>
      </c>
      <c r="S64" s="13"/>
      <c r="T64" s="13"/>
      <c r="U64" s="31"/>
      <c r="V64" s="31"/>
      <c r="W64" s="31"/>
    </row>
    <row r="65" spans="1:23" ht="15.75" thickBot="1" x14ac:dyDescent="0.3">
      <c r="A65" s="7">
        <v>49134</v>
      </c>
      <c r="B65" s="4" t="s">
        <v>4</v>
      </c>
      <c r="C65" s="5">
        <v>0.75</v>
      </c>
      <c r="D65" s="5">
        <v>10</v>
      </c>
      <c r="E65" s="8">
        <v>10.75</v>
      </c>
      <c r="F65" s="2"/>
      <c r="G65" s="7">
        <v>49134</v>
      </c>
      <c r="H65" s="4" t="s">
        <v>4</v>
      </c>
      <c r="I65" s="5">
        <v>0.91</v>
      </c>
      <c r="J65" s="5">
        <v>4.55</v>
      </c>
      <c r="K65" s="8">
        <v>5.46</v>
      </c>
      <c r="L65" s="2"/>
      <c r="M65" s="7">
        <v>49134</v>
      </c>
      <c r="N65" s="4" t="s">
        <v>4</v>
      </c>
      <c r="O65" s="5">
        <v>1.31</v>
      </c>
      <c r="P65" s="5">
        <v>3.57</v>
      </c>
      <c r="Q65" s="8">
        <v>4.88</v>
      </c>
      <c r="S65" s="13"/>
      <c r="T65" s="13"/>
      <c r="U65" s="31"/>
      <c r="V65" s="31"/>
      <c r="W65" s="31"/>
    </row>
    <row r="66" spans="1:23" ht="15.75" thickBot="1" x14ac:dyDescent="0.3">
      <c r="A66" s="7">
        <v>49318</v>
      </c>
      <c r="B66" s="4" t="s">
        <v>4</v>
      </c>
      <c r="C66" s="5">
        <v>0.5</v>
      </c>
      <c r="D66" s="5">
        <v>10</v>
      </c>
      <c r="E66" s="8">
        <v>10.5</v>
      </c>
      <c r="F66" s="2"/>
      <c r="G66" s="7">
        <v>49318</v>
      </c>
      <c r="H66" s="4" t="s">
        <v>4</v>
      </c>
      <c r="I66" s="5">
        <v>0.8</v>
      </c>
      <c r="J66" s="5">
        <v>4.55</v>
      </c>
      <c r="K66" s="8">
        <v>5.35</v>
      </c>
      <c r="L66" s="2"/>
      <c r="M66" s="7">
        <v>49318</v>
      </c>
      <c r="N66" s="4" t="s">
        <v>4</v>
      </c>
      <c r="O66" s="5">
        <v>1.22</v>
      </c>
      <c r="P66" s="5">
        <v>3.57</v>
      </c>
      <c r="Q66" s="8">
        <v>4.79</v>
      </c>
      <c r="S66" s="13"/>
      <c r="T66" s="13"/>
      <c r="U66" s="31"/>
      <c r="V66" s="31"/>
      <c r="W66" s="31"/>
    </row>
    <row r="67" spans="1:23" ht="15.75" thickBot="1" x14ac:dyDescent="0.3">
      <c r="A67" s="7">
        <v>49499</v>
      </c>
      <c r="B67" s="4" t="s">
        <v>4</v>
      </c>
      <c r="C67" s="5">
        <v>0.25</v>
      </c>
      <c r="D67" s="5">
        <v>10</v>
      </c>
      <c r="E67" s="8">
        <v>10.25</v>
      </c>
      <c r="F67" s="2"/>
      <c r="G67" s="7">
        <v>49499</v>
      </c>
      <c r="H67" s="4" t="s">
        <v>4</v>
      </c>
      <c r="I67" s="5">
        <v>0.68</v>
      </c>
      <c r="J67" s="5">
        <v>4.55</v>
      </c>
      <c r="K67" s="8">
        <v>5.23</v>
      </c>
      <c r="L67" s="2"/>
      <c r="M67" s="7">
        <v>49499</v>
      </c>
      <c r="N67" s="4" t="s">
        <v>4</v>
      </c>
      <c r="O67" s="5">
        <v>1.1299999999999999</v>
      </c>
      <c r="P67" s="5">
        <v>3.57</v>
      </c>
      <c r="Q67" s="8">
        <v>4.7</v>
      </c>
      <c r="S67" s="13"/>
      <c r="T67" s="13"/>
      <c r="U67" s="31"/>
      <c r="V67" s="31"/>
      <c r="W67" s="31"/>
    </row>
    <row r="68" spans="1:23" ht="15.75" thickBot="1" x14ac:dyDescent="0.3">
      <c r="A68" s="9"/>
      <c r="B68" s="10"/>
      <c r="C68" s="11">
        <f>SUM(C39:C67)</f>
        <v>47.11</v>
      </c>
      <c r="D68" s="11">
        <f>SUM(D39:D67)</f>
        <v>100</v>
      </c>
      <c r="E68" s="12">
        <f>SUM(E39:E67)</f>
        <v>147.11000000000001</v>
      </c>
      <c r="F68" s="2"/>
      <c r="G68" s="7">
        <v>49683</v>
      </c>
      <c r="H68" s="4" t="s">
        <v>4</v>
      </c>
      <c r="I68" s="5">
        <v>0.56999999999999995</v>
      </c>
      <c r="J68" s="5">
        <v>4.55</v>
      </c>
      <c r="K68" s="8">
        <v>5.12</v>
      </c>
      <c r="L68" s="2"/>
      <c r="M68" s="7">
        <v>49683</v>
      </c>
      <c r="N68" s="4" t="s">
        <v>4</v>
      </c>
      <c r="O68" s="5">
        <v>1.04</v>
      </c>
      <c r="P68" s="5">
        <v>3.57</v>
      </c>
      <c r="Q68" s="8">
        <v>4.6100000000000003</v>
      </c>
      <c r="S68" s="13"/>
      <c r="T68" s="13"/>
      <c r="U68" s="31"/>
      <c r="V68" s="31"/>
      <c r="W68" s="31"/>
    </row>
    <row r="69" spans="1:23" ht="15.75" thickBot="1" x14ac:dyDescent="0.3">
      <c r="B69" s="2"/>
      <c r="F69" s="2"/>
      <c r="G69" s="7">
        <v>49865</v>
      </c>
      <c r="H69" s="4" t="s">
        <v>4</v>
      </c>
      <c r="I69" s="5">
        <v>0.45</v>
      </c>
      <c r="J69" s="5">
        <v>4.55</v>
      </c>
      <c r="K69" s="8">
        <v>5</v>
      </c>
      <c r="L69" s="2"/>
      <c r="M69" s="7">
        <v>49865</v>
      </c>
      <c r="N69" s="4" t="s">
        <v>4</v>
      </c>
      <c r="O69" s="5">
        <v>0.96</v>
      </c>
      <c r="P69" s="5">
        <v>3.57</v>
      </c>
      <c r="Q69" s="8">
        <v>4.53</v>
      </c>
      <c r="S69" s="13"/>
      <c r="T69" s="13"/>
      <c r="U69" s="31"/>
      <c r="V69" s="31"/>
      <c r="W69" s="31"/>
    </row>
    <row r="70" spans="1:23" ht="15.75" thickBot="1" x14ac:dyDescent="0.3">
      <c r="B70" s="2"/>
      <c r="F70" s="2"/>
      <c r="G70" s="7">
        <v>50049</v>
      </c>
      <c r="H70" s="4" t="s">
        <v>4</v>
      </c>
      <c r="I70" s="5">
        <v>0.34</v>
      </c>
      <c r="J70" s="5">
        <v>4.55</v>
      </c>
      <c r="K70" s="8">
        <v>4.8899999999999997</v>
      </c>
      <c r="L70" s="2"/>
      <c r="M70" s="7">
        <v>50049</v>
      </c>
      <c r="N70" s="4" t="s">
        <v>4</v>
      </c>
      <c r="O70" s="5">
        <v>0.87</v>
      </c>
      <c r="P70" s="5">
        <v>3.57</v>
      </c>
      <c r="Q70" s="8">
        <v>4.4400000000000004</v>
      </c>
      <c r="S70" s="13"/>
      <c r="T70" s="13"/>
      <c r="U70" s="31"/>
      <c r="V70" s="31"/>
      <c r="W70" s="31"/>
    </row>
    <row r="71" spans="1:23" ht="15.75" thickBot="1" x14ac:dyDescent="0.3">
      <c r="B71" s="2"/>
      <c r="F71" s="2"/>
      <c r="G71" s="7">
        <v>50230</v>
      </c>
      <c r="H71" s="4" t="s">
        <v>4</v>
      </c>
      <c r="I71" s="5">
        <v>0.23</v>
      </c>
      <c r="J71" s="5">
        <v>4.55</v>
      </c>
      <c r="K71" s="8">
        <v>4.78</v>
      </c>
      <c r="L71" s="2"/>
      <c r="M71" s="7">
        <v>50230</v>
      </c>
      <c r="N71" s="4" t="s">
        <v>4</v>
      </c>
      <c r="O71" s="5">
        <v>0.78</v>
      </c>
      <c r="P71" s="5">
        <v>3.57</v>
      </c>
      <c r="Q71" s="8">
        <v>4.3499999999999996</v>
      </c>
      <c r="S71" s="13"/>
      <c r="T71" s="13"/>
      <c r="U71" s="31"/>
      <c r="V71" s="31"/>
      <c r="W71" s="31"/>
    </row>
    <row r="72" spans="1:23" ht="15.75" thickBot="1" x14ac:dyDescent="0.3">
      <c r="B72" s="2"/>
      <c r="F72" s="2"/>
      <c r="G72" s="7">
        <v>50414</v>
      </c>
      <c r="H72" s="4" t="s">
        <v>4</v>
      </c>
      <c r="I72" s="5">
        <v>0.11</v>
      </c>
      <c r="J72" s="5">
        <v>4.55</v>
      </c>
      <c r="K72" s="8">
        <v>4.66</v>
      </c>
      <c r="L72" s="2"/>
      <c r="M72" s="7">
        <v>50414</v>
      </c>
      <c r="N72" s="4" t="s">
        <v>4</v>
      </c>
      <c r="O72" s="5">
        <v>0.7</v>
      </c>
      <c r="P72" s="5">
        <v>3.57</v>
      </c>
      <c r="Q72" s="8">
        <v>4.2699999999999996</v>
      </c>
      <c r="S72" s="13"/>
      <c r="T72" s="13"/>
      <c r="U72" s="31"/>
      <c r="V72" s="31"/>
      <c r="W72" s="31"/>
    </row>
    <row r="73" spans="1:23" ht="15.75" thickBot="1" x14ac:dyDescent="0.3">
      <c r="B73" s="2"/>
      <c r="F73" s="2"/>
      <c r="G73" s="9"/>
      <c r="H73" s="15"/>
      <c r="I73" s="11">
        <f>SUM(I39:I72)</f>
        <v>51.370000000000005</v>
      </c>
      <c r="J73" s="11">
        <f>SUM(J39:J72)</f>
        <v>100.09999999999997</v>
      </c>
      <c r="K73" s="12">
        <f>SUM(K39:K72)</f>
        <v>151.46999999999997</v>
      </c>
      <c r="L73" s="2"/>
      <c r="M73" s="7">
        <v>50595</v>
      </c>
      <c r="N73" s="4" t="s">
        <v>4</v>
      </c>
      <c r="O73" s="5">
        <v>0.61</v>
      </c>
      <c r="P73" s="5">
        <v>3.57</v>
      </c>
      <c r="Q73" s="8">
        <v>4.18</v>
      </c>
      <c r="S73" s="13"/>
      <c r="T73" s="13"/>
      <c r="U73" s="31"/>
      <c r="V73" s="31"/>
      <c r="W73" s="31"/>
    </row>
    <row r="74" spans="1:23" ht="15.75" thickBot="1" x14ac:dyDescent="0.3">
      <c r="B74" s="2"/>
      <c r="F74" s="2"/>
      <c r="L74" s="2"/>
      <c r="M74" s="7">
        <v>50779</v>
      </c>
      <c r="N74" s="4" t="s">
        <v>4</v>
      </c>
      <c r="O74" s="5">
        <v>0.52</v>
      </c>
      <c r="P74" s="5">
        <v>3.57</v>
      </c>
      <c r="Q74" s="8">
        <v>4.09</v>
      </c>
      <c r="S74" s="13"/>
      <c r="T74" s="13"/>
      <c r="U74" s="31"/>
      <c r="V74" s="31"/>
      <c r="W74" s="31"/>
    </row>
    <row r="75" spans="1:23" ht="15.75" thickBot="1" x14ac:dyDescent="0.3">
      <c r="B75" s="2"/>
      <c r="F75" s="2"/>
      <c r="L75" s="2"/>
      <c r="M75" s="7">
        <v>50960</v>
      </c>
      <c r="N75" s="4" t="s">
        <v>4</v>
      </c>
      <c r="O75" s="5">
        <v>0.44</v>
      </c>
      <c r="P75" s="5">
        <v>3.57</v>
      </c>
      <c r="Q75" s="8">
        <v>4.01</v>
      </c>
      <c r="S75" s="13"/>
      <c r="T75" s="13"/>
      <c r="U75" s="31"/>
      <c r="V75" s="31"/>
      <c r="W75" s="31"/>
    </row>
    <row r="76" spans="1:23" ht="15.75" thickBot="1" x14ac:dyDescent="0.3">
      <c r="B76" s="2"/>
      <c r="F76" s="26"/>
      <c r="L76" s="2"/>
      <c r="M76" s="7">
        <v>51144</v>
      </c>
      <c r="N76" s="4" t="s">
        <v>4</v>
      </c>
      <c r="O76" s="5">
        <v>0.35</v>
      </c>
      <c r="P76" s="5">
        <v>3.57</v>
      </c>
      <c r="Q76" s="8">
        <v>3.92</v>
      </c>
    </row>
    <row r="77" spans="1:23" ht="15.75" thickBot="1" x14ac:dyDescent="0.3">
      <c r="B77" s="2"/>
      <c r="F77" s="26"/>
      <c r="L77" s="2"/>
      <c r="M77" s="7">
        <v>51326</v>
      </c>
      <c r="N77" s="4" t="s">
        <v>4</v>
      </c>
      <c r="O77" s="5">
        <v>0.26</v>
      </c>
      <c r="P77" s="5">
        <v>3.57</v>
      </c>
      <c r="Q77" s="8">
        <v>3.83</v>
      </c>
    </row>
    <row r="78" spans="1:23" ht="15.75" thickBot="1" x14ac:dyDescent="0.3">
      <c r="B78" s="2"/>
      <c r="F78" s="26"/>
      <c r="L78" s="2"/>
      <c r="M78" s="7">
        <v>51510</v>
      </c>
      <c r="N78" s="4" t="s">
        <v>4</v>
      </c>
      <c r="O78" s="5">
        <v>0.17</v>
      </c>
      <c r="P78" s="5">
        <v>3.57</v>
      </c>
      <c r="Q78" s="8">
        <v>3.74</v>
      </c>
    </row>
    <row r="79" spans="1:23" ht="15.75" thickBot="1" x14ac:dyDescent="0.3">
      <c r="B79" s="2"/>
      <c r="F79" s="26"/>
      <c r="L79" s="2"/>
      <c r="M79" s="7">
        <v>51691</v>
      </c>
      <c r="N79" s="4" t="s">
        <v>4</v>
      </c>
      <c r="O79" s="5">
        <v>0.09</v>
      </c>
      <c r="P79" s="5">
        <v>3.57</v>
      </c>
      <c r="Q79" s="8">
        <v>3.66</v>
      </c>
    </row>
    <row r="80" spans="1:23" ht="15.75" thickBot="1" x14ac:dyDescent="0.3">
      <c r="B80" s="2"/>
      <c r="F80" s="13"/>
      <c r="M80" s="9"/>
      <c r="N80" s="15"/>
      <c r="O80" s="11">
        <f>SUM(O39:O79)</f>
        <v>52.750000000000007</v>
      </c>
      <c r="P80" s="11">
        <f>SUM(P39:P79)</f>
        <v>99.959999999999923</v>
      </c>
      <c r="Q80" s="12">
        <f>SUM(Q39:Q79)</f>
        <v>152.70999999999998</v>
      </c>
    </row>
    <row r="81" spans="1:13" x14ac:dyDescent="0.25">
      <c r="B81" s="2"/>
      <c r="F81" s="13"/>
    </row>
    <row r="82" spans="1:13" x14ac:dyDescent="0.25">
      <c r="B82" s="2"/>
      <c r="F82" s="13"/>
    </row>
    <row r="83" spans="1:13" x14ac:dyDescent="0.25">
      <c r="B83" s="2"/>
      <c r="F83" s="13"/>
    </row>
    <row r="84" spans="1:13" x14ac:dyDescent="0.25">
      <c r="A84" s="13"/>
      <c r="B84" s="26"/>
      <c r="C84" s="13"/>
      <c r="D84" s="13"/>
      <c r="E84" s="13"/>
      <c r="F84" s="13"/>
      <c r="M84" s="2"/>
    </row>
    <row r="85" spans="1:13" x14ac:dyDescent="0.25">
      <c r="A85" s="27"/>
      <c r="B85" s="28"/>
      <c r="C85" s="13"/>
      <c r="D85" s="26"/>
      <c r="E85" s="26"/>
      <c r="F85" s="2"/>
      <c r="G85" s="2"/>
      <c r="H85" s="2"/>
      <c r="I85" s="2"/>
      <c r="J85" s="2"/>
      <c r="K85" s="2"/>
      <c r="L85" s="2"/>
    </row>
    <row r="86" spans="1:13" x14ac:dyDescent="0.25">
      <c r="A86" s="27"/>
      <c r="B86" s="28"/>
      <c r="C86" s="13"/>
      <c r="D86" s="26"/>
      <c r="E86" s="26"/>
      <c r="F86" s="2"/>
      <c r="G86" s="2"/>
      <c r="H86" s="2"/>
      <c r="I86" s="2"/>
      <c r="J86" s="2"/>
      <c r="K86" s="2"/>
      <c r="L86" s="2"/>
    </row>
    <row r="87" spans="1:13" x14ac:dyDescent="0.25">
      <c r="A87" s="27"/>
      <c r="B87" s="28"/>
      <c r="C87" s="13"/>
      <c r="D87" s="26"/>
      <c r="E87" s="26"/>
      <c r="F87" s="2"/>
      <c r="G87" s="2"/>
      <c r="H87" s="2"/>
      <c r="I87" s="2"/>
      <c r="J87" s="2"/>
      <c r="K87" s="2"/>
      <c r="L87" s="2"/>
    </row>
    <row r="88" spans="1:13" x14ac:dyDescent="0.25">
      <c r="A88" s="27"/>
      <c r="B88" s="28"/>
      <c r="C88" s="13"/>
      <c r="D88" s="26"/>
      <c r="E88" s="26"/>
      <c r="F88" s="2"/>
      <c r="G88" s="2"/>
      <c r="H88" s="2"/>
      <c r="I88" s="2"/>
      <c r="J88" s="2"/>
      <c r="K88" s="2"/>
      <c r="L88" s="2"/>
    </row>
    <row r="89" spans="1:13" x14ac:dyDescent="0.25">
      <c r="A89" s="27"/>
      <c r="B89" s="28"/>
      <c r="C89" s="13"/>
      <c r="D89" s="26"/>
      <c r="E89" s="26"/>
      <c r="F89" s="2"/>
      <c r="G89" s="2"/>
      <c r="H89" s="2"/>
      <c r="I89" s="2"/>
      <c r="J89" s="2"/>
      <c r="K89" s="2"/>
      <c r="L89" s="2"/>
    </row>
    <row r="90" spans="1:13" x14ac:dyDescent="0.25">
      <c r="A90" s="1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</row>
    <row r="91" spans="1:13" x14ac:dyDescent="0.25"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</row>
    <row r="92" spans="1:13" x14ac:dyDescent="0.25">
      <c r="B92" s="2"/>
      <c r="F92" s="2"/>
      <c r="G92" s="2"/>
      <c r="H92" s="2"/>
      <c r="I92" s="2"/>
      <c r="J92" s="2"/>
      <c r="K92" s="2"/>
      <c r="L92" s="2"/>
    </row>
    <row r="93" spans="1:13" x14ac:dyDescent="0.25">
      <c r="B93" s="2"/>
      <c r="F93" s="2"/>
      <c r="G93" s="2"/>
      <c r="H93" s="2"/>
      <c r="I93" s="2"/>
      <c r="J93" s="2"/>
      <c r="K93" s="2"/>
      <c r="L93" s="2"/>
    </row>
    <row r="94" spans="1:13" x14ac:dyDescent="0.25">
      <c r="B94" s="2"/>
      <c r="F94" s="2"/>
      <c r="G94" s="2"/>
      <c r="H94" s="2"/>
      <c r="I94" s="2"/>
      <c r="J94" s="2"/>
      <c r="K94" s="2"/>
      <c r="L94" s="2"/>
    </row>
    <row r="95" spans="1:13" x14ac:dyDescent="0.25">
      <c r="B95" s="2"/>
      <c r="F95" s="2"/>
      <c r="G95" s="2"/>
      <c r="H95" s="2"/>
      <c r="I95" s="2"/>
      <c r="J95" s="2"/>
      <c r="K95" s="2"/>
      <c r="L95" s="2"/>
    </row>
    <row r="96" spans="1:13" x14ac:dyDescent="0.25">
      <c r="B96" s="2"/>
      <c r="F96" s="2"/>
      <c r="G96" s="2"/>
      <c r="H96" s="2"/>
      <c r="I96" s="2"/>
      <c r="J96" s="2"/>
      <c r="K96" s="2"/>
      <c r="L96" s="2"/>
    </row>
    <row r="97" spans="2:12" x14ac:dyDescent="0.25">
      <c r="B97" s="2"/>
      <c r="F97" s="2"/>
      <c r="G97" s="2"/>
      <c r="H97" s="2"/>
      <c r="I97" s="2"/>
      <c r="J97" s="2"/>
      <c r="K97" s="2"/>
      <c r="L97" s="2"/>
    </row>
    <row r="98" spans="2:12" x14ac:dyDescent="0.25">
      <c r="B98" s="2"/>
      <c r="F98" s="2"/>
      <c r="G98" s="2"/>
      <c r="H98" s="2"/>
      <c r="I98" s="2"/>
      <c r="J98" s="2"/>
      <c r="K98" s="2"/>
      <c r="L98" s="2"/>
    </row>
    <row r="99" spans="2:12" x14ac:dyDescent="0.25">
      <c r="B99" s="2"/>
      <c r="F99" s="2"/>
      <c r="G99" s="2"/>
      <c r="H99" s="2"/>
      <c r="I99" s="2"/>
      <c r="J99" s="2"/>
      <c r="K99" s="2"/>
      <c r="L99" s="2"/>
    </row>
    <row r="100" spans="2:12" x14ac:dyDescent="0.25">
      <c r="B100" s="2"/>
      <c r="F100" s="2"/>
      <c r="G100" s="2"/>
      <c r="H100" s="2"/>
      <c r="I100" s="2"/>
      <c r="J100" s="2"/>
      <c r="K100" s="2"/>
      <c r="L100" s="2"/>
    </row>
    <row r="101" spans="2:12" x14ac:dyDescent="0.25">
      <c r="B101" s="2"/>
      <c r="F101" s="2"/>
      <c r="G101" s="2"/>
      <c r="H101" s="2"/>
      <c r="I101" s="2"/>
      <c r="J101" s="2"/>
      <c r="K101" s="2"/>
      <c r="L101" s="2"/>
    </row>
    <row r="102" spans="2:12" x14ac:dyDescent="0.25">
      <c r="B102" s="2"/>
      <c r="F102" s="2"/>
      <c r="G102" s="2"/>
      <c r="H102" s="2"/>
      <c r="I102" s="2"/>
      <c r="J102" s="2"/>
      <c r="K102" s="2"/>
      <c r="L102" s="2"/>
    </row>
    <row r="103" spans="2:12" x14ac:dyDescent="0.25">
      <c r="B103" s="2"/>
      <c r="F103" s="2"/>
      <c r="G103" s="2"/>
      <c r="H103" s="2"/>
      <c r="I103" s="2"/>
      <c r="J103" s="2"/>
      <c r="K103" s="2"/>
      <c r="L103" s="2"/>
    </row>
    <row r="104" spans="2:12" x14ac:dyDescent="0.25">
      <c r="B104" s="2"/>
      <c r="F104" s="2"/>
      <c r="G104" s="2"/>
      <c r="H104" s="2"/>
      <c r="I104" s="2"/>
      <c r="J104" s="2"/>
      <c r="K104" s="2"/>
      <c r="L104" s="2"/>
    </row>
    <row r="105" spans="2:12" x14ac:dyDescent="0.25">
      <c r="B105" s="2"/>
      <c r="F105" s="2"/>
      <c r="G105" s="2"/>
      <c r="H105" s="2"/>
      <c r="I105" s="2"/>
      <c r="J105" s="2"/>
      <c r="K105" s="2"/>
      <c r="L105" s="2"/>
    </row>
    <row r="106" spans="2:12" x14ac:dyDescent="0.25">
      <c r="B106" s="2"/>
      <c r="F106" s="2"/>
      <c r="G106" s="2"/>
      <c r="H106" s="2"/>
      <c r="I106" s="2"/>
      <c r="J106" s="2"/>
      <c r="K106" s="2"/>
      <c r="L106" s="2"/>
    </row>
    <row r="107" spans="2:12" x14ac:dyDescent="0.25">
      <c r="B107" s="2"/>
      <c r="F107" s="2"/>
      <c r="G107" s="2"/>
      <c r="H107" s="2"/>
      <c r="I107" s="2"/>
      <c r="J107" s="2"/>
      <c r="K107" s="2"/>
      <c r="L107" s="2"/>
    </row>
    <row r="108" spans="2:12" x14ac:dyDescent="0.25">
      <c r="B108" s="2"/>
    </row>
    <row r="109" spans="2:12" x14ac:dyDescent="0.25">
      <c r="B109" s="2"/>
    </row>
    <row r="110" spans="2:12" x14ac:dyDescent="0.25">
      <c r="B110" s="2"/>
    </row>
    <row r="111" spans="2:12" x14ac:dyDescent="0.25">
      <c r="B111" s="2"/>
    </row>
    <row r="112" spans="2:12" x14ac:dyDescent="0.25">
      <c r="B112" s="2"/>
    </row>
    <row r="113" spans="2:2" x14ac:dyDescent="0.25">
      <c r="B113" s="2"/>
    </row>
    <row r="114" spans="2:2" x14ac:dyDescent="0.25">
      <c r="B114" s="2"/>
    </row>
    <row r="115" spans="2:2" x14ac:dyDescent="0.25">
      <c r="B115" s="2"/>
    </row>
  </sheetData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A205"/>
  <sheetViews>
    <sheetView workbookViewId="0"/>
  </sheetViews>
  <sheetFormatPr baseColWidth="10" defaultRowHeight="15" x14ac:dyDescent="0.25"/>
  <cols>
    <col min="1" max="1" width="17.5703125" bestFit="1" customWidth="1"/>
    <col min="2" max="2" width="15.140625" bestFit="1" customWidth="1"/>
  </cols>
  <sheetData>
    <row r="1" spans="1:1" x14ac:dyDescent="0.25">
      <c r="A1" s="45" t="s">
        <v>33</v>
      </c>
    </row>
    <row r="2" spans="1:1" x14ac:dyDescent="0.25">
      <c r="A2" s="46">
        <v>44088</v>
      </c>
    </row>
    <row r="3" spans="1:1" x14ac:dyDescent="0.25">
      <c r="A3" s="46">
        <v>44089</v>
      </c>
    </row>
    <row r="4" spans="1:1" x14ac:dyDescent="0.25">
      <c r="A4" s="46">
        <v>44090</v>
      </c>
    </row>
    <row r="5" spans="1:1" x14ac:dyDescent="0.25">
      <c r="A5" s="46">
        <v>44091</v>
      </c>
    </row>
    <row r="6" spans="1:1" x14ac:dyDescent="0.25">
      <c r="A6" s="46">
        <v>44092</v>
      </c>
    </row>
    <row r="7" spans="1:1" x14ac:dyDescent="0.25">
      <c r="A7" s="46">
        <v>44095</v>
      </c>
    </row>
    <row r="8" spans="1:1" x14ac:dyDescent="0.25">
      <c r="A8" s="46">
        <v>44096</v>
      </c>
    </row>
    <row r="9" spans="1:1" x14ac:dyDescent="0.25">
      <c r="A9" s="46">
        <v>44097</v>
      </c>
    </row>
    <row r="10" spans="1:1" x14ac:dyDescent="0.25">
      <c r="A10" s="46">
        <v>44098</v>
      </c>
    </row>
    <row r="11" spans="1:1" x14ac:dyDescent="0.25">
      <c r="A11" s="46">
        <v>44099</v>
      </c>
    </row>
    <row r="12" spans="1:1" x14ac:dyDescent="0.25">
      <c r="A12" s="46">
        <v>44102</v>
      </c>
    </row>
    <row r="13" spans="1:1" x14ac:dyDescent="0.25">
      <c r="A13" s="46">
        <v>44103</v>
      </c>
    </row>
    <row r="14" spans="1:1" x14ac:dyDescent="0.25">
      <c r="A14" s="46">
        <v>44104</v>
      </c>
    </row>
    <row r="15" spans="1:1" x14ac:dyDescent="0.25">
      <c r="A15" s="46">
        <v>44105</v>
      </c>
    </row>
    <row r="16" spans="1:1" x14ac:dyDescent="0.25">
      <c r="A16" s="46">
        <v>44106</v>
      </c>
    </row>
    <row r="17" spans="1:1" x14ac:dyDescent="0.25">
      <c r="A17" s="46">
        <v>44109</v>
      </c>
    </row>
    <row r="18" spans="1:1" x14ac:dyDescent="0.25">
      <c r="A18" s="46">
        <v>44110</v>
      </c>
    </row>
    <row r="19" spans="1:1" x14ac:dyDescent="0.25">
      <c r="A19" s="46">
        <v>44111</v>
      </c>
    </row>
    <row r="20" spans="1:1" x14ac:dyDescent="0.25">
      <c r="A20" s="46">
        <v>44112</v>
      </c>
    </row>
    <row r="21" spans="1:1" x14ac:dyDescent="0.25">
      <c r="A21" s="46">
        <v>44113</v>
      </c>
    </row>
    <row r="22" spans="1:1" x14ac:dyDescent="0.25">
      <c r="A22" s="46">
        <v>44117</v>
      </c>
    </row>
    <row r="23" spans="1:1" x14ac:dyDescent="0.25">
      <c r="A23" s="46">
        <v>44118</v>
      </c>
    </row>
    <row r="24" spans="1:1" x14ac:dyDescent="0.25">
      <c r="A24" s="46">
        <v>44119</v>
      </c>
    </row>
    <row r="25" spans="1:1" x14ac:dyDescent="0.25">
      <c r="A25" s="46">
        <v>44120</v>
      </c>
    </row>
    <row r="26" spans="1:1" x14ac:dyDescent="0.25">
      <c r="A26" s="46">
        <v>44123</v>
      </c>
    </row>
    <row r="27" spans="1:1" x14ac:dyDescent="0.25">
      <c r="A27" s="46">
        <v>44124</v>
      </c>
    </row>
    <row r="28" spans="1:1" x14ac:dyDescent="0.25">
      <c r="A28" s="46">
        <v>44125</v>
      </c>
    </row>
    <row r="29" spans="1:1" x14ac:dyDescent="0.25">
      <c r="A29" s="46">
        <v>44126</v>
      </c>
    </row>
    <row r="30" spans="1:1" x14ac:dyDescent="0.25">
      <c r="A30" s="46">
        <v>44127</v>
      </c>
    </row>
    <row r="31" spans="1:1" x14ac:dyDescent="0.25">
      <c r="A31" s="46">
        <v>44130</v>
      </c>
    </row>
    <row r="32" spans="1:1" x14ac:dyDescent="0.25">
      <c r="A32" s="46">
        <v>44131</v>
      </c>
    </row>
    <row r="33" spans="1:1" x14ac:dyDescent="0.25">
      <c r="A33" s="46">
        <v>44132</v>
      </c>
    </row>
    <row r="34" spans="1:1" x14ac:dyDescent="0.25">
      <c r="A34" s="46">
        <v>44133</v>
      </c>
    </row>
    <row r="35" spans="1:1" x14ac:dyDescent="0.25">
      <c r="A35" s="46">
        <v>44134</v>
      </c>
    </row>
    <row r="36" spans="1:1" x14ac:dyDescent="0.25">
      <c r="A36" s="46">
        <v>44137</v>
      </c>
    </row>
    <row r="37" spans="1:1" x14ac:dyDescent="0.25">
      <c r="A37" s="46">
        <v>44138</v>
      </c>
    </row>
    <row r="38" spans="1:1" x14ac:dyDescent="0.25">
      <c r="A38" s="46">
        <v>44139</v>
      </c>
    </row>
    <row r="39" spans="1:1" x14ac:dyDescent="0.25">
      <c r="A39" s="46">
        <v>44140</v>
      </c>
    </row>
    <row r="40" spans="1:1" x14ac:dyDescent="0.25">
      <c r="A40" s="46">
        <v>44141</v>
      </c>
    </row>
    <row r="41" spans="1:1" x14ac:dyDescent="0.25">
      <c r="A41" s="46">
        <v>44144</v>
      </c>
    </row>
    <row r="42" spans="1:1" x14ac:dyDescent="0.25">
      <c r="A42" s="46">
        <v>44145</v>
      </c>
    </row>
    <row r="43" spans="1:1" x14ac:dyDescent="0.25">
      <c r="A43" s="46">
        <v>44146</v>
      </c>
    </row>
    <row r="44" spans="1:1" x14ac:dyDescent="0.25">
      <c r="A44" s="46">
        <v>44147</v>
      </c>
    </row>
    <row r="45" spans="1:1" x14ac:dyDescent="0.25">
      <c r="A45" s="46">
        <v>44148</v>
      </c>
    </row>
    <row r="46" spans="1:1" x14ac:dyDescent="0.25">
      <c r="A46" s="46">
        <v>44151</v>
      </c>
    </row>
    <row r="47" spans="1:1" x14ac:dyDescent="0.25">
      <c r="A47" s="46">
        <v>44152</v>
      </c>
    </row>
    <row r="48" spans="1:1" x14ac:dyDescent="0.25">
      <c r="A48" s="46">
        <v>44153</v>
      </c>
    </row>
    <row r="49" spans="1:1" x14ac:dyDescent="0.25">
      <c r="A49" s="46">
        <v>44154</v>
      </c>
    </row>
    <row r="50" spans="1:1" x14ac:dyDescent="0.25">
      <c r="A50" s="46">
        <v>44155</v>
      </c>
    </row>
    <row r="51" spans="1:1" x14ac:dyDescent="0.25">
      <c r="A51" s="46">
        <v>44159</v>
      </c>
    </row>
    <row r="52" spans="1:1" x14ac:dyDescent="0.25">
      <c r="A52" s="46">
        <v>44160</v>
      </c>
    </row>
    <row r="53" spans="1:1" x14ac:dyDescent="0.25">
      <c r="A53" s="46">
        <v>44161</v>
      </c>
    </row>
    <row r="54" spans="1:1" x14ac:dyDescent="0.25">
      <c r="A54" s="46">
        <v>44162</v>
      </c>
    </row>
    <row r="55" spans="1:1" x14ac:dyDescent="0.25">
      <c r="A55" s="46">
        <v>44165</v>
      </c>
    </row>
    <row r="56" spans="1:1" x14ac:dyDescent="0.25">
      <c r="A56" s="46">
        <v>44166</v>
      </c>
    </row>
    <row r="57" spans="1:1" x14ac:dyDescent="0.25">
      <c r="A57" s="46">
        <v>44167</v>
      </c>
    </row>
    <row r="58" spans="1:1" x14ac:dyDescent="0.25">
      <c r="A58" s="46">
        <v>44168</v>
      </c>
    </row>
    <row r="59" spans="1:1" x14ac:dyDescent="0.25">
      <c r="A59" s="46">
        <v>44169</v>
      </c>
    </row>
    <row r="60" spans="1:1" x14ac:dyDescent="0.25">
      <c r="A60" s="46">
        <v>44174</v>
      </c>
    </row>
    <row r="61" spans="1:1" x14ac:dyDescent="0.25">
      <c r="A61" s="46">
        <v>44175</v>
      </c>
    </row>
    <row r="62" spans="1:1" x14ac:dyDescent="0.25">
      <c r="A62" s="46">
        <v>44176</v>
      </c>
    </row>
    <row r="63" spans="1:1" x14ac:dyDescent="0.25">
      <c r="A63" s="46">
        <v>44179</v>
      </c>
    </row>
    <row r="64" spans="1:1" x14ac:dyDescent="0.25">
      <c r="A64" s="46">
        <v>44180</v>
      </c>
    </row>
    <row r="65" spans="1:1" x14ac:dyDescent="0.25">
      <c r="A65" s="46">
        <v>44181</v>
      </c>
    </row>
    <row r="66" spans="1:1" x14ac:dyDescent="0.25">
      <c r="A66" s="46">
        <v>44182</v>
      </c>
    </row>
    <row r="67" spans="1:1" x14ac:dyDescent="0.25">
      <c r="A67" s="46">
        <v>44183</v>
      </c>
    </row>
    <row r="68" spans="1:1" x14ac:dyDescent="0.25">
      <c r="A68" s="46">
        <v>44186</v>
      </c>
    </row>
    <row r="69" spans="1:1" x14ac:dyDescent="0.25">
      <c r="A69" s="46">
        <v>44187</v>
      </c>
    </row>
    <row r="70" spans="1:1" x14ac:dyDescent="0.25">
      <c r="A70" s="46">
        <v>44188</v>
      </c>
    </row>
    <row r="71" spans="1:1" x14ac:dyDescent="0.25">
      <c r="A71" s="46">
        <v>44193</v>
      </c>
    </row>
    <row r="72" spans="1:1" x14ac:dyDescent="0.25">
      <c r="A72" s="46">
        <v>44194</v>
      </c>
    </row>
    <row r="73" spans="1:1" x14ac:dyDescent="0.25">
      <c r="A73" s="46">
        <v>44195</v>
      </c>
    </row>
    <row r="74" spans="1:1" x14ac:dyDescent="0.25">
      <c r="A74" s="46">
        <v>44200</v>
      </c>
    </row>
    <row r="75" spans="1:1" x14ac:dyDescent="0.25">
      <c r="A75" s="46">
        <v>44201</v>
      </c>
    </row>
    <row r="76" spans="1:1" x14ac:dyDescent="0.25">
      <c r="A76" s="46">
        <v>44202</v>
      </c>
    </row>
    <row r="77" spans="1:1" x14ac:dyDescent="0.25">
      <c r="A77" s="46">
        <v>44203</v>
      </c>
    </row>
    <row r="78" spans="1:1" x14ac:dyDescent="0.25">
      <c r="A78" s="46">
        <v>44204</v>
      </c>
    </row>
    <row r="79" spans="1:1" x14ac:dyDescent="0.25">
      <c r="A79" s="46">
        <v>44207</v>
      </c>
    </row>
    <row r="80" spans="1:1" x14ac:dyDescent="0.25">
      <c r="A80" s="46">
        <v>44208</v>
      </c>
    </row>
    <row r="81" spans="1:1" x14ac:dyDescent="0.25">
      <c r="A81" s="46">
        <v>44209</v>
      </c>
    </row>
    <row r="82" spans="1:1" x14ac:dyDescent="0.25">
      <c r="A82" s="46">
        <v>44210</v>
      </c>
    </row>
    <row r="83" spans="1:1" x14ac:dyDescent="0.25">
      <c r="A83" s="46">
        <v>44211</v>
      </c>
    </row>
    <row r="84" spans="1:1" x14ac:dyDescent="0.25">
      <c r="A84" s="46">
        <v>44214</v>
      </c>
    </row>
    <row r="85" spans="1:1" x14ac:dyDescent="0.25">
      <c r="A85" s="46">
        <v>44215</v>
      </c>
    </row>
    <row r="86" spans="1:1" x14ac:dyDescent="0.25">
      <c r="A86" s="46">
        <v>44216</v>
      </c>
    </row>
    <row r="87" spans="1:1" x14ac:dyDescent="0.25">
      <c r="A87" s="46">
        <v>44217</v>
      </c>
    </row>
    <row r="88" spans="1:1" x14ac:dyDescent="0.25">
      <c r="A88" s="46">
        <v>44218</v>
      </c>
    </row>
    <row r="89" spans="1:1" x14ac:dyDescent="0.25">
      <c r="A89" s="46">
        <v>44221</v>
      </c>
    </row>
    <row r="90" spans="1:1" x14ac:dyDescent="0.25">
      <c r="A90" s="46">
        <v>44222</v>
      </c>
    </row>
    <row r="91" spans="1:1" x14ac:dyDescent="0.25">
      <c r="A91" s="46">
        <v>44223</v>
      </c>
    </row>
    <row r="92" spans="1:1" x14ac:dyDescent="0.25">
      <c r="A92" s="46">
        <v>44224</v>
      </c>
    </row>
    <row r="93" spans="1:1" x14ac:dyDescent="0.25">
      <c r="A93" s="46">
        <v>44225</v>
      </c>
    </row>
    <row r="94" spans="1:1" x14ac:dyDescent="0.25">
      <c r="A94" s="46">
        <v>44228</v>
      </c>
    </row>
    <row r="95" spans="1:1" x14ac:dyDescent="0.25">
      <c r="A95" s="46">
        <v>44229</v>
      </c>
    </row>
    <row r="96" spans="1:1" x14ac:dyDescent="0.25">
      <c r="A96" s="46">
        <v>44230</v>
      </c>
    </row>
    <row r="97" spans="1:1" x14ac:dyDescent="0.25">
      <c r="A97" s="46">
        <v>44231</v>
      </c>
    </row>
    <row r="98" spans="1:1" x14ac:dyDescent="0.25">
      <c r="A98" s="46">
        <v>44232</v>
      </c>
    </row>
    <row r="99" spans="1:1" x14ac:dyDescent="0.25">
      <c r="A99" s="46">
        <v>44235</v>
      </c>
    </row>
    <row r="100" spans="1:1" x14ac:dyDescent="0.25">
      <c r="A100" s="46">
        <v>44236</v>
      </c>
    </row>
    <row r="101" spans="1:1" x14ac:dyDescent="0.25">
      <c r="A101" s="46">
        <v>44237</v>
      </c>
    </row>
    <row r="102" spans="1:1" x14ac:dyDescent="0.25">
      <c r="A102" s="46">
        <v>44238</v>
      </c>
    </row>
    <row r="103" spans="1:1" x14ac:dyDescent="0.25">
      <c r="A103" s="46">
        <v>44239</v>
      </c>
    </row>
    <row r="104" spans="1:1" x14ac:dyDescent="0.25">
      <c r="A104" s="46">
        <v>44244</v>
      </c>
    </row>
    <row r="105" spans="1:1" x14ac:dyDescent="0.25">
      <c r="A105" s="46">
        <v>44245</v>
      </c>
    </row>
    <row r="106" spans="1:1" x14ac:dyDescent="0.25">
      <c r="A106" s="46">
        <v>44246</v>
      </c>
    </row>
    <row r="107" spans="1:1" x14ac:dyDescent="0.25">
      <c r="A107" s="46">
        <v>44249</v>
      </c>
    </row>
    <row r="108" spans="1:1" x14ac:dyDescent="0.25">
      <c r="A108" s="46">
        <v>44250</v>
      </c>
    </row>
    <row r="109" spans="1:1" x14ac:dyDescent="0.25">
      <c r="A109" s="46">
        <v>44251</v>
      </c>
    </row>
    <row r="110" spans="1:1" x14ac:dyDescent="0.25">
      <c r="A110" s="46">
        <v>44252</v>
      </c>
    </row>
    <row r="111" spans="1:1" x14ac:dyDescent="0.25">
      <c r="A111" s="46">
        <v>44253</v>
      </c>
    </row>
    <row r="112" spans="1:1" x14ac:dyDescent="0.25">
      <c r="A112" s="46">
        <v>44256</v>
      </c>
    </row>
    <row r="113" spans="1:1" x14ac:dyDescent="0.25">
      <c r="A113" s="46">
        <v>44257</v>
      </c>
    </row>
    <row r="114" spans="1:1" x14ac:dyDescent="0.25">
      <c r="A114" s="46">
        <v>44258</v>
      </c>
    </row>
    <row r="115" spans="1:1" x14ac:dyDescent="0.25">
      <c r="A115" s="46">
        <v>44259</v>
      </c>
    </row>
    <row r="116" spans="1:1" x14ac:dyDescent="0.25">
      <c r="A116" s="46">
        <v>44260</v>
      </c>
    </row>
    <row r="117" spans="1:1" x14ac:dyDescent="0.25">
      <c r="A117" s="46">
        <v>44263</v>
      </c>
    </row>
    <row r="118" spans="1:1" x14ac:dyDescent="0.25">
      <c r="A118" s="46">
        <v>44264</v>
      </c>
    </row>
    <row r="119" spans="1:1" x14ac:dyDescent="0.25">
      <c r="A119" s="46">
        <v>44265</v>
      </c>
    </row>
    <row r="120" spans="1:1" x14ac:dyDescent="0.25">
      <c r="A120" s="46">
        <v>44266</v>
      </c>
    </row>
    <row r="121" spans="1:1" x14ac:dyDescent="0.25">
      <c r="A121" s="46">
        <v>44267</v>
      </c>
    </row>
    <row r="122" spans="1:1" x14ac:dyDescent="0.25">
      <c r="A122" s="46">
        <v>44270</v>
      </c>
    </row>
    <row r="123" spans="1:1" x14ac:dyDescent="0.25">
      <c r="A123" s="46">
        <v>44271</v>
      </c>
    </row>
    <row r="124" spans="1:1" x14ac:dyDescent="0.25">
      <c r="A124" s="46">
        <v>44272</v>
      </c>
    </row>
    <row r="125" spans="1:1" x14ac:dyDescent="0.25">
      <c r="A125" s="46">
        <v>44273</v>
      </c>
    </row>
    <row r="126" spans="1:1" x14ac:dyDescent="0.25">
      <c r="A126" s="46">
        <v>44274</v>
      </c>
    </row>
    <row r="127" spans="1:1" x14ac:dyDescent="0.25">
      <c r="A127" s="46">
        <v>44277</v>
      </c>
    </row>
    <row r="128" spans="1:1" x14ac:dyDescent="0.25">
      <c r="A128" s="46">
        <v>44278</v>
      </c>
    </row>
    <row r="129" spans="1:1" x14ac:dyDescent="0.25">
      <c r="A129" s="46">
        <v>44280</v>
      </c>
    </row>
    <row r="130" spans="1:1" x14ac:dyDescent="0.25">
      <c r="A130" s="46">
        <v>44281</v>
      </c>
    </row>
    <row r="131" spans="1:1" x14ac:dyDescent="0.25">
      <c r="A131" s="46">
        <v>44284</v>
      </c>
    </row>
    <row r="132" spans="1:1" x14ac:dyDescent="0.25">
      <c r="A132" s="46">
        <v>44285</v>
      </c>
    </row>
    <row r="133" spans="1:1" x14ac:dyDescent="0.25">
      <c r="A133" s="46">
        <v>44286</v>
      </c>
    </row>
    <row r="134" spans="1:1" x14ac:dyDescent="0.25">
      <c r="A134" s="46">
        <v>44291</v>
      </c>
    </row>
    <row r="135" spans="1:1" x14ac:dyDescent="0.25">
      <c r="A135" s="46">
        <v>44292</v>
      </c>
    </row>
    <row r="136" spans="1:1" x14ac:dyDescent="0.25">
      <c r="A136" s="46">
        <v>44293</v>
      </c>
    </row>
    <row r="137" spans="1:1" x14ac:dyDescent="0.25">
      <c r="A137" s="46">
        <v>44294</v>
      </c>
    </row>
    <row r="138" spans="1:1" x14ac:dyDescent="0.25">
      <c r="A138" s="46">
        <v>44295</v>
      </c>
    </row>
    <row r="139" spans="1:1" x14ac:dyDescent="0.25">
      <c r="A139" s="46">
        <v>44298</v>
      </c>
    </row>
    <row r="140" spans="1:1" x14ac:dyDescent="0.25">
      <c r="A140" s="46">
        <v>44299</v>
      </c>
    </row>
    <row r="141" spans="1:1" x14ac:dyDescent="0.25">
      <c r="A141" s="46">
        <v>44300</v>
      </c>
    </row>
    <row r="142" spans="1:1" x14ac:dyDescent="0.25">
      <c r="A142" s="46">
        <v>44301</v>
      </c>
    </row>
    <row r="143" spans="1:1" x14ac:dyDescent="0.25">
      <c r="A143" s="46">
        <v>44302</v>
      </c>
    </row>
    <row r="144" spans="1:1" x14ac:dyDescent="0.25">
      <c r="A144" s="46">
        <v>44305</v>
      </c>
    </row>
    <row r="145" spans="1:1" x14ac:dyDescent="0.25">
      <c r="A145" s="46">
        <v>44306</v>
      </c>
    </row>
    <row r="146" spans="1:1" x14ac:dyDescent="0.25">
      <c r="A146" s="46">
        <v>44307</v>
      </c>
    </row>
    <row r="147" spans="1:1" x14ac:dyDescent="0.25">
      <c r="A147" s="46">
        <v>44308</v>
      </c>
    </row>
    <row r="148" spans="1:1" x14ac:dyDescent="0.25">
      <c r="A148" s="46">
        <v>44309</v>
      </c>
    </row>
    <row r="149" spans="1:1" x14ac:dyDescent="0.25">
      <c r="A149" s="46">
        <v>44312</v>
      </c>
    </row>
    <row r="150" spans="1:1" x14ac:dyDescent="0.25">
      <c r="A150" s="46">
        <v>44313</v>
      </c>
    </row>
    <row r="151" spans="1:1" x14ac:dyDescent="0.25">
      <c r="A151" s="46">
        <v>44314</v>
      </c>
    </row>
    <row r="152" spans="1:1" x14ac:dyDescent="0.25">
      <c r="A152" s="46">
        <v>44315</v>
      </c>
    </row>
    <row r="153" spans="1:1" x14ac:dyDescent="0.25">
      <c r="A153" s="46">
        <v>44316</v>
      </c>
    </row>
    <row r="154" spans="1:1" x14ac:dyDescent="0.25">
      <c r="A154" s="46">
        <v>44319</v>
      </c>
    </row>
    <row r="155" spans="1:1" x14ac:dyDescent="0.25">
      <c r="A155" s="46">
        <v>44320</v>
      </c>
    </row>
    <row r="156" spans="1:1" x14ac:dyDescent="0.25">
      <c r="A156" s="46">
        <v>44321</v>
      </c>
    </row>
    <row r="157" spans="1:1" x14ac:dyDescent="0.25">
      <c r="A157" s="46">
        <v>44322</v>
      </c>
    </row>
    <row r="158" spans="1:1" x14ac:dyDescent="0.25">
      <c r="A158" s="46">
        <v>44323</v>
      </c>
    </row>
    <row r="159" spans="1:1" x14ac:dyDescent="0.25">
      <c r="A159" s="46">
        <v>44326</v>
      </c>
    </row>
    <row r="160" spans="1:1" x14ac:dyDescent="0.25">
      <c r="A160" s="46">
        <v>44327</v>
      </c>
    </row>
    <row r="161" spans="1:1" x14ac:dyDescent="0.25">
      <c r="A161" s="46">
        <v>44328</v>
      </c>
    </row>
    <row r="162" spans="1:1" x14ac:dyDescent="0.25">
      <c r="A162" s="46">
        <v>44329</v>
      </c>
    </row>
    <row r="163" spans="1:1" x14ac:dyDescent="0.25">
      <c r="A163" s="46">
        <v>44330</v>
      </c>
    </row>
    <row r="164" spans="1:1" x14ac:dyDescent="0.25">
      <c r="A164" s="46">
        <v>44333</v>
      </c>
    </row>
    <row r="165" spans="1:1" x14ac:dyDescent="0.25">
      <c r="A165" s="46">
        <v>44334</v>
      </c>
    </row>
    <row r="166" spans="1:1" x14ac:dyDescent="0.25">
      <c r="A166" s="46">
        <v>44335</v>
      </c>
    </row>
    <row r="167" spans="1:1" x14ac:dyDescent="0.25">
      <c r="A167" s="46">
        <v>44336</v>
      </c>
    </row>
    <row r="168" spans="1:1" x14ac:dyDescent="0.25">
      <c r="A168" s="46">
        <v>44337</v>
      </c>
    </row>
    <row r="169" spans="1:1" x14ac:dyDescent="0.25">
      <c r="A169" s="46">
        <v>44342</v>
      </c>
    </row>
    <row r="170" spans="1:1" x14ac:dyDescent="0.25">
      <c r="A170" s="46">
        <v>44343</v>
      </c>
    </row>
    <row r="171" spans="1:1" x14ac:dyDescent="0.25">
      <c r="A171" s="46">
        <v>44344</v>
      </c>
    </row>
    <row r="172" spans="1:1" x14ac:dyDescent="0.25">
      <c r="A172" s="46">
        <v>44347</v>
      </c>
    </row>
    <row r="173" spans="1:1" x14ac:dyDescent="0.25">
      <c r="A173" s="46">
        <v>44348</v>
      </c>
    </row>
    <row r="174" spans="1:1" x14ac:dyDescent="0.25">
      <c r="A174" s="46">
        <v>44349</v>
      </c>
    </row>
    <row r="175" spans="1:1" x14ac:dyDescent="0.25">
      <c r="A175" s="46">
        <v>44350</v>
      </c>
    </row>
    <row r="176" spans="1:1" x14ac:dyDescent="0.25">
      <c r="A176" s="46">
        <v>44351</v>
      </c>
    </row>
    <row r="177" spans="1:1" x14ac:dyDescent="0.25">
      <c r="A177" s="46">
        <v>44354</v>
      </c>
    </row>
    <row r="178" spans="1:1" x14ac:dyDescent="0.25">
      <c r="A178" s="46">
        <v>44355</v>
      </c>
    </row>
    <row r="179" spans="1:1" x14ac:dyDescent="0.25">
      <c r="A179" s="46">
        <v>44356</v>
      </c>
    </row>
    <row r="180" spans="1:1" x14ac:dyDescent="0.25">
      <c r="A180" s="46">
        <v>44357</v>
      </c>
    </row>
    <row r="181" spans="1:1" x14ac:dyDescent="0.25">
      <c r="A181" s="46">
        <v>44358</v>
      </c>
    </row>
    <row r="182" spans="1:1" x14ac:dyDescent="0.25">
      <c r="A182" s="46">
        <v>44361</v>
      </c>
    </row>
    <row r="183" spans="1:1" x14ac:dyDescent="0.25">
      <c r="A183" s="46">
        <v>44362</v>
      </c>
    </row>
    <row r="184" spans="1:1" x14ac:dyDescent="0.25">
      <c r="A184" s="46">
        <v>44363</v>
      </c>
    </row>
    <row r="185" spans="1:1" x14ac:dyDescent="0.25">
      <c r="A185" s="46">
        <v>44364</v>
      </c>
    </row>
    <row r="186" spans="1:1" x14ac:dyDescent="0.25">
      <c r="A186" s="46">
        <v>44365</v>
      </c>
    </row>
    <row r="187" spans="1:1" x14ac:dyDescent="0.25">
      <c r="A187" s="46">
        <v>44369</v>
      </c>
    </row>
    <row r="188" spans="1:1" x14ac:dyDescent="0.25">
      <c r="A188" s="46">
        <v>44370</v>
      </c>
    </row>
    <row r="189" spans="1:1" x14ac:dyDescent="0.25">
      <c r="A189" s="46">
        <v>44371</v>
      </c>
    </row>
    <row r="190" spans="1:1" x14ac:dyDescent="0.25">
      <c r="A190" s="46">
        <v>44372</v>
      </c>
    </row>
    <row r="191" spans="1:1" x14ac:dyDescent="0.25">
      <c r="A191" s="46">
        <v>44375</v>
      </c>
    </row>
    <row r="192" spans="1:1" x14ac:dyDescent="0.25">
      <c r="A192" s="46">
        <v>44376</v>
      </c>
    </row>
    <row r="193" spans="1:1" x14ac:dyDescent="0.25">
      <c r="A193" s="46">
        <v>44377</v>
      </c>
    </row>
    <row r="194" spans="1:1" x14ac:dyDescent="0.25">
      <c r="A194" s="46">
        <v>44378</v>
      </c>
    </row>
    <row r="195" spans="1:1" x14ac:dyDescent="0.25">
      <c r="A195" s="46">
        <v>44379</v>
      </c>
    </row>
    <row r="196" spans="1:1" x14ac:dyDescent="0.25">
      <c r="A196" s="46">
        <v>44382</v>
      </c>
    </row>
    <row r="197" spans="1:1" x14ac:dyDescent="0.25">
      <c r="A197" s="46">
        <v>44383</v>
      </c>
    </row>
    <row r="198" spans="1:1" x14ac:dyDescent="0.25">
      <c r="A198" s="46">
        <v>44384</v>
      </c>
    </row>
    <row r="199" spans="1:1" x14ac:dyDescent="0.25">
      <c r="A199" s="46">
        <v>44385</v>
      </c>
    </row>
    <row r="200" spans="1:1" x14ac:dyDescent="0.25">
      <c r="A200" s="46">
        <v>44389</v>
      </c>
    </row>
    <row r="201" spans="1:1" x14ac:dyDescent="0.25">
      <c r="A201" s="46">
        <v>44390</v>
      </c>
    </row>
    <row r="202" spans="1:1" x14ac:dyDescent="0.25">
      <c r="A202" s="46">
        <v>44391</v>
      </c>
    </row>
    <row r="203" spans="1:1" x14ac:dyDescent="0.25">
      <c r="A203" s="46">
        <v>44392</v>
      </c>
    </row>
    <row r="204" spans="1:1" x14ac:dyDescent="0.25">
      <c r="A204" s="46">
        <v>44393</v>
      </c>
    </row>
    <row r="205" spans="1:1" x14ac:dyDescent="0.25">
      <c r="A205" s="55" t="s">
        <v>34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217"/>
  <sheetViews>
    <sheetView workbookViewId="0">
      <selection activeCell="A8" sqref="A8"/>
    </sheetView>
  </sheetViews>
  <sheetFormatPr baseColWidth="10" defaultRowHeight="15" x14ac:dyDescent="0.25"/>
  <cols>
    <col min="1" max="1" width="17.5703125" bestFit="1" customWidth="1"/>
    <col min="2" max="2" width="13.7109375" bestFit="1" customWidth="1"/>
  </cols>
  <sheetData>
    <row r="3" spans="1:2" x14ac:dyDescent="0.25">
      <c r="A3" s="45" t="s">
        <v>33</v>
      </c>
      <c r="B3" t="s">
        <v>69</v>
      </c>
    </row>
    <row r="4" spans="1:2" x14ac:dyDescent="0.25">
      <c r="A4" s="46">
        <v>44088</v>
      </c>
      <c r="B4" s="44">
        <v>2.6727276467079342E-2</v>
      </c>
    </row>
    <row r="5" spans="1:2" x14ac:dyDescent="0.25">
      <c r="A5" s="46">
        <v>44089</v>
      </c>
      <c r="B5" s="44">
        <v>2.732779573744526E-2</v>
      </c>
    </row>
    <row r="6" spans="1:2" x14ac:dyDescent="0.25">
      <c r="A6" s="46">
        <v>44090</v>
      </c>
      <c r="B6" s="44">
        <v>2.8128513835943336E-2</v>
      </c>
    </row>
    <row r="7" spans="1:2" x14ac:dyDescent="0.25">
      <c r="A7" s="46">
        <v>44091</v>
      </c>
      <c r="B7" s="44">
        <v>2.6526799334944506E-2</v>
      </c>
    </row>
    <row r="8" spans="1:2" x14ac:dyDescent="0.25">
      <c r="A8" s="46">
        <v>44092</v>
      </c>
      <c r="B8" s="44">
        <v>2.8528724126346383E-2</v>
      </c>
    </row>
    <row r="9" spans="1:2" x14ac:dyDescent="0.25">
      <c r="A9" s="46">
        <v>44095</v>
      </c>
      <c r="B9" s="44">
        <v>2.7727632675028868E-2</v>
      </c>
    </row>
    <row r="10" spans="1:2" x14ac:dyDescent="0.25">
      <c r="A10" s="46">
        <v>44096</v>
      </c>
      <c r="B10" s="44">
        <v>2.7427239381577651E-2</v>
      </c>
    </row>
    <row r="11" spans="1:2" x14ac:dyDescent="0.25">
      <c r="A11" s="46">
        <v>44097</v>
      </c>
      <c r="B11" s="44">
        <v>3.5535170082718837E-2</v>
      </c>
    </row>
    <row r="12" spans="1:2" x14ac:dyDescent="0.25">
      <c r="A12" s="46">
        <v>44098</v>
      </c>
      <c r="B12" s="44">
        <v>2.6025669153137365E-2</v>
      </c>
    </row>
    <row r="13" spans="1:2" x14ac:dyDescent="0.25">
      <c r="A13" s="46">
        <v>44099</v>
      </c>
      <c r="B13" s="44">
        <v>2.3122726789687131E-2</v>
      </c>
    </row>
    <row r="14" spans="1:2" x14ac:dyDescent="0.25">
      <c r="A14" s="46">
        <v>44102</v>
      </c>
      <c r="B14" s="44">
        <v>2.472404667553374E-2</v>
      </c>
    </row>
    <row r="15" spans="1:2" x14ac:dyDescent="0.25">
      <c r="A15" s="46">
        <v>44103</v>
      </c>
      <c r="B15" s="44">
        <v>2.8727842395198155E-2</v>
      </c>
    </row>
    <row r="16" spans="1:2" x14ac:dyDescent="0.25">
      <c r="A16" s="46">
        <v>44104</v>
      </c>
      <c r="B16" s="44">
        <v>2.2021267114130827E-2</v>
      </c>
    </row>
    <row r="17" spans="1:2" x14ac:dyDescent="0.25">
      <c r="A17" s="46">
        <v>44105</v>
      </c>
      <c r="B17" s="44">
        <v>1.8017338603244948E-2</v>
      </c>
    </row>
    <row r="18" spans="1:2" x14ac:dyDescent="0.25">
      <c r="A18" s="46">
        <v>44106</v>
      </c>
      <c r="B18" s="44">
        <v>2.1520636226518564E-2</v>
      </c>
    </row>
    <row r="19" spans="1:2" x14ac:dyDescent="0.25">
      <c r="A19" s="46">
        <v>44109</v>
      </c>
      <c r="B19" s="44">
        <v>2.7526112099491629E-2</v>
      </c>
    </row>
    <row r="20" spans="1:2" x14ac:dyDescent="0.25">
      <c r="A20" s="46">
        <v>44110</v>
      </c>
      <c r="B20" s="44">
        <v>3.0528856042012387E-2</v>
      </c>
    </row>
    <row r="21" spans="1:2" x14ac:dyDescent="0.25">
      <c r="A21" s="46">
        <v>44111</v>
      </c>
      <c r="B21" s="44">
        <v>3.2030165395492305E-2</v>
      </c>
    </row>
    <row r="22" spans="1:2" x14ac:dyDescent="0.25">
      <c r="A22" s="46">
        <v>44112</v>
      </c>
      <c r="B22" s="44">
        <v>3.2630619142620165E-2</v>
      </c>
    </row>
    <row r="23" spans="1:2" x14ac:dyDescent="0.25">
      <c r="A23" s="46">
        <v>44113</v>
      </c>
      <c r="B23" s="44">
        <v>3.1729665063569668E-2</v>
      </c>
    </row>
    <row r="24" spans="1:2" x14ac:dyDescent="0.25">
      <c r="A24" s="46">
        <v>44117</v>
      </c>
      <c r="B24" s="44">
        <v>3.1829322218070721E-2</v>
      </c>
    </row>
    <row r="25" spans="1:2" x14ac:dyDescent="0.25">
      <c r="A25" s="46">
        <v>44118</v>
      </c>
      <c r="B25" s="44">
        <v>3.3730958550998891E-2</v>
      </c>
    </row>
    <row r="26" spans="1:2" x14ac:dyDescent="0.25">
      <c r="A26" s="46">
        <v>44119</v>
      </c>
      <c r="B26" s="44">
        <v>4.0136700339008569E-2</v>
      </c>
    </row>
    <row r="27" spans="1:2" x14ac:dyDescent="0.25">
      <c r="A27" s="46">
        <v>44120</v>
      </c>
      <c r="B27" s="44">
        <v>4.3940027559352002E-2</v>
      </c>
    </row>
    <row r="28" spans="1:2" x14ac:dyDescent="0.25">
      <c r="A28" s="46">
        <v>44123</v>
      </c>
      <c r="B28" s="44">
        <v>4.5040567360327965E-2</v>
      </c>
    </row>
    <row r="29" spans="1:2" x14ac:dyDescent="0.25">
      <c r="A29" s="46">
        <v>44124</v>
      </c>
      <c r="B29" s="44">
        <v>3.5832150765412851E-2</v>
      </c>
    </row>
    <row r="30" spans="1:2" x14ac:dyDescent="0.25">
      <c r="A30" s="46">
        <v>44125</v>
      </c>
      <c r="B30" s="44">
        <v>3.5531759552202447E-2</v>
      </c>
    </row>
    <row r="31" spans="1:2" x14ac:dyDescent="0.25">
      <c r="A31" s="46">
        <v>44126</v>
      </c>
      <c r="B31" s="44">
        <v>2.3621032426132837E-2</v>
      </c>
    </row>
    <row r="32" spans="1:2" x14ac:dyDescent="0.25">
      <c r="A32" s="46">
        <v>44127</v>
      </c>
      <c r="B32" s="44">
        <v>2.8725479106467666E-2</v>
      </c>
    </row>
    <row r="33" spans="1:2" x14ac:dyDescent="0.25">
      <c r="A33" s="46">
        <v>44130</v>
      </c>
      <c r="B33" s="44">
        <v>2.2319567840298316E-2</v>
      </c>
    </row>
    <row r="34" spans="1:2" x14ac:dyDescent="0.25">
      <c r="A34" s="46">
        <v>44131</v>
      </c>
      <c r="B34" s="44">
        <v>2.6222900135392191E-2</v>
      </c>
    </row>
    <row r="35" spans="1:2" x14ac:dyDescent="0.25">
      <c r="A35" s="46">
        <v>44132</v>
      </c>
      <c r="B35" s="44">
        <v>2.7023506749021375E-2</v>
      </c>
    </row>
    <row r="36" spans="1:2" x14ac:dyDescent="0.25">
      <c r="A36" s="46">
        <v>44133</v>
      </c>
      <c r="B36" s="44">
        <v>2.6522980527648898E-2</v>
      </c>
    </row>
    <row r="37" spans="1:2" x14ac:dyDescent="0.25">
      <c r="A37" s="46">
        <v>44134</v>
      </c>
      <c r="B37" s="44">
        <v>2.0717879814086126E-2</v>
      </c>
    </row>
    <row r="38" spans="1:2" x14ac:dyDescent="0.25">
      <c r="A38" s="46">
        <v>44137</v>
      </c>
      <c r="B38" s="44">
        <v>2.3920397873529176E-2</v>
      </c>
    </row>
    <row r="39" spans="1:2" x14ac:dyDescent="0.25">
      <c r="A39" s="46">
        <v>44138</v>
      </c>
      <c r="B39" s="44">
        <v>1.531300556637144E-2</v>
      </c>
    </row>
    <row r="40" spans="1:2" x14ac:dyDescent="0.25">
      <c r="A40" s="46">
        <v>44139</v>
      </c>
      <c r="B40" s="44">
        <v>1.1409651314639391E-2</v>
      </c>
    </row>
    <row r="41" spans="1:2" x14ac:dyDescent="0.25">
      <c r="A41" s="46">
        <v>44140</v>
      </c>
      <c r="B41" s="44">
        <v>5.9049747389924856E-3</v>
      </c>
    </row>
    <row r="42" spans="1:2" x14ac:dyDescent="0.25">
      <c r="A42" s="46">
        <v>44141</v>
      </c>
      <c r="B42" s="44">
        <v>6.2052064231974957E-3</v>
      </c>
    </row>
    <row r="43" spans="1:2" x14ac:dyDescent="0.25">
      <c r="A43" s="46">
        <v>44144</v>
      </c>
      <c r="B43" s="44">
        <v>4.5037325454657662E-3</v>
      </c>
    </row>
    <row r="44" spans="1:2" x14ac:dyDescent="0.25">
      <c r="A44" s="46">
        <v>44145</v>
      </c>
      <c r="B44" s="44">
        <v>-1.0008260242186373E-3</v>
      </c>
    </row>
    <row r="45" spans="1:2" x14ac:dyDescent="0.25">
      <c r="A45" s="46">
        <v>44146</v>
      </c>
      <c r="B45" s="44">
        <v>7.5061694543460677E-3</v>
      </c>
    </row>
    <row r="46" spans="1:2" x14ac:dyDescent="0.25">
      <c r="A46" s="46">
        <v>44147</v>
      </c>
      <c r="B46" s="44">
        <v>4.7038500690633755E-3</v>
      </c>
    </row>
    <row r="47" spans="1:2" x14ac:dyDescent="0.25">
      <c r="A47" s="46">
        <v>44148</v>
      </c>
      <c r="B47" s="44">
        <v>2.3018761867549253E-3</v>
      </c>
    </row>
    <row r="48" spans="1:2" x14ac:dyDescent="0.25">
      <c r="A48" s="46">
        <v>44151</v>
      </c>
      <c r="B48" s="44">
        <v>4.6037050365876908E-3</v>
      </c>
    </row>
    <row r="49" spans="1:2" x14ac:dyDescent="0.25">
      <c r="A49" s="46">
        <v>44152</v>
      </c>
      <c r="B49" s="44">
        <v>5.3042506666300948E-3</v>
      </c>
    </row>
    <row r="50" spans="1:2" x14ac:dyDescent="0.25">
      <c r="A50" s="46">
        <v>44153</v>
      </c>
      <c r="B50" s="44">
        <v>3.402715180263749E-3</v>
      </c>
    </row>
    <row r="51" spans="1:2" x14ac:dyDescent="0.25">
      <c r="A51" s="46">
        <v>44154</v>
      </c>
      <c r="B51" s="44">
        <v>4.3034191549450318E-3</v>
      </c>
    </row>
    <row r="52" spans="1:2" x14ac:dyDescent="0.25">
      <c r="A52" s="46">
        <v>44155</v>
      </c>
      <c r="B52" s="44">
        <v>2.6020584777683431E-3</v>
      </c>
    </row>
    <row r="53" spans="1:2" x14ac:dyDescent="0.25">
      <c r="A53" s="46">
        <v>44159</v>
      </c>
      <c r="B53" s="44">
        <v>8.006224016615715E-3</v>
      </c>
    </row>
    <row r="54" spans="1:2" x14ac:dyDescent="0.25">
      <c r="A54" s="46">
        <v>44160</v>
      </c>
      <c r="B54" s="44">
        <v>1.2009294865203968E-2</v>
      </c>
    </row>
    <row r="55" spans="1:2" x14ac:dyDescent="0.25">
      <c r="A55" s="46">
        <v>44161</v>
      </c>
      <c r="B55" s="44">
        <v>1.4911490017993301E-2</v>
      </c>
    </row>
    <row r="56" spans="1:2" x14ac:dyDescent="0.25">
      <c r="A56" s="46">
        <v>44162</v>
      </c>
      <c r="B56" s="44">
        <v>1.5111592454485623E-2</v>
      </c>
    </row>
    <row r="57" spans="1:2" x14ac:dyDescent="0.25">
      <c r="A57" s="46">
        <v>44165</v>
      </c>
      <c r="B57" s="44">
        <v>1.4611058369519425E-2</v>
      </c>
    </row>
    <row r="58" spans="1:2" x14ac:dyDescent="0.25">
      <c r="A58" s="46">
        <v>44166</v>
      </c>
      <c r="B58" s="44">
        <v>1.531153608883401E-2</v>
      </c>
    </row>
    <row r="59" spans="1:2" x14ac:dyDescent="0.25">
      <c r="A59" s="46">
        <v>44167</v>
      </c>
      <c r="B59" s="44">
        <v>6.7050287715786916E-3</v>
      </c>
    </row>
    <row r="60" spans="1:2" x14ac:dyDescent="0.25">
      <c r="A60" s="46">
        <v>44168</v>
      </c>
      <c r="B60" s="44">
        <v>1.4510833430437797E-2</v>
      </c>
    </row>
    <row r="61" spans="1:2" x14ac:dyDescent="0.25">
      <c r="A61" s="46">
        <v>44169</v>
      </c>
      <c r="B61" s="44">
        <v>1.4710932439518432E-2</v>
      </c>
    </row>
    <row r="62" spans="1:2" x14ac:dyDescent="0.25">
      <c r="A62" s="46">
        <v>44174</v>
      </c>
      <c r="B62" s="44">
        <v>1.9914458442430727E-2</v>
      </c>
    </row>
    <row r="63" spans="1:2" x14ac:dyDescent="0.25">
      <c r="A63" s="46">
        <v>44175</v>
      </c>
      <c r="B63" s="44">
        <v>2.3216776506311043E-2</v>
      </c>
    </row>
    <row r="64" spans="1:2" x14ac:dyDescent="0.25">
      <c r="A64" s="46">
        <v>44176</v>
      </c>
      <c r="B64" s="44">
        <v>2.5318208300490086E-2</v>
      </c>
    </row>
    <row r="65" spans="1:2" x14ac:dyDescent="0.25">
      <c r="A65" s="46">
        <v>44179</v>
      </c>
      <c r="B65" s="44">
        <v>2.9120643744024011E-2</v>
      </c>
    </row>
    <row r="66" spans="1:2" x14ac:dyDescent="0.25">
      <c r="A66" s="46">
        <v>44180</v>
      </c>
      <c r="B66" s="44">
        <v>3.0321391118391772E-2</v>
      </c>
    </row>
    <row r="67" spans="1:2" x14ac:dyDescent="0.25">
      <c r="A67" s="46">
        <v>44181</v>
      </c>
      <c r="B67" s="44">
        <v>2.5017563700543199E-2</v>
      </c>
    </row>
    <row r="68" spans="1:2" x14ac:dyDescent="0.25">
      <c r="A68" s="46">
        <v>44182</v>
      </c>
      <c r="B68" s="44">
        <v>1.9413562900108317E-2</v>
      </c>
    </row>
    <row r="69" spans="1:2" x14ac:dyDescent="0.25">
      <c r="A69" s="46">
        <v>44183</v>
      </c>
      <c r="B69" s="44">
        <v>1.9613635506876392E-2</v>
      </c>
    </row>
    <row r="70" spans="1:2" x14ac:dyDescent="0.25">
      <c r="A70" s="46">
        <v>44186</v>
      </c>
      <c r="B70" s="44">
        <v>2.1314599040438642E-2</v>
      </c>
    </row>
    <row r="71" spans="1:2" x14ac:dyDescent="0.25">
      <c r="A71" s="46">
        <v>44187</v>
      </c>
      <c r="B71" s="44">
        <v>2.0614048615323455E-2</v>
      </c>
    </row>
    <row r="72" spans="1:2" x14ac:dyDescent="0.25">
      <c r="A72" s="46">
        <v>44188</v>
      </c>
      <c r="B72" s="44">
        <v>2.0413842262904269E-2</v>
      </c>
    </row>
    <row r="73" spans="1:2" x14ac:dyDescent="0.25">
      <c r="A73" s="46">
        <v>44193</v>
      </c>
      <c r="B73" s="44">
        <v>1.9012566525134722E-2</v>
      </c>
    </row>
    <row r="74" spans="1:2" x14ac:dyDescent="0.25">
      <c r="A74" s="46">
        <v>44194</v>
      </c>
      <c r="B74" s="44">
        <v>2.1314014694593708E-2</v>
      </c>
    </row>
    <row r="75" spans="1:2" x14ac:dyDescent="0.25">
      <c r="A75" s="46">
        <v>44195</v>
      </c>
      <c r="B75" s="44">
        <v>2.7417934333759386E-2</v>
      </c>
    </row>
    <row r="76" spans="1:2" x14ac:dyDescent="0.25">
      <c r="A76" s="46">
        <v>44200</v>
      </c>
      <c r="B76" s="44">
        <v>3.3221161424743184E-2</v>
      </c>
    </row>
    <row r="77" spans="1:2" x14ac:dyDescent="0.25">
      <c r="A77" s="46">
        <v>44201</v>
      </c>
      <c r="B77" s="44">
        <v>3.3521237770505308E-2</v>
      </c>
    </row>
    <row r="78" spans="1:2" x14ac:dyDescent="0.25">
      <c r="A78" s="46">
        <v>44202</v>
      </c>
      <c r="B78" s="44">
        <v>2.7217150533212664E-2</v>
      </c>
    </row>
    <row r="79" spans="1:2" x14ac:dyDescent="0.25">
      <c r="A79" s="46">
        <v>44203</v>
      </c>
      <c r="B79" s="44">
        <v>2.4415301370379339E-2</v>
      </c>
    </row>
    <row r="80" spans="1:2" x14ac:dyDescent="0.25">
      <c r="A80" s="46">
        <v>44204</v>
      </c>
      <c r="B80" s="44">
        <v>2.5015591910026114E-2</v>
      </c>
    </row>
    <row r="81" spans="1:2" x14ac:dyDescent="0.25">
      <c r="A81" s="46">
        <v>44207</v>
      </c>
      <c r="B81" s="44">
        <v>2.6516254827445573E-2</v>
      </c>
    </row>
    <row r="82" spans="1:2" x14ac:dyDescent="0.25">
      <c r="A82" s="46">
        <v>44208</v>
      </c>
      <c r="B82" s="44">
        <v>2.6916407947310317E-2</v>
      </c>
    </row>
    <row r="83" spans="1:2" x14ac:dyDescent="0.25">
      <c r="A83" s="46">
        <v>44209</v>
      </c>
      <c r="B83" s="44">
        <v>2.7616740284350405E-2</v>
      </c>
    </row>
    <row r="84" spans="1:2" x14ac:dyDescent="0.25">
      <c r="A84" s="46">
        <v>44210</v>
      </c>
      <c r="B84" s="44">
        <v>3.0618454959153496E-2</v>
      </c>
    </row>
    <row r="85" spans="1:2" x14ac:dyDescent="0.25">
      <c r="A85" s="46">
        <v>44211</v>
      </c>
      <c r="B85" s="44">
        <v>2.9917930266426751E-2</v>
      </c>
    </row>
    <row r="86" spans="1:2" x14ac:dyDescent="0.25">
      <c r="A86" s="46">
        <v>44214</v>
      </c>
      <c r="B86" s="44">
        <v>3.0017681648094097E-2</v>
      </c>
    </row>
    <row r="87" spans="1:2" x14ac:dyDescent="0.25">
      <c r="A87" s="46">
        <v>44215</v>
      </c>
      <c r="B87" s="44">
        <v>2.9417227211826102E-2</v>
      </c>
    </row>
    <row r="88" spans="1:2" x14ac:dyDescent="0.25">
      <c r="A88" s="46">
        <v>44216</v>
      </c>
      <c r="B88" s="44">
        <v>2.3813864236027826E-2</v>
      </c>
    </row>
    <row r="89" spans="1:2" x14ac:dyDescent="0.25">
      <c r="A89" s="46">
        <v>44217</v>
      </c>
      <c r="B89" s="44">
        <v>2.6815519941335908E-2</v>
      </c>
    </row>
    <row r="90" spans="1:2" x14ac:dyDescent="0.25">
      <c r="A90" s="46">
        <v>44218</v>
      </c>
      <c r="B90" s="44">
        <v>2.4914334274514005E-2</v>
      </c>
    </row>
    <row r="91" spans="1:2" x14ac:dyDescent="0.25">
      <c r="A91" s="46">
        <v>44221</v>
      </c>
      <c r="B91" s="44">
        <v>2.0911816608700118E-2</v>
      </c>
    </row>
    <row r="92" spans="1:2" x14ac:dyDescent="0.25">
      <c r="A92" s="46">
        <v>44222</v>
      </c>
      <c r="B92" s="44">
        <v>2.201236310804694E-2</v>
      </c>
    </row>
    <row r="93" spans="1:2" x14ac:dyDescent="0.25">
      <c r="A93" s="46">
        <v>44223</v>
      </c>
      <c r="B93" s="44">
        <v>1.7609830144909633E-2</v>
      </c>
    </row>
    <row r="94" spans="1:2" x14ac:dyDescent="0.25">
      <c r="A94" s="46">
        <v>44224</v>
      </c>
      <c r="B94" s="44">
        <v>1.5208437557823196E-2</v>
      </c>
    </row>
    <row r="95" spans="1:2" x14ac:dyDescent="0.25">
      <c r="A95" s="46">
        <v>44225</v>
      </c>
      <c r="B95" s="44">
        <v>1.440794410616808E-2</v>
      </c>
    </row>
    <row r="96" spans="1:2" x14ac:dyDescent="0.25">
      <c r="A96" s="46">
        <v>44228</v>
      </c>
      <c r="B96" s="44">
        <v>1.34072546103714E-2</v>
      </c>
    </row>
    <row r="97" spans="1:2" x14ac:dyDescent="0.25">
      <c r="A97" s="46">
        <v>44229</v>
      </c>
      <c r="B97" s="44">
        <v>1.3207101078319516E-2</v>
      </c>
    </row>
    <row r="98" spans="1:2" x14ac:dyDescent="0.25">
      <c r="A98" s="46">
        <v>44230</v>
      </c>
      <c r="B98" s="44">
        <v>1.2306574745412024E-2</v>
      </c>
    </row>
    <row r="99" spans="1:2" x14ac:dyDescent="0.25">
      <c r="A99" s="46">
        <v>44231</v>
      </c>
      <c r="B99" s="44">
        <v>1.3607223012215397E-2</v>
      </c>
    </row>
    <row r="100" spans="1:2" x14ac:dyDescent="0.25">
      <c r="A100" s="46">
        <v>44232</v>
      </c>
      <c r="B100" s="44">
        <v>1.6208548343989604E-2</v>
      </c>
    </row>
    <row r="101" spans="1:2" x14ac:dyDescent="0.25">
      <c r="A101" s="46">
        <v>44235</v>
      </c>
      <c r="B101" s="44">
        <v>1.6508536948901642E-2</v>
      </c>
    </row>
    <row r="102" spans="1:2" x14ac:dyDescent="0.25">
      <c r="A102" s="46">
        <v>44236</v>
      </c>
      <c r="B102" s="44">
        <v>1.7208840157615257E-2</v>
      </c>
    </row>
    <row r="103" spans="1:2" x14ac:dyDescent="0.25">
      <c r="A103" s="46">
        <v>44237</v>
      </c>
      <c r="B103" s="44">
        <v>1.9509955422458758E-2</v>
      </c>
    </row>
    <row r="104" spans="1:2" x14ac:dyDescent="0.25">
      <c r="A104" s="46">
        <v>44238</v>
      </c>
      <c r="B104" s="44">
        <v>1.5107657305757693E-2</v>
      </c>
    </row>
    <row r="105" spans="1:2" x14ac:dyDescent="0.25">
      <c r="A105" s="46">
        <v>44239</v>
      </c>
      <c r="B105" s="44">
        <v>1.1505792299548123E-2</v>
      </c>
    </row>
    <row r="106" spans="1:2" x14ac:dyDescent="0.25">
      <c r="A106" s="46">
        <v>44244</v>
      </c>
      <c r="B106" s="44">
        <v>1.4507054800622254E-2</v>
      </c>
    </row>
    <row r="107" spans="1:2" x14ac:dyDescent="0.25">
      <c r="A107" s="46">
        <v>44245</v>
      </c>
      <c r="B107" s="44">
        <v>1.9709517266899401E-2</v>
      </c>
    </row>
    <row r="108" spans="1:2" x14ac:dyDescent="0.25">
      <c r="A108" s="46">
        <v>44246</v>
      </c>
      <c r="B108" s="44">
        <v>1.3906667580346754E-2</v>
      </c>
    </row>
    <row r="109" spans="1:2" x14ac:dyDescent="0.25">
      <c r="A109" s="46">
        <v>44249</v>
      </c>
      <c r="B109" s="44">
        <v>1.9509153267115054E-2</v>
      </c>
    </row>
    <row r="110" spans="1:2" x14ac:dyDescent="0.25">
      <c r="A110" s="46">
        <v>44250</v>
      </c>
      <c r="B110" s="44">
        <v>1.6507688512457819E-2</v>
      </c>
    </row>
    <row r="111" spans="1:2" x14ac:dyDescent="0.25">
      <c r="A111" s="46">
        <v>44251</v>
      </c>
      <c r="B111" s="44">
        <v>1.780823325852704E-2</v>
      </c>
    </row>
    <row r="112" spans="1:2" x14ac:dyDescent="0.25">
      <c r="A112" s="46">
        <v>44252</v>
      </c>
      <c r="B112" s="44">
        <v>1.8708585446746084E-2</v>
      </c>
    </row>
    <row r="113" spans="1:2" x14ac:dyDescent="0.25">
      <c r="A113" s="46">
        <v>44253</v>
      </c>
      <c r="B113" s="44">
        <v>1.9308794759256787E-2</v>
      </c>
    </row>
    <row r="114" spans="1:2" x14ac:dyDescent="0.25">
      <c r="A114" s="46">
        <v>44256</v>
      </c>
      <c r="B114" s="44">
        <v>1.7307705485318847E-2</v>
      </c>
    </row>
    <row r="115" spans="1:2" x14ac:dyDescent="0.25">
      <c r="A115" s="46">
        <v>44257</v>
      </c>
      <c r="B115" s="44">
        <v>1.8408132359843843E-2</v>
      </c>
    </row>
    <row r="116" spans="1:2" x14ac:dyDescent="0.25">
      <c r="A116" s="46">
        <v>44258</v>
      </c>
      <c r="B116" s="44">
        <v>2.6711709242407677E-2</v>
      </c>
    </row>
    <row r="117" spans="1:2" x14ac:dyDescent="0.25">
      <c r="A117" s="46">
        <v>44259</v>
      </c>
      <c r="B117" s="44">
        <v>2.58112261154681E-2</v>
      </c>
    </row>
    <row r="118" spans="1:2" x14ac:dyDescent="0.25">
      <c r="A118" s="46">
        <v>44260</v>
      </c>
      <c r="B118" s="44">
        <v>2.2509713095376749E-2</v>
      </c>
    </row>
    <row r="119" spans="1:2" x14ac:dyDescent="0.25">
      <c r="A119" s="46">
        <v>44263</v>
      </c>
      <c r="B119" s="44">
        <v>2.6511167375298572E-2</v>
      </c>
    </row>
    <row r="120" spans="1:2" x14ac:dyDescent="0.25">
      <c r="A120" s="46">
        <v>44264</v>
      </c>
      <c r="B120" s="44">
        <v>2.5410616764538596E-2</v>
      </c>
    </row>
    <row r="121" spans="1:2" x14ac:dyDescent="0.25">
      <c r="A121" s="46">
        <v>44265</v>
      </c>
      <c r="B121" s="44">
        <v>1.4105845230386549E-2</v>
      </c>
    </row>
    <row r="122" spans="1:2" x14ac:dyDescent="0.25">
      <c r="A122" s="46">
        <v>44266</v>
      </c>
      <c r="B122" s="44">
        <v>1.4606002466767132E-2</v>
      </c>
    </row>
    <row r="123" spans="1:2" x14ac:dyDescent="0.25">
      <c r="A123" s="46">
        <v>44267</v>
      </c>
      <c r="B123" s="44">
        <v>1.6406686286534578E-2</v>
      </c>
    </row>
    <row r="124" spans="1:2" x14ac:dyDescent="0.25">
      <c r="A124" s="46">
        <v>44270</v>
      </c>
      <c r="B124" s="44">
        <v>1.3105206177796702E-2</v>
      </c>
    </row>
    <row r="125" spans="1:2" x14ac:dyDescent="0.25">
      <c r="A125" s="46">
        <v>44271</v>
      </c>
      <c r="B125" s="44">
        <v>1.1504530894016485E-2</v>
      </c>
    </row>
    <row r="126" spans="1:2" x14ac:dyDescent="0.25">
      <c r="A126" s="46">
        <v>44272</v>
      </c>
      <c r="B126" s="44">
        <v>1.7506834860185172E-2</v>
      </c>
    </row>
    <row r="127" spans="1:2" x14ac:dyDescent="0.25">
      <c r="A127" s="46">
        <v>44273</v>
      </c>
      <c r="B127" s="44">
        <v>1.9007355586237118E-2</v>
      </c>
    </row>
    <row r="128" spans="1:2" x14ac:dyDescent="0.25">
      <c r="A128" s="46">
        <v>44274</v>
      </c>
      <c r="B128" s="44">
        <v>1.4705640519651342E-2</v>
      </c>
    </row>
    <row r="129" spans="1:2" x14ac:dyDescent="0.25">
      <c r="A129" s="46">
        <v>44277</v>
      </c>
      <c r="B129" s="44">
        <v>1.1104145040443159E-2</v>
      </c>
    </row>
    <row r="130" spans="1:2" x14ac:dyDescent="0.25">
      <c r="A130" s="46">
        <v>44278</v>
      </c>
      <c r="B130" s="44">
        <v>6.802515999068115E-3</v>
      </c>
    </row>
    <row r="131" spans="1:2" x14ac:dyDescent="0.25">
      <c r="A131" s="46">
        <v>44280</v>
      </c>
      <c r="B131" s="44">
        <v>5.3019246712847634E-3</v>
      </c>
    </row>
    <row r="132" spans="1:2" x14ac:dyDescent="0.25">
      <c r="A132" s="46">
        <v>44281</v>
      </c>
      <c r="B132" s="44">
        <v>5.8020863666728983E-3</v>
      </c>
    </row>
    <row r="133" spans="1:2" x14ac:dyDescent="0.25">
      <c r="A133" s="46">
        <v>44284</v>
      </c>
      <c r="B133" s="44">
        <v>3.60125797367572E-3</v>
      </c>
    </row>
    <row r="134" spans="1:2" x14ac:dyDescent="0.25">
      <c r="A134" s="46">
        <v>44285</v>
      </c>
      <c r="B134" s="44">
        <v>2.9010034292683007E-3</v>
      </c>
    </row>
    <row r="135" spans="1:2" x14ac:dyDescent="0.25">
      <c r="A135" s="46">
        <v>44286</v>
      </c>
      <c r="B135" s="44">
        <v>1.5005138746145841E-3</v>
      </c>
    </row>
    <row r="136" spans="1:2" x14ac:dyDescent="0.25">
      <c r="A136" s="46">
        <v>44291</v>
      </c>
      <c r="B136" s="44">
        <v>9.5030917593052489E-3</v>
      </c>
    </row>
    <row r="137" spans="1:2" x14ac:dyDescent="0.25">
      <c r="A137" s="46">
        <v>44292</v>
      </c>
      <c r="B137" s="44">
        <v>9.3029947996957629E-3</v>
      </c>
    </row>
    <row r="138" spans="1:2" x14ac:dyDescent="0.25">
      <c r="A138" s="46">
        <v>44293</v>
      </c>
      <c r="B138" s="44">
        <v>2.1506849784349136E-2</v>
      </c>
    </row>
    <row r="139" spans="1:2" x14ac:dyDescent="0.25">
      <c r="A139" s="46">
        <v>44294</v>
      </c>
      <c r="B139" s="44">
        <v>1.0803403812159995E-2</v>
      </c>
    </row>
    <row r="140" spans="1:2" x14ac:dyDescent="0.25">
      <c r="A140" s="46">
        <v>44295</v>
      </c>
      <c r="B140" s="44">
        <v>1.0803366802667969E-2</v>
      </c>
    </row>
    <row r="141" spans="1:2" x14ac:dyDescent="0.25">
      <c r="A141" s="46">
        <v>44298</v>
      </c>
      <c r="B141" s="44">
        <v>9.5028638767847284E-3</v>
      </c>
    </row>
    <row r="142" spans="1:2" x14ac:dyDescent="0.25">
      <c r="A142" s="46">
        <v>44299</v>
      </c>
      <c r="B142" s="44">
        <v>9.8029207332321344E-3</v>
      </c>
    </row>
    <row r="143" spans="1:2" x14ac:dyDescent="0.25">
      <c r="A143" s="46">
        <v>44300</v>
      </c>
      <c r="B143" s="44">
        <v>9.2027103873059124E-3</v>
      </c>
    </row>
    <row r="144" spans="1:2" x14ac:dyDescent="0.25">
      <c r="A144" s="46">
        <v>44301</v>
      </c>
      <c r="B144" s="44">
        <v>7.5021838548892661E-3</v>
      </c>
    </row>
    <row r="145" spans="1:2" x14ac:dyDescent="0.25">
      <c r="A145" s="46">
        <v>44302</v>
      </c>
      <c r="B145" s="44">
        <v>6.0017265240685513E-3</v>
      </c>
    </row>
    <row r="146" spans="1:2" x14ac:dyDescent="0.25">
      <c r="A146" s="46">
        <v>44305</v>
      </c>
      <c r="B146" s="44">
        <v>8.7024140258085136E-3</v>
      </c>
    </row>
    <row r="147" spans="1:2" x14ac:dyDescent="0.25">
      <c r="A147" s="46">
        <v>44306</v>
      </c>
      <c r="B147" s="44">
        <v>6.1016716908741664E-3</v>
      </c>
    </row>
    <row r="148" spans="1:2" x14ac:dyDescent="0.25">
      <c r="A148" s="46">
        <v>44307</v>
      </c>
      <c r="B148" s="44">
        <v>5.5014884163866462E-3</v>
      </c>
    </row>
    <row r="149" spans="1:2" x14ac:dyDescent="0.25">
      <c r="A149" s="46">
        <v>44308</v>
      </c>
      <c r="B149" s="44">
        <v>1.7004542309246307E-3</v>
      </c>
    </row>
    <row r="150" spans="1:2" x14ac:dyDescent="0.25">
      <c r="A150" s="46">
        <v>44309</v>
      </c>
      <c r="B150" s="44">
        <v>3.5009231886490855E-3</v>
      </c>
    </row>
    <row r="151" spans="1:2" x14ac:dyDescent="0.25">
      <c r="A151" s="46">
        <v>44312</v>
      </c>
      <c r="B151" s="44">
        <v>1.1202839075656168E-2</v>
      </c>
    </row>
    <row r="152" spans="1:2" x14ac:dyDescent="0.25">
      <c r="A152" s="46">
        <v>44313</v>
      </c>
      <c r="B152" s="44">
        <v>1.3503375843960996E-2</v>
      </c>
    </row>
    <row r="153" spans="1:2" x14ac:dyDescent="0.25">
      <c r="A153" s="46">
        <v>44314</v>
      </c>
      <c r="B153" s="44">
        <v>1.0502589679647067E-2</v>
      </c>
    </row>
    <row r="154" spans="1:2" x14ac:dyDescent="0.25">
      <c r="A154" s="46">
        <v>44315</v>
      </c>
      <c r="B154" s="44">
        <v>1.3303234690626831E-2</v>
      </c>
    </row>
    <row r="155" spans="1:2" x14ac:dyDescent="0.25">
      <c r="A155" s="46">
        <v>44316</v>
      </c>
      <c r="B155" s="44">
        <v>1.1002637618607147E-2</v>
      </c>
    </row>
    <row r="156" spans="1:2" x14ac:dyDescent="0.25">
      <c r="A156" s="46">
        <v>44319</v>
      </c>
      <c r="B156" s="44">
        <v>1.5303511422141369E-2</v>
      </c>
    </row>
    <row r="157" spans="1:2" x14ac:dyDescent="0.25">
      <c r="A157" s="46">
        <v>44320</v>
      </c>
      <c r="B157" s="44">
        <v>1.4703323353908782E-2</v>
      </c>
    </row>
    <row r="158" spans="1:2" x14ac:dyDescent="0.25">
      <c r="A158" s="46">
        <v>44321</v>
      </c>
      <c r="B158" s="44">
        <v>1.1702605031942093E-2</v>
      </c>
    </row>
    <row r="159" spans="1:2" x14ac:dyDescent="0.25">
      <c r="A159" s="46">
        <v>44322</v>
      </c>
      <c r="B159" s="44">
        <v>1.2502740326646944E-2</v>
      </c>
    </row>
    <row r="160" spans="1:2" x14ac:dyDescent="0.25">
      <c r="A160" s="46">
        <v>44323</v>
      </c>
      <c r="B160" s="44">
        <v>8.5018342998660068E-3</v>
      </c>
    </row>
    <row r="161" spans="1:2" x14ac:dyDescent="0.25">
      <c r="A161" s="46">
        <v>44326</v>
      </c>
      <c r="B161" s="44">
        <v>8.6017674864697913E-3</v>
      </c>
    </row>
    <row r="162" spans="1:2" x14ac:dyDescent="0.25">
      <c r="A162" s="46">
        <v>44327</v>
      </c>
      <c r="B162" s="44">
        <v>6.7013540407137029E-3</v>
      </c>
    </row>
    <row r="163" spans="1:2" x14ac:dyDescent="0.25">
      <c r="A163" s="46">
        <v>44328</v>
      </c>
      <c r="B163" s="44">
        <v>7.1014105541511441E-3</v>
      </c>
    </row>
    <row r="164" spans="1:2" x14ac:dyDescent="0.25">
      <c r="A164" s="46">
        <v>44329</v>
      </c>
      <c r="B164" s="44">
        <v>6.9013471807852222E-3</v>
      </c>
    </row>
    <row r="165" spans="1:2" x14ac:dyDescent="0.25">
      <c r="A165" s="46">
        <v>44330</v>
      </c>
      <c r="B165" s="44">
        <v>5.9011317238922834E-3</v>
      </c>
    </row>
    <row r="166" spans="1:2" x14ac:dyDescent="0.25">
      <c r="A166" s="46">
        <v>44333</v>
      </c>
      <c r="B166" s="44">
        <v>5.0009076990001899E-3</v>
      </c>
    </row>
    <row r="167" spans="1:2" x14ac:dyDescent="0.25">
      <c r="A167" s="46">
        <v>44334</v>
      </c>
      <c r="B167" s="44">
        <v>2.0003562278214093E-3</v>
      </c>
    </row>
    <row r="168" spans="1:2" x14ac:dyDescent="0.25">
      <c r="A168" s="46">
        <v>44335</v>
      </c>
      <c r="B168" s="44">
        <v>-8.0013975043585761E-4</v>
      </c>
    </row>
    <row r="169" spans="1:2" x14ac:dyDescent="0.25">
      <c r="A169" s="46">
        <v>44336</v>
      </c>
      <c r="B169" s="44">
        <v>-4.7008049323514212E-3</v>
      </c>
    </row>
    <row r="170" spans="1:2" x14ac:dyDescent="0.25">
      <c r="A170" s="46">
        <v>44337</v>
      </c>
      <c r="B170" s="44">
        <v>-6.7011245037694733E-3</v>
      </c>
    </row>
    <row r="171" spans="1:2" x14ac:dyDescent="0.25">
      <c r="A171" s="46">
        <v>44342</v>
      </c>
      <c r="B171" s="44">
        <v>-1.2001808491690524E-2</v>
      </c>
    </row>
    <row r="172" spans="1:2" x14ac:dyDescent="0.25">
      <c r="A172" s="46">
        <v>44343</v>
      </c>
      <c r="B172" s="44">
        <v>-9.9014580914312811E-3</v>
      </c>
    </row>
    <row r="173" spans="1:2" x14ac:dyDescent="0.25">
      <c r="A173" s="46">
        <v>44344</v>
      </c>
      <c r="B173" s="44">
        <v>-9.7013954061885843E-3</v>
      </c>
    </row>
    <row r="174" spans="1:2" x14ac:dyDescent="0.25">
      <c r="A174" s="46">
        <v>44347</v>
      </c>
      <c r="B174" s="44">
        <v>-9.5012690051068938E-3</v>
      </c>
    </row>
    <row r="175" spans="1:2" x14ac:dyDescent="0.25">
      <c r="A175" s="46">
        <v>44348</v>
      </c>
      <c r="B175" s="44">
        <v>-1.2001561847089615E-2</v>
      </c>
    </row>
    <row r="176" spans="1:2" x14ac:dyDescent="0.25">
      <c r="A176" s="46">
        <v>44349</v>
      </c>
      <c r="B176" s="44">
        <v>-1.3001647469028654E-2</v>
      </c>
    </row>
    <row r="177" spans="1:2" x14ac:dyDescent="0.25">
      <c r="A177" s="46">
        <v>44350</v>
      </c>
      <c r="B177" s="44">
        <v>-9.1011220561439399E-3</v>
      </c>
    </row>
    <row r="178" spans="1:2" x14ac:dyDescent="0.25">
      <c r="A178" s="46">
        <v>44351</v>
      </c>
      <c r="B178" s="44">
        <v>-1.1601390577637649E-2</v>
      </c>
    </row>
    <row r="179" spans="1:2" x14ac:dyDescent="0.25">
      <c r="A179" s="46">
        <v>44354</v>
      </c>
      <c r="B179" s="44">
        <v>-8.0008768084173232E-3</v>
      </c>
    </row>
    <row r="180" spans="1:2" x14ac:dyDescent="0.25">
      <c r="A180" s="46">
        <v>44355</v>
      </c>
      <c r="B180" s="44">
        <v>-5.3005627309747894E-3</v>
      </c>
    </row>
    <row r="181" spans="1:2" x14ac:dyDescent="0.25">
      <c r="A181" s="46">
        <v>44356</v>
      </c>
      <c r="B181" s="44">
        <v>-5.0005137514128051E-3</v>
      </c>
    </row>
    <row r="182" spans="1:2" x14ac:dyDescent="0.25">
      <c r="A182" s="46">
        <v>44357</v>
      </c>
      <c r="B182" s="44">
        <v>-3.6003575697586832E-3</v>
      </c>
    </row>
    <row r="183" spans="1:2" x14ac:dyDescent="0.25">
      <c r="A183" s="46">
        <v>44358</v>
      </c>
      <c r="B183" s="44">
        <v>-3.6003452385845458E-3</v>
      </c>
    </row>
    <row r="184" spans="1:2" x14ac:dyDescent="0.25">
      <c r="A184" s="46">
        <v>44361</v>
      </c>
      <c r="B184" s="44">
        <v>-4.0003424950766919E-3</v>
      </c>
    </row>
    <row r="185" spans="1:2" x14ac:dyDescent="0.25">
      <c r="A185" s="46">
        <v>44362</v>
      </c>
      <c r="B185" s="44">
        <v>-1.9001561772200026E-3</v>
      </c>
    </row>
    <row r="186" spans="1:2" x14ac:dyDescent="0.25">
      <c r="A186" s="46">
        <v>44363</v>
      </c>
      <c r="B186" s="44">
        <v>-5.8004568853026184E-3</v>
      </c>
    </row>
    <row r="187" spans="1:2" x14ac:dyDescent="0.25">
      <c r="A187" s="46">
        <v>44364</v>
      </c>
      <c r="B187" s="44">
        <v>-4.5003390666419896E-3</v>
      </c>
    </row>
    <row r="188" spans="1:2" x14ac:dyDescent="0.25">
      <c r="A188" s="46">
        <v>44365</v>
      </c>
      <c r="B188" s="44">
        <v>-6.0004315378845985E-3</v>
      </c>
    </row>
    <row r="189" spans="1:2" x14ac:dyDescent="0.25">
      <c r="A189" s="46">
        <v>44369</v>
      </c>
      <c r="B189" s="44">
        <v>-6.7003900912039893E-3</v>
      </c>
    </row>
    <row r="190" spans="1:2" x14ac:dyDescent="0.25">
      <c r="A190" s="46">
        <v>44370</v>
      </c>
      <c r="B190" s="44">
        <v>-8.1004438599375228E-3</v>
      </c>
    </row>
    <row r="191" spans="1:2" x14ac:dyDescent="0.25">
      <c r="A191" s="46">
        <v>44371</v>
      </c>
      <c r="B191" s="44">
        <v>-1.1100570234772345E-2</v>
      </c>
    </row>
    <row r="192" spans="1:2" x14ac:dyDescent="0.25">
      <c r="A192" s="46">
        <v>44372</v>
      </c>
      <c r="B192" s="44">
        <v>-1.2100580164802421E-2</v>
      </c>
    </row>
    <row r="193" spans="1:2" x14ac:dyDescent="0.25">
      <c r="A193" s="46">
        <v>44375</v>
      </c>
      <c r="B193" s="44">
        <v>-1.1500433235498597E-2</v>
      </c>
    </row>
    <row r="194" spans="1:2" x14ac:dyDescent="0.25">
      <c r="A194" s="46">
        <v>44376</v>
      </c>
      <c r="B194" s="44">
        <v>-1.2000410972978548E-2</v>
      </c>
    </row>
    <row r="195" spans="1:2" x14ac:dyDescent="0.25">
      <c r="A195" s="46">
        <v>44377</v>
      </c>
      <c r="B195" s="44">
        <v>-1.0800332886972519E-2</v>
      </c>
    </row>
    <row r="196" spans="1:2" x14ac:dyDescent="0.25">
      <c r="A196" s="46">
        <v>44378</v>
      </c>
      <c r="B196" s="44">
        <v>-1.450039727115815E-2</v>
      </c>
    </row>
    <row r="197" spans="1:2" x14ac:dyDescent="0.25">
      <c r="A197" s="46">
        <v>44379</v>
      </c>
      <c r="B197" s="44">
        <v>-1.6700400352063161E-2</v>
      </c>
    </row>
    <row r="198" spans="1:2" x14ac:dyDescent="0.25">
      <c r="A198" s="46">
        <v>44382</v>
      </c>
      <c r="B198" s="44">
        <v>-1.8600254798010918E-2</v>
      </c>
    </row>
    <row r="199" spans="1:2" x14ac:dyDescent="0.25">
      <c r="A199" s="46">
        <v>44383</v>
      </c>
      <c r="B199" s="44">
        <v>-1.6300167467473925E-2</v>
      </c>
    </row>
    <row r="200" spans="1:2" x14ac:dyDescent="0.25">
      <c r="A200" s="46">
        <v>44384</v>
      </c>
      <c r="B200" s="44">
        <v>-1.9400132877622489E-2</v>
      </c>
    </row>
    <row r="201" spans="1:2" x14ac:dyDescent="0.25">
      <c r="A201" s="46">
        <v>44385</v>
      </c>
      <c r="B201" s="44">
        <v>-1.8000061644046716E-2</v>
      </c>
    </row>
    <row r="202" spans="1:2" x14ac:dyDescent="0.25">
      <c r="A202" s="46">
        <v>44389</v>
      </c>
      <c r="B202" s="44">
        <v>-1.669982842642026E-2</v>
      </c>
    </row>
    <row r="203" spans="1:2" x14ac:dyDescent="0.25">
      <c r="A203" s="46">
        <v>44390</v>
      </c>
      <c r="B203" s="44">
        <v>-1.7499760277256471E-2</v>
      </c>
    </row>
    <row r="204" spans="1:2" x14ac:dyDescent="0.25">
      <c r="A204" s="46">
        <v>44391</v>
      </c>
      <c r="B204" s="44">
        <v>-1.729970377219564E-2</v>
      </c>
    </row>
    <row r="205" spans="1:2" x14ac:dyDescent="0.25">
      <c r="A205" s="46">
        <v>44392</v>
      </c>
      <c r="B205" s="44">
        <v>-1.7099648637356746E-2</v>
      </c>
    </row>
    <row r="206" spans="1:2" x14ac:dyDescent="0.25">
      <c r="A206" s="46">
        <v>44393</v>
      </c>
      <c r="B206" s="44">
        <v>-1.6299609255942482E-2</v>
      </c>
    </row>
    <row r="207" spans="1:2" x14ac:dyDescent="0.25">
      <c r="A207" s="46">
        <v>44396</v>
      </c>
      <c r="B207" s="44">
        <v>-1.8099380158213718E-2</v>
      </c>
    </row>
    <row r="208" spans="1:2" x14ac:dyDescent="0.25">
      <c r="A208" s="46">
        <v>44397</v>
      </c>
      <c r="B208" s="44">
        <v>-2.0099242836742526E-2</v>
      </c>
    </row>
    <row r="209" spans="1:2" x14ac:dyDescent="0.25">
      <c r="A209" s="46">
        <v>44398</v>
      </c>
      <c r="B209" s="44">
        <v>-1.8299247976110544E-2</v>
      </c>
    </row>
    <row r="210" spans="1:2" x14ac:dyDescent="0.25">
      <c r="A210" s="46">
        <v>44399</v>
      </c>
      <c r="B210" s="44">
        <v>-2.249899833226604E-2</v>
      </c>
    </row>
    <row r="211" spans="1:2" x14ac:dyDescent="0.25">
      <c r="A211" s="46">
        <v>44400</v>
      </c>
      <c r="B211" s="44">
        <v>-2.3098892518851888E-2</v>
      </c>
    </row>
    <row r="212" spans="1:2" x14ac:dyDescent="0.25">
      <c r="A212" s="46">
        <v>44403</v>
      </c>
      <c r="B212" s="44">
        <v>-2.2298701787909658E-2</v>
      </c>
    </row>
    <row r="213" spans="1:2" x14ac:dyDescent="0.25">
      <c r="A213" s="46">
        <v>44404</v>
      </c>
      <c r="B213" s="44">
        <v>-2.2798594607181755E-2</v>
      </c>
    </row>
    <row r="214" spans="1:2" x14ac:dyDescent="0.25">
      <c r="A214" s="46">
        <v>44405</v>
      </c>
      <c r="B214" s="44">
        <v>-2.4398412432067806E-2</v>
      </c>
    </row>
    <row r="215" spans="1:2" x14ac:dyDescent="0.25">
      <c r="A215" s="46">
        <v>44406</v>
      </c>
      <c r="B215" s="44">
        <v>-2.5398260393123817E-2</v>
      </c>
    </row>
    <row r="216" spans="1:2" x14ac:dyDescent="0.25">
      <c r="A216" s="46">
        <v>44407</v>
      </c>
      <c r="B216" s="44">
        <v>-2.6098123080189439E-2</v>
      </c>
    </row>
    <row r="217" spans="1:2" x14ac:dyDescent="0.25">
      <c r="A217" s="46" t="s">
        <v>34</v>
      </c>
      <c r="B217" s="44">
        <v>2.3092715462608293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Y233"/>
  <sheetViews>
    <sheetView tabSelected="1" zoomScaleNormal="100" workbookViewId="0">
      <pane xSplit="1" topLeftCell="G1" activePane="topRight" state="frozen"/>
      <selection pane="topRight" activeCell="A2" sqref="A2:XFD5"/>
    </sheetView>
  </sheetViews>
  <sheetFormatPr baseColWidth="10" defaultRowHeight="15" x14ac:dyDescent="0.25"/>
  <cols>
    <col min="1" max="1" width="14.7109375" bestFit="1" customWidth="1"/>
    <col min="3" max="3" width="11.5703125" bestFit="1" customWidth="1"/>
    <col min="4" max="4" width="8.28515625" bestFit="1" customWidth="1"/>
    <col min="5" max="5" width="11.5703125" bestFit="1" customWidth="1"/>
    <col min="7" max="7" width="11.5703125" bestFit="1" customWidth="1"/>
    <col min="13" max="13" width="11.85546875" bestFit="1" customWidth="1"/>
    <col min="16" max="16" width="7.85546875" bestFit="1" customWidth="1"/>
    <col min="17" max="17" width="9.28515625" bestFit="1" customWidth="1"/>
    <col min="18" max="19" width="7.85546875" bestFit="1" customWidth="1"/>
    <col min="20" max="20" width="9.140625" bestFit="1" customWidth="1"/>
  </cols>
  <sheetData>
    <row r="1" spans="1:25" ht="19.5" thickBot="1" x14ac:dyDescent="0.35">
      <c r="A1" s="40" t="s">
        <v>0</v>
      </c>
      <c r="B1" s="40" t="s">
        <v>3</v>
      </c>
      <c r="C1" s="41" t="s">
        <v>26</v>
      </c>
      <c r="D1" s="40" t="s">
        <v>22</v>
      </c>
      <c r="E1" s="48" t="s">
        <v>27</v>
      </c>
      <c r="F1" s="40" t="s">
        <v>1</v>
      </c>
      <c r="G1" s="41" t="s">
        <v>25</v>
      </c>
      <c r="H1" s="42" t="s">
        <v>48</v>
      </c>
      <c r="I1" s="43" t="s">
        <v>49</v>
      </c>
      <c r="J1" s="47" t="s">
        <v>51</v>
      </c>
      <c r="K1" s="43" t="s">
        <v>50</v>
      </c>
      <c r="L1" s="42" t="s">
        <v>23</v>
      </c>
      <c r="M1" s="43" t="s">
        <v>28</v>
      </c>
      <c r="N1" s="47" t="s">
        <v>24</v>
      </c>
      <c r="O1" s="43" t="s">
        <v>29</v>
      </c>
      <c r="P1" s="42" t="s">
        <v>32</v>
      </c>
      <c r="Q1" s="42" t="s">
        <v>39</v>
      </c>
      <c r="R1" s="42" t="s">
        <v>30</v>
      </c>
      <c r="S1" s="47" t="s">
        <v>31</v>
      </c>
      <c r="T1" s="42" t="s">
        <v>37</v>
      </c>
      <c r="U1" s="42" t="s">
        <v>46</v>
      </c>
      <c r="V1" s="42" t="s">
        <v>55</v>
      </c>
      <c r="W1" s="42" t="s">
        <v>56</v>
      </c>
      <c r="X1" s="42" t="s">
        <v>57</v>
      </c>
      <c r="Y1" s="89" t="s">
        <v>68</v>
      </c>
    </row>
    <row r="2" spans="1:25" s="84" customFormat="1" x14ac:dyDescent="0.25">
      <c r="A2" s="78"/>
      <c r="B2" s="79"/>
      <c r="C2" s="80"/>
      <c r="D2" s="79"/>
      <c r="E2" s="81"/>
      <c r="F2" s="79"/>
      <c r="G2" s="80"/>
      <c r="H2" s="82"/>
      <c r="I2" s="80"/>
      <c r="J2" s="82"/>
      <c r="K2" s="80"/>
      <c r="L2" s="79"/>
      <c r="M2" s="80"/>
      <c r="N2" s="83"/>
      <c r="O2" s="80"/>
      <c r="P2" s="81"/>
      <c r="Q2" s="81"/>
      <c r="R2" s="81"/>
      <c r="S2" s="81"/>
      <c r="T2" s="81"/>
      <c r="U2" s="81"/>
      <c r="V2" s="81"/>
      <c r="W2" s="81"/>
      <c r="X2" s="81"/>
      <c r="Y2" s="90"/>
    </row>
    <row r="3" spans="1:25" s="84" customFormat="1" x14ac:dyDescent="0.25">
      <c r="A3" s="78"/>
      <c r="B3" s="79"/>
      <c r="C3" s="80"/>
      <c r="D3" s="79"/>
      <c r="E3" s="81"/>
      <c r="F3" s="79"/>
      <c r="G3" s="80"/>
      <c r="H3" s="82"/>
      <c r="I3" s="80"/>
      <c r="J3" s="82"/>
      <c r="K3" s="80"/>
      <c r="L3" s="79"/>
      <c r="M3" s="80"/>
      <c r="N3" s="83"/>
      <c r="O3" s="80"/>
      <c r="P3" s="81"/>
      <c r="Q3" s="81"/>
      <c r="R3" s="81"/>
      <c r="S3" s="81"/>
      <c r="T3" s="81"/>
      <c r="U3" s="81"/>
      <c r="V3" s="81"/>
      <c r="W3" s="81"/>
      <c r="X3" s="81"/>
      <c r="Y3" s="90"/>
    </row>
    <row r="4" spans="1:25" s="84" customFormat="1" x14ac:dyDescent="0.25">
      <c r="A4" s="78"/>
      <c r="B4" s="79"/>
      <c r="C4" s="80"/>
      <c r="D4" s="79"/>
      <c r="E4" s="81"/>
      <c r="F4" s="79"/>
      <c r="G4" s="80"/>
      <c r="H4" s="82"/>
      <c r="I4" s="80"/>
      <c r="J4" s="82"/>
      <c r="K4" s="80"/>
      <c r="L4" s="79"/>
      <c r="M4" s="80"/>
      <c r="N4" s="83"/>
      <c r="O4" s="80"/>
      <c r="P4" s="81"/>
      <c r="Q4" s="81"/>
      <c r="R4" s="81"/>
      <c r="S4" s="81"/>
      <c r="T4" s="81"/>
      <c r="U4" s="81"/>
      <c r="V4" s="81"/>
      <c r="W4" s="81"/>
      <c r="X4" s="81"/>
      <c r="Y4" s="90"/>
    </row>
    <row r="5" spans="1:25" s="84" customFormat="1" x14ac:dyDescent="0.25">
      <c r="A5" s="78"/>
      <c r="B5" s="79"/>
      <c r="C5" s="80"/>
      <c r="D5" s="79"/>
      <c r="E5" s="81"/>
      <c r="F5" s="79"/>
      <c r="G5" s="80"/>
      <c r="H5" s="82"/>
      <c r="I5" s="80"/>
      <c r="J5" s="82"/>
      <c r="K5" s="80"/>
      <c r="L5" s="79"/>
      <c r="M5" s="80"/>
      <c r="N5" s="83"/>
      <c r="O5" s="80"/>
      <c r="P5" s="81"/>
      <c r="Q5" s="81"/>
      <c r="R5" s="81"/>
      <c r="S5" s="81"/>
      <c r="T5" s="81"/>
      <c r="U5" s="81"/>
      <c r="V5" s="81"/>
      <c r="W5" s="81"/>
      <c r="X5" s="81"/>
      <c r="Y5" s="90"/>
    </row>
    <row r="6" spans="1:25" s="84" customFormat="1" x14ac:dyDescent="0.25">
      <c r="A6" s="78">
        <v>44421</v>
      </c>
      <c r="B6" s="79">
        <v>36.15</v>
      </c>
      <c r="C6" s="80">
        <f>myParidad('Flujo de Fondos'!$B$5,A6,B6,'Flujo de Fondos'!$B$7,'Flujo de Fondos'!$B$6)</f>
        <v>0.36115368824414945</v>
      </c>
      <c r="D6" s="79">
        <v>40.6</v>
      </c>
      <c r="E6" s="81">
        <f>myParidad('Flujo de Fondos'!$H$5,$A6,D6,'Flujo de Fondos'!$H$7,'Flujo de Fondos'!$H$6)</f>
        <v>0.40561105788969481</v>
      </c>
      <c r="F6" s="79">
        <v>35.119999999999997</v>
      </c>
      <c r="G6" s="80">
        <f>myParidad('Flujo de Fondos'!$N$5,$A6,F6,'Flujo de Fondos'!$N$7,'Flujo de Fondos'!$N$6)</f>
        <v>0.35115790915472456</v>
      </c>
      <c r="H6" s="82">
        <v>38.799999999999997</v>
      </c>
      <c r="I6" s="80">
        <f>myParidad('Flujo de Fondos'!$T$5,$A6,H6,'Flujo de Fondos'!$T$7,'Flujo de Fondos'!$T$6)</f>
        <v>0.38754211633515195</v>
      </c>
      <c r="J6" s="82">
        <v>33.25</v>
      </c>
      <c r="K6" s="80">
        <f>myParidad('Flujo de Fondos'!$B$34,$A6,J6,'Flujo de Fondos'!$B$36,'Flujo de Fondos'!$B$35)</f>
        <v>0.33246015032444742</v>
      </c>
      <c r="L6" s="79">
        <v>37.75</v>
      </c>
      <c r="M6" s="80">
        <f>myParidad('Flujo de Fondos'!$H$34,'Paridad usd'!$A6,'Paridad usd'!L6,'Flujo de Fondos'!$H$36,'Flujo de Fondos'!$H$35)</f>
        <v>0.37745475713527488</v>
      </c>
      <c r="N6" s="83">
        <v>37.4</v>
      </c>
      <c r="O6" s="80">
        <f>myParidad('Flujo de Fondos'!$N$34,$A6,N6,'Flujo de Fondos'!$N$36,'Flujo de Fondos'!$N$35)</f>
        <v>0.37395517660554384</v>
      </c>
      <c r="P6" s="80">
        <f t="shared" ref="P6:P15" si="0">C6-G6</f>
        <v>9.9957790894248943E-3</v>
      </c>
      <c r="Q6" s="80">
        <f t="shared" ref="Q6:Q15" si="1">E6-C6</f>
        <v>4.4457369645545364E-2</v>
      </c>
      <c r="R6" s="80">
        <f t="shared" ref="R6:R15" si="2">C6-M6</f>
        <v>-1.6301068891125425E-2</v>
      </c>
      <c r="S6" s="80">
        <f t="shared" ref="S6:S15" si="3">C6-O6</f>
        <v>-1.2801488361394386E-2</v>
      </c>
      <c r="T6" s="80">
        <f t="shared" ref="T6:T15" si="4">E6-O6</f>
        <v>3.1655881284150977E-2</v>
      </c>
      <c r="U6" s="80">
        <f t="shared" ref="U6:U15" si="5">G6-O6</f>
        <v>-2.2797267450819281E-2</v>
      </c>
      <c r="V6" s="80">
        <f t="shared" ref="V6:V15" si="6">G6-K6</f>
        <v>1.8697758830277134E-2</v>
      </c>
      <c r="W6" s="80">
        <f t="shared" ref="W6:W15" si="7">C6-K6</f>
        <v>2.8693537919702028E-2</v>
      </c>
      <c r="X6" s="80">
        <f t="shared" ref="X6:X15" si="8">I6-G6</f>
        <v>3.6384207180427397E-2</v>
      </c>
      <c r="Y6" s="90">
        <f t="shared" ref="Y6:Y15" si="9">G6-M6</f>
        <v>-2.629684798055032E-2</v>
      </c>
    </row>
    <row r="7" spans="1:25" s="84" customFormat="1" x14ac:dyDescent="0.25">
      <c r="A7" s="78">
        <v>44420</v>
      </c>
      <c r="B7" s="79">
        <v>37.020000000000003</v>
      </c>
      <c r="C7" s="80">
        <f>myParidad('Flujo de Fondos'!$B$5,A7,B7,'Flujo de Fondos'!$B$7,'Flujo de Fondos'!$B$6)</f>
        <v>0.36985547708983418</v>
      </c>
      <c r="D7" s="79">
        <v>40.700000000000003</v>
      </c>
      <c r="E7" s="81">
        <f>myParidad('Flujo de Fondos'!$H$5,$A7,D7,'Flujo de Fondos'!$H$7,'Flujo de Fondos'!$H$6)</f>
        <v>0.40662122953960694</v>
      </c>
      <c r="F7" s="79">
        <v>35.68</v>
      </c>
      <c r="G7" s="80">
        <f>myParidad('Flujo de Fondos'!$N$5,$A7,F7,'Flujo de Fondos'!$N$7,'Flujo de Fondos'!$N$6)</f>
        <v>0.35675845963141278</v>
      </c>
      <c r="H7" s="82">
        <v>39.14</v>
      </c>
      <c r="I7" s="80">
        <f>myParidad('Flujo de Fondos'!$T$5,$A7,H7,'Flujo de Fondos'!$T$7,'Flujo de Fondos'!$T$6)</f>
        <v>0.39093944120625018</v>
      </c>
      <c r="J7" s="82">
        <v>33.799999999999997</v>
      </c>
      <c r="K7" s="80">
        <f>myParidad('Flujo de Fondos'!$B$34,$A7,J7,'Flujo de Fondos'!$B$36,'Flujo de Fondos'!$B$35)</f>
        <v>0.33796064841764994</v>
      </c>
      <c r="L7" s="79">
        <v>38.4</v>
      </c>
      <c r="M7" s="80">
        <f>myParidad('Flujo de Fondos'!$H$34,'Paridad usd'!$A7,'Paridad usd'!L7,'Flujo de Fondos'!$H$36,'Flujo de Fondos'!$H$35)</f>
        <v>0.38395529287685681</v>
      </c>
      <c r="N7" s="83">
        <v>37.9</v>
      </c>
      <c r="O7" s="80">
        <f>myParidad('Flujo de Fondos'!$N$34,$A7,N7,'Flujo de Fondos'!$N$36,'Flujo de Fondos'!$N$35)</f>
        <v>0.37895587500085604</v>
      </c>
      <c r="P7" s="80">
        <f t="shared" si="0"/>
        <v>1.3097017458421401E-2</v>
      </c>
      <c r="Q7" s="80">
        <f t="shared" si="1"/>
        <v>3.6765752449772759E-2</v>
      </c>
      <c r="R7" s="80">
        <f t="shared" si="2"/>
        <v>-1.4099815787022629E-2</v>
      </c>
      <c r="S7" s="80">
        <f t="shared" si="3"/>
        <v>-9.1003979110218514E-3</v>
      </c>
      <c r="T7" s="80">
        <f t="shared" si="4"/>
        <v>2.7665354538750908E-2</v>
      </c>
      <c r="U7" s="80">
        <f t="shared" si="5"/>
        <v>-2.2197415369443252E-2</v>
      </c>
      <c r="V7" s="80">
        <f t="shared" si="6"/>
        <v>1.8797811213762838E-2</v>
      </c>
      <c r="W7" s="80">
        <f t="shared" si="7"/>
        <v>3.1894828672184239E-2</v>
      </c>
      <c r="X7" s="80">
        <f t="shared" si="8"/>
        <v>3.4180981574837399E-2</v>
      </c>
      <c r="Y7" s="90">
        <f t="shared" si="9"/>
        <v>-2.719683324544403E-2</v>
      </c>
    </row>
    <row r="8" spans="1:25" s="84" customFormat="1" x14ac:dyDescent="0.25">
      <c r="A8" s="78">
        <v>44419</v>
      </c>
      <c r="B8" s="79">
        <v>36.65</v>
      </c>
      <c r="C8" s="80">
        <f>myParidad('Flujo de Fondos'!$B$5,A8,B8,'Flujo de Fondos'!$B$7,'Flujo de Fondos'!$B$6)</f>
        <v>0.36616894314729148</v>
      </c>
      <c r="D8" s="79">
        <v>40.5</v>
      </c>
      <c r="E8" s="81">
        <f>myParidad('Flujo de Fondos'!$H$5,$A8,D8,'Flujo de Fondos'!$H$7,'Flujo de Fondos'!$H$6)</f>
        <v>0.40463416637013111</v>
      </c>
      <c r="F8" s="79">
        <v>35.53</v>
      </c>
      <c r="G8" s="80">
        <f>myParidad('Flujo de Fondos'!$N$5,$A8,F8,'Flujo de Fondos'!$N$7,'Flujo de Fondos'!$N$6)</f>
        <v>0.35525985077028965</v>
      </c>
      <c r="H8" s="82">
        <v>38.700000000000003</v>
      </c>
      <c r="I8" s="80">
        <f>myParidad('Flujo de Fondos'!$T$5,$A8,H8,'Flujo de Fondos'!$T$7,'Flujo de Fondos'!$T$6)</f>
        <v>0.38654594089819155</v>
      </c>
      <c r="J8" s="82">
        <v>33.03</v>
      </c>
      <c r="K8" s="80">
        <f>myParidad('Flujo de Fondos'!$B$34,$A8,J8,'Flujo de Fondos'!$B$36,'Flujo de Fondos'!$B$35)</f>
        <v>0.33026267579348911</v>
      </c>
      <c r="L8" s="79">
        <v>37.81</v>
      </c>
      <c r="M8" s="80">
        <f>myParidad('Flujo de Fondos'!$H$34,'Paridad usd'!$A8,'Paridad usd'!L8,'Flujo de Fondos'!$H$36,'Flujo de Fondos'!$H$35)</f>
        <v>0.37805727434913178</v>
      </c>
      <c r="N8" s="83">
        <v>37.549999999999997</v>
      </c>
      <c r="O8" s="80">
        <f>myParidad('Flujo de Fondos'!$N$34,$A8,N8,'Flujo de Fondos'!$N$36,'Flujo de Fondos'!$N$35)</f>
        <v>0.37545756815154446</v>
      </c>
      <c r="P8" s="80">
        <f t="shared" si="0"/>
        <v>1.0909092377001828E-2</v>
      </c>
      <c r="Q8" s="80">
        <f t="shared" si="1"/>
        <v>3.8465223222839628E-2</v>
      </c>
      <c r="R8" s="80">
        <f t="shared" si="2"/>
        <v>-1.1888331201840296E-2</v>
      </c>
      <c r="S8" s="80">
        <f t="shared" si="3"/>
        <v>-9.2886250042529817E-3</v>
      </c>
      <c r="T8" s="80">
        <f t="shared" si="4"/>
        <v>2.9176598218586647E-2</v>
      </c>
      <c r="U8" s="80">
        <f t="shared" si="5"/>
        <v>-2.0197717381254809E-2</v>
      </c>
      <c r="V8" s="80">
        <f t="shared" si="6"/>
        <v>2.499717497680054E-2</v>
      </c>
      <c r="W8" s="80">
        <f t="shared" si="7"/>
        <v>3.5906267353802368E-2</v>
      </c>
      <c r="X8" s="80">
        <f t="shared" si="8"/>
        <v>3.12860901279019E-2</v>
      </c>
      <c r="Y8" s="90">
        <f t="shared" si="9"/>
        <v>-2.2797423578842124E-2</v>
      </c>
    </row>
    <row r="9" spans="1:25" s="84" customFormat="1" x14ac:dyDescent="0.25">
      <c r="A9" s="78">
        <v>44418</v>
      </c>
      <c r="B9" s="79">
        <v>36.5</v>
      </c>
      <c r="C9" s="80">
        <f>myParidad('Flujo de Fondos'!$B$5,A9,B9,'Flujo de Fondos'!$B$7,'Flujo de Fondos'!$B$6)</f>
        <v>0.36468028030220079</v>
      </c>
      <c r="D9" s="79">
        <v>40.5</v>
      </c>
      <c r="E9" s="81">
        <f>myParidad('Flujo de Fondos'!$H$5,$A9,D9,'Flujo de Fondos'!$H$7,'Flujo de Fondos'!$H$6)</f>
        <v>0.40464524252709955</v>
      </c>
      <c r="F9" s="79">
        <v>35.35</v>
      </c>
      <c r="G9" s="80">
        <f>myParidad('Flujo de Fondos'!$N$5,$A9,F9,'Flujo de Fondos'!$N$7,'Flujo de Fondos'!$N$6)</f>
        <v>0.35346126451895682</v>
      </c>
      <c r="H9" s="82">
        <v>38.69</v>
      </c>
      <c r="I9" s="80">
        <f>myParidad('Flujo de Fondos'!$T$5,$A9,H9,'Flujo de Fondos'!$T$7,'Flujo de Fondos'!$T$6)</f>
        <v>0.38644738012328023</v>
      </c>
      <c r="J9" s="82">
        <v>32.909999999999997</v>
      </c>
      <c r="K9" s="80">
        <f>myParidad('Flujo de Fondos'!$B$34,$A9,J9,'Flujo de Fondos'!$B$36,'Flujo de Fondos'!$B$35)</f>
        <v>0.32906393819855356</v>
      </c>
      <c r="L9" s="79">
        <v>37.74</v>
      </c>
      <c r="M9" s="80">
        <f>myParidad('Flujo de Fondos'!$H$34,'Paridad usd'!$A9,'Paridad usd'!L9,'Flujo de Fondos'!$H$36,'Flujo de Fondos'!$H$35)</f>
        <v>0.37735864562787641</v>
      </c>
      <c r="N9" s="83">
        <v>37.5</v>
      </c>
      <c r="O9" s="80">
        <f>myParidad('Flujo de Fondos'!$N$34,$A9,N9,'Flujo de Fondos'!$N$36,'Flujo de Fondos'!$N$35)</f>
        <v>0.37495890861275477</v>
      </c>
      <c r="P9" s="80">
        <f t="shared" si="0"/>
        <v>1.1219015783243969E-2</v>
      </c>
      <c r="Q9" s="80">
        <f t="shared" si="1"/>
        <v>3.9964962224898759E-2</v>
      </c>
      <c r="R9" s="80">
        <f t="shared" si="2"/>
        <v>-1.2678365325675622E-2</v>
      </c>
      <c r="S9" s="80">
        <f t="shared" si="3"/>
        <v>-1.0278628310553983E-2</v>
      </c>
      <c r="T9" s="80">
        <f t="shared" si="4"/>
        <v>2.9686333914344776E-2</v>
      </c>
      <c r="U9" s="80">
        <f t="shared" si="5"/>
        <v>-2.1497644093797952E-2</v>
      </c>
      <c r="V9" s="80">
        <f t="shared" si="6"/>
        <v>2.4397326320403256E-2</v>
      </c>
      <c r="W9" s="80">
        <f t="shared" si="7"/>
        <v>3.5616342103647225E-2</v>
      </c>
      <c r="X9" s="80">
        <f t="shared" si="8"/>
        <v>3.2986115604323407E-2</v>
      </c>
      <c r="Y9" s="90">
        <f t="shared" si="9"/>
        <v>-2.3897381108919591E-2</v>
      </c>
    </row>
    <row r="10" spans="1:25" s="84" customFormat="1" x14ac:dyDescent="0.25">
      <c r="A10" s="78">
        <v>44417</v>
      </c>
      <c r="B10" s="79">
        <v>36.119999999999997</v>
      </c>
      <c r="C10" s="80">
        <f>myParidad('Flujo de Fondos'!$B$5,A10,B10,'Flujo de Fondos'!$B$7,'Flujo de Fondos'!$B$6)</f>
        <v>0.36089348772275598</v>
      </c>
      <c r="D10" s="79">
        <v>40.049999999999997</v>
      </c>
      <c r="E10" s="81">
        <f>myParidad('Flujo de Fondos'!$H$5,$A10,D10,'Flujo de Fondos'!$H$7,'Flujo de Fondos'!$H$6)</f>
        <v>0.40016013796501598</v>
      </c>
      <c r="F10" s="79">
        <v>35.1</v>
      </c>
      <c r="G10" s="80">
        <f>myParidad('Flujo de Fondos'!$N$5,$A10,F10,'Flujo de Fondos'!$N$7,'Flujo de Fondos'!$N$6)</f>
        <v>0.35096274025702751</v>
      </c>
      <c r="H10" s="82">
        <v>38.33</v>
      </c>
      <c r="I10" s="80">
        <f>myParidad('Flujo de Fondos'!$T$5,$A10,H10,'Flujo de Fondos'!$T$7,'Flujo de Fondos'!$T$6)</f>
        <v>0.38285290123520133</v>
      </c>
      <c r="J10" s="82">
        <v>32.700000000000003</v>
      </c>
      <c r="K10" s="80">
        <f>myParidad('Flujo de Fondos'!$B$34,$A10,J10,'Flujo de Fondos'!$B$36,'Flujo de Fondos'!$B$35)</f>
        <v>0.32696528793176072</v>
      </c>
      <c r="L10" s="79">
        <v>37.4</v>
      </c>
      <c r="M10" s="80">
        <f>myParidad('Flujo de Fondos'!$H$34,'Paridad usd'!$A10,'Paridad usd'!L10,'Flujo de Fondos'!$H$36,'Flujo de Fondos'!$H$35)</f>
        <v>0.3739602987354082</v>
      </c>
      <c r="N10" s="83">
        <v>37.08</v>
      </c>
      <c r="O10" s="80">
        <f>myParidad('Flujo de Fondos'!$N$34,$A10,N10,'Flujo de Fondos'!$N$36,'Flujo de Fondos'!$N$35)</f>
        <v>0.37076063842537266</v>
      </c>
      <c r="P10" s="80">
        <f t="shared" si="0"/>
        <v>9.9307474657284733E-3</v>
      </c>
      <c r="Q10" s="80">
        <f t="shared" si="1"/>
        <v>3.9266650242260004E-2</v>
      </c>
      <c r="R10" s="80">
        <f t="shared" si="2"/>
        <v>-1.3066811012652224E-2</v>
      </c>
      <c r="S10" s="80">
        <f t="shared" si="3"/>
        <v>-9.8671507026166783E-3</v>
      </c>
      <c r="T10" s="80">
        <f t="shared" si="4"/>
        <v>2.9399499539643326E-2</v>
      </c>
      <c r="U10" s="80">
        <f t="shared" si="5"/>
        <v>-1.9797898168345152E-2</v>
      </c>
      <c r="V10" s="80">
        <f t="shared" si="6"/>
        <v>2.3997452325266788E-2</v>
      </c>
      <c r="W10" s="80">
        <f t="shared" si="7"/>
        <v>3.3928199790995262E-2</v>
      </c>
      <c r="X10" s="80">
        <f t="shared" si="8"/>
        <v>3.189016097817382E-2</v>
      </c>
      <c r="Y10" s="90">
        <f t="shared" si="9"/>
        <v>-2.2997558478380697E-2</v>
      </c>
    </row>
    <row r="11" spans="1:25" s="84" customFormat="1" x14ac:dyDescent="0.25">
      <c r="A11" s="78">
        <v>44413</v>
      </c>
      <c r="B11" s="79">
        <v>36.25</v>
      </c>
      <c r="C11" s="80">
        <f>myParidad('Flujo de Fondos'!$B$5,A11,B11,'Flujo de Fondos'!$B$7,'Flujo de Fondos'!$B$6)</f>
        <v>0.36223204752648724</v>
      </c>
      <c r="D11" s="79">
        <v>40.4</v>
      </c>
      <c r="E11" s="81">
        <f>myParidad('Flujo de Fondos'!$H$5,$A11,D11,'Flujo de Fondos'!$H$7,'Flujo de Fondos'!$H$6)</f>
        <v>0.40370137158814029</v>
      </c>
      <c r="F11" s="79">
        <v>34.97</v>
      </c>
      <c r="G11" s="80">
        <f>myParidad('Flujo de Fondos'!$N$5,$A11,F11,'Flujo de Fondos'!$N$7,'Flujo de Fondos'!$N$6)</f>
        <v>0.34966766771565644</v>
      </c>
      <c r="H11" s="82">
        <v>38.4</v>
      </c>
      <c r="I11" s="80">
        <f>myParidad('Flujo de Fondos'!$T$5,$A11,H11,'Flujo de Fondos'!$T$7,'Flujo de Fondos'!$T$6)</f>
        <v>0.38355733280426357</v>
      </c>
      <c r="J11" s="82">
        <v>32.75</v>
      </c>
      <c r="K11" s="80">
        <f>myParidad('Flujo de Fondos'!$B$34,$A11,J11,'Flujo de Fondos'!$B$36,'Flujo de Fondos'!$B$35)</f>
        <v>0.3274697202655919</v>
      </c>
      <c r="L11" s="79">
        <v>37.4</v>
      </c>
      <c r="M11" s="80">
        <f>myParidad('Flujo de Fondos'!$H$34,'Paridad usd'!$A11,'Paridad usd'!L11,'Flujo de Fondos'!$H$36,'Flujo de Fondos'!$H$35)</f>
        <v>0.37396542100559194</v>
      </c>
      <c r="N11" s="83">
        <v>37</v>
      </c>
      <c r="O11" s="80">
        <f>myParidad('Flujo de Fondos'!$N$34,$A11,N11,'Flujo de Fondos'!$N$36,'Flujo de Fondos'!$N$35)</f>
        <v>0.36996579083440917</v>
      </c>
      <c r="P11" s="80">
        <f t="shared" si="0"/>
        <v>1.2564379810830806E-2</v>
      </c>
      <c r="Q11" s="80">
        <f t="shared" si="1"/>
        <v>4.1469324061653046E-2</v>
      </c>
      <c r="R11" s="80">
        <f t="shared" si="2"/>
        <v>-1.1733373479104692E-2</v>
      </c>
      <c r="S11" s="80">
        <f t="shared" si="3"/>
        <v>-7.7337433079219253E-3</v>
      </c>
      <c r="T11" s="80">
        <f t="shared" si="4"/>
        <v>3.373558075373112E-2</v>
      </c>
      <c r="U11" s="80">
        <f t="shared" si="5"/>
        <v>-2.0298123118752731E-2</v>
      </c>
      <c r="V11" s="80">
        <f t="shared" si="6"/>
        <v>2.2197947450064537E-2</v>
      </c>
      <c r="W11" s="80">
        <f t="shared" si="7"/>
        <v>3.4762327260895343E-2</v>
      </c>
      <c r="X11" s="80">
        <f t="shared" si="8"/>
        <v>3.3889665088607135E-2</v>
      </c>
      <c r="Y11" s="90">
        <f t="shared" si="9"/>
        <v>-2.4297753289935498E-2</v>
      </c>
    </row>
    <row r="12" spans="1:25" s="84" customFormat="1" x14ac:dyDescent="0.25">
      <c r="A12" s="78">
        <v>44412</v>
      </c>
      <c r="B12" s="79">
        <v>36.299999999999997</v>
      </c>
      <c r="C12" s="80">
        <f>myParidad('Flujo de Fondos'!$B$5,A12,B12,'Flujo de Fondos'!$B$7,'Flujo de Fondos'!$B$6)</f>
        <v>0.36274160871707822</v>
      </c>
      <c r="D12" s="79">
        <v>41</v>
      </c>
      <c r="E12" s="81">
        <f>myParidad('Flujo de Fondos'!$H$5,$A12,D12,'Flujo de Fondos'!$H$7,'Flujo de Fondos'!$H$6)</f>
        <v>0.40970815309642444</v>
      </c>
      <c r="F12" s="79">
        <v>35.19</v>
      </c>
      <c r="G12" s="80">
        <f>myParidad('Flujo de Fondos'!$N$5,$A12,F12,'Flujo de Fondos'!$N$7,'Flujo de Fondos'!$N$6)</f>
        <v>0.35186866922808241</v>
      </c>
      <c r="H12" s="82">
        <v>38.700000000000003</v>
      </c>
      <c r="I12" s="80">
        <f>myParidad('Flujo de Fondos'!$T$5,$A12,H12,'Flujo de Fondos'!$T$7,'Flujo de Fondos'!$T$6)</f>
        <v>0.38655519675989275</v>
      </c>
      <c r="J12" s="82">
        <v>33.020000000000003</v>
      </c>
      <c r="K12" s="80">
        <f>myParidad('Flujo de Fondos'!$B$34,$A12,J12,'Flujo de Fondos'!$B$36,'Flujo de Fondos'!$B$35)</f>
        <v>0.33017060124783415</v>
      </c>
      <c r="L12" s="79">
        <v>37.700000000000003</v>
      </c>
      <c r="M12" s="80">
        <f>myParidad('Flujo de Fondos'!$H$34,'Paridad usd'!$A12,'Paridad usd'!L12,'Flujo de Fondos'!$H$36,'Flujo de Fondos'!$H$35)</f>
        <v>0.37696643449555867</v>
      </c>
      <c r="N12" s="83">
        <v>37.15</v>
      </c>
      <c r="O12" s="80">
        <f>myParidad('Flujo de Fondos'!$N$34,$A12,N12,'Flujo de Fondos'!$N$36,'Flujo de Fondos'!$N$35)</f>
        <v>0.37146692417798416</v>
      </c>
      <c r="P12" s="80">
        <f t="shared" si="0"/>
        <v>1.0872939488995814E-2</v>
      </c>
      <c r="Q12" s="80">
        <f t="shared" si="1"/>
        <v>4.696654437934622E-2</v>
      </c>
      <c r="R12" s="80">
        <f t="shared" si="2"/>
        <v>-1.4224825778480443E-2</v>
      </c>
      <c r="S12" s="80">
        <f t="shared" si="3"/>
        <v>-8.7253154609059358E-3</v>
      </c>
      <c r="T12" s="80">
        <f t="shared" si="4"/>
        <v>3.8241228918440284E-2</v>
      </c>
      <c r="U12" s="80">
        <f t="shared" si="5"/>
        <v>-1.959825494990175E-2</v>
      </c>
      <c r="V12" s="80">
        <f t="shared" si="6"/>
        <v>2.1698067980248259E-2</v>
      </c>
      <c r="W12" s="80">
        <f t="shared" si="7"/>
        <v>3.2571007469244073E-2</v>
      </c>
      <c r="X12" s="80">
        <f t="shared" si="8"/>
        <v>3.4686527531810341E-2</v>
      </c>
      <c r="Y12" s="90">
        <f t="shared" si="9"/>
        <v>-2.5097765267476257E-2</v>
      </c>
    </row>
    <row r="13" spans="1:25" s="84" customFormat="1" x14ac:dyDescent="0.25">
      <c r="A13" s="78">
        <v>44411</v>
      </c>
      <c r="B13" s="79">
        <v>36.43</v>
      </c>
      <c r="C13" s="80">
        <f>myParidad('Flujo de Fondos'!$B$5,A13,B13,'Flujo de Fondos'!$B$7,'Flujo de Fondos'!$B$6)</f>
        <v>0.36405065023956196</v>
      </c>
      <c r="D13" s="79">
        <v>40.5</v>
      </c>
      <c r="E13" s="81">
        <f>myParidad('Flujo de Fondos'!$H$5,$A13,D13,'Flujo de Fondos'!$H$7,'Flujo de Fondos'!$H$6)</f>
        <v>0.40472279260780286</v>
      </c>
      <c r="F13" s="79">
        <v>35.409999999999997</v>
      </c>
      <c r="G13" s="80">
        <f>myParidad('Flujo de Fondos'!$N$5,$A13,F13,'Flujo de Fondos'!$N$7,'Flujo de Fondos'!$N$6)</f>
        <v>0.35406968581457066</v>
      </c>
      <c r="H13" s="82">
        <v>38.79</v>
      </c>
      <c r="I13" s="80">
        <f>myParidad('Flujo de Fondos'!$T$5,$A13,H13,'Flujo de Fondos'!$T$7,'Flujo de Fondos'!$T$6)</f>
        <v>0.38745548771101646</v>
      </c>
      <c r="J13" s="82">
        <v>33.43</v>
      </c>
      <c r="K13" s="80">
        <f>myParidad('Flujo de Fondos'!$B$34,$A13,J13,'Flujo de Fondos'!$B$36,'Flujo de Fondos'!$B$35)</f>
        <v>0.33427138087492508</v>
      </c>
      <c r="L13" s="79">
        <v>38.15</v>
      </c>
      <c r="M13" s="80">
        <f>myParidad('Flujo de Fondos'!$H$34,'Paridad usd'!$A13,'Paridad usd'!L13,'Flujo de Fondos'!$H$36,'Flujo de Fondos'!$H$35)</f>
        <v>0.38146734012498928</v>
      </c>
      <c r="N13" s="83">
        <v>37.6</v>
      </c>
      <c r="O13" s="80">
        <f>myParidad('Flujo de Fondos'!$N$34,$A13,N13,'Flujo de Fondos'!$N$36,'Flujo de Fondos'!$N$35)</f>
        <v>0.37596781097508775</v>
      </c>
      <c r="P13" s="80">
        <f t="shared" si="0"/>
        <v>9.980964424991301E-3</v>
      </c>
      <c r="Q13" s="80">
        <f t="shared" si="1"/>
        <v>4.0672142368240904E-2</v>
      </c>
      <c r="R13" s="80">
        <f t="shared" si="2"/>
        <v>-1.7416689885427328E-2</v>
      </c>
      <c r="S13" s="80">
        <f t="shared" si="3"/>
        <v>-1.1917160735525789E-2</v>
      </c>
      <c r="T13" s="80">
        <f t="shared" si="4"/>
        <v>2.8754981632715115E-2</v>
      </c>
      <c r="U13" s="80">
        <f t="shared" si="5"/>
        <v>-2.189812516051709E-2</v>
      </c>
      <c r="V13" s="80">
        <f t="shared" si="6"/>
        <v>1.9798304939645572E-2</v>
      </c>
      <c r="W13" s="80">
        <f t="shared" si="7"/>
        <v>2.9779269364636873E-2</v>
      </c>
      <c r="X13" s="80">
        <f t="shared" si="8"/>
        <v>3.3385801896445799E-2</v>
      </c>
      <c r="Y13" s="90">
        <f t="shared" si="9"/>
        <v>-2.7397654310418629E-2</v>
      </c>
    </row>
    <row r="14" spans="1:25" s="84" customFormat="1" x14ac:dyDescent="0.25">
      <c r="A14" s="78">
        <v>44410</v>
      </c>
      <c r="B14" s="79">
        <v>36.65</v>
      </c>
      <c r="C14" s="80">
        <f>myParidad('Flujo de Fondos'!$B$5,A14,B14,'Flujo de Fondos'!$B$7,'Flujo de Fondos'!$B$6)</f>
        <v>0.36625917205125397</v>
      </c>
      <c r="D14" s="79">
        <v>40.01</v>
      </c>
      <c r="E14" s="81">
        <f>myParidad('Flujo de Fondos'!$H$5,$A14,D14,'Flujo de Fondos'!$H$7,'Flujo de Fondos'!$H$6)</f>
        <v>0.39983709341802648</v>
      </c>
      <c r="F14" s="79">
        <v>35.590000000000003</v>
      </c>
      <c r="G14" s="80">
        <f>myParidad('Flujo de Fondos'!$N$5,$A14,F14,'Flujo de Fondos'!$N$7,'Flujo de Fondos'!$N$6)</f>
        <v>0.35587075034928639</v>
      </c>
      <c r="H14" s="82">
        <v>38.96</v>
      </c>
      <c r="I14" s="80">
        <f>myParidad('Flujo de Fondos'!$T$5,$A14,H14,'Flujo de Fondos'!$T$7,'Flujo de Fondos'!$T$6)</f>
        <v>0.38915487079847028</v>
      </c>
      <c r="J14" s="82">
        <v>33.700000000000003</v>
      </c>
      <c r="K14" s="80">
        <f>myParidad('Flujo de Fondos'!$B$34,$A14,J14,'Flujo de Fondos'!$B$36,'Flujo de Fondos'!$B$35)</f>
        <v>0.33697230364627567</v>
      </c>
      <c r="L14" s="79">
        <v>38.229999999999997</v>
      </c>
      <c r="M14" s="80">
        <f>myParidad('Flujo de Fondos'!$H$34,'Paridad usd'!$A14,'Paridad usd'!L14,'Flujo de Fondos'!$H$36,'Flujo de Fondos'!$H$35)</f>
        <v>0.3822685806646029</v>
      </c>
      <c r="N14" s="83">
        <v>37.9</v>
      </c>
      <c r="O14" s="80">
        <f>myParidad('Flujo de Fondos'!$N$34,$A14,N14,'Flujo de Fondos'!$N$36,'Flujo de Fondos'!$N$35)</f>
        <v>0.37896885187518831</v>
      </c>
      <c r="P14" s="80">
        <f t="shared" si="0"/>
        <v>1.0388421701967576E-2</v>
      </c>
      <c r="Q14" s="80">
        <f t="shared" si="1"/>
        <v>3.3577921366772512E-2</v>
      </c>
      <c r="R14" s="80">
        <f t="shared" si="2"/>
        <v>-1.600940861334893E-2</v>
      </c>
      <c r="S14" s="80">
        <f t="shared" si="3"/>
        <v>-1.2709679823934339E-2</v>
      </c>
      <c r="T14" s="80">
        <f t="shared" si="4"/>
        <v>2.0868241542838173E-2</v>
      </c>
      <c r="U14" s="80">
        <f t="shared" si="5"/>
        <v>-2.3098101525901915E-2</v>
      </c>
      <c r="V14" s="80">
        <f t="shared" si="6"/>
        <v>1.8898446703010718E-2</v>
      </c>
      <c r="W14" s="80">
        <f t="shared" si="7"/>
        <v>2.9286868404978295E-2</v>
      </c>
      <c r="X14" s="80">
        <f t="shared" si="8"/>
        <v>3.3284120449183885E-2</v>
      </c>
      <c r="Y14" s="90">
        <f t="shared" si="9"/>
        <v>-2.6397830315316506E-2</v>
      </c>
    </row>
    <row r="15" spans="1:25" s="84" customFormat="1" x14ac:dyDescent="0.25">
      <c r="A15" s="78">
        <v>44409</v>
      </c>
      <c r="B15" s="79">
        <v>36.75</v>
      </c>
      <c r="C15" s="80">
        <f>myParidad('Flujo de Fondos'!$B$5,A15,B15,'Flujo de Fondos'!$B$7,'Flujo de Fondos'!$B$6)</f>
        <v>0.36726857048982831</v>
      </c>
      <c r="D15" s="79">
        <v>40.5</v>
      </c>
      <c r="E15" s="81">
        <f>myParidad('Flujo de Fondos'!$H$5,$A15,D15,'Flujo de Fondos'!$H$7,'Flujo de Fondos'!$H$6)</f>
        <v>0.40474495523368836</v>
      </c>
      <c r="F15" s="79">
        <v>35.78</v>
      </c>
      <c r="G15" s="80">
        <f>myParidad('Flujo de Fondos'!$N$5,$A15,F15,'Flujo de Fondos'!$N$7,'Flujo de Fondos'!$N$6)</f>
        <v>0.35777181934299696</v>
      </c>
      <c r="H15" s="82">
        <v>39</v>
      </c>
      <c r="I15" s="80">
        <f>myParidad('Flujo de Fondos'!$T$5,$A15,H15,'Flujo de Fondos'!$T$7,'Flujo de Fondos'!$T$6)</f>
        <v>0.38955574635774953</v>
      </c>
      <c r="J15" s="82">
        <v>33.6</v>
      </c>
      <c r="K15" s="80">
        <f>myParidad('Flujo de Fondos'!$B$34,$A15,J15,'Flujo de Fondos'!$B$36,'Flujo de Fondos'!$B$35)</f>
        <v>0.33597353633104243</v>
      </c>
      <c r="L15" s="79">
        <v>38.299999999999997</v>
      </c>
      <c r="M15" s="80">
        <f>myParidad('Flujo de Fondos'!$H$34,'Paridad usd'!$A15,'Paridad usd'!L15,'Flujo de Fondos'!$H$36,'Flujo de Fondos'!$H$35)</f>
        <v>0.38296983456782513</v>
      </c>
      <c r="N15" s="83">
        <v>38.049999999999997</v>
      </c>
      <c r="O15" s="80">
        <f>myParidad('Flujo de Fondos'!$N$34,$A15,N15,'Flujo de Fondos'!$N$36,'Flujo de Fondos'!$N$35)</f>
        <v>0.38047003147012393</v>
      </c>
      <c r="P15" s="80">
        <f t="shared" si="0"/>
        <v>9.4967511468313504E-3</v>
      </c>
      <c r="Q15" s="80">
        <f t="shared" si="1"/>
        <v>3.7476384743860058E-2</v>
      </c>
      <c r="R15" s="80">
        <f t="shared" si="2"/>
        <v>-1.5701264077996824E-2</v>
      </c>
      <c r="S15" s="80">
        <f t="shared" si="3"/>
        <v>-1.3201460980295621E-2</v>
      </c>
      <c r="T15" s="80">
        <f t="shared" si="4"/>
        <v>2.4274923763564438E-2</v>
      </c>
      <c r="U15" s="80">
        <f t="shared" si="5"/>
        <v>-2.2698212127126971E-2</v>
      </c>
      <c r="V15" s="80">
        <f t="shared" si="6"/>
        <v>2.1798283011954522E-2</v>
      </c>
      <c r="W15" s="80">
        <f t="shared" si="7"/>
        <v>3.1295034158785873E-2</v>
      </c>
      <c r="X15" s="80">
        <f t="shared" si="8"/>
        <v>3.1783927014752578E-2</v>
      </c>
      <c r="Y15" s="90">
        <f t="shared" si="9"/>
        <v>-2.5198015224828174E-2</v>
      </c>
    </row>
    <row r="16" spans="1:25" s="84" customFormat="1" x14ac:dyDescent="0.25">
      <c r="A16" s="78">
        <v>44407</v>
      </c>
      <c r="B16" s="79">
        <v>36.799999999999997</v>
      </c>
      <c r="C16" s="80">
        <f>myParidad('Flujo de Fondos'!$B$5,A16,B16,'Flujo de Fondos'!$B$7,'Flujo de Fondos'!$B$6)</f>
        <v>0.36778839571753236</v>
      </c>
      <c r="D16" s="79">
        <v>40.9</v>
      </c>
      <c r="E16" s="81">
        <f>myParidad('Flujo de Fondos'!$H$5,$A16,D16,'Flujo de Fondos'!$H$7,'Flujo de Fondos'!$H$6)</f>
        <v>0.40876482024040961</v>
      </c>
      <c r="F16" s="79">
        <v>35.869999999999997</v>
      </c>
      <c r="G16" s="80">
        <f>myParidad('Flujo de Fondos'!$N$5,$A16,F16,'Flujo de Fondos'!$N$7,'Flujo de Fondos'!$N$6)</f>
        <v>0.35867420493731611</v>
      </c>
      <c r="H16" s="82">
        <v>38.82</v>
      </c>
      <c r="I16" s="80">
        <f>myParidad('Flujo de Fondos'!$T$5,$A16,H16,'Flujo de Fondos'!$T$7,'Flujo de Fondos'!$T$6)</f>
        <v>0.38776044962730605</v>
      </c>
      <c r="J16" s="82">
        <v>33.58</v>
      </c>
      <c r="K16" s="80">
        <f>myParidad('Flujo de Fondos'!$B$34,$A16,J16,'Flujo de Fondos'!$B$36,'Flujo de Fondos'!$B$35)</f>
        <v>0.33577585173669017</v>
      </c>
      <c r="L16" s="79">
        <v>38.479999999999997</v>
      </c>
      <c r="M16" s="80">
        <f>myParidad('Flujo de Fondos'!$H$34,'Paridad usd'!$A16,'Paridad usd'!L16,'Flujo de Fondos'!$H$36,'Flujo de Fondos'!$H$35)</f>
        <v>0.38477232801750555</v>
      </c>
      <c r="N16" s="83">
        <v>38.1</v>
      </c>
      <c r="O16" s="80">
        <f>myParidad('Flujo de Fondos'!$N$34,$A16,N16,'Flujo de Fondos'!$N$36,'Flujo de Fondos'!$N$35)</f>
        <v>0.38097260128552402</v>
      </c>
      <c r="P16" s="80">
        <f t="shared" ref="P16:P24" si="10">C16-G16</f>
        <v>9.114190780216247E-3</v>
      </c>
      <c r="Q16" s="80">
        <f t="shared" ref="Q16:Q24" si="11">E16-C16</f>
        <v>4.0976424522877253E-2</v>
      </c>
      <c r="R16" s="80">
        <f t="shared" ref="R16:R24" si="12">C16-M16</f>
        <v>-1.6983932299973192E-2</v>
      </c>
      <c r="S16" s="80">
        <f t="shared" ref="S16:S24" si="13">C16-O16</f>
        <v>-1.3184205567991658E-2</v>
      </c>
      <c r="T16" s="80">
        <f t="shared" ref="T16:T24" si="14">E16-O16</f>
        <v>2.7792218954885595E-2</v>
      </c>
      <c r="U16" s="80">
        <f t="shared" ref="U16:U24" si="15">G16-O16</f>
        <v>-2.2298396348207905E-2</v>
      </c>
      <c r="V16" s="80">
        <f t="shared" ref="V16:V24" si="16">G16-K16</f>
        <v>2.2898353200625943E-2</v>
      </c>
      <c r="W16" s="80">
        <f t="shared" ref="W16:W24" si="17">C16-K16</f>
        <v>3.201254398084219E-2</v>
      </c>
      <c r="X16" s="80">
        <f t="shared" ref="X16:X24" si="18">I16-G16</f>
        <v>2.9086244689989937E-2</v>
      </c>
      <c r="Y16" s="90">
        <f>G16-M16</f>
        <v>-2.6098123080189439E-2</v>
      </c>
    </row>
    <row r="17" spans="1:25" s="84" customFormat="1" x14ac:dyDescent="0.25">
      <c r="A17" s="78">
        <v>44406</v>
      </c>
      <c r="B17" s="79">
        <v>36.86</v>
      </c>
      <c r="C17" s="80">
        <f>myParidad('Flujo de Fondos'!$B$5,A17,B17,'Flujo de Fondos'!$B$7,'Flujo de Fondos'!$B$6)</f>
        <v>0.36839813800657173</v>
      </c>
      <c r="D17" s="79">
        <v>41</v>
      </c>
      <c r="E17" s="81">
        <f>myParidad('Flujo de Fondos'!$H$5,$A17,D17,'Flujo de Fondos'!$H$7,'Flujo de Fondos'!$H$6)</f>
        <v>0.40977546549835708</v>
      </c>
      <c r="F17" s="79">
        <v>35.909999999999997</v>
      </c>
      <c r="G17" s="80">
        <f>myParidad('Flujo de Fondos'!$N$5,$A17,F17,'Flujo de Fondos'!$N$7,'Flujo de Fondos'!$N$6)</f>
        <v>0.35907540579412367</v>
      </c>
      <c r="H17" s="82">
        <v>38.68</v>
      </c>
      <c r="I17" s="80">
        <f>myParidad('Flujo de Fondos'!$T$5,$A17,H17,'Flujo de Fondos'!$T$7,'Flujo de Fondos'!$T$6)</f>
        <v>0.38636335648068965</v>
      </c>
      <c r="J17" s="82">
        <v>33.5</v>
      </c>
      <c r="K17" s="80">
        <f>myParidad('Flujo de Fondos'!$B$34,$A17,J17,'Flujo de Fondos'!$B$36,'Flujo de Fondos'!$B$35)</f>
        <v>0.33497705636600233</v>
      </c>
      <c r="L17" s="79">
        <v>38.450000000000003</v>
      </c>
      <c r="M17" s="80">
        <f>myParidad('Flujo de Fondos'!$H$34,'Paridad usd'!$A17,'Paridad usd'!L17,'Flujo de Fondos'!$H$36,'Flujo de Fondos'!$H$35)</f>
        <v>0.38447366618724749</v>
      </c>
      <c r="N17" s="83">
        <v>38.15</v>
      </c>
      <c r="O17" s="80">
        <f>myParidad('Flujo de Fondos'!$N$34,$A17,N17,'Flujo de Fondos'!$N$36,'Flujo de Fondos'!$N$35)</f>
        <v>0.38147387165262653</v>
      </c>
      <c r="P17" s="80">
        <f t="shared" si="10"/>
        <v>9.3227322124480594E-3</v>
      </c>
      <c r="Q17" s="80">
        <f t="shared" si="11"/>
        <v>4.1377327491785354E-2</v>
      </c>
      <c r="R17" s="80">
        <f t="shared" si="12"/>
        <v>-1.6075528180675758E-2</v>
      </c>
      <c r="S17" s="80">
        <f t="shared" si="13"/>
        <v>-1.3075733646054799E-2</v>
      </c>
      <c r="T17" s="80">
        <f t="shared" si="14"/>
        <v>2.8301593845730555E-2</v>
      </c>
      <c r="U17" s="80">
        <f t="shared" si="15"/>
        <v>-2.2398465858502858E-2</v>
      </c>
      <c r="V17" s="80">
        <f t="shared" si="16"/>
        <v>2.4098349428121335E-2</v>
      </c>
      <c r="W17" s="80">
        <f t="shared" si="17"/>
        <v>3.3421081640569394E-2</v>
      </c>
      <c r="X17" s="80">
        <f t="shared" si="18"/>
        <v>2.7287950686565976E-2</v>
      </c>
      <c r="Y17" s="90">
        <f t="shared" ref="Y17:Y80" si="19">G17-M17</f>
        <v>-2.5398260393123817E-2</v>
      </c>
    </row>
    <row r="18" spans="1:25" s="84" customFormat="1" x14ac:dyDescent="0.25">
      <c r="A18" s="78">
        <v>44405</v>
      </c>
      <c r="B18" s="79">
        <v>36.979999999999997</v>
      </c>
      <c r="C18" s="80">
        <f>myParidad('Flujo de Fondos'!$B$5,A18,B18,'Flujo de Fondos'!$B$7,'Flujo de Fondos'!$B$6)</f>
        <v>0.36960760152249511</v>
      </c>
      <c r="D18" s="79">
        <v>40.299999999999997</v>
      </c>
      <c r="E18" s="81">
        <f>myParidad('Flujo de Fondos'!$H$5,$A18,D18,'Flujo de Fondos'!$H$7,'Flujo de Fondos'!$H$6)</f>
        <v>0.40279032832224321</v>
      </c>
      <c r="F18" s="79">
        <v>36.01</v>
      </c>
      <c r="G18" s="80">
        <f>myParidad('Flujo de Fondos'!$N$5,$A18,F18,'Flujo de Fondos'!$N$7,'Flujo de Fondos'!$N$6)</f>
        <v>0.36007657036014779</v>
      </c>
      <c r="H18" s="82">
        <v>38.69</v>
      </c>
      <c r="I18" s="80">
        <f>myParidad('Flujo de Fondos'!$T$5,$A18,H18,'Flujo de Fondos'!$T$7,'Flujo de Fondos'!$T$6)</f>
        <v>0.38646456560929637</v>
      </c>
      <c r="J18" s="82">
        <v>33.71</v>
      </c>
      <c r="K18" s="80">
        <f>myParidad('Flujo de Fondos'!$B$34,$A18,J18,'Flujo de Fondos'!$B$36,'Flujo de Fondos'!$B$35)</f>
        <v>0.3370780668381167</v>
      </c>
      <c r="L18" s="79">
        <v>38.450000000000003</v>
      </c>
      <c r="M18" s="80">
        <f>myParidad('Flujo de Fondos'!$H$34,'Paridad usd'!$A18,'Paridad usd'!L18,'Flujo de Fondos'!$H$36,'Flujo de Fondos'!$H$35)</f>
        <v>0.38447498279221559</v>
      </c>
      <c r="N18" s="83">
        <v>38</v>
      </c>
      <c r="O18" s="80">
        <f>myParidad('Flujo de Fondos'!$N$34,$A18,N18,'Flujo de Fondos'!$N$36,'Flujo de Fondos'!$N$35)</f>
        <v>0.37997527558138339</v>
      </c>
      <c r="P18" s="80">
        <f t="shared" si="10"/>
        <v>9.5310311623473254E-3</v>
      </c>
      <c r="Q18" s="80">
        <f t="shared" si="11"/>
        <v>3.3182726799748097E-2</v>
      </c>
      <c r="R18" s="80">
        <f t="shared" si="12"/>
        <v>-1.4867381269720481E-2</v>
      </c>
      <c r="S18" s="80">
        <f t="shared" si="13"/>
        <v>-1.0367674058888277E-2</v>
      </c>
      <c r="T18" s="80">
        <f t="shared" si="14"/>
        <v>2.281505274085982E-2</v>
      </c>
      <c r="U18" s="80">
        <f t="shared" si="15"/>
        <v>-1.9898705221235602E-2</v>
      </c>
      <c r="V18" s="80">
        <f t="shared" si="16"/>
        <v>2.2998503522031088E-2</v>
      </c>
      <c r="W18" s="80">
        <f t="shared" si="17"/>
        <v>3.2529534684378414E-2</v>
      </c>
      <c r="X18" s="80">
        <f t="shared" si="18"/>
        <v>2.6387995249148588E-2</v>
      </c>
      <c r="Y18" s="90">
        <f t="shared" si="19"/>
        <v>-2.4398412432067806E-2</v>
      </c>
    </row>
    <row r="19" spans="1:25" s="84" customFormat="1" x14ac:dyDescent="0.25">
      <c r="A19" s="78">
        <v>44404</v>
      </c>
      <c r="B19" s="79">
        <v>37.049999999999997</v>
      </c>
      <c r="C19" s="80">
        <f>myParidad('Flujo de Fondos'!$B$5,A19,B19,'Flujo de Fondos'!$B$7,'Flujo de Fondos'!$B$6)</f>
        <v>0.37031737773152962</v>
      </c>
      <c r="D19" s="79">
        <v>40.299999999999997</v>
      </c>
      <c r="E19" s="81">
        <f>myParidad('Flujo de Fondos'!$H$5,$A19,D19,'Flujo de Fondos'!$H$7,'Flujo de Fondos'!$H$6)</f>
        <v>0.40280135823429541</v>
      </c>
      <c r="F19" s="79">
        <v>36.119999999999997</v>
      </c>
      <c r="G19" s="80">
        <f>myParidad('Flujo de Fondos'!$N$5,$A19,F19,'Flujo de Fondos'!$N$7,'Flujo de Fondos'!$N$6)</f>
        <v>0.36117773561903715</v>
      </c>
      <c r="H19" s="82">
        <v>38.619999999999997</v>
      </c>
      <c r="I19" s="80">
        <f>myParidad('Flujo de Fondos'!$T$5,$A19,H19,'Flujo de Fondos'!$T$7,'Flujo de Fondos'!$T$6)</f>
        <v>0.38576667305218793</v>
      </c>
      <c r="J19" s="82">
        <v>33.450000000000003</v>
      </c>
      <c r="K19" s="80">
        <f>myParidad('Flujo de Fondos'!$B$34,$A19,J19,'Flujo de Fondos'!$B$36,'Flujo de Fondos'!$B$35)</f>
        <v>0.33447938140799544</v>
      </c>
      <c r="L19" s="79">
        <v>38.4</v>
      </c>
      <c r="M19" s="80">
        <f>myParidad('Flujo de Fondos'!$H$34,'Paridad usd'!$A19,'Paridad usd'!L19,'Flujo de Fondos'!$H$36,'Flujo de Fondos'!$H$35)</f>
        <v>0.38397633022621891</v>
      </c>
      <c r="N19" s="83">
        <v>38.299999999999997</v>
      </c>
      <c r="O19" s="80">
        <f>myParidad('Flujo de Fondos'!$N$34,$A19,N19,'Flujo de Fondos'!$N$36,'Flujo de Fondos'!$N$35)</f>
        <v>0.38297639186625482</v>
      </c>
      <c r="P19" s="80">
        <f t="shared" si="10"/>
        <v>9.1396421124924632E-3</v>
      </c>
      <c r="Q19" s="80">
        <f t="shared" si="11"/>
        <v>3.2483980502765797E-2</v>
      </c>
      <c r="R19" s="80">
        <f t="shared" si="12"/>
        <v>-1.3658952494689292E-2</v>
      </c>
      <c r="S19" s="80">
        <f t="shared" si="13"/>
        <v>-1.2659014134725199E-2</v>
      </c>
      <c r="T19" s="80">
        <f t="shared" si="14"/>
        <v>1.9824966368040597E-2</v>
      </c>
      <c r="U19" s="80">
        <f t="shared" si="15"/>
        <v>-2.1798656247217663E-2</v>
      </c>
      <c r="V19" s="80">
        <f t="shared" si="16"/>
        <v>2.6698354211041719E-2</v>
      </c>
      <c r="W19" s="80">
        <f t="shared" si="17"/>
        <v>3.5837996323534183E-2</v>
      </c>
      <c r="X19" s="80">
        <f t="shared" si="18"/>
        <v>2.458893743315077E-2</v>
      </c>
      <c r="Y19" s="90">
        <f t="shared" si="19"/>
        <v>-2.2798594607181755E-2</v>
      </c>
    </row>
    <row r="20" spans="1:25" s="84" customFormat="1" x14ac:dyDescent="0.25">
      <c r="A20" s="78">
        <v>44403</v>
      </c>
      <c r="B20" s="79">
        <v>37.06</v>
      </c>
      <c r="C20" s="80">
        <f>myParidad('Flujo de Fondos'!$B$5,A20,B20,'Flujo de Fondos'!$B$7,'Flujo de Fondos'!$B$6)</f>
        <v>0.37042747213626531</v>
      </c>
      <c r="D20" s="79">
        <v>40.549999999999997</v>
      </c>
      <c r="E20" s="81">
        <f>myParidad('Flujo de Fondos'!$H$5,$A20,D20,'Flujo de Fondos'!$H$7,'Flujo de Fondos'!$H$6)</f>
        <v>0.4053112249089465</v>
      </c>
      <c r="F20" s="79">
        <v>36.22</v>
      </c>
      <c r="G20" s="80">
        <f>myParidad('Flujo de Fondos'!$N$5,$A20,F20,'Flujo de Fondos'!$N$7,'Flujo de Fondos'!$N$6)</f>
        <v>0.36217891424129417</v>
      </c>
      <c r="H20" s="82">
        <v>38.6</v>
      </c>
      <c r="I20" s="80">
        <f>myParidad('Flujo de Fondos'!$T$5,$A20,H20,'Flujo de Fondos'!$T$7,'Flujo de Fondos'!$T$6)</f>
        <v>0.38556821641517891</v>
      </c>
      <c r="J20" s="82">
        <v>33.5</v>
      </c>
      <c r="K20" s="80">
        <f>myParidad('Flujo de Fondos'!$B$34,$A20,J20,'Flujo de Fondos'!$B$36,'Flujo de Fondos'!$B$35)</f>
        <v>0.33498049771074973</v>
      </c>
      <c r="L20" s="79">
        <v>38.450000000000003</v>
      </c>
      <c r="M20" s="80">
        <f>myParidad('Flujo de Fondos'!$H$34,'Paridad usd'!$A20,'Paridad usd'!L20,'Flujo de Fondos'!$H$36,'Flujo de Fondos'!$H$35)</f>
        <v>0.38447761602920383</v>
      </c>
      <c r="N20" s="83">
        <v>38.299999999999997</v>
      </c>
      <c r="O20" s="80">
        <f>myParidad('Flujo de Fondos'!$N$34,$A20,N20,'Flujo de Fondos'!$N$36,'Flujo de Fondos'!$N$35)</f>
        <v>0.38297770335288694</v>
      </c>
      <c r="P20" s="80">
        <f t="shared" si="10"/>
        <v>8.2485578949711424E-3</v>
      </c>
      <c r="Q20" s="80">
        <f t="shared" si="11"/>
        <v>3.4883752772681187E-2</v>
      </c>
      <c r="R20" s="80">
        <f t="shared" si="12"/>
        <v>-1.4050143892938516E-2</v>
      </c>
      <c r="S20" s="80">
        <f t="shared" si="13"/>
        <v>-1.2550231216621632E-2</v>
      </c>
      <c r="T20" s="80">
        <f t="shared" si="14"/>
        <v>2.2333521556059555E-2</v>
      </c>
      <c r="U20" s="80">
        <f t="shared" si="15"/>
        <v>-2.0798789111592775E-2</v>
      </c>
      <c r="V20" s="80">
        <f t="shared" si="16"/>
        <v>2.7198416530544445E-2</v>
      </c>
      <c r="W20" s="80">
        <f t="shared" si="17"/>
        <v>3.5446974425515587E-2</v>
      </c>
      <c r="X20" s="80">
        <f t="shared" si="18"/>
        <v>2.3389302173884741E-2</v>
      </c>
      <c r="Y20" s="90">
        <f t="shared" si="19"/>
        <v>-2.2298701787909658E-2</v>
      </c>
    </row>
    <row r="21" spans="1:25" s="84" customFormat="1" x14ac:dyDescent="0.25">
      <c r="A21" s="78">
        <v>44400</v>
      </c>
      <c r="B21" s="79">
        <v>37</v>
      </c>
      <c r="C21" s="80">
        <f>myParidad('Flujo de Fondos'!$B$5,A21,B21,'Flujo de Fondos'!$B$7,'Flujo de Fondos'!$B$6)</f>
        <v>0.36985813660513778</v>
      </c>
      <c r="D21" s="79">
        <v>40.549999999999997</v>
      </c>
      <c r="E21" s="81">
        <f>myParidad('Flujo de Fondos'!$H$5,$A21,D21,'Flujo de Fondos'!$H$7,'Flujo de Fondos'!$H$6)</f>
        <v>0.40534452538752258</v>
      </c>
      <c r="F21" s="79">
        <v>36.28</v>
      </c>
      <c r="G21" s="80">
        <f>myParidad('Flujo de Fondos'!$N$5,$A21,F21,'Flujo de Fondos'!$N$7,'Flujo de Fondos'!$N$6)</f>
        <v>0.36278260631339593</v>
      </c>
      <c r="H21" s="82">
        <v>38.950000000000003</v>
      </c>
      <c r="I21" s="80">
        <f>myParidad('Flujo de Fondos'!$T$5,$A21,H21,'Flujo de Fondos'!$T$7,'Flujo de Fondos'!$T$6)</f>
        <v>0.38906829408464583</v>
      </c>
      <c r="J21" s="82">
        <v>33.340000000000003</v>
      </c>
      <c r="K21" s="80">
        <f>myParidad('Flujo de Fondos'!$B$34,$A21,J21,'Flujo de Fondos'!$B$36,'Flujo de Fondos'!$B$35)</f>
        <v>0.33338401583485727</v>
      </c>
      <c r="L21" s="79">
        <v>38.590000000000003</v>
      </c>
      <c r="M21" s="80">
        <f>myParidad('Flujo de Fondos'!$H$34,'Paridad usd'!$A21,'Paridad usd'!L21,'Flujo de Fondos'!$H$36,'Flujo de Fondos'!$H$35)</f>
        <v>0.38588149883224782</v>
      </c>
      <c r="N21" s="83">
        <v>38.5</v>
      </c>
      <c r="O21" s="80">
        <f>myParidad('Flujo de Fondos'!$N$34,$A21,N21,'Flujo de Fondos'!$N$36,'Flujo de Fondos'!$N$35)</f>
        <v>0.38498154198086393</v>
      </c>
      <c r="P21" s="80">
        <f t="shared" si="10"/>
        <v>7.0755302917418494E-3</v>
      </c>
      <c r="Q21" s="80">
        <f t="shared" si="11"/>
        <v>3.5486388782384803E-2</v>
      </c>
      <c r="R21" s="80">
        <f t="shared" si="12"/>
        <v>-1.6023362227110038E-2</v>
      </c>
      <c r="S21" s="80">
        <f t="shared" si="13"/>
        <v>-1.5123405375726151E-2</v>
      </c>
      <c r="T21" s="80">
        <f t="shared" si="14"/>
        <v>2.0362983406658652E-2</v>
      </c>
      <c r="U21" s="80">
        <f t="shared" si="15"/>
        <v>-2.2198935667468001E-2</v>
      </c>
      <c r="V21" s="80">
        <f t="shared" si="16"/>
        <v>2.9398590478538655E-2</v>
      </c>
      <c r="W21" s="80">
        <f t="shared" si="17"/>
        <v>3.6474120770280505E-2</v>
      </c>
      <c r="X21" s="80">
        <f t="shared" si="18"/>
        <v>2.6285687771249899E-2</v>
      </c>
      <c r="Y21" s="90">
        <f t="shared" si="19"/>
        <v>-2.3098892518851888E-2</v>
      </c>
    </row>
    <row r="22" spans="1:25" s="84" customFormat="1" x14ac:dyDescent="0.25">
      <c r="A22" s="78">
        <v>44399</v>
      </c>
      <c r="B22" s="79">
        <v>37.200000000000003</v>
      </c>
      <c r="C22" s="80">
        <f>myParidad('Flujo de Fondos'!$B$5,A22,B22,'Flujo de Fondos'!$B$7,'Flujo de Fondos'!$B$6)</f>
        <v>0.37186755402185528</v>
      </c>
      <c r="D22" s="79">
        <v>40.6</v>
      </c>
      <c r="E22" s="81">
        <f>myParidad('Flujo de Fondos'!$H$5,$A22,D22,'Flujo de Fondos'!$H$7,'Flujo de Fondos'!$H$6)</f>
        <v>0.40585544874428287</v>
      </c>
      <c r="F22" s="79">
        <v>36.299999999999997</v>
      </c>
      <c r="G22" s="80">
        <f>myParidad('Flujo de Fondos'!$N$5,$A22,F22,'Flujo de Fondos'!$N$7,'Flujo de Fondos'!$N$6)</f>
        <v>0.36298383976055859</v>
      </c>
      <c r="H22" s="82">
        <v>38.58</v>
      </c>
      <c r="I22" s="80">
        <f>myParidad('Flujo de Fondos'!$T$5,$A22,H22,'Flujo de Fondos'!$T$7,'Flujo de Fondos'!$T$6)</f>
        <v>0.38537371332396014</v>
      </c>
      <c r="J22" s="82">
        <v>33.299999999999997</v>
      </c>
      <c r="K22" s="80">
        <f>myParidad('Flujo de Fondos'!$B$34,$A22,J22,'Flujo de Fondos'!$B$36,'Flujo de Fondos'!$B$35)</f>
        <v>0.33298517531753719</v>
      </c>
      <c r="L22" s="79">
        <v>38.549999999999997</v>
      </c>
      <c r="M22" s="80">
        <f>myParidad('Flujo de Fondos'!$H$34,'Paridad usd'!$A22,'Paridad usd'!L22,'Flujo de Fondos'!$H$36,'Flujo de Fondos'!$H$35)</f>
        <v>0.38548283809282463</v>
      </c>
      <c r="N22" s="83">
        <v>38.21</v>
      </c>
      <c r="O22" s="80">
        <f>myParidad('Flujo de Fondos'!$N$34,$A22,N22,'Flujo de Fondos'!$N$36,'Flujo de Fondos'!$N$35)</f>
        <v>0.38208298945594887</v>
      </c>
      <c r="P22" s="80">
        <f t="shared" si="10"/>
        <v>8.8837142612966935E-3</v>
      </c>
      <c r="Q22" s="80">
        <f t="shared" si="11"/>
        <v>3.3987894722427581E-2</v>
      </c>
      <c r="R22" s="80">
        <f t="shared" si="12"/>
        <v>-1.3615284070969347E-2</v>
      </c>
      <c r="S22" s="80">
        <f t="shared" si="13"/>
        <v>-1.0215435434093589E-2</v>
      </c>
      <c r="T22" s="80">
        <f t="shared" si="14"/>
        <v>2.3772459288333991E-2</v>
      </c>
      <c r="U22" s="80">
        <f t="shared" si="15"/>
        <v>-1.9099149695390283E-2</v>
      </c>
      <c r="V22" s="80">
        <f t="shared" si="16"/>
        <v>2.9998664443021406E-2</v>
      </c>
      <c r="W22" s="80">
        <f t="shared" si="17"/>
        <v>3.8882378704318099E-2</v>
      </c>
      <c r="X22" s="80">
        <f t="shared" si="18"/>
        <v>2.2389873563401552E-2</v>
      </c>
      <c r="Y22" s="90">
        <f t="shared" si="19"/>
        <v>-2.249899833226604E-2</v>
      </c>
    </row>
    <row r="23" spans="1:25" s="84" customFormat="1" x14ac:dyDescent="0.25">
      <c r="A23" s="78">
        <v>44398</v>
      </c>
      <c r="B23" s="79">
        <v>37.200000000000003</v>
      </c>
      <c r="C23" s="80">
        <f>myParidad('Flujo de Fondos'!$B$5,A23,B23,'Flujo de Fondos'!$B$7,'Flujo de Fondos'!$B$6)</f>
        <v>0.37187773882559161</v>
      </c>
      <c r="D23" s="79">
        <v>40.049999999999997</v>
      </c>
      <c r="E23" s="81">
        <f>myParidad('Flujo de Fondos'!$H$5,$A23,D23,'Flujo de Fondos'!$H$7,'Flujo de Fondos'!$H$6)</f>
        <v>0.40036837204206832</v>
      </c>
      <c r="F23" s="79">
        <v>36.32</v>
      </c>
      <c r="G23" s="80">
        <f>myParidad('Flujo de Fondos'!$N$5,$A23,F23,'Flujo de Fondos'!$N$7,'Flujo de Fondos'!$N$6)</f>
        <v>0.36318507458597593</v>
      </c>
      <c r="H23" s="82">
        <v>38.39</v>
      </c>
      <c r="I23" s="80">
        <f>myParidad('Flujo de Fondos'!$T$5,$A23,H23,'Flujo de Fondos'!$T$7,'Flujo de Fondos'!$T$6)</f>
        <v>0.38347712454074617</v>
      </c>
      <c r="J23" s="82">
        <v>33.26</v>
      </c>
      <c r="K23" s="80">
        <f>myParidad('Flujo de Fondos'!$B$34,$A23,J23,'Flujo de Fondos'!$B$36,'Flujo de Fondos'!$B$35)</f>
        <v>0.3325863320685451</v>
      </c>
      <c r="L23" s="79">
        <v>38.15</v>
      </c>
      <c r="M23" s="80">
        <f>myParidad('Flujo de Fondos'!$H$34,'Paridad usd'!$A23,'Paridad usd'!L23,'Flujo de Fondos'!$H$36,'Flujo de Fondos'!$H$35)</f>
        <v>0.38148432256208648</v>
      </c>
      <c r="N23" s="83">
        <v>37.85</v>
      </c>
      <c r="O23" s="80">
        <f>myParidad('Flujo de Fondos'!$N$34,$A23,N23,'Flujo de Fondos'!$N$36,'Flujo de Fondos'!$N$35)</f>
        <v>0.37848444584469132</v>
      </c>
      <c r="P23" s="80">
        <f t="shared" si="10"/>
        <v>8.6926642396156772E-3</v>
      </c>
      <c r="Q23" s="80">
        <f t="shared" si="11"/>
        <v>2.8490633216476713E-2</v>
      </c>
      <c r="R23" s="80">
        <f t="shared" si="12"/>
        <v>-9.606583736494867E-3</v>
      </c>
      <c r="S23" s="80">
        <f t="shared" si="13"/>
        <v>-6.6067070190997113E-3</v>
      </c>
      <c r="T23" s="80">
        <f t="shared" si="14"/>
        <v>2.1883926197377002E-2</v>
      </c>
      <c r="U23" s="80">
        <f t="shared" si="15"/>
        <v>-1.5299371258715388E-2</v>
      </c>
      <c r="V23" s="80">
        <f t="shared" si="16"/>
        <v>3.0598742517430833E-2</v>
      </c>
      <c r="W23" s="80">
        <f t="shared" si="17"/>
        <v>3.929140675704651E-2</v>
      </c>
      <c r="X23" s="80">
        <f t="shared" si="18"/>
        <v>2.0292049954770242E-2</v>
      </c>
      <c r="Y23" s="90">
        <f t="shared" si="19"/>
        <v>-1.8299247976110544E-2</v>
      </c>
    </row>
    <row r="24" spans="1:25" s="84" customFormat="1" x14ac:dyDescent="0.25">
      <c r="A24" s="78">
        <v>44397</v>
      </c>
      <c r="B24" s="79">
        <v>37</v>
      </c>
      <c r="C24" s="80">
        <f>myParidad('Flujo de Fondos'!$B$5,A24,B24,'Flujo de Fondos'!$B$7,'Flujo de Fondos'!$B$6)</f>
        <v>0.36988852674536443</v>
      </c>
      <c r="D24" s="79">
        <v>40.9</v>
      </c>
      <c r="E24" s="81">
        <f>myParidad('Flujo de Fondos'!$H$5,$A24,D24,'Flujo de Fondos'!$H$7,'Flujo de Fondos'!$H$6)</f>
        <v>0.40887677686176765</v>
      </c>
      <c r="F24" s="79">
        <v>36.19</v>
      </c>
      <c r="G24" s="80">
        <f>myParidad('Flujo de Fondos'!$N$5,$A24,F24,'Flujo de Fondos'!$N$7,'Flujo de Fondos'!$N$6)</f>
        <v>0.36188636729438273</v>
      </c>
      <c r="H24" s="82">
        <v>38.229999999999997</v>
      </c>
      <c r="I24" s="80">
        <f>myParidad('Flujo de Fondos'!$T$5,$A24,H24,'Flujo de Fondos'!$T$7,'Flujo de Fondos'!$T$6)</f>
        <v>0.38188019334909223</v>
      </c>
      <c r="J24" s="82">
        <v>33.119999999999997</v>
      </c>
      <c r="K24" s="80">
        <f>myParidad('Flujo de Fondos'!$B$34,$A24,J24,'Flujo de Fondos'!$B$36,'Flujo de Fondos'!$B$35)</f>
        <v>0.33118752375766664</v>
      </c>
      <c r="L24" s="79">
        <v>38.200000000000003</v>
      </c>
      <c r="M24" s="80">
        <f>myParidad('Flujo de Fondos'!$H$34,'Paridad usd'!$A24,'Paridad usd'!L24,'Flujo de Fondos'!$H$36,'Flujo de Fondos'!$H$35)</f>
        <v>0.38198561013112525</v>
      </c>
      <c r="N24" s="83">
        <v>37.6</v>
      </c>
      <c r="O24" s="80">
        <f>myParidad('Flujo de Fondos'!$N$34,$A24,N24,'Flujo de Fondos'!$N$36,'Flujo de Fondos'!$N$35)</f>
        <v>0.37598583615000808</v>
      </c>
      <c r="P24" s="80">
        <f t="shared" si="10"/>
        <v>8.0021594509817051E-3</v>
      </c>
      <c r="Q24" s="80">
        <f t="shared" si="11"/>
        <v>3.8988250116403222E-2</v>
      </c>
      <c r="R24" s="80">
        <f t="shared" si="12"/>
        <v>-1.2097083385760821E-2</v>
      </c>
      <c r="S24" s="80">
        <f t="shared" si="13"/>
        <v>-6.0973094046436471E-3</v>
      </c>
      <c r="T24" s="80">
        <f t="shared" si="14"/>
        <v>3.2890940711759575E-2</v>
      </c>
      <c r="U24" s="80">
        <f t="shared" si="15"/>
        <v>-1.4099468855625352E-2</v>
      </c>
      <c r="V24" s="80">
        <f t="shared" si="16"/>
        <v>3.0698843536716092E-2</v>
      </c>
      <c r="W24" s="80">
        <f t="shared" si="17"/>
        <v>3.8701002987697797E-2</v>
      </c>
      <c r="X24" s="80">
        <f t="shared" si="18"/>
        <v>1.9993826054709507E-2</v>
      </c>
      <c r="Y24" s="90">
        <f t="shared" si="19"/>
        <v>-2.0099242836742526E-2</v>
      </c>
    </row>
    <row r="25" spans="1:25" s="84" customFormat="1" x14ac:dyDescent="0.25">
      <c r="A25" s="78">
        <v>44396</v>
      </c>
      <c r="B25" s="79">
        <v>36.6</v>
      </c>
      <c r="C25" s="80">
        <f>myParidad('Flujo de Fondos'!$B$5,A25,B25,'Flujo de Fondos'!$B$7,'Flujo de Fondos'!$B$6)</f>
        <v>0.36589975349219395</v>
      </c>
      <c r="D25" s="79">
        <v>39.9</v>
      </c>
      <c r="E25" s="81">
        <f>myParidad('Flujo de Fondos'!$H$5,$A25,D25,'Flujo de Fondos'!$H$7,'Flujo de Fondos'!$H$6)</f>
        <v>0.39889071487263761</v>
      </c>
      <c r="F25" s="79">
        <v>35.840000000000003</v>
      </c>
      <c r="G25" s="80">
        <f>myParidad('Flujo de Fondos'!$N$5,$A25,F25,'Flujo de Fondos'!$N$7,'Flujo de Fondos'!$N$6)</f>
        <v>0.35838772644772443</v>
      </c>
      <c r="H25" s="82">
        <v>38.03</v>
      </c>
      <c r="I25" s="80">
        <f>myParidad('Flujo de Fondos'!$T$5,$A25,H25,'Flujo de Fondos'!$T$7,'Flujo de Fondos'!$T$6)</f>
        <v>0.37988368910782705</v>
      </c>
      <c r="J25" s="82">
        <v>32.94</v>
      </c>
      <c r="K25" s="80">
        <f>myParidad('Flujo de Fondos'!$B$34,$A25,J25,'Flujo de Fondos'!$B$36,'Flujo de Fondos'!$B$35)</f>
        <v>0.32938871956439847</v>
      </c>
      <c r="L25" s="79">
        <v>37.65</v>
      </c>
      <c r="M25" s="80">
        <f>myParidad('Flujo de Fondos'!$H$34,'Paridad usd'!$A25,'Paridad usd'!L25,'Flujo de Fondos'!$H$36,'Flujo de Fondos'!$H$35)</f>
        <v>0.37648710660593815</v>
      </c>
      <c r="N25" s="83">
        <v>36.6</v>
      </c>
      <c r="O25" s="80">
        <f>myParidad('Flujo de Fondos'!$N$34,$A25,N25,'Flujo de Fondos'!$N$36,'Flujo de Fondos'!$N$35)</f>
        <v>0.36598746618266498</v>
      </c>
      <c r="P25" s="80">
        <f t="shared" ref="P25" si="20">C25-G25</f>
        <v>7.5120270444695159E-3</v>
      </c>
      <c r="Q25" s="80">
        <f t="shared" ref="Q25" si="21">E25-C25</f>
        <v>3.2990961380443662E-2</v>
      </c>
      <c r="R25" s="80">
        <f t="shared" ref="R25" si="22">C25-M25</f>
        <v>-1.0587353113744202E-2</v>
      </c>
      <c r="S25" s="80">
        <f t="shared" ref="S25" si="23">C25-O25</f>
        <v>-8.7712690471031252E-5</v>
      </c>
      <c r="T25" s="80">
        <f t="shared" ref="T25" si="24">E25-O25</f>
        <v>3.2903248689972631E-2</v>
      </c>
      <c r="U25" s="80">
        <f t="shared" ref="U25" si="25">G25-O25</f>
        <v>-7.5997397349405471E-3</v>
      </c>
      <c r="V25" s="80">
        <f t="shared" ref="V25" si="26">G25-K25</f>
        <v>2.8999006883325962E-2</v>
      </c>
      <c r="W25" s="80">
        <f t="shared" ref="W25" si="27">C25-K25</f>
        <v>3.6511033927795478E-2</v>
      </c>
      <c r="X25" s="80">
        <f t="shared" ref="X25" si="28">I25-G25</f>
        <v>2.1495962660102619E-2</v>
      </c>
      <c r="Y25" s="90">
        <f t="shared" si="19"/>
        <v>-1.8099380158213718E-2</v>
      </c>
    </row>
    <row r="26" spans="1:25" s="84" customFormat="1" x14ac:dyDescent="0.25">
      <c r="A26" s="78">
        <v>44393</v>
      </c>
      <c r="B26" s="79">
        <v>36.4</v>
      </c>
      <c r="C26" s="80">
        <f>myParidad('Flujo de Fondos'!$B$5,A26,B26,'Flujo de Fondos'!$B$7,'Flujo de Fondos'!$B$6)</f>
        <v>0.3639302051661325</v>
      </c>
      <c r="D26" s="79">
        <v>39.71</v>
      </c>
      <c r="E26" s="81">
        <f>myParidad('Flujo de Fondos'!$H$5,$A26,D26,'Flujo de Fondos'!$H$7,'Flujo de Fondos'!$H$6)</f>
        <v>0.39702385843810778</v>
      </c>
      <c r="F26" s="79">
        <v>35.57</v>
      </c>
      <c r="G26" s="80">
        <f>myParidad('Flujo de Fondos'!$N$5,$A26,F26,'Flujo de Fondos'!$N$7,'Flujo de Fondos'!$N$6)</f>
        <v>0.3556914731496163</v>
      </c>
      <c r="H26" s="82">
        <v>37.79</v>
      </c>
      <c r="I26" s="80">
        <f>myParidad('Flujo de Fondos'!$T$5,$A26,H26,'Flujo de Fondos'!$T$7,'Flujo de Fondos'!$T$6)</f>
        <v>0.37749019044393584</v>
      </c>
      <c r="J26" s="82">
        <v>32.65</v>
      </c>
      <c r="K26" s="80">
        <f>myParidad('Flujo de Fondos'!$B$34,$A26,J26,'Flujo de Fondos'!$B$36,'Flujo de Fondos'!$B$35)</f>
        <v>0.32649217313283585</v>
      </c>
      <c r="L26" s="79">
        <v>37.200000000000003</v>
      </c>
      <c r="M26" s="80">
        <f>myParidad('Flujo de Fondos'!$H$34,'Paridad usd'!$A26,'Paridad usd'!L26,'Flujo de Fondos'!$H$36,'Flujo de Fondos'!$H$35)</f>
        <v>0.37199108240555878</v>
      </c>
      <c r="N26" s="83">
        <v>36.75</v>
      </c>
      <c r="O26" s="80">
        <f>myParidad('Flujo de Fondos'!$N$34,$A26,N26,'Flujo de Fondos'!$N$36,'Flujo de Fondos'!$N$35)</f>
        <v>0.36749119027968508</v>
      </c>
      <c r="P26" s="80">
        <f t="shared" ref="P26:P27" si="29">C26-G26</f>
        <v>8.2387320165162037E-3</v>
      </c>
      <c r="Q26" s="80">
        <f t="shared" ref="Q26:Q27" si="30">E26-C26</f>
        <v>3.3093653271975276E-2</v>
      </c>
      <c r="R26" s="80">
        <f t="shared" ref="R26:R27" si="31">C26-M26</f>
        <v>-8.0608772394262784E-3</v>
      </c>
      <c r="S26" s="80">
        <f t="shared" ref="S26:S27" si="32">C26-O26</f>
        <v>-3.5609851135525727E-3</v>
      </c>
      <c r="T26" s="80">
        <f t="shared" ref="T26:T27" si="33">E26-O26</f>
        <v>2.9532668158422704E-2</v>
      </c>
      <c r="U26" s="80">
        <f t="shared" ref="U26:U27" si="34">G26-O26</f>
        <v>-1.1799717130068776E-2</v>
      </c>
      <c r="V26" s="80">
        <f t="shared" ref="V26:V27" si="35">G26-K26</f>
        <v>2.919930001678045E-2</v>
      </c>
      <c r="W26" s="80">
        <f t="shared" ref="W26:W27" si="36">C26-K26</f>
        <v>3.7438032033296653E-2</v>
      </c>
      <c r="X26" s="80">
        <f t="shared" ref="X26:X27" si="37">I26-G26</f>
        <v>2.1798717294319536E-2</v>
      </c>
      <c r="Y26" s="90">
        <f t="shared" si="19"/>
        <v>-1.6299609255942482E-2</v>
      </c>
    </row>
    <row r="27" spans="1:25" s="84" customFormat="1" x14ac:dyDescent="0.25">
      <c r="A27" s="78">
        <v>44392</v>
      </c>
      <c r="B27" s="79">
        <v>36.369999999999997</v>
      </c>
      <c r="C27" s="80">
        <f>myParidad('Flujo de Fondos'!$B$5,A27,B27,'Flujo de Fondos'!$B$7,'Flujo de Fondos'!$B$6)</f>
        <v>0.3636402235249</v>
      </c>
      <c r="D27" s="79">
        <v>39.5</v>
      </c>
      <c r="E27" s="81">
        <f>myParidad('Flujo de Fondos'!$H$5,$A27,D27,'Flujo de Fondos'!$H$7,'Flujo de Fondos'!$H$6)</f>
        <v>0.39493507916506876</v>
      </c>
      <c r="F27" s="79">
        <v>35.29</v>
      </c>
      <c r="G27" s="80">
        <f>myParidad('Flujo de Fondos'!$N$5,$A27,F27,'Flujo de Fondos'!$N$7,'Flujo de Fondos'!$N$6)</f>
        <v>0.35289274877913468</v>
      </c>
      <c r="H27" s="82">
        <v>37.549999999999997</v>
      </c>
      <c r="I27" s="80">
        <f>myParidad('Flujo de Fondos'!$T$5,$A27,H27,'Flujo de Fondos'!$T$7,'Flujo de Fondos'!$T$6)</f>
        <v>0.37509407627362168</v>
      </c>
      <c r="J27" s="82">
        <v>32.72</v>
      </c>
      <c r="K27" s="80">
        <f>myParidad('Flujo de Fondos'!$B$34,$A27,J27,'Flujo de Fondos'!$B$36,'Flujo de Fondos'!$B$35)</f>
        <v>0.32719327685047567</v>
      </c>
      <c r="L27" s="79">
        <v>37</v>
      </c>
      <c r="M27" s="80">
        <f>myParidad('Flujo de Fondos'!$H$34,'Paridad usd'!$A27,'Paridad usd'!L27,'Flujo de Fondos'!$H$36,'Flujo de Fondos'!$H$35)</f>
        <v>0.36999239741649143</v>
      </c>
      <c r="N27" s="83">
        <v>36.35</v>
      </c>
      <c r="O27" s="80">
        <f>myParidad('Flujo de Fondos'!$N$34,$A27,N27,'Flujo de Fondos'!$N$36,'Flujo de Fondos'!$N$35)</f>
        <v>0.36349253097539092</v>
      </c>
      <c r="P27" s="80">
        <f t="shared" si="29"/>
        <v>1.0747474745765317E-2</v>
      </c>
      <c r="Q27" s="80">
        <f t="shared" si="30"/>
        <v>3.1294855640168762E-2</v>
      </c>
      <c r="R27" s="80">
        <f t="shared" si="31"/>
        <v>-6.3521738915914283E-3</v>
      </c>
      <c r="S27" s="80">
        <f t="shared" si="32"/>
        <v>1.4769254950908195E-4</v>
      </c>
      <c r="T27" s="80">
        <f t="shared" si="33"/>
        <v>3.1442548189677844E-2</v>
      </c>
      <c r="U27" s="80">
        <f t="shared" si="34"/>
        <v>-1.0599782196256236E-2</v>
      </c>
      <c r="V27" s="80">
        <f t="shared" si="35"/>
        <v>2.5699471928659012E-2</v>
      </c>
      <c r="W27" s="80">
        <f t="shared" si="36"/>
        <v>3.644694667442433E-2</v>
      </c>
      <c r="X27" s="80">
        <f t="shared" si="37"/>
        <v>2.2201327494487E-2</v>
      </c>
      <c r="Y27" s="90">
        <f t="shared" si="19"/>
        <v>-1.7099648637356746E-2</v>
      </c>
    </row>
    <row r="28" spans="1:25" s="84" customFormat="1" x14ac:dyDescent="0.25">
      <c r="A28" s="78">
        <v>44391</v>
      </c>
      <c r="B28" s="79">
        <v>36.4</v>
      </c>
      <c r="C28" s="80">
        <f>myParidad('Flujo de Fondos'!$B$5,A28,B28,'Flujo de Fondos'!$B$7,'Flujo de Fondos'!$B$6)</f>
        <v>0.36395014381591562</v>
      </c>
      <c r="D28" s="79">
        <v>39.5</v>
      </c>
      <c r="E28" s="81">
        <f>myParidad('Flujo de Fondos'!$H$5,$A28,D28,'Flujo de Fondos'!$H$7,'Flujo de Fondos'!$H$6)</f>
        <v>0.39494589782221612</v>
      </c>
      <c r="F28" s="79">
        <v>35.090000000000003</v>
      </c>
      <c r="G28" s="80">
        <f>myParidad('Flujo de Fondos'!$N$5,$A28,F28,'Flujo de Fondos'!$N$7,'Flujo de Fondos'!$N$6)</f>
        <v>0.35089399154124079</v>
      </c>
      <c r="H28" s="82">
        <v>37.700000000000003</v>
      </c>
      <c r="I28" s="80">
        <f>myParidad('Flujo de Fondos'!$T$5,$A28,H28,'Flujo de Fondos'!$T$7,'Flujo de Fondos'!$T$6)</f>
        <v>0.37659374305116061</v>
      </c>
      <c r="J28" s="82">
        <v>32.6</v>
      </c>
      <c r="K28" s="80">
        <f>myParidad('Flujo de Fondos'!$B$34,$A28,J28,'Flujo de Fondos'!$B$36,'Flujo de Fondos'!$B$35)</f>
        <v>0.32599441790380301</v>
      </c>
      <c r="L28" s="79">
        <v>36.82</v>
      </c>
      <c r="M28" s="80">
        <f>myParidad('Flujo de Fondos'!$H$34,'Paridad usd'!$A28,'Paridad usd'!L28,'Flujo de Fondos'!$H$36,'Flujo de Fondos'!$H$35)</f>
        <v>0.36819369531343643</v>
      </c>
      <c r="N28" s="83">
        <v>36.28</v>
      </c>
      <c r="O28" s="80">
        <f>myParidad('Flujo de Fondos'!$N$34,$A28,N28,'Flujo de Fondos'!$N$36,'Flujo de Fondos'!$N$35)</f>
        <v>0.36279378777760657</v>
      </c>
      <c r="P28" s="80">
        <f>C28-G28</f>
        <v>1.3056152274674826E-2</v>
      </c>
      <c r="Q28" s="80">
        <f>E28-C28</f>
        <v>3.0995754006300502E-2</v>
      </c>
      <c r="R28" s="80">
        <f>C28-M28</f>
        <v>-4.2435514975208144E-3</v>
      </c>
      <c r="S28" s="80">
        <f>C28-O28</f>
        <v>1.1563560383090477E-3</v>
      </c>
      <c r="T28" s="80">
        <f t="shared" ref="T28" si="38">E28-O28</f>
        <v>3.215211004460955E-2</v>
      </c>
      <c r="U28" s="80">
        <f t="shared" ref="U28" si="39">G28-O28</f>
        <v>-1.1899796236365778E-2</v>
      </c>
      <c r="V28" s="80">
        <f>G28-K28</f>
        <v>2.4899573637437777E-2</v>
      </c>
      <c r="W28" s="80">
        <f>C28-K28</f>
        <v>3.7955725912112603E-2</v>
      </c>
      <c r="X28" s="80">
        <f>I28-G28</f>
        <v>2.5699751509919821E-2</v>
      </c>
      <c r="Y28" s="90">
        <f t="shared" si="19"/>
        <v>-1.729970377219564E-2</v>
      </c>
    </row>
    <row r="29" spans="1:25" s="84" customFormat="1" x14ac:dyDescent="0.25">
      <c r="A29" s="78">
        <v>44390</v>
      </c>
      <c r="B29" s="79">
        <v>36.049999999999997</v>
      </c>
      <c r="C29" s="80">
        <f>myParidad('Flujo de Fondos'!$B$5,A29,B29,'Flujo de Fondos'!$B$7,'Flujo de Fondos'!$B$6)</f>
        <v>0.36046049747972825</v>
      </c>
      <c r="D29" s="79">
        <v>39.31</v>
      </c>
      <c r="E29" s="81">
        <f>myParidad('Flujo de Fondos'!$H$5,$A29,D29,'Flujo de Fondos'!$H$7,'Flujo de Fondos'!$H$6)</f>
        <v>0.39305692526846375</v>
      </c>
      <c r="F29" s="79">
        <v>34.75</v>
      </c>
      <c r="G29" s="80">
        <f>myParidad('Flujo de Fondos'!$N$5,$A29,F29,'Flujo de Fondos'!$N$7,'Flujo de Fondos'!$N$6)</f>
        <v>0.34749523979123575</v>
      </c>
      <c r="H29" s="82">
        <v>37.409999999999997</v>
      </c>
      <c r="I29" s="80">
        <f>myParidad('Flujo de Fondos'!$T$5,$A29,H29,'Flujo de Fondos'!$T$7,'Flujo de Fondos'!$T$6)</f>
        <v>0.37369814651368044</v>
      </c>
      <c r="J29" s="82">
        <v>32.75</v>
      </c>
      <c r="K29" s="80">
        <f>myParidad('Flujo de Fondos'!$B$34,$A29,J29,'Flujo de Fondos'!$B$36,'Flujo de Fondos'!$B$35)</f>
        <v>0.32749551376008545</v>
      </c>
      <c r="L29" s="79">
        <v>36.5</v>
      </c>
      <c r="M29" s="80">
        <f>myParidad('Flujo de Fondos'!$H$34,'Paridad usd'!$A29,'Paridad usd'!L29,'Flujo de Fondos'!$H$36,'Flujo de Fondos'!$H$35)</f>
        <v>0.36499500006849223</v>
      </c>
      <c r="N29" s="83">
        <v>36</v>
      </c>
      <c r="O29" s="80">
        <f>myParidad('Flujo de Fondos'!$N$34,$A29,N29,'Flujo de Fondos'!$N$36,'Flujo de Fondos'!$N$35)</f>
        <v>0.35999506856070462</v>
      </c>
      <c r="P29" s="80">
        <f>C29-G29</f>
        <v>1.2965257688492493E-2</v>
      </c>
      <c r="Q29" s="80">
        <f>E29-C29</f>
        <v>3.2596427788735505E-2</v>
      </c>
      <c r="R29" s="80">
        <f>C29-M29</f>
        <v>-4.5345025887639778E-3</v>
      </c>
      <c r="S29" s="80">
        <f>C29-O29</f>
        <v>4.6542891902362493E-4</v>
      </c>
      <c r="T29" s="80">
        <f t="shared" ref="T29" si="40">E29-O29</f>
        <v>3.306185670775913E-2</v>
      </c>
      <c r="U29" s="80">
        <f t="shared" ref="U29" si="41">G29-O29</f>
        <v>-1.2499828769468868E-2</v>
      </c>
      <c r="V29" s="80">
        <f>G29-K29</f>
        <v>1.99997260311503E-2</v>
      </c>
      <c r="W29" s="80">
        <f>C29-K29</f>
        <v>3.2964983719642793E-2</v>
      </c>
      <c r="X29" s="80">
        <f>I29-G29</f>
        <v>2.6202906722444685E-2</v>
      </c>
      <c r="Y29" s="90">
        <f t="shared" si="19"/>
        <v>-1.7499760277256471E-2</v>
      </c>
    </row>
    <row r="30" spans="1:25" s="84" customFormat="1" x14ac:dyDescent="0.25">
      <c r="A30" s="78">
        <v>44389</v>
      </c>
      <c r="B30" s="79">
        <v>35.799999999999997</v>
      </c>
      <c r="C30" s="80">
        <f>myParidad('Flujo de Fondos'!$B$5,A30,B30,'Flujo de Fondos'!$B$7,'Flujo de Fondos'!$B$6)</f>
        <v>0.35797057776073199</v>
      </c>
      <c r="D30" s="79">
        <v>39.15</v>
      </c>
      <c r="E30" s="81">
        <f>myParidad('Flujo de Fondos'!$H$5,$A30,D30,'Flujo de Fondos'!$H$7,'Flujo de Fondos'!$H$6)</f>
        <v>0.39146782456236473</v>
      </c>
      <c r="F30" s="79">
        <v>34.29</v>
      </c>
      <c r="G30" s="80">
        <f>myParidad('Flujo de Fondos'!$N$5,$A30,F30,'Flujo de Fondos'!$N$7,'Flujo de Fondos'!$N$6)</f>
        <v>0.3428964770909888</v>
      </c>
      <c r="H30" s="82">
        <v>37.1</v>
      </c>
      <c r="I30" s="80">
        <f>myParidad('Flujo de Fondos'!$T$5,$A30,H30,'Flujo de Fondos'!$T$7,'Flujo de Fondos'!$T$6)</f>
        <v>0.37060274431859003</v>
      </c>
      <c r="J30" s="82">
        <v>31.9</v>
      </c>
      <c r="K30" s="80">
        <f>myParidad('Flujo de Fondos'!$B$34,$A30,J30,'Flujo de Fondos'!$B$36,'Flujo de Fondos'!$B$35)</f>
        <v>0.31899672263641127</v>
      </c>
      <c r="L30" s="79">
        <v>35.96</v>
      </c>
      <c r="M30" s="80">
        <f>myParidad('Flujo de Fondos'!$H$34,'Paridad usd'!$A30,'Paridad usd'!L30,'Flujo de Fondos'!$H$36,'Flujo de Fondos'!$H$35)</f>
        <v>0.35959630551740907</v>
      </c>
      <c r="N30" s="83">
        <v>35.25</v>
      </c>
      <c r="O30" s="80">
        <f>myParidad('Flujo de Fondos'!$N$34,$A30,N30,'Flujo de Fondos'!$N$36,'Flujo de Fondos'!$N$35)</f>
        <v>0.3524963784618651</v>
      </c>
      <c r="P30" s="80">
        <f>C30-G30</f>
        <v>1.5074100669743185E-2</v>
      </c>
      <c r="Q30" s="80">
        <f>E30-C30</f>
        <v>3.3497246801632741E-2</v>
      </c>
      <c r="R30" s="80">
        <f>C30-M30</f>
        <v>-1.6257277566770756E-3</v>
      </c>
      <c r="S30" s="80">
        <f>C30-O30</f>
        <v>5.4741992988668886E-3</v>
      </c>
      <c r="T30" s="80">
        <f t="shared" ref="T30" si="42">E30-O30</f>
        <v>3.8971446100499629E-2</v>
      </c>
      <c r="U30" s="80">
        <f t="shared" ref="U30" si="43">G30-O30</f>
        <v>-9.5999013708762959E-3</v>
      </c>
      <c r="V30" s="80">
        <f>G30-K30</f>
        <v>2.3899754454577538E-2</v>
      </c>
      <c r="W30" s="80">
        <f>C30-K30</f>
        <v>3.8973855124320722E-2</v>
      </c>
      <c r="X30" s="80">
        <f>I30-G30</f>
        <v>2.7706267227601222E-2</v>
      </c>
      <c r="Y30" s="90">
        <f t="shared" si="19"/>
        <v>-1.669982842642026E-2</v>
      </c>
    </row>
    <row r="31" spans="1:25" x14ac:dyDescent="0.25">
      <c r="A31" s="64">
        <v>44385</v>
      </c>
      <c r="B31" s="65">
        <v>35.54</v>
      </c>
      <c r="C31" s="66">
        <f>myParidad('Flujo de Fondos'!$B$5,A31,B31,'Flujo de Fondos'!$B$7,'Flujo de Fondos'!$B$6)</f>
        <v>0.3554097372530754</v>
      </c>
      <c r="D31" s="65">
        <v>39.04</v>
      </c>
      <c r="E31" s="67">
        <f>myParidad('Flujo de Fondos'!$H$5,$A31,D31,'Flujo de Fondos'!$H$7,'Flujo de Fondos'!$H$6)</f>
        <v>0.39041069618345708</v>
      </c>
      <c r="F31" s="65">
        <v>33.86</v>
      </c>
      <c r="G31" s="66">
        <f>myParidad('Flujo de Fondos'!$N$5,$A31,F31,'Flujo de Fondos'!$N$7,'Flujo de Fondos'!$N$6)</f>
        <v>0.33860115959301229</v>
      </c>
      <c r="H31" s="68">
        <v>36.85</v>
      </c>
      <c r="I31" s="66">
        <f>myParidad('Flujo de Fondos'!$T$5,$A31,H31,'Flujo de Fondos'!$T$7,'Flujo de Fondos'!$T$6)</f>
        <v>0.36811045845321222</v>
      </c>
      <c r="J31" s="68">
        <v>31.5</v>
      </c>
      <c r="K31" s="66">
        <f>myParidad('Flujo de Fondos'!$B$34,$A31,J31,'Flujo de Fondos'!$B$36,'Flujo de Fondos'!$B$35)</f>
        <v>0.31500107877081773</v>
      </c>
      <c r="L31" s="65">
        <v>35.659999999999997</v>
      </c>
      <c r="M31" s="66">
        <f>myParidad('Flujo de Fondos'!$H$34,'Paridad usd'!$A31,'Paridad usd'!L31,'Flujo de Fondos'!$H$36,'Flujo de Fondos'!$H$35)</f>
        <v>0.35660122123705901</v>
      </c>
      <c r="N31" s="69">
        <v>35.049999999999997</v>
      </c>
      <c r="O31" s="66">
        <f>myParidad('Flujo de Fondos'!$N$34,$A31,N31,'Flujo de Fondos'!$N$36,'Flujo de Fondos'!$N$35)</f>
        <v>0.3505012003465765</v>
      </c>
      <c r="P31" s="70">
        <f t="shared" ref="P31:P32" si="44">C31-G31</f>
        <v>1.6808577660063106E-2</v>
      </c>
      <c r="Q31" s="70">
        <f t="shared" ref="Q31:Q32" si="45">E31-C31</f>
        <v>3.5000958930381687E-2</v>
      </c>
      <c r="R31" s="70">
        <f t="shared" ref="R31:R32" si="46">C31-M31</f>
        <v>-1.19148398398361E-3</v>
      </c>
      <c r="S31" s="67">
        <f t="shared" ref="S31:S32" si="47">C31-O31</f>
        <v>4.9085369064988948E-3</v>
      </c>
      <c r="T31" s="70">
        <f t="shared" ref="T31:T32" si="48">E31-O31</f>
        <v>3.9909495836880582E-2</v>
      </c>
      <c r="U31" s="70">
        <f t="shared" ref="U31:U32" si="49">G31-O31</f>
        <v>-1.1900040753564212E-2</v>
      </c>
      <c r="V31" s="70">
        <f t="shared" ref="V31:V94" si="50">G31-K31</f>
        <v>2.3600080822194558E-2</v>
      </c>
      <c r="W31" s="70">
        <f t="shared" ref="W31:W94" si="51">C31-K31</f>
        <v>4.0408658482257664E-2</v>
      </c>
      <c r="X31" s="80">
        <f t="shared" ref="X31:X94" si="52">I31-G31</f>
        <v>2.9509298860199928E-2</v>
      </c>
      <c r="Y31" s="90">
        <f t="shared" si="19"/>
        <v>-1.8000061644046716E-2</v>
      </c>
    </row>
    <row r="32" spans="1:25" x14ac:dyDescent="0.25">
      <c r="A32" s="64">
        <v>44384</v>
      </c>
      <c r="B32" s="65">
        <v>35.6</v>
      </c>
      <c r="C32" s="66">
        <f>myParidad('Flujo de Fondos'!$B$5,A32,B32,'Flujo de Fondos'!$B$7,'Flujo de Fondos'!$B$6)</f>
        <v>0.35601950791824211</v>
      </c>
      <c r="D32" s="65">
        <v>38.9</v>
      </c>
      <c r="E32" s="67">
        <f>myParidad('Flujo de Fondos'!$H$5,$A32,D32,'Flujo de Fondos'!$H$7,'Flujo de Fondos'!$H$6)</f>
        <v>0.3890213162365061</v>
      </c>
      <c r="F32" s="65">
        <v>33.76</v>
      </c>
      <c r="G32" s="66">
        <f>myParidad('Flujo de Fondos'!$N$5,$A32,F32,'Flujo de Fondos'!$N$7,'Flujo de Fondos'!$N$6)</f>
        <v>0.33760231234460508</v>
      </c>
      <c r="H32" s="68">
        <v>37.01</v>
      </c>
      <c r="I32" s="66">
        <f>myParidad('Flujo de Fondos'!$T$5,$A32,H32,'Flujo de Fondos'!$T$7,'Flujo de Fondos'!$T$6)</f>
        <v>0.36971003188417695</v>
      </c>
      <c r="J32" s="68">
        <v>31.26</v>
      </c>
      <c r="K32" s="66">
        <f>myParidad('Flujo de Fondos'!$B$34,$A32,J32,'Flujo de Fondos'!$B$36,'Flujo de Fondos'!$B$35)</f>
        <v>0.31260214111055556</v>
      </c>
      <c r="L32" s="65">
        <v>35.700000000000003</v>
      </c>
      <c r="M32" s="66">
        <f>myParidad('Flujo de Fondos'!$H$34,'Paridad usd'!$A32,'Paridad usd'!L32,'Flujo de Fondos'!$H$36,'Flujo de Fondos'!$H$35)</f>
        <v>0.35700244522222757</v>
      </c>
      <c r="N32" s="69">
        <v>34.700000000000003</v>
      </c>
      <c r="O32" s="66">
        <f>myParidad('Flujo de Fondos'!$N$34,$A32,N32,'Flujo de Fondos'!$N$36,'Flujo de Fondos'!$N$35)</f>
        <v>0.34700237672860773</v>
      </c>
      <c r="P32" s="70">
        <f t="shared" si="44"/>
        <v>1.8417195573637024E-2</v>
      </c>
      <c r="Q32" s="70">
        <f t="shared" si="45"/>
        <v>3.3001808318263992E-2</v>
      </c>
      <c r="R32" s="70">
        <f t="shared" si="46"/>
        <v>-9.8293730398546497E-4</v>
      </c>
      <c r="S32" s="67">
        <f t="shared" si="47"/>
        <v>9.0171311896343753E-3</v>
      </c>
      <c r="T32" s="70">
        <f t="shared" si="48"/>
        <v>4.2018939507898367E-2</v>
      </c>
      <c r="U32" s="70">
        <f t="shared" si="49"/>
        <v>-9.4000643840026488E-3</v>
      </c>
      <c r="V32" s="70">
        <f t="shared" si="50"/>
        <v>2.5000171234049517E-2</v>
      </c>
      <c r="W32" s="70">
        <f t="shared" si="51"/>
        <v>4.3417366807686542E-2</v>
      </c>
      <c r="X32" s="80">
        <f t="shared" si="52"/>
        <v>3.2107719539571866E-2</v>
      </c>
      <c r="Y32" s="90">
        <f t="shared" si="19"/>
        <v>-1.9400132877622489E-2</v>
      </c>
    </row>
    <row r="33" spans="1:25" x14ac:dyDescent="0.25">
      <c r="A33" s="64">
        <v>44383</v>
      </c>
      <c r="B33" s="65">
        <v>36.299999999999997</v>
      </c>
      <c r="C33" s="66">
        <f>myParidad('Flujo de Fondos'!$B$5,A33,B33,'Flujo de Fondos'!$B$7,'Flujo de Fondos'!$B$6)</f>
        <v>0.36302983806888234</v>
      </c>
      <c r="D33" s="65">
        <v>39.799999999999997</v>
      </c>
      <c r="E33" s="67">
        <f>myParidad('Flujo de Fondos'!$H$5,$A33,D33,'Flujo de Fondos'!$H$7,'Flujo de Fondos'!$H$6)</f>
        <v>0.39803271501767268</v>
      </c>
      <c r="F33" s="65">
        <v>33.770000000000003</v>
      </c>
      <c r="G33" s="66">
        <f>myParidad('Flujo de Fondos'!$N$5,$A33,F33,'Flujo de Fondos'!$N$7,'Flujo de Fondos'!$N$6)</f>
        <v>0.33770346955619412</v>
      </c>
      <c r="H33" s="68">
        <v>37.020000000000003</v>
      </c>
      <c r="I33" s="66">
        <f>myParidad('Flujo de Fondos'!$T$5,$A33,H33,'Flujo de Fondos'!$T$7,'Flujo de Fondos'!$T$6)</f>
        <v>0.36981119165808551</v>
      </c>
      <c r="J33" s="68">
        <v>31.08</v>
      </c>
      <c r="K33" s="66">
        <f>myParidad('Flujo de Fondos'!$B$34,$A33,J33,'Flujo de Fondos'!$B$36,'Flujo de Fondos'!$B$35)</f>
        <v>0.31080319318349159</v>
      </c>
      <c r="L33" s="65">
        <v>35.4</v>
      </c>
      <c r="M33" s="66">
        <f>myParidad('Flujo de Fondos'!$H$34,'Paridad usd'!$A33,'Paridad usd'!L33,'Flujo de Fondos'!$H$36,'Flujo de Fondos'!$H$35)</f>
        <v>0.35400363702366805</v>
      </c>
      <c r="N33" s="69">
        <v>34.6</v>
      </c>
      <c r="O33" s="66">
        <f>myParidad('Flujo de Fondos'!$N$34,$A33,N33,'Flujo de Fondos'!$N$36,'Flujo de Fondos'!$N$35)</f>
        <v>0.34600355483104278</v>
      </c>
      <c r="P33" s="70">
        <f t="shared" ref="P33:P39" si="53">C33-G33</f>
        <v>2.5326368512688213E-2</v>
      </c>
      <c r="Q33" s="70">
        <f t="shared" ref="Q33:Q39" si="54">E33-C33</f>
        <v>3.500287694879034E-2</v>
      </c>
      <c r="R33" s="70">
        <f t="shared" ref="R33:R39" si="55">C33-M33</f>
        <v>9.0262010452142882E-3</v>
      </c>
      <c r="S33" s="67">
        <f t="shared" ref="S33:S39" si="56">C33-O33</f>
        <v>1.7026283237839557E-2</v>
      </c>
      <c r="T33" s="70">
        <f t="shared" ref="T33:T39" si="57">E33-O33</f>
        <v>5.2029160186629897E-2</v>
      </c>
      <c r="U33" s="70">
        <f t="shared" ref="U33:U39" si="58">G33-O33</f>
        <v>-8.3000852748486564E-3</v>
      </c>
      <c r="V33" s="70">
        <f t="shared" si="50"/>
        <v>2.6900276372702536E-2</v>
      </c>
      <c r="W33" s="70">
        <f t="shared" si="51"/>
        <v>5.2226644885390749E-2</v>
      </c>
      <c r="X33" s="80">
        <f t="shared" si="52"/>
        <v>3.2107722101891389E-2</v>
      </c>
      <c r="Y33" s="90">
        <f t="shared" si="19"/>
        <v>-1.6300167467473925E-2</v>
      </c>
    </row>
    <row r="34" spans="1:25" x14ac:dyDescent="0.25">
      <c r="A34" s="64">
        <v>44382</v>
      </c>
      <c r="B34" s="65">
        <v>36.4</v>
      </c>
      <c r="C34" s="66">
        <f>myParidad('Flujo de Fondos'!$B$5,A34,B34,'Flujo de Fondos'!$B$7,'Flujo de Fondos'!$B$6)</f>
        <v>0.36403989478298993</v>
      </c>
      <c r="D34" s="65">
        <v>39.549999999999997</v>
      </c>
      <c r="E34" s="67">
        <f>myParidad('Flujo de Fondos'!$H$5,$A34,D34,'Flujo de Fondos'!$H$7,'Flujo de Fondos'!$H$6)</f>
        <v>0.39554334721613327</v>
      </c>
      <c r="F34" s="65">
        <v>33.799999999999997</v>
      </c>
      <c r="G34" s="66">
        <f>myParidad('Flujo de Fondos'!$N$5,$A34,F34,'Flujo de Fondos'!$N$7,'Flujo de Fondos'!$N$6)</f>
        <v>0.33800463020041366</v>
      </c>
      <c r="H34" s="68">
        <v>37.450000000000003</v>
      </c>
      <c r="I34" s="66">
        <f>myParidad('Flujo de Fondos'!$T$5,$A34,H34,'Flujo de Fondos'!$T$7,'Flujo de Fondos'!$T$6)</f>
        <v>0.37410795536184688</v>
      </c>
      <c r="J34" s="68">
        <v>31.5</v>
      </c>
      <c r="K34" s="66">
        <f>myParidad('Flujo de Fondos'!$B$34,$A34,J34,'Flujo de Fondos'!$B$36,'Flujo de Fondos'!$B$35)</f>
        <v>0.31500431512760446</v>
      </c>
      <c r="L34" s="65">
        <v>35.659999999999997</v>
      </c>
      <c r="M34" s="66">
        <f>myParidad('Flujo de Fondos'!$H$34,'Paridad usd'!$A34,'Paridad usd'!L34,'Flujo de Fondos'!$H$36,'Flujo de Fondos'!$H$35)</f>
        <v>0.35660488499842458</v>
      </c>
      <c r="N34" s="69">
        <v>34.9</v>
      </c>
      <c r="O34" s="66">
        <f>myParidad('Flujo de Fondos'!$N$34,$A34,N34,'Flujo de Fondos'!$N$36,'Flujo de Fondos'!$N$35)</f>
        <v>0.34900478088740938</v>
      </c>
      <c r="P34" s="70">
        <f t="shared" si="53"/>
        <v>2.6035264582576267E-2</v>
      </c>
      <c r="Q34" s="70">
        <f t="shared" si="54"/>
        <v>3.1503452433143342E-2</v>
      </c>
      <c r="R34" s="70">
        <f t="shared" si="55"/>
        <v>7.4350097845653496E-3</v>
      </c>
      <c r="S34" s="67">
        <f t="shared" si="56"/>
        <v>1.5035113895580543E-2</v>
      </c>
      <c r="T34" s="70">
        <f t="shared" si="57"/>
        <v>4.6538566328723885E-2</v>
      </c>
      <c r="U34" s="70">
        <f t="shared" si="58"/>
        <v>-1.1000150686995724E-2</v>
      </c>
      <c r="V34" s="70">
        <f t="shared" si="50"/>
        <v>2.3000315072809197E-2</v>
      </c>
      <c r="W34" s="70">
        <f t="shared" si="51"/>
        <v>4.9035579655385464E-2</v>
      </c>
      <c r="X34" s="80">
        <f t="shared" si="52"/>
        <v>3.610332516143322E-2</v>
      </c>
      <c r="Y34" s="90">
        <f t="shared" si="19"/>
        <v>-1.8600254798010918E-2</v>
      </c>
    </row>
    <row r="35" spans="1:25" x14ac:dyDescent="0.25">
      <c r="A35" s="64">
        <v>44379</v>
      </c>
      <c r="B35" s="65">
        <v>36.5</v>
      </c>
      <c r="C35" s="66">
        <f>myParidad('Flujo de Fondos'!$B$5,A35,B35,'Flujo de Fondos'!$B$7,'Flujo de Fondos'!$B$6)</f>
        <v>0.36507001342723261</v>
      </c>
      <c r="D35" s="65">
        <v>39.700000000000003</v>
      </c>
      <c r="E35" s="67">
        <f>myParidad('Flujo de Fondos'!$H$5,$A35,D35,'Flujo de Fondos'!$H$7,'Flujo de Fondos'!$H$6)</f>
        <v>0.39707615159071608</v>
      </c>
      <c r="F35" s="65">
        <v>34.06</v>
      </c>
      <c r="G35" s="66">
        <f>myParidad('Flujo de Fondos'!$N$5,$A35,F35,'Flujo de Fondos'!$N$7,'Flujo de Fondos'!$N$6)</f>
        <v>0.34060816526423582</v>
      </c>
      <c r="H35" s="68">
        <v>37.22</v>
      </c>
      <c r="I35" s="66">
        <f>myParidad('Flujo de Fondos'!$T$5,$A35,H35,'Flujo de Fondos'!$T$7,'Flujo de Fondos'!$T$6)</f>
        <v>0.37181417912234904</v>
      </c>
      <c r="J35" s="68">
        <v>31.75</v>
      </c>
      <c r="K35" s="66">
        <f>myParidad('Flujo de Fondos'!$B$34,$A35,J35,'Flujo de Fondos'!$B$36,'Flujo de Fondos'!$B$35)</f>
        <v>0.31750761148383694</v>
      </c>
      <c r="L35" s="65">
        <v>35.729999999999997</v>
      </c>
      <c r="M35" s="66">
        <f>myParidad('Flujo de Fondos'!$H$34,'Paridad usd'!$A35,'Paridad usd'!L35,'Flujo de Fondos'!$H$36,'Flujo de Fondos'!$H$35)</f>
        <v>0.35730856561629898</v>
      </c>
      <c r="N35" s="69">
        <v>34.75</v>
      </c>
      <c r="O35" s="66">
        <f>myParidad('Flujo de Fondos'!$N$34,$A35,N35,'Flujo de Fondos'!$N$36,'Flujo de Fondos'!$N$35)</f>
        <v>0.34750833067916009</v>
      </c>
      <c r="P35" s="70">
        <f t="shared" si="53"/>
        <v>2.4461848162996791E-2</v>
      </c>
      <c r="Q35" s="70">
        <f t="shared" si="54"/>
        <v>3.2006138163483466E-2</v>
      </c>
      <c r="R35" s="70">
        <f t="shared" si="55"/>
        <v>7.7614478109336305E-3</v>
      </c>
      <c r="S35" s="67">
        <f t="shared" si="56"/>
        <v>1.7561682748072516E-2</v>
      </c>
      <c r="T35" s="70">
        <f t="shared" si="57"/>
        <v>4.9567820911555982E-2</v>
      </c>
      <c r="U35" s="70">
        <f t="shared" si="58"/>
        <v>-6.9001654149242753E-3</v>
      </c>
      <c r="V35" s="70">
        <f t="shared" si="50"/>
        <v>2.310055378039888E-2</v>
      </c>
      <c r="W35" s="70">
        <f t="shared" si="51"/>
        <v>4.7562401943395671E-2</v>
      </c>
      <c r="X35" s="80">
        <f t="shared" si="52"/>
        <v>3.1206013858113224E-2</v>
      </c>
      <c r="Y35" s="90">
        <f t="shared" si="19"/>
        <v>-1.6700400352063161E-2</v>
      </c>
    </row>
    <row r="36" spans="1:25" x14ac:dyDescent="0.25">
      <c r="A36" s="64">
        <v>44378</v>
      </c>
      <c r="B36" s="65">
        <v>36.25</v>
      </c>
      <c r="C36" s="66">
        <f>myParidad('Flujo de Fondos'!$B$5,A36,B36,'Flujo de Fondos'!$B$7,'Flujo de Fondos'!$B$6)</f>
        <v>0.36257946947276115</v>
      </c>
      <c r="D36" s="65">
        <v>40</v>
      </c>
      <c r="E36" s="67">
        <f>myParidad('Flujo de Fondos'!$H$5,$A36,D36,'Flujo de Fondos'!$H$7,'Flujo de Fondos'!$H$6)</f>
        <v>0.40008769045270198</v>
      </c>
      <c r="F36" s="65">
        <v>33.799999999999997</v>
      </c>
      <c r="G36" s="66">
        <f>myParidad('Flujo de Fondos'!$N$5,$A36,F36,'Flujo de Fondos'!$N$7,'Flujo de Fondos'!$N$6)</f>
        <v>0.33800926052768565</v>
      </c>
      <c r="H36" s="68">
        <v>37.54</v>
      </c>
      <c r="I36" s="66">
        <f>myParidad('Flujo de Fondos'!$T$5,$A36,H36,'Flujo de Fondos'!$T$7,'Flujo de Fondos'!$T$6)</f>
        <v>0.37501214497334945</v>
      </c>
      <c r="J36" s="68">
        <v>31.35</v>
      </c>
      <c r="K36" s="66">
        <f>myParidad('Flujo de Fondos'!$B$34,$A36,J36,'Flujo de Fondos'!$B$36,'Flujo de Fondos'!$B$35)</f>
        <v>0.31350858927641856</v>
      </c>
      <c r="L36" s="65">
        <v>35.25</v>
      </c>
      <c r="M36" s="66">
        <f>myParidad('Flujo de Fondos'!$H$34,'Paridad usd'!$A36,'Paridad usd'!L36,'Flujo de Fondos'!$H$36,'Flujo de Fondos'!$H$35)</f>
        <v>0.3525096577988438</v>
      </c>
      <c r="N36" s="69">
        <v>34.35</v>
      </c>
      <c r="O36" s="66">
        <f>myParidad('Flujo de Fondos'!$N$34,$A36,N36,'Flujo de Fondos'!$N$36,'Flujo de Fondos'!$N$35)</f>
        <v>0.34350941121674566</v>
      </c>
      <c r="P36" s="70">
        <f t="shared" si="53"/>
        <v>2.45702089450755E-2</v>
      </c>
      <c r="Q36" s="70">
        <f t="shared" si="54"/>
        <v>3.7508220979940832E-2</v>
      </c>
      <c r="R36" s="70">
        <f t="shared" si="55"/>
        <v>1.006981167391735E-2</v>
      </c>
      <c r="S36" s="67">
        <f t="shared" si="56"/>
        <v>1.9070058256015487E-2</v>
      </c>
      <c r="T36" s="70">
        <f t="shared" si="57"/>
        <v>5.6578279235956319E-2</v>
      </c>
      <c r="U36" s="70">
        <f t="shared" si="58"/>
        <v>-5.5001506890600127E-3</v>
      </c>
      <c r="V36" s="70">
        <f t="shared" si="50"/>
        <v>2.4500671251267092E-2</v>
      </c>
      <c r="W36" s="70">
        <f t="shared" si="51"/>
        <v>4.9070880196342592E-2</v>
      </c>
      <c r="X36" s="80">
        <f t="shared" si="52"/>
        <v>3.7002884445663797E-2</v>
      </c>
      <c r="Y36" s="90">
        <f t="shared" si="19"/>
        <v>-1.450039727115815E-2</v>
      </c>
    </row>
    <row r="37" spans="1:25" x14ac:dyDescent="0.25">
      <c r="A37" s="64">
        <v>44377</v>
      </c>
      <c r="B37" s="65">
        <v>36.36</v>
      </c>
      <c r="C37" s="66">
        <f>myParidad('Flujo de Fondos'!$B$5,A37,B37,'Flujo de Fondos'!$B$7,'Flujo de Fondos'!$B$6)</f>
        <v>0.36368967690663451</v>
      </c>
      <c r="D37" s="65">
        <v>39.549999999999997</v>
      </c>
      <c r="E37" s="67">
        <f>myParidad('Flujo de Fondos'!$H$5,$A37,D37,'Flujo de Fondos'!$H$7,'Flujo de Fondos'!$H$6)</f>
        <v>0.39559754460003832</v>
      </c>
      <c r="F37" s="65">
        <v>33.93</v>
      </c>
      <c r="G37" s="66">
        <f>myParidad('Flujo de Fondos'!$N$5,$A37,F37,'Flujo de Fondos'!$N$7,'Flujo de Fondos'!$N$6)</f>
        <v>0.33931045819905409</v>
      </c>
      <c r="H37" s="68">
        <v>37.590000000000003</v>
      </c>
      <c r="I37" s="66">
        <f>myParidad('Flujo de Fondos'!$T$5,$A37,H37,'Flujo de Fondos'!$T$7,'Flujo de Fondos'!$T$6)</f>
        <v>0.37551291305879902</v>
      </c>
      <c r="J37" s="68">
        <v>31.3</v>
      </c>
      <c r="K37" s="66">
        <f>myParidad('Flujo de Fondos'!$B$34,$A37,J37,'Flujo de Fondos'!$B$36,'Flujo de Fondos'!$B$35)</f>
        <v>0.31300964755763022</v>
      </c>
      <c r="L37" s="65">
        <v>35.01</v>
      </c>
      <c r="M37" s="66">
        <f>myParidad('Flujo de Fondos'!$H$34,'Paridad usd'!$A37,'Paridad usd'!L37,'Flujo de Fondos'!$H$36,'Flujo de Fondos'!$H$35)</f>
        <v>0.35011079108602661</v>
      </c>
      <c r="N37" s="69">
        <v>33.9</v>
      </c>
      <c r="O37" s="66">
        <f>myParidad('Flujo de Fondos'!$N$34,$A37,N37,'Flujo de Fondos'!$N$36,'Flujo de Fondos'!$N$35)</f>
        <v>0.33901044895219373</v>
      </c>
      <c r="P37" s="70">
        <f t="shared" si="53"/>
        <v>2.4379218707580419E-2</v>
      </c>
      <c r="Q37" s="70">
        <f t="shared" si="54"/>
        <v>3.1907867693403813E-2</v>
      </c>
      <c r="R37" s="70">
        <f t="shared" si="55"/>
        <v>1.35788858206079E-2</v>
      </c>
      <c r="S37" s="67">
        <f t="shared" si="56"/>
        <v>2.4679227954440774E-2</v>
      </c>
      <c r="T37" s="70">
        <f t="shared" si="57"/>
        <v>5.6587095647844587E-2</v>
      </c>
      <c r="U37" s="70">
        <f t="shared" si="58"/>
        <v>3.0000924686035546E-4</v>
      </c>
      <c r="V37" s="70">
        <f t="shared" si="50"/>
        <v>2.6300810641423866E-2</v>
      </c>
      <c r="W37" s="70">
        <f t="shared" si="51"/>
        <v>5.0680029349004285E-2</v>
      </c>
      <c r="X37" s="80">
        <f t="shared" si="52"/>
        <v>3.6202454859744937E-2</v>
      </c>
      <c r="Y37" s="90">
        <f t="shared" si="19"/>
        <v>-1.0800332886972519E-2</v>
      </c>
    </row>
    <row r="38" spans="1:25" x14ac:dyDescent="0.25">
      <c r="A38" s="64">
        <v>44376</v>
      </c>
      <c r="B38" s="65">
        <v>36.72</v>
      </c>
      <c r="C38" s="66">
        <f>myParidad('Flujo de Fondos'!$B$5,A38,B38,'Flujo de Fondos'!$B$7,'Flujo de Fondos'!$B$6)</f>
        <v>0.36730063030967386</v>
      </c>
      <c r="D38" s="65">
        <v>39.5</v>
      </c>
      <c r="E38" s="67">
        <f>myParidad('Flujo de Fondos'!$H$5,$A38,D38,'Flujo de Fondos'!$H$7,'Flujo de Fondos'!$H$6)</f>
        <v>0.39510824883529733</v>
      </c>
      <c r="F38" s="65">
        <v>34.15</v>
      </c>
      <c r="G38" s="66">
        <f>myParidad('Flujo de Fondos'!$N$5,$A38,F38,'Flujo de Fondos'!$N$7,'Flujo de Fondos'!$N$6)</f>
        <v>0.34151169560601391</v>
      </c>
      <c r="H38" s="68">
        <v>37.4</v>
      </c>
      <c r="I38" s="66">
        <f>myParidad('Flujo de Fondos'!$T$5,$A38,H38,'Flujo de Fondos'!$T$7,'Flujo de Fondos'!$T$6)</f>
        <v>0.373616147793363</v>
      </c>
      <c r="J38" s="68">
        <v>31.4</v>
      </c>
      <c r="K38" s="66">
        <f>myParidad('Flujo de Fondos'!$B$34,$A38,J38,'Flujo de Fondos'!$B$36,'Flujo de Fondos'!$B$35)</f>
        <v>0.31401075379293808</v>
      </c>
      <c r="L38" s="65">
        <v>35.35</v>
      </c>
      <c r="M38" s="66">
        <f>myParidad('Flujo de Fondos'!$H$34,'Paridad usd'!$A38,'Paridad usd'!L38,'Flujo de Fondos'!$H$36,'Flujo de Fondos'!$H$35)</f>
        <v>0.35351210657899246</v>
      </c>
      <c r="N38" s="69">
        <v>34.1</v>
      </c>
      <c r="O38" s="66">
        <f>myParidad('Flujo de Fondos'!$N$34,$A38,N38,'Flujo de Fondos'!$N$36,'Flujo de Fondos'!$N$35)</f>
        <v>0.34101167848213981</v>
      </c>
      <c r="P38" s="70">
        <f t="shared" si="53"/>
        <v>2.5788934703659949E-2</v>
      </c>
      <c r="Q38" s="70">
        <f t="shared" si="54"/>
        <v>2.7807618525623468E-2</v>
      </c>
      <c r="R38" s="70">
        <f t="shared" si="55"/>
        <v>1.3788523730681401E-2</v>
      </c>
      <c r="S38" s="67">
        <f t="shared" si="56"/>
        <v>2.6288951827534046E-2</v>
      </c>
      <c r="T38" s="70">
        <f t="shared" si="57"/>
        <v>5.4096570353157514E-2</v>
      </c>
      <c r="U38" s="70">
        <f t="shared" si="58"/>
        <v>5.0001712387409691E-4</v>
      </c>
      <c r="V38" s="70">
        <f t="shared" si="50"/>
        <v>2.750094181307583E-2</v>
      </c>
      <c r="W38" s="70">
        <f t="shared" si="51"/>
        <v>5.3289876516735779E-2</v>
      </c>
      <c r="X38" s="80">
        <f t="shared" si="52"/>
        <v>3.2104452187349086E-2</v>
      </c>
      <c r="Y38" s="90">
        <f t="shared" si="19"/>
        <v>-1.2000410972978548E-2</v>
      </c>
    </row>
    <row r="39" spans="1:25" x14ac:dyDescent="0.25">
      <c r="A39" s="64">
        <v>44375</v>
      </c>
      <c r="B39" s="65">
        <v>37.24</v>
      </c>
      <c r="C39" s="66">
        <f>myParidad('Flujo de Fondos'!$B$5,A39,B39,'Flujo de Fondos'!$B$7,'Flujo de Fondos'!$B$6)</f>
        <v>0.37251226396996356</v>
      </c>
      <c r="D39" s="65">
        <v>40.5</v>
      </c>
      <c r="E39" s="67">
        <f>myParidad('Flujo de Fondos'!$H$5,$A39,D39,'Flujo de Fondos'!$H$7,'Flujo de Fondos'!$H$6)</f>
        <v>0.40512209158924606</v>
      </c>
      <c r="F39" s="65">
        <v>34.85</v>
      </c>
      <c r="G39" s="66">
        <f>myParidad('Flujo de Fondos'!$N$5,$A39,F39,'Flujo de Fondos'!$N$7,'Flujo de Fondos'!$N$6)</f>
        <v>0.34851312891924013</v>
      </c>
      <c r="H39" s="68">
        <v>37.53</v>
      </c>
      <c r="I39" s="66">
        <f>myParidad('Flujo de Fondos'!$T$5,$A39,H39,'Flujo de Fondos'!$T$7,'Flujo de Fondos'!$T$6)</f>
        <v>0.37491609618917615</v>
      </c>
      <c r="J39" s="68">
        <v>32</v>
      </c>
      <c r="K39" s="66">
        <f>myParidad('Flujo de Fondos'!$B$34,$A39,J39,'Flujo de Fondos'!$B$36,'Flujo de Fondos'!$B$35)</f>
        <v>0.32001205524865661</v>
      </c>
      <c r="L39" s="65">
        <v>36</v>
      </c>
      <c r="M39" s="66">
        <f>myParidad('Flujo de Fondos'!$H$34,'Paridad usd'!$A39,'Paridad usd'!L39,'Flujo de Fondos'!$H$36,'Flujo de Fondos'!$H$35)</f>
        <v>0.36001356215473873</v>
      </c>
      <c r="N39" s="69">
        <v>34.5</v>
      </c>
      <c r="O39" s="66">
        <f>myParidad('Flujo de Fondos'!$N$34,$A39,N39,'Flujo de Fondos'!$N$36,'Flujo de Fondos'!$N$35)</f>
        <v>0.34501299706495792</v>
      </c>
      <c r="P39" s="70">
        <f t="shared" si="53"/>
        <v>2.399913505072343E-2</v>
      </c>
      <c r="Q39" s="70">
        <f t="shared" si="54"/>
        <v>3.2609827619282494E-2</v>
      </c>
      <c r="R39" s="70">
        <f t="shared" si="55"/>
        <v>1.2498701815224833E-2</v>
      </c>
      <c r="S39" s="67">
        <f t="shared" si="56"/>
        <v>2.7499266905005648E-2</v>
      </c>
      <c r="T39" s="70">
        <f t="shared" si="57"/>
        <v>6.0109094524288142E-2</v>
      </c>
      <c r="U39" s="70">
        <f t="shared" si="58"/>
        <v>3.500131854282218E-3</v>
      </c>
      <c r="V39" s="70">
        <f t="shared" si="50"/>
        <v>2.8501073670583521E-2</v>
      </c>
      <c r="W39" s="70">
        <f t="shared" si="51"/>
        <v>5.2500208721306951E-2</v>
      </c>
      <c r="X39" s="80">
        <f t="shared" si="52"/>
        <v>2.6402967269936017E-2</v>
      </c>
      <c r="Y39" s="90">
        <f t="shared" si="19"/>
        <v>-1.1500433235498597E-2</v>
      </c>
    </row>
    <row r="40" spans="1:25" x14ac:dyDescent="0.25">
      <c r="A40" s="64">
        <v>44372</v>
      </c>
      <c r="B40" s="65">
        <v>37.450000000000003</v>
      </c>
      <c r="C40" s="66">
        <f>myParidad('Flujo de Fondos'!$B$5,A40,B40,'Flujo de Fondos'!$B$7,'Flujo de Fondos'!$B$6)</f>
        <v>0.37464369895302313</v>
      </c>
      <c r="D40" s="65">
        <v>40</v>
      </c>
      <c r="E40" s="67">
        <f>myParidad('Flujo de Fondos'!$H$5,$A40,D40,'Flujo de Fondos'!$H$7,'Flujo de Fondos'!$H$6)</f>
        <v>0.40015348352792851</v>
      </c>
      <c r="F40" s="65">
        <v>34.99</v>
      </c>
      <c r="G40" s="66">
        <f>myParidad('Flujo de Fondos'!$N$5,$A40,F40,'Flujo de Fondos'!$N$7,'Flujo de Fondos'!$N$6)</f>
        <v>0.34991677683176592</v>
      </c>
      <c r="H40" s="68">
        <v>37.51</v>
      </c>
      <c r="I40" s="66">
        <f>myParidad('Flujo de Fondos'!$T$5,$A40,H40,'Flujo de Fondos'!$T$7,'Flujo de Fondos'!$T$6)</f>
        <v>0.37472014670060483</v>
      </c>
      <c r="J40" s="68">
        <v>32.06</v>
      </c>
      <c r="K40" s="66">
        <f>myParidad('Flujo de Fondos'!$B$34,$A40,J40,'Flujo de Fondos'!$B$36,'Flujo de Fondos'!$B$35)</f>
        <v>0.32061537196988898</v>
      </c>
      <c r="L40" s="65">
        <v>36.200000000000003</v>
      </c>
      <c r="M40" s="66">
        <f>myParidad('Flujo de Fondos'!$H$34,'Paridad usd'!$A40,'Paridad usd'!L40,'Flujo de Fondos'!$H$36,'Flujo de Fondos'!$H$35)</f>
        <v>0.36201735699656834</v>
      </c>
      <c r="N40" s="69">
        <v>34.75</v>
      </c>
      <c r="O40" s="66">
        <f>myParidad('Flujo de Fondos'!$N$34,$A40,N40,'Flujo de Fondos'!$N$36,'Flujo de Fondos'!$N$35)</f>
        <v>0.34751666175775553</v>
      </c>
      <c r="P40" s="70">
        <f t="shared" ref="P40" si="59">C40-G40</f>
        <v>2.4726922121257211E-2</v>
      </c>
      <c r="Q40" s="70">
        <f t="shared" ref="Q40:Q71" si="60">E40-C40</f>
        <v>2.5509784574905381E-2</v>
      </c>
      <c r="R40" s="70">
        <f t="shared" ref="R40" si="61">C40-M40</f>
        <v>1.262634195645479E-2</v>
      </c>
      <c r="S40" s="67">
        <f t="shared" ref="S40" si="62">C40-O40</f>
        <v>2.71270371952676E-2</v>
      </c>
      <c r="T40" s="70">
        <f t="shared" ref="T40:T71" si="63">E40-O40</f>
        <v>5.2636821770172981E-2</v>
      </c>
      <c r="U40" s="70">
        <f t="shared" ref="U40" si="64">G40-O40</f>
        <v>2.4001150740103894E-3</v>
      </c>
      <c r="V40" s="70">
        <f t="shared" si="50"/>
        <v>2.9301404861876934E-2</v>
      </c>
      <c r="W40" s="70">
        <f t="shared" si="51"/>
        <v>5.4028326983134145E-2</v>
      </c>
      <c r="X40" s="80">
        <f t="shared" si="52"/>
        <v>2.4803369868838909E-2</v>
      </c>
      <c r="Y40" s="90">
        <f t="shared" si="19"/>
        <v>-1.2100580164802421E-2</v>
      </c>
    </row>
    <row r="41" spans="1:25" x14ac:dyDescent="0.25">
      <c r="A41" s="64">
        <v>44371</v>
      </c>
      <c r="B41" s="65">
        <v>38.159999999999997</v>
      </c>
      <c r="C41" s="66">
        <f>myParidad('Flujo de Fondos'!$B$5,A41,B41,'Flujo de Fondos'!$B$7,'Flujo de Fondos'!$B$6)</f>
        <v>0.38175688639166777</v>
      </c>
      <c r="D41" s="65">
        <v>40.700000000000003</v>
      </c>
      <c r="E41" s="67">
        <f>myParidad('Flujo de Fondos'!$H$5,$A41,D41,'Flujo de Fondos'!$H$7,'Flujo de Fondos'!$H$6)</f>
        <v>0.40716732903933128</v>
      </c>
      <c r="F41" s="65">
        <v>36</v>
      </c>
      <c r="G41" s="66">
        <f>myParidad('Flujo de Fondos'!$N$5,$A41,F41,'Flujo de Fondos'!$N$7,'Flujo de Fondos'!$N$6)</f>
        <v>0.36001849410072434</v>
      </c>
      <c r="H41" s="68">
        <v>38.450000000000003</v>
      </c>
      <c r="I41" s="66">
        <f>myParidad('Flujo de Fondos'!$T$5,$A41,H41,'Flujo de Fondos'!$T$7,'Flujo de Fondos'!$T$6)</f>
        <v>0.38411194170273188</v>
      </c>
      <c r="J41" s="68">
        <v>32.950000000000003</v>
      </c>
      <c r="K41" s="66">
        <f>myParidad('Flujo de Fondos'!$B$34,$A41,J41,'Flujo de Fondos'!$B$36,'Flujo de Fondos'!$B$35)</f>
        <v>0.329516927239413</v>
      </c>
      <c r="L41" s="65">
        <v>37.11</v>
      </c>
      <c r="M41" s="66">
        <f>myParidad('Flujo de Fondos'!$H$34,'Paridad usd'!$A41,'Paridad usd'!L41,'Flujo de Fondos'!$H$36,'Flujo de Fondos'!$H$35)</f>
        <v>0.37111906433549668</v>
      </c>
      <c r="N41" s="69">
        <v>35.75</v>
      </c>
      <c r="O41" s="66">
        <f>myParidad('Flujo de Fondos'!$N$34,$A41,N41,'Flujo de Fondos'!$N$36,'Flujo de Fondos'!$N$35)</f>
        <v>0.35751836566946932</v>
      </c>
      <c r="P41" s="70">
        <f t="shared" ref="P41:P42" si="65">C41-G41</f>
        <v>2.1738392290943431E-2</v>
      </c>
      <c r="Q41" s="70">
        <f t="shared" si="60"/>
        <v>2.5410442647663511E-2</v>
      </c>
      <c r="R41" s="70">
        <f t="shared" ref="R41:R42" si="66">C41-M41</f>
        <v>1.0637822056171087E-2</v>
      </c>
      <c r="S41" s="67">
        <f t="shared" ref="S41:S42" si="67">C41-O41</f>
        <v>2.4238520722198453E-2</v>
      </c>
      <c r="T41" s="70">
        <f t="shared" si="63"/>
        <v>4.9648963369861965E-2</v>
      </c>
      <c r="U41" s="70">
        <f t="shared" ref="U41:U42" si="68">G41-O41</f>
        <v>2.500128431255022E-3</v>
      </c>
      <c r="V41" s="70">
        <f t="shared" si="50"/>
        <v>3.0501566861311336E-2</v>
      </c>
      <c r="W41" s="70">
        <f t="shared" si="51"/>
        <v>5.2239959152254767E-2</v>
      </c>
      <c r="X41" s="80">
        <f t="shared" si="52"/>
        <v>2.4093447602007545E-2</v>
      </c>
      <c r="Y41" s="90">
        <f t="shared" si="19"/>
        <v>-1.1100570234772345E-2</v>
      </c>
    </row>
    <row r="42" spans="1:25" x14ac:dyDescent="0.25">
      <c r="A42" s="64">
        <v>44370</v>
      </c>
      <c r="B42" s="65">
        <v>38.549999999999997</v>
      </c>
      <c r="C42" s="66">
        <f>myParidad('Flujo de Fondos'!$B$5,A42,B42,'Flujo de Fondos'!$B$7,'Flujo de Fondos'!$B$6)</f>
        <v>0.38566906041004273</v>
      </c>
      <c r="D42" s="65">
        <v>41.6</v>
      </c>
      <c r="E42" s="67">
        <f>myParidad('Flujo de Fondos'!$H$5,$A42,D42,'Flujo de Fondos'!$H$7,'Flujo de Fondos'!$H$6)</f>
        <v>0.41618243613638856</v>
      </c>
      <c r="F42" s="65">
        <v>36.54</v>
      </c>
      <c r="G42" s="66">
        <f>myParidad('Flujo de Fondos'!$N$5,$A42,F42,'Flujo de Fondos'!$N$7,'Flujo de Fondos'!$N$6)</f>
        <v>0.36542002301495974</v>
      </c>
      <c r="H42" s="68">
        <v>38.92</v>
      </c>
      <c r="I42" s="66">
        <f>myParidad('Flujo de Fondos'!$T$5,$A42,H42,'Flujo de Fondos'!$T$7,'Flujo de Fondos'!$T$6)</f>
        <v>0.38880852839948821</v>
      </c>
      <c r="J42" s="68">
        <v>33.299999999999997</v>
      </c>
      <c r="K42" s="66">
        <f>myParidad('Flujo de Fondos'!$B$34,$A42,J42,'Flujo de Fondos'!$B$36,'Flujo de Fondos'!$B$35)</f>
        <v>0.33301824757520959</v>
      </c>
      <c r="L42" s="65">
        <v>37.35</v>
      </c>
      <c r="M42" s="66">
        <f>myParidad('Flujo de Fondos'!$H$34,'Paridad usd'!$A42,'Paridad usd'!L42,'Flujo de Fondos'!$H$36,'Flujo de Fondos'!$H$35)</f>
        <v>0.37352046687489726</v>
      </c>
      <c r="N42" s="69">
        <v>36</v>
      </c>
      <c r="O42" s="66">
        <f>myParidad('Flujo de Fondos'!$N$34,$A42,N42,'Flujo de Fondos'!$N$36,'Flujo de Fondos'!$N$35)</f>
        <v>0.36001972710833469</v>
      </c>
      <c r="P42" s="70">
        <f t="shared" si="65"/>
        <v>2.0249037395082992E-2</v>
      </c>
      <c r="Q42" s="70">
        <f t="shared" si="60"/>
        <v>3.0513375726345826E-2</v>
      </c>
      <c r="R42" s="70">
        <f t="shared" si="66"/>
        <v>1.2148593535145469E-2</v>
      </c>
      <c r="S42" s="67">
        <f t="shared" si="67"/>
        <v>2.5649333301708044E-2</v>
      </c>
      <c r="T42" s="70">
        <f t="shared" si="63"/>
        <v>5.616270902805387E-2</v>
      </c>
      <c r="U42" s="70">
        <f t="shared" si="68"/>
        <v>5.4002959066250522E-3</v>
      </c>
      <c r="V42" s="70">
        <f t="shared" si="50"/>
        <v>3.2401775439750147E-2</v>
      </c>
      <c r="W42" s="70">
        <f t="shared" si="51"/>
        <v>5.2650812834833138E-2</v>
      </c>
      <c r="X42" s="80">
        <f t="shared" si="52"/>
        <v>2.3388505384528469E-2</v>
      </c>
      <c r="Y42" s="90">
        <f t="shared" si="19"/>
        <v>-8.1004438599375228E-3</v>
      </c>
    </row>
    <row r="43" spans="1:25" x14ac:dyDescent="0.25">
      <c r="A43" s="64">
        <v>44369</v>
      </c>
      <c r="B43" s="65">
        <v>38.6</v>
      </c>
      <c r="C43" s="66">
        <f>myParidad('Flujo de Fondos'!$B$5,A43,B43,'Flujo de Fondos'!$B$7,'Flujo de Fondos'!$B$6)</f>
        <v>0.38617986459446868</v>
      </c>
      <c r="D43" s="65">
        <v>42.15</v>
      </c>
      <c r="E43" s="67">
        <f>myParidad('Flujo de Fondos'!$H$5,$A43,D43,'Flujo de Fondos'!$H$7,'Flujo de Fondos'!$H$6)</f>
        <v>0.42169640654551432</v>
      </c>
      <c r="F43" s="65">
        <v>36.65</v>
      </c>
      <c r="G43" s="66">
        <f>myParidad('Flujo de Fondos'!$N$5,$A43,F43,'Flujo de Fondos'!$N$7,'Flujo de Fondos'!$N$6)</f>
        <v>0.36652133857108116</v>
      </c>
      <c r="H43" s="68">
        <v>38.75</v>
      </c>
      <c r="I43" s="66">
        <f>myParidad('Flujo de Fondos'!$T$5,$A43,H43,'Flujo de Fondos'!$T$7,'Flujo de Fondos'!$T$6)</f>
        <v>0.38711156271275743</v>
      </c>
      <c r="J43" s="68">
        <v>33.35</v>
      </c>
      <c r="K43" s="66">
        <f>myParidad('Flujo de Fondos'!$B$34,$A43,J43,'Flujo de Fondos'!$B$36,'Flujo de Fondos'!$B$35)</f>
        <v>0.33351941722634537</v>
      </c>
      <c r="L43" s="65">
        <v>37.32</v>
      </c>
      <c r="M43" s="66">
        <f>myParidad('Flujo de Fondos'!$H$34,'Paridad usd'!$A43,'Paridad usd'!L43,'Flujo de Fondos'!$H$36,'Flujo de Fondos'!$H$35)</f>
        <v>0.37322172866228515</v>
      </c>
      <c r="N43" s="69">
        <v>36.200000000000003</v>
      </c>
      <c r="O43" s="66">
        <f>myParidad('Flujo de Fondos'!$N$34,$A43,N43,'Flujo de Fondos'!$N$36,'Flujo de Fondos'!$N$35)</f>
        <v>0.36202107656952631</v>
      </c>
      <c r="P43" s="70">
        <f t="shared" ref="P43:P44" si="69">C43-G43</f>
        <v>1.9658526023387524E-2</v>
      </c>
      <c r="Q43" s="70">
        <f t="shared" si="60"/>
        <v>3.5516541951045644E-2</v>
      </c>
      <c r="R43" s="70">
        <f t="shared" ref="R43:R44" si="70">C43-M43</f>
        <v>1.2958135932183534E-2</v>
      </c>
      <c r="S43" s="67">
        <f t="shared" ref="S43:S44" si="71">C43-O43</f>
        <v>2.4158788024942368E-2</v>
      </c>
      <c r="T43" s="70">
        <f t="shared" si="63"/>
        <v>5.9675329975988012E-2</v>
      </c>
      <c r="U43" s="70">
        <f t="shared" ref="U43:U44" si="72">G43-O43</f>
        <v>4.5002620015548445E-3</v>
      </c>
      <c r="V43" s="70">
        <f t="shared" si="50"/>
        <v>3.3001921344735785E-2</v>
      </c>
      <c r="W43" s="70">
        <f t="shared" si="51"/>
        <v>5.2660447368123309E-2</v>
      </c>
      <c r="X43" s="80">
        <f t="shared" si="52"/>
        <v>2.0590224141676272E-2</v>
      </c>
      <c r="Y43" s="90">
        <f t="shared" si="19"/>
        <v>-6.7003900912039893E-3</v>
      </c>
    </row>
    <row r="44" spans="1:25" x14ac:dyDescent="0.25">
      <c r="A44" s="64">
        <v>44365</v>
      </c>
      <c r="B44" s="65">
        <v>39.21</v>
      </c>
      <c r="C44" s="66">
        <f>myParidad('Flujo de Fondos'!$B$5,A44,B44,'Flujo de Fondos'!$B$7,'Flujo de Fondos'!$B$6)</f>
        <v>0.3923257216480715</v>
      </c>
      <c r="D44" s="65">
        <v>43.2</v>
      </c>
      <c r="E44" s="67">
        <f>myParidad('Flujo de Fondos'!$H$5,$A44,D44,'Flujo de Fondos'!$H$7,'Flujo de Fondos'!$H$6)</f>
        <v>0.43224869102771463</v>
      </c>
      <c r="F44" s="65">
        <v>37.299999999999997</v>
      </c>
      <c r="G44" s="66">
        <f>myParidad('Flujo de Fondos'!$N$5,$A44,F44,'Flujo de Fondos'!$N$7,'Flujo de Fondos'!$N$6)</f>
        <v>0.37302682727182429</v>
      </c>
      <c r="H44" s="68">
        <v>39.71</v>
      </c>
      <c r="I44" s="66">
        <f>myParidad('Flujo de Fondos'!$T$5,$A44,H44,'Flujo de Fondos'!$T$7,'Flujo de Fondos'!$T$6)</f>
        <v>0.39670736839224191</v>
      </c>
      <c r="J44" s="68">
        <v>33.81</v>
      </c>
      <c r="K44" s="66">
        <f>myParidad('Flujo de Fondos'!$B$34,$A44,J44,'Flujo de Fondos'!$B$36,'Flujo de Fondos'!$B$35)</f>
        <v>0.33812431715979574</v>
      </c>
      <c r="L44" s="65">
        <v>37.9</v>
      </c>
      <c r="M44" s="66">
        <f>myParidad('Flujo de Fondos'!$H$34,'Paridad usd'!$A44,'Paridad usd'!L44,'Flujo de Fondos'!$H$36,'Flujo de Fondos'!$H$35)</f>
        <v>0.37902725880970889</v>
      </c>
      <c r="N44" s="69">
        <v>36.9</v>
      </c>
      <c r="O44" s="66">
        <f>myParidad('Flujo de Fondos'!$N$34,$A44,N44,'Flujo de Fondos'!$N$36,'Flujo de Fondos'!$N$35)</f>
        <v>0.36902653957990128</v>
      </c>
      <c r="P44" s="70">
        <f t="shared" si="69"/>
        <v>1.9298894376247211E-2</v>
      </c>
      <c r="Q44" s="70">
        <f t="shared" si="60"/>
        <v>3.9922969379643125E-2</v>
      </c>
      <c r="R44" s="70">
        <f t="shared" si="70"/>
        <v>1.3298462838362612E-2</v>
      </c>
      <c r="S44" s="67">
        <f t="shared" si="71"/>
        <v>2.3299182068170221E-2</v>
      </c>
      <c r="T44" s="70">
        <f t="shared" si="63"/>
        <v>6.3222151447813346E-2</v>
      </c>
      <c r="U44" s="70">
        <f t="shared" si="72"/>
        <v>4.0002876919230101E-3</v>
      </c>
      <c r="V44" s="70">
        <f t="shared" si="50"/>
        <v>3.4902510112028551E-2</v>
      </c>
      <c r="W44" s="70">
        <f t="shared" si="51"/>
        <v>5.4201404488275762E-2</v>
      </c>
      <c r="X44" s="80">
        <f t="shared" si="52"/>
        <v>2.368054112041762E-2</v>
      </c>
      <c r="Y44" s="90">
        <f t="shared" si="19"/>
        <v>-6.0004315378845985E-3</v>
      </c>
    </row>
    <row r="45" spans="1:25" x14ac:dyDescent="0.25">
      <c r="A45" s="64">
        <v>44364</v>
      </c>
      <c r="B45" s="65">
        <v>39.32</v>
      </c>
      <c r="C45" s="66">
        <f>myParidad('Flujo de Fondos'!$B$5,A45,B45,'Flujo de Fondos'!$B$7,'Flujo de Fondos'!$B$6)</f>
        <v>0.3934371401940896</v>
      </c>
      <c r="D45" s="65">
        <v>43.1</v>
      </c>
      <c r="E45" s="67">
        <f>myParidad('Flujo de Fondos'!$H$5,$A45,D45,'Flujo de Fondos'!$H$7,'Flujo de Fondos'!$H$6)</f>
        <v>0.43125993749657326</v>
      </c>
      <c r="F45" s="65">
        <v>37.53</v>
      </c>
      <c r="G45" s="66">
        <f>myParidad('Flujo de Fondos'!$N$5,$A45,F45,'Flujo de Fondos'!$N$7,'Flujo de Fondos'!$N$6)</f>
        <v>0.3753282781579434</v>
      </c>
      <c r="H45" s="68">
        <v>39.68</v>
      </c>
      <c r="I45" s="66">
        <f>myParidad('Flujo de Fondos'!$T$5,$A45,H45,'Flujo de Fondos'!$T$7,'Flujo de Fondos'!$T$6)</f>
        <v>0.39640902123932559</v>
      </c>
      <c r="J45" s="68">
        <v>34.14</v>
      </c>
      <c r="K45" s="66">
        <f>myParidad('Flujo de Fondos'!$B$34,$A45,J45,'Flujo de Fondos'!$B$36,'Flujo de Fondos'!$B$35)</f>
        <v>0.34142572385590697</v>
      </c>
      <c r="L45" s="65">
        <v>37.979999999999997</v>
      </c>
      <c r="M45" s="66">
        <f>myParidad('Flujo de Fondos'!$H$34,'Paridad usd'!$A45,'Paridad usd'!L45,'Flujo de Fondos'!$H$36,'Flujo de Fondos'!$H$35)</f>
        <v>0.37982861722458539</v>
      </c>
      <c r="N45" s="69">
        <v>37</v>
      </c>
      <c r="O45" s="66">
        <f>myParidad('Flujo de Fondos'!$N$34,$A45,N45,'Flujo de Fondos'!$N$36,'Flujo de Fondos'!$N$35)</f>
        <v>0.37002787881278726</v>
      </c>
      <c r="P45" s="70">
        <f t="shared" ref="P45" si="73">C45-G45</f>
        <v>1.81088620361462E-2</v>
      </c>
      <c r="Q45" s="70">
        <f t="shared" si="60"/>
        <v>3.7822797302483668E-2</v>
      </c>
      <c r="R45" s="70">
        <f t="shared" ref="R45" si="74">C45-M45</f>
        <v>1.3608522969504211E-2</v>
      </c>
      <c r="S45" s="67">
        <f t="shared" ref="S45" si="75">C45-O45</f>
        <v>2.3409261381302338E-2</v>
      </c>
      <c r="T45" s="70">
        <f t="shared" si="63"/>
        <v>6.1232058683786006E-2</v>
      </c>
      <c r="U45" s="70">
        <f t="shared" ref="U45" si="76">G45-O45</f>
        <v>5.3003993451561371E-3</v>
      </c>
      <c r="V45" s="70">
        <f t="shared" si="50"/>
        <v>3.3902554302036425E-2</v>
      </c>
      <c r="W45" s="70">
        <f t="shared" si="51"/>
        <v>5.2011416338182626E-2</v>
      </c>
      <c r="X45" s="80">
        <f t="shared" si="52"/>
        <v>2.1080743081382192E-2</v>
      </c>
      <c r="Y45" s="90">
        <f t="shared" si="19"/>
        <v>-4.5003390666419896E-3</v>
      </c>
    </row>
    <row r="46" spans="1:25" x14ac:dyDescent="0.25">
      <c r="A46" s="64">
        <v>44363</v>
      </c>
      <c r="B46" s="65">
        <v>39.49</v>
      </c>
      <c r="C46" s="66">
        <f>myParidad('Flujo de Fondos'!$B$5,A46,B46,'Flujo de Fondos'!$B$7,'Flujo de Fondos'!$B$6)</f>
        <v>0.39514899799873893</v>
      </c>
      <c r="D46" s="65">
        <v>43.5</v>
      </c>
      <c r="E46" s="67">
        <f>myParidad('Flujo de Fondos'!$H$5,$A46,D46,'Flujo de Fondos'!$H$7,'Flujo de Fondos'!$H$6)</f>
        <v>0.43527428242454147</v>
      </c>
      <c r="F46" s="65">
        <v>37.96</v>
      </c>
      <c r="G46" s="66">
        <f>myParidad('Flujo de Fondos'!$N$5,$A46,F46,'Flujo de Fondos'!$N$7,'Flujo de Fondos'!$N$6)</f>
        <v>0.37962990235532251</v>
      </c>
      <c r="H46" s="68">
        <v>40.08</v>
      </c>
      <c r="I46" s="66">
        <f>myParidad('Flujo de Fondos'!$T$5,$A46,H46,'Flujo de Fondos'!$T$7,'Flujo de Fondos'!$T$6)</f>
        <v>0.40040644982500073</v>
      </c>
      <c r="J46" s="68">
        <v>34.44</v>
      </c>
      <c r="K46" s="66">
        <f>myParidad('Flujo de Fondos'!$B$34,$A46,J46,'Flujo de Fondos'!$B$36,'Flujo de Fondos'!$B$35)</f>
        <v>0.34442712953417559</v>
      </c>
      <c r="L46" s="65">
        <v>38.54</v>
      </c>
      <c r="M46" s="66">
        <f>myParidad('Flujo de Fondos'!$H$34,'Paridad usd'!$A46,'Paridad usd'!L46,'Flujo de Fondos'!$H$36,'Flujo de Fondos'!$H$35)</f>
        <v>0.38543035924062513</v>
      </c>
      <c r="N46" s="69">
        <v>37.200000000000003</v>
      </c>
      <c r="O46" s="66">
        <f>myParidad('Flujo de Fondos'!$N$34,$A46,N46,'Flujo de Fondos'!$N$36,'Flujo de Fondos'!$N$35)</f>
        <v>0.37202930367802944</v>
      </c>
      <c r="P46" s="70">
        <f t="shared" ref="P46" si="77">C46-G46</f>
        <v>1.5519095643416414E-2</v>
      </c>
      <c r="Q46" s="70">
        <f t="shared" si="60"/>
        <v>4.0125284425802543E-2</v>
      </c>
      <c r="R46" s="70">
        <f t="shared" ref="R46" si="78">C46-M46</f>
        <v>9.7186387581137956E-3</v>
      </c>
      <c r="S46" s="67">
        <f t="shared" ref="S46" si="79">C46-O46</f>
        <v>2.3119694320709483E-2</v>
      </c>
      <c r="T46" s="70">
        <f t="shared" si="63"/>
        <v>6.3244978746512026E-2</v>
      </c>
      <c r="U46" s="70">
        <f t="shared" ref="U46" si="80">G46-O46</f>
        <v>7.6005986772930689E-3</v>
      </c>
      <c r="V46" s="70">
        <f t="shared" si="50"/>
        <v>3.5202772821146922E-2</v>
      </c>
      <c r="W46" s="70">
        <f t="shared" si="51"/>
        <v>5.0721868464563336E-2</v>
      </c>
      <c r="X46" s="80">
        <f t="shared" si="52"/>
        <v>2.0776547469678219E-2</v>
      </c>
      <c r="Y46" s="90">
        <f t="shared" si="19"/>
        <v>-5.8004568853026184E-3</v>
      </c>
    </row>
    <row r="47" spans="1:25" x14ac:dyDescent="0.25">
      <c r="A47" s="64">
        <v>44362</v>
      </c>
      <c r="B47" s="65">
        <v>39.700000000000003</v>
      </c>
      <c r="C47" s="66">
        <f>myParidad('Flujo de Fondos'!$B$5,A47,B47,'Flujo de Fondos'!$B$7,'Flujo de Fondos'!$B$6)</f>
        <v>0.39726121285228644</v>
      </c>
      <c r="D47" s="65">
        <v>44</v>
      </c>
      <c r="E47" s="67">
        <f>myParidad('Flujo de Fondos'!$H$5,$A47,D47,'Flujo de Fondos'!$H$7,'Flujo de Fondos'!$H$6)</f>
        <v>0.44028950542822676</v>
      </c>
      <c r="F47" s="65">
        <v>38.06</v>
      </c>
      <c r="G47" s="66">
        <f>myParidad('Flujo de Fondos'!$N$5,$A47,F47,'Flujo de Fondos'!$N$7,'Flujo de Fondos'!$N$6)</f>
        <v>0.38063128476313124</v>
      </c>
      <c r="H47" s="68">
        <v>40.33</v>
      </c>
      <c r="I47" s="66">
        <f>myParidad('Flujo de Fondos'!$T$5,$A47,H47,'Flujo de Fondos'!$T$7,'Flujo de Fondos'!$T$6)</f>
        <v>0.40290537350403371</v>
      </c>
      <c r="J47" s="68">
        <v>34.729999999999997</v>
      </c>
      <c r="K47" s="66">
        <f>myParidad('Flujo de Fondos'!$B$34,$A47,J47,'Flujo de Fondos'!$B$36,'Flujo de Fondos'!$B$35)</f>
        <v>0.34732854755185355</v>
      </c>
      <c r="L47" s="65">
        <v>38.25</v>
      </c>
      <c r="M47" s="66">
        <f>myParidad('Flujo de Fondos'!$H$34,'Paridad usd'!$A47,'Paridad usd'!L47,'Flujo de Fondos'!$H$36,'Flujo de Fondos'!$H$35)</f>
        <v>0.38253144094035124</v>
      </c>
      <c r="N47" s="69">
        <v>38.28</v>
      </c>
      <c r="O47" s="66">
        <f>myParidad('Flujo de Fondos'!$N$34,$A47,N47,'Flujo de Fondos'!$N$36,'Flujo de Fondos'!$N$35)</f>
        <v>0.38283146559991232</v>
      </c>
      <c r="P47" s="70">
        <f t="shared" ref="P47:P48" si="81">C47-G47</f>
        <v>1.6629928089155199E-2</v>
      </c>
      <c r="Q47" s="70">
        <f t="shared" si="60"/>
        <v>4.3028292575940319E-2</v>
      </c>
      <c r="R47" s="70">
        <f t="shared" ref="R47:R48" si="82">C47-M47</f>
        <v>1.4729771911935197E-2</v>
      </c>
      <c r="S47" s="67">
        <f t="shared" ref="S47:S48" si="83">C47-O47</f>
        <v>1.4429747252374114E-2</v>
      </c>
      <c r="T47" s="70">
        <f t="shared" si="63"/>
        <v>5.7458039828314433E-2</v>
      </c>
      <c r="U47" s="70">
        <f t="shared" ref="U47:U48" si="84">G47-O47</f>
        <v>-2.2001808367810849E-3</v>
      </c>
      <c r="V47" s="70">
        <f t="shared" si="50"/>
        <v>3.3302737211277689E-2</v>
      </c>
      <c r="W47" s="70">
        <f t="shared" si="51"/>
        <v>4.9932665300432888E-2</v>
      </c>
      <c r="X47" s="80">
        <f t="shared" si="52"/>
        <v>2.2274088740902476E-2</v>
      </c>
      <c r="Y47" s="90">
        <f t="shared" si="19"/>
        <v>-1.9001561772200026E-3</v>
      </c>
    </row>
    <row r="48" spans="1:25" x14ac:dyDescent="0.25">
      <c r="A48" s="64">
        <v>44361</v>
      </c>
      <c r="B48" s="65">
        <v>39.85</v>
      </c>
      <c r="C48" s="66">
        <f>myParidad('Flujo de Fondos'!$B$5,A48,B48,'Flujo de Fondos'!$B$7,'Flujo de Fondos'!$B$6)</f>
        <v>0.3987731322823852</v>
      </c>
      <c r="D48" s="65">
        <v>45.25</v>
      </c>
      <c r="E48" s="67">
        <f>myParidad('Flujo de Fondos'!$H$5,$A48,D48,'Flujo de Fondos'!$H$7,'Flujo de Fondos'!$H$6)</f>
        <v>0.45281014393420149</v>
      </c>
      <c r="F48" s="65">
        <v>38.299999999999997</v>
      </c>
      <c r="G48" s="66">
        <f>myParidad('Flujo de Fondos'!$N$5,$A48,F48,'Flujo de Fondos'!$N$7,'Flujo de Fondos'!$N$6)</f>
        <v>0.38303279390358763</v>
      </c>
      <c r="H48" s="68">
        <v>40.619999999999997</v>
      </c>
      <c r="I48" s="66">
        <f>myParidad('Flujo de Fondos'!$T$5,$A48,H48,'Flujo de Fondos'!$T$7,'Flujo de Fondos'!$T$6)</f>
        <v>0.40580392425201428</v>
      </c>
      <c r="J48" s="68">
        <v>35.090000000000003</v>
      </c>
      <c r="K48" s="66">
        <f>myParidad('Flujo de Fondos'!$B$34,$A48,J48,'Flujo de Fondos'!$B$36,'Flujo de Fondos'!$B$35)</f>
        <v>0.35093004538059769</v>
      </c>
      <c r="L48" s="65">
        <v>38.700000000000003</v>
      </c>
      <c r="M48" s="66">
        <f>myParidad('Flujo de Fondos'!$H$34,'Paridad usd'!$A48,'Paridad usd'!L48,'Flujo de Fondos'!$H$36,'Flujo de Fondos'!$H$35)</f>
        <v>0.38703313639866432</v>
      </c>
      <c r="N48" s="69">
        <v>38</v>
      </c>
      <c r="O48" s="66">
        <f>myParidad('Flujo de Fondos'!$N$34,$A48,N48,'Flujo de Fondos'!$N$36,'Flujo de Fondos'!$N$35)</f>
        <v>0.38003253703228018</v>
      </c>
      <c r="P48" s="70">
        <f t="shared" si="81"/>
        <v>1.5740338378797569E-2</v>
      </c>
      <c r="Q48" s="70">
        <f t="shared" si="60"/>
        <v>5.4037011651816291E-2</v>
      </c>
      <c r="R48" s="70">
        <f t="shared" si="82"/>
        <v>1.1739995883720877E-2</v>
      </c>
      <c r="S48" s="67">
        <f t="shared" si="83"/>
        <v>1.8740595250105019E-2</v>
      </c>
      <c r="T48" s="70">
        <f t="shared" si="63"/>
        <v>7.277760690192131E-2</v>
      </c>
      <c r="U48" s="70">
        <f t="shared" si="84"/>
        <v>3.0002568713074496E-3</v>
      </c>
      <c r="V48" s="70">
        <f t="shared" si="50"/>
        <v>3.2102748522989943E-2</v>
      </c>
      <c r="W48" s="70">
        <f t="shared" si="51"/>
        <v>4.7843086901787513E-2</v>
      </c>
      <c r="X48" s="80">
        <f t="shared" si="52"/>
        <v>2.2771130348426649E-2</v>
      </c>
      <c r="Y48" s="90">
        <f t="shared" si="19"/>
        <v>-4.0003424950766919E-3</v>
      </c>
    </row>
    <row r="49" spans="1:25" x14ac:dyDescent="0.25">
      <c r="A49" s="64">
        <v>44358</v>
      </c>
      <c r="B49" s="65">
        <v>39.9</v>
      </c>
      <c r="C49" s="66">
        <f>myParidad('Flujo de Fondos'!$B$5,A49,B49,'Flujo de Fondos'!$B$7,'Flujo de Fondos'!$B$6)</f>
        <v>0.39930631717481901</v>
      </c>
      <c r="D49" s="65">
        <v>44.9</v>
      </c>
      <c r="E49" s="67">
        <f>myParidad('Flujo de Fondos'!$H$5,$A49,D49,'Flujo de Fondos'!$H$7,'Flujo de Fondos'!$H$6)</f>
        <v>0.4493447027856986</v>
      </c>
      <c r="F49" s="65">
        <v>38.299999999999997</v>
      </c>
      <c r="G49" s="66">
        <f>myParidad('Flujo de Fondos'!$N$5,$A49,F49,'Flujo de Fondos'!$N$7,'Flujo de Fondos'!$N$6)</f>
        <v>0.38303672954940882</v>
      </c>
      <c r="H49" s="68">
        <v>40.6</v>
      </c>
      <c r="I49" s="66">
        <f>myParidad('Flujo de Fondos'!$T$5,$A49,H49,'Flujo de Fondos'!$T$7,'Flujo de Fondos'!$T$6)</f>
        <v>0.40560828241219099</v>
      </c>
      <c r="J49" s="68">
        <v>35.15</v>
      </c>
      <c r="K49" s="66">
        <f>myParidad('Flujo de Fondos'!$B$34,$A49,J49,'Flujo de Fondos'!$B$36,'Flujo de Fondos'!$B$35)</f>
        <v>0.35153370871179429</v>
      </c>
      <c r="L49" s="65">
        <v>38.659999999999997</v>
      </c>
      <c r="M49" s="66">
        <f>myParidad('Flujo de Fondos'!$H$34,'Paridad usd'!$A49,'Paridad usd'!L49,'Flujo de Fondos'!$H$36,'Flujo de Fondos'!$H$35)</f>
        <v>0.38663707478799336</v>
      </c>
      <c r="N49" s="69">
        <v>37.700000000000003</v>
      </c>
      <c r="O49" s="66">
        <f>myParidad('Flujo de Fondos'!$N$34,$A49,N49,'Flujo de Fondos'!$N$36,'Flujo de Fondos'!$N$35)</f>
        <v>0.377036154151768</v>
      </c>
      <c r="P49" s="70">
        <f t="shared" ref="P49:P53" si="85">C49-G49</f>
        <v>1.6269587625410198E-2</v>
      </c>
      <c r="Q49" s="70">
        <f t="shared" si="60"/>
        <v>5.0038385610879588E-2</v>
      </c>
      <c r="R49" s="70">
        <f t="shared" ref="R49:R53" si="86">C49-M49</f>
        <v>1.2669242386825652E-2</v>
      </c>
      <c r="S49" s="67">
        <f t="shared" ref="S49:S53" si="87">C49-O49</f>
        <v>2.2270163023051015E-2</v>
      </c>
      <c r="T49" s="70">
        <f t="shared" si="63"/>
        <v>7.2308548633930603E-2</v>
      </c>
      <c r="U49" s="70">
        <f t="shared" ref="U49:U53" si="88">G49-O49</f>
        <v>6.0005753976408172E-3</v>
      </c>
      <c r="V49" s="70">
        <f t="shared" si="50"/>
        <v>3.1503020837614526E-2</v>
      </c>
      <c r="W49" s="70">
        <f t="shared" si="51"/>
        <v>4.7772608463024724E-2</v>
      </c>
      <c r="X49" s="80">
        <f t="shared" si="52"/>
        <v>2.2571552862782174E-2</v>
      </c>
      <c r="Y49" s="90">
        <f t="shared" si="19"/>
        <v>-3.6003452385845458E-3</v>
      </c>
    </row>
    <row r="50" spans="1:25" x14ac:dyDescent="0.25">
      <c r="A50" s="64">
        <v>44357</v>
      </c>
      <c r="B50" s="65">
        <v>39.5</v>
      </c>
      <c r="C50" s="66">
        <f>myParidad('Flujo de Fondos'!$B$5,A50,B50,'Flujo de Fondos'!$B$7,'Flujo de Fondos'!$B$6)</f>
        <v>0.3953140851635546</v>
      </c>
      <c r="D50" s="65">
        <v>44</v>
      </c>
      <c r="E50" s="67">
        <f>myParidad('Flujo de Fondos'!$H$5,$A50,D50,'Flujo de Fondos'!$H$7,'Flujo de Fondos'!$H$6)</f>
        <v>0.44034986701763046</v>
      </c>
      <c r="F50" s="65">
        <v>37.97</v>
      </c>
      <c r="G50" s="66">
        <f>myParidad('Flujo de Fondos'!$N$5,$A50,F50,'Flujo de Fondos'!$N$7,'Flujo de Fondos'!$N$6)</f>
        <v>0.37973771367704323</v>
      </c>
      <c r="H50" s="68">
        <v>40.46</v>
      </c>
      <c r="I50" s="66">
        <f>myParidad('Flujo de Fondos'!$T$5,$A50,H50,'Flujo de Fondos'!$T$7,'Flujo de Fondos'!$T$6)</f>
        <v>0.40421101611120808</v>
      </c>
      <c r="J50" s="68">
        <v>35.049999999999997</v>
      </c>
      <c r="K50" s="66">
        <f>myParidad('Flujo de Fondos'!$B$34,$A50,J50,'Flujo de Fondos'!$B$36,'Flujo de Fondos'!$B$35)</f>
        <v>0.35053481338900094</v>
      </c>
      <c r="L50" s="65">
        <v>38.33</v>
      </c>
      <c r="M50" s="66">
        <f>myParidad('Flujo de Fondos'!$H$34,'Paridad usd'!$A50,'Paridad usd'!L50,'Flujo de Fondos'!$H$36,'Flujo de Fondos'!$H$35)</f>
        <v>0.38333807124680191</v>
      </c>
      <c r="N50" s="69">
        <v>37</v>
      </c>
      <c r="O50" s="66">
        <f>myParidad('Flujo de Fondos'!$N$34,$A50,N50,'Flujo de Fondos'!$N$36,'Flujo de Fondos'!$N$35)</f>
        <v>0.37003675022519361</v>
      </c>
      <c r="P50" s="70">
        <f t="shared" si="85"/>
        <v>1.5576371486511364E-2</v>
      </c>
      <c r="Q50" s="70">
        <f t="shared" si="60"/>
        <v>4.5035781854075863E-2</v>
      </c>
      <c r="R50" s="70">
        <f t="shared" si="86"/>
        <v>1.1976013916752681E-2</v>
      </c>
      <c r="S50" s="67">
        <f t="shared" si="87"/>
        <v>2.5277334938360985E-2</v>
      </c>
      <c r="T50" s="70">
        <f t="shared" si="63"/>
        <v>7.0313116792436847E-2</v>
      </c>
      <c r="U50" s="70">
        <f t="shared" si="88"/>
        <v>9.7009634518496202E-3</v>
      </c>
      <c r="V50" s="70">
        <f t="shared" si="50"/>
        <v>2.9202900288042288E-2</v>
      </c>
      <c r="W50" s="70">
        <f t="shared" si="51"/>
        <v>4.4779271774553653E-2</v>
      </c>
      <c r="X50" s="80">
        <f t="shared" si="52"/>
        <v>2.4473302434164845E-2</v>
      </c>
      <c r="Y50" s="90">
        <f t="shared" si="19"/>
        <v>-3.6003575697586832E-3</v>
      </c>
    </row>
    <row r="51" spans="1:25" x14ac:dyDescent="0.25">
      <c r="A51" s="64">
        <v>44356</v>
      </c>
      <c r="B51" s="65">
        <v>39.299999999999997</v>
      </c>
      <c r="C51" s="66">
        <f>myParidad('Flujo de Fondos'!$B$5,A51,B51,'Flujo de Fondos'!$B$7,'Flujo de Fondos'!$B$6)</f>
        <v>0.39332327940773237</v>
      </c>
      <c r="D51" s="65">
        <v>44</v>
      </c>
      <c r="E51" s="67">
        <f>myParidad('Flujo de Fondos'!$H$5,$A51,D51,'Flujo de Fondos'!$H$7,'Flujo de Fondos'!$H$6)</f>
        <v>0.4403619413216342</v>
      </c>
      <c r="F51" s="65">
        <v>37.65</v>
      </c>
      <c r="G51" s="66">
        <f>myParidad('Flujo de Fondos'!$N$5,$A51,F51,'Flujo de Fondos'!$N$7,'Flujo de Fondos'!$N$6)</f>
        <v>0.37653868548138508</v>
      </c>
      <c r="H51" s="68">
        <v>40.47</v>
      </c>
      <c r="I51" s="66">
        <f>myParidad('Flujo de Fondos'!$T$5,$A51,H51,'Flujo de Fondos'!$T$7,'Flujo de Fondos'!$T$6)</f>
        <v>0.40431230327083617</v>
      </c>
      <c r="J51" s="68">
        <v>34.74</v>
      </c>
      <c r="K51" s="66">
        <f>myParidad('Flujo de Fondos'!$B$34,$A51,J51,'Flujo de Fondos'!$B$36,'Flujo de Fondos'!$B$35)</f>
        <v>0.3474356954481625</v>
      </c>
      <c r="L51" s="65">
        <v>38.15</v>
      </c>
      <c r="M51" s="66">
        <f>myParidad('Flujo de Fondos'!$H$34,'Paridad usd'!$A51,'Paridad usd'!L51,'Flujo de Fondos'!$H$36,'Flujo de Fondos'!$H$35)</f>
        <v>0.38153919923279789</v>
      </c>
      <c r="N51" s="69">
        <v>36.4</v>
      </c>
      <c r="O51" s="66">
        <f>myParidad('Flujo de Fondos'!$N$34,$A51,N51,'Flujo de Fondos'!$N$36,'Flujo de Fondos'!$N$35)</f>
        <v>0.36403740110285304</v>
      </c>
      <c r="P51" s="70">
        <f t="shared" si="85"/>
        <v>1.6784593926347291E-2</v>
      </c>
      <c r="Q51" s="70">
        <f t="shared" si="60"/>
        <v>4.7038661913901825E-2</v>
      </c>
      <c r="R51" s="70">
        <f t="shared" si="86"/>
        <v>1.1784080174934486E-2</v>
      </c>
      <c r="S51" s="67">
        <f t="shared" si="87"/>
        <v>2.9285878304879331E-2</v>
      </c>
      <c r="T51" s="70">
        <f t="shared" si="63"/>
        <v>7.6324540218781156E-2</v>
      </c>
      <c r="U51" s="70">
        <f t="shared" si="88"/>
        <v>1.250128437853204E-2</v>
      </c>
      <c r="V51" s="70">
        <f t="shared" si="50"/>
        <v>2.9102990033222587E-2</v>
      </c>
      <c r="W51" s="70">
        <f t="shared" si="51"/>
        <v>4.5887583959569878E-2</v>
      </c>
      <c r="X51" s="80">
        <f t="shared" si="52"/>
        <v>2.7773617789451088E-2</v>
      </c>
      <c r="Y51" s="90">
        <f t="shared" si="19"/>
        <v>-5.0005137514128051E-3</v>
      </c>
    </row>
    <row r="52" spans="1:25" x14ac:dyDescent="0.25">
      <c r="A52" s="64">
        <v>44355</v>
      </c>
      <c r="B52" s="65">
        <v>38.75</v>
      </c>
      <c r="C52" s="66">
        <f>myParidad('Flujo de Fondos'!$B$5,A52,B52,'Flujo de Fondos'!$B$7,'Flujo de Fondos'!$B$6)</f>
        <v>0.38782938934437466</v>
      </c>
      <c r="D52" s="65">
        <v>42.5</v>
      </c>
      <c r="E52" s="67">
        <f>myParidad('Flujo de Fondos'!$H$5,$A52,D52,'Flujo de Fondos'!$H$7,'Flujo de Fondos'!$H$6)</f>
        <v>0.42536126573253996</v>
      </c>
      <c r="F52" s="65">
        <v>37.020000000000003</v>
      </c>
      <c r="G52" s="66">
        <f>myParidad('Flujo de Fondos'!$N$5,$A52,F52,'Flujo de Fondos'!$N$7,'Flujo de Fondos'!$N$6)</f>
        <v>0.370239306227716</v>
      </c>
      <c r="H52" s="68">
        <v>39.96</v>
      </c>
      <c r="I52" s="66">
        <f>myParidad('Flujo de Fondos'!$T$5,$A52,H52,'Flujo de Fondos'!$T$7,'Flujo de Fondos'!$T$6)</f>
        <v>0.39921855487393892</v>
      </c>
      <c r="J52" s="68">
        <v>34.090000000000003</v>
      </c>
      <c r="K52" s="66">
        <f>myParidad('Flujo de Fondos'!$B$34,$A52,J52,'Flujo de Fondos'!$B$36,'Flujo de Fondos'!$B$35)</f>
        <v>0.34093619528100588</v>
      </c>
      <c r="L52" s="65">
        <v>37.549999999999997</v>
      </c>
      <c r="M52" s="66">
        <f>myParidad('Flujo de Fondos'!$H$34,'Paridad usd'!$A52,'Paridad usd'!L52,'Flujo de Fondos'!$H$36,'Flujo de Fondos'!$H$35)</f>
        <v>0.37553986895869079</v>
      </c>
      <c r="N52" s="69">
        <v>35.9</v>
      </c>
      <c r="O52" s="66">
        <f>myParidad('Flujo de Fondos'!$N$34,$A52,N52,'Flujo de Fondos'!$N$36,'Flujo de Fondos'!$N$35)</f>
        <v>0.35903811706037281</v>
      </c>
      <c r="P52" s="70">
        <f t="shared" si="85"/>
        <v>1.7590083116658661E-2</v>
      </c>
      <c r="Q52" s="70">
        <f t="shared" si="60"/>
        <v>3.7531876388165297E-2</v>
      </c>
      <c r="R52" s="70">
        <f t="shared" si="86"/>
        <v>1.2289520385683872E-2</v>
      </c>
      <c r="S52" s="67">
        <f t="shared" si="87"/>
        <v>2.8791272284001856E-2</v>
      </c>
      <c r="T52" s="70">
        <f t="shared" si="63"/>
        <v>6.6323148672167154E-2</v>
      </c>
      <c r="U52" s="70">
        <f t="shared" si="88"/>
        <v>1.1201189167343195E-2</v>
      </c>
      <c r="V52" s="70">
        <f t="shared" si="50"/>
        <v>2.930311094671012E-2</v>
      </c>
      <c r="W52" s="70">
        <f t="shared" si="51"/>
        <v>4.6893194063368782E-2</v>
      </c>
      <c r="X52" s="80">
        <f t="shared" si="52"/>
        <v>2.8979248646222922E-2</v>
      </c>
      <c r="Y52" s="90">
        <f t="shared" si="19"/>
        <v>-5.3005627309747894E-3</v>
      </c>
    </row>
    <row r="53" spans="1:25" x14ac:dyDescent="0.25">
      <c r="A53" s="64">
        <v>44354</v>
      </c>
      <c r="B53" s="65">
        <v>38.17</v>
      </c>
      <c r="C53" s="66">
        <f>myParidad('Flujo de Fondos'!$B$5,A53,B53,'Flujo de Fondos'!$B$7,'Flujo de Fondos'!$B$6)</f>
        <v>0.38203493473730393</v>
      </c>
      <c r="D53" s="65">
        <v>42.35</v>
      </c>
      <c r="E53" s="67">
        <f>myParidad('Flujo de Fondos'!$H$5,$A53,D53,'Flujo de Fondos'!$H$7,'Flujo de Fondos'!$H$6)</f>
        <v>0.42387161346934299</v>
      </c>
      <c r="F53" s="65">
        <v>36.5</v>
      </c>
      <c r="G53" s="66">
        <f>myParidad('Flujo de Fondos'!$N$5,$A53,F53,'Flujo de Fondos'!$N$7,'Flujo de Fondos'!$N$6)</f>
        <v>0.3650400043840421</v>
      </c>
      <c r="H53" s="68">
        <v>39.53</v>
      </c>
      <c r="I53" s="66">
        <f>myParidad('Flujo de Fondos'!$T$5,$A53,H53,'Flujo de Fondos'!$T$7,'Flujo de Fondos'!$T$6)</f>
        <v>0.39492401070213978</v>
      </c>
      <c r="J53" s="68">
        <v>33.799999999999997</v>
      </c>
      <c r="K53" s="66">
        <f>myParidad('Flujo de Fondos'!$B$34,$A53,J53,'Flujo de Fondos'!$B$36,'Flujo de Fondos'!$B$35)</f>
        <v>0.33803704515563349</v>
      </c>
      <c r="L53" s="65">
        <v>37.299999999999997</v>
      </c>
      <c r="M53" s="66">
        <f>myParidad('Flujo de Fondos'!$H$34,'Paridad usd'!$A53,'Paridad usd'!L53,'Flujo de Fondos'!$H$36,'Flujo de Fondos'!$H$35)</f>
        <v>0.37304088119245943</v>
      </c>
      <c r="N53" s="69">
        <v>35.35</v>
      </c>
      <c r="O53" s="66">
        <f>myParidad('Flujo de Fondos'!$N$34,$A53,N53,'Flujo de Fondos'!$N$36,'Flujo de Fondos'!$N$35)</f>
        <v>0.35353874397194213</v>
      </c>
      <c r="P53" s="70">
        <f t="shared" si="85"/>
        <v>1.6994930353261828E-2</v>
      </c>
      <c r="Q53" s="70">
        <f t="shared" si="60"/>
        <v>4.1836678732039057E-2</v>
      </c>
      <c r="R53" s="70">
        <f t="shared" si="86"/>
        <v>8.9940535448445047E-3</v>
      </c>
      <c r="S53" s="67">
        <f t="shared" si="87"/>
        <v>2.8496190765361806E-2</v>
      </c>
      <c r="T53" s="70">
        <f t="shared" si="63"/>
        <v>7.0332869497400863E-2</v>
      </c>
      <c r="U53" s="70">
        <f t="shared" si="88"/>
        <v>1.1501260412099978E-2</v>
      </c>
      <c r="V53" s="70">
        <f t="shared" si="50"/>
        <v>2.7002959228408618E-2</v>
      </c>
      <c r="W53" s="70">
        <f t="shared" si="51"/>
        <v>4.3997889581670446E-2</v>
      </c>
      <c r="X53" s="80">
        <f t="shared" si="52"/>
        <v>2.9884006318097678E-2</v>
      </c>
      <c r="Y53" s="90">
        <f t="shared" si="19"/>
        <v>-8.0008768084173232E-3</v>
      </c>
    </row>
    <row r="54" spans="1:25" x14ac:dyDescent="0.25">
      <c r="A54" s="64">
        <v>44351</v>
      </c>
      <c r="B54" s="65">
        <v>38.049999999999997</v>
      </c>
      <c r="C54" s="66">
        <f>myParidad('Flujo de Fondos'!$B$5,A54,B54,'Flujo de Fondos'!$B$7,'Flujo de Fondos'!$B$6)</f>
        <v>0.38086521321815436</v>
      </c>
      <c r="D54" s="65">
        <v>41.73</v>
      </c>
      <c r="E54" s="67">
        <f>myParidad('Flujo de Fondos'!$H$5,$A54,D54,'Flujo de Fondos'!$H$7,'Flujo de Fondos'!$H$6)</f>
        <v>0.41770053475935826</v>
      </c>
      <c r="F54" s="65">
        <v>35.85</v>
      </c>
      <c r="G54" s="66">
        <f>myParidad('Flujo de Fondos'!$N$5,$A54,F54,'Flujo de Fondos'!$N$7,'Flujo de Fondos'!$N$6)</f>
        <v>0.35854297604164886</v>
      </c>
      <c r="H54" s="68">
        <v>39.119999999999997</v>
      </c>
      <c r="I54" s="66">
        <f>myParidad('Flujo de Fondos'!$T$5,$A54,H54,'Flujo de Fondos'!$T$7,'Flujo de Fondos'!$T$6)</f>
        <v>0.39083192199127531</v>
      </c>
      <c r="J54" s="68">
        <v>33.54</v>
      </c>
      <c r="K54" s="66">
        <f>myParidad('Flujo de Fondos'!$B$34,$A54,J54,'Flujo de Fondos'!$B$36,'Flujo de Fondos'!$B$35)</f>
        <v>0.33544020687411163</v>
      </c>
      <c r="L54" s="65">
        <v>37.01</v>
      </c>
      <c r="M54" s="66">
        <f>myParidad('Flujo de Fondos'!$H$34,'Paridad usd'!$A54,'Paridad usd'!L54,'Flujo de Fondos'!$H$36,'Flujo de Fondos'!$H$35)</f>
        <v>0.37014436661928651</v>
      </c>
      <c r="N54" s="69">
        <v>34.61</v>
      </c>
      <c r="O54" s="66">
        <f>myParidad('Flujo de Fondos'!$N$34,$A54,N54,'Flujo de Fondos'!$N$36,'Flujo de Fondos'!$N$35)</f>
        <v>0.34614148956210505</v>
      </c>
      <c r="P54" s="70">
        <f t="shared" ref="P54:P57" si="89">C54-G54</f>
        <v>2.2322237176505499E-2</v>
      </c>
      <c r="Q54" s="70">
        <f t="shared" si="60"/>
        <v>3.6835321541203891E-2</v>
      </c>
      <c r="R54" s="70">
        <f t="shared" ref="R54:R85" si="90">C54-M54</f>
        <v>1.072084659886785E-2</v>
      </c>
      <c r="S54" s="67">
        <f t="shared" ref="S54:S85" si="91">C54-O54</f>
        <v>3.472372365604931E-2</v>
      </c>
      <c r="T54" s="70">
        <f t="shared" si="63"/>
        <v>7.1559045197253202E-2</v>
      </c>
      <c r="U54" s="70">
        <f t="shared" ref="U54:U85" si="92">G54-O54</f>
        <v>1.2401486479543811E-2</v>
      </c>
      <c r="V54" s="70">
        <f t="shared" si="50"/>
        <v>2.3102769167537229E-2</v>
      </c>
      <c r="W54" s="70">
        <f t="shared" si="51"/>
        <v>4.5425006344042729E-2</v>
      </c>
      <c r="X54" s="80">
        <f t="shared" si="52"/>
        <v>3.2288945949626446E-2</v>
      </c>
      <c r="Y54" s="90">
        <f t="shared" si="19"/>
        <v>-1.1601390577637649E-2</v>
      </c>
    </row>
    <row r="55" spans="1:25" x14ac:dyDescent="0.25">
      <c r="A55" s="64">
        <v>44350</v>
      </c>
      <c r="B55" s="65">
        <v>38.200000000000003</v>
      </c>
      <c r="C55" s="66">
        <f>myParidad('Flujo de Fondos'!$B$5,A55,B55,'Flujo de Fondos'!$B$7,'Flujo de Fondos'!$B$6)</f>
        <v>0.38237713909609483</v>
      </c>
      <c r="D55" s="65">
        <v>41.8</v>
      </c>
      <c r="E55" s="67">
        <f>myParidad('Flujo de Fondos'!$H$5,$A55,D55,'Flujo de Fondos'!$H$7,'Flujo de Fondos'!$H$6)</f>
        <v>0.41841268100043877</v>
      </c>
      <c r="F55" s="65">
        <v>36.049999999999997</v>
      </c>
      <c r="G55" s="66">
        <f>myParidad('Flujo de Fondos'!$N$5,$A55,F55,'Flujo de Fondos'!$N$7,'Flujo de Fondos'!$N$6)</f>
        <v>0.36054445068570096</v>
      </c>
      <c r="H55" s="68">
        <v>38.86</v>
      </c>
      <c r="I55" s="66">
        <f>myParidad('Flujo de Fondos'!$T$5,$A55,H55,'Flujo de Fondos'!$T$7,'Flujo de Fondos'!$T$6)</f>
        <v>0.38823569664082336</v>
      </c>
      <c r="J55" s="68">
        <v>33.270000000000003</v>
      </c>
      <c r="K55" s="66">
        <f>myParidad('Flujo de Fondos'!$B$34,$A55,J55,'Flujo de Fondos'!$B$36,'Flujo de Fondos'!$B$35)</f>
        <v>0.33274102286583279</v>
      </c>
      <c r="L55" s="65">
        <v>36.96</v>
      </c>
      <c r="M55" s="66">
        <f>myParidad('Flujo de Fondos'!$H$34,'Paridad usd'!$A55,'Paridad usd'!L55,'Flujo de Fondos'!$H$36,'Flujo de Fondos'!$H$35)</f>
        <v>0.3696455727418449</v>
      </c>
      <c r="N55" s="69">
        <v>34.5</v>
      </c>
      <c r="O55" s="66">
        <f>myParidad('Flujo de Fondos'!$N$34,$A55,N55,'Flujo de Fondos'!$N$36,'Flujo de Fondos'!$N$35)</f>
        <v>0.34504253949117014</v>
      </c>
      <c r="P55" s="70">
        <f t="shared" si="89"/>
        <v>2.1832688410393875E-2</v>
      </c>
      <c r="Q55" s="70">
        <f t="shared" si="60"/>
        <v>3.6035541904343937E-2</v>
      </c>
      <c r="R55" s="70">
        <f t="shared" si="90"/>
        <v>1.2731566354249935E-2</v>
      </c>
      <c r="S55" s="67">
        <f t="shared" si="91"/>
        <v>3.733459960492469E-2</v>
      </c>
      <c r="T55" s="70">
        <f t="shared" si="63"/>
        <v>7.3370141509268627E-2</v>
      </c>
      <c r="U55" s="70">
        <f t="shared" si="92"/>
        <v>1.5501911194530815E-2</v>
      </c>
      <c r="V55" s="70">
        <f t="shared" si="50"/>
        <v>2.7803427819868165E-2</v>
      </c>
      <c r="W55" s="70">
        <f t="shared" si="51"/>
        <v>4.963611623026204E-2</v>
      </c>
      <c r="X55" s="80">
        <f t="shared" si="52"/>
        <v>2.7691245955122401E-2</v>
      </c>
      <c r="Y55" s="90">
        <f t="shared" si="19"/>
        <v>-9.1011220561439399E-3</v>
      </c>
    </row>
    <row r="56" spans="1:25" x14ac:dyDescent="0.25">
      <c r="A56" s="64">
        <v>44349</v>
      </c>
      <c r="B56" s="65">
        <v>38.35</v>
      </c>
      <c r="C56" s="66">
        <f>myParidad('Flujo de Fondos'!$B$5,A56,B56,'Flujo de Fondos'!$B$7,'Flujo de Fondos'!$B$6)</f>
        <v>0.3838891479033541</v>
      </c>
      <c r="D56" s="65">
        <v>41.9</v>
      </c>
      <c r="E56" s="67">
        <f>myParidad('Flujo de Fondos'!$H$5,$A56,D56,'Flujo de Fondos'!$H$7,'Flujo de Fondos'!$H$6)</f>
        <v>0.41942517072100483</v>
      </c>
      <c r="F56" s="65">
        <v>36.299999999999997</v>
      </c>
      <c r="G56" s="66">
        <f>myParidad('Flujo de Fondos'!$N$5,$A56,F56,'Flujo de Fondos'!$N$7,'Flujo de Fondos'!$N$6)</f>
        <v>0.3630460024044142</v>
      </c>
      <c r="H56" s="68">
        <v>39.51</v>
      </c>
      <c r="I56" s="66">
        <f>myParidad('Flujo de Fondos'!$T$5,$A56,H56,'Flujo de Fondos'!$T$7,'Flujo de Fondos'!$T$6)</f>
        <v>0.39473095359475557</v>
      </c>
      <c r="J56" s="68">
        <v>34.200000000000003</v>
      </c>
      <c r="K56" s="66">
        <f>myParidad('Flujo de Fondos'!$B$34,$A56,J56,'Flujo de Fondos'!$B$36,'Flujo de Fondos'!$B$35)</f>
        <v>0.34204334110829115</v>
      </c>
      <c r="L56" s="65">
        <v>37.6</v>
      </c>
      <c r="M56" s="66">
        <f>myParidad('Flujo de Fondos'!$H$34,'Paridad usd'!$A56,'Paridad usd'!L56,'Flujo de Fondos'!$H$36,'Flujo de Fondos'!$H$35)</f>
        <v>0.37604764987344286</v>
      </c>
      <c r="N56" s="69">
        <v>35.36</v>
      </c>
      <c r="O56" s="66">
        <f>myParidad('Flujo de Fondos'!$N$34,$A56,N56,'Flujo de Fondos'!$N$36,'Flujo de Fondos'!$N$35)</f>
        <v>0.35364481115757818</v>
      </c>
      <c r="P56" s="70">
        <f t="shared" si="89"/>
        <v>2.0843145498939897E-2</v>
      </c>
      <c r="Q56" s="70">
        <f t="shared" si="60"/>
        <v>3.5536022817650725E-2</v>
      </c>
      <c r="R56" s="70">
        <f t="shared" si="90"/>
        <v>7.8414980299112425E-3</v>
      </c>
      <c r="S56" s="67">
        <f t="shared" si="91"/>
        <v>3.0244336745775924E-2</v>
      </c>
      <c r="T56" s="70">
        <f t="shared" si="63"/>
        <v>6.5780359563426649E-2</v>
      </c>
      <c r="U56" s="70">
        <f t="shared" si="92"/>
        <v>9.401191246836027E-3</v>
      </c>
      <c r="V56" s="70">
        <f t="shared" si="50"/>
        <v>2.1002661296123049E-2</v>
      </c>
      <c r="W56" s="70">
        <f t="shared" si="51"/>
        <v>4.1845806795062945E-2</v>
      </c>
      <c r="X56" s="80">
        <f t="shared" si="52"/>
        <v>3.1684951190341371E-2</v>
      </c>
      <c r="Y56" s="90">
        <f t="shared" si="19"/>
        <v>-1.3001647469028654E-2</v>
      </c>
    </row>
    <row r="57" spans="1:25" x14ac:dyDescent="0.25">
      <c r="A57" s="64">
        <v>44348</v>
      </c>
      <c r="B57" s="65">
        <v>37.85</v>
      </c>
      <c r="C57" s="66">
        <f>myParidad('Flujo de Fondos'!$B$5,A57,B57,'Flujo de Fondos'!$B$7,'Flujo de Fondos'!$B$6)</f>
        <v>0.37889446547090122</v>
      </c>
      <c r="D57" s="65">
        <v>40.799999999999997</v>
      </c>
      <c r="E57" s="67">
        <f>myParidad('Flujo de Fondos'!$H$5,$A57,D57,'Flujo de Fondos'!$H$7,'Flujo de Fondos'!$H$6)</f>
        <v>0.40842520980747077</v>
      </c>
      <c r="F57" s="65">
        <v>35.6</v>
      </c>
      <c r="G57" s="66">
        <f>myParidad('Flujo de Fondos'!$N$5,$A57,F57,'Flujo de Fondos'!$N$7,'Flujo de Fondos'!$N$6)</f>
        <v>0.35604633479699416</v>
      </c>
      <c r="H57" s="68">
        <v>38.799999999999997</v>
      </c>
      <c r="I57" s="66">
        <f>myParidad('Flujo de Fondos'!$T$5,$A57,H57,'Flujo de Fondos'!$T$7,'Flujo de Fondos'!$T$6)</f>
        <v>0.38763891169869158</v>
      </c>
      <c r="J57" s="68">
        <v>33.71</v>
      </c>
      <c r="K57" s="66">
        <f>myParidad('Flujo de Fondos'!$B$34,$A57,J57,'Flujo de Fondos'!$B$36,'Flujo de Fondos'!$B$35)</f>
        <v>0.33714387488782788</v>
      </c>
      <c r="L57" s="65">
        <v>36.799999999999997</v>
      </c>
      <c r="M57" s="66">
        <f>myParidad('Flujo de Fondos'!$H$34,'Paridad usd'!$A57,'Paridad usd'!L57,'Flujo de Fondos'!$H$36,'Flujo de Fondos'!$H$35)</f>
        <v>0.36804789664408377</v>
      </c>
      <c r="N57" s="69">
        <v>34.9</v>
      </c>
      <c r="O57" s="66">
        <f>myParidad('Flujo de Fondos'!$N$34,$A57,N57,'Flujo de Fondos'!$N$36,'Flujo de Fondos'!$N$35)</f>
        <v>0.34904542371952513</v>
      </c>
      <c r="P57" s="70">
        <f t="shared" si="89"/>
        <v>2.2848130673907063E-2</v>
      </c>
      <c r="Q57" s="70">
        <f t="shared" si="60"/>
        <v>2.9530744336569548E-2</v>
      </c>
      <c r="R57" s="70">
        <f t="shared" si="90"/>
        <v>1.0846568826817449E-2</v>
      </c>
      <c r="S57" s="67">
        <f t="shared" si="91"/>
        <v>2.9849041751376093E-2</v>
      </c>
      <c r="T57" s="70">
        <f t="shared" si="63"/>
        <v>5.9379786087945641E-2</v>
      </c>
      <c r="U57" s="70">
        <f t="shared" si="92"/>
        <v>7.0009110774690297E-3</v>
      </c>
      <c r="V57" s="70">
        <f t="shared" si="50"/>
        <v>1.890245990916628E-2</v>
      </c>
      <c r="W57" s="70">
        <f t="shared" si="51"/>
        <v>4.1750590583073344E-2</v>
      </c>
      <c r="X57" s="80">
        <f t="shared" si="52"/>
        <v>3.1592576901697422E-2</v>
      </c>
      <c r="Y57" s="90">
        <f t="shared" si="19"/>
        <v>-1.2001561847089615E-2</v>
      </c>
    </row>
    <row r="58" spans="1:25" x14ac:dyDescent="0.25">
      <c r="A58" s="64">
        <v>44347</v>
      </c>
      <c r="B58" s="65">
        <v>37.6</v>
      </c>
      <c r="C58" s="66">
        <f>myParidad('Flujo de Fondos'!$B$5,A58,B58,'Flujo de Fondos'!$B$7,'Flujo de Fondos'!$B$6)</f>
        <v>0.37640218315460355</v>
      </c>
      <c r="D58" s="65">
        <v>40.5</v>
      </c>
      <c r="E58" s="67">
        <f>myParidad('Flujo de Fondos'!$H$5,$A58,D58,'Flujo de Fondos'!$H$7,'Flujo de Fondos'!$H$6)</f>
        <v>0.4054332026000384</v>
      </c>
      <c r="F58" s="65">
        <v>35.299999999999997</v>
      </c>
      <c r="G58" s="66">
        <f>myParidad('Flujo de Fondos'!$N$5,$A58,F58,'Flujo de Fondos'!$N$7,'Flujo de Fondos'!$N$6)</f>
        <v>0.35304715355818067</v>
      </c>
      <c r="H58" s="68">
        <v>38.58</v>
      </c>
      <c r="I58" s="66">
        <f>myParidad('Flujo de Fondos'!$T$5,$A58,H58,'Flujo de Fondos'!$T$7,'Flujo de Fondos'!$T$6)</f>
        <v>0.3854422778859346</v>
      </c>
      <c r="J58" s="68">
        <v>33.4</v>
      </c>
      <c r="K58" s="66">
        <f>myParidad('Flujo de Fondos'!$B$34,$A58,J58,'Flujo de Fondos'!$B$36,'Flujo de Fondos'!$B$35)</f>
        <v>0.33404461554796699</v>
      </c>
      <c r="L58" s="65">
        <v>36.25</v>
      </c>
      <c r="M58" s="66">
        <f>myParidad('Flujo de Fondos'!$H$34,'Paridad usd'!$A58,'Paridad usd'!L58,'Flujo de Fondos'!$H$36,'Flujo de Fondos'!$H$35)</f>
        <v>0.36254842256328756</v>
      </c>
      <c r="N58" s="69">
        <v>34.4</v>
      </c>
      <c r="O58" s="66">
        <f>myParidad('Flujo de Fondos'!$N$34,$A58,N58,'Flujo de Fondos'!$N$36,'Flujo de Fondos'!$N$35)</f>
        <v>0.34404595134281635</v>
      </c>
      <c r="P58" s="70">
        <f t="shared" ref="P58:P63" si="93">C58-G58</f>
        <v>2.3355029596422883E-2</v>
      </c>
      <c r="Q58" s="70">
        <f t="shared" si="60"/>
        <v>2.9031019445434847E-2</v>
      </c>
      <c r="R58" s="70">
        <f t="shared" si="90"/>
        <v>1.3853760591315989E-2</v>
      </c>
      <c r="S58" s="67">
        <f t="shared" si="91"/>
        <v>3.2356231811787206E-2</v>
      </c>
      <c r="T58" s="70">
        <f t="shared" si="63"/>
        <v>6.1387251257222053E-2</v>
      </c>
      <c r="U58" s="70">
        <f t="shared" si="92"/>
        <v>9.0012022153643234E-3</v>
      </c>
      <c r="V58" s="70">
        <f t="shared" si="50"/>
        <v>1.9002538010213677E-2</v>
      </c>
      <c r="W58" s="70">
        <f t="shared" si="51"/>
        <v>4.2357567606636559E-2</v>
      </c>
      <c r="X58" s="80">
        <f t="shared" si="52"/>
        <v>3.2395124327753932E-2</v>
      </c>
      <c r="Y58" s="90">
        <f t="shared" si="19"/>
        <v>-9.5012690051068938E-3</v>
      </c>
    </row>
    <row r="59" spans="1:25" x14ac:dyDescent="0.25">
      <c r="A59" s="64">
        <v>44344</v>
      </c>
      <c r="B59" s="65">
        <v>37.64</v>
      </c>
      <c r="C59" s="66">
        <f>myParidad('Flujo de Fondos'!$B$5,A59,B59,'Flujo de Fondos'!$B$7,'Flujo de Fondos'!$B$6)</f>
        <v>0.37683361676449612</v>
      </c>
      <c r="D59" s="65">
        <v>40.01</v>
      </c>
      <c r="E59" s="67">
        <f>myParidad('Flujo de Fondos'!$H$5,$A59,D59,'Flujo de Fondos'!$H$7,'Flujo de Fondos'!$H$6)</f>
        <v>0.40056091941412036</v>
      </c>
      <c r="F59" s="65">
        <v>35.35</v>
      </c>
      <c r="G59" s="66">
        <f>myParidad('Flujo de Fondos'!$N$5,$A59,F59,'Flujo de Fondos'!$N$7,'Flujo de Fondos'!$N$6)</f>
        <v>0.35355085320491303</v>
      </c>
      <c r="H59" s="68">
        <v>38.549999999999997</v>
      </c>
      <c r="I59" s="66">
        <f>myParidad('Flujo de Fondos'!$T$5,$A59,H59,'Flujo de Fondos'!$T$7,'Flujo de Fondos'!$T$6)</f>
        <v>0.38514650936811418</v>
      </c>
      <c r="J59" s="68">
        <v>33.5</v>
      </c>
      <c r="K59" s="66">
        <f>myParidad('Flujo de Fondos'!$B$34,$A59,J59,'Flujo de Fondos'!$B$36,'Flujo de Fondos'!$B$35)</f>
        <v>0.33504819186321322</v>
      </c>
      <c r="L59" s="65">
        <v>36.32</v>
      </c>
      <c r="M59" s="66">
        <f>myParidad('Flujo de Fondos'!$H$34,'Paridad usd'!$A59,'Paridad usd'!L59,'Flujo de Fondos'!$H$36,'Flujo de Fondos'!$H$35)</f>
        <v>0.36325224861110161</v>
      </c>
      <c r="N59" s="69">
        <v>34.6</v>
      </c>
      <c r="O59" s="66">
        <f>myParidad('Flujo de Fondos'!$N$34,$A59,N59,'Flujo de Fondos'!$N$36,'Flujo de Fondos'!$N$35)</f>
        <v>0.34604977428260231</v>
      </c>
      <c r="P59" s="70">
        <f t="shared" si="93"/>
        <v>2.3282763559583086E-2</v>
      </c>
      <c r="Q59" s="70">
        <f t="shared" si="60"/>
        <v>2.3727302649624249E-2</v>
      </c>
      <c r="R59" s="70">
        <f t="shared" si="90"/>
        <v>1.3581368153394502E-2</v>
      </c>
      <c r="S59" s="67">
        <f t="shared" si="91"/>
        <v>3.0783842481893808E-2</v>
      </c>
      <c r="T59" s="70">
        <f t="shared" si="63"/>
        <v>5.4511145131518057E-2</v>
      </c>
      <c r="U59" s="70">
        <f t="shared" si="92"/>
        <v>7.5010789223107222E-3</v>
      </c>
      <c r="V59" s="70">
        <f t="shared" si="50"/>
        <v>1.8502661341699811E-2</v>
      </c>
      <c r="W59" s="70">
        <f t="shared" si="51"/>
        <v>4.1785424901282897E-2</v>
      </c>
      <c r="X59" s="80">
        <f t="shared" si="52"/>
        <v>3.1595656163201147E-2</v>
      </c>
      <c r="Y59" s="90">
        <f t="shared" si="19"/>
        <v>-9.7013954061885843E-3</v>
      </c>
    </row>
    <row r="60" spans="1:25" x14ac:dyDescent="0.25">
      <c r="A60" s="64">
        <v>44343</v>
      </c>
      <c r="B60" s="65">
        <v>38.1</v>
      </c>
      <c r="C60" s="66">
        <f>myParidad('Flujo de Fondos'!$B$5,A60,B60,'Flujo de Fondos'!$B$7,'Flujo de Fondos'!$B$6)</f>
        <v>0.38144937872013607</v>
      </c>
      <c r="D60" s="65">
        <v>41</v>
      </c>
      <c r="E60" s="67">
        <f>myParidad('Flujo de Fondos'!$H$5,$A60,D60,'Flujo de Fondos'!$H$7,'Flujo de Fondos'!$H$6)</f>
        <v>0.41048358339962149</v>
      </c>
      <c r="F60" s="65">
        <v>35.659999999999997</v>
      </c>
      <c r="G60" s="66">
        <f>myParidad('Flujo de Fondos'!$N$5,$A60,F60,'Flujo de Fondos'!$N$7,'Flujo de Fondos'!$N$6)</f>
        <v>0.35665252074791831</v>
      </c>
      <c r="H60" s="68">
        <v>38.71</v>
      </c>
      <c r="I60" s="66">
        <f>myParidad('Flujo de Fondos'!$T$5,$A60,H60,'Flujo de Fondos'!$T$7,'Flujo de Fondos'!$T$6)</f>
        <v>0.38674636548087882</v>
      </c>
      <c r="J60" s="68">
        <v>33.799999999999997</v>
      </c>
      <c r="K60" s="66">
        <f>myParidad('Flujo de Fondos'!$B$34,$A60,J60,'Flujo de Fondos'!$B$36,'Flujo de Fondos'!$B$35)</f>
        <v>0.33804978130341107</v>
      </c>
      <c r="L60" s="65">
        <v>36.65</v>
      </c>
      <c r="M60" s="66">
        <f>myParidad('Flujo de Fondos'!$H$34,'Paridad usd'!$A60,'Paridad usd'!L60,'Flujo de Fondos'!$H$36,'Flujo de Fondos'!$H$35)</f>
        <v>0.36655397883934959</v>
      </c>
      <c r="N60" s="69">
        <v>35.25</v>
      </c>
      <c r="O60" s="66">
        <f>myParidad('Flujo de Fondos'!$N$34,$A60,N60,'Flujo de Fondos'!$N$36,'Flujo de Fondos'!$N$35)</f>
        <v>0.35255191689187104</v>
      </c>
      <c r="P60" s="70">
        <f t="shared" si="93"/>
        <v>2.4796857972217756E-2</v>
      </c>
      <c r="Q60" s="70">
        <f t="shared" si="60"/>
        <v>2.903420467948542E-2</v>
      </c>
      <c r="R60" s="70">
        <f t="shared" si="90"/>
        <v>1.4895399880786475E-2</v>
      </c>
      <c r="S60" s="67">
        <f t="shared" si="91"/>
        <v>2.8897461828265025E-2</v>
      </c>
      <c r="T60" s="70">
        <f t="shared" si="63"/>
        <v>5.7931666507750446E-2</v>
      </c>
      <c r="U60" s="70">
        <f t="shared" si="92"/>
        <v>4.1006038560472691E-3</v>
      </c>
      <c r="V60" s="70">
        <f t="shared" si="50"/>
        <v>1.8602739444507244E-2</v>
      </c>
      <c r="W60" s="70">
        <f t="shared" si="51"/>
        <v>4.3399597416725E-2</v>
      </c>
      <c r="X60" s="80">
        <f t="shared" si="52"/>
        <v>3.0093844732960506E-2</v>
      </c>
      <c r="Y60" s="90">
        <f t="shared" si="19"/>
        <v>-9.9014580914312811E-3</v>
      </c>
    </row>
    <row r="61" spans="1:25" x14ac:dyDescent="0.25">
      <c r="A61" s="64">
        <v>44342</v>
      </c>
      <c r="B61" s="65">
        <v>37.770000000000003</v>
      </c>
      <c r="C61" s="66">
        <f>myParidad('Flujo de Fondos'!$B$5,A61,B61,'Flujo de Fondos'!$B$7,'Flujo de Fondos'!$B$6)</f>
        <v>0.37815585911784072</v>
      </c>
      <c r="D61" s="65">
        <v>40.6</v>
      </c>
      <c r="E61" s="67">
        <f>myParidad('Flujo de Fondos'!$H$5,$A61,D61,'Flujo de Fondos'!$H$7,'Flujo de Fondos'!$H$6)</f>
        <v>0.40649001536098311</v>
      </c>
      <c r="F61" s="65">
        <v>35.450000000000003</v>
      </c>
      <c r="G61" s="66">
        <f>myParidad('Flujo de Fondos'!$N$5,$A61,F61,'Flujo de Fondos'!$N$7,'Flujo de Fondos'!$N$6)</f>
        <v>0.35455342585869104</v>
      </c>
      <c r="H61" s="68">
        <v>38.75</v>
      </c>
      <c r="I61" s="66">
        <f>myParidad('Flujo de Fondos'!$T$5,$A61,H61,'Flujo de Fondos'!$T$7,'Flujo de Fondos'!$T$6)</f>
        <v>0.38714732469736474</v>
      </c>
      <c r="J61" s="68">
        <v>33.450000000000003</v>
      </c>
      <c r="K61" s="66">
        <f>myParidad('Flujo de Fondos'!$B$34,$A61,J61,'Flujo de Fondos'!$B$36,'Flujo de Fondos'!$B$35)</f>
        <v>0.33455041170587352</v>
      </c>
      <c r="L61" s="65">
        <v>36.65</v>
      </c>
      <c r="M61" s="66">
        <f>myParidad('Flujo de Fondos'!$H$34,'Paridad usd'!$A61,'Paridad usd'!L61,'Flujo de Fondos'!$H$36,'Flujo de Fondos'!$H$35)</f>
        <v>0.36655523435038156</v>
      </c>
      <c r="N61" s="69">
        <v>34.700000000000003</v>
      </c>
      <c r="O61" s="66">
        <f>myParidad('Flujo de Fondos'!$N$34,$A61,N61,'Flujo de Fondos'!$N$36,'Flujo de Fondos'!$N$35)</f>
        <v>0.3470522955513845</v>
      </c>
      <c r="P61" s="70">
        <f t="shared" si="93"/>
        <v>2.360243325914968E-2</v>
      </c>
      <c r="Q61" s="70">
        <f t="shared" si="60"/>
        <v>2.8334156243142394E-2</v>
      </c>
      <c r="R61" s="70">
        <f t="shared" si="90"/>
        <v>1.1600624767459156E-2</v>
      </c>
      <c r="S61" s="67">
        <f t="shared" si="91"/>
        <v>3.1103563566456216E-2</v>
      </c>
      <c r="T61" s="70">
        <f t="shared" si="63"/>
        <v>5.943771980959861E-2</v>
      </c>
      <c r="U61" s="70">
        <f t="shared" si="92"/>
        <v>7.5011303073065361E-3</v>
      </c>
      <c r="V61" s="70">
        <f t="shared" si="50"/>
        <v>2.0003014152817522E-2</v>
      </c>
      <c r="W61" s="70">
        <f t="shared" si="51"/>
        <v>4.3605447411967202E-2</v>
      </c>
      <c r="X61" s="80">
        <f t="shared" si="52"/>
        <v>3.2593898838673696E-2</v>
      </c>
      <c r="Y61" s="90">
        <f t="shared" si="19"/>
        <v>-1.2001808491690524E-2</v>
      </c>
    </row>
    <row r="62" spans="1:25" x14ac:dyDescent="0.25">
      <c r="A62" s="64">
        <v>44337</v>
      </c>
      <c r="B62" s="65">
        <v>36.93</v>
      </c>
      <c r="C62" s="66">
        <f>myParidad('Flujo de Fondos'!$B$5,A62,B62,'Flujo de Fondos'!$B$7,'Flujo de Fondos'!$B$6)</f>
        <v>0.36979643905516996</v>
      </c>
      <c r="D62" s="65">
        <v>40.299999999999997</v>
      </c>
      <c r="E62" s="67">
        <f>myParidad('Flujo de Fondos'!$H$5,$A62,D62,'Flujo de Fondos'!$H$7,'Flujo de Fondos'!$H$6)</f>
        <v>0.40354174096732598</v>
      </c>
      <c r="F62" s="65">
        <v>34.4</v>
      </c>
      <c r="G62" s="66">
        <f>myParidad('Flujo de Fondos'!$N$5,$A62,F62,'Flujo de Fondos'!$N$7,'Flujo de Fondos'!$N$6)</f>
        <v>0.34405773571592491</v>
      </c>
      <c r="H62" s="68">
        <v>37.5</v>
      </c>
      <c r="I62" s="66">
        <f>myParidad('Flujo de Fondos'!$T$5,$A62,H62,'Flujo de Fondos'!$T$7,'Flujo de Fondos'!$T$6)</f>
        <v>0.37466511097956962</v>
      </c>
      <c r="J62" s="68">
        <v>32.25</v>
      </c>
      <c r="K62" s="66">
        <f>myParidad('Flujo de Fondos'!$B$34,$A62,J62,'Flujo de Fondos'!$B$36,'Flujo de Fondos'!$B$35)</f>
        <v>0.3225541272336796</v>
      </c>
      <c r="L62" s="65">
        <v>35.07</v>
      </c>
      <c r="M62" s="66">
        <f>myParidad('Flujo de Fondos'!$H$34,'Paridad usd'!$A62,'Paridad usd'!L62,'Flujo de Fondos'!$H$36,'Flujo de Fondos'!$H$35)</f>
        <v>0.35075886021969438</v>
      </c>
      <c r="N62" s="69">
        <v>33.36</v>
      </c>
      <c r="O62" s="66">
        <f>myParidad('Flujo de Fondos'!$N$34,$A62,N62,'Flujo de Fondos'!$N$36,'Flujo de Fondos'!$N$35)</f>
        <v>0.3336559902175365</v>
      </c>
      <c r="P62" s="70">
        <f t="shared" si="93"/>
        <v>2.573870333924505E-2</v>
      </c>
      <c r="Q62" s="70">
        <f t="shared" si="60"/>
        <v>3.3745301912156023E-2</v>
      </c>
      <c r="R62" s="70">
        <f t="shared" si="90"/>
        <v>1.9037578835475577E-2</v>
      </c>
      <c r="S62" s="67">
        <f t="shared" si="91"/>
        <v>3.6140448837633454E-2</v>
      </c>
      <c r="T62" s="70">
        <f t="shared" si="63"/>
        <v>6.9885750749789477E-2</v>
      </c>
      <c r="U62" s="70">
        <f t="shared" si="92"/>
        <v>1.0401745498388404E-2</v>
      </c>
      <c r="V62" s="70">
        <f t="shared" si="50"/>
        <v>2.1503608482245307E-2</v>
      </c>
      <c r="W62" s="70">
        <f t="shared" si="51"/>
        <v>4.7242311821490357E-2</v>
      </c>
      <c r="X62" s="80">
        <f t="shared" si="52"/>
        <v>3.0607375263644709E-2</v>
      </c>
      <c r="Y62" s="90">
        <f t="shared" si="19"/>
        <v>-6.7011245037694733E-3</v>
      </c>
    </row>
    <row r="63" spans="1:25" x14ac:dyDescent="0.25">
      <c r="A63" s="64">
        <v>44336</v>
      </c>
      <c r="B63" s="65">
        <v>37.29</v>
      </c>
      <c r="C63" s="66">
        <f>myParidad('Flujo de Fondos'!$B$5,A63,B63,'Flujo de Fondos'!$B$7,'Flujo de Fondos'!$B$6)</f>
        <v>0.37341152263374483</v>
      </c>
      <c r="D63" s="65">
        <v>40.299999999999997</v>
      </c>
      <c r="E63" s="67">
        <f>myParidad('Flujo de Fondos'!$H$5,$A63,D63,'Flujo de Fondos'!$H$7,'Flujo de Fondos'!$H$6)</f>
        <v>0.40355281207133054</v>
      </c>
      <c r="F63" s="65">
        <v>34.78</v>
      </c>
      <c r="G63" s="66">
        <f>myParidad('Flujo de Fondos'!$N$5,$A63,F63,'Flujo de Fondos'!$N$7,'Flujo de Fondos'!$N$6)</f>
        <v>0.34785956499400583</v>
      </c>
      <c r="H63" s="68">
        <v>37.99</v>
      </c>
      <c r="I63" s="66">
        <f>myParidad('Flujo de Fondos'!$T$5,$A63,H63,'Flujo de Fondos'!$T$7,'Flujo de Fondos'!$T$6)</f>
        <v>0.37956203380551568</v>
      </c>
      <c r="J63" s="68">
        <v>32.799999999999997</v>
      </c>
      <c r="K63" s="66">
        <f>myParidad('Flujo de Fondos'!$B$34,$A63,J63,'Flujo de Fondos'!$B$36,'Flujo de Fondos'!$B$35)</f>
        <v>0.32805617400239762</v>
      </c>
      <c r="L63" s="65">
        <v>35.25</v>
      </c>
      <c r="M63" s="66">
        <f>myParidad('Flujo de Fondos'!$H$34,'Paridad usd'!$A63,'Paridad usd'!L63,'Flujo de Fondos'!$H$36,'Flujo de Fondos'!$H$35)</f>
        <v>0.35256036992635725</v>
      </c>
      <c r="N63" s="69">
        <v>33</v>
      </c>
      <c r="O63" s="66">
        <f>myParidad('Flujo de Fondos'!$N$34,$A63,N63,'Flujo de Fondos'!$N$36,'Flujo de Fondos'!$N$35)</f>
        <v>0.33005651652680251</v>
      </c>
      <c r="P63" s="70">
        <f t="shared" si="93"/>
        <v>2.5551957639738998E-2</v>
      </c>
      <c r="Q63" s="70">
        <f t="shared" si="60"/>
        <v>3.0141289437585705E-2</v>
      </c>
      <c r="R63" s="70">
        <f t="shared" si="90"/>
        <v>2.0851152707387577E-2</v>
      </c>
      <c r="S63" s="67">
        <f t="shared" si="91"/>
        <v>4.3355006106942318E-2</v>
      </c>
      <c r="T63" s="70">
        <f t="shared" si="63"/>
        <v>7.3496295544528023E-2</v>
      </c>
      <c r="U63" s="70">
        <f t="shared" si="92"/>
        <v>1.780304846720332E-2</v>
      </c>
      <c r="V63" s="70">
        <f t="shared" si="50"/>
        <v>1.9803390991608216E-2</v>
      </c>
      <c r="W63" s="70">
        <f t="shared" si="51"/>
        <v>4.5355348631347214E-2</v>
      </c>
      <c r="X63" s="80">
        <f t="shared" si="52"/>
        <v>3.1702468811509843E-2</v>
      </c>
      <c r="Y63" s="90">
        <f t="shared" si="19"/>
        <v>-4.7008049323514212E-3</v>
      </c>
    </row>
    <row r="64" spans="1:25" x14ac:dyDescent="0.25">
      <c r="A64" s="64">
        <v>44335</v>
      </c>
      <c r="B64" s="65">
        <v>37.450000000000003</v>
      </c>
      <c r="C64" s="66">
        <f>myParidad('Flujo de Fondos'!$B$5,A64,B64,'Flujo de Fondos'!$B$7,'Flujo de Fondos'!$B$6)</f>
        <v>0.3750240061455733</v>
      </c>
      <c r="D64" s="65">
        <v>40.1</v>
      </c>
      <c r="E64" s="67">
        <f>myParidad('Flujo de Fondos'!$H$5,$A64,D64,'Flujo de Fondos'!$H$7,'Flujo de Fondos'!$H$6)</f>
        <v>0.40156108535213586</v>
      </c>
      <c r="F64" s="65">
        <v>35.07</v>
      </c>
      <c r="G64" s="66">
        <f>myParidad('Flujo de Fondos'!$N$5,$A64,F64,'Flujo de Fondos'!$N$7,'Flujo de Fondos'!$N$6)</f>
        <v>0.35076126309732181</v>
      </c>
      <c r="H64" s="68">
        <v>37.9</v>
      </c>
      <c r="I64" s="66">
        <f>myParidad('Flujo de Fondos'!$T$5,$A64,H64,'Flujo de Fondos'!$T$7,'Flujo de Fondos'!$T$6)</f>
        <v>0.37866413010377781</v>
      </c>
      <c r="J64" s="68">
        <v>32.9</v>
      </c>
      <c r="K64" s="66">
        <f>myParidad('Flujo de Fondos'!$B$34,$A64,J64,'Flujo de Fondos'!$B$36,'Flujo de Fondos'!$B$35)</f>
        <v>0.32905747236674898</v>
      </c>
      <c r="L64" s="65">
        <v>35.15</v>
      </c>
      <c r="M64" s="66">
        <f>myParidad('Flujo de Fondos'!$H$34,'Paridad usd'!$A64,'Paridad usd'!L64,'Flujo de Fondos'!$H$36,'Flujo de Fondos'!$H$35)</f>
        <v>0.35156140284775766</v>
      </c>
      <c r="N64" s="69">
        <v>33.6</v>
      </c>
      <c r="O64" s="66">
        <f>myParidad('Flujo de Fondos'!$N$34,$A64,N64,'Flujo de Fondos'!$N$36,'Flujo de Fondos'!$N$35)</f>
        <v>0.33605869518306281</v>
      </c>
      <c r="P64" s="70">
        <f t="shared" ref="P64:P96" si="94">C64-G64</f>
        <v>2.4262743048251489E-2</v>
      </c>
      <c r="Q64" s="70">
        <f t="shared" si="60"/>
        <v>2.6537079206562564E-2</v>
      </c>
      <c r="R64" s="70">
        <f t="shared" si="90"/>
        <v>2.3462603297815632E-2</v>
      </c>
      <c r="S64" s="67">
        <f t="shared" si="91"/>
        <v>3.8965310962510491E-2</v>
      </c>
      <c r="T64" s="70">
        <f t="shared" si="63"/>
        <v>6.5502390169073055E-2</v>
      </c>
      <c r="U64" s="70">
        <f t="shared" si="92"/>
        <v>1.4702567914259002E-2</v>
      </c>
      <c r="V64" s="70">
        <f t="shared" si="50"/>
        <v>2.1703790730572825E-2</v>
      </c>
      <c r="W64" s="70">
        <f t="shared" si="51"/>
        <v>4.5966533778824314E-2</v>
      </c>
      <c r="X64" s="80">
        <f t="shared" si="52"/>
        <v>2.7902867006456E-2</v>
      </c>
      <c r="Y64" s="90">
        <f t="shared" si="19"/>
        <v>-8.0013975043585761E-4</v>
      </c>
    </row>
    <row r="65" spans="1:25" x14ac:dyDescent="0.25">
      <c r="A65" s="64">
        <v>44334</v>
      </c>
      <c r="B65" s="65">
        <v>38</v>
      </c>
      <c r="C65" s="66">
        <f>myParidad('Flujo de Fondos'!$B$5,A65,B65,'Flujo de Fondos'!$B$7,'Flujo de Fondos'!$B$6)</f>
        <v>0.38054214223002636</v>
      </c>
      <c r="D65" s="65">
        <v>40.25</v>
      </c>
      <c r="E65" s="67">
        <f>myParidad('Flujo de Fondos'!$H$5,$A65,D65,'Flujo de Fondos'!$H$7,'Flujo de Fondos'!$H$6)</f>
        <v>0.4030742427568042</v>
      </c>
      <c r="F65" s="65">
        <v>35.700000000000003</v>
      </c>
      <c r="G65" s="66">
        <f>myParidad('Flujo de Fondos'!$N$5,$A65,F65,'Flujo de Fondos'!$N$7,'Flujo de Fondos'!$N$6)</f>
        <v>0.35706358666611865</v>
      </c>
      <c r="H65" s="68">
        <v>38.380000000000003</v>
      </c>
      <c r="I65" s="66">
        <f>myParidad('Flujo de Fondos'!$T$5,$A65,H65,'Flujo de Fondos'!$T$7,'Flujo de Fondos'!$T$6)</f>
        <v>0.38346118840202836</v>
      </c>
      <c r="J65" s="68">
        <v>32.9</v>
      </c>
      <c r="K65" s="66">
        <f>myParidad('Flujo de Fondos'!$B$34,$A65,J65,'Flujo de Fondos'!$B$36,'Flujo de Fondos'!$B$35)</f>
        <v>0.32905859947661908</v>
      </c>
      <c r="L65" s="65">
        <v>35.5</v>
      </c>
      <c r="M65" s="66">
        <f>myParidad('Flujo de Fondos'!$H$34,'Paridad usd'!$A65,'Paridad usd'!L65,'Flujo de Fondos'!$H$36,'Flujo de Fondos'!$H$35)</f>
        <v>0.35506323043829724</v>
      </c>
      <c r="N65" s="69">
        <v>33.5</v>
      </c>
      <c r="O65" s="66">
        <f>myParidad('Flujo de Fondos'!$N$34,$A65,N65,'Flujo de Fondos'!$N$36,'Flujo de Fondos'!$N$35)</f>
        <v>0.33505966816008331</v>
      </c>
      <c r="P65" s="70">
        <f t="shared" si="94"/>
        <v>2.347855556390771E-2</v>
      </c>
      <c r="Q65" s="70">
        <f t="shared" si="60"/>
        <v>2.2532100526777843E-2</v>
      </c>
      <c r="R65" s="70">
        <f t="shared" si="90"/>
        <v>2.547891179172912E-2</v>
      </c>
      <c r="S65" s="67">
        <f t="shared" si="91"/>
        <v>4.5482474069943046E-2</v>
      </c>
      <c r="T65" s="70">
        <f t="shared" si="63"/>
        <v>6.8014574596720889E-2</v>
      </c>
      <c r="U65" s="70">
        <f t="shared" si="92"/>
        <v>2.2003918506035336E-2</v>
      </c>
      <c r="V65" s="70">
        <f t="shared" si="50"/>
        <v>2.8004987189499564E-2</v>
      </c>
      <c r="W65" s="70">
        <f t="shared" si="51"/>
        <v>5.1483542753407274E-2</v>
      </c>
      <c r="X65" s="80">
        <f t="shared" si="52"/>
        <v>2.6397601735909715E-2</v>
      </c>
      <c r="Y65" s="90">
        <f t="shared" si="19"/>
        <v>2.0003562278214093E-3</v>
      </c>
    </row>
    <row r="66" spans="1:25" x14ac:dyDescent="0.25">
      <c r="A66" s="64">
        <v>44333</v>
      </c>
      <c r="B66" s="65">
        <v>38.049999999999997</v>
      </c>
      <c r="C66" s="66">
        <f>myParidad('Flujo de Fondos'!$B$5,A66,B66,'Flujo de Fondos'!$B$7,'Flujo de Fondos'!$B$6)</f>
        <v>0.38105331028616896</v>
      </c>
      <c r="D66" s="65">
        <v>40.700000000000003</v>
      </c>
      <c r="E66" s="67">
        <f>myParidad('Flujo de Fondos'!$H$5,$A66,D66,'Flujo de Fondos'!$H$7,'Flujo de Fondos'!$H$6)</f>
        <v>0.40759184569374712</v>
      </c>
      <c r="F66" s="65">
        <v>35.700000000000003</v>
      </c>
      <c r="G66" s="66">
        <f>myParidad('Flujo de Fondos'!$N$5,$A66,F66,'Flujo de Fondos'!$N$7,'Flujo de Fondos'!$N$6)</f>
        <v>0.35706480970861154</v>
      </c>
      <c r="H66" s="68">
        <v>38.380000000000003</v>
      </c>
      <c r="I66" s="66">
        <f>myParidad('Flujo de Fondos'!$T$5,$A66,H66,'Flujo de Fondos'!$T$7,'Flujo de Fondos'!$T$6)</f>
        <v>0.38346250047047636</v>
      </c>
      <c r="J66" s="68">
        <v>32.9</v>
      </c>
      <c r="K66" s="66">
        <f>myParidad('Flujo de Fondos'!$B$34,$A66,J66,'Flujo de Fondos'!$B$36,'Flujo de Fondos'!$B$35)</f>
        <v>0.32905972659421057</v>
      </c>
      <c r="L66" s="65">
        <v>35.200000000000003</v>
      </c>
      <c r="M66" s="66">
        <f>myParidad('Flujo de Fondos'!$H$34,'Paridad usd'!$A66,'Paridad usd'!L66,'Flujo de Fondos'!$H$36,'Flujo de Fondos'!$H$35)</f>
        <v>0.35206390200961135</v>
      </c>
      <c r="N66" s="69">
        <v>33.79</v>
      </c>
      <c r="O66" s="66">
        <f>myParidad('Flujo de Fondos'!$N$34,$A66,N66,'Flujo de Fondos'!$N$36,'Flujo de Fondos'!$N$35)</f>
        <v>0.33796134229843089</v>
      </c>
      <c r="P66" s="70">
        <f t="shared" si="94"/>
        <v>2.3988500577557414E-2</v>
      </c>
      <c r="Q66" s="70">
        <f t="shared" si="60"/>
        <v>2.6538535407578168E-2</v>
      </c>
      <c r="R66" s="70">
        <f t="shared" si="90"/>
        <v>2.8989408276557604E-2</v>
      </c>
      <c r="S66" s="67">
        <f t="shared" si="91"/>
        <v>4.3091967987738067E-2</v>
      </c>
      <c r="T66" s="70">
        <f t="shared" si="63"/>
        <v>6.9630503395316234E-2</v>
      </c>
      <c r="U66" s="70">
        <f t="shared" si="92"/>
        <v>1.9103467410180652E-2</v>
      </c>
      <c r="V66" s="70">
        <f t="shared" si="50"/>
        <v>2.8005083114400975E-2</v>
      </c>
      <c r="W66" s="70">
        <f t="shared" si="51"/>
        <v>5.1993583691958389E-2</v>
      </c>
      <c r="X66" s="80">
        <f t="shared" si="52"/>
        <v>2.6397690761864823E-2</v>
      </c>
      <c r="Y66" s="90">
        <f t="shared" si="19"/>
        <v>5.0009076990001899E-3</v>
      </c>
    </row>
    <row r="67" spans="1:25" x14ac:dyDescent="0.25">
      <c r="A67" s="64">
        <v>44330</v>
      </c>
      <c r="B67" s="65">
        <v>37.42</v>
      </c>
      <c r="C67" s="66">
        <f>myParidad('Flujo de Fondos'!$B$5,A67,B67,'Flujo de Fondos'!$B$7,'Flujo de Fondos'!$B$6)</f>
        <v>0.37477499725606411</v>
      </c>
      <c r="D67" s="65">
        <v>39.5</v>
      </c>
      <c r="E67" s="67">
        <f>myParidad('Flujo de Fondos'!$H$5,$A67,D67,'Flujo de Fondos'!$H$7,'Flujo de Fondos'!$H$6)</f>
        <v>0.39560695862144662</v>
      </c>
      <c r="F67" s="65">
        <v>35.090000000000003</v>
      </c>
      <c r="G67" s="66">
        <f>myParidad('Flujo de Fondos'!$N$5,$A67,F67,'Flujo de Fondos'!$N$7,'Flujo de Fondos'!$N$6)</f>
        <v>0.35096730879894777</v>
      </c>
      <c r="H67" s="68">
        <v>37.450000000000003</v>
      </c>
      <c r="I67" s="66">
        <f>myParidad('Flujo de Fondos'!$T$5,$A67,H67,'Flujo de Fondos'!$T$7,'Flujo de Fondos'!$T$6)</f>
        <v>0.37417451942488389</v>
      </c>
      <c r="J67" s="68">
        <v>32.450000000000003</v>
      </c>
      <c r="K67" s="66">
        <f>myParidad('Flujo de Fondos'!$B$34,$A67,J67,'Flujo de Fondos'!$B$36,'Flujo de Fondos'!$B$35)</f>
        <v>0.32456224481407397</v>
      </c>
      <c r="L67" s="65">
        <v>34.5</v>
      </c>
      <c r="M67" s="66">
        <f>myParidad('Flujo de Fondos'!$H$34,'Paridad usd'!$A67,'Paridad usd'!L67,'Flujo de Fondos'!$H$36,'Flujo de Fondos'!$H$35)</f>
        <v>0.34506617707505549</v>
      </c>
      <c r="N67" s="69">
        <v>33.049999999999997</v>
      </c>
      <c r="O67" s="66">
        <f>myParidad('Flujo de Fondos'!$N$34,$A67,N67,'Flujo de Fondos'!$N$36,'Flujo de Fondos'!$N$35)</f>
        <v>0.33056339571972704</v>
      </c>
      <c r="P67" s="70">
        <f t="shared" si="94"/>
        <v>2.3807688457116338E-2</v>
      </c>
      <c r="Q67" s="70">
        <f t="shared" si="60"/>
        <v>2.0831961365382512E-2</v>
      </c>
      <c r="R67" s="70">
        <f t="shared" si="90"/>
        <v>2.9708820181008622E-2</v>
      </c>
      <c r="S67" s="67">
        <f t="shared" si="91"/>
        <v>4.4211601536337075E-2</v>
      </c>
      <c r="T67" s="70">
        <f t="shared" si="63"/>
        <v>6.5043562901719587E-2</v>
      </c>
      <c r="U67" s="70">
        <f t="shared" si="92"/>
        <v>2.0403913079220737E-2</v>
      </c>
      <c r="V67" s="70">
        <f t="shared" si="50"/>
        <v>2.64050639848738E-2</v>
      </c>
      <c r="W67" s="70">
        <f t="shared" si="51"/>
        <v>5.0212752441990138E-2</v>
      </c>
      <c r="X67" s="80">
        <f t="shared" si="52"/>
        <v>2.3207210625936114E-2</v>
      </c>
      <c r="Y67" s="90">
        <f t="shared" si="19"/>
        <v>5.9011317238922834E-3</v>
      </c>
    </row>
    <row r="68" spans="1:25" x14ac:dyDescent="0.25">
      <c r="A68" s="64">
        <v>44329</v>
      </c>
      <c r="B68" s="65">
        <v>36.450000000000003</v>
      </c>
      <c r="C68" s="66">
        <f>myParidad('Flujo de Fondos'!$B$5,A68,B68,'Flujo de Fondos'!$B$7,'Flujo de Fondos'!$B$6)</f>
        <v>0.36507010948604673</v>
      </c>
      <c r="D68" s="65">
        <v>38.71</v>
      </c>
      <c r="E68" s="67">
        <f>myParidad('Flujo de Fondos'!$H$5,$A68,D68,'Flujo de Fondos'!$H$7,'Flujo de Fondos'!$H$6)</f>
        <v>0.38770545783826799</v>
      </c>
      <c r="F68" s="65">
        <v>34.22</v>
      </c>
      <c r="G68" s="66">
        <f>myParidad('Flujo de Fondos'!$N$5,$A68,F68,'Flujo de Fondos'!$N$7,'Flujo de Fondos'!$N$6)</f>
        <v>0.34226681235720668</v>
      </c>
      <c r="H68" s="68">
        <v>36.450000000000003</v>
      </c>
      <c r="I68" s="66">
        <f>myParidad('Flujo de Fondos'!$T$5,$A68,H68,'Flujo de Fondos'!$T$7,'Flujo de Fondos'!$T$6)</f>
        <v>0.36418445661806725</v>
      </c>
      <c r="J68" s="68">
        <v>31.2</v>
      </c>
      <c r="K68" s="66">
        <f>myParidad('Flujo de Fondos'!$B$34,$A68,J68,'Flujo de Fondos'!$B$36,'Flujo de Fondos'!$B$35)</f>
        <v>0.31206091600072616</v>
      </c>
      <c r="L68" s="65">
        <v>33.53</v>
      </c>
      <c r="M68" s="66">
        <f>myParidad('Flujo de Fondos'!$H$34,'Paridad usd'!$A68,'Paridad usd'!L68,'Flujo de Fondos'!$H$36,'Flujo de Fondos'!$H$35)</f>
        <v>0.33536546517642146</v>
      </c>
      <c r="N68" s="69">
        <v>32.21</v>
      </c>
      <c r="O68" s="66">
        <f>myParidad('Flujo de Fondos'!$N$34,$A68,N68,'Flujo de Fondos'!$N$36,'Flujo de Fondos'!$N$35)</f>
        <v>0.32216288796100612</v>
      </c>
      <c r="P68" s="70">
        <f t="shared" si="94"/>
        <v>2.280329712884005E-2</v>
      </c>
      <c r="Q68" s="70">
        <f t="shared" si="60"/>
        <v>2.2635348352221252E-2</v>
      </c>
      <c r="R68" s="70">
        <f t="shared" si="90"/>
        <v>2.9704644309625272E-2</v>
      </c>
      <c r="S68" s="67">
        <f t="shared" si="91"/>
        <v>4.2907221525040617E-2</v>
      </c>
      <c r="T68" s="70">
        <f t="shared" si="63"/>
        <v>6.5542569877261869E-2</v>
      </c>
      <c r="U68" s="70">
        <f t="shared" si="92"/>
        <v>2.0103924396200568E-2</v>
      </c>
      <c r="V68" s="70">
        <f t="shared" si="50"/>
        <v>3.0205896356480522E-2</v>
      </c>
      <c r="W68" s="70">
        <f t="shared" si="51"/>
        <v>5.3009193485320572E-2</v>
      </c>
      <c r="X68" s="80">
        <f t="shared" si="52"/>
        <v>2.1917644260860569E-2</v>
      </c>
      <c r="Y68" s="90">
        <f t="shared" si="19"/>
        <v>6.9013471807852222E-3</v>
      </c>
    </row>
    <row r="69" spans="1:25" x14ac:dyDescent="0.25">
      <c r="A69" s="64">
        <v>44328</v>
      </c>
      <c r="B69" s="65">
        <v>36.31</v>
      </c>
      <c r="C69" s="66">
        <f>myParidad('Flujo de Fondos'!$B$5,A69,B69,'Flujo de Fondos'!$B$7,'Flujo de Fondos'!$B$6)</f>
        <v>0.36367789912738052</v>
      </c>
      <c r="D69" s="65">
        <v>39.19</v>
      </c>
      <c r="E69" s="67">
        <f>myParidad('Flujo de Fondos'!$H$5,$A69,D69,'Flujo de Fondos'!$H$7,'Flujo de Fondos'!$H$6)</f>
        <v>0.39252373634816967</v>
      </c>
      <c r="F69" s="65">
        <v>34.11</v>
      </c>
      <c r="G69" s="66">
        <f>myParidad('Flujo de Fondos'!$N$5,$A69,F69,'Flujo de Fondos'!$N$7,'Flujo de Fondos'!$N$6)</f>
        <v>0.34116776620013561</v>
      </c>
      <c r="H69" s="68">
        <v>36.4</v>
      </c>
      <c r="I69" s="66">
        <f>myParidad('Flujo de Fondos'!$T$5,$A69,H69,'Flujo de Fondos'!$T$7,'Flujo de Fondos'!$T$6)</f>
        <v>0.36368613388445586</v>
      </c>
      <c r="J69" s="68">
        <v>31.32</v>
      </c>
      <c r="K69" s="66">
        <f>myParidad('Flujo de Fondos'!$B$34,$A69,J69,'Flujo de Fondos'!$B$36,'Flujo de Fondos'!$B$35)</f>
        <v>0.31326222331833037</v>
      </c>
      <c r="L69" s="65">
        <v>33.4</v>
      </c>
      <c r="M69" s="66">
        <f>myParidad('Flujo de Fondos'!$H$34,'Paridad usd'!$A69,'Paridad usd'!L69,'Flujo de Fondos'!$H$36,'Flujo de Fondos'!$H$35)</f>
        <v>0.33406635564598447</v>
      </c>
      <c r="N69" s="69">
        <v>32.25</v>
      </c>
      <c r="O69" s="66">
        <f>myParidad('Flujo de Fondos'!$N$34,$A69,N69,'Flujo de Fondos'!$N$36,'Flujo de Fondos'!$N$35)</f>
        <v>0.3225640709455988</v>
      </c>
      <c r="P69" s="70">
        <f t="shared" si="94"/>
        <v>2.2510132927244908E-2</v>
      </c>
      <c r="Q69" s="70">
        <f t="shared" si="60"/>
        <v>2.884583722078915E-2</v>
      </c>
      <c r="R69" s="70">
        <f t="shared" si="90"/>
        <v>2.9611543481396052E-2</v>
      </c>
      <c r="S69" s="67">
        <f t="shared" si="91"/>
        <v>4.111382818178172E-2</v>
      </c>
      <c r="T69" s="70">
        <f t="shared" si="63"/>
        <v>6.995966540257087E-2</v>
      </c>
      <c r="U69" s="70">
        <f t="shared" si="92"/>
        <v>1.8603695254536812E-2</v>
      </c>
      <c r="V69" s="70">
        <f t="shared" si="50"/>
        <v>2.7905542881805245E-2</v>
      </c>
      <c r="W69" s="70">
        <f t="shared" si="51"/>
        <v>5.0415675809050153E-2</v>
      </c>
      <c r="X69" s="80">
        <f t="shared" si="52"/>
        <v>2.2518367684320251E-2</v>
      </c>
      <c r="Y69" s="90">
        <f t="shared" si="19"/>
        <v>7.1014105541511441E-3</v>
      </c>
    </row>
    <row r="70" spans="1:25" x14ac:dyDescent="0.25">
      <c r="A70" s="64">
        <v>44327</v>
      </c>
      <c r="B70" s="65">
        <v>35.99</v>
      </c>
      <c r="C70" s="66">
        <f>myParidad('Flujo de Fondos'!$B$5,A70,B70,'Flujo de Fondos'!$B$7,'Flujo de Fondos'!$B$6)</f>
        <v>0.36048269805987765</v>
      </c>
      <c r="D70" s="65">
        <v>38.82</v>
      </c>
      <c r="E70" s="67">
        <f>myParidad('Flujo de Fondos'!$H$5,$A70,D70,'Flujo de Fondos'!$H$7,'Flujo de Fondos'!$H$6)</f>
        <v>0.38882851732938173</v>
      </c>
      <c r="F70" s="65">
        <v>33.82</v>
      </c>
      <c r="G70" s="66">
        <f>myParidad('Flujo de Fondos'!$N$5,$A70,F70,'Flujo de Fondos'!$N$7,'Flujo de Fondos'!$N$6)</f>
        <v>0.33826834874169781</v>
      </c>
      <c r="H70" s="68">
        <v>35.9</v>
      </c>
      <c r="I70" s="66">
        <f>myParidad('Flujo de Fondos'!$T$5,$A70,H70,'Flujo de Fondos'!$T$7,'Flujo de Fondos'!$T$6)</f>
        <v>0.35869167256912721</v>
      </c>
      <c r="J70" s="68">
        <v>31.01</v>
      </c>
      <c r="K70" s="66">
        <f>myParidad('Flujo de Fondos'!$B$34,$A70,J70,'Flujo de Fondos'!$B$36,'Flujo de Fondos'!$B$35)</f>
        <v>0.3101626698545254</v>
      </c>
      <c r="L70" s="65">
        <v>33.15</v>
      </c>
      <c r="M70" s="66">
        <f>myParidad('Flujo de Fondos'!$H$34,'Paridad usd'!$A70,'Paridad usd'!L70,'Flujo de Fondos'!$H$36,'Flujo de Fondos'!$H$35)</f>
        <v>0.33156699470098411</v>
      </c>
      <c r="N70" s="69">
        <v>32</v>
      </c>
      <c r="O70" s="66">
        <f>myParidad('Flujo de Fondos'!$N$34,$A70,N70,'Flujo de Fondos'!$N$36,'Flujo de Fondos'!$N$35)</f>
        <v>0.3200646706012516</v>
      </c>
      <c r="P70" s="70">
        <f t="shared" si="94"/>
        <v>2.2214349318179838E-2</v>
      </c>
      <c r="Q70" s="70">
        <f t="shared" si="60"/>
        <v>2.834581926950408E-2</v>
      </c>
      <c r="R70" s="70">
        <f t="shared" si="90"/>
        <v>2.8915703358893541E-2</v>
      </c>
      <c r="S70" s="67">
        <f t="shared" si="91"/>
        <v>4.0418027458626049E-2</v>
      </c>
      <c r="T70" s="70">
        <f t="shared" si="63"/>
        <v>6.8763846728130129E-2</v>
      </c>
      <c r="U70" s="70">
        <f t="shared" si="92"/>
        <v>1.8203678140446211E-2</v>
      </c>
      <c r="V70" s="70">
        <f t="shared" si="50"/>
        <v>2.8105678887172414E-2</v>
      </c>
      <c r="W70" s="70">
        <f t="shared" si="51"/>
        <v>5.0320028205352252E-2</v>
      </c>
      <c r="X70" s="80">
        <f t="shared" si="52"/>
        <v>2.0423323827429396E-2</v>
      </c>
      <c r="Y70" s="90">
        <f t="shared" si="19"/>
        <v>6.7013540407137029E-3</v>
      </c>
    </row>
    <row r="71" spans="1:25" x14ac:dyDescent="0.25">
      <c r="A71" s="64">
        <v>44326</v>
      </c>
      <c r="B71" s="65">
        <v>36.4</v>
      </c>
      <c r="C71" s="66">
        <f>myParidad('Flujo de Fondos'!$B$5,A71,B71,'Flujo de Fondos'!$B$7,'Flujo de Fondos'!$B$6)</f>
        <v>0.36459934138309547</v>
      </c>
      <c r="D71" s="65">
        <v>39.5</v>
      </c>
      <c r="E71" s="67">
        <f>myParidad('Flujo de Fondos'!$H$5,$A71,D71,'Flujo de Fondos'!$H$7,'Flujo de Fondos'!$H$6)</f>
        <v>0.39565038419319432</v>
      </c>
      <c r="F71" s="65">
        <v>34.4</v>
      </c>
      <c r="G71" s="66">
        <f>myParidad('Flujo de Fondos'!$N$5,$A71,F71,'Flujo de Fondos'!$N$7,'Flujo de Fondos'!$N$6)</f>
        <v>0.34407069945879287</v>
      </c>
      <c r="H71" s="68">
        <v>36.479999999999997</v>
      </c>
      <c r="I71" s="66">
        <f>myParidad('Flujo de Fondos'!$T$5,$A71,H71,'Flujo de Fondos'!$T$7,'Flujo de Fondos'!$T$6)</f>
        <v>0.36448793840889648</v>
      </c>
      <c r="J71" s="68">
        <v>31.4</v>
      </c>
      <c r="K71" s="66">
        <f>myParidad('Flujo de Fondos'!$B$34,$A71,J71,'Flujo de Fondos'!$B$36,'Flujo de Fondos'!$B$35)</f>
        <v>0.31406453380831678</v>
      </c>
      <c r="L71" s="65">
        <v>33.54</v>
      </c>
      <c r="M71" s="66">
        <f>myParidad('Flujo de Fondos'!$H$34,'Paridad usd'!$A71,'Paridad usd'!L71,'Flujo de Fondos'!$H$36,'Flujo de Fondos'!$H$35)</f>
        <v>0.33546893197232308</v>
      </c>
      <c r="N71" s="69">
        <v>32.25</v>
      </c>
      <c r="O71" s="66">
        <f>myParidad('Flujo de Fondos'!$N$34,$A71,N71,'Flujo de Fondos'!$N$36,'Flujo de Fondos'!$N$35)</f>
        <v>0.32256628074261834</v>
      </c>
      <c r="P71" s="70">
        <f t="shared" si="94"/>
        <v>2.0528641924302593E-2</v>
      </c>
      <c r="Q71" s="70">
        <f t="shared" si="60"/>
        <v>3.105104281009885E-2</v>
      </c>
      <c r="R71" s="70">
        <f t="shared" si="90"/>
        <v>2.9130409410772384E-2</v>
      </c>
      <c r="S71" s="67">
        <f t="shared" si="91"/>
        <v>4.2033060640477127E-2</v>
      </c>
      <c r="T71" s="70">
        <f t="shared" si="63"/>
        <v>7.3084103450575977E-2</v>
      </c>
      <c r="U71" s="70">
        <f t="shared" si="92"/>
        <v>2.1504418716174534E-2</v>
      </c>
      <c r="V71" s="70">
        <f t="shared" si="50"/>
        <v>3.0006165650476091E-2</v>
      </c>
      <c r="W71" s="70">
        <f t="shared" si="51"/>
        <v>5.0534807574778684E-2</v>
      </c>
      <c r="X71" s="80">
        <f t="shared" si="52"/>
        <v>2.0417238950103611E-2</v>
      </c>
      <c r="Y71" s="90">
        <f t="shared" si="19"/>
        <v>8.6017674864697913E-3</v>
      </c>
    </row>
    <row r="72" spans="1:25" x14ac:dyDescent="0.25">
      <c r="A72" s="64">
        <v>44323</v>
      </c>
      <c r="B72" s="65">
        <v>36.299999999999997</v>
      </c>
      <c r="C72" s="66">
        <f>myParidad('Flujo de Fondos'!$B$5,A72,B72,'Flujo de Fondos'!$B$7,'Flujo de Fondos'!$B$6)</f>
        <v>0.36362763125394515</v>
      </c>
      <c r="D72" s="65">
        <v>38.799999999999997</v>
      </c>
      <c r="E72" s="67">
        <f>myParidad('Flujo de Fondos'!$H$5,$A72,D72,'Flujo de Fondos'!$H$7,'Flujo de Fondos'!$H$6)</f>
        <v>0.38867085654691658</v>
      </c>
      <c r="F72" s="65">
        <v>34.299999999999997</v>
      </c>
      <c r="G72" s="66">
        <f>myParidad('Flujo de Fondos'!$N$5,$A72,F72,'Flujo de Fondos'!$N$7,'Flujo de Fondos'!$N$6)</f>
        <v>0.34307401939459536</v>
      </c>
      <c r="H72" s="68">
        <v>36.32</v>
      </c>
      <c r="I72" s="66">
        <f>myParidad('Flujo de Fondos'!$T$5,$A72,H72,'Flujo de Fondos'!$T$7,'Flujo de Fondos'!$T$6)</f>
        <v>0.36289303226380426</v>
      </c>
      <c r="J72" s="68">
        <v>31.35</v>
      </c>
      <c r="K72" s="66">
        <f>myParidad('Flujo de Fondos'!$B$34,$A72,J72,'Flujo de Fondos'!$B$36,'Flujo de Fondos'!$B$35)</f>
        <v>0.31356765329506026</v>
      </c>
      <c r="L72" s="65">
        <v>33.450000000000003</v>
      </c>
      <c r="M72" s="66">
        <f>myParidad('Flujo de Fondos'!$H$34,'Paridad usd'!$A72,'Paridad usd'!L72,'Flujo de Fondos'!$H$36,'Flujo de Fondos'!$H$35)</f>
        <v>0.33457218509472936</v>
      </c>
      <c r="N72" s="69">
        <v>32.299999999999997</v>
      </c>
      <c r="O72" s="66">
        <f>myParidad('Flujo de Fondos'!$N$34,$A72,N72,'Flujo de Fondos'!$N$36,'Flujo de Fondos'!$N$35)</f>
        <v>0.32306970339491053</v>
      </c>
      <c r="P72" s="70">
        <f t="shared" si="94"/>
        <v>2.0553611859349785E-2</v>
      </c>
      <c r="Q72" s="70">
        <f t="shared" ref="Q72:Q103" si="95">E72-C72</f>
        <v>2.5043225292971427E-2</v>
      </c>
      <c r="R72" s="70">
        <f t="shared" si="90"/>
        <v>2.9055446159215792E-2</v>
      </c>
      <c r="S72" s="67">
        <f t="shared" si="91"/>
        <v>4.0557927859034615E-2</v>
      </c>
      <c r="T72" s="70">
        <f t="shared" ref="T72:T103" si="96">E72-O72</f>
        <v>6.5601153152006042E-2</v>
      </c>
      <c r="U72" s="70">
        <f t="shared" si="92"/>
        <v>2.000431599968483E-2</v>
      </c>
      <c r="V72" s="70">
        <f t="shared" si="50"/>
        <v>2.9506366099535108E-2</v>
      </c>
      <c r="W72" s="70">
        <f t="shared" si="51"/>
        <v>5.0059977958884894E-2</v>
      </c>
      <c r="X72" s="80">
        <f t="shared" si="52"/>
        <v>1.9819012869208896E-2</v>
      </c>
      <c r="Y72" s="90">
        <f t="shared" si="19"/>
        <v>8.5018342998660068E-3</v>
      </c>
    </row>
    <row r="73" spans="1:25" x14ac:dyDescent="0.25">
      <c r="A73" s="64">
        <v>44322</v>
      </c>
      <c r="B73" s="65">
        <v>36.54</v>
      </c>
      <c r="C73" s="66">
        <f>myParidad('Flujo de Fondos'!$B$5,A73,B73,'Flujo de Fondos'!$B$7,'Flujo de Fondos'!$B$6)</f>
        <v>0.36604182676473818</v>
      </c>
      <c r="D73" s="65">
        <v>39.200000000000003</v>
      </c>
      <c r="E73" s="67">
        <f>myParidad('Flujo de Fondos'!$H$5,$A73,D73,'Flujo de Fondos'!$H$7,'Flujo de Fondos'!$H$6)</f>
        <v>0.39268854978592604</v>
      </c>
      <c r="F73" s="65">
        <v>34.770000000000003</v>
      </c>
      <c r="G73" s="66">
        <f>myParidad('Flujo de Fondos'!$N$5,$A73,F73,'Flujo de Fondos'!$N$7,'Flujo de Fondos'!$N$6)</f>
        <v>0.34777622492601123</v>
      </c>
      <c r="H73" s="68">
        <v>36.53</v>
      </c>
      <c r="I73" s="66">
        <f>myParidad('Flujo de Fondos'!$T$5,$A73,H73,'Flujo de Fondos'!$T$7,'Flujo de Fondos'!$T$6)</f>
        <v>0.36499250631317454</v>
      </c>
      <c r="J73" s="68">
        <v>31.56</v>
      </c>
      <c r="K73" s="66">
        <f>myParidad('Flujo de Fondos'!$B$34,$A73,J73,'Flujo de Fondos'!$B$36,'Flujo de Fondos'!$B$35)</f>
        <v>0.31566918776718184</v>
      </c>
      <c r="L73" s="65">
        <v>33.520000000000003</v>
      </c>
      <c r="M73" s="66">
        <f>myParidad('Flujo de Fondos'!$H$34,'Paridad usd'!$A73,'Paridad usd'!L73,'Flujo de Fondos'!$H$36,'Flujo de Fondos'!$H$35)</f>
        <v>0.33527348459936429</v>
      </c>
      <c r="N73" s="69">
        <v>32.49</v>
      </c>
      <c r="O73" s="66">
        <f>myParidad('Flujo de Fondos'!$N$34,$A73,N73,'Flujo de Fondos'!$N$36,'Flujo de Fondos'!$N$35)</f>
        <v>0.32497122657020716</v>
      </c>
      <c r="P73" s="70">
        <f t="shared" si="94"/>
        <v>1.8265601838726941E-2</v>
      </c>
      <c r="Q73" s="70">
        <f t="shared" si="95"/>
        <v>2.6646723021187868E-2</v>
      </c>
      <c r="R73" s="70">
        <f t="shared" si="90"/>
        <v>3.0768342165373885E-2</v>
      </c>
      <c r="S73" s="67">
        <f t="shared" si="91"/>
        <v>4.1070600194531015E-2</v>
      </c>
      <c r="T73" s="70">
        <f t="shared" si="96"/>
        <v>6.7717323215718883E-2</v>
      </c>
      <c r="U73" s="70">
        <f t="shared" si="92"/>
        <v>2.2804998355804074E-2</v>
      </c>
      <c r="V73" s="70">
        <f t="shared" si="50"/>
        <v>3.2107037158829399E-2</v>
      </c>
      <c r="W73" s="70">
        <f t="shared" si="51"/>
        <v>5.037263899755634E-2</v>
      </c>
      <c r="X73" s="80">
        <f t="shared" si="52"/>
        <v>1.7216281387163301E-2</v>
      </c>
      <c r="Y73" s="90">
        <f t="shared" si="19"/>
        <v>1.2502740326646944E-2</v>
      </c>
    </row>
    <row r="74" spans="1:25" x14ac:dyDescent="0.25">
      <c r="A74" s="64">
        <v>44321</v>
      </c>
      <c r="B74" s="65">
        <v>36.6</v>
      </c>
      <c r="C74" s="66">
        <f>myParidad('Flujo de Fondos'!$B$5,A74,B74,'Flujo de Fondos'!$B$7,'Flujo de Fondos'!$B$6)</f>
        <v>0.36665294359818856</v>
      </c>
      <c r="D74" s="65">
        <v>38.75</v>
      </c>
      <c r="E74" s="67">
        <f>myParidad('Flujo de Fondos'!$H$5,$A74,D74,'Flujo de Fondos'!$H$7,'Flujo de Fondos'!$H$6)</f>
        <v>0.38819129957458487</v>
      </c>
      <c r="F74" s="65">
        <v>35.04</v>
      </c>
      <c r="G74" s="66">
        <f>myParidad('Flujo de Fondos'!$N$5,$A74,F74,'Flujo de Fondos'!$N$7,'Flujo de Fondos'!$N$6)</f>
        <v>0.35047801736687961</v>
      </c>
      <c r="H74" s="68">
        <v>36.82</v>
      </c>
      <c r="I74" s="66">
        <f>myParidad('Flujo de Fondos'!$T$5,$A74,H74,'Flujo de Fondos'!$T$7,'Flujo de Fondos'!$T$6)</f>
        <v>0.3678913240602919</v>
      </c>
      <c r="J74" s="68">
        <v>31.8</v>
      </c>
      <c r="K74" s="66">
        <f>myParidad('Flujo de Fondos'!$B$34,$A74,J74,'Flujo de Fondos'!$B$36,'Flujo de Fondos'!$B$35)</f>
        <v>0.3180708034322709</v>
      </c>
      <c r="L74" s="65">
        <v>33.869999999999997</v>
      </c>
      <c r="M74" s="66">
        <f>myParidad('Flujo de Fondos'!$H$34,'Paridad usd'!$A74,'Paridad usd'!L74,'Flujo de Fondos'!$H$36,'Flujo de Fondos'!$H$35)</f>
        <v>0.33877541233493752</v>
      </c>
      <c r="N74" s="69">
        <v>32.799999999999997</v>
      </c>
      <c r="O74" s="66">
        <f>myParidad('Flujo de Fondos'!$N$34,$A74,N74,'Flujo de Fondos'!$N$36,'Flujo de Fondos'!$N$35)</f>
        <v>0.32807302995529825</v>
      </c>
      <c r="P74" s="70">
        <f t="shared" si="94"/>
        <v>1.617492623130895E-2</v>
      </c>
      <c r="Q74" s="70">
        <f t="shared" si="95"/>
        <v>2.1538355976396306E-2</v>
      </c>
      <c r="R74" s="70">
        <f t="shared" si="90"/>
        <v>2.7877531263251043E-2</v>
      </c>
      <c r="S74" s="67">
        <f t="shared" si="91"/>
        <v>3.8579913642890318E-2</v>
      </c>
      <c r="T74" s="70">
        <f t="shared" si="96"/>
        <v>6.0118269619286624E-2</v>
      </c>
      <c r="U74" s="70">
        <f t="shared" si="92"/>
        <v>2.2404987411581367E-2</v>
      </c>
      <c r="V74" s="70">
        <f t="shared" si="50"/>
        <v>3.2407213934608714E-2</v>
      </c>
      <c r="W74" s="70">
        <f t="shared" si="51"/>
        <v>4.8582140165917664E-2</v>
      </c>
      <c r="X74" s="80">
        <f t="shared" si="52"/>
        <v>1.7413306693412289E-2</v>
      </c>
      <c r="Y74" s="90">
        <f t="shared" si="19"/>
        <v>1.1702605031942093E-2</v>
      </c>
    </row>
    <row r="75" spans="1:25" x14ac:dyDescent="0.25">
      <c r="A75" s="64">
        <v>44320</v>
      </c>
      <c r="B75" s="65">
        <v>36.75</v>
      </c>
      <c r="C75" s="66">
        <f>myParidad('Flujo de Fondos'!$B$5,A75,B75,'Flujo de Fondos'!$B$7,'Flujo de Fondos'!$B$6)</f>
        <v>0.36816572432343414</v>
      </c>
      <c r="D75" s="65">
        <v>36.61</v>
      </c>
      <c r="E75" s="67">
        <f>myParidad('Flujo de Fondos'!$H$5,$A75,D75,'Flujo de Fondos'!$H$7,'Flujo de Fondos'!$H$6)</f>
        <v>0.36676318823077347</v>
      </c>
      <c r="F75" s="65">
        <v>35.119999999999997</v>
      </c>
      <c r="G75" s="66">
        <f>myParidad('Flujo de Fondos'!$N$5,$A75,F75,'Flujo de Fondos'!$N$7,'Flujo de Fondos'!$N$6)</f>
        <v>0.35127939876821473</v>
      </c>
      <c r="H75" s="68">
        <v>37.049999999999997</v>
      </c>
      <c r="I75" s="66">
        <f>myParidad('Flujo de Fondos'!$T$5,$A75,H75,'Flujo de Fondos'!$T$7,'Flujo de Fondos'!$T$6)</f>
        <v>0.37019066259700795</v>
      </c>
      <c r="J75" s="68">
        <v>32.01</v>
      </c>
      <c r="K75" s="66">
        <f>myParidad('Flujo de Fondos'!$B$34,$A75,J75,'Flujo de Fondos'!$B$36,'Flujo de Fondos'!$B$35)</f>
        <v>0.32017236772695196</v>
      </c>
      <c r="L75" s="65">
        <v>33.65</v>
      </c>
      <c r="M75" s="66">
        <f>myParidad('Flujo de Fondos'!$H$34,'Paridad usd'!$A75,'Paridad usd'!L75,'Flujo de Fondos'!$H$36,'Flujo de Fondos'!$H$35)</f>
        <v>0.33657607541430595</v>
      </c>
      <c r="N75" s="69">
        <v>32.83</v>
      </c>
      <c r="O75" s="66">
        <f>myParidad('Flujo de Fondos'!$N$34,$A75,N75,'Flujo de Fondos'!$N$36,'Flujo de Fondos'!$N$35)</f>
        <v>0.32837422157062895</v>
      </c>
      <c r="P75" s="70">
        <f t="shared" si="94"/>
        <v>1.6886325555219406E-2</v>
      </c>
      <c r="Q75" s="70">
        <f t="shared" si="95"/>
        <v>-1.4025360926606667E-3</v>
      </c>
      <c r="R75" s="70">
        <f t="shared" si="90"/>
        <v>3.1589648909128187E-2</v>
      </c>
      <c r="S75" s="67">
        <f t="shared" si="91"/>
        <v>3.9791502752805186E-2</v>
      </c>
      <c r="T75" s="70">
        <f t="shared" si="96"/>
        <v>3.8388966660144519E-2</v>
      </c>
      <c r="U75" s="70">
        <f t="shared" si="92"/>
        <v>2.290517719758578E-2</v>
      </c>
      <c r="V75" s="70">
        <f t="shared" si="50"/>
        <v>3.1107031041262778E-2</v>
      </c>
      <c r="W75" s="70">
        <f t="shared" si="51"/>
        <v>4.7993356596482184E-2</v>
      </c>
      <c r="X75" s="80">
        <f t="shared" si="52"/>
        <v>1.8911263828793212E-2</v>
      </c>
      <c r="Y75" s="90">
        <f t="shared" si="19"/>
        <v>1.4703323353908782E-2</v>
      </c>
    </row>
    <row r="76" spans="1:25" x14ac:dyDescent="0.25">
      <c r="A76" s="64">
        <v>44319</v>
      </c>
      <c r="B76" s="65">
        <v>36.770000000000003</v>
      </c>
      <c r="C76" s="66">
        <f>myParidad('Flujo de Fondos'!$B$5,A76,B76,'Flujo de Fondos'!$B$7,'Flujo de Fondos'!$B$6)</f>
        <v>0.36837619740345295</v>
      </c>
      <c r="D76" s="65">
        <v>39.56</v>
      </c>
      <c r="E76" s="67">
        <f>myParidad('Flujo de Fondos'!$H$5,$A76,D76,'Flujo de Fondos'!$H$7,'Flujo de Fondos'!$H$6)</f>
        <v>0.39632750528367144</v>
      </c>
      <c r="F76" s="65">
        <v>35.18</v>
      </c>
      <c r="G76" s="66">
        <f>myParidad('Flujo de Fondos'!$N$5,$A76,F76,'Flujo de Fondos'!$N$7,'Flujo de Fondos'!$N$6)</f>
        <v>0.35188073975878026</v>
      </c>
      <c r="H76" s="68">
        <v>37.07</v>
      </c>
      <c r="I76" s="66">
        <f>myParidad('Flujo de Fondos'!$T$5,$A76,H76,'Flujo de Fondos'!$T$7,'Flujo de Fondos'!$T$6)</f>
        <v>0.37039176301913135</v>
      </c>
      <c r="J76" s="68">
        <v>32</v>
      </c>
      <c r="K76" s="66">
        <f>myParidad('Flujo de Fondos'!$B$34,$A76,J76,'Flujo de Fondos'!$B$36,'Flujo de Fondos'!$B$35)</f>
        <v>0.32007344150883937</v>
      </c>
      <c r="L76" s="65">
        <v>33.65</v>
      </c>
      <c r="M76" s="66">
        <f>myParidad('Flujo de Fondos'!$H$34,'Paridad usd'!$A76,'Paridad usd'!L76,'Flujo de Fondos'!$H$36,'Flujo de Fondos'!$H$35)</f>
        <v>0.33657722833663889</v>
      </c>
      <c r="N76" s="69">
        <v>32.549999999999997</v>
      </c>
      <c r="O76" s="66">
        <f>myParidad('Flujo de Fondos'!$N$34,$A76,N76,'Flujo de Fondos'!$N$36,'Flujo de Fondos'!$N$35)</f>
        <v>0.32557470378477249</v>
      </c>
      <c r="P76" s="70">
        <f t="shared" si="94"/>
        <v>1.6495457644672695E-2</v>
      </c>
      <c r="Q76" s="70">
        <f t="shared" si="95"/>
        <v>2.795130788021849E-2</v>
      </c>
      <c r="R76" s="70">
        <f t="shared" si="90"/>
        <v>3.1798969066814065E-2</v>
      </c>
      <c r="S76" s="67">
        <f t="shared" si="91"/>
        <v>4.2801493618680464E-2</v>
      </c>
      <c r="T76" s="70">
        <f t="shared" si="96"/>
        <v>7.0752801498898954E-2</v>
      </c>
      <c r="U76" s="70">
        <f t="shared" si="92"/>
        <v>2.6306035974007769E-2</v>
      </c>
      <c r="V76" s="70">
        <f t="shared" si="50"/>
        <v>3.1807298249940885E-2</v>
      </c>
      <c r="W76" s="70">
        <f t="shared" si="51"/>
        <v>4.830275589461358E-2</v>
      </c>
      <c r="X76" s="80">
        <f t="shared" si="52"/>
        <v>1.8511023260351089E-2</v>
      </c>
      <c r="Y76" s="90">
        <f t="shared" si="19"/>
        <v>1.5303511422141369E-2</v>
      </c>
    </row>
    <row r="77" spans="1:25" x14ac:dyDescent="0.25">
      <c r="A77" s="64">
        <v>44316</v>
      </c>
      <c r="B77" s="65">
        <v>36.85</v>
      </c>
      <c r="C77" s="66">
        <f>myParidad('Flujo de Fondos'!$B$5,A77,B77,'Flujo de Fondos'!$B$7,'Flujo de Fondos'!$B$6)</f>
        <v>0.36920807027175406</v>
      </c>
      <c r="D77" s="65">
        <v>39</v>
      </c>
      <c r="E77" s="67">
        <f>myParidad('Flujo de Fondos'!$H$5,$A77,D77,'Flujo de Fondos'!$H$7,'Flujo de Fondos'!$H$6)</f>
        <v>0.39074938237716167</v>
      </c>
      <c r="F77" s="65">
        <v>35.159999999999997</v>
      </c>
      <c r="G77" s="66">
        <f>myParidad('Flujo de Fondos'!$N$5,$A77,F77,'Flujo de Fondos'!$N$7,'Flujo de Fondos'!$N$6)</f>
        <v>0.35168430788202648</v>
      </c>
      <c r="H77" s="68">
        <v>37.21</v>
      </c>
      <c r="I77" s="66">
        <f>myParidad('Flujo de Fondos'!$T$5,$A77,H77,'Flujo de Fondos'!$T$7,'Flujo de Fondos'!$T$6)</f>
        <v>0.37179441554886394</v>
      </c>
      <c r="J77" s="68">
        <v>32</v>
      </c>
      <c r="K77" s="66">
        <f>myParidad('Flujo de Fondos'!$B$34,$A77,J77,'Flujo de Fondos'!$B$36,'Flujo de Fondos'!$B$35)</f>
        <v>0.32007673072311854</v>
      </c>
      <c r="L77" s="65">
        <v>34.06</v>
      </c>
      <c r="M77" s="66">
        <f>myParidad('Flujo de Fondos'!$H$34,'Paridad usd'!$A77,'Paridad usd'!L77,'Flujo de Fondos'!$H$36,'Flujo de Fondos'!$H$35)</f>
        <v>0.34068167026341933</v>
      </c>
      <c r="N77" s="69">
        <v>32.950000000000003</v>
      </c>
      <c r="O77" s="66">
        <f>myParidad('Flujo de Fondos'!$N$34,$A77,N77,'Flujo de Fondos'!$N$36,'Flujo de Fondos'!$N$35)</f>
        <v>0.32957900866646117</v>
      </c>
      <c r="P77" s="70">
        <f t="shared" si="94"/>
        <v>1.7523762389727582E-2</v>
      </c>
      <c r="Q77" s="70">
        <f t="shared" si="95"/>
        <v>2.1541312105407606E-2</v>
      </c>
      <c r="R77" s="70">
        <f t="shared" si="90"/>
        <v>2.8526400008334729E-2</v>
      </c>
      <c r="S77" s="67">
        <f t="shared" si="91"/>
        <v>3.9629061605292892E-2</v>
      </c>
      <c r="T77" s="70">
        <f t="shared" si="96"/>
        <v>6.1170373710700499E-2</v>
      </c>
      <c r="U77" s="70">
        <f t="shared" si="92"/>
        <v>2.2105299215565311E-2</v>
      </c>
      <c r="V77" s="70">
        <f t="shared" si="50"/>
        <v>3.160757715890794E-2</v>
      </c>
      <c r="W77" s="70">
        <f t="shared" si="51"/>
        <v>4.9131339548635522E-2</v>
      </c>
      <c r="X77" s="80">
        <f t="shared" si="52"/>
        <v>2.0110107666837462E-2</v>
      </c>
      <c r="Y77" s="90">
        <f t="shared" si="19"/>
        <v>1.1002637618607147E-2</v>
      </c>
    </row>
    <row r="78" spans="1:25" x14ac:dyDescent="0.25">
      <c r="A78" s="64">
        <v>44315</v>
      </c>
      <c r="B78" s="65">
        <v>36.799999999999997</v>
      </c>
      <c r="C78" s="66">
        <f>myParidad('Flujo de Fondos'!$B$5,A78,B78,'Flujo de Fondos'!$B$7,'Flujo de Fondos'!$B$6)</f>
        <v>0.3687172307776771</v>
      </c>
      <c r="D78" s="65">
        <v>39.700000000000003</v>
      </c>
      <c r="E78" s="67">
        <f>myParidad('Flujo de Fondos'!$H$5,$A78,D78,'Flujo de Fondos'!$H$7,'Flujo de Fondos'!$H$6)</f>
        <v>0.39777375168135282</v>
      </c>
      <c r="F78" s="65">
        <v>35.229999999999997</v>
      </c>
      <c r="G78" s="66">
        <f>myParidad('Flujo de Fondos'!$N$5,$A78,F78,'Flujo de Fondos'!$N$7,'Flujo de Fondos'!$N$6)</f>
        <v>0.35238568282013777</v>
      </c>
      <c r="H78" s="68">
        <v>36.75</v>
      </c>
      <c r="I78" s="66">
        <f>myParidad('Flujo de Fondos'!$T$5,$A78,H78,'Flujo de Fondos'!$T$7,'Flujo de Fondos'!$T$6)</f>
        <v>0.36719944976543173</v>
      </c>
      <c r="J78" s="68">
        <v>31.75</v>
      </c>
      <c r="K78" s="66">
        <f>myParidad('Flujo de Fondos'!$B$34,$A78,J78,'Flujo de Fondos'!$B$36,'Flujo de Fondos'!$B$35)</f>
        <v>0.31757721911834724</v>
      </c>
      <c r="L78" s="65">
        <v>33.9</v>
      </c>
      <c r="M78" s="66">
        <f>myParidad('Flujo de Fondos'!$H$34,'Paridad usd'!$A78,'Paridad usd'!L78,'Flujo de Fondos'!$H$36,'Flujo de Fondos'!$H$35)</f>
        <v>0.33908244812951094</v>
      </c>
      <c r="N78" s="69">
        <v>32.75</v>
      </c>
      <c r="O78" s="66">
        <f>myParidad('Flujo de Fondos'!$N$34,$A78,N78,'Flujo de Fondos'!$N$36,'Flujo de Fondos'!$N$35)</f>
        <v>0.32757965121656291</v>
      </c>
      <c r="P78" s="70">
        <f t="shared" si="94"/>
        <v>1.6331547957539327E-2</v>
      </c>
      <c r="Q78" s="70">
        <f t="shared" si="95"/>
        <v>2.905652090367572E-2</v>
      </c>
      <c r="R78" s="70">
        <f t="shared" si="90"/>
        <v>2.9634782648166158E-2</v>
      </c>
      <c r="S78" s="67">
        <f t="shared" si="91"/>
        <v>4.113757956111419E-2</v>
      </c>
      <c r="T78" s="70">
        <f t="shared" si="96"/>
        <v>7.019410046478991E-2</v>
      </c>
      <c r="U78" s="70">
        <f t="shared" si="92"/>
        <v>2.4806031603574863E-2</v>
      </c>
      <c r="V78" s="70">
        <f t="shared" si="50"/>
        <v>3.4808463701790526E-2</v>
      </c>
      <c r="W78" s="70">
        <f t="shared" si="51"/>
        <v>5.1140011659329854E-2</v>
      </c>
      <c r="X78" s="80">
        <f t="shared" si="52"/>
        <v>1.481376694529396E-2</v>
      </c>
      <c r="Y78" s="90">
        <f t="shared" si="19"/>
        <v>1.3303234690626831E-2</v>
      </c>
    </row>
    <row r="79" spans="1:25" x14ac:dyDescent="0.25">
      <c r="A79" s="64">
        <v>44314</v>
      </c>
      <c r="B79" s="65">
        <v>37.25</v>
      </c>
      <c r="C79" s="66">
        <f>myParidad('Flujo de Fondos'!$B$5,A79,B79,'Flujo de Fondos'!$B$7,'Flujo de Fondos'!$B$6)</f>
        <v>0.37323624684308776</v>
      </c>
      <c r="D79" s="65">
        <v>39.25</v>
      </c>
      <c r="E79" s="67">
        <f>myParidad('Flujo de Fondos'!$H$5,$A79,D79,'Flujo de Fondos'!$H$7,'Flujo de Fondos'!$H$6)</f>
        <v>0.39327577687493137</v>
      </c>
      <c r="F79" s="65">
        <v>35.35</v>
      </c>
      <c r="G79" s="66">
        <f>myParidad('Flujo de Fondos'!$N$5,$A79,F79,'Flujo de Fondos'!$N$7,'Flujo de Fondos'!$N$6)</f>
        <v>0.35358718588145022</v>
      </c>
      <c r="H79" s="68">
        <v>36.96</v>
      </c>
      <c r="I79" s="66">
        <f>myParidad('Flujo de Fondos'!$T$5,$A79,H79,'Flujo de Fondos'!$T$7,'Flujo de Fondos'!$T$6)</f>
        <v>0.36929899602378885</v>
      </c>
      <c r="J79" s="68">
        <v>32.200000000000003</v>
      </c>
      <c r="K79" s="66">
        <f>myParidad('Flujo de Fondos'!$B$34,$A79,J79,'Flujo de Fondos'!$B$36,'Flujo de Fondos'!$B$35)</f>
        <v>0.32207941684250913</v>
      </c>
      <c r="L79" s="65">
        <v>34.299999999999997</v>
      </c>
      <c r="M79" s="66">
        <f>myParidad('Flujo de Fondos'!$H$34,'Paridad usd'!$A79,'Paridad usd'!L79,'Flujo de Fondos'!$H$36,'Flujo de Fondos'!$H$35)</f>
        <v>0.34308459620180315</v>
      </c>
      <c r="N79" s="69">
        <v>33.15</v>
      </c>
      <c r="O79" s="66">
        <f>myParidad('Flujo de Fondos'!$N$34,$A79,N79,'Flujo de Fondos'!$N$36,'Flujo de Fondos'!$N$35)</f>
        <v>0.33158175988599925</v>
      </c>
      <c r="P79" s="70">
        <f t="shared" si="94"/>
        <v>1.9649060961637543E-2</v>
      </c>
      <c r="Q79" s="70">
        <f t="shared" si="95"/>
        <v>2.0039530031843611E-2</v>
      </c>
      <c r="R79" s="70">
        <f t="shared" si="90"/>
        <v>3.0151650641284611E-2</v>
      </c>
      <c r="S79" s="67">
        <f t="shared" si="91"/>
        <v>4.165448695708851E-2</v>
      </c>
      <c r="T79" s="70">
        <f t="shared" si="96"/>
        <v>6.1694016988932121E-2</v>
      </c>
      <c r="U79" s="70">
        <f t="shared" si="92"/>
        <v>2.2005425995450967E-2</v>
      </c>
      <c r="V79" s="70">
        <f t="shared" si="50"/>
        <v>3.1507769038941091E-2</v>
      </c>
      <c r="W79" s="70">
        <f t="shared" si="51"/>
        <v>5.1156830000578635E-2</v>
      </c>
      <c r="X79" s="80">
        <f t="shared" si="52"/>
        <v>1.5711810142338634E-2</v>
      </c>
      <c r="Y79" s="90">
        <f t="shared" si="19"/>
        <v>1.0502589679647067E-2</v>
      </c>
    </row>
    <row r="80" spans="1:25" x14ac:dyDescent="0.25">
      <c r="A80" s="64">
        <v>44313</v>
      </c>
      <c r="B80" s="65">
        <v>36.979999999999997</v>
      </c>
      <c r="C80" s="66">
        <f>myParidad('Flujo de Fondos'!$B$5,A80,B80,'Flujo de Fondos'!$B$7,'Flujo de Fondos'!$B$6)</f>
        <v>0.37054108216432863</v>
      </c>
      <c r="D80" s="65">
        <v>39.4</v>
      </c>
      <c r="E80" s="67">
        <f>myParidad('Flujo de Fondos'!$H$5,$A80,D80,'Flujo de Fondos'!$H$7,'Flujo de Fondos'!$H$6)</f>
        <v>0.39478957915831664</v>
      </c>
      <c r="F80" s="65">
        <v>35.25</v>
      </c>
      <c r="G80" s="66">
        <f>myParidad('Flujo de Fondos'!$N$5,$A80,F80,'Flujo de Fondos'!$N$7,'Flujo de Fondos'!$N$6)</f>
        <v>0.35258814703675917</v>
      </c>
      <c r="H80" s="68">
        <v>37.14</v>
      </c>
      <c r="I80" s="66">
        <f>myParidad('Flujo de Fondos'!$T$5,$A80,H80,'Flujo de Fondos'!$T$7,'Flujo de Fondos'!$T$6)</f>
        <v>0.37109879994661865</v>
      </c>
      <c r="J80" s="68">
        <v>32.049999999999997</v>
      </c>
      <c r="K80" s="66">
        <f>myParidad('Flujo de Fondos'!$B$34,$A80,J80,'Flujo de Fondos'!$B$36,'Flujo de Fondos'!$B$35)</f>
        <v>0.32058014503625903</v>
      </c>
      <c r="L80" s="65">
        <v>33.9</v>
      </c>
      <c r="M80" s="66">
        <f>myParidad('Flujo de Fondos'!$H$34,'Paridad usd'!$A80,'Paridad usd'!L80,'Flujo de Fondos'!$H$36,'Flujo de Fondos'!$H$35)</f>
        <v>0.33908477119279817</v>
      </c>
      <c r="N80" s="69">
        <v>32.950000000000003</v>
      </c>
      <c r="O80" s="66">
        <f>myParidad('Flujo de Fondos'!$N$34,$A80,N80,'Flujo de Fondos'!$N$36,'Flujo de Fondos'!$N$35)</f>
        <v>0.32958239559889974</v>
      </c>
      <c r="P80" s="70">
        <f t="shared" si="94"/>
        <v>1.7952935127569458E-2</v>
      </c>
      <c r="Q80" s="70">
        <f t="shared" si="95"/>
        <v>2.4248496993988011E-2</v>
      </c>
      <c r="R80" s="70">
        <f t="shared" si="90"/>
        <v>3.1456310971530455E-2</v>
      </c>
      <c r="S80" s="67">
        <f t="shared" si="91"/>
        <v>4.0958686565428892E-2</v>
      </c>
      <c r="T80" s="70">
        <f t="shared" si="96"/>
        <v>6.5207183559416904E-2</v>
      </c>
      <c r="U80" s="70">
        <f t="shared" si="92"/>
        <v>2.3005751437859434E-2</v>
      </c>
      <c r="V80" s="70">
        <f t="shared" si="50"/>
        <v>3.2008002000500135E-2</v>
      </c>
      <c r="W80" s="70">
        <f t="shared" si="51"/>
        <v>4.9960937128069594E-2</v>
      </c>
      <c r="X80" s="80">
        <f t="shared" si="52"/>
        <v>1.8510652909859482E-2</v>
      </c>
      <c r="Y80" s="90">
        <f t="shared" si="19"/>
        <v>1.3503375843960996E-2</v>
      </c>
    </row>
    <row r="81" spans="1:25" x14ac:dyDescent="0.25">
      <c r="A81" s="64">
        <v>44312</v>
      </c>
      <c r="B81" s="65">
        <v>36.840000000000003</v>
      </c>
      <c r="C81" s="66">
        <f>myParidad('Flujo de Fondos'!$B$5,A81,B81,'Flujo de Fondos'!$B$7,'Flujo de Fondos'!$B$6)</f>
        <v>0.36914841047603364</v>
      </c>
      <c r="D81" s="65">
        <v>39.5</v>
      </c>
      <c r="E81" s="67">
        <f>myParidad('Flujo de Fondos'!$H$5,$A81,D81,'Flujo de Fondos'!$H$7,'Flujo de Fondos'!$H$6)</f>
        <v>0.39580244880030746</v>
      </c>
      <c r="F81" s="65">
        <v>34.869999999999997</v>
      </c>
      <c r="G81" s="66">
        <f>myParidad('Flujo de Fondos'!$N$5,$A81,F81,'Flujo de Fondos'!$N$7,'Flujo de Fondos'!$N$6)</f>
        <v>0.34878839157868774</v>
      </c>
      <c r="H81" s="68">
        <v>36.85</v>
      </c>
      <c r="I81" s="66">
        <f>myParidad('Flujo de Fondos'!$T$5,$A81,H81,'Flujo de Fondos'!$T$7,'Flujo de Fondos'!$T$6)</f>
        <v>0.36820241174940804</v>
      </c>
      <c r="J81" s="68">
        <v>31.5</v>
      </c>
      <c r="K81" s="66">
        <f>myParidad('Flujo de Fondos'!$B$34,$A81,J81,'Flujo de Fondos'!$B$36,'Flujo de Fondos'!$B$35)</f>
        <v>0.31507984900282948</v>
      </c>
      <c r="L81" s="65">
        <v>33.75</v>
      </c>
      <c r="M81" s="66">
        <f>myParidad('Flujo de Fondos'!$H$34,'Paridad usd'!$A81,'Paridad usd'!L81,'Flujo de Fondos'!$H$36,'Flujo de Fondos'!$H$35)</f>
        <v>0.33758555250303157</v>
      </c>
      <c r="N81" s="69">
        <v>32.799999999999997</v>
      </c>
      <c r="O81" s="66">
        <f>myParidad('Flujo de Fondos'!$N$34,$A81,N81,'Flujo de Fondos'!$N$36,'Flujo de Fondos'!$N$35)</f>
        <v>0.32808314435850178</v>
      </c>
      <c r="P81" s="70">
        <f t="shared" si="94"/>
        <v>2.03600188973459E-2</v>
      </c>
      <c r="Q81" s="70">
        <f t="shared" si="95"/>
        <v>2.6654038324273821E-2</v>
      </c>
      <c r="R81" s="70">
        <f t="shared" si="90"/>
        <v>3.1562857973002068E-2</v>
      </c>
      <c r="S81" s="67">
        <f t="shared" si="91"/>
        <v>4.1065266117531862E-2</v>
      </c>
      <c r="T81" s="70">
        <f t="shared" si="96"/>
        <v>6.7719304441805683E-2</v>
      </c>
      <c r="U81" s="70">
        <f t="shared" si="92"/>
        <v>2.0705247220185963E-2</v>
      </c>
      <c r="V81" s="70">
        <f t="shared" si="50"/>
        <v>3.3708542575858258E-2</v>
      </c>
      <c r="W81" s="70">
        <f t="shared" si="51"/>
        <v>5.4068561473204158E-2</v>
      </c>
      <c r="X81" s="80">
        <f t="shared" si="52"/>
        <v>1.9414020170720303E-2</v>
      </c>
      <c r="Y81" s="90">
        <f t="shared" ref="Y81:Y144" si="97">G81-M81</f>
        <v>1.1202839075656168E-2</v>
      </c>
    </row>
    <row r="82" spans="1:25" x14ac:dyDescent="0.25">
      <c r="A82" s="64">
        <v>44309</v>
      </c>
      <c r="B82" s="65">
        <v>36.549999999999997</v>
      </c>
      <c r="C82" s="66">
        <f>myParidad('Flujo de Fondos'!$B$5,A82,B82,'Flujo de Fondos'!$B$7,'Flujo de Fondos'!$B$6)</f>
        <v>0.36627268484199543</v>
      </c>
      <c r="D82" s="65">
        <v>39.75</v>
      </c>
      <c r="E82" s="67">
        <f>myParidad('Flujo de Fondos'!$H$5,$A82,D82,'Flujo de Fondos'!$H$7,'Flujo de Fondos'!$H$6)</f>
        <v>0.39834033440408534</v>
      </c>
      <c r="F82" s="65">
        <v>34.22</v>
      </c>
      <c r="G82" s="66">
        <f>myParidad('Flujo de Fondos'!$N$5,$A82,F82,'Flujo de Fondos'!$N$7,'Flujo de Fondos'!$N$6)</f>
        <v>0.34229026147305969</v>
      </c>
      <c r="H82" s="68">
        <v>36.659999999999997</v>
      </c>
      <c r="I82" s="66">
        <f>myParidad('Flujo de Fondos'!$T$5,$A82,H82,'Flujo de Fondos'!$T$7,'Flujo de Fondos'!$T$6)</f>
        <v>0.36630770652185068</v>
      </c>
      <c r="J82" s="68">
        <v>31.5</v>
      </c>
      <c r="K82" s="66">
        <f>myParidad('Flujo de Fondos'!$B$34,$A82,J82,'Flujo de Fondos'!$B$36,'Flujo de Fondos'!$B$35)</f>
        <v>0.31508308697841553</v>
      </c>
      <c r="L82" s="65">
        <v>33.869999999999997</v>
      </c>
      <c r="M82" s="66">
        <f>myParidad('Flujo de Fondos'!$H$34,'Paridad usd'!$A82,'Paridad usd'!L82,'Flujo de Fondos'!$H$36,'Flujo de Fondos'!$H$35)</f>
        <v>0.3387893382844106</v>
      </c>
      <c r="N82" s="69">
        <v>32.799999999999997</v>
      </c>
      <c r="O82" s="66">
        <f>myParidad('Flujo de Fondos'!$N$34,$A82,N82,'Flujo de Fondos'!$N$36,'Flujo de Fondos'!$N$35)</f>
        <v>0.3280865159648263</v>
      </c>
      <c r="P82" s="70">
        <f t="shared" si="94"/>
        <v>2.3982423368935746E-2</v>
      </c>
      <c r="Q82" s="70">
        <f t="shared" si="95"/>
        <v>3.2067649562089906E-2</v>
      </c>
      <c r="R82" s="70">
        <f t="shared" si="90"/>
        <v>2.7483346557584831E-2</v>
      </c>
      <c r="S82" s="67">
        <f t="shared" si="91"/>
        <v>3.8186168877169135E-2</v>
      </c>
      <c r="T82" s="70">
        <f t="shared" si="96"/>
        <v>7.0253818439259041E-2</v>
      </c>
      <c r="U82" s="70">
        <f t="shared" si="92"/>
        <v>1.420374550823339E-2</v>
      </c>
      <c r="V82" s="70">
        <f t="shared" si="50"/>
        <v>2.720717449464416E-2</v>
      </c>
      <c r="W82" s="70">
        <f t="shared" si="51"/>
        <v>5.1189597863579905E-2</v>
      </c>
      <c r="X82" s="80">
        <f t="shared" si="52"/>
        <v>2.4017445048790997E-2</v>
      </c>
      <c r="Y82" s="90">
        <f t="shared" si="97"/>
        <v>3.5009231886490855E-3</v>
      </c>
    </row>
    <row r="83" spans="1:25" x14ac:dyDescent="0.25">
      <c r="A83" s="64">
        <v>44308</v>
      </c>
      <c r="B83" s="65">
        <v>36.6</v>
      </c>
      <c r="C83" s="66">
        <f>myParidad('Flujo de Fondos'!$B$5,A83,B83,'Flujo de Fondos'!$B$7,'Flujo de Fondos'!$B$6)</f>
        <v>0.36678381198176929</v>
      </c>
      <c r="D83" s="65">
        <v>39.799999999999997</v>
      </c>
      <c r="E83" s="67">
        <f>myParidad('Flujo de Fondos'!$H$5,$A83,D83,'Flujo de Fondos'!$H$7,'Flujo de Fondos'!$H$6)</f>
        <v>0.39885234199110425</v>
      </c>
      <c r="F83" s="65">
        <v>34.369999999999997</v>
      </c>
      <c r="G83" s="66">
        <f>myParidad('Flujo de Fondos'!$N$5,$A83,F83,'Flujo de Fondos'!$N$7,'Flujo de Fondos'!$N$6)</f>
        <v>0.34379183480518766</v>
      </c>
      <c r="H83" s="68">
        <v>36.700000000000003</v>
      </c>
      <c r="I83" s="66">
        <f>myParidad('Flujo de Fondos'!$T$5,$A83,H83,'Flujo de Fondos'!$T$7,'Flujo de Fondos'!$T$6)</f>
        <v>0.36670864244846563</v>
      </c>
      <c r="J83" s="68">
        <v>31.16</v>
      </c>
      <c r="K83" s="66">
        <f>myParidad('Flujo de Fondos'!$B$34,$A83,J83,'Flujo de Fondos'!$B$36,'Flujo de Fondos'!$B$35)</f>
        <v>0.31168325785655071</v>
      </c>
      <c r="L83" s="65">
        <v>34.200000000000003</v>
      </c>
      <c r="M83" s="66">
        <f>myParidad('Flujo de Fondos'!$H$34,'Paridad usd'!$A83,'Paridad usd'!L83,'Flujo de Fondos'!$H$36,'Flujo de Fondos'!$H$35)</f>
        <v>0.34209138057426303</v>
      </c>
      <c r="N83" s="69">
        <v>33.450000000000003</v>
      </c>
      <c r="O83" s="66">
        <f>myParidad('Flujo de Fondos'!$N$34,$A83,N83,'Flujo de Fondos'!$N$36,'Flujo de Fondos'!$N$35)</f>
        <v>0.3345893766143011</v>
      </c>
      <c r="P83" s="70">
        <f t="shared" si="94"/>
        <v>2.2991977176581635E-2</v>
      </c>
      <c r="Q83" s="70">
        <f t="shared" si="95"/>
        <v>3.2068530009334961E-2</v>
      </c>
      <c r="R83" s="70">
        <f t="shared" si="90"/>
        <v>2.4692431407506266E-2</v>
      </c>
      <c r="S83" s="67">
        <f t="shared" si="91"/>
        <v>3.2194435367468188E-2</v>
      </c>
      <c r="T83" s="70">
        <f t="shared" si="96"/>
        <v>6.4262965376803149E-2</v>
      </c>
      <c r="U83" s="70">
        <f t="shared" si="92"/>
        <v>9.2024581908865533E-3</v>
      </c>
      <c r="V83" s="70">
        <f t="shared" si="50"/>
        <v>3.2108576948636947E-2</v>
      </c>
      <c r="W83" s="70">
        <f t="shared" si="51"/>
        <v>5.5100554125218582E-2</v>
      </c>
      <c r="X83" s="80">
        <f t="shared" si="52"/>
        <v>2.291680764327797E-2</v>
      </c>
      <c r="Y83" s="90">
        <f t="shared" si="97"/>
        <v>1.7004542309246307E-3</v>
      </c>
    </row>
    <row r="84" spans="1:25" x14ac:dyDescent="0.25">
      <c r="A84" s="64">
        <v>44307</v>
      </c>
      <c r="B84" s="65">
        <v>36.4</v>
      </c>
      <c r="C84" s="66">
        <f>myParidad('Flujo de Fondos'!$B$5,A84,B84,'Flujo de Fondos'!$B$7,'Flujo de Fondos'!$B$6)</f>
        <v>0.36478954449356138</v>
      </c>
      <c r="D84" s="65">
        <v>39</v>
      </c>
      <c r="E84" s="67">
        <f>myParidad('Flujo de Fondos'!$H$5,$A84,D84,'Flujo de Fondos'!$H$7,'Flujo de Fondos'!$H$6)</f>
        <v>0.39084594052881577</v>
      </c>
      <c r="F84" s="65">
        <v>34.35</v>
      </c>
      <c r="G84" s="66">
        <f>myParidad('Flujo de Fondos'!$N$5,$A84,F84,'Flujo de Fondos'!$N$7,'Flujo de Fondos'!$N$6)</f>
        <v>0.34359295836887377</v>
      </c>
      <c r="H84" s="68">
        <v>36.630000000000003</v>
      </c>
      <c r="I84" s="66">
        <f>myParidad('Flujo de Fondos'!$T$5,$A84,H84,'Flujo de Fondos'!$T$7,'Flujo de Fondos'!$T$6)</f>
        <v>0.36601045063665388</v>
      </c>
      <c r="J84" s="68">
        <v>30.95</v>
      </c>
      <c r="K84" s="66">
        <f>myParidad('Flujo de Fondos'!$B$34,$A84,J84,'Flujo de Fondos'!$B$36,'Flujo de Fondos'!$B$35)</f>
        <v>0.3095837572493928</v>
      </c>
      <c r="L84" s="65">
        <v>33.799999999999997</v>
      </c>
      <c r="M84" s="66">
        <f>myParidad('Flujo de Fondos'!$H$34,'Paridad usd'!$A84,'Paridad usd'!L84,'Flujo de Fondos'!$H$36,'Flujo de Fondos'!$H$35)</f>
        <v>0.33809146995248712</v>
      </c>
      <c r="N84" s="69">
        <v>33</v>
      </c>
      <c r="O84" s="66">
        <f>myParidad('Flujo de Fondos'!$N$34,$A84,N84,'Flujo de Fondos'!$N$36,'Flujo de Fondos'!$N$35)</f>
        <v>0.3300893049831975</v>
      </c>
      <c r="P84" s="70">
        <f t="shared" si="94"/>
        <v>2.1196586124687611E-2</v>
      </c>
      <c r="Q84" s="70">
        <f t="shared" si="95"/>
        <v>2.6056396035254392E-2</v>
      </c>
      <c r="R84" s="70">
        <f t="shared" si="90"/>
        <v>2.6698074541074257E-2</v>
      </c>
      <c r="S84" s="67">
        <f t="shared" si="91"/>
        <v>3.4700239510363884E-2</v>
      </c>
      <c r="T84" s="70">
        <f t="shared" si="96"/>
        <v>6.0756635545618276E-2</v>
      </c>
      <c r="U84" s="70">
        <f t="shared" si="92"/>
        <v>1.3503653385676273E-2</v>
      </c>
      <c r="V84" s="70">
        <f t="shared" si="50"/>
        <v>3.400920111948097E-2</v>
      </c>
      <c r="W84" s="70">
        <f t="shared" si="51"/>
        <v>5.520578724416858E-2</v>
      </c>
      <c r="X84" s="80">
        <f t="shared" si="52"/>
        <v>2.2417492267780115E-2</v>
      </c>
      <c r="Y84" s="90">
        <f t="shared" si="97"/>
        <v>5.5014884163866462E-3</v>
      </c>
    </row>
    <row r="85" spans="1:25" x14ac:dyDescent="0.25">
      <c r="A85" s="64">
        <v>44306</v>
      </c>
      <c r="B85" s="65">
        <v>36.15</v>
      </c>
      <c r="C85" s="66">
        <f>myParidad('Flujo de Fondos'!$B$5,A85,B85,'Flujo de Fondos'!$B$7,'Flujo de Fondos'!$B$6)</f>
        <v>0.3622940691927512</v>
      </c>
      <c r="D85" s="65">
        <v>39.35</v>
      </c>
      <c r="E85" s="67">
        <f>myParidad('Flujo de Fondos'!$H$5,$A85,D85,'Flujo de Fondos'!$H$7,'Flujo de Fondos'!$H$6)</f>
        <v>0.39436436024162552</v>
      </c>
      <c r="F85" s="65">
        <v>34.26</v>
      </c>
      <c r="G85" s="66">
        <f>myParidad('Flujo de Fondos'!$N$5,$A85,F85,'Flujo de Fondos'!$N$7,'Flujo de Fondos'!$N$6)</f>
        <v>0.34269388873664014</v>
      </c>
      <c r="H85" s="68">
        <v>36.200000000000003</v>
      </c>
      <c r="I85" s="66">
        <f>myParidad('Flujo de Fondos'!$T$5,$A85,H85,'Flujo de Fondos'!$T$7,'Flujo de Fondos'!$T$6)</f>
        <v>0.36171508743113306</v>
      </c>
      <c r="J85" s="68">
        <v>30.86</v>
      </c>
      <c r="K85" s="66">
        <f>myParidad('Flujo de Fondos'!$B$34,$A85,J85,'Flujo de Fondos'!$B$36,'Flujo de Fondos'!$B$35)</f>
        <v>0.30868457111537406</v>
      </c>
      <c r="L85" s="65">
        <v>33.65</v>
      </c>
      <c r="M85" s="66">
        <f>myParidad('Flujo de Fondos'!$H$34,'Paridad usd'!$A85,'Paridad usd'!L85,'Flujo de Fondos'!$H$36,'Flujo de Fondos'!$H$35)</f>
        <v>0.33659221704576597</v>
      </c>
      <c r="N85" s="69">
        <v>33</v>
      </c>
      <c r="O85" s="66">
        <f>myParidad('Flujo de Fondos'!$N$34,$A85,N85,'Flujo de Fondos'!$N$36,'Flujo de Fondos'!$N$35)</f>
        <v>0.33009043573581803</v>
      </c>
      <c r="P85" s="70">
        <f t="shared" si="94"/>
        <v>1.960018045611106E-2</v>
      </c>
      <c r="Q85" s="70">
        <f t="shared" si="95"/>
        <v>3.2070291048874322E-2</v>
      </c>
      <c r="R85" s="70">
        <f t="shared" si="90"/>
        <v>2.5701852146985227E-2</v>
      </c>
      <c r="S85" s="67">
        <f t="shared" si="91"/>
        <v>3.2203633456933167E-2</v>
      </c>
      <c r="T85" s="70">
        <f t="shared" si="96"/>
        <v>6.4273924505807489E-2</v>
      </c>
      <c r="U85" s="70">
        <f t="shared" si="92"/>
        <v>1.2603453000822107E-2</v>
      </c>
      <c r="V85" s="70">
        <f t="shared" si="50"/>
        <v>3.4009317621266077E-2</v>
      </c>
      <c r="W85" s="70">
        <f t="shared" si="51"/>
        <v>5.3609498077377138E-2</v>
      </c>
      <c r="X85" s="80">
        <f t="shared" si="52"/>
        <v>1.9021198694492925E-2</v>
      </c>
      <c r="Y85" s="90">
        <f t="shared" si="97"/>
        <v>6.1016716908741664E-3</v>
      </c>
    </row>
    <row r="86" spans="1:25" x14ac:dyDescent="0.25">
      <c r="A86" s="64">
        <v>44305</v>
      </c>
      <c r="B86" s="65">
        <v>36.200000000000003</v>
      </c>
      <c r="C86" s="66">
        <f>myParidad('Flujo de Fondos'!$B$5,A86,B86,'Flujo de Fondos'!$B$7,'Flujo de Fondos'!$B$6)</f>
        <v>0.36280512919080704</v>
      </c>
      <c r="D86" s="65">
        <v>39.31</v>
      </c>
      <c r="E86" s="67">
        <f>myParidad('Flujo de Fondos'!$H$5,$A86,D86,'Flujo de Fondos'!$H$7,'Flujo de Fondos'!$H$6)</f>
        <v>0.39397429912957527</v>
      </c>
      <c r="F86" s="65">
        <v>34.369999999999997</v>
      </c>
      <c r="G86" s="66">
        <f>myParidad('Flujo de Fondos'!$N$5,$A86,F86,'Flujo de Fondos'!$N$7,'Flujo de Fondos'!$N$6)</f>
        <v>0.34379536789314841</v>
      </c>
      <c r="H86" s="68">
        <v>36.49</v>
      </c>
      <c r="I86" s="66">
        <f>myParidad('Flujo de Fondos'!$T$5,$A86,H86,'Flujo de Fondos'!$T$7,'Flujo de Fondos'!$T$6)</f>
        <v>0.36461405267786567</v>
      </c>
      <c r="J86" s="68">
        <v>30.8</v>
      </c>
      <c r="K86" s="66">
        <f>myParidad('Flujo de Fondos'!$B$34,$A86,J86,'Flujo de Fondos'!$B$36,'Flujo de Fondos'!$B$35)</f>
        <v>0.30808546206310655</v>
      </c>
      <c r="L86" s="65">
        <v>33.5</v>
      </c>
      <c r="M86" s="66">
        <f>myParidad('Flujo de Fondos'!$H$34,'Paridad usd'!$A86,'Paridad usd'!L86,'Flujo de Fondos'!$H$36,'Flujo de Fondos'!$H$35)</f>
        <v>0.33509295386733989</v>
      </c>
      <c r="N86" s="69">
        <v>33.15</v>
      </c>
      <c r="O86" s="66">
        <f>myParidad('Flujo de Fondos'!$N$34,$A86,N86,'Flujo de Fondos'!$N$36,'Flujo de Fondos'!$N$35)</f>
        <v>0.33159198270753187</v>
      </c>
      <c r="P86" s="70">
        <f t="shared" si="94"/>
        <v>1.9009761297658634E-2</v>
      </c>
      <c r="Q86" s="70">
        <f t="shared" si="95"/>
        <v>3.1169169938768226E-2</v>
      </c>
      <c r="R86" s="70">
        <f t="shared" ref="R86:R117" si="98">C86-M86</f>
        <v>2.7712175323467148E-2</v>
      </c>
      <c r="S86" s="67">
        <f t="shared" ref="S86:S117" si="99">C86-O86</f>
        <v>3.1213146483275167E-2</v>
      </c>
      <c r="T86" s="70">
        <f t="shared" si="96"/>
        <v>6.2382316422043393E-2</v>
      </c>
      <c r="U86" s="70">
        <f t="shared" ref="U86:U117" si="100">G86-O86</f>
        <v>1.2203385185616533E-2</v>
      </c>
      <c r="V86" s="70">
        <f t="shared" si="50"/>
        <v>3.5709905830041855E-2</v>
      </c>
      <c r="W86" s="70">
        <f t="shared" si="51"/>
        <v>5.4719667127700489E-2</v>
      </c>
      <c r="X86" s="80">
        <f t="shared" si="52"/>
        <v>2.0818684784717267E-2</v>
      </c>
      <c r="Y86" s="90">
        <f t="shared" si="97"/>
        <v>8.7024140258085136E-3</v>
      </c>
    </row>
    <row r="87" spans="1:25" x14ac:dyDescent="0.25">
      <c r="A87" s="64">
        <v>44302</v>
      </c>
      <c r="B87" s="65">
        <v>36.200000000000003</v>
      </c>
      <c r="C87" s="66">
        <f>myParidad('Flujo de Fondos'!$B$5,A87,B87,'Flujo de Fondos'!$B$7,'Flujo de Fondos'!$B$6)</f>
        <v>0.3628350175746925</v>
      </c>
      <c r="D87" s="65">
        <v>38.909999999999997</v>
      </c>
      <c r="E87" s="67">
        <f>myParidad('Flujo de Fondos'!$H$5,$A87,D87,'Flujo de Fondos'!$H$7,'Flujo de Fondos'!$H$6)</f>
        <v>0.38999752855887521</v>
      </c>
      <c r="F87" s="65">
        <v>34.200000000000003</v>
      </c>
      <c r="G87" s="66">
        <f>myParidad('Flujo de Fondos'!$N$5,$A87,F87,'Flujo de Fondos'!$N$7,'Flujo de Fondos'!$N$6)</f>
        <v>0.34209841187190837</v>
      </c>
      <c r="H87" s="68">
        <v>36.4</v>
      </c>
      <c r="I87" s="66">
        <f>myParidad('Flujo de Fondos'!$T$5,$A87,H87,'Flujo de Fondos'!$T$7,'Flujo de Fondos'!$T$6)</f>
        <v>0.36371849185219657</v>
      </c>
      <c r="J87" s="68">
        <v>31</v>
      </c>
      <c r="K87" s="66">
        <f>myParidad('Flujo de Fondos'!$B$34,$A87,J87,'Flujo de Fondos'!$B$36,'Flujo de Fondos'!$B$35)</f>
        <v>0.31008920374354265</v>
      </c>
      <c r="L87" s="65">
        <v>33.6</v>
      </c>
      <c r="M87" s="66">
        <f>myParidad('Flujo de Fondos'!$H$34,'Paridad usd'!$A87,'Paridad usd'!L87,'Flujo de Fondos'!$H$36,'Flujo de Fondos'!$H$35)</f>
        <v>0.33609668534783982</v>
      </c>
      <c r="N87" s="69">
        <v>33.15</v>
      </c>
      <c r="O87" s="66">
        <f>myParidad('Flujo de Fondos'!$N$34,$A87,N87,'Flujo de Fondos'!$N$36,'Flujo de Fondos'!$N$35)</f>
        <v>0.33159539045478836</v>
      </c>
      <c r="P87" s="70">
        <f t="shared" si="94"/>
        <v>2.0736605702784128E-2</v>
      </c>
      <c r="Q87" s="70">
        <f t="shared" si="95"/>
        <v>2.7162510984182708E-2</v>
      </c>
      <c r="R87" s="70">
        <f t="shared" si="98"/>
        <v>2.6738332226852679E-2</v>
      </c>
      <c r="S87" s="67">
        <f t="shared" si="99"/>
        <v>3.1239627119904134E-2</v>
      </c>
      <c r="T87" s="70">
        <f t="shared" si="96"/>
        <v>5.8402138104086843E-2</v>
      </c>
      <c r="U87" s="70">
        <f t="shared" si="100"/>
        <v>1.0503021417120006E-2</v>
      </c>
      <c r="V87" s="70">
        <f t="shared" si="50"/>
        <v>3.2009208128365718E-2</v>
      </c>
      <c r="W87" s="70">
        <f t="shared" si="51"/>
        <v>5.2745813831149846E-2</v>
      </c>
      <c r="X87" s="80">
        <f t="shared" si="52"/>
        <v>2.1620079980288198E-2</v>
      </c>
      <c r="Y87" s="90">
        <f t="shared" si="97"/>
        <v>6.0017265240685513E-3</v>
      </c>
    </row>
    <row r="88" spans="1:25" x14ac:dyDescent="0.25">
      <c r="A88" s="64">
        <v>44301</v>
      </c>
      <c r="B88" s="65">
        <v>36.1</v>
      </c>
      <c r="C88" s="66">
        <f>myParidad('Flujo de Fondos'!$B$5,A88,B88,'Flujo de Fondos'!$B$7,'Flujo de Fondos'!$B$6)</f>
        <v>0.36184264726074422</v>
      </c>
      <c r="D88" s="65">
        <v>39</v>
      </c>
      <c r="E88" s="67">
        <f>myParidad('Flujo de Fondos'!$H$5,$A88,D88,'Flujo de Fondos'!$H$7,'Flujo de Fondos'!$H$6)</f>
        <v>0.39091033914595635</v>
      </c>
      <c r="F88" s="65">
        <v>34.25</v>
      </c>
      <c r="G88" s="66">
        <f>myParidad('Flujo de Fondos'!$N$5,$A88,F88,'Flujo de Fondos'!$N$7,'Flujo de Fondos'!$N$6)</f>
        <v>0.34259972937327648</v>
      </c>
      <c r="H88" s="68">
        <v>35.979999999999997</v>
      </c>
      <c r="I88" s="66">
        <f>myParidad('Flujo de Fondos'!$T$5,$A88,H88,'Flujo de Fondos'!$T$7,'Flujo de Fondos'!$T$6)</f>
        <v>0.35952297031397035</v>
      </c>
      <c r="J88" s="68">
        <v>30.78</v>
      </c>
      <c r="K88" s="66">
        <f>myParidad('Flujo de Fondos'!$B$34,$A88,J88,'Flujo de Fondos'!$B$36,'Flujo de Fondos'!$B$35)</f>
        <v>0.30788962540465548</v>
      </c>
      <c r="L88" s="65">
        <v>33.5</v>
      </c>
      <c r="M88" s="66">
        <f>myParidad('Flujo de Fondos'!$H$34,'Paridad usd'!$A88,'Paridad usd'!L88,'Flujo de Fondos'!$H$36,'Flujo de Fondos'!$H$35)</f>
        <v>0.33509754551838722</v>
      </c>
      <c r="N88" s="69">
        <v>33.1</v>
      </c>
      <c r="O88" s="66">
        <f>myParidad('Flujo de Fondos'!$N$34,$A88,N88,'Flujo de Fondos'!$N$36,'Flujo de Fondos'!$N$35)</f>
        <v>0.33109638079577963</v>
      </c>
      <c r="P88" s="70">
        <f t="shared" si="94"/>
        <v>1.9242917887467736E-2</v>
      </c>
      <c r="Q88" s="70">
        <f t="shared" si="95"/>
        <v>2.9067691885212132E-2</v>
      </c>
      <c r="R88" s="70">
        <f t="shared" si="98"/>
        <v>2.6745101742357003E-2</v>
      </c>
      <c r="S88" s="67">
        <f t="shared" si="99"/>
        <v>3.0746266464964589E-2</v>
      </c>
      <c r="T88" s="70">
        <f t="shared" si="96"/>
        <v>5.9813958350176721E-2</v>
      </c>
      <c r="U88" s="70">
        <f t="shared" si="100"/>
        <v>1.1503348577496852E-2</v>
      </c>
      <c r="V88" s="70">
        <f t="shared" si="50"/>
        <v>3.4710103968621009E-2</v>
      </c>
      <c r="W88" s="70">
        <f t="shared" si="51"/>
        <v>5.3953021856088745E-2</v>
      </c>
      <c r="X88" s="80">
        <f t="shared" si="52"/>
        <v>1.6923240940693862E-2</v>
      </c>
      <c r="Y88" s="90">
        <f t="shared" si="97"/>
        <v>7.5021838548892661E-3</v>
      </c>
    </row>
    <row r="89" spans="1:25" x14ac:dyDescent="0.25">
      <c r="A89" s="64">
        <v>44300</v>
      </c>
      <c r="B89" s="65">
        <v>36.369999999999997</v>
      </c>
      <c r="C89" s="66">
        <f>myParidad('Flujo de Fondos'!$B$5,A89,B89,'Flujo de Fondos'!$B$7,'Flujo de Fondos'!$B$6)</f>
        <v>0.36455896083923761</v>
      </c>
      <c r="D89" s="65">
        <v>39.200000000000003</v>
      </c>
      <c r="E89" s="67">
        <f>myParidad('Flujo de Fondos'!$H$5,$A89,D89,'Flujo de Fondos'!$H$7,'Flujo de Fondos'!$H$6)</f>
        <v>0.39292579777008846</v>
      </c>
      <c r="F89" s="65">
        <v>34.57</v>
      </c>
      <c r="G89" s="66">
        <f>myParidad('Flujo de Fondos'!$N$5,$A89,F89,'Flujo de Fondos'!$N$7,'Flujo de Fondos'!$N$6)</f>
        <v>0.34580184574909051</v>
      </c>
      <c r="H89" s="68">
        <v>36.1</v>
      </c>
      <c r="I89" s="66">
        <f>myParidad('Flujo de Fondos'!$T$5,$A89,H89,'Flujo de Fondos'!$T$7,'Flujo de Fondos'!$T$6)</f>
        <v>0.36072328077091548</v>
      </c>
      <c r="J89" s="68">
        <v>30.72</v>
      </c>
      <c r="K89" s="66">
        <f>myParidad('Flujo de Fondos'!$B$34,$A89,J89,'Flujo de Fondos'!$B$36,'Flujo de Fondos'!$B$35)</f>
        <v>0.30729050336743013</v>
      </c>
      <c r="L89" s="65">
        <v>33.65</v>
      </c>
      <c r="M89" s="66">
        <f>myParidad('Flujo de Fondos'!$H$34,'Paridad usd'!$A89,'Paridad usd'!L89,'Flujo de Fondos'!$H$36,'Flujo de Fondos'!$H$35)</f>
        <v>0.3365991353617846</v>
      </c>
      <c r="N89" s="69">
        <v>33.479999999999997</v>
      </c>
      <c r="O89" s="66">
        <f>myParidad('Flujo de Fondos'!$N$34,$A89,N89,'Flujo de Fondos'!$N$36,'Flujo de Fondos'!$N$35)</f>
        <v>0.33489863452934765</v>
      </c>
      <c r="P89" s="70">
        <f t="shared" si="94"/>
        <v>1.8757115090147103E-2</v>
      </c>
      <c r="Q89" s="70">
        <f t="shared" si="95"/>
        <v>2.8366836930850847E-2</v>
      </c>
      <c r="R89" s="70">
        <f t="shared" si="98"/>
        <v>2.7959825477453015E-2</v>
      </c>
      <c r="S89" s="67">
        <f t="shared" si="99"/>
        <v>2.9660326309889962E-2</v>
      </c>
      <c r="T89" s="70">
        <f t="shared" si="96"/>
        <v>5.8027163240740809E-2</v>
      </c>
      <c r="U89" s="70">
        <f t="shared" si="100"/>
        <v>1.0903211219742859E-2</v>
      </c>
      <c r="V89" s="70">
        <f t="shared" si="50"/>
        <v>3.8511342381660374E-2</v>
      </c>
      <c r="W89" s="70">
        <f t="shared" si="51"/>
        <v>5.7268457471807477E-2</v>
      </c>
      <c r="X89" s="80">
        <f t="shared" si="52"/>
        <v>1.4921435021824969E-2</v>
      </c>
      <c r="Y89" s="90">
        <f t="shared" si="97"/>
        <v>9.2027103873059124E-3</v>
      </c>
    </row>
    <row r="90" spans="1:25" x14ac:dyDescent="0.25">
      <c r="A90" s="64">
        <v>44299</v>
      </c>
      <c r="B90" s="65">
        <v>36.4</v>
      </c>
      <c r="C90" s="66">
        <f>myParidad('Flujo de Fondos'!$B$5,A90,B90,'Flujo de Fondos'!$B$7,'Flujo de Fondos'!$B$6)</f>
        <v>0.36486968939664405</v>
      </c>
      <c r="D90" s="65">
        <v>39.9</v>
      </c>
      <c r="E90" s="67">
        <f>myParidad('Flujo de Fondos'!$H$5,$A90,D90,'Flujo de Fondos'!$H$7,'Flujo de Fondos'!$H$6)</f>
        <v>0.39995331337709056</v>
      </c>
      <c r="F90" s="65">
        <v>34.82</v>
      </c>
      <c r="G90" s="66">
        <f>myParidad('Flujo de Fondos'!$N$5,$A90,F90,'Flujo de Fondos'!$N$7,'Flujo de Fondos'!$N$6)</f>
        <v>0.34830377543994273</v>
      </c>
      <c r="H90" s="68">
        <v>36.39</v>
      </c>
      <c r="I90" s="66">
        <f>myParidad('Flujo de Fondos'!$T$5,$A90,H90,'Flujo de Fondos'!$T$7,'Flujo de Fondos'!$T$6)</f>
        <v>0.36362230214596386</v>
      </c>
      <c r="J90" s="68">
        <v>30.85</v>
      </c>
      <c r="K90" s="66">
        <f>myParidad('Flujo de Fondos'!$B$34,$A90,J90,'Flujo de Fondos'!$B$36,'Flujo de Fondos'!$B$35)</f>
        <v>0.30859194349001245</v>
      </c>
      <c r="L90" s="65">
        <v>33.840000000000003</v>
      </c>
      <c r="M90" s="66">
        <f>myParidad('Flujo de Fondos'!$H$34,'Paridad usd'!$A90,'Paridad usd'!L90,'Flujo de Fondos'!$H$36,'Flujo de Fondos'!$H$35)</f>
        <v>0.3385008547067106</v>
      </c>
      <c r="N90" s="69">
        <v>33.5</v>
      </c>
      <c r="O90" s="66">
        <f>myParidad('Flujo de Fondos'!$N$34,$A90,N90,'Flujo de Fondos'!$N$36,'Flujo de Fondos'!$N$35)</f>
        <v>0.33509984139109938</v>
      </c>
      <c r="P90" s="70">
        <f t="shared" si="94"/>
        <v>1.6565913956701317E-2</v>
      </c>
      <c r="Q90" s="70">
        <f t="shared" si="95"/>
        <v>3.508362398044651E-2</v>
      </c>
      <c r="R90" s="70">
        <f t="shared" si="98"/>
        <v>2.6368834689933451E-2</v>
      </c>
      <c r="S90" s="67">
        <f t="shared" si="99"/>
        <v>2.9769848005544663E-2</v>
      </c>
      <c r="T90" s="70">
        <f t="shared" si="96"/>
        <v>6.4853471985991173E-2</v>
      </c>
      <c r="U90" s="70">
        <f t="shared" si="100"/>
        <v>1.3203934048843347E-2</v>
      </c>
      <c r="V90" s="70">
        <f t="shared" si="50"/>
        <v>3.9711831949930276E-2</v>
      </c>
      <c r="W90" s="70">
        <f t="shared" si="51"/>
        <v>5.6277745906631593E-2</v>
      </c>
      <c r="X90" s="80">
        <f t="shared" si="52"/>
        <v>1.5318526706021129E-2</v>
      </c>
      <c r="Y90" s="90">
        <f t="shared" si="97"/>
        <v>9.8029207332321344E-3</v>
      </c>
    </row>
    <row r="91" spans="1:25" x14ac:dyDescent="0.25">
      <c r="A91" s="64">
        <v>44298</v>
      </c>
      <c r="B91" s="65">
        <v>36.25</v>
      </c>
      <c r="C91" s="66">
        <f>myParidad('Flujo de Fondos'!$B$5,A91,B91,'Flujo de Fondos'!$B$7,'Flujo de Fondos'!$B$6)</f>
        <v>0.3633760848072064</v>
      </c>
      <c r="D91" s="65">
        <v>38.6</v>
      </c>
      <c r="E91" s="67">
        <f>myParidad('Flujo de Fondos'!$H$5,$A91,D91,'Flujo de Fondos'!$H$7,'Flujo de Fondos'!$H$6)</f>
        <v>0.38693287927057013</v>
      </c>
      <c r="F91" s="65">
        <v>34.65</v>
      </c>
      <c r="G91" s="66">
        <f>myParidad('Flujo de Fondos'!$N$5,$A91,F91,'Flujo de Fondos'!$N$7,'Flujo de Fondos'!$N$6)</f>
        <v>0.34660445613746604</v>
      </c>
      <c r="H91" s="68">
        <v>35.92</v>
      </c>
      <c r="I91" s="66">
        <f>myParidad('Flujo de Fondos'!$T$5,$A91,H91,'Flujo de Fondos'!$T$7,'Flujo de Fondos'!$T$6)</f>
        <v>0.35892711705484187</v>
      </c>
      <c r="J91" s="68">
        <v>30.6</v>
      </c>
      <c r="K91" s="66">
        <f>myParidad('Flujo de Fondos'!$B$34,$A91,J91,'Flujo de Fondos'!$B$36,'Flujo de Fondos'!$B$35)</f>
        <v>0.30609224697854148</v>
      </c>
      <c r="L91" s="65">
        <v>33.700000000000003</v>
      </c>
      <c r="M91" s="66">
        <f>myParidad('Flujo de Fondos'!$H$34,'Paridad usd'!$A91,'Paridad usd'!L91,'Flujo de Fondos'!$H$36,'Flujo de Fondos'!$H$35)</f>
        <v>0.33710159226068132</v>
      </c>
      <c r="N91" s="69">
        <v>33.5</v>
      </c>
      <c r="O91" s="66">
        <f>myParidad('Flujo de Fondos'!$N$34,$A91,N91,'Flujo de Fondos'!$N$36,'Flujo de Fondos'!$N$35)</f>
        <v>0.33510098933925292</v>
      </c>
      <c r="P91" s="70">
        <f t="shared" si="94"/>
        <v>1.6771628669740357E-2</v>
      </c>
      <c r="Q91" s="70">
        <f t="shared" si="95"/>
        <v>2.3556794463363728E-2</v>
      </c>
      <c r="R91" s="70">
        <f t="shared" si="98"/>
        <v>2.6274492546525086E-2</v>
      </c>
      <c r="S91" s="67">
        <f t="shared" si="99"/>
        <v>2.8275095467953482E-2</v>
      </c>
      <c r="T91" s="70">
        <f t="shared" si="96"/>
        <v>5.183188993131721E-2</v>
      </c>
      <c r="U91" s="70">
        <f t="shared" si="100"/>
        <v>1.1503466798213124E-2</v>
      </c>
      <c r="V91" s="70">
        <f t="shared" si="50"/>
        <v>4.0512209158924561E-2</v>
      </c>
      <c r="W91" s="70">
        <f t="shared" si="51"/>
        <v>5.7283837828664919E-2</v>
      </c>
      <c r="X91" s="80">
        <f t="shared" si="52"/>
        <v>1.2322660917375827E-2</v>
      </c>
      <c r="Y91" s="90">
        <f t="shared" si="97"/>
        <v>9.5028638767847284E-3</v>
      </c>
    </row>
    <row r="92" spans="1:25" x14ac:dyDescent="0.25">
      <c r="A92" s="64">
        <v>44295</v>
      </c>
      <c r="B92" s="65">
        <v>35.619999999999997</v>
      </c>
      <c r="C92" s="66">
        <f>myParidad('Flujo de Fondos'!$B$5,A92,B92,'Flujo de Fondos'!$B$7,'Flujo de Fondos'!$B$6)</f>
        <v>0.35709027987585484</v>
      </c>
      <c r="D92" s="65">
        <v>37.770000000000003</v>
      </c>
      <c r="E92" s="67">
        <f>myParidad('Flujo de Fondos'!$H$5,$A92,D92,'Flujo de Fondos'!$H$7,'Flujo de Fondos'!$H$6)</f>
        <v>0.37864401658930485</v>
      </c>
      <c r="F92" s="65">
        <v>34.18</v>
      </c>
      <c r="G92" s="66">
        <f>myParidad('Flujo de Fondos'!$N$5,$A92,F92,'Flujo de Fondos'!$N$7,'Flujo de Fondos'!$N$6)</f>
        <v>0.34190655306962103</v>
      </c>
      <c r="H92" s="68">
        <v>35.15</v>
      </c>
      <c r="I92" s="66">
        <f>myParidad('Flujo de Fondos'!$T$5,$A92,H92,'Flujo de Fondos'!$T$7,'Flujo de Fondos'!$T$6)</f>
        <v>0.35123657257057206</v>
      </c>
      <c r="J92" s="68">
        <v>30.19</v>
      </c>
      <c r="K92" s="66">
        <f>myParidad('Flujo de Fondos'!$B$34,$A92,J92,'Flujo de Fondos'!$B$36,'Flujo de Fondos'!$B$35)</f>
        <v>0.30199411460420889</v>
      </c>
      <c r="L92" s="65">
        <v>33.1</v>
      </c>
      <c r="M92" s="66">
        <f>myParidad('Flujo de Fondos'!$H$34,'Paridad usd'!$A92,'Paridad usd'!L92,'Flujo de Fondos'!$H$36,'Flujo de Fondos'!$H$35)</f>
        <v>0.33110318626695306</v>
      </c>
      <c r="N92" s="69">
        <v>33.130000000000003</v>
      </c>
      <c r="O92" s="66">
        <f>myParidad('Flujo de Fondos'!$N$34,$A92,N92,'Flujo de Fondos'!$N$36,'Flujo de Fondos'!$N$35)</f>
        <v>0.33140327978924944</v>
      </c>
      <c r="P92" s="70">
        <f t="shared" si="94"/>
        <v>1.518372680623381E-2</v>
      </c>
      <c r="Q92" s="70">
        <f t="shared" si="95"/>
        <v>2.1553736713450011E-2</v>
      </c>
      <c r="R92" s="70">
        <f t="shared" si="98"/>
        <v>2.5987093608901779E-2</v>
      </c>
      <c r="S92" s="67">
        <f t="shared" si="99"/>
        <v>2.5687000086605405E-2</v>
      </c>
      <c r="T92" s="70">
        <f t="shared" si="96"/>
        <v>4.7240736800055416E-2</v>
      </c>
      <c r="U92" s="70">
        <f t="shared" si="100"/>
        <v>1.0503273280371594E-2</v>
      </c>
      <c r="V92" s="70">
        <f t="shared" si="50"/>
        <v>3.9912438465412148E-2</v>
      </c>
      <c r="W92" s="70">
        <f t="shared" si="51"/>
        <v>5.5096165271645958E-2</v>
      </c>
      <c r="X92" s="80">
        <f t="shared" si="52"/>
        <v>9.3300195009510256E-3</v>
      </c>
      <c r="Y92" s="90">
        <f t="shared" si="97"/>
        <v>1.0803366802667969E-2</v>
      </c>
    </row>
    <row r="93" spans="1:25" x14ac:dyDescent="0.25">
      <c r="A93" s="64">
        <v>44294</v>
      </c>
      <c r="B93" s="65">
        <v>35.880000000000003</v>
      </c>
      <c r="C93" s="66">
        <f>myParidad('Flujo de Fondos'!$B$5,A93,B93,'Flujo de Fondos'!$B$7,'Flujo de Fondos'!$B$6)</f>
        <v>0.35970665787738959</v>
      </c>
      <c r="D93" s="65">
        <v>37.51</v>
      </c>
      <c r="E93" s="67">
        <f>myParidad('Flujo de Fondos'!$H$5,$A93,D93,'Flujo de Fondos'!$H$7,'Flujo de Fondos'!$H$6)</f>
        <v>0.37604784662711488</v>
      </c>
      <c r="F93" s="65">
        <v>34.39</v>
      </c>
      <c r="G93" s="66">
        <f>myParidad('Flujo de Fondos'!$N$5,$A93,F93,'Flujo de Fondos'!$N$7,'Flujo de Fondos'!$N$6)</f>
        <v>0.34400838620387247</v>
      </c>
      <c r="H93" s="68">
        <v>35.380000000000003</v>
      </c>
      <c r="I93" s="66">
        <f>myParidad('Flujo de Fondos'!$T$5,$A93,H93,'Flujo de Fondos'!$T$7,'Flujo de Fondos'!$T$6)</f>
        <v>0.35353605869590515</v>
      </c>
      <c r="J93" s="68">
        <v>30.4</v>
      </c>
      <c r="K93" s="66">
        <f>myParidad('Flujo de Fondos'!$B$34,$A93,J93,'Flujo de Fondos'!$B$36,'Flujo de Fondos'!$B$35)</f>
        <v>0.304095811008948</v>
      </c>
      <c r="L93" s="65">
        <v>33.31</v>
      </c>
      <c r="M93" s="66">
        <f>myParidad('Flujo de Fondos'!$H$34,'Paridad usd'!$A93,'Paridad usd'!L93,'Flujo de Fondos'!$H$36,'Flujo de Fondos'!$H$35)</f>
        <v>0.33320498239171248</v>
      </c>
      <c r="N93" s="69">
        <v>33.1</v>
      </c>
      <c r="O93" s="66">
        <f>myParidad('Flujo de Fondos'!$N$34,$A93,N93,'Flujo de Fondos'!$N$36,'Flujo de Fondos'!$N$35)</f>
        <v>0.33110432053934802</v>
      </c>
      <c r="P93" s="70">
        <f t="shared" si="94"/>
        <v>1.5698271673517117E-2</v>
      </c>
      <c r="Q93" s="70">
        <f t="shared" si="95"/>
        <v>1.6341188749725288E-2</v>
      </c>
      <c r="R93" s="70">
        <f t="shared" si="98"/>
        <v>2.6501675485677112E-2</v>
      </c>
      <c r="S93" s="67">
        <f t="shared" si="99"/>
        <v>2.8602337338041572E-2</v>
      </c>
      <c r="T93" s="70">
        <f t="shared" si="96"/>
        <v>4.4943526087766861E-2</v>
      </c>
      <c r="U93" s="70">
        <f t="shared" si="100"/>
        <v>1.2904065664524456E-2</v>
      </c>
      <c r="V93" s="70">
        <f t="shared" si="50"/>
        <v>3.9912575194924471E-2</v>
      </c>
      <c r="W93" s="70">
        <f t="shared" si="51"/>
        <v>5.5610846868441588E-2</v>
      </c>
      <c r="X93" s="80">
        <f t="shared" si="52"/>
        <v>9.5276724920326794E-3</v>
      </c>
      <c r="Y93" s="90">
        <f t="shared" si="97"/>
        <v>1.0803403812159995E-2</v>
      </c>
    </row>
    <row r="94" spans="1:25" x14ac:dyDescent="0.25">
      <c r="A94" s="64">
        <v>44293</v>
      </c>
      <c r="B94" s="65">
        <v>35.79</v>
      </c>
      <c r="C94" s="66">
        <f>myParidad('Flujo de Fondos'!$B$5,A94,B94,'Flujo de Fondos'!$B$7,'Flujo de Fondos'!$B$6)</f>
        <v>0.35881423901996867</v>
      </c>
      <c r="D94" s="65">
        <v>37.9</v>
      </c>
      <c r="E94" s="67">
        <f>myParidad('Flujo de Fondos'!$H$5,$A94,D94,'Flujo de Fondos'!$H$7,'Flujo de Fondos'!$H$6)</f>
        <v>0.37996813799544044</v>
      </c>
      <c r="F94" s="65">
        <v>34.57</v>
      </c>
      <c r="G94" s="66">
        <f>myParidad('Flujo de Fondos'!$N$5,$A94,F94,'Flujo de Fondos'!$N$7,'Flujo de Fondos'!$N$6)</f>
        <v>0.34581013816044154</v>
      </c>
      <c r="H94" s="68">
        <v>35.29</v>
      </c>
      <c r="I94" s="66">
        <f>myParidad('Flujo de Fondos'!$T$5,$A94,H94,'Flujo de Fondos'!$T$7,'Flujo de Fondos'!$T$6)</f>
        <v>0.35263793687567802</v>
      </c>
      <c r="J94" s="68">
        <v>30.36</v>
      </c>
      <c r="K94" s="66">
        <f>myParidad('Flujo de Fondos'!$B$34,$A94,J94,'Flujo de Fondos'!$B$36,'Flujo de Fondos'!$B$35)</f>
        <v>0.30369672532690206</v>
      </c>
      <c r="L94" s="65">
        <v>32.42</v>
      </c>
      <c r="M94" s="66">
        <f>myParidad('Flujo de Fondos'!$H$34,'Paridad usd'!$A94,'Paridad usd'!L94,'Flujo de Fondos'!$H$36,'Flujo de Fondos'!$H$35)</f>
        <v>0.3243032883760924</v>
      </c>
      <c r="N94" s="69">
        <v>33.200000000000003</v>
      </c>
      <c r="O94" s="66">
        <f>myParidad('Flujo de Fondos'!$N$34,$A94,N94,'Flujo de Fondos'!$N$36,'Flujo de Fondos'!$N$35)</f>
        <v>0.33210577341413533</v>
      </c>
      <c r="P94" s="70">
        <f t="shared" si="94"/>
        <v>1.3004100859527135E-2</v>
      </c>
      <c r="Q94" s="70">
        <f t="shared" si="95"/>
        <v>2.1153898975471763E-2</v>
      </c>
      <c r="R94" s="70">
        <f t="shared" si="98"/>
        <v>3.451095064387627E-2</v>
      </c>
      <c r="S94" s="67">
        <f t="shared" si="99"/>
        <v>2.6708465605833343E-2</v>
      </c>
      <c r="T94" s="70">
        <f t="shared" si="96"/>
        <v>4.7862364581305106E-2</v>
      </c>
      <c r="U94" s="70">
        <f t="shared" si="100"/>
        <v>1.3704364746306208E-2</v>
      </c>
      <c r="V94" s="70">
        <f t="shared" si="50"/>
        <v>4.2113412833539476E-2</v>
      </c>
      <c r="W94" s="70">
        <f t="shared" si="51"/>
        <v>5.5117513693066611E-2</v>
      </c>
      <c r="X94" s="80">
        <f t="shared" si="52"/>
        <v>6.8277987152364772E-3</v>
      </c>
      <c r="Y94" s="90">
        <f t="shared" si="97"/>
        <v>2.1506849784349136E-2</v>
      </c>
    </row>
    <row r="95" spans="1:25" x14ac:dyDescent="0.25">
      <c r="A95" s="64">
        <v>44292</v>
      </c>
      <c r="B95" s="65">
        <v>35.9</v>
      </c>
      <c r="C95" s="66">
        <f>myParidad('Flujo de Fondos'!$B$5,A95,B95,'Flujo de Fondos'!$B$7,'Flujo de Fondos'!$B$6)</f>
        <v>0.35992693512058449</v>
      </c>
      <c r="D95" s="65">
        <v>38.700000000000003</v>
      </c>
      <c r="E95" s="67">
        <f>myParidad('Flujo de Fondos'!$H$5,$A95,D95,'Flujo de Fondos'!$H$7,'Flujo de Fondos'!$H$6)</f>
        <v>0.38799923089600619</v>
      </c>
      <c r="F95" s="65">
        <v>34.630000000000003</v>
      </c>
      <c r="G95" s="66">
        <f>myParidad('Flujo de Fondos'!$N$5,$A95,F95,'Flujo de Fondos'!$N$7,'Flujo de Fondos'!$N$6)</f>
        <v>0.34641151603598419</v>
      </c>
      <c r="H95" s="68">
        <v>35.4</v>
      </c>
      <c r="I95" s="66">
        <f>myParidad('Flujo de Fondos'!$T$5,$A95,H95,'Flujo de Fondos'!$T$7,'Flujo de Fondos'!$T$6)</f>
        <v>0.35373833055000409</v>
      </c>
      <c r="J95" s="68">
        <v>30.5</v>
      </c>
      <c r="K95" s="66">
        <f>myParidad('Flujo de Fondos'!$B$34,$A95,J95,'Flujo de Fondos'!$B$36,'Flujo de Fondos'!$B$35)</f>
        <v>0.30509821654916308</v>
      </c>
      <c r="L95" s="65">
        <v>33.700000000000003</v>
      </c>
      <c r="M95" s="66">
        <f>myParidad('Flujo de Fondos'!$H$34,'Paridad usd'!$A95,'Paridad usd'!L95,'Flujo de Fondos'!$H$36,'Flujo de Fondos'!$H$35)</f>
        <v>0.33710852123628843</v>
      </c>
      <c r="N95" s="69">
        <v>33</v>
      </c>
      <c r="O95" s="66">
        <f>myParidad('Flujo de Fondos'!$N$34,$A95,N95,'Flujo de Fondos'!$N$36,'Flujo de Fondos'!$N$35)</f>
        <v>0.33010626708597973</v>
      </c>
      <c r="P95" s="70">
        <f t="shared" si="94"/>
        <v>1.35154190846003E-2</v>
      </c>
      <c r="Q95" s="70">
        <f t="shared" si="95"/>
        <v>2.8072295775421696E-2</v>
      </c>
      <c r="R95" s="70">
        <f t="shared" si="98"/>
        <v>2.2818413884296063E-2</v>
      </c>
      <c r="S95" s="67">
        <f t="shared" si="99"/>
        <v>2.9820668034604758E-2</v>
      </c>
      <c r="T95" s="70">
        <f t="shared" si="96"/>
        <v>5.7892963810026454E-2</v>
      </c>
      <c r="U95" s="70">
        <f t="shared" si="100"/>
        <v>1.6305248950004458E-2</v>
      </c>
      <c r="V95" s="70">
        <f t="shared" ref="V95:V158" si="101">G95-K95</f>
        <v>4.1313299486821109E-2</v>
      </c>
      <c r="W95" s="70">
        <f t="shared" ref="W95:W158" si="102">C95-K95</f>
        <v>5.4828718571421409E-2</v>
      </c>
      <c r="X95" s="80">
        <f t="shared" ref="X95:X158" si="103">I95-G95</f>
        <v>7.326814514019897E-3</v>
      </c>
      <c r="Y95" s="90">
        <f t="shared" si="97"/>
        <v>9.3029947996957629E-3</v>
      </c>
    </row>
    <row r="96" spans="1:25" x14ac:dyDescent="0.25">
      <c r="A96" s="64">
        <v>44291</v>
      </c>
      <c r="B96" s="65">
        <v>36.159999999999997</v>
      </c>
      <c r="C96" s="66">
        <f>myParidad('Flujo de Fondos'!$B$5,A96,B96,'Flujo de Fondos'!$B$7,'Flujo de Fondos'!$B$6)</f>
        <v>0.36254360664743851</v>
      </c>
      <c r="D96" s="65">
        <v>38.840000000000003</v>
      </c>
      <c r="E96" s="67">
        <f>myParidad('Flujo de Fondos'!$H$5,$A96,D96,'Flujo de Fondos'!$H$7,'Flujo de Fondos'!$H$6)</f>
        <v>0.38941354209586598</v>
      </c>
      <c r="F96" s="65">
        <v>34.85</v>
      </c>
      <c r="G96" s="66">
        <f>myParidad('Flujo de Fondos'!$N$5,$A96,F96,'Flujo de Fondos'!$N$7,'Flujo de Fondos'!$N$6)</f>
        <v>0.34861341874925061</v>
      </c>
      <c r="H96" s="68">
        <v>35.35</v>
      </c>
      <c r="I96" s="66">
        <f>myParidad('Flujo de Fondos'!$T$5,$A96,H96,'Flujo de Fondos'!$T$7,'Flujo de Fondos'!$T$6)</f>
        <v>0.35323990897113428</v>
      </c>
      <c r="J96" s="68">
        <v>30.6</v>
      </c>
      <c r="K96" s="66">
        <f>myParidad('Flujo de Fondos'!$B$34,$A96,J96,'Flujo de Fondos'!$B$36,'Flujo de Fondos'!$B$35)</f>
        <v>0.30609958719446395</v>
      </c>
      <c r="L96" s="65">
        <v>33.9</v>
      </c>
      <c r="M96" s="66">
        <f>myParidad('Flujo de Fondos'!$H$34,'Paridad usd'!$A96,'Paridad usd'!L96,'Flujo de Fondos'!$H$36,'Flujo de Fondos'!$H$35)</f>
        <v>0.33911032698994537</v>
      </c>
      <c r="N96" s="69">
        <v>33.25</v>
      </c>
      <c r="O96" s="66">
        <f>myParidad('Flujo de Fondos'!$N$34,$A96,N96,'Flujo de Fondos'!$N$36,'Flujo de Fondos'!$N$35)</f>
        <v>0.33260821157568388</v>
      </c>
      <c r="P96" s="70">
        <f t="shared" si="94"/>
        <v>1.3930187898187896E-2</v>
      </c>
      <c r="Q96" s="70">
        <f t="shared" si="95"/>
        <v>2.6869935448427473E-2</v>
      </c>
      <c r="R96" s="70">
        <f t="shared" si="98"/>
        <v>2.3433279657493145E-2</v>
      </c>
      <c r="S96" s="67">
        <f t="shared" si="99"/>
        <v>2.9935395071754634E-2</v>
      </c>
      <c r="T96" s="70">
        <f t="shared" si="96"/>
        <v>5.6805330520182107E-2</v>
      </c>
      <c r="U96" s="70">
        <f t="shared" si="100"/>
        <v>1.6005207173566738E-2</v>
      </c>
      <c r="V96" s="70">
        <f t="shared" si="101"/>
        <v>4.2513831554786663E-2</v>
      </c>
      <c r="W96" s="70">
        <f t="shared" si="102"/>
        <v>5.6444019452974559E-2</v>
      </c>
      <c r="X96" s="80">
        <f t="shared" si="103"/>
        <v>4.6264902218836612E-3</v>
      </c>
      <c r="Y96" s="90">
        <f t="shared" si="97"/>
        <v>9.5030917593052489E-3</v>
      </c>
    </row>
    <row r="97" spans="1:25" x14ac:dyDescent="0.25">
      <c r="A97" s="64">
        <v>44286</v>
      </c>
      <c r="B97" s="65">
        <v>36</v>
      </c>
      <c r="C97" s="66">
        <f>myParidad('Flujo de Fondos'!$B$5,A97,B97,'Flujo de Fondos'!$B$7,'Flujo de Fondos'!$B$6)</f>
        <v>0.36098901098901098</v>
      </c>
      <c r="D97" s="65">
        <v>38.85</v>
      </c>
      <c r="E97" s="67">
        <f>myParidad('Flujo de Fondos'!$H$5,$A97,D97,'Flujo de Fondos'!$H$7,'Flujo de Fondos'!$H$6)</f>
        <v>0.38956730769230768</v>
      </c>
      <c r="F97" s="65">
        <v>34.049999999999997</v>
      </c>
      <c r="G97" s="66">
        <f>myParidad('Flujo de Fondos'!$N$5,$A97,F97,'Flujo de Fondos'!$N$7,'Flujo de Fondos'!$N$6)</f>
        <v>0.34061664953751281</v>
      </c>
      <c r="H97" s="68">
        <v>35.01</v>
      </c>
      <c r="I97" s="66">
        <f>myParidad('Flujo de Fondos'!$T$5,$A97,H97,'Flujo de Fondos'!$T$7,'Flujo de Fondos'!$T$6)</f>
        <v>0.34984839670100271</v>
      </c>
      <c r="J97" s="68">
        <v>30.49</v>
      </c>
      <c r="K97" s="66">
        <f>myParidad('Flujo de Fondos'!$B$34,$A97,J97,'Flujo de Fondos'!$B$36,'Flujo de Fondos'!$B$35)</f>
        <v>0.30500445357999312</v>
      </c>
      <c r="L97" s="65">
        <v>33.9</v>
      </c>
      <c r="M97" s="66">
        <f>myParidad('Flujo de Fondos'!$H$34,'Paridad usd'!$A97,'Paridad usd'!L97,'Flujo de Fondos'!$H$36,'Flujo de Fondos'!$H$35)</f>
        <v>0.33911613566289822</v>
      </c>
      <c r="N97" s="69">
        <v>33.549999999999997</v>
      </c>
      <c r="O97" s="66">
        <f>myParidad('Flujo de Fondos'!$N$34,$A97,N97,'Flujo de Fondos'!$N$36,'Flujo de Fondos'!$N$35)</f>
        <v>0.33561493662213082</v>
      </c>
      <c r="P97" s="70">
        <f t="shared" ref="P97:P99" si="104">C97-G97</f>
        <v>2.0372361451498178E-2</v>
      </c>
      <c r="Q97" s="70">
        <f t="shared" si="95"/>
        <v>2.8578296703296702E-2</v>
      </c>
      <c r="R97" s="70">
        <f t="shared" si="98"/>
        <v>2.1872875326112762E-2</v>
      </c>
      <c r="S97" s="67">
        <f t="shared" si="99"/>
        <v>2.5374074366880162E-2</v>
      </c>
      <c r="T97" s="70">
        <f t="shared" si="96"/>
        <v>5.3952371070176863E-2</v>
      </c>
      <c r="U97" s="70">
        <f t="shared" si="100"/>
        <v>5.0017129153819839E-3</v>
      </c>
      <c r="V97" s="70">
        <f t="shared" si="101"/>
        <v>3.5612195957519688E-2</v>
      </c>
      <c r="W97" s="70">
        <f t="shared" si="102"/>
        <v>5.5984557409017865E-2</v>
      </c>
      <c r="X97" s="80">
        <f t="shared" si="103"/>
        <v>9.2317471634899007E-3</v>
      </c>
      <c r="Y97" s="90">
        <f t="shared" si="97"/>
        <v>1.5005138746145841E-3</v>
      </c>
    </row>
    <row r="98" spans="1:25" x14ac:dyDescent="0.25">
      <c r="A98" s="64">
        <v>44285</v>
      </c>
      <c r="B98" s="65">
        <v>35.799999999999997</v>
      </c>
      <c r="C98" s="66">
        <f>myParidad('Flujo de Fondos'!$B$5,A98,B98,'Flujo de Fondos'!$B$7,'Flujo de Fondos'!$B$6)</f>
        <v>0.35899337893898181</v>
      </c>
      <c r="D98" s="65">
        <v>38.1</v>
      </c>
      <c r="E98" s="67">
        <f>myParidad('Flujo de Fondos'!$H$5,$A98,D98,'Flujo de Fondos'!$H$7,'Flujo de Fondos'!$H$6)</f>
        <v>0.38205719937360916</v>
      </c>
      <c r="F98" s="65">
        <v>34.29</v>
      </c>
      <c r="G98" s="66">
        <f>myParidad('Flujo de Fondos'!$N$5,$A98,F98,'Flujo de Fondos'!$N$7,'Flujo de Fondos'!$N$6)</f>
        <v>0.34301864686072919</v>
      </c>
      <c r="H98" s="68">
        <v>35.090000000000003</v>
      </c>
      <c r="I98" s="66">
        <f>myParidad('Flujo de Fondos'!$T$5,$A98,H98,'Flujo de Fondos'!$T$7,'Flujo de Fondos'!$T$6)</f>
        <v>0.35064902176182122</v>
      </c>
      <c r="J98" s="68">
        <v>30.69</v>
      </c>
      <c r="K98" s="66">
        <f>myParidad('Flujo de Fondos'!$B$34,$A98,J98,'Flujo de Fondos'!$B$36,'Flujo de Fondos'!$B$35)</f>
        <v>0.30700619049739808</v>
      </c>
      <c r="L98" s="65">
        <v>34</v>
      </c>
      <c r="M98" s="66">
        <f>myParidad('Flujo de Fondos'!$H$34,'Paridad usd'!$A98,'Paridad usd'!L98,'Flujo de Fondos'!$H$36,'Flujo de Fondos'!$H$35)</f>
        <v>0.34011764343146089</v>
      </c>
      <c r="N98" s="69">
        <v>33.9</v>
      </c>
      <c r="O98" s="66">
        <f>myParidad('Flujo de Fondos'!$N$34,$A98,N98,'Flujo de Fondos'!$N$36,'Flujo de Fondos'!$N$35)</f>
        <v>0.33911729742136831</v>
      </c>
      <c r="P98" s="70">
        <f t="shared" si="104"/>
        <v>1.5974732078252618E-2</v>
      </c>
      <c r="Q98" s="70">
        <f t="shared" si="95"/>
        <v>2.3063820434627347E-2</v>
      </c>
      <c r="R98" s="70">
        <f t="shared" si="98"/>
        <v>1.8875735507520919E-2</v>
      </c>
      <c r="S98" s="67">
        <f t="shared" si="99"/>
        <v>1.9876081517613498E-2</v>
      </c>
      <c r="T98" s="70">
        <f t="shared" si="96"/>
        <v>4.2939901952240844E-2</v>
      </c>
      <c r="U98" s="70">
        <f t="shared" si="100"/>
        <v>3.9013494393608794E-3</v>
      </c>
      <c r="V98" s="70">
        <f t="shared" si="101"/>
        <v>3.6012456363331113E-2</v>
      </c>
      <c r="W98" s="70">
        <f t="shared" si="102"/>
        <v>5.1987188441583732E-2</v>
      </c>
      <c r="X98" s="80">
        <f t="shared" si="103"/>
        <v>7.6303749010920296E-3</v>
      </c>
      <c r="Y98" s="90">
        <f t="shared" si="97"/>
        <v>2.9010034292683007E-3</v>
      </c>
    </row>
    <row r="99" spans="1:25" x14ac:dyDescent="0.25">
      <c r="A99" s="64">
        <v>44284</v>
      </c>
      <c r="B99" s="65">
        <v>36.18</v>
      </c>
      <c r="C99" s="66">
        <f>myParidad('Flujo de Fondos'!$B$5,A99,B99,'Flujo de Fondos'!$B$7,'Flujo de Fondos'!$B$6)</f>
        <v>0.36281389087312488</v>
      </c>
      <c r="D99" s="65">
        <v>38.11</v>
      </c>
      <c r="E99" s="67">
        <f>myParidad('Flujo de Fondos'!$H$5,$A99,D99,'Flujo de Fondos'!$H$7,'Flujo de Fondos'!$H$6)</f>
        <v>0.38216797626243199</v>
      </c>
      <c r="F99" s="65">
        <v>34.67</v>
      </c>
      <c r="G99" s="66">
        <f>myParidad('Flujo de Fondos'!$N$5,$A99,F99,'Flujo de Fondos'!$N$7,'Flujo de Fondos'!$N$6)</f>
        <v>0.34682114985371604</v>
      </c>
      <c r="H99" s="68">
        <v>35.65</v>
      </c>
      <c r="I99" s="66">
        <f>myParidad('Flujo de Fondos'!$T$5,$A99,H99,'Flujo de Fondos'!$T$7,'Flujo de Fondos'!$T$6)</f>
        <v>0.35624623555823248</v>
      </c>
      <c r="J99" s="68">
        <v>30.81</v>
      </c>
      <c r="K99" s="66">
        <f>myParidad('Flujo de Fondos'!$B$34,$A99,J99,'Flujo de Fondos'!$B$36,'Flujo de Fondos'!$B$35)</f>
        <v>0.30820766158041507</v>
      </c>
      <c r="L99" s="65">
        <v>34.31</v>
      </c>
      <c r="M99" s="66">
        <f>myParidad('Flujo de Fondos'!$H$34,'Paridad usd'!$A99,'Paridad usd'!L99,'Flujo de Fondos'!$H$36,'Flujo de Fondos'!$H$35)</f>
        <v>0.34321989188004032</v>
      </c>
      <c r="N99" s="69">
        <v>33.799999999999997</v>
      </c>
      <c r="O99" s="66">
        <f>myParidad('Flujo de Fondos'!$N$34,$A99,N99,'Flujo de Fondos'!$N$36,'Flujo de Fondos'!$N$35)</f>
        <v>0.33811810975066631</v>
      </c>
      <c r="P99" s="70">
        <f t="shared" si="104"/>
        <v>1.599274101940884E-2</v>
      </c>
      <c r="Q99" s="70">
        <f t="shared" si="95"/>
        <v>1.9354085389307107E-2</v>
      </c>
      <c r="R99" s="70">
        <f t="shared" si="98"/>
        <v>1.959399899308456E-2</v>
      </c>
      <c r="S99" s="67">
        <f t="shared" si="99"/>
        <v>2.4695781122458571E-2</v>
      </c>
      <c r="T99" s="70">
        <f t="shared" si="96"/>
        <v>4.4049866511765678E-2</v>
      </c>
      <c r="U99" s="70">
        <f t="shared" si="100"/>
        <v>8.7030401030497306E-3</v>
      </c>
      <c r="V99" s="70">
        <f t="shared" si="101"/>
        <v>3.8613488273300967E-2</v>
      </c>
      <c r="W99" s="70">
        <f t="shared" si="102"/>
        <v>5.4606229292709807E-2</v>
      </c>
      <c r="X99" s="80">
        <f t="shared" si="103"/>
        <v>9.4250857045164449E-3</v>
      </c>
      <c r="Y99" s="90">
        <f t="shared" si="97"/>
        <v>3.60125797367572E-3</v>
      </c>
    </row>
    <row r="100" spans="1:25" x14ac:dyDescent="0.25">
      <c r="A100" s="64">
        <v>44281</v>
      </c>
      <c r="B100" s="65">
        <v>36.5</v>
      </c>
      <c r="C100" s="66">
        <f>myParidad('Flujo de Fondos'!$B$5,A100,B100,'Flujo de Fondos'!$B$7,'Flujo de Fondos'!$B$6)</f>
        <v>0.3660530292622613</v>
      </c>
      <c r="D100" s="65">
        <v>39.1</v>
      </c>
      <c r="E100" s="67">
        <f>myParidad('Flujo de Fondos'!$H$5,$A100,D100,'Flujo de Fondos'!$H$7,'Flujo de Fondos'!$H$6)</f>
        <v>0.39212803956587444</v>
      </c>
      <c r="F100" s="65">
        <v>35.32</v>
      </c>
      <c r="G100" s="66">
        <f>myParidad('Flujo de Fondos'!$N$5,$A100,F100,'Flujo de Fondos'!$N$7,'Flujo de Fondos'!$N$6)</f>
        <v>0.35332705253601465</v>
      </c>
      <c r="H100" s="68">
        <v>36.21</v>
      </c>
      <c r="I100" s="66">
        <f>myParidad('Flujo de Fondos'!$T$5,$A100,H100,'Flujo de Fondos'!$T$7,'Flujo de Fondos'!$T$6)</f>
        <v>0.36184596430588117</v>
      </c>
      <c r="J100" s="68">
        <v>31.2</v>
      </c>
      <c r="K100" s="66">
        <f>myParidad('Flujo de Fondos'!$B$34,$A100,J100,'Flujo de Fondos'!$B$36,'Flujo de Fondos'!$B$35)</f>
        <v>0.31211223213826889</v>
      </c>
      <c r="L100" s="65">
        <v>34.74</v>
      </c>
      <c r="M100" s="66">
        <f>myParidad('Flujo de Fondos'!$H$34,'Paridad usd'!$A100,'Paridad usd'!L100,'Flujo de Fondos'!$H$36,'Flujo de Fondos'!$H$35)</f>
        <v>0.34752496616934175</v>
      </c>
      <c r="N100" s="69">
        <v>34.35</v>
      </c>
      <c r="O100" s="66">
        <f>myParidad('Flujo de Fondos'!$N$34,$A100,N100,'Flujo de Fondos'!$N$36,'Flujo de Fondos'!$N$35)</f>
        <v>0.34362356326761334</v>
      </c>
      <c r="P100" s="70">
        <f t="shared" ref="P100:P101" si="105">C100-G100</f>
        <v>1.2725976726246646E-2</v>
      </c>
      <c r="Q100" s="70">
        <f t="shared" si="95"/>
        <v>2.6075010303613144E-2</v>
      </c>
      <c r="R100" s="70">
        <f t="shared" si="98"/>
        <v>1.8528063092919544E-2</v>
      </c>
      <c r="S100" s="67">
        <f t="shared" si="99"/>
        <v>2.2429465994647957E-2</v>
      </c>
      <c r="T100" s="70">
        <f t="shared" si="96"/>
        <v>4.8504476298261101E-2</v>
      </c>
      <c r="U100" s="70">
        <f t="shared" si="100"/>
        <v>9.7034892684013108E-3</v>
      </c>
      <c r="V100" s="70">
        <f t="shared" si="101"/>
        <v>4.1214820397745766E-2</v>
      </c>
      <c r="W100" s="70">
        <f t="shared" si="102"/>
        <v>5.3940797123992412E-2</v>
      </c>
      <c r="X100" s="80">
        <f t="shared" si="103"/>
        <v>8.5189117698665218E-3</v>
      </c>
      <c r="Y100" s="90">
        <f t="shared" si="97"/>
        <v>5.8020863666728983E-3</v>
      </c>
    </row>
    <row r="101" spans="1:25" x14ac:dyDescent="0.25">
      <c r="A101" s="64">
        <v>44280</v>
      </c>
      <c r="B101" s="65">
        <v>36.4</v>
      </c>
      <c r="C101" s="66">
        <f>myParidad('Flujo de Fondos'!$B$5,A101,B101,'Flujo de Fondos'!$B$7,'Flujo de Fondos'!$B$6)</f>
        <v>0.36506017475408031</v>
      </c>
      <c r="D101" s="65">
        <v>38.81</v>
      </c>
      <c r="E101" s="67">
        <f>myParidad('Flujo de Fondos'!$H$5,$A101,D101,'Flujo de Fondos'!$H$7,'Flujo de Fondos'!$H$6)</f>
        <v>0.3892303676430181</v>
      </c>
      <c r="F101" s="65">
        <v>35.33</v>
      </c>
      <c r="G101" s="66">
        <f>myParidad('Flujo de Fondos'!$N$5,$A101,F101,'Flujo de Fondos'!$N$7,'Flujo de Fondos'!$N$6)</f>
        <v>0.35342829931413455</v>
      </c>
      <c r="H101" s="68">
        <v>36.299999999999997</v>
      </c>
      <c r="I101" s="66">
        <f>myParidad('Flujo de Fondos'!$T$5,$A101,H101,'Flujo de Fondos'!$T$7,'Flujo de Fondos'!$T$6)</f>
        <v>0.36274657431109769</v>
      </c>
      <c r="J101" s="68">
        <v>31.51</v>
      </c>
      <c r="K101" s="66">
        <f>myParidad('Flujo de Fondos'!$B$34,$A101,J101,'Flujo de Fondos'!$B$36,'Flujo de Fondos'!$B$35)</f>
        <v>0.31521442715506315</v>
      </c>
      <c r="L101" s="65">
        <v>34.799999999999997</v>
      </c>
      <c r="M101" s="66">
        <f>myParidad('Flujo de Fondos'!$H$34,'Paridad usd'!$A101,'Paridad usd'!L101,'Flujo de Fondos'!$H$36,'Flujo de Fondos'!$H$35)</f>
        <v>0.34812637464284979</v>
      </c>
      <c r="N101" s="69">
        <v>34.6</v>
      </c>
      <c r="O101" s="66">
        <f>myParidad('Flujo de Fondos'!$N$34,$A101,N101,'Flujo de Fondos'!$N$36,'Flujo de Fondos'!$N$35)</f>
        <v>0.34612564835179893</v>
      </c>
      <c r="P101" s="70">
        <f t="shared" si="105"/>
        <v>1.163187543994576E-2</v>
      </c>
      <c r="Q101" s="70">
        <f t="shared" si="95"/>
        <v>2.4170192888937791E-2</v>
      </c>
      <c r="R101" s="70">
        <f t="shared" si="98"/>
        <v>1.6933800111230524E-2</v>
      </c>
      <c r="S101" s="67">
        <f t="shared" si="99"/>
        <v>1.8934526402281382E-2</v>
      </c>
      <c r="T101" s="70">
        <f t="shared" si="96"/>
        <v>4.3104719291219173E-2</v>
      </c>
      <c r="U101" s="70">
        <f t="shared" si="100"/>
        <v>7.3026509623356217E-3</v>
      </c>
      <c r="V101" s="70">
        <f t="shared" si="101"/>
        <v>3.8213872159071405E-2</v>
      </c>
      <c r="W101" s="70">
        <f t="shared" si="102"/>
        <v>4.9845747599017165E-2</v>
      </c>
      <c r="X101" s="80">
        <f t="shared" si="103"/>
        <v>9.3182749969631384E-3</v>
      </c>
      <c r="Y101" s="90">
        <f t="shared" si="97"/>
        <v>5.3019246712847634E-3</v>
      </c>
    </row>
    <row r="102" spans="1:25" x14ac:dyDescent="0.25">
      <c r="A102" s="64">
        <v>44278</v>
      </c>
      <c r="B102" s="65">
        <v>37.25</v>
      </c>
      <c r="C102" s="66">
        <f>myParidad('Flujo de Fondos'!$B$5,A102,B102,'Flujo de Fondos'!$B$7,'Flujo de Fondos'!$B$6)</f>
        <v>0.37360546273906353</v>
      </c>
      <c r="D102" s="65">
        <v>40</v>
      </c>
      <c r="E102" s="67">
        <f>myParidad('Flujo de Fondos'!$H$5,$A102,D102,'Flujo de Fondos'!$H$7,'Flujo de Fondos'!$H$6)</f>
        <v>0.40118707408221588</v>
      </c>
      <c r="F102" s="65">
        <v>36</v>
      </c>
      <c r="G102" s="66">
        <f>myParidad('Flujo de Fondos'!$N$5,$A102,F102,'Flujo de Fondos'!$N$7,'Flujo de Fondos'!$N$6)</f>
        <v>0.36013319995066667</v>
      </c>
      <c r="H102" s="68">
        <v>37.08</v>
      </c>
      <c r="I102" s="66">
        <f>myParidad('Flujo de Fondos'!$T$5,$A102,H102,'Flujo de Fondos'!$T$7,'Flujo de Fondos'!$T$6)</f>
        <v>0.37054366499887065</v>
      </c>
      <c r="J102" s="68">
        <v>32.74</v>
      </c>
      <c r="K102" s="66">
        <f>myParidad('Flujo de Fondos'!$B$34,$A102,J102,'Flujo de Fondos'!$B$36,'Flujo de Fondos'!$B$35)</f>
        <v>0.3275211379551341</v>
      </c>
      <c r="L102" s="65">
        <v>35.32</v>
      </c>
      <c r="M102" s="66">
        <f>myParidad('Flujo de Fondos'!$H$34,'Paridad usd'!$A102,'Paridad usd'!L102,'Flujo de Fondos'!$H$36,'Flujo de Fondos'!$H$35)</f>
        <v>0.35333068395159856</v>
      </c>
      <c r="N102" s="69">
        <v>35.25</v>
      </c>
      <c r="O102" s="66">
        <f>myParidad('Flujo de Fondos'!$N$34,$A102,N102,'Flujo de Fondos'!$N$36,'Flujo de Fondos'!$N$35)</f>
        <v>0.35263042495169444</v>
      </c>
      <c r="P102" s="70">
        <f t="shared" ref="P102:P103" si="106">C102-G102</f>
        <v>1.347226278839686E-2</v>
      </c>
      <c r="Q102" s="70">
        <f t="shared" si="95"/>
        <v>2.7581611343152346E-2</v>
      </c>
      <c r="R102" s="70">
        <f t="shared" si="98"/>
        <v>2.0274778787464975E-2</v>
      </c>
      <c r="S102" s="67">
        <f t="shared" si="99"/>
        <v>2.0975037787369089E-2</v>
      </c>
      <c r="T102" s="70">
        <f t="shared" si="96"/>
        <v>4.8556649130521434E-2</v>
      </c>
      <c r="U102" s="70">
        <f t="shared" si="100"/>
        <v>7.5027749989722281E-3</v>
      </c>
      <c r="V102" s="70">
        <f t="shared" si="101"/>
        <v>3.2612061995532571E-2</v>
      </c>
      <c r="W102" s="70">
        <f t="shared" si="102"/>
        <v>4.6084324783929431E-2</v>
      </c>
      <c r="X102" s="80">
        <f t="shared" si="103"/>
        <v>1.0410465048203976E-2</v>
      </c>
      <c r="Y102" s="90">
        <f t="shared" si="97"/>
        <v>6.802515999068115E-3</v>
      </c>
    </row>
    <row r="103" spans="1:25" x14ac:dyDescent="0.25">
      <c r="A103" s="64">
        <v>44277</v>
      </c>
      <c r="B103" s="65">
        <v>37.549999999999997</v>
      </c>
      <c r="C103" s="66">
        <f>myParidad('Flujo de Fondos'!$B$5,A103,B103,'Flujo de Fondos'!$B$7,'Flujo de Fondos'!$B$6)</f>
        <v>0.3766247149020362</v>
      </c>
      <c r="D103" s="65">
        <v>40</v>
      </c>
      <c r="E103" s="67">
        <f>myParidad('Flujo de Fondos'!$H$5,$A103,D103,'Flujo de Fondos'!$H$7,'Flujo de Fondos'!$H$6)</f>
        <v>0.40119809843093074</v>
      </c>
      <c r="F103" s="65">
        <v>36.409999999999997</v>
      </c>
      <c r="G103" s="66">
        <f>myParidad('Flujo de Fondos'!$N$5,$A103,F103,'Flujo de Fondos'!$N$7,'Flujo de Fondos'!$N$6)</f>
        <v>0.36423596479507758</v>
      </c>
      <c r="H103" s="68">
        <v>37.549999999999997</v>
      </c>
      <c r="I103" s="66">
        <f>myParidad('Flujo de Fondos'!$T$5,$A103,H103,'Flujo de Fondos'!$T$7,'Flujo de Fondos'!$T$6)</f>
        <v>0.37524170006262808</v>
      </c>
      <c r="J103" s="68">
        <v>32.75</v>
      </c>
      <c r="K103" s="66">
        <f>myParidad('Flujo de Fondos'!$B$34,$A103,J103,'Flujo de Fondos'!$B$36,'Flujo de Fondos'!$B$35)</f>
        <v>0.32762229736442711</v>
      </c>
      <c r="L103" s="65">
        <v>35.299999999999997</v>
      </c>
      <c r="M103" s="66">
        <f>myParidad('Flujo de Fondos'!$H$34,'Paridad usd'!$A103,'Paridad usd'!L103,'Flujo de Fondos'!$H$36,'Flujo de Fondos'!$H$35)</f>
        <v>0.35313181975463442</v>
      </c>
      <c r="N103" s="69">
        <v>34.85</v>
      </c>
      <c r="O103" s="66">
        <f>myParidad('Flujo de Fondos'!$N$34,$A103,N103,'Flujo de Fondos'!$N$36,'Flujo de Fondos'!$N$35)</f>
        <v>0.34863013933283316</v>
      </c>
      <c r="P103" s="70">
        <f t="shared" si="106"/>
        <v>1.2388750106958613E-2</v>
      </c>
      <c r="Q103" s="70">
        <f t="shared" si="95"/>
        <v>2.4573383528894543E-2</v>
      </c>
      <c r="R103" s="70">
        <f t="shared" si="98"/>
        <v>2.3492895147401771E-2</v>
      </c>
      <c r="S103" s="67">
        <f t="shared" si="99"/>
        <v>2.799457556920304E-2</v>
      </c>
      <c r="T103" s="70">
        <f t="shared" si="96"/>
        <v>5.2567959098097583E-2</v>
      </c>
      <c r="U103" s="70">
        <f t="shared" si="100"/>
        <v>1.5605825462244427E-2</v>
      </c>
      <c r="V103" s="70">
        <f t="shared" si="101"/>
        <v>3.6613667430650476E-2</v>
      </c>
      <c r="W103" s="70">
        <f t="shared" si="102"/>
        <v>4.9002417537609089E-2</v>
      </c>
      <c r="X103" s="80">
        <f t="shared" si="103"/>
        <v>1.1005735267550498E-2</v>
      </c>
      <c r="Y103" s="90">
        <f t="shared" si="97"/>
        <v>1.1104145040443159E-2</v>
      </c>
    </row>
    <row r="104" spans="1:25" x14ac:dyDescent="0.25">
      <c r="A104" s="64">
        <v>44274</v>
      </c>
      <c r="B104" s="65">
        <v>37</v>
      </c>
      <c r="C104" s="66">
        <f>myParidad('Flujo de Fondos'!$B$5,A104,B104,'Flujo de Fondos'!$B$7,'Flujo de Fondos'!$B$6)</f>
        <v>0.3711388369792239</v>
      </c>
      <c r="D104" s="65">
        <v>39.6</v>
      </c>
      <c r="E104" s="67">
        <f>myParidad('Flujo de Fondos'!$H$5,$A104,D104,'Flujo de Fondos'!$H$7,'Flujo de Fondos'!$H$6)</f>
        <v>0.39721886336154777</v>
      </c>
      <c r="F104" s="65">
        <v>35.92</v>
      </c>
      <c r="G104" s="66">
        <f>myParidad('Flujo de Fondos'!$N$5,$A104,F104,'Flujo de Fondos'!$N$7,'Flujo de Fondos'!$N$6)</f>
        <v>0.3593378282080798</v>
      </c>
      <c r="H104" s="68">
        <v>36.950000000000003</v>
      </c>
      <c r="I104" s="66">
        <f>myParidad('Flujo de Fondos'!$T$5,$A104,H104,'Flujo de Fondos'!$T$7,'Flujo de Fondos'!$T$6)</f>
        <v>0.36924961840943471</v>
      </c>
      <c r="J104" s="68">
        <v>32.159999999999997</v>
      </c>
      <c r="K104" s="66">
        <f>myParidad('Flujo de Fondos'!$B$34,$A104,J104,'Flujo de Fondos'!$B$36,'Flujo de Fondos'!$B$35)</f>
        <v>0.3217234007564545</v>
      </c>
      <c r="L104" s="65">
        <v>34.450000000000003</v>
      </c>
      <c r="M104" s="66">
        <f>myParidad('Flujo de Fondos'!$H$34,'Paridad usd'!$A104,'Paridad usd'!L104,'Flujo de Fondos'!$H$36,'Flujo de Fondos'!$H$35)</f>
        <v>0.34463218768842846</v>
      </c>
      <c r="N104" s="69">
        <v>34.25</v>
      </c>
      <c r="O104" s="66">
        <f>myParidad('Flujo de Fondos'!$N$34,$A104,N104,'Flujo de Fondos'!$N$36,'Flujo de Fondos'!$N$35)</f>
        <v>0.3426314202707888</v>
      </c>
      <c r="P104" s="70">
        <f t="shared" ref="P104:P108" si="107">C104-G104</f>
        <v>1.1801008771144095E-2</v>
      </c>
      <c r="Q104" s="70">
        <f t="shared" ref="Q104:Q135" si="108">E104-C104</f>
        <v>2.6080026382323873E-2</v>
      </c>
      <c r="R104" s="70">
        <f t="shared" si="98"/>
        <v>2.6506649290795437E-2</v>
      </c>
      <c r="S104" s="67">
        <f t="shared" si="99"/>
        <v>2.8507416708435096E-2</v>
      </c>
      <c r="T104" s="70">
        <f t="shared" ref="T104:T135" si="109">E104-O104</f>
        <v>5.4587443090758969E-2</v>
      </c>
      <c r="U104" s="70">
        <f t="shared" si="100"/>
        <v>1.6706407937291001E-2</v>
      </c>
      <c r="V104" s="70">
        <f t="shared" si="101"/>
        <v>3.7614427451625299E-2</v>
      </c>
      <c r="W104" s="70">
        <f t="shared" si="102"/>
        <v>4.9415436222769393E-2</v>
      </c>
      <c r="X104" s="80">
        <f t="shared" si="103"/>
        <v>9.9117902013549086E-3</v>
      </c>
      <c r="Y104" s="90">
        <f t="shared" si="97"/>
        <v>1.4705640519651342E-2</v>
      </c>
    </row>
    <row r="105" spans="1:25" x14ac:dyDescent="0.25">
      <c r="A105" s="64">
        <v>44273</v>
      </c>
      <c r="B105" s="65">
        <v>36.72</v>
      </c>
      <c r="C105" s="66">
        <f>myParidad('Flujo de Fondos'!$B$5,A105,B105,'Flujo de Fondos'!$B$7,'Flujo de Fondos'!$B$6)</f>
        <v>0.36834034133069504</v>
      </c>
      <c r="D105" s="65">
        <v>39.79</v>
      </c>
      <c r="E105" s="67">
        <f>myParidad('Flujo de Fondos'!$H$5,$A105,D105,'Flujo de Fondos'!$H$7,'Flujo de Fondos'!$H$6)</f>
        <v>0.39913568032539093</v>
      </c>
      <c r="F105" s="65">
        <v>35.82</v>
      </c>
      <c r="G105" s="66">
        <f>myParidad('Flujo de Fondos'!$N$5,$A105,F105,'Flujo de Fondos'!$N$7,'Flujo de Fondos'!$N$6)</f>
        <v>0.35833867215737597</v>
      </c>
      <c r="H105" s="68">
        <v>36.61</v>
      </c>
      <c r="I105" s="66">
        <f>myParidad('Flujo de Fondos'!$T$5,$A105,H105,'Flujo de Fondos'!$T$7,'Flujo de Fondos'!$T$6)</f>
        <v>0.36585317439946335</v>
      </c>
      <c r="J105" s="68">
        <v>31.6</v>
      </c>
      <c r="K105" s="66">
        <f>myParidad('Flujo de Fondos'!$B$34,$A105,J105,'Flujo de Fondos'!$B$36,'Flujo de Fondos'!$B$35)</f>
        <v>0.31612233501320719</v>
      </c>
      <c r="L105" s="65">
        <v>33.92</v>
      </c>
      <c r="M105" s="66">
        <f>myParidad('Flujo de Fondos'!$H$34,'Paridad usd'!$A105,'Paridad usd'!L105,'Flujo de Fondos'!$H$36,'Flujo de Fondos'!$H$35)</f>
        <v>0.33933131657113885</v>
      </c>
      <c r="N105" s="69">
        <v>33.950000000000003</v>
      </c>
      <c r="O105" s="66">
        <f>myParidad('Flujo de Fondos'!$N$34,$A105,N105,'Flujo de Fondos'!$N$36,'Flujo de Fondos'!$N$35)</f>
        <v>0.33963143271197416</v>
      </c>
      <c r="P105" s="70">
        <f t="shared" si="107"/>
        <v>1.0001669173319072E-2</v>
      </c>
      <c r="Q105" s="70">
        <f t="shared" si="108"/>
        <v>3.0795338994695887E-2</v>
      </c>
      <c r="R105" s="70">
        <f t="shared" si="98"/>
        <v>2.900902475955619E-2</v>
      </c>
      <c r="S105" s="67">
        <f t="shared" si="99"/>
        <v>2.8708908618720885E-2</v>
      </c>
      <c r="T105" s="70">
        <f t="shared" si="109"/>
        <v>5.9504247613416772E-2</v>
      </c>
      <c r="U105" s="70">
        <f t="shared" si="100"/>
        <v>1.8707239445401813E-2</v>
      </c>
      <c r="V105" s="70">
        <f t="shared" si="101"/>
        <v>4.2216337144168781E-2</v>
      </c>
      <c r="W105" s="70">
        <f t="shared" si="102"/>
        <v>5.2218006317487853E-2</v>
      </c>
      <c r="X105" s="80">
        <f t="shared" si="103"/>
        <v>7.5145022420873842E-3</v>
      </c>
      <c r="Y105" s="90">
        <f t="shared" si="97"/>
        <v>1.9007355586237118E-2</v>
      </c>
    </row>
    <row r="106" spans="1:25" x14ac:dyDescent="0.25">
      <c r="A106" s="64">
        <v>44272</v>
      </c>
      <c r="B106" s="65">
        <v>36.840000000000003</v>
      </c>
      <c r="C106" s="66">
        <f>myParidad('Flujo de Fondos'!$B$5,A106,B106,'Flujo de Fondos'!$B$7,'Flujo de Fondos'!$B$6)</f>
        <v>0.36955422415214645</v>
      </c>
      <c r="D106" s="65">
        <v>39.85</v>
      </c>
      <c r="E106" s="67">
        <f>myParidad('Flujo de Fondos'!$H$5,$A106,D106,'Flujo de Fondos'!$H$7,'Flujo de Fondos'!$H$6)</f>
        <v>0.39974852965426266</v>
      </c>
      <c r="F106" s="65">
        <v>35.799999999999997</v>
      </c>
      <c r="G106" s="66">
        <f>myParidad('Flujo de Fondos'!$N$5,$A106,F106,'Flujo de Fondos'!$N$7,'Flujo de Fondos'!$N$6)</f>
        <v>0.358139821711216</v>
      </c>
      <c r="H106" s="68">
        <v>36.880000000000003</v>
      </c>
      <c r="I106" s="66">
        <f>myParidad('Flujo de Fondos'!$T$5,$A106,H106,'Flujo de Fondos'!$T$7,'Flujo de Fondos'!$T$6)</f>
        <v>0.36855261536776684</v>
      </c>
      <c r="J106" s="68">
        <v>31.66</v>
      </c>
      <c r="K106" s="66">
        <f>myParidad('Flujo de Fondos'!$B$34,$A106,J106,'Flujo de Fondos'!$B$36,'Flujo de Fondos'!$B$35)</f>
        <v>0.31672365238483519</v>
      </c>
      <c r="L106" s="65">
        <v>34.049999999999997</v>
      </c>
      <c r="M106" s="66">
        <f>myParidad('Flujo de Fondos'!$H$34,'Paridad usd'!$A106,'Paridad usd'!L106,'Flujo de Fondos'!$H$36,'Flujo de Fondos'!$H$35)</f>
        <v>0.34063298685103083</v>
      </c>
      <c r="N106" s="69">
        <v>33.75</v>
      </c>
      <c r="O106" s="66">
        <f>myParidad('Flujo de Fondos'!$N$34,$A106,N106,'Flujo de Fondos'!$N$36,'Flujo de Fondos'!$N$35)</f>
        <v>0.33763181516071344</v>
      </c>
      <c r="P106" s="70">
        <f t="shared" si="107"/>
        <v>1.1414402440930449E-2</v>
      </c>
      <c r="Q106" s="70">
        <f t="shared" si="108"/>
        <v>3.0194305502116214E-2</v>
      </c>
      <c r="R106" s="70">
        <f t="shared" si="98"/>
        <v>2.8921237301115621E-2</v>
      </c>
      <c r="S106" s="67">
        <f t="shared" si="99"/>
        <v>3.1922408991433004E-2</v>
      </c>
      <c r="T106" s="70">
        <f t="shared" si="109"/>
        <v>6.2116714493549219E-2</v>
      </c>
      <c r="U106" s="70">
        <f t="shared" si="100"/>
        <v>2.0508006550502555E-2</v>
      </c>
      <c r="V106" s="70">
        <f t="shared" si="101"/>
        <v>4.1416169326380814E-2</v>
      </c>
      <c r="W106" s="70">
        <f t="shared" si="102"/>
        <v>5.2830571767311263E-2</v>
      </c>
      <c r="X106" s="80">
        <f t="shared" si="103"/>
        <v>1.0412793656550845E-2</v>
      </c>
      <c r="Y106" s="90">
        <f t="shared" si="97"/>
        <v>1.7506834860185172E-2</v>
      </c>
    </row>
    <row r="107" spans="1:25" x14ac:dyDescent="0.25">
      <c r="A107" s="64">
        <v>44271</v>
      </c>
      <c r="B107" s="65">
        <v>36.65</v>
      </c>
      <c r="C107" s="66">
        <f>myParidad('Flujo de Fondos'!$B$5,A107,B107,'Flujo de Fondos'!$B$7,'Flujo de Fondos'!$B$6)</f>
        <v>0.36765837570427373</v>
      </c>
      <c r="D107" s="65">
        <v>39.99</v>
      </c>
      <c r="E107" s="67">
        <f>myParidad('Flujo de Fondos'!$H$5,$A107,D107,'Flujo de Fondos'!$H$7,'Flujo de Fondos'!$H$6)</f>
        <v>0.40116394118455412</v>
      </c>
      <c r="F107" s="65">
        <v>35.4</v>
      </c>
      <c r="G107" s="66">
        <f>myParidad('Flujo de Fondos'!$N$5,$A107,F107,'Flujo de Fondos'!$N$7,'Flujo de Fondos'!$N$6)</f>
        <v>0.35413947273755075</v>
      </c>
      <c r="H107" s="68">
        <v>36.299999999999997</v>
      </c>
      <c r="I107" s="66">
        <f>myParidad('Flujo de Fondos'!$T$5,$A107,H107,'Flujo de Fondos'!$T$7,'Flujo de Fondos'!$T$6)</f>
        <v>0.36275774739471928</v>
      </c>
      <c r="J107" s="68">
        <v>31.29</v>
      </c>
      <c r="K107" s="66">
        <f>myParidad('Flujo de Fondos'!$B$34,$A107,J107,'Flujo de Fondos'!$B$36,'Flujo de Fondos'!$B$35)</f>
        <v>0.31302327971632665</v>
      </c>
      <c r="L107" s="65">
        <v>34.25</v>
      </c>
      <c r="M107" s="66">
        <f>myParidad('Flujo de Fondos'!$H$34,'Paridad usd'!$A107,'Paridad usd'!L107,'Flujo de Fondos'!$H$36,'Flujo de Fondos'!$H$35)</f>
        <v>0.34263494184353427</v>
      </c>
      <c r="N107" s="69">
        <v>33.49</v>
      </c>
      <c r="O107" s="66">
        <f>myParidad('Flujo de Fondos'!$N$34,$A107,N107,'Flujo de Fondos'!$N$36,'Flujo de Fondos'!$N$35)</f>
        <v>0.33503194751357557</v>
      </c>
      <c r="P107" s="70">
        <f t="shared" si="107"/>
        <v>1.3518902966722979E-2</v>
      </c>
      <c r="Q107" s="70">
        <f t="shared" si="108"/>
        <v>3.3505565480280386E-2</v>
      </c>
      <c r="R107" s="70">
        <f t="shared" si="98"/>
        <v>2.5023433860739464E-2</v>
      </c>
      <c r="S107" s="67">
        <f t="shared" si="99"/>
        <v>3.2626428190698165E-2</v>
      </c>
      <c r="T107" s="70">
        <f t="shared" si="109"/>
        <v>6.6131993670978551E-2</v>
      </c>
      <c r="U107" s="70">
        <f t="shared" si="100"/>
        <v>1.9107525223975186E-2</v>
      </c>
      <c r="V107" s="70">
        <f t="shared" si="101"/>
        <v>4.1116193021224101E-2</v>
      </c>
      <c r="W107" s="70">
        <f t="shared" si="102"/>
        <v>5.463509598794708E-2</v>
      </c>
      <c r="X107" s="80">
        <f t="shared" si="103"/>
        <v>8.6182746571685231E-3</v>
      </c>
      <c r="Y107" s="90">
        <f t="shared" si="97"/>
        <v>1.1504530894016485E-2</v>
      </c>
    </row>
    <row r="108" spans="1:25" x14ac:dyDescent="0.25">
      <c r="A108" s="64">
        <v>44270</v>
      </c>
      <c r="B108" s="65">
        <v>36.479999999999997</v>
      </c>
      <c r="C108" s="66">
        <f>myParidad('Flujo de Fondos'!$B$5,A108,B108,'Flujo de Fondos'!$B$7,'Flujo de Fondos'!$B$6)</f>
        <v>0.36596306068601581</v>
      </c>
      <c r="D108" s="65">
        <v>38.700000000000003</v>
      </c>
      <c r="E108" s="67">
        <f>myParidad('Flujo de Fondos'!$H$5,$A108,D108,'Flujo de Fondos'!$H$7,'Flujo de Fondos'!$H$6)</f>
        <v>0.38823383905013198</v>
      </c>
      <c r="F108" s="65">
        <v>34.96</v>
      </c>
      <c r="G108" s="66">
        <f>myParidad('Flujo de Fondos'!$N$5,$A108,F108,'Flujo de Fondos'!$N$7,'Flujo de Fondos'!$N$6)</f>
        <v>0.34973893738608491</v>
      </c>
      <c r="H108" s="68">
        <v>35.950000000000003</v>
      </c>
      <c r="I108" s="66">
        <f>myParidad('Flujo de Fondos'!$T$5,$A108,H108,'Flujo de Fondos'!$T$7,'Flujo de Fondos'!$T$6)</f>
        <v>0.35926131268951456</v>
      </c>
      <c r="J108" s="68">
        <v>30.95</v>
      </c>
      <c r="K108" s="66">
        <f>myParidad('Flujo de Fondos'!$B$34,$A108,J108,'Flujo de Fondos'!$B$36,'Flujo de Fondos'!$B$35)</f>
        <v>0.30962300091817296</v>
      </c>
      <c r="L108" s="65">
        <v>33.65</v>
      </c>
      <c r="M108" s="66">
        <f>myParidad('Flujo de Fondos'!$H$34,'Paridad usd'!$A108,'Paridad usd'!L108,'Flujo de Fondos'!$H$36,'Flujo de Fondos'!$H$35)</f>
        <v>0.33663373120828821</v>
      </c>
      <c r="N108" s="69">
        <v>33.450000000000003</v>
      </c>
      <c r="O108" s="66">
        <f>myParidad('Flujo de Fondos'!$N$34,$A108,N108,'Flujo de Fondos'!$N$36,'Flujo de Fondos'!$N$35)</f>
        <v>0.33463293637198344</v>
      </c>
      <c r="P108" s="70">
        <f t="shared" si="107"/>
        <v>1.6224123299930893E-2</v>
      </c>
      <c r="Q108" s="70">
        <f t="shared" si="108"/>
        <v>2.2270778364116173E-2</v>
      </c>
      <c r="R108" s="70">
        <f t="shared" si="98"/>
        <v>2.9329329477727595E-2</v>
      </c>
      <c r="S108" s="67">
        <f t="shared" si="99"/>
        <v>3.133012431403237E-2</v>
      </c>
      <c r="T108" s="70">
        <f t="shared" si="109"/>
        <v>5.3600902678148543E-2</v>
      </c>
      <c r="U108" s="70">
        <f t="shared" si="100"/>
        <v>1.5106001014101478E-2</v>
      </c>
      <c r="V108" s="70">
        <f t="shared" si="101"/>
        <v>4.011593646791195E-2</v>
      </c>
      <c r="W108" s="70">
        <f t="shared" si="102"/>
        <v>5.6340059767842843E-2</v>
      </c>
      <c r="X108" s="80">
        <f t="shared" si="103"/>
        <v>9.5223753034296421E-3</v>
      </c>
      <c r="Y108" s="90">
        <f t="shared" si="97"/>
        <v>1.3105206177796702E-2</v>
      </c>
    </row>
    <row r="109" spans="1:25" x14ac:dyDescent="0.25">
      <c r="A109" s="64">
        <v>44267</v>
      </c>
      <c r="B109" s="65">
        <v>35.51</v>
      </c>
      <c r="C109" s="66">
        <f>myParidad('Flujo de Fondos'!$B$5,A109,B109,'Flujo de Fondos'!$B$7,'Flujo de Fondos'!$B$6)</f>
        <v>0.35626151012891344</v>
      </c>
      <c r="D109" s="65">
        <v>37.799999999999997</v>
      </c>
      <c r="E109" s="67">
        <f>myParidad('Flujo de Fondos'!$H$5,$A109,D109,'Flujo de Fondos'!$H$7,'Flujo de Fondos'!$H$6)</f>
        <v>0.37923641461202273</v>
      </c>
      <c r="F109" s="65">
        <v>34.39</v>
      </c>
      <c r="G109" s="66">
        <f>myParidad('Flujo de Fondos'!$N$5,$A109,F109,'Flujo de Fondos'!$N$7,'Flujo de Fondos'!$N$6)</f>
        <v>0.34404020816702696</v>
      </c>
      <c r="H109" s="68">
        <v>35.31</v>
      </c>
      <c r="I109" s="66">
        <f>myParidad('Flujo de Fondos'!$T$5,$A109,H109,'Flujo de Fondos'!$T$7,'Flujo de Fondos'!$T$6)</f>
        <v>0.35286918488249125</v>
      </c>
      <c r="J109" s="68">
        <v>30.5</v>
      </c>
      <c r="K109" s="66">
        <f>myParidad('Flujo de Fondos'!$B$34,$A109,J109,'Flujo de Fondos'!$B$36,'Flujo de Fondos'!$B$35)</f>
        <v>0.30512434862152726</v>
      </c>
      <c r="L109" s="65">
        <v>32.75</v>
      </c>
      <c r="M109" s="66">
        <f>myParidad('Flujo de Fondos'!$H$34,'Paridad usd'!$A109,'Paridad usd'!L109,'Flujo de Fondos'!$H$36,'Flujo de Fondos'!$H$35)</f>
        <v>0.32763352188049238</v>
      </c>
      <c r="N109" s="69">
        <v>32.5</v>
      </c>
      <c r="O109" s="66">
        <f>myParidad('Flujo de Fondos'!$N$34,$A109,N109,'Flujo de Fondos'!$N$36,'Flujo de Fondos'!$N$35)</f>
        <v>0.32513250262949628</v>
      </c>
      <c r="P109" s="70">
        <f t="shared" ref="P109:P112" si="110">C109-G109</f>
        <v>1.2221301961886477E-2</v>
      </c>
      <c r="Q109" s="70">
        <f t="shared" si="108"/>
        <v>2.2974904483109293E-2</v>
      </c>
      <c r="R109" s="70">
        <f t="shared" si="98"/>
        <v>2.8627988248421055E-2</v>
      </c>
      <c r="S109" s="67">
        <f t="shared" si="99"/>
        <v>3.1129007499417161E-2</v>
      </c>
      <c r="T109" s="70">
        <f t="shared" si="109"/>
        <v>5.4103911982526454E-2</v>
      </c>
      <c r="U109" s="70">
        <f t="shared" si="100"/>
        <v>1.8907705537530684E-2</v>
      </c>
      <c r="V109" s="70">
        <f t="shared" si="101"/>
        <v>3.8915859545499698E-2</v>
      </c>
      <c r="W109" s="70">
        <f t="shared" si="102"/>
        <v>5.1137161507386175E-2</v>
      </c>
      <c r="X109" s="80">
        <f t="shared" si="103"/>
        <v>8.8289767154642873E-3</v>
      </c>
      <c r="Y109" s="90">
        <f t="shared" si="97"/>
        <v>1.6406686286534578E-2</v>
      </c>
    </row>
    <row r="110" spans="1:25" x14ac:dyDescent="0.25">
      <c r="A110" s="64">
        <v>44266</v>
      </c>
      <c r="B110" s="65">
        <v>34.950000000000003</v>
      </c>
      <c r="C110" s="66">
        <f>myParidad('Flujo de Fondos'!$B$5,A110,B110,'Flujo de Fondos'!$B$7,'Flujo de Fondos'!$B$6)</f>
        <v>0.35065283122594837</v>
      </c>
      <c r="D110" s="65">
        <v>37.200000000000003</v>
      </c>
      <c r="E110" s="67">
        <f>myParidad('Flujo de Fondos'!$H$5,$A110,D110,'Flujo de Fondos'!$H$7,'Flujo de Fondos'!$H$6)</f>
        <v>0.37322704782847721</v>
      </c>
      <c r="F110" s="65">
        <v>33.51</v>
      </c>
      <c r="G110" s="66">
        <f>myParidad('Flujo de Fondos'!$N$5,$A110,F110,'Flujo de Fondos'!$N$7,'Flujo de Fondos'!$N$6)</f>
        <v>0.33523776894614221</v>
      </c>
      <c r="H110" s="68">
        <v>34.65</v>
      </c>
      <c r="I110" s="66">
        <f>myParidad('Flujo de Fondos'!$T$5,$A110,H110,'Flujo de Fondos'!$T$7,'Flujo de Fondos'!$T$6)</f>
        <v>0.34627468428077618</v>
      </c>
      <c r="J110" s="68">
        <v>30.26</v>
      </c>
      <c r="K110" s="66">
        <f>myParidad('Flujo de Fondos'!$B$34,$A110,J110,'Flujo de Fondos'!$B$36,'Flujo de Fondos'!$B$35)</f>
        <v>0.30272440729066741</v>
      </c>
      <c r="L110" s="65">
        <v>32.049999999999997</v>
      </c>
      <c r="M110" s="66">
        <f>myParidad('Flujo de Fondos'!$H$34,'Paridad usd'!$A110,'Paridad usd'!L110,'Flujo de Fondos'!$H$36,'Flujo de Fondos'!$H$35)</f>
        <v>0.32063176647937508</v>
      </c>
      <c r="N110" s="69">
        <v>31.5</v>
      </c>
      <c r="O110" s="66">
        <f>myParidad('Flujo de Fondos'!$N$34,$A110,N110,'Flujo de Fondos'!$N$36,'Flujo de Fondos'!$N$35)</f>
        <v>0.31512950527614086</v>
      </c>
      <c r="P110" s="70">
        <f t="shared" si="110"/>
        <v>1.5415062279806158E-2</v>
      </c>
      <c r="Q110" s="70">
        <f t="shared" si="108"/>
        <v>2.257421660252884E-2</v>
      </c>
      <c r="R110" s="70">
        <f t="shared" si="98"/>
        <v>3.0021064746573289E-2</v>
      </c>
      <c r="S110" s="67">
        <f t="shared" si="99"/>
        <v>3.5523325949807505E-2</v>
      </c>
      <c r="T110" s="70">
        <f t="shared" si="109"/>
        <v>5.8097542552336345E-2</v>
      </c>
      <c r="U110" s="70">
        <f t="shared" si="100"/>
        <v>2.0108263670001347E-2</v>
      </c>
      <c r="V110" s="70">
        <f t="shared" si="101"/>
        <v>3.2513361655474804E-2</v>
      </c>
      <c r="W110" s="70">
        <f t="shared" si="102"/>
        <v>4.7928423935280962E-2</v>
      </c>
      <c r="X110" s="80">
        <f t="shared" si="103"/>
        <v>1.1036915334633968E-2</v>
      </c>
      <c r="Y110" s="90">
        <f t="shared" si="97"/>
        <v>1.4606002466767132E-2</v>
      </c>
    </row>
    <row r="111" spans="1:25" x14ac:dyDescent="0.25">
      <c r="A111" s="64">
        <v>44265</v>
      </c>
      <c r="B111" s="65">
        <v>35</v>
      </c>
      <c r="C111" s="66">
        <f>myParidad('Flujo de Fondos'!$B$5,A111,B111,'Flujo de Fondos'!$B$7,'Flujo de Fondos'!$B$6)</f>
        <v>0.35116413315374256</v>
      </c>
      <c r="D111" s="65">
        <v>37</v>
      </c>
      <c r="E111" s="67">
        <f>myParidad('Flujo de Fondos'!$H$5,$A111,D111,'Flujo de Fondos'!$H$7,'Flujo de Fondos'!$H$6)</f>
        <v>0.3712306550482421</v>
      </c>
      <c r="F111" s="65">
        <v>33.51</v>
      </c>
      <c r="G111" s="66">
        <f>myParidad('Flujo de Fondos'!$N$5,$A111,F111,'Flujo de Fondos'!$N$7,'Flujo de Fondos'!$N$6)</f>
        <v>0.33523891749663387</v>
      </c>
      <c r="H111" s="68">
        <v>34.39</v>
      </c>
      <c r="I111" s="66">
        <f>myParidad('Flujo de Fondos'!$T$5,$A111,H111,'Flujo de Fondos'!$T$7,'Flujo de Fondos'!$T$6)</f>
        <v>0.34367755117406884</v>
      </c>
      <c r="J111" s="68">
        <v>29.8</v>
      </c>
      <c r="K111" s="66">
        <f>myParidad('Flujo de Fondos'!$B$34,$A111,J111,'Flujo de Fondos'!$B$36,'Flujo de Fondos'!$B$35)</f>
        <v>0.29812353749327636</v>
      </c>
      <c r="L111" s="65">
        <v>32.1</v>
      </c>
      <c r="M111" s="66">
        <f>myParidad('Flujo de Fondos'!$H$34,'Paridad usd'!$A111,'Paridad usd'!L111,'Flujo de Fondos'!$H$36,'Flujo de Fondos'!$H$35)</f>
        <v>0.32113307226624732</v>
      </c>
      <c r="N111" s="69">
        <v>31.42</v>
      </c>
      <c r="O111" s="66">
        <f>myParidad('Flujo de Fondos'!$N$34,$A111,N111,'Flujo de Fondos'!$N$36,'Flujo de Fondos'!$N$35)</f>
        <v>0.31433025328989067</v>
      </c>
      <c r="P111" s="70">
        <f t="shared" si="110"/>
        <v>1.5925215657108693E-2</v>
      </c>
      <c r="Q111" s="70">
        <f t="shared" si="108"/>
        <v>2.0066521894499534E-2</v>
      </c>
      <c r="R111" s="70">
        <f t="shared" si="98"/>
        <v>3.0031060887495242E-2</v>
      </c>
      <c r="S111" s="67">
        <f t="shared" si="99"/>
        <v>3.6833879863851893E-2</v>
      </c>
      <c r="T111" s="70">
        <f t="shared" si="109"/>
        <v>5.6900401758351427E-2</v>
      </c>
      <c r="U111" s="70">
        <f t="shared" si="100"/>
        <v>2.0908664206743199E-2</v>
      </c>
      <c r="V111" s="70">
        <f t="shared" si="101"/>
        <v>3.7115380003357512E-2</v>
      </c>
      <c r="W111" s="70">
        <f t="shared" si="102"/>
        <v>5.3040595660466205E-2</v>
      </c>
      <c r="X111" s="80">
        <f t="shared" si="103"/>
        <v>8.4386336774349702E-3</v>
      </c>
      <c r="Y111" s="90">
        <f t="shared" si="97"/>
        <v>1.4105845230386549E-2</v>
      </c>
    </row>
    <row r="112" spans="1:25" x14ac:dyDescent="0.25">
      <c r="A112" s="64">
        <v>44264</v>
      </c>
      <c r="B112" s="65">
        <v>36.25</v>
      </c>
      <c r="C112" s="66">
        <f>myParidad('Flujo de Fondos'!$B$5,A112,B112,'Flujo de Fondos'!$B$7,'Flujo de Fondos'!$B$6)</f>
        <v>0.36371570729561825</v>
      </c>
      <c r="D112" s="65">
        <v>38.299999999999997</v>
      </c>
      <c r="E112" s="67">
        <f>myParidad('Flujo de Fondos'!$H$5,$A112,D112,'Flujo de Fondos'!$H$7,'Flujo de Fondos'!$H$6)</f>
        <v>0.38428445763923247</v>
      </c>
      <c r="F112" s="65">
        <v>35.14</v>
      </c>
      <c r="G112" s="66">
        <f>myParidad('Flujo de Fondos'!$N$5,$A112,F112,'Flujo de Fondos'!$N$7,'Flujo de Fondos'!$N$6)</f>
        <v>0.35154687917554595</v>
      </c>
      <c r="H112" s="68">
        <v>35.26</v>
      </c>
      <c r="I112" s="66">
        <f>myParidad('Flujo de Fondos'!$T$5,$A112,H112,'Flujo de Fondos'!$T$7,'Flujo de Fondos'!$T$6)</f>
        <v>0.35237312962886908</v>
      </c>
      <c r="J112" s="68">
        <v>30.52</v>
      </c>
      <c r="K112" s="66">
        <f>myParidad('Flujo de Fondos'!$B$34,$A112,J112,'Flujo de Fondos'!$B$36,'Flujo de Fondos'!$B$35)</f>
        <v>0.30532756836760566</v>
      </c>
      <c r="L112" s="65">
        <v>32.6</v>
      </c>
      <c r="M112" s="66">
        <f>myParidad('Flujo de Fondos'!$H$34,'Paridad usd'!$A112,'Paridad usd'!L112,'Flujo de Fondos'!$H$36,'Flujo de Fondos'!$H$35)</f>
        <v>0.32613626241100735</v>
      </c>
      <c r="N112" s="69">
        <v>31.98</v>
      </c>
      <c r="O112" s="66">
        <f>myParidad('Flujo de Fondos'!$N$34,$A112,N112,'Flujo de Fondos'!$N$36,'Flujo de Fondos'!$N$35)</f>
        <v>0.31993367091730107</v>
      </c>
      <c r="P112" s="70">
        <f t="shared" si="110"/>
        <v>1.2168828120072306E-2</v>
      </c>
      <c r="Q112" s="70">
        <f t="shared" si="108"/>
        <v>2.0568750343614217E-2</v>
      </c>
      <c r="R112" s="70">
        <f t="shared" si="98"/>
        <v>3.7579444884610902E-2</v>
      </c>
      <c r="S112" s="67">
        <f t="shared" si="99"/>
        <v>4.378203637831718E-2</v>
      </c>
      <c r="T112" s="70">
        <f t="shared" si="109"/>
        <v>6.4350786721931397E-2</v>
      </c>
      <c r="U112" s="70">
        <f t="shared" si="100"/>
        <v>3.1613208258244874E-2</v>
      </c>
      <c r="V112" s="70">
        <f t="shared" si="101"/>
        <v>4.6219310807940284E-2</v>
      </c>
      <c r="W112" s="70">
        <f t="shared" si="102"/>
        <v>5.838813892801259E-2</v>
      </c>
      <c r="X112" s="80">
        <f t="shared" si="103"/>
        <v>8.2625045332312963E-4</v>
      </c>
      <c r="Y112" s="90">
        <f t="shared" si="97"/>
        <v>2.5410616764538596E-2</v>
      </c>
    </row>
    <row r="113" spans="1:25" x14ac:dyDescent="0.25">
      <c r="A113" s="64">
        <v>44263</v>
      </c>
      <c r="B113" s="65">
        <v>36.89</v>
      </c>
      <c r="C113" s="66">
        <f>myParidad('Flujo de Fondos'!$B$5,A113,B113,'Flujo de Fondos'!$B$7,'Flujo de Fondos'!$B$6)</f>
        <v>0.37014734585039999</v>
      </c>
      <c r="D113" s="65">
        <v>39.799999999999997</v>
      </c>
      <c r="E113" s="67">
        <f>myParidad('Flujo de Fondos'!$H$5,$A113,D113,'Flujo de Fondos'!$H$7,'Flujo de Fondos'!$H$6)</f>
        <v>0.39934574044038812</v>
      </c>
      <c r="F113" s="65">
        <v>35.700000000000003</v>
      </c>
      <c r="G113" s="66">
        <f>myParidad('Flujo de Fondos'!$N$5,$A113,F113,'Flujo de Fondos'!$N$7,'Flujo de Fondos'!$N$6)</f>
        <v>0.35715044350873831</v>
      </c>
      <c r="H113" s="68">
        <v>36.08</v>
      </c>
      <c r="I113" s="66">
        <f>myParidad('Flujo de Fondos'!$T$5,$A113,H113,'Flujo de Fondos'!$T$7,'Flujo de Fondos'!$T$6)</f>
        <v>0.36056908760485579</v>
      </c>
      <c r="J113" s="68">
        <v>31.65</v>
      </c>
      <c r="K113" s="66">
        <f>myParidad('Flujo de Fondos'!$B$34,$A113,J113,'Flujo de Fondos'!$B$36,'Flujo de Fondos'!$B$35)</f>
        <v>0.31663337638799904</v>
      </c>
      <c r="L113" s="65">
        <v>33.049999999999997</v>
      </c>
      <c r="M113" s="66">
        <f>myParidad('Flujo de Fondos'!$H$34,'Paridad usd'!$A113,'Paridad usd'!L113,'Flujo de Fondos'!$H$36,'Flujo de Fondos'!$H$35)</f>
        <v>0.33063927613343974</v>
      </c>
      <c r="N113" s="69">
        <v>32</v>
      </c>
      <c r="O113" s="66">
        <f>myParidad('Flujo de Fondos'!$N$34,$A113,N113,'Flujo de Fondos'!$N$36,'Flujo de Fondos'!$N$35)</f>
        <v>0.32013485132435926</v>
      </c>
      <c r="P113" s="70">
        <f t="shared" ref="P113:P114" si="111">C113-G113</f>
        <v>1.2996902341661676E-2</v>
      </c>
      <c r="Q113" s="70">
        <f t="shared" si="108"/>
        <v>2.919839458998813E-2</v>
      </c>
      <c r="R113" s="70">
        <f t="shared" si="98"/>
        <v>3.9508069716960248E-2</v>
      </c>
      <c r="S113" s="67">
        <f t="shared" si="99"/>
        <v>5.0012494526040729E-2</v>
      </c>
      <c r="T113" s="70">
        <f t="shared" si="109"/>
        <v>7.921088911602886E-2</v>
      </c>
      <c r="U113" s="70">
        <f t="shared" si="100"/>
        <v>3.7015592184379054E-2</v>
      </c>
      <c r="V113" s="70">
        <f t="shared" si="101"/>
        <v>4.051706712073927E-2</v>
      </c>
      <c r="W113" s="70">
        <f t="shared" si="102"/>
        <v>5.3513969462400945E-2</v>
      </c>
      <c r="X113" s="80">
        <f t="shared" si="103"/>
        <v>3.4186440961174736E-3</v>
      </c>
      <c r="Y113" s="90">
        <f t="shared" si="97"/>
        <v>2.6511167375298572E-2</v>
      </c>
    </row>
    <row r="114" spans="1:25" x14ac:dyDescent="0.25">
      <c r="A114" s="64">
        <v>44260</v>
      </c>
      <c r="B114" s="65">
        <v>37.51</v>
      </c>
      <c r="C114" s="66">
        <f>myParidad('Flujo de Fondos'!$B$5,A114,B114,'Flujo de Fondos'!$B$7,'Flujo de Fondos'!$B$6)</f>
        <v>0.3763993511849123</v>
      </c>
      <c r="D114" s="65">
        <v>38.5</v>
      </c>
      <c r="E114" s="67">
        <f>myParidad('Flujo de Fondos'!$H$5,$A114,D114,'Flujo de Fondos'!$H$7,'Flujo de Fondos'!$H$6)</f>
        <v>0.38633364491120031</v>
      </c>
      <c r="F114" s="65">
        <v>35.75</v>
      </c>
      <c r="G114" s="66">
        <f>myParidad('Flujo de Fondos'!$N$5,$A114,F114,'Flujo de Fondos'!$N$7,'Flujo de Fondos'!$N$6)</f>
        <v>0.3576543302932087</v>
      </c>
      <c r="H114" s="68">
        <v>36.08</v>
      </c>
      <c r="I114" s="66">
        <f>myParidad('Flujo de Fondos'!$T$5,$A114,H114,'Flujo de Fondos'!$T$7,'Flujo de Fondos'!$T$6)</f>
        <v>0.36057278974892532</v>
      </c>
      <c r="J114" s="68">
        <v>31.65</v>
      </c>
      <c r="K114" s="66">
        <f>myParidad('Flujo de Fondos'!$B$34,$A114,J114,'Flujo de Fondos'!$B$36,'Flujo de Fondos'!$B$35)</f>
        <v>0.31663663087496657</v>
      </c>
      <c r="L114" s="65">
        <v>33.5</v>
      </c>
      <c r="M114" s="66">
        <f>myParidad('Flujo de Fondos'!$H$34,'Paridad usd'!$A114,'Paridad usd'!L114,'Flujo de Fondos'!$H$36,'Flujo de Fondos'!$H$35)</f>
        <v>0.33514461719783195</v>
      </c>
      <c r="N114" s="69">
        <v>32.26</v>
      </c>
      <c r="O114" s="66">
        <f>myParidad('Flujo de Fondos'!$N$34,$A114,N114,'Flujo de Fondos'!$N$36,'Flujo de Fondos'!$N$35)</f>
        <v>0.32273926420304649</v>
      </c>
      <c r="P114" s="70">
        <f t="shared" si="111"/>
        <v>1.8745020891703601E-2</v>
      </c>
      <c r="Q114" s="70">
        <f t="shared" si="108"/>
        <v>9.9342937262880127E-3</v>
      </c>
      <c r="R114" s="70">
        <f t="shared" si="98"/>
        <v>4.125473398708035E-2</v>
      </c>
      <c r="S114" s="67">
        <f t="shared" si="99"/>
        <v>5.3660086981865807E-2</v>
      </c>
      <c r="T114" s="70">
        <f t="shared" si="109"/>
        <v>6.3594380708153819E-2</v>
      </c>
      <c r="U114" s="70">
        <f t="shared" si="100"/>
        <v>3.4915066090162206E-2</v>
      </c>
      <c r="V114" s="70">
        <f t="shared" si="101"/>
        <v>4.1017699418242126E-2</v>
      </c>
      <c r="W114" s="70">
        <f t="shared" si="102"/>
        <v>5.9762720309945727E-2</v>
      </c>
      <c r="X114" s="80">
        <f t="shared" si="103"/>
        <v>2.9184594557166155E-3</v>
      </c>
      <c r="Y114" s="90">
        <f t="shared" si="97"/>
        <v>2.2509713095376749E-2</v>
      </c>
    </row>
    <row r="115" spans="1:25" x14ac:dyDescent="0.25">
      <c r="A115" s="64">
        <v>44259</v>
      </c>
      <c r="B115" s="65">
        <v>37.799999999999997</v>
      </c>
      <c r="C115" s="66">
        <f>myParidad('Flujo de Fondos'!$B$5,A115,B115,'Flujo de Fondos'!$B$7,'Flujo de Fondos'!$B$6)</f>
        <v>0.3793198251450251</v>
      </c>
      <c r="D115" s="65">
        <v>40.4</v>
      </c>
      <c r="E115" s="67">
        <f>myParidad('Flujo de Fondos'!$H$5,$A115,D115,'Flujo de Fondos'!$H$7,'Flujo de Fondos'!$H$6)</f>
        <v>0.40541060676875701</v>
      </c>
      <c r="F115" s="65">
        <v>36.380000000000003</v>
      </c>
      <c r="G115" s="66">
        <f>myParidad('Flujo de Fondos'!$N$5,$A115,F115,'Flujo de Fondos'!$N$7,'Flujo de Fondos'!$N$6)</f>
        <v>0.36395829693051435</v>
      </c>
      <c r="H115" s="68">
        <v>36.979999999999997</v>
      </c>
      <c r="I115" s="66">
        <f>myParidad('Flujo de Fondos'!$T$5,$A115,H115,'Flujo de Fondos'!$T$7,'Flujo de Fondos'!$T$6)</f>
        <v>0.36956838693558486</v>
      </c>
      <c r="J115" s="68">
        <v>32.56</v>
      </c>
      <c r="K115" s="66">
        <f>myParidad('Flujo de Fondos'!$B$34,$A115,J115,'Flujo de Fondos'!$B$36,'Flujo de Fondos'!$B$35)</f>
        <v>0.32574167531768955</v>
      </c>
      <c r="L115" s="65">
        <v>33.799999999999997</v>
      </c>
      <c r="M115" s="66">
        <f>myParidad('Flujo de Fondos'!$H$34,'Paridad usd'!$A115,'Paridad usd'!L115,'Flujo de Fondos'!$H$36,'Flujo de Fondos'!$H$35)</f>
        <v>0.33814707081504625</v>
      </c>
      <c r="N115" s="69">
        <v>32.299999999999997</v>
      </c>
      <c r="O115" s="66">
        <f>myParidad('Flujo de Fondos'!$N$34,$A115,N115,'Flujo de Fondos'!$N$36,'Flujo de Fondos'!$N$35)</f>
        <v>0.3231405440037276</v>
      </c>
      <c r="P115" s="70">
        <f t="shared" ref="P115:P125" si="112">C115-G115</f>
        <v>1.5361528214510756E-2</v>
      </c>
      <c r="Q115" s="70">
        <f t="shared" si="108"/>
        <v>2.6090781623731907E-2</v>
      </c>
      <c r="R115" s="70">
        <f t="shared" si="98"/>
        <v>4.1172754329978856E-2</v>
      </c>
      <c r="S115" s="67">
        <f t="shared" si="99"/>
        <v>5.6179281141297499E-2</v>
      </c>
      <c r="T115" s="70">
        <f t="shared" si="109"/>
        <v>8.2270062765029406E-2</v>
      </c>
      <c r="U115" s="70">
        <f t="shared" si="100"/>
        <v>4.0817752926786743E-2</v>
      </c>
      <c r="V115" s="70">
        <f t="shared" si="101"/>
        <v>3.8216621612824797E-2</v>
      </c>
      <c r="W115" s="70">
        <f t="shared" si="102"/>
        <v>5.3578149827335553E-2</v>
      </c>
      <c r="X115" s="80">
        <f t="shared" si="103"/>
        <v>5.6100900050705116E-3</v>
      </c>
      <c r="Y115" s="90">
        <f t="shared" si="97"/>
        <v>2.58112261154681E-2</v>
      </c>
    </row>
    <row r="116" spans="1:25" x14ac:dyDescent="0.25">
      <c r="A116" s="64">
        <v>44258</v>
      </c>
      <c r="B116" s="65">
        <v>37.5</v>
      </c>
      <c r="C116" s="66">
        <f>myParidad('Flujo de Fondos'!$B$5,A116,B116,'Flujo de Fondos'!$B$7,'Flujo de Fondos'!$B$6)</f>
        <v>0.37631969646981195</v>
      </c>
      <c r="D116" s="65">
        <v>40.75</v>
      </c>
      <c r="E116" s="67">
        <f>myParidad('Flujo de Fondos'!$H$5,$A116,D116,'Flujo de Fondos'!$H$7,'Flujo de Fondos'!$H$6)</f>
        <v>0.4089340701638623</v>
      </c>
      <c r="F116" s="65">
        <v>36.22</v>
      </c>
      <c r="G116" s="66">
        <f>myParidad('Flujo de Fondos'!$N$5,$A116,F116,'Flujo de Fondos'!$N$7,'Flujo de Fondos'!$N$6)</f>
        <v>0.36235884223221138</v>
      </c>
      <c r="H116" s="68">
        <v>37</v>
      </c>
      <c r="I116" s="66">
        <f>myParidad('Flujo de Fondos'!$T$5,$A116,H116,'Flujo de Fondos'!$T$7,'Flujo de Fondos'!$T$6)</f>
        <v>0.36976952721249084</v>
      </c>
      <c r="J116" s="68">
        <v>31.85</v>
      </c>
      <c r="K116" s="66">
        <f>myParidad('Flujo de Fondos'!$B$34,$A116,J116,'Flujo de Fondos'!$B$36,'Flujo de Fondos'!$B$35)</f>
        <v>0.31863967766692253</v>
      </c>
      <c r="L116" s="65">
        <v>33.549999999999997</v>
      </c>
      <c r="M116" s="66">
        <f>myParidad('Flujo de Fondos'!$H$34,'Paridad usd'!$A116,'Paridad usd'!L116,'Flujo de Fondos'!$H$36,'Flujo de Fondos'!$H$35)</f>
        <v>0.3356471329898037</v>
      </c>
      <c r="N116" s="69">
        <v>32.04</v>
      </c>
      <c r="O116" s="66">
        <f>myParidad('Flujo de Fondos'!$N$34,$A116,N116,'Flujo de Fondos'!$N$36,'Flujo de Fondos'!$N$35)</f>
        <v>0.32054051090889157</v>
      </c>
      <c r="P116" s="70">
        <f t="shared" si="112"/>
        <v>1.3960854237600573E-2</v>
      </c>
      <c r="Q116" s="70">
        <f t="shared" si="108"/>
        <v>3.2614373694050347E-2</v>
      </c>
      <c r="R116" s="70">
        <f t="shared" si="98"/>
        <v>4.067256348000825E-2</v>
      </c>
      <c r="S116" s="67">
        <f t="shared" si="99"/>
        <v>5.5779185560920375E-2</v>
      </c>
      <c r="T116" s="70">
        <f t="shared" si="109"/>
        <v>8.8393559254970722E-2</v>
      </c>
      <c r="U116" s="70">
        <f t="shared" si="100"/>
        <v>4.1818331323319802E-2</v>
      </c>
      <c r="V116" s="70">
        <f t="shared" si="101"/>
        <v>4.3719164565288848E-2</v>
      </c>
      <c r="W116" s="70">
        <f t="shared" si="102"/>
        <v>5.7680018802889421E-2</v>
      </c>
      <c r="X116" s="80">
        <f t="shared" si="103"/>
        <v>7.4106849802794694E-3</v>
      </c>
      <c r="Y116" s="90">
        <f t="shared" si="97"/>
        <v>2.6711709242407677E-2</v>
      </c>
    </row>
    <row r="117" spans="1:25" x14ac:dyDescent="0.25">
      <c r="A117" s="64">
        <v>44257</v>
      </c>
      <c r="B117" s="65">
        <v>37.69</v>
      </c>
      <c r="C117" s="66">
        <f>myParidad('Flujo de Fondos'!$B$5,A117,B117,'Flujo de Fondos'!$B$7,'Flujo de Fondos'!$B$6)</f>
        <v>0.37823678205163452</v>
      </c>
      <c r="D117" s="65">
        <v>41</v>
      </c>
      <c r="E117" s="67">
        <f>myParidad('Flujo de Fondos'!$H$5,$A117,D117,'Flujo de Fondos'!$H$7,'Flujo de Fondos'!$H$6)</f>
        <v>0.41145418052844301</v>
      </c>
      <c r="F117" s="65">
        <v>36.29</v>
      </c>
      <c r="G117" s="66">
        <f>myParidad('Flujo de Fondos'!$N$5,$A117,F117,'Flujo de Fondos'!$N$7,'Flujo de Fondos'!$N$6)</f>
        <v>0.36306039311887783</v>
      </c>
      <c r="H117" s="68">
        <v>36.96</v>
      </c>
      <c r="I117" s="66">
        <f>myParidad('Flujo de Fondos'!$T$5,$A117,H117,'Flujo de Fondos'!$T$7,'Flujo de Fondos'!$T$6)</f>
        <v>0.36937104055362946</v>
      </c>
      <c r="J117" s="68">
        <v>32.21</v>
      </c>
      <c r="K117" s="66">
        <f>myParidad('Flujo de Fondos'!$B$34,$A117,J117,'Flujo de Fondos'!$B$36,'Flujo de Fondos'!$B$35)</f>
        <v>0.32224236049487615</v>
      </c>
      <c r="L117" s="65">
        <v>34.450000000000003</v>
      </c>
      <c r="M117" s="66">
        <f>myParidad('Flujo de Fondos'!$H$34,'Paridad usd'!$A117,'Paridad usd'!L117,'Flujo de Fondos'!$H$36,'Flujo de Fondos'!$H$35)</f>
        <v>0.34465226075903399</v>
      </c>
      <c r="N117" s="69">
        <v>32.25</v>
      </c>
      <c r="O117" s="66">
        <f>myParidad('Flujo de Fondos'!$N$34,$A117,N117,'Flujo de Fondos'!$N$36,'Flujo de Fondos'!$N$35)</f>
        <v>0.32264253728530756</v>
      </c>
      <c r="P117" s="70">
        <f t="shared" si="112"/>
        <v>1.517638893275669E-2</v>
      </c>
      <c r="Q117" s="70">
        <f t="shared" si="108"/>
        <v>3.3217398476808491E-2</v>
      </c>
      <c r="R117" s="70">
        <f t="shared" si="98"/>
        <v>3.3584521292600533E-2</v>
      </c>
      <c r="S117" s="67">
        <f t="shared" si="99"/>
        <v>5.5594244766326961E-2</v>
      </c>
      <c r="T117" s="70">
        <f t="shared" si="109"/>
        <v>8.8811643243135452E-2</v>
      </c>
      <c r="U117" s="70">
        <f t="shared" si="100"/>
        <v>4.0417855833570271E-2</v>
      </c>
      <c r="V117" s="70">
        <f t="shared" si="101"/>
        <v>4.0818032624001688E-2</v>
      </c>
      <c r="W117" s="70">
        <f t="shared" si="102"/>
        <v>5.5994421556758378E-2</v>
      </c>
      <c r="X117" s="80">
        <f t="shared" si="103"/>
        <v>6.3106474347516262E-3</v>
      </c>
      <c r="Y117" s="90">
        <f t="shared" si="97"/>
        <v>1.8408132359843843E-2</v>
      </c>
    </row>
    <row r="118" spans="1:25" x14ac:dyDescent="0.25">
      <c r="A118" s="64">
        <v>44256</v>
      </c>
      <c r="B118" s="65">
        <v>38.19</v>
      </c>
      <c r="C118" s="66">
        <f>myParidad('Flujo de Fondos'!$B$5,A118,B118,'Flujo de Fondos'!$B$7,'Flujo de Fondos'!$B$6)</f>
        <v>0.38326505361561725</v>
      </c>
      <c r="D118" s="65">
        <v>41.5</v>
      </c>
      <c r="E118" s="67">
        <f>myParidad('Flujo de Fondos'!$H$5,$A118,D118,'Flujo de Fondos'!$H$7,'Flujo de Fondos'!$H$6)</f>
        <v>0.41648336541105307</v>
      </c>
      <c r="F118" s="65">
        <v>36.78</v>
      </c>
      <c r="G118" s="66">
        <f>myParidad('Flujo de Fondos'!$N$5,$A118,F118,'Flujo de Fondos'!$N$7,'Flujo de Fondos'!$N$6)</f>
        <v>0.3679638195086854</v>
      </c>
      <c r="H118" s="68">
        <v>37.79</v>
      </c>
      <c r="I118" s="66">
        <f>myParidad('Flujo de Fondos'!$T$5,$A118,H118,'Flujo de Fondos'!$T$7,'Flujo de Fondos'!$T$6)</f>
        <v>0.37766719145732081</v>
      </c>
      <c r="J118" s="68">
        <v>33.01</v>
      </c>
      <c r="K118" s="66">
        <f>myParidad('Flujo de Fondos'!$B$34,$A118,J118,'Flujo de Fondos'!$B$36,'Flujo de Fondos'!$B$35)</f>
        <v>0.33024702778634324</v>
      </c>
      <c r="L118" s="65">
        <v>35.049999999999997</v>
      </c>
      <c r="M118" s="66">
        <f>myParidad('Flujo de Fondos'!$H$34,'Paridad usd'!$A118,'Paridad usd'!L118,'Flujo de Fondos'!$H$36,'Flujo de Fondos'!$H$35)</f>
        <v>0.35065611402336655</v>
      </c>
      <c r="N118" s="69">
        <v>33.200000000000003</v>
      </c>
      <c r="O118" s="66">
        <f>myParidad('Flujo de Fondos'!$N$34,$A118,N118,'Flujo de Fondos'!$N$36,'Flujo de Fondos'!$N$35)</f>
        <v>0.33214787405351698</v>
      </c>
      <c r="P118" s="70">
        <f t="shared" si="112"/>
        <v>1.5301234106931849E-2</v>
      </c>
      <c r="Q118" s="70">
        <f t="shared" si="108"/>
        <v>3.3218311795435829E-2</v>
      </c>
      <c r="R118" s="70">
        <f t="shared" ref="R118:R149" si="113">C118-M118</f>
        <v>3.2608939592250696E-2</v>
      </c>
      <c r="S118" s="67">
        <f t="shared" ref="S118:S149" si="114">C118-O118</f>
        <v>5.1117179562100268E-2</v>
      </c>
      <c r="T118" s="70">
        <f t="shared" si="109"/>
        <v>8.4335491357536096E-2</v>
      </c>
      <c r="U118" s="70">
        <f t="shared" ref="U118:U149" si="115">G118-O118</f>
        <v>3.5815945455168419E-2</v>
      </c>
      <c r="V118" s="70">
        <f t="shared" si="101"/>
        <v>3.7716791722342158E-2</v>
      </c>
      <c r="W118" s="70">
        <f t="shared" si="102"/>
        <v>5.3018025829274007E-2</v>
      </c>
      <c r="X118" s="80">
        <f t="shared" si="103"/>
        <v>9.7033719486354086E-3</v>
      </c>
      <c r="Y118" s="90">
        <f t="shared" si="97"/>
        <v>1.7307705485318847E-2</v>
      </c>
    </row>
    <row r="119" spans="1:25" x14ac:dyDescent="0.25">
      <c r="A119" s="64">
        <v>44253</v>
      </c>
      <c r="B119" s="65">
        <v>38.049999999999997</v>
      </c>
      <c r="C119" s="66">
        <f>myParidad('Flujo de Fondos'!$B$5,A119,B119,'Flujo de Fondos'!$B$7,'Flujo de Fondos'!$B$6)</f>
        <v>0.38189155003162206</v>
      </c>
      <c r="D119" s="65">
        <v>41.5</v>
      </c>
      <c r="E119" s="67">
        <f>myParidad('Flujo de Fondos'!$H$5,$A119,D119,'Flujo de Fondos'!$H$7,'Flujo de Fondos'!$H$6)</f>
        <v>0.41651772211070476</v>
      </c>
      <c r="F119" s="65">
        <v>36.78</v>
      </c>
      <c r="G119" s="66">
        <f>myParidad('Flujo de Fondos'!$N$5,$A119,F119,'Flujo de Fondos'!$N$7,'Flujo de Fondos'!$N$6)</f>
        <v>0.36796760168158787</v>
      </c>
      <c r="H119" s="68">
        <v>37.630000000000003</v>
      </c>
      <c r="I119" s="66">
        <f>myParidad('Flujo de Fondos'!$T$5,$A119,H119,'Flujo de Fondos'!$T$7,'Flujo de Fondos'!$T$6)</f>
        <v>0.37607203852459298</v>
      </c>
      <c r="J119" s="68">
        <v>33</v>
      </c>
      <c r="K119" s="66">
        <f>myParidad('Flujo de Fondos'!$B$34,$A119,J119,'Flujo de Fondos'!$B$36,'Flujo de Fondos'!$B$35)</f>
        <v>0.33015037671268077</v>
      </c>
      <c r="L119" s="65">
        <v>34.85</v>
      </c>
      <c r="M119" s="66">
        <f>myParidad('Flujo de Fondos'!$H$34,'Paridad usd'!$A119,'Paridad usd'!L119,'Flujo de Fondos'!$H$36,'Flujo de Fondos'!$H$35)</f>
        <v>0.34865880692233109</v>
      </c>
      <c r="N119" s="69">
        <v>33.1</v>
      </c>
      <c r="O119" s="66">
        <f>myParidad('Flujo de Fondos'!$N$34,$A119,N119,'Flujo de Fondos'!$N$36,'Flujo de Fondos'!$N$35)</f>
        <v>0.3311508323996889</v>
      </c>
      <c r="P119" s="70">
        <f t="shared" si="112"/>
        <v>1.3923948350034188E-2</v>
      </c>
      <c r="Q119" s="70">
        <f t="shared" si="108"/>
        <v>3.4626172079082695E-2</v>
      </c>
      <c r="R119" s="70">
        <f t="shared" si="113"/>
        <v>3.3232743109290974E-2</v>
      </c>
      <c r="S119" s="67">
        <f t="shared" si="114"/>
        <v>5.0740717631933163E-2</v>
      </c>
      <c r="T119" s="70">
        <f t="shared" si="109"/>
        <v>8.5366889711015859E-2</v>
      </c>
      <c r="U119" s="70">
        <f t="shared" si="115"/>
        <v>3.6816769281898976E-2</v>
      </c>
      <c r="V119" s="70">
        <f t="shared" si="101"/>
        <v>3.7817224968907104E-2</v>
      </c>
      <c r="W119" s="70">
        <f t="shared" si="102"/>
        <v>5.1741173318941291E-2</v>
      </c>
      <c r="X119" s="80">
        <f t="shared" si="103"/>
        <v>8.1044368430051028E-3</v>
      </c>
      <c r="Y119" s="90">
        <f t="shared" si="97"/>
        <v>1.9308794759256787E-2</v>
      </c>
    </row>
    <row r="120" spans="1:25" x14ac:dyDescent="0.25">
      <c r="A120" s="64">
        <v>44252</v>
      </c>
      <c r="B120" s="65">
        <v>37.92</v>
      </c>
      <c r="C120" s="66">
        <f>myParidad('Flujo de Fondos'!$B$5,A120,B120,'Flujo de Fondos'!$B$7,'Flujo de Fondos'!$B$6)</f>
        <v>0.38059726117802345</v>
      </c>
      <c r="D120" s="65">
        <v>42</v>
      </c>
      <c r="E120" s="67">
        <f>myParidad('Flujo de Fondos'!$H$5,$A120,D120,'Flujo de Fondos'!$H$7,'Flujo de Fondos'!$H$6)</f>
        <v>0.42154759940603859</v>
      </c>
      <c r="F120" s="65">
        <v>36.47</v>
      </c>
      <c r="G120" s="66">
        <f>myParidad('Flujo de Fondos'!$N$5,$A120,F120,'Flujo de Fondos'!$N$7,'Flujo de Fondos'!$N$6)</f>
        <v>0.36486743916728909</v>
      </c>
      <c r="H120" s="68">
        <v>38.01</v>
      </c>
      <c r="I120" s="66">
        <f>myParidad('Flujo de Fondos'!$T$5,$A120,H120,'Flujo de Fondos'!$T$7,'Flujo de Fondos'!$T$6)</f>
        <v>0.37987103663545257</v>
      </c>
      <c r="J120" s="68">
        <v>32.9</v>
      </c>
      <c r="K120" s="66">
        <f>myParidad('Flujo de Fondos'!$B$34,$A120,J120,'Flujo de Fondos'!$B$36,'Flujo de Fondos'!$B$35)</f>
        <v>0.32915104876895562</v>
      </c>
      <c r="L120" s="65">
        <v>34.6</v>
      </c>
      <c r="M120" s="66">
        <f>myParidad('Flujo de Fondos'!$H$34,'Paridad usd'!$A120,'Paridad usd'!L120,'Flujo de Fondos'!$H$36,'Flujo de Fondos'!$H$35)</f>
        <v>0.346158853720543</v>
      </c>
      <c r="N120" s="69">
        <v>33.200000000000003</v>
      </c>
      <c r="O120" s="66">
        <f>myParidad('Flujo de Fondos'!$N$34,$A120,N120,'Flujo de Fondos'!$N$36,'Flujo de Fondos'!$N$35)</f>
        <v>0.33215242611335344</v>
      </c>
      <c r="P120" s="70">
        <f t="shared" si="112"/>
        <v>1.5729822010734362E-2</v>
      </c>
      <c r="Q120" s="70">
        <f t="shared" si="108"/>
        <v>4.0950338228015137E-2</v>
      </c>
      <c r="R120" s="70">
        <f t="shared" si="113"/>
        <v>3.4438407457480447E-2</v>
      </c>
      <c r="S120" s="67">
        <f t="shared" si="114"/>
        <v>4.8444835064670011E-2</v>
      </c>
      <c r="T120" s="70">
        <f t="shared" si="109"/>
        <v>8.9395173292685148E-2</v>
      </c>
      <c r="U120" s="70">
        <f t="shared" si="115"/>
        <v>3.2715013053935649E-2</v>
      </c>
      <c r="V120" s="70">
        <f t="shared" si="101"/>
        <v>3.5716390398333464E-2</v>
      </c>
      <c r="W120" s="70">
        <f t="shared" si="102"/>
        <v>5.1446212409067826E-2</v>
      </c>
      <c r="X120" s="80">
        <f t="shared" si="103"/>
        <v>1.5003597468163488E-2</v>
      </c>
      <c r="Y120" s="90">
        <f t="shared" si="97"/>
        <v>1.8708585446746084E-2</v>
      </c>
    </row>
    <row r="121" spans="1:25" x14ac:dyDescent="0.25">
      <c r="A121" s="64">
        <v>44251</v>
      </c>
      <c r="B121" s="65">
        <v>37.9</v>
      </c>
      <c r="C121" s="66">
        <f>myParidad('Flujo de Fondos'!$B$5,A121,B121,'Flujo de Fondos'!$B$7,'Flujo de Fondos'!$B$6)</f>
        <v>0.38040698473807233</v>
      </c>
      <c r="D121" s="65">
        <v>41.5</v>
      </c>
      <c r="E121" s="67">
        <f>myParidad('Flujo de Fondos'!$H$5,$A121,D121,'Flujo de Fondos'!$H$7,'Flujo de Fondos'!$H$6)</f>
        <v>0.41654062972638528</v>
      </c>
      <c r="F121" s="65">
        <v>36.08</v>
      </c>
      <c r="G121" s="66">
        <f>myParidad('Flujo de Fondos'!$N$5,$A121,F121,'Flujo de Fondos'!$N$7,'Flujo de Fondos'!$N$6)</f>
        <v>0.36096688537508775</v>
      </c>
      <c r="H121" s="68">
        <v>38.11</v>
      </c>
      <c r="I121" s="66">
        <f>myParidad('Flujo de Fondos'!$T$5,$A121,H121,'Flujo de Fondos'!$T$7,'Flujo de Fondos'!$T$6)</f>
        <v>0.38087173782835626</v>
      </c>
      <c r="J121" s="68">
        <v>32.5</v>
      </c>
      <c r="K121" s="66">
        <f>myParidad('Flujo de Fondos'!$B$34,$A121,J121,'Flujo de Fondos'!$B$36,'Flujo de Fondos'!$B$35)</f>
        <v>0.32515032634951091</v>
      </c>
      <c r="L121" s="65">
        <v>34.299999999999997</v>
      </c>
      <c r="M121" s="66">
        <f>myParidad('Flujo de Fondos'!$H$34,'Paridad usd'!$A121,'Paridad usd'!L121,'Flujo de Fondos'!$H$36,'Flujo de Fondos'!$H$35)</f>
        <v>0.34315865211656071</v>
      </c>
      <c r="N121" s="69">
        <v>33.1</v>
      </c>
      <c r="O121" s="66">
        <f>myParidad('Flujo de Fondos'!$N$34,$A121,N121,'Flujo de Fondos'!$N$36,'Flujo de Fondos'!$N$35)</f>
        <v>0.33115310160519418</v>
      </c>
      <c r="P121" s="70">
        <f t="shared" si="112"/>
        <v>1.9440099362984575E-2</v>
      </c>
      <c r="Q121" s="70">
        <f t="shared" si="108"/>
        <v>3.6133644988312952E-2</v>
      </c>
      <c r="R121" s="70">
        <f t="shared" si="113"/>
        <v>3.7248332621511615E-2</v>
      </c>
      <c r="S121" s="67">
        <f t="shared" si="114"/>
        <v>4.9253883132878151E-2</v>
      </c>
      <c r="T121" s="70">
        <f t="shared" si="109"/>
        <v>8.5387528121191103E-2</v>
      </c>
      <c r="U121" s="70">
        <f t="shared" si="115"/>
        <v>2.9813783769893576E-2</v>
      </c>
      <c r="V121" s="70">
        <f t="shared" si="101"/>
        <v>3.5816559025576844E-2</v>
      </c>
      <c r="W121" s="70">
        <f t="shared" si="102"/>
        <v>5.5256658388561419E-2</v>
      </c>
      <c r="X121" s="80">
        <f t="shared" si="103"/>
        <v>1.9904852453268507E-2</v>
      </c>
      <c r="Y121" s="90">
        <f t="shared" si="97"/>
        <v>1.780823325852704E-2</v>
      </c>
    </row>
    <row r="122" spans="1:25" x14ac:dyDescent="0.25">
      <c r="A122" s="64">
        <v>44250</v>
      </c>
      <c r="B122" s="65">
        <v>37.69</v>
      </c>
      <c r="C122" s="66">
        <f>myParidad('Flujo de Fondos'!$B$5,A122,B122,'Flujo de Fondos'!$B$7,'Flujo de Fondos'!$B$6)</f>
        <v>0.37830959190408092</v>
      </c>
      <c r="D122" s="65">
        <v>41.8</v>
      </c>
      <c r="E122" s="67">
        <f>myParidad('Flujo de Fondos'!$H$5,$A122,D122,'Flujo de Fondos'!$H$7,'Flujo de Fondos'!$H$6)</f>
        <v>0.41956330436695632</v>
      </c>
      <c r="F122" s="65">
        <v>35.75</v>
      </c>
      <c r="G122" s="66">
        <f>myParidad('Flujo de Fondos'!$N$5,$A122,F122,'Flujo de Fondos'!$N$7,'Flujo de Fondos'!$N$6)</f>
        <v>0.35766658443658689</v>
      </c>
      <c r="H122" s="68">
        <v>37.79</v>
      </c>
      <c r="I122" s="66">
        <f>myParidad('Flujo de Fondos'!$T$5,$A122,H122,'Flujo de Fondos'!$T$7,'Flujo de Fondos'!$T$6)</f>
        <v>0.37767494712055144</v>
      </c>
      <c r="J122" s="68">
        <v>32.11</v>
      </c>
      <c r="K122" s="66">
        <f>myParidad('Flujo de Fondos'!$B$34,$A122,J122,'Flujo de Fondos'!$B$36,'Flujo de Fondos'!$B$35)</f>
        <v>0.3212496231121344</v>
      </c>
      <c r="L122" s="65">
        <v>34.1</v>
      </c>
      <c r="M122" s="66">
        <f>myParidad('Flujo de Fondos'!$H$34,'Paridad usd'!$A122,'Paridad usd'!L122,'Flujo de Fondos'!$H$36,'Flujo de Fondos'!$H$35)</f>
        <v>0.34115889592412907</v>
      </c>
      <c r="N122" s="69">
        <v>32.74</v>
      </c>
      <c r="O122" s="66">
        <f>myParidad('Flujo de Fondos'!$N$34,$A122,N122,'Flujo de Fondos'!$N$36,'Flujo de Fondos'!$N$35)</f>
        <v>0.32755255872598199</v>
      </c>
      <c r="P122" s="70">
        <f t="shared" si="112"/>
        <v>2.0643007467494034E-2</v>
      </c>
      <c r="Q122" s="70">
        <f t="shared" si="108"/>
        <v>4.1253712462875403E-2</v>
      </c>
      <c r="R122" s="70">
        <f t="shared" si="113"/>
        <v>3.7150695979951853E-2</v>
      </c>
      <c r="S122" s="67">
        <f t="shared" si="114"/>
        <v>5.0757033178098931E-2</v>
      </c>
      <c r="T122" s="70">
        <f t="shared" si="109"/>
        <v>9.2010745640974334E-2</v>
      </c>
      <c r="U122" s="70">
        <f t="shared" si="115"/>
        <v>3.0114025710604897E-2</v>
      </c>
      <c r="V122" s="70">
        <f t="shared" si="101"/>
        <v>3.641696132445249E-2</v>
      </c>
      <c r="W122" s="70">
        <f t="shared" si="102"/>
        <v>5.7059968791946525E-2</v>
      </c>
      <c r="X122" s="80">
        <f t="shared" si="103"/>
        <v>2.0008362683964553E-2</v>
      </c>
      <c r="Y122" s="90">
        <f t="shared" si="97"/>
        <v>1.6507688512457819E-2</v>
      </c>
    </row>
    <row r="123" spans="1:25" x14ac:dyDescent="0.25">
      <c r="A123" s="64">
        <v>44249</v>
      </c>
      <c r="B123" s="65">
        <v>38.25</v>
      </c>
      <c r="C123" s="66">
        <f>myParidad('Flujo de Fondos'!$B$5,A123,B123,'Flujo de Fondos'!$B$7,'Flujo de Fondos'!$B$6)</f>
        <v>0.38394109396914444</v>
      </c>
      <c r="D123" s="65">
        <v>42.4</v>
      </c>
      <c r="E123" s="67">
        <f>myParidad('Flujo de Fondos'!$H$5,$A123,D123,'Flujo de Fondos'!$H$7,'Flujo de Fondos'!$H$6)</f>
        <v>0.42559744795533921</v>
      </c>
      <c r="F123" s="65">
        <v>36.35</v>
      </c>
      <c r="G123" s="66">
        <f>myParidad('Flujo de Fondos'!$N$5,$A123,F123,'Flujo de Fondos'!$N$7,'Flujo de Fondos'!$N$6)</f>
        <v>0.36367062628699082</v>
      </c>
      <c r="H123" s="68">
        <v>38.42</v>
      </c>
      <c r="I123" s="66">
        <f>myParidad('Flujo de Fondos'!$T$5,$A123,H123,'Flujo de Fondos'!$T$7,'Flujo de Fondos'!$T$6)</f>
        <v>0.38397250943790151</v>
      </c>
      <c r="J123" s="68">
        <v>32.25</v>
      </c>
      <c r="K123" s="66">
        <f>myParidad('Flujo de Fondos'!$B$34,$A123,J123,'Flujo de Fondos'!$B$36,'Flujo de Fondos'!$B$35)</f>
        <v>0.32265138095613355</v>
      </c>
      <c r="L123" s="65">
        <v>34.4</v>
      </c>
      <c r="M123" s="66">
        <f>myParidad('Flujo de Fondos'!$H$34,'Paridad usd'!$A123,'Paridad usd'!L123,'Flujo de Fondos'!$H$36,'Flujo de Fondos'!$H$35)</f>
        <v>0.34416147301987576</v>
      </c>
      <c r="N123" s="69">
        <v>32.74</v>
      </c>
      <c r="O123" s="66">
        <f>myParidad('Flujo de Fondos'!$N$34,$A123,N123,'Flujo de Fondos'!$N$36,'Flujo de Fondos'!$N$35)</f>
        <v>0.32755368100787013</v>
      </c>
      <c r="P123" s="70">
        <f t="shared" si="112"/>
        <v>2.0270467682153626E-2</v>
      </c>
      <c r="Q123" s="70">
        <f t="shared" si="108"/>
        <v>4.1656353986194772E-2</v>
      </c>
      <c r="R123" s="70">
        <f t="shared" si="113"/>
        <v>3.9779620949268679E-2</v>
      </c>
      <c r="S123" s="67">
        <f t="shared" si="114"/>
        <v>5.6387412961274308E-2</v>
      </c>
      <c r="T123" s="70">
        <f t="shared" si="109"/>
        <v>9.804376694746908E-2</v>
      </c>
      <c r="U123" s="70">
        <f t="shared" si="115"/>
        <v>3.6116945279120682E-2</v>
      </c>
      <c r="V123" s="70">
        <f t="shared" si="101"/>
        <v>4.1019245330857268E-2</v>
      </c>
      <c r="W123" s="70">
        <f t="shared" si="102"/>
        <v>6.1289713013010894E-2</v>
      </c>
      <c r="X123" s="80">
        <f t="shared" si="103"/>
        <v>2.0301883150910693E-2</v>
      </c>
      <c r="Y123" s="90">
        <f t="shared" si="97"/>
        <v>1.9509153267115054E-2</v>
      </c>
    </row>
    <row r="124" spans="1:25" x14ac:dyDescent="0.25">
      <c r="A124" s="64">
        <v>44246</v>
      </c>
      <c r="B124" s="65">
        <v>38.549999999999997</v>
      </c>
      <c r="C124" s="66">
        <f>myParidad('Flujo de Fondos'!$B$5,A124,B124,'Flujo de Fondos'!$B$7,'Flujo de Fondos'!$B$6)</f>
        <v>0.38698432343234318</v>
      </c>
      <c r="D124" s="65">
        <v>42.21</v>
      </c>
      <c r="E124" s="67">
        <f>myParidad('Flujo de Fondos'!$H$5,$A124,D124,'Flujo de Fondos'!$H$7,'Flujo de Fondos'!$H$6)</f>
        <v>0.42372524752475249</v>
      </c>
      <c r="F124" s="65">
        <v>36.19</v>
      </c>
      <c r="G124" s="66">
        <f>myParidad('Flujo de Fondos'!$N$5,$A124,F124,'Flujo de Fondos'!$N$7,'Flujo de Fondos'!$N$6)</f>
        <v>0.36207359693003494</v>
      </c>
      <c r="H124" s="68">
        <v>38.6</v>
      </c>
      <c r="I124" s="66">
        <f>myParidad('Flujo de Fondos'!$T$5,$A124,H124,'Flujo de Fondos'!$T$7,'Flujo de Fondos'!$T$6)</f>
        <v>0.3857754047301229</v>
      </c>
      <c r="J124" s="68">
        <v>32.5</v>
      </c>
      <c r="K124" s="66">
        <f>myParidad('Flujo de Fondos'!$B$34,$A124,J124,'Flujo de Fondos'!$B$36,'Flujo de Fondos'!$B$35)</f>
        <v>0.32515589666278355</v>
      </c>
      <c r="L124" s="65">
        <v>34.799999999999997</v>
      </c>
      <c r="M124" s="66">
        <f>myParidad('Flujo de Fondos'!$H$34,'Paridad usd'!$A124,'Paridad usd'!L124,'Flujo de Fondos'!$H$36,'Flujo de Fondos'!$H$35)</f>
        <v>0.34816692934968818</v>
      </c>
      <c r="N124" s="69">
        <v>33</v>
      </c>
      <c r="O124" s="66">
        <f>myParidad('Flujo de Fondos'!$N$34,$A124,N124,'Flujo de Fondos'!$N$36,'Flujo de Fondos'!$N$35)</f>
        <v>0.33015829507298022</v>
      </c>
      <c r="P124" s="70">
        <f t="shared" si="112"/>
        <v>2.4910726502308245E-2</v>
      </c>
      <c r="Q124" s="70">
        <f t="shared" si="108"/>
        <v>3.6740924092409311E-2</v>
      </c>
      <c r="R124" s="70">
        <f t="shared" si="113"/>
        <v>3.8817394082654999E-2</v>
      </c>
      <c r="S124" s="67">
        <f t="shared" si="114"/>
        <v>5.6826028359362957E-2</v>
      </c>
      <c r="T124" s="70">
        <f t="shared" si="109"/>
        <v>9.3566952451772267E-2</v>
      </c>
      <c r="U124" s="70">
        <f t="shared" si="115"/>
        <v>3.1915301857054712E-2</v>
      </c>
      <c r="V124" s="70">
        <f t="shared" si="101"/>
        <v>3.6917700267251385E-2</v>
      </c>
      <c r="W124" s="70">
        <f t="shared" si="102"/>
        <v>6.182842676955963E-2</v>
      </c>
      <c r="X124" s="80">
        <f t="shared" si="103"/>
        <v>2.370180780008796E-2</v>
      </c>
      <c r="Y124" s="90">
        <f t="shared" si="97"/>
        <v>1.3906667580346754E-2</v>
      </c>
    </row>
    <row r="125" spans="1:25" x14ac:dyDescent="0.25">
      <c r="A125" s="64">
        <v>44245</v>
      </c>
      <c r="B125" s="65">
        <v>38.950000000000003</v>
      </c>
      <c r="C125" s="66">
        <f>myParidad('Flujo de Fondos'!$B$5,A125,B125,'Flujo de Fondos'!$B$7,'Flujo de Fondos'!$B$6)</f>
        <v>0.39101047883605161</v>
      </c>
      <c r="D125" s="65">
        <v>42.2</v>
      </c>
      <c r="E125" s="67">
        <f>myParidad('Flujo de Fondos'!$H$5,$A125,D125,'Flujo de Fondos'!$H$7,'Flujo de Fondos'!$H$6)</f>
        <v>0.4236365136554911</v>
      </c>
      <c r="F125" s="65">
        <v>36.75</v>
      </c>
      <c r="G125" s="66">
        <f>myParidad('Flujo de Fondos'!$N$5,$A125,F125,'Flujo de Fondos'!$N$7,'Flujo de Fondos'!$N$6)</f>
        <v>0.36767754292312382</v>
      </c>
      <c r="H125" s="68">
        <v>39.049999999999997</v>
      </c>
      <c r="I125" s="66">
        <f>myParidad('Flujo de Fondos'!$T$5,$A125,H125,'Flujo de Fondos'!$T$7,'Flujo de Fondos'!$T$6)</f>
        <v>0.39027412216901858</v>
      </c>
      <c r="J125" s="68">
        <v>33.01</v>
      </c>
      <c r="K125" s="66">
        <f>myParidad('Flujo de Fondos'!$B$34,$A125,J125,'Flujo de Fondos'!$B$36,'Flujo de Fondos'!$B$35)</f>
        <v>0.33025947460931476</v>
      </c>
      <c r="L125" s="65">
        <v>34.78</v>
      </c>
      <c r="M125" s="66">
        <f>myParidad('Flujo de Fondos'!$H$34,'Paridad usd'!$A125,'Paridad usd'!L125,'Flujo de Fondos'!$H$36,'Flujo de Fondos'!$H$35)</f>
        <v>0.34796802565622442</v>
      </c>
      <c r="N125" s="69">
        <v>32.86</v>
      </c>
      <c r="O125" s="66">
        <f>myParidad('Flujo de Fondos'!$N$34,$A125,N125,'Flujo de Fondos'!$N$36,'Flujo de Fondos'!$N$35)</f>
        <v>0.32875874994432241</v>
      </c>
      <c r="P125" s="70">
        <f t="shared" si="112"/>
        <v>2.3332935912927788E-2</v>
      </c>
      <c r="Q125" s="70">
        <f t="shared" si="108"/>
        <v>3.2626034819439487E-2</v>
      </c>
      <c r="R125" s="70">
        <f t="shared" si="113"/>
        <v>4.3042453179827189E-2</v>
      </c>
      <c r="S125" s="67">
        <f t="shared" si="114"/>
        <v>6.2251728891729197E-2</v>
      </c>
      <c r="T125" s="70">
        <f t="shared" si="109"/>
        <v>9.4877763711168683E-2</v>
      </c>
      <c r="U125" s="70">
        <f t="shared" si="115"/>
        <v>3.8918792978801409E-2</v>
      </c>
      <c r="V125" s="70">
        <f t="shared" si="101"/>
        <v>3.7418068313809061E-2</v>
      </c>
      <c r="W125" s="70">
        <f t="shared" si="102"/>
        <v>6.0751004226736849E-2</v>
      </c>
      <c r="X125" s="80">
        <f t="shared" si="103"/>
        <v>2.2596579245894755E-2</v>
      </c>
      <c r="Y125" s="90">
        <f t="shared" si="97"/>
        <v>1.9709517266899401E-2</v>
      </c>
    </row>
    <row r="126" spans="1:25" x14ac:dyDescent="0.25">
      <c r="A126" s="64">
        <v>44244</v>
      </c>
      <c r="B126" s="65">
        <v>38.69</v>
      </c>
      <c r="C126" s="66">
        <f>myParidad('Flujo de Fondos'!$B$5,A126,B126,'Flujo de Fondos'!$B$7,'Flujo de Fondos'!$B$6)</f>
        <v>0.38841107871720115</v>
      </c>
      <c r="D126" s="65">
        <v>42.4</v>
      </c>
      <c r="E126" s="67">
        <f>myParidad('Flujo de Fondos'!$H$5,$A126,D126,'Flujo de Fondos'!$H$7,'Flujo de Fondos'!$H$6)</f>
        <v>0.42565597667638483</v>
      </c>
      <c r="F126" s="65">
        <v>36.14</v>
      </c>
      <c r="G126" s="66">
        <f>myParidad('Flujo de Fondos'!$N$5,$A126,F126,'Flujo de Fondos'!$N$7,'Flujo de Fondos'!$N$6)</f>
        <v>0.36157583482378419</v>
      </c>
      <c r="H126" s="68">
        <v>39.229999999999997</v>
      </c>
      <c r="I126" s="66">
        <f>myParidad('Flujo de Fondos'!$T$5,$A126,H126,'Flujo de Fondos'!$T$7,'Flujo de Fondos'!$T$6)</f>
        <v>0.39207442293474981</v>
      </c>
      <c r="J126" s="68">
        <v>32.9</v>
      </c>
      <c r="K126" s="66">
        <f>myParidad('Flujo de Fondos'!$B$34,$A126,J126,'Flujo de Fondos'!$B$36,'Flujo de Fondos'!$B$35)</f>
        <v>0.32916007099342831</v>
      </c>
      <c r="L126" s="65">
        <v>34.69</v>
      </c>
      <c r="M126" s="66">
        <f>myParidad('Flujo de Fondos'!$H$34,'Paridad usd'!$A126,'Paridad usd'!L126,'Flujo de Fondos'!$H$36,'Flujo de Fondos'!$H$35)</f>
        <v>0.34706878002316194</v>
      </c>
      <c r="N126" s="69">
        <v>32.85</v>
      </c>
      <c r="O126" s="66">
        <f>myParidad('Flujo de Fondos'!$N$34,$A126,N126,'Flujo de Fondos'!$N$36,'Flujo de Fondos'!$N$35)</f>
        <v>0.32865982772444136</v>
      </c>
      <c r="P126" s="70">
        <f>C126-G126</f>
        <v>2.683524389341696E-2</v>
      </c>
      <c r="Q126" s="70">
        <f t="shared" si="108"/>
        <v>3.7244897959183676E-2</v>
      </c>
      <c r="R126" s="70">
        <f t="shared" si="113"/>
        <v>4.1342298694039215E-2</v>
      </c>
      <c r="S126" s="67">
        <f t="shared" si="114"/>
        <v>5.9751250992759797E-2</v>
      </c>
      <c r="T126" s="70">
        <f t="shared" si="109"/>
        <v>9.6996148951943473E-2</v>
      </c>
      <c r="U126" s="70">
        <f t="shared" si="115"/>
        <v>3.2916007099342837E-2</v>
      </c>
      <c r="V126" s="70">
        <f t="shared" si="101"/>
        <v>3.2415763830355881E-2</v>
      </c>
      <c r="W126" s="70">
        <f t="shared" si="102"/>
        <v>5.9251007723772842E-2</v>
      </c>
      <c r="X126" s="80">
        <f t="shared" si="103"/>
        <v>3.0498588110965619E-2</v>
      </c>
      <c r="Y126" s="90">
        <f t="shared" si="97"/>
        <v>1.4507054800622254E-2</v>
      </c>
    </row>
    <row r="127" spans="1:25" x14ac:dyDescent="0.25">
      <c r="A127" s="64">
        <v>44239</v>
      </c>
      <c r="B127" s="65">
        <v>39</v>
      </c>
      <c r="C127" s="66">
        <f>myParidad('Flujo de Fondos'!$B$5,A127,B127,'Flujo de Fondos'!$B$7,'Flujo de Fondos'!$B$6)</f>
        <v>0.3915770362831128</v>
      </c>
      <c r="D127" s="65">
        <v>43.2</v>
      </c>
      <c r="E127" s="67">
        <f>myParidad('Flujo de Fondos'!$H$5,$A127,D127,'Flujo de Fondos'!$H$7,'Flujo de Fondos'!$H$6)</f>
        <v>0.43374687095975578</v>
      </c>
      <c r="F127" s="65">
        <v>36.450000000000003</v>
      </c>
      <c r="G127" s="66">
        <f>myParidad('Flujo de Fondos'!$N$5,$A127,F127,'Flujo de Fondos'!$N$7,'Flujo de Fondos'!$N$6)</f>
        <v>0.36468359071176248</v>
      </c>
      <c r="H127" s="68">
        <v>39.799999999999997</v>
      </c>
      <c r="I127" s="66">
        <f>myParidad('Flujo de Fondos'!$T$5,$A127,H127,'Flujo de Fondos'!$T$7,'Flujo de Fondos'!$T$6)</f>
        <v>0.3977779527181744</v>
      </c>
      <c r="J127" s="68">
        <v>33.549999999999997</v>
      </c>
      <c r="K127" s="66">
        <f>myParidad('Flujo de Fondos'!$B$34,$A127,J127,'Flujo de Fondos'!$B$36,'Flujo de Fondos'!$B$35)</f>
        <v>0.33566898404333684</v>
      </c>
      <c r="L127" s="65">
        <v>35.299999999999997</v>
      </c>
      <c r="M127" s="66">
        <f>myParidad('Flujo de Fondos'!$H$34,'Paridad usd'!$A127,'Paridad usd'!L127,'Flujo de Fondos'!$H$36,'Flujo de Fondos'!$H$35)</f>
        <v>0.35317779841221436</v>
      </c>
      <c r="N127" s="69">
        <v>33.4</v>
      </c>
      <c r="O127" s="66">
        <f>myParidad('Flujo de Fondos'!$N$34,$A127,N127,'Flujo de Fondos'!$N$36,'Flujo de Fondos'!$N$35)</f>
        <v>0.33416822852600453</v>
      </c>
      <c r="P127" s="70">
        <f>C127-G127</f>
        <v>2.6893445571350316E-2</v>
      </c>
      <c r="Q127" s="70">
        <f t="shared" si="108"/>
        <v>4.2169834676642981E-2</v>
      </c>
      <c r="R127" s="70">
        <f t="shared" si="113"/>
        <v>3.8399237870898439E-2</v>
      </c>
      <c r="S127" s="67">
        <f t="shared" si="114"/>
        <v>5.7408807757108271E-2</v>
      </c>
      <c r="T127" s="70">
        <f t="shared" si="109"/>
        <v>9.9578642433751252E-2</v>
      </c>
      <c r="U127" s="70">
        <f t="shared" si="115"/>
        <v>3.0515362185757955E-2</v>
      </c>
      <c r="V127" s="70">
        <f t="shared" si="101"/>
        <v>2.9014606668425647E-2</v>
      </c>
      <c r="W127" s="70">
        <f t="shared" si="102"/>
        <v>5.5908052239775963E-2</v>
      </c>
      <c r="X127" s="80">
        <f t="shared" si="103"/>
        <v>3.3094362006411915E-2</v>
      </c>
      <c r="Y127" s="90">
        <f t="shared" si="97"/>
        <v>1.1505792299548123E-2</v>
      </c>
    </row>
    <row r="128" spans="1:25" x14ac:dyDescent="0.25">
      <c r="A128" s="64">
        <v>44238</v>
      </c>
      <c r="B128" s="65">
        <v>39.1</v>
      </c>
      <c r="C128" s="66">
        <f>myParidad('Flujo de Fondos'!$B$5,A128,B128,'Flujo de Fondos'!$B$7,'Flujo de Fondos'!$B$6)</f>
        <v>0.39259187940140844</v>
      </c>
      <c r="D128" s="65">
        <v>42.55</v>
      </c>
      <c r="E128" s="67">
        <f>myParidad('Flujo de Fondos'!$H$5,$A128,D128,'Flujo de Fondos'!$H$7,'Flujo de Fondos'!$H$6)</f>
        <v>0.42723233934859151</v>
      </c>
      <c r="F128" s="65">
        <v>37.01</v>
      </c>
      <c r="G128" s="66">
        <f>myParidad('Flujo de Fondos'!$N$5,$A128,F128,'Flujo de Fondos'!$N$7,'Flujo de Fondos'!$N$6)</f>
        <v>0.37028768005701518</v>
      </c>
      <c r="H128" s="68">
        <v>39.58</v>
      </c>
      <c r="I128" s="66">
        <f>myParidad('Flujo de Fondos'!$T$5,$A128,H128,'Flujo de Fondos'!$T$7,'Flujo de Fondos'!$T$6)</f>
        <v>0.39558053408725297</v>
      </c>
      <c r="J128" s="68">
        <v>33.799999999999997</v>
      </c>
      <c r="K128" s="66">
        <f>myParidad('Flujo de Fondos'!$B$34,$A128,J128,'Flujo de Fondos'!$B$36,'Flujo de Fondos'!$B$35)</f>
        <v>0.33817140194345074</v>
      </c>
      <c r="L128" s="65">
        <v>35.5</v>
      </c>
      <c r="M128" s="66">
        <f>myParidad('Flujo de Fondos'!$H$34,'Paridad usd'!$A128,'Paridad usd'!L128,'Flujo de Fondos'!$H$36,'Flujo de Fondos'!$H$35)</f>
        <v>0.35518002275125748</v>
      </c>
      <c r="N128" s="69">
        <v>33.51</v>
      </c>
      <c r="O128" s="66">
        <f>myParidad('Flujo de Fondos'!$N$34,$A128,N128,'Flujo de Fondos'!$N$36,'Flujo de Fondos'!$N$35)</f>
        <v>0.33526993133506022</v>
      </c>
      <c r="P128" s="70">
        <f t="shared" ref="P128:P129" si="116">C128-G128</f>
        <v>2.2304199344393261E-2</v>
      </c>
      <c r="Q128" s="70">
        <f t="shared" si="108"/>
        <v>3.4640459947183067E-2</v>
      </c>
      <c r="R128" s="70">
        <f t="shared" si="113"/>
        <v>3.7411856650150954E-2</v>
      </c>
      <c r="S128" s="67">
        <f t="shared" si="114"/>
        <v>5.7321948066348216E-2</v>
      </c>
      <c r="T128" s="70">
        <f t="shared" si="109"/>
        <v>9.1962408013531283E-2</v>
      </c>
      <c r="U128" s="70">
        <f t="shared" si="115"/>
        <v>3.5017748721954955E-2</v>
      </c>
      <c r="V128" s="70">
        <f t="shared" si="101"/>
        <v>3.2116278113564434E-2</v>
      </c>
      <c r="W128" s="70">
        <f t="shared" si="102"/>
        <v>5.4420477457957694E-2</v>
      </c>
      <c r="X128" s="80">
        <f t="shared" si="103"/>
        <v>2.5292854030237788E-2</v>
      </c>
      <c r="Y128" s="90">
        <f t="shared" si="97"/>
        <v>1.5107657305757693E-2</v>
      </c>
    </row>
    <row r="129" spans="1:25" x14ac:dyDescent="0.25">
      <c r="A129" s="64">
        <v>44237</v>
      </c>
      <c r="B129" s="65">
        <v>39.409999999999997</v>
      </c>
      <c r="C129" s="66">
        <f>myParidad('Flujo de Fondos'!$B$5,A129,B129,'Flujo de Fondos'!$B$7,'Flujo de Fondos'!$B$6)</f>
        <v>0.39571538609666856</v>
      </c>
      <c r="D129" s="65">
        <v>42.8</v>
      </c>
      <c r="E129" s="67">
        <f>myParidad('Flujo de Fondos'!$H$5,$A129,D129,'Flujo de Fondos'!$H$7,'Flujo de Fondos'!$H$6)</f>
        <v>0.42975433963302245</v>
      </c>
      <c r="F129" s="65">
        <v>37.450000000000003</v>
      </c>
      <c r="G129" s="66">
        <f>myParidad('Flujo de Fondos'!$N$5,$A129,F129,'Flujo de Fondos'!$N$7,'Flujo de Fondos'!$N$6)</f>
        <v>0.37469119516465599</v>
      </c>
      <c r="H129" s="68">
        <v>39.659999999999997</v>
      </c>
      <c r="I129" s="66">
        <f>myParidad('Flujo de Fondos'!$T$5,$A129,H129,'Flujo de Fondos'!$T$7,'Flujo de Fondos'!$T$6)</f>
        <v>0.39638144721574747</v>
      </c>
      <c r="J129" s="68">
        <v>33.89</v>
      </c>
      <c r="K129" s="66">
        <f>myParidad('Flujo de Fondos'!$B$34,$A129,J129,'Flujo de Fondos'!$B$36,'Flujo de Fondos'!$B$35)</f>
        <v>0.3390730201369877</v>
      </c>
      <c r="L129" s="65">
        <v>35.5</v>
      </c>
      <c r="M129" s="66">
        <f>myParidad('Flujo de Fondos'!$H$34,'Paridad usd'!$A129,'Paridad usd'!L129,'Flujo de Fondos'!$H$36,'Flujo de Fondos'!$H$35)</f>
        <v>0.35518123974219723</v>
      </c>
      <c r="N129" s="69">
        <v>33.43</v>
      </c>
      <c r="O129" s="66">
        <f>myParidad('Flujo de Fondos'!$N$34,$A129,N129,'Flujo de Fondos'!$N$36,'Flujo de Fondos'!$N$35)</f>
        <v>0.33447067167835642</v>
      </c>
      <c r="P129" s="70">
        <f t="shared" si="116"/>
        <v>2.1024190932012576E-2</v>
      </c>
      <c r="Q129" s="70">
        <f t="shared" si="108"/>
        <v>3.4038953536353889E-2</v>
      </c>
      <c r="R129" s="70">
        <f t="shared" si="113"/>
        <v>4.0534146354471334E-2</v>
      </c>
      <c r="S129" s="67">
        <f t="shared" si="114"/>
        <v>6.1244714418312141E-2</v>
      </c>
      <c r="T129" s="70">
        <f t="shared" si="109"/>
        <v>9.5283667954666029E-2</v>
      </c>
      <c r="U129" s="70">
        <f t="shared" si="115"/>
        <v>4.0220523486299564E-2</v>
      </c>
      <c r="V129" s="70">
        <f t="shared" si="101"/>
        <v>3.5618175027668286E-2</v>
      </c>
      <c r="W129" s="70">
        <f t="shared" si="102"/>
        <v>5.6642365959680863E-2</v>
      </c>
      <c r="X129" s="80">
        <f t="shared" si="103"/>
        <v>2.1690252051091485E-2</v>
      </c>
      <c r="Y129" s="90">
        <f t="shared" si="97"/>
        <v>1.9509955422458758E-2</v>
      </c>
    </row>
    <row r="130" spans="1:25" x14ac:dyDescent="0.25">
      <c r="A130" s="64">
        <v>44236</v>
      </c>
      <c r="B130" s="65">
        <v>39.47</v>
      </c>
      <c r="C130" s="66">
        <f>myParidad('Flujo de Fondos'!$B$5,A130,B130,'Flujo de Fondos'!$B$7,'Flujo de Fondos'!$B$6)</f>
        <v>0.39632874828060521</v>
      </c>
      <c r="D130" s="65">
        <v>42.8</v>
      </c>
      <c r="E130" s="67">
        <f>myParidad('Flujo de Fondos'!$H$5,$A130,D130,'Flujo de Fondos'!$H$7,'Flujo de Fondos'!$H$6)</f>
        <v>0.42976616231086656</v>
      </c>
      <c r="F130" s="65">
        <v>37.520000000000003</v>
      </c>
      <c r="G130" s="66">
        <f>myParidad('Flujo de Fondos'!$N$5,$A130,F130,'Flujo de Fondos'!$N$7,'Flujo de Fondos'!$N$6)</f>
        <v>0.37539283878704816</v>
      </c>
      <c r="H130" s="68">
        <v>39.89</v>
      </c>
      <c r="I130" s="66">
        <f>myParidad('Flujo de Fondos'!$T$5,$A130,H130,'Flujo de Fondos'!$T$7,'Flujo de Fondos'!$T$6)</f>
        <v>0.39868154435925524</v>
      </c>
      <c r="J130" s="68">
        <v>33.81</v>
      </c>
      <c r="K130" s="66">
        <f>myParidad('Flujo de Fondos'!$B$34,$A130,J130,'Flujo de Fondos'!$B$36,'Flujo de Fondos'!$B$35)</f>
        <v>0.33827377077265719</v>
      </c>
      <c r="L130" s="65">
        <v>35.799999999999997</v>
      </c>
      <c r="M130" s="66">
        <f>myParidad('Flujo de Fondos'!$H$34,'Paridad usd'!$A130,'Paridad usd'!L130,'Flujo de Fondos'!$H$36,'Flujo de Fondos'!$H$35)</f>
        <v>0.3581839986294329</v>
      </c>
      <c r="N130" s="69">
        <v>33.68</v>
      </c>
      <c r="O130" s="66">
        <f>myParidad('Flujo de Fondos'!$N$34,$A130,N130,'Flujo de Fondos'!$N$36,'Flujo de Fondos'!$N$35)</f>
        <v>0.3369731026212095</v>
      </c>
      <c r="P130" s="70">
        <f t="shared" ref="P130:P131" si="117">C130-G130</f>
        <v>2.0935909493557059E-2</v>
      </c>
      <c r="Q130" s="70">
        <f t="shared" si="108"/>
        <v>3.3437414030261348E-2</v>
      </c>
      <c r="R130" s="70">
        <f t="shared" si="113"/>
        <v>3.8144749651172316E-2</v>
      </c>
      <c r="S130" s="67">
        <f t="shared" si="114"/>
        <v>5.9355645659395717E-2</v>
      </c>
      <c r="T130" s="70">
        <f t="shared" si="109"/>
        <v>9.2793059689657065E-2</v>
      </c>
      <c r="U130" s="70">
        <f t="shared" si="115"/>
        <v>3.8419736165838658E-2</v>
      </c>
      <c r="V130" s="70">
        <f t="shared" si="101"/>
        <v>3.7119068014390966E-2</v>
      </c>
      <c r="W130" s="70">
        <f t="shared" si="102"/>
        <v>5.8054977507948025E-2</v>
      </c>
      <c r="X130" s="80">
        <f t="shared" si="103"/>
        <v>2.328870557220708E-2</v>
      </c>
      <c r="Y130" s="90">
        <f t="shared" si="97"/>
        <v>1.7208840157615257E-2</v>
      </c>
    </row>
    <row r="131" spans="1:25" x14ac:dyDescent="0.25">
      <c r="A131" s="64">
        <v>44235</v>
      </c>
      <c r="B131" s="65">
        <v>39.549999999999997</v>
      </c>
      <c r="C131" s="66">
        <f>myParidad('Flujo de Fondos'!$B$5,A131,B131,'Flujo de Fondos'!$B$7,'Flujo de Fondos'!$B$6)</f>
        <v>0.39714297504745655</v>
      </c>
      <c r="D131" s="65">
        <v>43.12</v>
      </c>
      <c r="E131" s="67">
        <f>myParidad('Flujo de Fondos'!$H$5,$A131,D131,'Flujo de Fondos'!$H$7,'Flujo de Fondos'!$H$6)</f>
        <v>0.43299127898979339</v>
      </c>
      <c r="F131" s="65">
        <v>37.65</v>
      </c>
      <c r="G131" s="66">
        <f>myParidad('Flujo de Fondos'!$N$5,$A131,F131,'Flujo de Fondos'!$N$7,'Flujo de Fondos'!$N$6)</f>
        <v>0.37669479765221053</v>
      </c>
      <c r="H131" s="68">
        <v>39.979999999999997</v>
      </c>
      <c r="I131" s="66">
        <f>myParidad('Flujo de Fondos'!$T$5,$A131,H131,'Flujo de Fondos'!$T$7,'Flujo de Fondos'!$T$6)</f>
        <v>0.39958241916216852</v>
      </c>
      <c r="J131" s="68">
        <v>34.11</v>
      </c>
      <c r="K131" s="66">
        <f>myParidad('Flujo de Fondos'!$B$34,$A131,J131,'Flujo de Fondos'!$B$36,'Flujo de Fondos'!$B$35)</f>
        <v>0.34127648201638516</v>
      </c>
      <c r="L131" s="65">
        <v>36</v>
      </c>
      <c r="M131" s="66">
        <f>myParidad('Flujo de Fondos'!$H$34,'Paridad usd'!$A131,'Paridad usd'!L131,'Flujo de Fondos'!$H$36,'Flujo de Fondos'!$H$35)</f>
        <v>0.36018626070330889</v>
      </c>
      <c r="N131" s="69">
        <v>33.700000000000003</v>
      </c>
      <c r="O131" s="66">
        <f>myParidad('Flujo de Fondos'!$N$34,$A131,N131,'Flujo de Fondos'!$N$36,'Flujo de Fondos'!$N$35)</f>
        <v>0.33717436071393087</v>
      </c>
      <c r="P131" s="70">
        <f t="shared" si="117"/>
        <v>2.0448177395246014E-2</v>
      </c>
      <c r="Q131" s="70">
        <f t="shared" si="108"/>
        <v>3.5848303942336845E-2</v>
      </c>
      <c r="R131" s="70">
        <f t="shared" si="113"/>
        <v>3.6956714344147656E-2</v>
      </c>
      <c r="S131" s="67">
        <f t="shared" si="114"/>
        <v>5.9968614333525683E-2</v>
      </c>
      <c r="T131" s="70">
        <f t="shared" si="109"/>
        <v>9.5816918275862528E-2</v>
      </c>
      <c r="U131" s="70">
        <f t="shared" si="115"/>
        <v>3.9520436938279668E-2</v>
      </c>
      <c r="V131" s="70">
        <f t="shared" si="101"/>
        <v>3.541831563582537E-2</v>
      </c>
      <c r="W131" s="70">
        <f t="shared" si="102"/>
        <v>5.5866493031071385E-2</v>
      </c>
      <c r="X131" s="80">
        <f t="shared" si="103"/>
        <v>2.2887621509957989E-2</v>
      </c>
      <c r="Y131" s="90">
        <f t="shared" si="97"/>
        <v>1.6508536948901642E-2</v>
      </c>
    </row>
    <row r="132" spans="1:25" x14ac:dyDescent="0.25">
      <c r="A132" s="64">
        <v>44232</v>
      </c>
      <c r="B132" s="65">
        <v>39.479999999999997</v>
      </c>
      <c r="C132" s="66">
        <f>myParidad('Flujo de Fondos'!$B$5,A132,B132,'Flujo de Fondos'!$B$7,'Flujo de Fondos'!$B$6)</f>
        <v>0.39647278930281182</v>
      </c>
      <c r="D132" s="65">
        <v>43.52</v>
      </c>
      <c r="E132" s="67">
        <f>myParidad('Flujo de Fondos'!$H$5,$A132,D132,'Flujo de Fondos'!$H$7,'Flujo de Fondos'!$H$6)</f>
        <v>0.43704396632366699</v>
      </c>
      <c r="F132" s="65">
        <v>37.619999999999997</v>
      </c>
      <c r="G132" s="66">
        <f>myParidad('Flujo de Fondos'!$N$5,$A132,F132,'Flujo de Fondos'!$N$7,'Flujo de Fondos'!$N$6)</f>
        <v>0.37639851154375936</v>
      </c>
      <c r="H132" s="68">
        <v>39.979999999999997</v>
      </c>
      <c r="I132" s="66">
        <f>myParidad('Flujo de Fondos'!$T$5,$A132,H132,'Flujo de Fondos'!$T$7,'Flujo de Fondos'!$T$6)</f>
        <v>0.39958652226892477</v>
      </c>
      <c r="J132" s="68">
        <v>34.11</v>
      </c>
      <c r="K132" s="66">
        <f>myParidad('Flujo de Fondos'!$B$34,$A132,J132,'Flujo de Fondos'!$B$36,'Flujo de Fondos'!$B$35)</f>
        <v>0.34127999013178184</v>
      </c>
      <c r="L132" s="65">
        <v>36</v>
      </c>
      <c r="M132" s="66">
        <f>myParidad('Flujo de Fondos'!$H$34,'Paridad usd'!$A132,'Paridad usd'!L132,'Flujo de Fondos'!$H$36,'Flujo de Fondos'!$H$35)</f>
        <v>0.36018996319976976</v>
      </c>
      <c r="N132" s="69">
        <v>33.75</v>
      </c>
      <c r="O132" s="66">
        <f>myParidad('Flujo de Fondos'!$N$34,$A132,N132,'Flujo de Fondos'!$N$36,'Flujo de Fondos'!$N$35)</f>
        <v>0.33767809049978414</v>
      </c>
      <c r="P132" s="70">
        <f t="shared" ref="P132" si="118">C132-G132</f>
        <v>2.0074277759052461E-2</v>
      </c>
      <c r="Q132" s="70">
        <f t="shared" si="108"/>
        <v>4.0571177020855165E-2</v>
      </c>
      <c r="R132" s="70">
        <f t="shared" si="113"/>
        <v>3.6282826103042065E-2</v>
      </c>
      <c r="S132" s="67">
        <f t="shared" si="114"/>
        <v>5.8794698803027678E-2</v>
      </c>
      <c r="T132" s="70">
        <f t="shared" si="109"/>
        <v>9.9365875823882843E-2</v>
      </c>
      <c r="U132" s="70">
        <f t="shared" si="115"/>
        <v>3.8720421043975217E-2</v>
      </c>
      <c r="V132" s="70">
        <f t="shared" si="101"/>
        <v>3.5118521411977521E-2</v>
      </c>
      <c r="W132" s="70">
        <f t="shared" si="102"/>
        <v>5.5192799171029983E-2</v>
      </c>
      <c r="X132" s="80">
        <f t="shared" si="103"/>
        <v>2.3188010725165409E-2</v>
      </c>
      <c r="Y132" s="90">
        <f t="shared" si="97"/>
        <v>1.6208548343989604E-2</v>
      </c>
    </row>
    <row r="133" spans="1:25" x14ac:dyDescent="0.25">
      <c r="A133" s="64">
        <v>44231</v>
      </c>
      <c r="B133" s="65">
        <v>39.479999999999997</v>
      </c>
      <c r="C133" s="66">
        <f>myParidad('Flujo de Fondos'!$B$5,A133,B133,'Flujo de Fondos'!$B$7,'Flujo de Fondos'!$B$6)</f>
        <v>0.39648369789517124</v>
      </c>
      <c r="D133" s="65">
        <v>42.75</v>
      </c>
      <c r="E133" s="67">
        <f>myParidad('Flujo de Fondos'!$H$5,$A133,D133,'Flujo de Fondos'!$H$7,'Flujo de Fondos'!$H$6)</f>
        <v>0.42932315311597191</v>
      </c>
      <c r="F133" s="65">
        <v>37.64</v>
      </c>
      <c r="G133" s="66">
        <f>myParidad('Flujo de Fondos'!$N$5,$A133,F133,'Flujo de Fondos'!$N$7,'Flujo de Fondos'!$N$6)</f>
        <v>0.37659990748513766</v>
      </c>
      <c r="H133" s="68">
        <v>39.72</v>
      </c>
      <c r="I133" s="66">
        <f>myParidad('Flujo de Fondos'!$T$5,$A133,H133,'Flujo de Fondos'!$T$7,'Flujo de Fondos'!$T$6)</f>
        <v>0.39698926939467061</v>
      </c>
      <c r="J133" s="68">
        <v>34.1</v>
      </c>
      <c r="K133" s="66">
        <f>myParidad('Flujo de Fondos'!$B$34,$A133,J133,'Flujo de Fondos'!$B$36,'Flujo de Fondos'!$B$35)</f>
        <v>0.34118110640922411</v>
      </c>
      <c r="L133" s="65">
        <v>36.28</v>
      </c>
      <c r="M133" s="66">
        <f>myParidad('Flujo de Fondos'!$H$34,'Paridad usd'!$A133,'Paridad usd'!L133,'Flujo de Fondos'!$H$36,'Flujo de Fondos'!$H$35)</f>
        <v>0.36299268447292227</v>
      </c>
      <c r="N133" s="69">
        <v>33.69</v>
      </c>
      <c r="O133" s="66">
        <f>myParidad('Flujo de Fondos'!$N$34,$A133,N133,'Flujo de Fondos'!$N$36,'Flujo de Fondos'!$N$35)</f>
        <v>0.33707892888348262</v>
      </c>
      <c r="P133" s="70">
        <f t="shared" ref="P133" si="119">C133-G133</f>
        <v>1.9883790410033575E-2</v>
      </c>
      <c r="Q133" s="70">
        <f t="shared" si="108"/>
        <v>3.2839455220800673E-2</v>
      </c>
      <c r="R133" s="70">
        <f t="shared" si="113"/>
        <v>3.3491013422248972E-2</v>
      </c>
      <c r="S133" s="67">
        <f t="shared" si="114"/>
        <v>5.9404769011688618E-2</v>
      </c>
      <c r="T133" s="70">
        <f t="shared" si="109"/>
        <v>9.2244224232489291E-2</v>
      </c>
      <c r="U133" s="70">
        <f t="shared" si="115"/>
        <v>3.9520978601655044E-2</v>
      </c>
      <c r="V133" s="70">
        <f t="shared" si="101"/>
        <v>3.5418801075913553E-2</v>
      </c>
      <c r="W133" s="70">
        <f t="shared" si="102"/>
        <v>5.5302591485947128E-2</v>
      </c>
      <c r="X133" s="80">
        <f t="shared" si="103"/>
        <v>2.0389361909532944E-2</v>
      </c>
      <c r="Y133" s="90">
        <f t="shared" si="97"/>
        <v>1.3607223012215397E-2</v>
      </c>
    </row>
    <row r="134" spans="1:25" x14ac:dyDescent="0.25">
      <c r="A134" s="64">
        <v>44230</v>
      </c>
      <c r="B134" s="65">
        <v>39.6</v>
      </c>
      <c r="C134" s="66">
        <f>myParidad('Flujo de Fondos'!$B$5,A134,B134,'Flujo de Fondos'!$B$7,'Flujo de Fondos'!$B$6)</f>
        <v>0.39769975786924938</v>
      </c>
      <c r="D134" s="65">
        <v>42.25</v>
      </c>
      <c r="E134" s="67">
        <f>myParidad('Flujo de Fondos'!$H$5,$A134,D134,'Flujo de Fondos'!$H$7,'Flujo de Fondos'!$H$6)</f>
        <v>0.42431350429231784</v>
      </c>
      <c r="F134" s="65">
        <v>37.78</v>
      </c>
      <c r="G134" s="66">
        <f>myParidad('Flujo de Fondos'!$N$5,$A134,F134,'Flujo de Fondos'!$N$7,'Flujo de Fondos'!$N$6)</f>
        <v>0.37800194624525435</v>
      </c>
      <c r="H134" s="68">
        <v>39.61</v>
      </c>
      <c r="I134" s="66">
        <f>myParidad('Flujo de Fondos'!$T$5,$A134,H134,'Flujo de Fondos'!$T$7,'Flujo de Fondos'!$T$6)</f>
        <v>0.3958912080615018</v>
      </c>
      <c r="J134" s="68">
        <v>33.9</v>
      </c>
      <c r="K134" s="66">
        <f>myParidad('Flujo de Fondos'!$B$34,$A134,J134,'Flujo de Fondos'!$B$36,'Flujo de Fondos'!$B$35)</f>
        <v>0.33918120639793858</v>
      </c>
      <c r="L134" s="65">
        <v>36.549999999999997</v>
      </c>
      <c r="M134" s="66">
        <f>myParidad('Flujo de Fondos'!$H$34,'Paridad usd'!$A134,'Paridad usd'!L134,'Flujo de Fondos'!$H$36,'Flujo de Fondos'!$H$35)</f>
        <v>0.36569537149984233</v>
      </c>
      <c r="N134" s="69">
        <v>33.35</v>
      </c>
      <c r="O134" s="66">
        <f>myParidad('Flujo de Fondos'!$N$34,$A134,N134,'Flujo de Fondos'!$N$36,'Flujo de Fondos'!$N$35)</f>
        <v>0.33367826647112842</v>
      </c>
      <c r="P134" s="70">
        <f t="shared" ref="P134" si="120">C134-G134</f>
        <v>1.9697811623995032E-2</v>
      </c>
      <c r="Q134" s="70">
        <f t="shared" si="108"/>
        <v>2.6613746423068463E-2</v>
      </c>
      <c r="R134" s="70">
        <f t="shared" si="113"/>
        <v>3.2004386369407056E-2</v>
      </c>
      <c r="S134" s="67">
        <f t="shared" si="114"/>
        <v>6.4021491398120967E-2</v>
      </c>
      <c r="T134" s="70">
        <f t="shared" si="109"/>
        <v>9.0635237821189429E-2</v>
      </c>
      <c r="U134" s="70">
        <f t="shared" si="115"/>
        <v>4.4323679774125935E-2</v>
      </c>
      <c r="V134" s="70">
        <f t="shared" si="101"/>
        <v>3.8820739847315766E-2</v>
      </c>
      <c r="W134" s="70">
        <f t="shared" si="102"/>
        <v>5.8518551471310798E-2</v>
      </c>
      <c r="X134" s="80">
        <f t="shared" si="103"/>
        <v>1.7889261816247448E-2</v>
      </c>
      <c r="Y134" s="90">
        <f t="shared" si="97"/>
        <v>1.2306574745412024E-2</v>
      </c>
    </row>
    <row r="135" spans="1:25" x14ac:dyDescent="0.25">
      <c r="A135" s="64">
        <v>44229</v>
      </c>
      <c r="B135" s="65">
        <v>39.85</v>
      </c>
      <c r="C135" s="66">
        <f>myParidad('Flujo de Fondos'!$B$5,A135,B135,'Flujo de Fondos'!$B$7,'Flujo de Fondos'!$B$6)</f>
        <v>0.40022150070164819</v>
      </c>
      <c r="D135" s="65">
        <v>42.75</v>
      </c>
      <c r="E135" s="67">
        <f>myParidad('Flujo de Fondos'!$H$5,$A135,D135,'Flujo de Fondos'!$H$7,'Flujo de Fondos'!$H$6)</f>
        <v>0.42934677929725118</v>
      </c>
      <c r="F135" s="65">
        <v>37.97</v>
      </c>
      <c r="G135" s="66">
        <f>myParidad('Flujo de Fondos'!$N$5,$A135,F135,'Flujo de Fondos'!$N$7,'Flujo de Fondos'!$N$6)</f>
        <v>0.3799042635937816</v>
      </c>
      <c r="H135" s="68">
        <v>39.94</v>
      </c>
      <c r="I135" s="66">
        <f>myParidad('Flujo de Fondos'!$T$5,$A135,H135,'Flujo de Fondos'!$T$7,'Flujo de Fondos'!$T$6)</f>
        <v>0.39919083493922702</v>
      </c>
      <c r="J135" s="68">
        <v>33.799999999999997</v>
      </c>
      <c r="K135" s="66">
        <f>myParidad('Flujo de Fondos'!$B$34,$A135,J135,'Flujo de Fondos'!$B$36,'Flujo de Fondos'!$B$35)</f>
        <v>0.33818183064181767</v>
      </c>
      <c r="L135" s="65">
        <v>36.65</v>
      </c>
      <c r="M135" s="66">
        <f>myParidad('Flujo de Fondos'!$H$34,'Paridad usd'!$A135,'Paridad usd'!L135,'Flujo de Fondos'!$H$36,'Flujo de Fondos'!$H$35)</f>
        <v>0.36669716251546208</v>
      </c>
      <c r="N135" s="69">
        <v>33.549999999999997</v>
      </c>
      <c r="O135" s="66">
        <f>myParidad('Flujo de Fondos'!$N$34,$A135,N135,'Flujo de Fondos'!$N$36,'Flujo de Fondos'!$N$35)</f>
        <v>0.33568048574062076</v>
      </c>
      <c r="P135" s="70">
        <f t="shared" ref="P135:P136" si="121">C135-G135</f>
        <v>2.0317237107866593E-2</v>
      </c>
      <c r="Q135" s="70">
        <f t="shared" si="108"/>
        <v>2.9125278595602988E-2</v>
      </c>
      <c r="R135" s="70">
        <f t="shared" si="113"/>
        <v>3.3524338186186109E-2</v>
      </c>
      <c r="S135" s="67">
        <f t="shared" si="114"/>
        <v>6.4541014961027432E-2</v>
      </c>
      <c r="T135" s="70">
        <f t="shared" si="109"/>
        <v>9.366629355663042E-2</v>
      </c>
      <c r="U135" s="70">
        <f t="shared" si="115"/>
        <v>4.4223777853160839E-2</v>
      </c>
      <c r="V135" s="70">
        <f t="shared" si="101"/>
        <v>4.1722432951963928E-2</v>
      </c>
      <c r="W135" s="70">
        <f t="shared" si="102"/>
        <v>6.2039670059830521E-2</v>
      </c>
      <c r="X135" s="80">
        <f t="shared" si="103"/>
        <v>1.9286571345445425E-2</v>
      </c>
      <c r="Y135" s="90">
        <f t="shared" si="97"/>
        <v>1.3207101078319516E-2</v>
      </c>
    </row>
    <row r="136" spans="1:25" x14ac:dyDescent="0.25">
      <c r="A136" s="64">
        <v>44228</v>
      </c>
      <c r="B136" s="65">
        <v>39.78</v>
      </c>
      <c r="C136" s="66">
        <f>myParidad('Flujo de Fondos'!$B$5,A136,B136,'Flujo de Fondos'!$B$7,'Flujo de Fondos'!$B$6)</f>
        <v>0.39952947003467065</v>
      </c>
      <c r="D136" s="65">
        <v>43</v>
      </c>
      <c r="E136" s="67">
        <f>myParidad('Flujo de Fondos'!$H$5,$A136,D136,'Flujo de Fondos'!$H$7,'Flujo de Fondos'!$H$6)</f>
        <v>0.43186946233008638</v>
      </c>
      <c r="F136" s="65">
        <v>38.090000000000003</v>
      </c>
      <c r="G136" s="66">
        <f>myParidad('Flujo de Fondos'!$N$5,$A136,F136,'Flujo de Fondos'!$N$7,'Flujo de Fondos'!$N$6)</f>
        <v>0.38110621500675024</v>
      </c>
      <c r="H136" s="68">
        <v>40.4</v>
      </c>
      <c r="I136" s="66">
        <f>myParidad('Flujo de Fondos'!$T$5,$A136,H136,'Flujo de Fondos'!$T$7,'Flujo de Fondos'!$T$6)</f>
        <v>0.40378980804512721</v>
      </c>
      <c r="J136" s="68">
        <v>33.799999999999997</v>
      </c>
      <c r="K136" s="66">
        <f>myParidad('Flujo de Fondos'!$B$34,$A136,J136,'Flujo de Fondos'!$B$36,'Flujo de Fondos'!$B$35)</f>
        <v>0.33818298942578517</v>
      </c>
      <c r="L136" s="65">
        <v>36.75</v>
      </c>
      <c r="M136" s="66">
        <f>myParidad('Flujo de Fondos'!$H$34,'Paridad usd'!$A136,'Paridad usd'!L136,'Flujo de Fondos'!$H$36,'Flujo de Fondos'!$H$35)</f>
        <v>0.36769896039637884</v>
      </c>
      <c r="N136" s="69">
        <v>33.6</v>
      </c>
      <c r="O136" s="66">
        <f>myParidad('Flujo de Fondos'!$N$34,$A136,N136,'Flujo de Fondos'!$N$36,'Flujo de Fondos'!$N$35)</f>
        <v>0.33618190664811781</v>
      </c>
      <c r="P136" s="70">
        <f t="shared" si="121"/>
        <v>1.8423255027920415E-2</v>
      </c>
      <c r="Q136" s="70">
        <f t="shared" ref="Q136:Q167" si="122">E136-C136</f>
        <v>3.2339992295415732E-2</v>
      </c>
      <c r="R136" s="70">
        <f t="shared" si="113"/>
        <v>3.1830509638291815E-2</v>
      </c>
      <c r="S136" s="67">
        <f t="shared" si="114"/>
        <v>6.3347563386552841E-2</v>
      </c>
      <c r="T136" s="70">
        <f t="shared" ref="T136:T167" si="123">E136-O136</f>
        <v>9.5687555681968572E-2</v>
      </c>
      <c r="U136" s="70">
        <f t="shared" si="115"/>
        <v>4.4924308358632425E-2</v>
      </c>
      <c r="V136" s="70">
        <f t="shared" si="101"/>
        <v>4.2923225580965063E-2</v>
      </c>
      <c r="W136" s="70">
        <f t="shared" si="102"/>
        <v>6.1346480608885479E-2</v>
      </c>
      <c r="X136" s="80">
        <f t="shared" si="103"/>
        <v>2.268359303837697E-2</v>
      </c>
      <c r="Y136" s="90">
        <f t="shared" si="97"/>
        <v>1.34072546103714E-2</v>
      </c>
    </row>
    <row r="137" spans="1:25" x14ac:dyDescent="0.25">
      <c r="A137" s="64">
        <v>44225</v>
      </c>
      <c r="B137" s="65">
        <v>39.549999999999997</v>
      </c>
      <c r="C137" s="66">
        <f>myParidad('Flujo de Fondos'!$B$5,A137,B137,'Flujo de Fondos'!$B$7,'Flujo de Fondos'!$B$6)</f>
        <v>0.39725226340845921</v>
      </c>
      <c r="D137" s="65">
        <v>43</v>
      </c>
      <c r="E137" s="67">
        <f>myParidad('Flujo de Fondos'!$H$5,$A137,D137,'Flujo de Fondos'!$H$7,'Flujo de Fondos'!$H$6)</f>
        <v>0.43190511571589751</v>
      </c>
      <c r="F137" s="65">
        <v>38.14</v>
      </c>
      <c r="G137" s="66">
        <f>myParidad('Flujo de Fondos'!$N$5,$A137,F137,'Flujo de Fondos'!$N$7,'Flujo de Fondos'!$N$6)</f>
        <v>0.38161040847864747</v>
      </c>
      <c r="H137" s="68">
        <v>40.04</v>
      </c>
      <c r="I137" s="66">
        <f>myParidad('Flujo de Fondos'!$T$5,$A137,H137,'Flujo de Fondos'!$T$7,'Flujo de Fondos'!$T$6)</f>
        <v>0.40019579050416054</v>
      </c>
      <c r="J137" s="68">
        <v>33.630000000000003</v>
      </c>
      <c r="K137" s="66">
        <f>myParidad('Flujo de Fondos'!$B$34,$A137,J137,'Flujo de Fondos'!$B$36,'Flujo de Fondos'!$B$35)</f>
        <v>0.33648552797946818</v>
      </c>
      <c r="L137" s="65">
        <v>36.700000000000003</v>
      </c>
      <c r="M137" s="66">
        <f>myParidad('Flujo de Fondos'!$H$34,'Paridad usd'!$A137,'Paridad usd'!L137,'Flujo de Fondos'!$H$36,'Flujo de Fondos'!$H$35)</f>
        <v>0.36720246437247939</v>
      </c>
      <c r="N137" s="69">
        <v>33.49</v>
      </c>
      <c r="O137" s="66">
        <f>myParidad('Flujo de Fondos'!$N$34,$A137,N137,'Flujo de Fondos'!$N$36,'Flujo de Fondos'!$N$35)</f>
        <v>0.33508475563581291</v>
      </c>
      <c r="P137" s="70">
        <f t="shared" ref="P137" si="124">C137-G137</f>
        <v>1.5641854929811738E-2</v>
      </c>
      <c r="Q137" s="70">
        <f t="shared" si="122"/>
        <v>3.4652852307438309E-2</v>
      </c>
      <c r="R137" s="70">
        <f t="shared" si="113"/>
        <v>3.0049799035979818E-2</v>
      </c>
      <c r="S137" s="67">
        <f t="shared" si="114"/>
        <v>6.2167507772646291E-2</v>
      </c>
      <c r="T137" s="70">
        <f t="shared" si="123"/>
        <v>9.68203600800846E-2</v>
      </c>
      <c r="U137" s="70">
        <f t="shared" si="115"/>
        <v>4.6525652842834553E-2</v>
      </c>
      <c r="V137" s="70">
        <f t="shared" si="101"/>
        <v>4.5124880499179287E-2</v>
      </c>
      <c r="W137" s="70">
        <f t="shared" si="102"/>
        <v>6.0766735428991026E-2</v>
      </c>
      <c r="X137" s="80">
        <f t="shared" si="103"/>
        <v>1.8585382025513075E-2</v>
      </c>
      <c r="Y137" s="90">
        <f t="shared" si="97"/>
        <v>1.440794410616808E-2</v>
      </c>
    </row>
    <row r="138" spans="1:25" x14ac:dyDescent="0.25">
      <c r="A138" s="64">
        <v>44224</v>
      </c>
      <c r="B138" s="65">
        <v>39.450000000000003</v>
      </c>
      <c r="C138" s="66">
        <f>myParidad('Flujo de Fondos'!$B$5,A138,B138,'Flujo de Fondos'!$B$7,'Flujo de Fondos'!$B$6)</f>
        <v>0.396258737409874</v>
      </c>
      <c r="D138" s="65">
        <v>43</v>
      </c>
      <c r="E138" s="67">
        <f>myParidad('Flujo de Fondos'!$H$5,$A138,D138,'Flujo de Fondos'!$H$7,'Flujo de Fondos'!$H$6)</f>
        <v>0.43191700148604767</v>
      </c>
      <c r="F138" s="65">
        <v>38.270000000000003</v>
      </c>
      <c r="G138" s="66">
        <f>myParidad('Flujo de Fondos'!$N$5,$A138,F138,'Flujo de Fondos'!$N$7,'Flujo de Fondos'!$N$6)</f>
        <v>0.38291243772229799</v>
      </c>
      <c r="H138" s="68">
        <v>40.04</v>
      </c>
      <c r="I138" s="66">
        <f>myParidad('Flujo de Fondos'!$T$5,$A138,H138,'Flujo de Fondos'!$T$7,'Flujo de Fondos'!$T$6)</f>
        <v>0.40019716034338759</v>
      </c>
      <c r="J138" s="68">
        <v>33.9</v>
      </c>
      <c r="K138" s="66">
        <f>myParidad('Flujo de Fondos'!$B$34,$A138,J138,'Flujo de Fondos'!$B$36,'Flujo de Fondos'!$B$35)</f>
        <v>0.33918817974355636</v>
      </c>
      <c r="L138" s="65">
        <v>36.75</v>
      </c>
      <c r="M138" s="66">
        <f>myParidad('Flujo de Fondos'!$H$34,'Paridad usd'!$A138,'Paridad usd'!L138,'Flujo de Fondos'!$H$36,'Flujo de Fondos'!$H$35)</f>
        <v>0.3677040001644748</v>
      </c>
      <c r="N138" s="69">
        <v>33.700000000000003</v>
      </c>
      <c r="O138" s="66">
        <f>myParidad('Flujo de Fondos'!$N$34,$A138,N138,'Flujo de Fondos'!$N$36,'Flujo de Fondos'!$N$35)</f>
        <v>0.33718706953857963</v>
      </c>
      <c r="P138" s="70">
        <f t="shared" ref="P138" si="125">C138-G138</f>
        <v>1.3346299687576002E-2</v>
      </c>
      <c r="Q138" s="70">
        <f t="shared" si="122"/>
        <v>3.5658264076173674E-2</v>
      </c>
      <c r="R138" s="70">
        <f t="shared" si="113"/>
        <v>2.8554737245399198E-2</v>
      </c>
      <c r="S138" s="67">
        <f t="shared" si="114"/>
        <v>5.9071667871294364E-2</v>
      </c>
      <c r="T138" s="70">
        <f t="shared" si="123"/>
        <v>9.4729931947468038E-2</v>
      </c>
      <c r="U138" s="70">
        <f t="shared" si="115"/>
        <v>4.5725368183718362E-2</v>
      </c>
      <c r="V138" s="70">
        <f t="shared" si="101"/>
        <v>4.3724257978741632E-2</v>
      </c>
      <c r="W138" s="70">
        <f t="shared" si="102"/>
        <v>5.7070557666317634E-2</v>
      </c>
      <c r="X138" s="80">
        <f t="shared" si="103"/>
        <v>1.7284722621089599E-2</v>
      </c>
      <c r="Y138" s="90">
        <f t="shared" si="97"/>
        <v>1.5208437557823196E-2</v>
      </c>
    </row>
    <row r="139" spans="1:25" x14ac:dyDescent="0.25">
      <c r="A139" s="64">
        <v>44223</v>
      </c>
      <c r="B139" s="65">
        <v>39.840000000000003</v>
      </c>
      <c r="C139" s="66">
        <f>myParidad('Flujo de Fondos'!$B$5,A139,B139,'Flujo de Fondos'!$B$7,'Flujo de Fondos'!$B$6)</f>
        <v>0.40018713707790959</v>
      </c>
      <c r="D139" s="65">
        <v>43</v>
      </c>
      <c r="E139" s="67">
        <f>myParidad('Flujo de Fondos'!$H$5,$A139,D139,'Flujo de Fondos'!$H$7,'Flujo de Fondos'!$H$6)</f>
        <v>0.43192888791039435</v>
      </c>
      <c r="F139" s="65">
        <v>38.43</v>
      </c>
      <c r="G139" s="66">
        <f>myParidad('Flujo de Fondos'!$N$5,$A139,F139,'Flujo de Fondos'!$N$7,'Flujo de Fondos'!$N$6)</f>
        <v>0.38451464344822622</v>
      </c>
      <c r="H139" s="68">
        <v>40.299999999999997</v>
      </c>
      <c r="I139" s="66">
        <f>myParidad('Flujo de Fondos'!$T$5,$A139,H139,'Flujo de Fondos'!$T$7,'Flujo de Fondos'!$T$6)</f>
        <v>0.40279722194648582</v>
      </c>
      <c r="J139" s="68">
        <v>34</v>
      </c>
      <c r="K139" s="66">
        <f>myParidad('Flujo de Fondos'!$B$34,$A139,J139,'Flujo de Fondos'!$B$36,'Flujo de Fondos'!$B$35)</f>
        <v>0.34018990052666387</v>
      </c>
      <c r="L139" s="65">
        <v>36.67</v>
      </c>
      <c r="M139" s="66">
        <f>myParidad('Flujo de Fondos'!$H$34,'Paridad usd'!$A139,'Paridad usd'!L139,'Flujo de Fondos'!$H$36,'Flujo de Fondos'!$H$35)</f>
        <v>0.36690481330331659</v>
      </c>
      <c r="N139" s="69">
        <v>33.89</v>
      </c>
      <c r="O139" s="66">
        <f>myParidad('Flujo de Fondos'!$N$34,$A139,N139,'Flujo de Fondos'!$N$36,'Flujo de Fondos'!$N$35)</f>
        <v>0.33908928614260703</v>
      </c>
      <c r="P139" s="70">
        <f t="shared" ref="P139" si="126">C139-G139</f>
        <v>1.5672493629683371E-2</v>
      </c>
      <c r="Q139" s="70">
        <f t="shared" si="122"/>
        <v>3.1741750832484761E-2</v>
      </c>
      <c r="R139" s="70">
        <f t="shared" si="113"/>
        <v>3.3282323774593003E-2</v>
      </c>
      <c r="S139" s="67">
        <f t="shared" si="114"/>
        <v>6.1097850935302567E-2</v>
      </c>
      <c r="T139" s="70">
        <f t="shared" si="123"/>
        <v>9.2839601767787328E-2</v>
      </c>
      <c r="U139" s="70">
        <f t="shared" si="115"/>
        <v>4.5425357305619196E-2</v>
      </c>
      <c r="V139" s="70">
        <f t="shared" si="101"/>
        <v>4.4324742921562355E-2</v>
      </c>
      <c r="W139" s="70">
        <f t="shared" si="102"/>
        <v>5.9997236551245725E-2</v>
      </c>
      <c r="X139" s="80">
        <f t="shared" si="103"/>
        <v>1.8282578498259594E-2</v>
      </c>
      <c r="Y139" s="90">
        <f t="shared" si="97"/>
        <v>1.7609830144909633E-2</v>
      </c>
    </row>
    <row r="140" spans="1:25" x14ac:dyDescent="0.25">
      <c r="A140" s="64">
        <v>44222</v>
      </c>
      <c r="B140" s="65">
        <v>39.85</v>
      </c>
      <c r="C140" s="66">
        <f>myParidad('Flujo de Fondos'!$B$5,A140,B140,'Flujo de Fondos'!$B$7,'Flujo de Fondos'!$B$6)</f>
        <v>0.40029860193747252</v>
      </c>
      <c r="D140" s="65">
        <v>43.15</v>
      </c>
      <c r="E140" s="67">
        <f>myParidad('Flujo de Fondos'!$H$5,$A140,D140,'Flujo de Fondos'!$H$7,'Flujo de Fondos'!$H$6)</f>
        <v>0.43344754513430206</v>
      </c>
      <c r="F140" s="65">
        <v>38.58</v>
      </c>
      <c r="G140" s="66">
        <f>myParidad('Flujo de Fondos'!$N$5,$A140,F140,'Flujo de Fondos'!$N$7,'Flujo de Fondos'!$N$6)</f>
        <v>0.38601680395838756</v>
      </c>
      <c r="H140" s="68">
        <v>40.4</v>
      </c>
      <c r="I140" s="66">
        <f>myParidad('Flujo de Fondos'!$T$5,$A140,H140,'Flujo de Fondos'!$T$7,'Flujo de Fondos'!$T$6)</f>
        <v>0.40379810094952523</v>
      </c>
      <c r="J140" s="68">
        <v>34.049999999999997</v>
      </c>
      <c r="K140" s="66">
        <f>myParidad('Flujo de Fondos'!$B$34,$A140,J140,'Flujo de Fondos'!$B$36,'Flujo de Fondos'!$B$35)</f>
        <v>0.34069134719499988</v>
      </c>
      <c r="L140" s="65">
        <v>36.380000000000003</v>
      </c>
      <c r="M140" s="66">
        <f>myParidad('Flujo de Fondos'!$H$34,'Paridad usd'!$A140,'Paridad usd'!L140,'Flujo de Fondos'!$H$36,'Flujo de Fondos'!$H$35)</f>
        <v>0.36400444085034062</v>
      </c>
      <c r="N140" s="69">
        <v>33.6</v>
      </c>
      <c r="O140" s="66">
        <f>myParidad('Flujo de Fondos'!$N$34,$A140,N140,'Flujo de Fondos'!$N$36,'Flujo de Fondos'!$N$35)</f>
        <v>0.33618881837744485</v>
      </c>
      <c r="P140" s="70">
        <f t="shared" ref="P140" si="127">C140-G140</f>
        <v>1.4281797979084965E-2</v>
      </c>
      <c r="Q140" s="70">
        <f t="shared" si="122"/>
        <v>3.3148943196829539E-2</v>
      </c>
      <c r="R140" s="70">
        <f t="shared" si="113"/>
        <v>3.6294161087131904E-2</v>
      </c>
      <c r="S140" s="67">
        <f t="shared" si="114"/>
        <v>6.4109783560027667E-2</v>
      </c>
      <c r="T140" s="70">
        <f t="shared" si="123"/>
        <v>9.7258726756857206E-2</v>
      </c>
      <c r="U140" s="70">
        <f t="shared" si="115"/>
        <v>4.9827985580942702E-2</v>
      </c>
      <c r="V140" s="70">
        <f t="shared" si="101"/>
        <v>4.5325456763387673E-2</v>
      </c>
      <c r="W140" s="70">
        <f t="shared" si="102"/>
        <v>5.9607254742472637E-2</v>
      </c>
      <c r="X140" s="80">
        <f t="shared" si="103"/>
        <v>1.7781296991137674E-2</v>
      </c>
      <c r="Y140" s="90">
        <f t="shared" si="97"/>
        <v>2.201236310804694E-2</v>
      </c>
    </row>
    <row r="141" spans="1:25" x14ac:dyDescent="0.25">
      <c r="A141" s="64">
        <v>44221</v>
      </c>
      <c r="B141" s="65">
        <v>39.89</v>
      </c>
      <c r="C141" s="66">
        <f>myParidad('Flujo de Fondos'!$B$5,A141,B141,'Flujo de Fondos'!$B$7,'Flujo de Fondos'!$B$6)</f>
        <v>0.40071143525526354</v>
      </c>
      <c r="D141" s="65">
        <v>43.37</v>
      </c>
      <c r="E141" s="67">
        <f>myParidad('Flujo de Fondos'!$H$5,$A141,D141,'Flujo de Fondos'!$H$7,'Flujo de Fondos'!$H$6)</f>
        <v>0.43566946470345397</v>
      </c>
      <c r="F141" s="65">
        <v>38.590000000000003</v>
      </c>
      <c r="G141" s="66">
        <f>myParidad('Flujo de Fondos'!$N$5,$A141,F141,'Flujo de Fondos'!$N$7,'Flujo de Fondos'!$N$6)</f>
        <v>0.38611818321997021</v>
      </c>
      <c r="H141" s="68">
        <v>40.4</v>
      </c>
      <c r="I141" s="66">
        <f>myParidad('Flujo de Fondos'!$T$5,$A141,H141,'Flujo de Fondos'!$T$7,'Flujo de Fondos'!$T$6)</f>
        <v>0.40379948313337555</v>
      </c>
      <c r="J141" s="68">
        <v>34.200000000000003</v>
      </c>
      <c r="K141" s="66">
        <f>myParidad('Flujo de Fondos'!$B$34,$A141,J141,'Flujo de Fondos'!$B$36,'Flujo de Fondos'!$B$35)</f>
        <v>0.34219336268782019</v>
      </c>
      <c r="L141" s="65">
        <v>36.5</v>
      </c>
      <c r="M141" s="66">
        <f>myParidad('Flujo de Fondos'!$H$34,'Paridad usd'!$A141,'Paridad usd'!L141,'Flujo de Fondos'!$H$36,'Flujo de Fondos'!$H$35)</f>
        <v>0.36520636661127009</v>
      </c>
      <c r="N141" s="69">
        <v>33.6</v>
      </c>
      <c r="O141" s="66">
        <f>myParidad('Flujo de Fondos'!$N$34,$A141,N141,'Flujo de Fondos'!$N$36,'Flujo de Fondos'!$N$35)</f>
        <v>0.33618997035996367</v>
      </c>
      <c r="P141" s="70">
        <f t="shared" ref="P141" si="128">C141-G141</f>
        <v>1.4593252035293325E-2</v>
      </c>
      <c r="Q141" s="70">
        <f t="shared" si="122"/>
        <v>3.4958029448190431E-2</v>
      </c>
      <c r="R141" s="70">
        <f t="shared" si="113"/>
        <v>3.5505068643993443E-2</v>
      </c>
      <c r="S141" s="67">
        <f t="shared" si="114"/>
        <v>6.4521464895299863E-2</v>
      </c>
      <c r="T141" s="70">
        <f t="shared" si="123"/>
        <v>9.9479494343490293E-2</v>
      </c>
      <c r="U141" s="70">
        <f t="shared" si="115"/>
        <v>4.9928212860006538E-2</v>
      </c>
      <c r="V141" s="70">
        <f t="shared" si="101"/>
        <v>4.3924820532150022E-2</v>
      </c>
      <c r="W141" s="70">
        <f t="shared" si="102"/>
        <v>5.8518072567443347E-2</v>
      </c>
      <c r="X141" s="80">
        <f t="shared" si="103"/>
        <v>1.7681299913405335E-2</v>
      </c>
      <c r="Y141" s="90">
        <f t="shared" si="97"/>
        <v>2.0911816608700118E-2</v>
      </c>
    </row>
    <row r="142" spans="1:25" x14ac:dyDescent="0.25">
      <c r="A142" s="64">
        <v>44218</v>
      </c>
      <c r="B142" s="65">
        <v>40</v>
      </c>
      <c r="C142" s="66">
        <f>myParidad('Flujo de Fondos'!$B$5,A142,B142,'Flujo de Fondos'!$B$7,'Flujo de Fondos'!$B$6)</f>
        <v>0.40184960915996915</v>
      </c>
      <c r="D142" s="65">
        <v>43.5</v>
      </c>
      <c r="E142" s="67">
        <f>myParidad('Flujo de Fondos'!$H$5,$A142,D142,'Flujo de Fondos'!$H$7,'Flujo de Fondos'!$H$6)</f>
        <v>0.43701144996146646</v>
      </c>
      <c r="F142" s="65">
        <v>38.69</v>
      </c>
      <c r="G142" s="66">
        <f>myParidad('Flujo de Fondos'!$N$5,$A142,F142,'Flujo de Fondos'!$N$7,'Flujo de Fondos'!$N$6)</f>
        <v>0.38712272814496007</v>
      </c>
      <c r="H142" s="68">
        <v>40.5</v>
      </c>
      <c r="I142" s="66">
        <f>myParidad('Flujo de Fondos'!$T$5,$A142,H142,'Flujo de Fondos'!$T$7,'Flujo de Fondos'!$T$6)</f>
        <v>0.40480314367670517</v>
      </c>
      <c r="J142" s="68">
        <v>34.04</v>
      </c>
      <c r="K142" s="66">
        <f>myParidad('Flujo de Fondos'!$B$34,$A142,J142,'Flujo de Fondos'!$B$36,'Flujo de Fondos'!$B$35)</f>
        <v>0.34059595931906028</v>
      </c>
      <c r="L142" s="65">
        <v>36.200000000000003</v>
      </c>
      <c r="M142" s="66">
        <f>myParidad('Flujo de Fondos'!$H$34,'Paridad usd'!$A142,'Paridad usd'!L142,'Flujo de Fondos'!$H$36,'Flujo de Fondos'!$H$35)</f>
        <v>0.36220839387044607</v>
      </c>
      <c r="N142" s="69">
        <v>33.700000000000003</v>
      </c>
      <c r="O142" s="66">
        <f>myParidad('Flujo de Fondos'!$N$34,$A142,N142,'Flujo de Fondos'!$N$36,'Flujo de Fondos'!$N$35)</f>
        <v>0.33719400202856442</v>
      </c>
      <c r="P142" s="70">
        <f t="shared" ref="P142" si="129">C142-G142</f>
        <v>1.4726881015009075E-2</v>
      </c>
      <c r="Q142" s="70">
        <f t="shared" si="122"/>
        <v>3.5161840801497313E-2</v>
      </c>
      <c r="R142" s="70">
        <f t="shared" si="113"/>
        <v>3.964121528952308E-2</v>
      </c>
      <c r="S142" s="67">
        <f t="shared" si="114"/>
        <v>6.4655607131404724E-2</v>
      </c>
      <c r="T142" s="70">
        <f t="shared" si="123"/>
        <v>9.9817447932902037E-2</v>
      </c>
      <c r="U142" s="70">
        <f t="shared" si="115"/>
        <v>4.992872611639565E-2</v>
      </c>
      <c r="V142" s="70">
        <f t="shared" si="101"/>
        <v>4.6526768825899789E-2</v>
      </c>
      <c r="W142" s="70">
        <f t="shared" si="102"/>
        <v>6.1253649840908864E-2</v>
      </c>
      <c r="X142" s="80">
        <f t="shared" si="103"/>
        <v>1.7680415531745097E-2</v>
      </c>
      <c r="Y142" s="90">
        <f t="shared" si="97"/>
        <v>2.4914334274514005E-2</v>
      </c>
    </row>
    <row r="143" spans="1:25" x14ac:dyDescent="0.25">
      <c r="A143" s="64">
        <v>44217</v>
      </c>
      <c r="B143" s="65">
        <v>39.9</v>
      </c>
      <c r="C143" s="66">
        <f>myParidad('Flujo de Fondos'!$B$5,A143,B143,'Flujo de Fondos'!$B$7,'Flujo de Fondos'!$B$6)</f>
        <v>0.40085601827640305</v>
      </c>
      <c r="D143" s="65">
        <v>43.05</v>
      </c>
      <c r="E143" s="67">
        <f>myParidad('Flujo de Fondos'!$H$5,$A143,D143,'Flujo de Fondos'!$H$7,'Flujo de Fondos'!$H$6)</f>
        <v>0.43250254603506644</v>
      </c>
      <c r="F143" s="65">
        <v>38.69</v>
      </c>
      <c r="G143" s="66">
        <f>myParidad('Flujo de Fondos'!$N$5,$A143,F143,'Flujo de Fondos'!$N$7,'Flujo de Fondos'!$N$6)</f>
        <v>0.38712405467547994</v>
      </c>
      <c r="H143" s="68">
        <v>39.9</v>
      </c>
      <c r="I143" s="66">
        <f>myParidad('Flujo de Fondos'!$T$5,$A143,H143,'Flujo de Fondos'!$T$7,'Flujo de Fondos'!$T$6)</f>
        <v>0.39880742518167595</v>
      </c>
      <c r="J143" s="68">
        <v>33.700000000000003</v>
      </c>
      <c r="K143" s="66">
        <f>myParidad('Flujo de Fondos'!$B$34,$A143,J143,'Flujo de Fondos'!$B$36,'Flujo de Fondos'!$B$35)</f>
        <v>0.33719515747127621</v>
      </c>
      <c r="L143" s="65">
        <v>36.01</v>
      </c>
      <c r="M143" s="66">
        <f>myParidad('Flujo de Fondos'!$H$34,'Paridad usd'!$A143,'Paridad usd'!L143,'Flujo de Fondos'!$H$36,'Flujo de Fondos'!$H$35)</f>
        <v>0.36030853473414404</v>
      </c>
      <c r="N143" s="69">
        <v>33.4</v>
      </c>
      <c r="O143" s="66">
        <f>myParidad('Flujo de Fondos'!$N$34,$A143,N143,'Flujo de Fondos'!$N$36,'Flujo de Fondos'!$N$35)</f>
        <v>0.33419342016441023</v>
      </c>
      <c r="P143" s="70">
        <f t="shared" ref="P143" si="130">C143-G143</f>
        <v>1.3731963600923103E-2</v>
      </c>
      <c r="Q143" s="70">
        <f t="shared" si="122"/>
        <v>3.164652775866339E-2</v>
      </c>
      <c r="R143" s="70">
        <f t="shared" si="113"/>
        <v>4.0547483542259011E-2</v>
      </c>
      <c r="S143" s="67">
        <f t="shared" si="114"/>
        <v>6.6662598111992821E-2</v>
      </c>
      <c r="T143" s="70">
        <f t="shared" si="123"/>
        <v>9.8309125870656211E-2</v>
      </c>
      <c r="U143" s="70">
        <f t="shared" si="115"/>
        <v>5.2930634511069719E-2</v>
      </c>
      <c r="V143" s="70">
        <f t="shared" si="101"/>
        <v>4.9928897204203737E-2</v>
      </c>
      <c r="W143" s="70">
        <f t="shared" si="102"/>
        <v>6.366086080512684E-2</v>
      </c>
      <c r="X143" s="80">
        <f t="shared" si="103"/>
        <v>1.1683370506196E-2</v>
      </c>
      <c r="Y143" s="90">
        <f t="shared" si="97"/>
        <v>2.6815519941335908E-2</v>
      </c>
    </row>
    <row r="144" spans="1:25" x14ac:dyDescent="0.25">
      <c r="A144" s="64">
        <v>44216</v>
      </c>
      <c r="B144" s="65">
        <v>39.97</v>
      </c>
      <c r="C144" s="66">
        <f>myParidad('Flujo de Fondos'!$B$5,A144,B144,'Flujo de Fondos'!$B$7,'Flujo de Fondos'!$B$6)</f>
        <v>0.40157032755298649</v>
      </c>
      <c r="D144" s="65">
        <v>42.87</v>
      </c>
      <c r="E144" s="67">
        <f>myParidad('Flujo de Fondos'!$H$5,$A144,D144,'Flujo de Fondos'!$H$7,'Flujo de Fondos'!$H$6)</f>
        <v>0.43070602807597025</v>
      </c>
      <c r="F144" s="65">
        <v>38.74</v>
      </c>
      <c r="G144" s="66">
        <f>myParidad('Flujo de Fondos'!$N$5,$A144,F144,'Flujo de Fondos'!$N$7,'Flujo de Fondos'!$N$6)</f>
        <v>0.38762567248055374</v>
      </c>
      <c r="H144" s="68">
        <v>40.119999999999997</v>
      </c>
      <c r="I144" s="66">
        <f>myParidad('Flujo de Fondos'!$T$5,$A144,H144,'Flujo de Fondos'!$T$7,'Flujo de Fondos'!$T$6)</f>
        <v>0.40100773601697814</v>
      </c>
      <c r="J144" s="68">
        <v>34.1</v>
      </c>
      <c r="K144" s="66">
        <f>myParidad('Flujo de Fondos'!$B$34,$A144,J144,'Flujo de Fondos'!$B$36,'Flujo de Fondos'!$B$35)</f>
        <v>0.34119864304560876</v>
      </c>
      <c r="L144" s="65">
        <v>36.36</v>
      </c>
      <c r="M144" s="66">
        <f>myParidad('Flujo de Fondos'!$H$34,'Paridad usd'!$A144,'Paridad usd'!L144,'Flujo de Fondos'!$H$36,'Flujo de Fondos'!$H$35)</f>
        <v>0.36381180824452591</v>
      </c>
      <c r="N144" s="69">
        <v>33.869999999999997</v>
      </c>
      <c r="O144" s="66">
        <f>myParidad('Flujo de Fondos'!$N$34,$A144,N144,'Flujo de Fondos'!$N$36,'Flujo de Fondos'!$N$35)</f>
        <v>0.33889730322447997</v>
      </c>
      <c r="P144" s="70">
        <f t="shared" ref="P144" si="131">C144-G144</f>
        <v>1.3944655072432754E-2</v>
      </c>
      <c r="Q144" s="70">
        <f t="shared" si="122"/>
        <v>2.9135700522983754E-2</v>
      </c>
      <c r="R144" s="70">
        <f t="shared" si="113"/>
        <v>3.7758519308460581E-2</v>
      </c>
      <c r="S144" s="67">
        <f t="shared" si="114"/>
        <v>6.2673024328506521E-2</v>
      </c>
      <c r="T144" s="70">
        <f t="shared" si="123"/>
        <v>9.1808724851490275E-2</v>
      </c>
      <c r="U144" s="70">
        <f t="shared" si="115"/>
        <v>4.8728369256073767E-2</v>
      </c>
      <c r="V144" s="70">
        <f t="shared" si="101"/>
        <v>4.6427029434944977E-2</v>
      </c>
      <c r="W144" s="70">
        <f t="shared" si="102"/>
        <v>6.0371684507377732E-2</v>
      </c>
      <c r="X144" s="80">
        <f t="shared" si="103"/>
        <v>1.3382063536424404E-2</v>
      </c>
      <c r="Y144" s="90">
        <f t="shared" si="97"/>
        <v>2.3813864236027826E-2</v>
      </c>
    </row>
    <row r="145" spans="1:25" x14ac:dyDescent="0.25">
      <c r="A145" s="64">
        <v>44215</v>
      </c>
      <c r="B145" s="65">
        <v>40.200000000000003</v>
      </c>
      <c r="C145" s="66">
        <f>myParidad('Flujo de Fondos'!$B$5,A145,B145,'Flujo de Fondos'!$B$7,'Flujo de Fondos'!$B$6)</f>
        <v>0.40389220732747944</v>
      </c>
      <c r="D145" s="65">
        <v>43.1</v>
      </c>
      <c r="E145" s="67">
        <f>myParidad('Flujo de Fondos'!$H$5,$A145,D145,'Flujo de Fondos'!$H$7,'Flujo de Fondos'!$H$6)</f>
        <v>0.43302870984612846</v>
      </c>
      <c r="F145" s="65">
        <v>38.79</v>
      </c>
      <c r="G145" s="66">
        <f>myParidad('Flujo de Fondos'!$N$5,$A145,F145,'Flujo de Fondos'!$N$7,'Flujo de Fondos'!$N$6)</f>
        <v>0.38812729372337912</v>
      </c>
      <c r="H145" s="68">
        <v>39.950000000000003</v>
      </c>
      <c r="I145" s="66">
        <f>myParidad('Flujo de Fondos'!$T$5,$A145,H145,'Flujo de Fondos'!$T$7,'Flujo de Fondos'!$T$6)</f>
        <v>0.3993099175392536</v>
      </c>
      <c r="J145" s="68">
        <v>34.4</v>
      </c>
      <c r="K145" s="66">
        <f>myParidad('Flujo de Fondos'!$B$34,$A145,J145,'Flujo de Fondos'!$B$36,'Flujo de Fondos'!$B$35)</f>
        <v>0.34420157009755714</v>
      </c>
      <c r="L145" s="65">
        <v>35.85</v>
      </c>
      <c r="M145" s="66">
        <f>myParidad('Flujo de Fondos'!$H$34,'Paridad usd'!$A145,'Paridad usd'!L145,'Flujo de Fondos'!$H$36,'Flujo de Fondos'!$H$35)</f>
        <v>0.35871006651155302</v>
      </c>
      <c r="N145" s="69">
        <v>33.85</v>
      </c>
      <c r="O145" s="66">
        <f>myParidad('Flujo de Fondos'!$N$34,$A145,N145,'Flujo de Fondos'!$N$36,'Flujo de Fondos'!$N$35)</f>
        <v>0.33869834731983456</v>
      </c>
      <c r="P145" s="70">
        <f t="shared" ref="P145" si="132">C145-G145</f>
        <v>1.5764913604100317E-2</v>
      </c>
      <c r="Q145" s="70">
        <f t="shared" si="122"/>
        <v>2.9136502518649021E-2</v>
      </c>
      <c r="R145" s="70">
        <f t="shared" si="113"/>
        <v>4.5182140815926419E-2</v>
      </c>
      <c r="S145" s="67">
        <f t="shared" si="114"/>
        <v>6.5193860007644877E-2</v>
      </c>
      <c r="T145" s="70">
        <f t="shared" si="123"/>
        <v>9.4330362526293898E-2</v>
      </c>
      <c r="U145" s="70">
        <f t="shared" si="115"/>
        <v>4.942894640354456E-2</v>
      </c>
      <c r="V145" s="70">
        <f t="shared" si="101"/>
        <v>4.3925723625821977E-2</v>
      </c>
      <c r="W145" s="70">
        <f t="shared" si="102"/>
        <v>5.9690637229922294E-2</v>
      </c>
      <c r="X145" s="80">
        <f t="shared" si="103"/>
        <v>1.1182623815874482E-2</v>
      </c>
      <c r="Y145" s="90">
        <f t="shared" ref="Y145:Y208" si="133">G145-M145</f>
        <v>2.9417227211826102E-2</v>
      </c>
    </row>
    <row r="146" spans="1:25" x14ac:dyDescent="0.25">
      <c r="A146" s="64">
        <v>44214</v>
      </c>
      <c r="B146" s="65">
        <v>40.1</v>
      </c>
      <c r="C146" s="66">
        <f>myParidad('Flujo de Fondos'!$B$5,A146,B146,'Flujo de Fondos'!$B$7,'Flujo de Fondos'!$B$6)</f>
        <v>0.40289859061880645</v>
      </c>
      <c r="D146" s="65">
        <v>42</v>
      </c>
      <c r="E146" s="67">
        <f>myParidad('Flujo de Fondos'!$H$5,$A146,D146,'Flujo de Fondos'!$H$7,'Flujo de Fondos'!$H$6)</f>
        <v>0.42198854877780223</v>
      </c>
      <c r="F146" s="65">
        <v>38.799999999999997</v>
      </c>
      <c r="G146" s="66">
        <f>myParidad('Flujo de Fondos'!$N$5,$A146,F146,'Flujo de Fondos'!$N$7,'Flujo de Fondos'!$N$6)</f>
        <v>0.38822868264868343</v>
      </c>
      <c r="H146" s="65"/>
      <c r="I146" s="66">
        <f>myParidad('Flujo de Fondos'!$T$5,$A146,H146,'Flujo de Fondos'!$T$7,'Flujo de Fondos'!$T$6)</f>
        <v>0</v>
      </c>
      <c r="J146" s="65">
        <v>34.25</v>
      </c>
      <c r="K146" s="66">
        <f>myParidad('Flujo de Fondos'!$B$34,$A146,J146,'Flujo de Fondos'!$B$36,'Flujo de Fondos'!$B$35)</f>
        <v>0.34270186548240744</v>
      </c>
      <c r="L146" s="65">
        <v>35.799999999999997</v>
      </c>
      <c r="M146" s="66">
        <f>myParidad('Flujo de Fondos'!$H$34,'Paridad usd'!$A146,'Paridad usd'!L146,'Flujo de Fondos'!$H$36,'Flujo de Fondos'!$H$35)</f>
        <v>0.35821100100058934</v>
      </c>
      <c r="N146" s="69">
        <v>33.799999999999997</v>
      </c>
      <c r="O146" s="66">
        <f>myParidad('Flujo de Fondos'!$N$34,$A146,N146,'Flujo de Fondos'!$N$36,'Flujo de Fondos'!$N$35)</f>
        <v>0.33819921323519331</v>
      </c>
      <c r="P146" s="70">
        <f t="shared" ref="P146" si="134">C146-G146</f>
        <v>1.466990797012302E-2</v>
      </c>
      <c r="Q146" s="70">
        <f t="shared" si="122"/>
        <v>1.9089958158995779E-2</v>
      </c>
      <c r="R146" s="70">
        <f t="shared" si="113"/>
        <v>4.4687589618217116E-2</v>
      </c>
      <c r="S146" s="67">
        <f t="shared" si="114"/>
        <v>6.4699377383613144E-2</v>
      </c>
      <c r="T146" s="70">
        <f t="shared" si="123"/>
        <v>8.3789335542608923E-2</v>
      </c>
      <c r="U146" s="70">
        <f t="shared" si="115"/>
        <v>5.0029469413490124E-2</v>
      </c>
      <c r="V146" s="70">
        <f t="shared" si="101"/>
        <v>4.552681716627599E-2</v>
      </c>
      <c r="W146" s="70">
        <f t="shared" si="102"/>
        <v>6.019672513639901E-2</v>
      </c>
      <c r="X146" s="80">
        <f t="shared" si="103"/>
        <v>-0.38822868264868343</v>
      </c>
      <c r="Y146" s="90">
        <f t="shared" si="133"/>
        <v>3.0017681648094097E-2</v>
      </c>
    </row>
    <row r="147" spans="1:25" x14ac:dyDescent="0.25">
      <c r="A147" s="64">
        <v>44211</v>
      </c>
      <c r="B147" s="65">
        <v>40.08</v>
      </c>
      <c r="C147" s="66">
        <f>myParidad('Flujo de Fondos'!$B$5,A147,B147,'Flujo de Fondos'!$B$7,'Flujo de Fondos'!$B$6)</f>
        <v>0.40273090158293184</v>
      </c>
      <c r="D147" s="65">
        <v>42</v>
      </c>
      <c r="E147" s="67">
        <f>myParidad('Flujo de Fondos'!$H$5,$A147,D147,'Flujo de Fondos'!$H$7,'Flujo de Fondos'!$H$6)</f>
        <v>0.42202339986235377</v>
      </c>
      <c r="F147" s="65">
        <v>38.69</v>
      </c>
      <c r="G147" s="66">
        <f>myParidad('Flujo de Fondos'!$N$5,$A147,F147,'Flujo de Fondos'!$N$7,'Flujo de Fondos'!$N$6)</f>
        <v>0.38713201404951597</v>
      </c>
      <c r="H147" s="65"/>
      <c r="I147" s="66">
        <f>myParidad('Flujo de Fondos'!$T$5,$A147,H147,'Flujo de Fondos'!$T$7,'Flujo de Fondos'!$T$6)</f>
        <v>0</v>
      </c>
      <c r="J147" s="65">
        <v>34.25</v>
      </c>
      <c r="K147" s="66">
        <f>myParidad('Flujo de Fondos'!$B$34,$A147,J147,'Flujo de Fondos'!$B$36,'Flujo de Fondos'!$B$35)</f>
        <v>0.34270538850338389</v>
      </c>
      <c r="L147" s="65">
        <v>35.700000000000003</v>
      </c>
      <c r="M147" s="66">
        <f>myParidad('Flujo de Fondos'!$H$34,'Paridad usd'!$A147,'Paridad usd'!L147,'Flujo de Fondos'!$H$36,'Flujo de Fondos'!$H$35)</f>
        <v>0.35721408378308922</v>
      </c>
      <c r="N147" s="69">
        <v>33.65</v>
      </c>
      <c r="O147" s="66">
        <f>myParidad('Flujo de Fondos'!$N$34,$A147,N147,'Flujo de Fondos'!$N$36,'Flujo de Fondos'!$N$35)</f>
        <v>0.33670179045660925</v>
      </c>
      <c r="P147" s="70">
        <f t="shared" ref="P147" si="135">C147-G147</f>
        <v>1.5598887533415873E-2</v>
      </c>
      <c r="Q147" s="70">
        <f t="shared" si="122"/>
        <v>1.9292498279421921E-2</v>
      </c>
      <c r="R147" s="70">
        <f t="shared" si="113"/>
        <v>4.5516817799842624E-2</v>
      </c>
      <c r="S147" s="67">
        <f t="shared" si="114"/>
        <v>6.6029111126322593E-2</v>
      </c>
      <c r="T147" s="70">
        <f t="shared" si="123"/>
        <v>8.5321609405744514E-2</v>
      </c>
      <c r="U147" s="70">
        <f t="shared" si="115"/>
        <v>5.043022359290672E-2</v>
      </c>
      <c r="V147" s="70">
        <f t="shared" si="101"/>
        <v>4.4426625546132081E-2</v>
      </c>
      <c r="W147" s="70">
        <f t="shared" si="102"/>
        <v>6.0025513079547954E-2</v>
      </c>
      <c r="X147" s="80">
        <f t="shared" si="103"/>
        <v>-0.38713201404951597</v>
      </c>
      <c r="Y147" s="90">
        <f t="shared" si="133"/>
        <v>2.9917930266426751E-2</v>
      </c>
    </row>
    <row r="148" spans="1:25" x14ac:dyDescent="0.25">
      <c r="A148" s="64">
        <v>44210</v>
      </c>
      <c r="B148" s="65">
        <v>40.229999999999997</v>
      </c>
      <c r="C148" s="66">
        <f>myParidad('Flujo de Fondos'!$B$5,A148,B148,'Flujo de Fondos'!$B$7,'Flujo de Fondos'!$B$6)</f>
        <v>0.40424925668979184</v>
      </c>
      <c r="D148" s="65">
        <v>41.66</v>
      </c>
      <c r="E148" s="67">
        <f>myParidad('Flujo de Fondos'!$H$5,$A148,D148,'Flujo de Fondos'!$H$7,'Flujo de Fondos'!$H$6)</f>
        <v>0.41861854421319233</v>
      </c>
      <c r="F148" s="65">
        <v>38.75</v>
      </c>
      <c r="G148" s="66">
        <f>myParidad('Flujo de Fondos'!$N$5,$A148,F148,'Flujo de Fondos'!$N$7,'Flujo de Fondos'!$N$6)</f>
        <v>0.38773370250561984</v>
      </c>
      <c r="H148" s="65"/>
      <c r="I148" s="66">
        <f>myParidad('Flujo de Fondos'!$T$5,$A148,H148,'Flujo de Fondos'!$T$7,'Flujo de Fondos'!$T$6)</f>
        <v>0</v>
      </c>
      <c r="J148" s="65">
        <v>34.39</v>
      </c>
      <c r="K148" s="66">
        <f>myParidad('Flujo de Fondos'!$B$34,$A148,J148,'Flujo de Fondos'!$B$36,'Flujo de Fondos'!$B$35)</f>
        <v>0.34410740720434235</v>
      </c>
      <c r="L148" s="65">
        <v>35.69</v>
      </c>
      <c r="M148" s="66">
        <f>myParidad('Flujo de Fondos'!$H$34,'Paridad usd'!$A148,'Paridad usd'!L148,'Flujo de Fondos'!$H$36,'Flujo de Fondos'!$H$35)</f>
        <v>0.35711524754646634</v>
      </c>
      <c r="N148" s="69">
        <v>33.799999999999997</v>
      </c>
      <c r="O148" s="66">
        <f>myParidad('Flujo de Fondos'!$N$34,$A148,N148,'Flujo de Fondos'!$N$36,'Flujo de Fondos'!$N$35)</f>
        <v>0.33820384889522448</v>
      </c>
      <c r="P148" s="70">
        <f t="shared" ref="P148" si="136">C148-G148</f>
        <v>1.6515554184171999E-2</v>
      </c>
      <c r="Q148" s="70">
        <f t="shared" si="122"/>
        <v>1.4369287523400498E-2</v>
      </c>
      <c r="R148" s="70">
        <f t="shared" si="113"/>
        <v>4.7134009143325495E-2</v>
      </c>
      <c r="S148" s="67">
        <f t="shared" si="114"/>
        <v>6.6045407794567357E-2</v>
      </c>
      <c r="T148" s="70">
        <f t="shared" si="123"/>
        <v>8.0414695317967855E-2</v>
      </c>
      <c r="U148" s="70">
        <f t="shared" si="115"/>
        <v>4.9529853610395358E-2</v>
      </c>
      <c r="V148" s="70">
        <f t="shared" si="101"/>
        <v>4.3626295301277485E-2</v>
      </c>
      <c r="W148" s="70">
        <f t="shared" si="102"/>
        <v>6.0141849485449483E-2</v>
      </c>
      <c r="X148" s="80">
        <f t="shared" si="103"/>
        <v>-0.38773370250561984</v>
      </c>
      <c r="Y148" s="90">
        <f t="shared" si="133"/>
        <v>3.0618454959153496E-2</v>
      </c>
    </row>
    <row r="149" spans="1:25" x14ac:dyDescent="0.25">
      <c r="A149" s="64">
        <v>44209</v>
      </c>
      <c r="B149" s="65">
        <v>40.54</v>
      </c>
      <c r="C149" s="66">
        <f>myParidad('Flujo de Fondos'!$B$5,A149,B149,'Flujo de Fondos'!$B$7,'Flujo de Fondos'!$B$6)</f>
        <v>0.40737549211243562</v>
      </c>
      <c r="D149" s="65">
        <v>42.2</v>
      </c>
      <c r="E149" s="67">
        <f>myParidad('Flujo de Fondos'!$H$5,$A149,D149,'Flujo de Fondos'!$H$7,'Flujo de Fondos'!$H$6)</f>
        <v>0.42405638300801146</v>
      </c>
      <c r="F149" s="65">
        <v>38.979999999999997</v>
      </c>
      <c r="G149" s="66">
        <f>myParidad('Flujo de Fondos'!$N$5,$A149,F149,'Flujo de Fondos'!$N$7,'Flujo de Fondos'!$N$6)</f>
        <v>0.39003642618984791</v>
      </c>
      <c r="H149" s="65"/>
      <c r="I149" s="66">
        <f>myParidad('Flujo de Fondos'!$T$5,$A149,H149,'Flujo de Fondos'!$T$7,'Flujo de Fondos'!$T$6)</f>
        <v>0</v>
      </c>
      <c r="J149" s="65">
        <v>34.4</v>
      </c>
      <c r="K149" s="66">
        <f>myParidad('Flujo de Fondos'!$B$34,$A149,J149,'Flujo de Fondos'!$B$36,'Flujo de Fondos'!$B$35)</f>
        <v>0.34420864702233889</v>
      </c>
      <c r="L149" s="65">
        <v>36.22</v>
      </c>
      <c r="M149" s="66">
        <f>myParidad('Flujo de Fondos'!$H$34,'Paridad usd'!$A149,'Paridad usd'!L149,'Flujo de Fondos'!$H$36,'Flujo de Fondos'!$H$35)</f>
        <v>0.3624196859054975</v>
      </c>
      <c r="N149" s="69">
        <v>34.25</v>
      </c>
      <c r="O149" s="66">
        <f>myParidad('Flujo de Fondos'!$N$34,$A149,N149,'Flujo de Fondos'!$N$36,'Flujo de Fondos'!$N$35)</f>
        <v>0.34270773722427633</v>
      </c>
      <c r="P149" s="70">
        <f t="shared" ref="P149:P150" si="137">C149-G149</f>
        <v>1.7339065922587715E-2</v>
      </c>
      <c r="Q149" s="70">
        <f t="shared" si="122"/>
        <v>1.6680890895575839E-2</v>
      </c>
      <c r="R149" s="70">
        <f t="shared" si="113"/>
        <v>4.495580620693812E-2</v>
      </c>
      <c r="S149" s="67">
        <f t="shared" si="114"/>
        <v>6.466775488815929E-2</v>
      </c>
      <c r="T149" s="70">
        <f t="shared" si="123"/>
        <v>8.134864578373513E-2</v>
      </c>
      <c r="U149" s="70">
        <f t="shared" si="115"/>
        <v>4.7328688965571575E-2</v>
      </c>
      <c r="V149" s="70">
        <f t="shared" si="101"/>
        <v>4.582777916750902E-2</v>
      </c>
      <c r="W149" s="70">
        <f t="shared" si="102"/>
        <v>6.3166845090096735E-2</v>
      </c>
      <c r="X149" s="80">
        <f t="shared" si="103"/>
        <v>-0.39003642618984791</v>
      </c>
      <c r="Y149" s="90">
        <f t="shared" si="133"/>
        <v>2.7616740284350405E-2</v>
      </c>
    </row>
    <row r="150" spans="1:25" x14ac:dyDescent="0.25">
      <c r="A150" s="64">
        <v>44208</v>
      </c>
      <c r="B150" s="65">
        <v>40.950000000000003</v>
      </c>
      <c r="C150" s="66">
        <f>myParidad('Flujo de Fondos'!$B$5,A150,B150,'Flujo de Fondos'!$B$7,'Flujo de Fondos'!$B$6)</f>
        <v>0.41150680028632786</v>
      </c>
      <c r="D150" s="65">
        <v>43.01</v>
      </c>
      <c r="E150" s="67">
        <f>myParidad('Flujo de Fondos'!$H$5,$A150,D150,'Flujo de Fondos'!$H$7,'Flujo de Fondos'!$H$6)</f>
        <v>0.43220775287704422</v>
      </c>
      <c r="F150" s="65">
        <v>39.04</v>
      </c>
      <c r="G150" s="66">
        <f>myParidad('Flujo de Fondos'!$N$5,$A150,F150,'Flujo de Fondos'!$N$7,'Flujo de Fondos'!$N$6)</f>
        <v>0.3906381287223033</v>
      </c>
      <c r="H150" s="65"/>
      <c r="I150" s="66">
        <f>myParidad('Flujo de Fondos'!$T$5,$A150,H150,'Flujo de Fondos'!$T$7,'Flujo de Fondos'!$T$6)</f>
        <v>0</v>
      </c>
      <c r="J150" s="65">
        <v>34.799999999999997</v>
      </c>
      <c r="K150" s="66">
        <f>myParidad('Flujo de Fondos'!$B$34,$A150,J150,'Flujo de Fondos'!$B$36,'Flujo de Fondos'!$B$35)</f>
        <v>0.34821226638156133</v>
      </c>
      <c r="L150" s="65">
        <v>36.35</v>
      </c>
      <c r="M150" s="66">
        <f>myParidad('Flujo de Fondos'!$H$34,'Paridad usd'!$A150,'Paridad usd'!L150,'Flujo de Fondos'!$H$36,'Flujo de Fondos'!$H$35)</f>
        <v>0.36372172077499298</v>
      </c>
      <c r="N150" s="69">
        <v>34.700000000000003</v>
      </c>
      <c r="O150" s="66">
        <f>myParidad('Flujo de Fondos'!$N$34,$A150,N150,'Flujo de Fondos'!$N$36,'Flujo de Fondos'!$N$35)</f>
        <v>0.34721165642069485</v>
      </c>
      <c r="P150" s="70">
        <f t="shared" si="137"/>
        <v>2.0868671564024555E-2</v>
      </c>
      <c r="Q150" s="70">
        <f t="shared" si="122"/>
        <v>2.0700952590716359E-2</v>
      </c>
      <c r="R150" s="70">
        <f t="shared" ref="R150:R181" si="138">C150-M150</f>
        <v>4.7785079511334871E-2</v>
      </c>
      <c r="S150" s="67">
        <f t="shared" ref="S150:S181" si="139">C150-O150</f>
        <v>6.4295143865633009E-2</v>
      </c>
      <c r="T150" s="70">
        <f t="shared" si="123"/>
        <v>8.4996096456349368E-2</v>
      </c>
      <c r="U150" s="70">
        <f t="shared" ref="U150:U181" si="140">G150-O150</f>
        <v>4.3426472301608454E-2</v>
      </c>
      <c r="V150" s="70">
        <f t="shared" si="101"/>
        <v>4.2425862340741971E-2</v>
      </c>
      <c r="W150" s="70">
        <f t="shared" si="102"/>
        <v>6.3294533904766526E-2</v>
      </c>
      <c r="X150" s="80">
        <f t="shared" si="103"/>
        <v>-0.3906381287223033</v>
      </c>
      <c r="Y150" s="90">
        <f t="shared" si="133"/>
        <v>2.6916407947310317E-2</v>
      </c>
    </row>
    <row r="151" spans="1:25" x14ac:dyDescent="0.25">
      <c r="A151" s="64">
        <v>44207</v>
      </c>
      <c r="B151" s="65">
        <v>40.770000000000003</v>
      </c>
      <c r="C151" s="66">
        <f>myParidad('Flujo de Fondos'!$B$5,A151,B151,'Flujo de Fondos'!$B$7,'Flujo de Fondos'!$B$6)</f>
        <v>0.40970925910630218</v>
      </c>
      <c r="D151" s="65">
        <v>43.1</v>
      </c>
      <c r="E151" s="67">
        <f>myParidad('Flujo de Fondos'!$H$5,$A151,D151,'Flujo de Fondos'!$H$7,'Flujo de Fondos'!$H$6)</f>
        <v>0.43312408799317204</v>
      </c>
      <c r="F151" s="65">
        <v>39.04</v>
      </c>
      <c r="G151" s="66">
        <f>myParidad('Flujo de Fondos'!$N$5,$A151,F151,'Flujo de Fondos'!$N$7,'Flujo de Fondos'!$N$6)</f>
        <v>0.39063946734470789</v>
      </c>
      <c r="H151" s="65"/>
      <c r="I151" s="66">
        <f>myParidad('Flujo de Fondos'!$T$5,$A151,H151,'Flujo de Fondos'!$T$7,'Flujo de Fondos'!$T$6)</f>
        <v>0</v>
      </c>
      <c r="J151" s="65">
        <v>35</v>
      </c>
      <c r="K151" s="66">
        <f>myParidad('Flujo de Fondos'!$B$34,$A151,J151,'Flujo de Fondos'!$B$36,'Flujo de Fondos'!$B$35)</f>
        <v>0.3502146864002248</v>
      </c>
      <c r="L151" s="65">
        <v>36.39</v>
      </c>
      <c r="M151" s="66">
        <f>myParidad('Flujo de Fondos'!$H$34,'Paridad usd'!$A151,'Paridad usd'!L151,'Flujo de Fondos'!$H$36,'Flujo de Fondos'!$H$35)</f>
        <v>0.36412321251726232</v>
      </c>
      <c r="N151" s="69">
        <v>34.5</v>
      </c>
      <c r="O151" s="66">
        <f>myParidad('Flujo de Fondos'!$N$34,$A151,N151,'Flujo de Fondos'!$N$36,'Flujo de Fondos'!$N$35)</f>
        <v>0.34521161945165013</v>
      </c>
      <c r="P151" s="70">
        <f t="shared" ref="P151" si="141">C151-G151</f>
        <v>1.906979176159429E-2</v>
      </c>
      <c r="Q151" s="70">
        <f t="shared" si="122"/>
        <v>2.3414828886869854E-2</v>
      </c>
      <c r="R151" s="70">
        <f t="shared" si="138"/>
        <v>4.5586046589039864E-2</v>
      </c>
      <c r="S151" s="67">
        <f t="shared" si="139"/>
        <v>6.449763965465205E-2</v>
      </c>
      <c r="T151" s="70">
        <f t="shared" si="123"/>
        <v>8.7912468541521904E-2</v>
      </c>
      <c r="U151" s="70">
        <f t="shared" si="140"/>
        <v>4.542784789305776E-2</v>
      </c>
      <c r="V151" s="70">
        <f t="shared" si="101"/>
        <v>4.0424780944483096E-2</v>
      </c>
      <c r="W151" s="70">
        <f t="shared" si="102"/>
        <v>5.9494572706077387E-2</v>
      </c>
      <c r="X151" s="80">
        <f t="shared" si="103"/>
        <v>-0.39063946734470789</v>
      </c>
      <c r="Y151" s="90">
        <f t="shared" si="133"/>
        <v>2.6516254827445573E-2</v>
      </c>
    </row>
    <row r="152" spans="1:25" x14ac:dyDescent="0.25">
      <c r="A152" s="64">
        <v>44204</v>
      </c>
      <c r="B152" s="65">
        <v>40.85</v>
      </c>
      <c r="C152" s="66">
        <f>myParidad('Flujo de Fondos'!$B$5,A152,B152,'Flujo de Fondos'!$B$7,'Flujo de Fondos'!$B$6)</f>
        <v>0.4105471116250895</v>
      </c>
      <c r="D152" s="65">
        <v>43</v>
      </c>
      <c r="E152" s="67">
        <f>myParidad('Flujo de Fondos'!$H$5,$A152,D152,'Flujo de Fondos'!$H$7,'Flujo de Fondos'!$H$6)</f>
        <v>0.43215485434219947</v>
      </c>
      <c r="F152" s="65">
        <v>39.5</v>
      </c>
      <c r="G152" s="66">
        <f>myParidad('Flujo de Fondos'!$N$5,$A152,F152,'Flujo de Fondos'!$N$7,'Flujo de Fondos'!$N$6)</f>
        <v>0.39524635217841259</v>
      </c>
      <c r="H152" s="65"/>
      <c r="I152" s="66">
        <f>myParidad('Flujo de Fondos'!$T$5,$A152,H152,'Flujo de Fondos'!$T$7,'Flujo de Fondos'!$T$6)</f>
        <v>0</v>
      </c>
      <c r="J152" s="65">
        <v>35</v>
      </c>
      <c r="K152" s="66">
        <f>myParidad('Flujo de Fondos'!$B$34,$A152,J152,'Flujo de Fondos'!$B$36,'Flujo de Fondos'!$B$35)</f>
        <v>0.35021828674036559</v>
      </c>
      <c r="L152" s="65">
        <v>37</v>
      </c>
      <c r="M152" s="66">
        <f>myParidad('Flujo de Fondos'!$H$34,'Paridad usd'!$A152,'Paridad usd'!L152,'Flujo de Fondos'!$H$36,'Flujo de Fondos'!$H$35)</f>
        <v>0.37023076026838647</v>
      </c>
      <c r="N152" s="69">
        <v>34.6</v>
      </c>
      <c r="O152" s="66">
        <f>myParidad('Flujo de Fondos'!$N$34,$A152,N152,'Flujo de Fondos'!$N$36,'Flujo de Fondos'!$N$35)</f>
        <v>0.34621579203476138</v>
      </c>
      <c r="P152" s="70">
        <f t="shared" ref="P152" si="142">C152-G152</f>
        <v>1.5300759446676915E-2</v>
      </c>
      <c r="Q152" s="70">
        <f t="shared" si="122"/>
        <v>2.1607742717109968E-2</v>
      </c>
      <c r="R152" s="70">
        <f t="shared" si="138"/>
        <v>4.0316351356703028E-2</v>
      </c>
      <c r="S152" s="67">
        <f t="shared" si="139"/>
        <v>6.4331319590328118E-2</v>
      </c>
      <c r="T152" s="70">
        <f t="shared" si="123"/>
        <v>8.5939062307438085E-2</v>
      </c>
      <c r="U152" s="70">
        <f t="shared" si="140"/>
        <v>4.9030560143651203E-2</v>
      </c>
      <c r="V152" s="70">
        <f t="shared" si="101"/>
        <v>4.5028065438046994E-2</v>
      </c>
      <c r="W152" s="70">
        <f t="shared" si="102"/>
        <v>6.0328824884723908E-2</v>
      </c>
      <c r="X152" s="80">
        <f t="shared" si="103"/>
        <v>-0.39524635217841259</v>
      </c>
      <c r="Y152" s="90">
        <f t="shared" si="133"/>
        <v>2.5015591910026114E-2</v>
      </c>
    </row>
    <row r="153" spans="1:25" x14ac:dyDescent="0.25">
      <c r="A153" s="64">
        <v>44203</v>
      </c>
      <c r="B153" s="65">
        <v>41.23</v>
      </c>
      <c r="C153" s="66">
        <f>myParidad('Flujo de Fondos'!$B$5,A153,B153,'Flujo de Fondos'!$B$7,'Flujo de Fondos'!$B$6)</f>
        <v>0.41437756422611999</v>
      </c>
      <c r="D153" s="65">
        <v>43</v>
      </c>
      <c r="E153" s="67">
        <f>myParidad('Flujo de Fondos'!$H$5,$A153,D153,'Flujo de Fondos'!$H$7,'Flujo de Fondos'!$H$6)</f>
        <v>0.43216675386182779</v>
      </c>
      <c r="F153" s="65">
        <v>39.549999999999997</v>
      </c>
      <c r="G153" s="66">
        <f>myParidad('Flujo de Fondos'!$N$5,$A153,F153,'Flujo de Fondos'!$N$7,'Flujo de Fondos'!$N$6)</f>
        <v>0.3957480201633215</v>
      </c>
      <c r="H153" s="65"/>
      <c r="I153" s="66">
        <f>myParidad('Flujo de Fondos'!$T$5,$A153,H153,'Flujo de Fondos'!$T$7,'Flujo de Fondos'!$T$6)</f>
        <v>0</v>
      </c>
      <c r="J153" s="65">
        <v>35.11</v>
      </c>
      <c r="K153" s="66">
        <f>myParidad('Flujo de Fondos'!$B$34,$A153,J153,'Flujo de Fondos'!$B$36,'Flujo de Fondos'!$B$35)</f>
        <v>0.35132017668607379</v>
      </c>
      <c r="L153" s="65">
        <v>37.11</v>
      </c>
      <c r="M153" s="66">
        <f>myParidad('Flujo de Fondos'!$H$34,'Paridad usd'!$A153,'Paridad usd'!L153,'Flujo de Fondos'!$H$36,'Flujo de Fondos'!$H$35)</f>
        <v>0.37133271879294216</v>
      </c>
      <c r="N153" s="69">
        <v>34.85</v>
      </c>
      <c r="O153" s="66">
        <f>myParidad('Flujo de Fondos'!$N$34,$A153,N153,'Flujo de Fondos'!$N$36,'Flujo de Fondos'!$N$35)</f>
        <v>0.34871854621218096</v>
      </c>
      <c r="P153" s="70">
        <f t="shared" ref="P153" si="143">C153-G153</f>
        <v>1.8629544062798487E-2</v>
      </c>
      <c r="Q153" s="70">
        <f t="shared" si="122"/>
        <v>1.7789189635707803E-2</v>
      </c>
      <c r="R153" s="70">
        <f t="shared" si="138"/>
        <v>4.3044845433177825E-2</v>
      </c>
      <c r="S153" s="67">
        <f t="shared" si="139"/>
        <v>6.565901801393903E-2</v>
      </c>
      <c r="T153" s="70">
        <f t="shared" si="123"/>
        <v>8.3448207649646833E-2</v>
      </c>
      <c r="U153" s="70">
        <f t="shared" si="140"/>
        <v>4.7029473951140544E-2</v>
      </c>
      <c r="V153" s="70">
        <f t="shared" si="101"/>
        <v>4.4427843477247708E-2</v>
      </c>
      <c r="W153" s="70">
        <f t="shared" si="102"/>
        <v>6.3057387540046195E-2</v>
      </c>
      <c r="X153" s="80">
        <f t="shared" si="103"/>
        <v>-0.3957480201633215</v>
      </c>
      <c r="Y153" s="90">
        <f t="shared" si="133"/>
        <v>2.4415301370379339E-2</v>
      </c>
    </row>
    <row r="154" spans="1:25" x14ac:dyDescent="0.25">
      <c r="A154" s="64">
        <v>44202</v>
      </c>
      <c r="B154" s="65">
        <v>41.5</v>
      </c>
      <c r="C154" s="66">
        <f>myParidad('Flujo de Fondos'!$B$5,A154,B154,'Flujo de Fondos'!$B$7,'Flujo de Fondos'!$B$6)</f>
        <v>0.41710265447736533</v>
      </c>
      <c r="D154" s="65">
        <v>43.85</v>
      </c>
      <c r="E154" s="67">
        <f>myParidad('Flujo de Fondos'!$H$5,$A154,D154,'Flujo de Fondos'!$H$7,'Flujo de Fondos'!$H$6)</f>
        <v>0.44072172045379449</v>
      </c>
      <c r="F154" s="65">
        <v>40.1</v>
      </c>
      <c r="G154" s="66">
        <f>myParidad('Flujo de Fondos'!$N$5,$A154,F154,'Flujo de Fondos'!$N$7,'Flujo de Fondos'!$N$6)</f>
        <v>0.4012528442580256</v>
      </c>
      <c r="H154" s="65"/>
      <c r="I154" s="66">
        <f>myParidad('Flujo de Fondos'!$T$5,$A154,H154,'Flujo de Fondos'!$T$7,'Flujo de Fondos'!$T$6)</f>
        <v>0</v>
      </c>
      <c r="J154" s="65">
        <v>35.75</v>
      </c>
      <c r="K154" s="66">
        <f>myParidad('Flujo de Fondos'!$B$34,$A154,J154,'Flujo de Fondos'!$B$36,'Flujo de Fondos'!$B$35)</f>
        <v>0.35772541601557145</v>
      </c>
      <c r="L154" s="65">
        <v>37.380000000000003</v>
      </c>
      <c r="M154" s="66">
        <f>myParidad('Flujo de Fondos'!$H$34,'Paridad usd'!$A154,'Paridad usd'!L154,'Flujo de Fondos'!$H$36,'Flujo de Fondos'!$H$35)</f>
        <v>0.37403569372481293</v>
      </c>
      <c r="N154" s="69">
        <v>34.6</v>
      </c>
      <c r="O154" s="66">
        <f>myParidad('Flujo de Fondos'!$N$34,$A154,N154,'Flujo de Fondos'!$N$36,'Flujo de Fondos'!$N$35)</f>
        <v>0.34621816487101464</v>
      </c>
      <c r="P154" s="70">
        <f t="shared" ref="P154" si="144">C154-G154</f>
        <v>1.5849810219339733E-2</v>
      </c>
      <c r="Q154" s="70">
        <f t="shared" si="122"/>
        <v>2.3619065976429154E-2</v>
      </c>
      <c r="R154" s="70">
        <f t="shared" si="138"/>
        <v>4.3066960752552397E-2</v>
      </c>
      <c r="S154" s="67">
        <f t="shared" si="139"/>
        <v>7.0884489606350687E-2</v>
      </c>
      <c r="T154" s="70">
        <f t="shared" si="123"/>
        <v>9.4503555582779841E-2</v>
      </c>
      <c r="U154" s="70">
        <f t="shared" si="140"/>
        <v>5.5034679387010954E-2</v>
      </c>
      <c r="V154" s="70">
        <f t="shared" si="101"/>
        <v>4.3527428242454147E-2</v>
      </c>
      <c r="W154" s="70">
        <f t="shared" si="102"/>
        <v>5.937723846179388E-2</v>
      </c>
      <c r="X154" s="80">
        <f t="shared" si="103"/>
        <v>-0.4012528442580256</v>
      </c>
      <c r="Y154" s="90">
        <f t="shared" si="133"/>
        <v>2.7217150533212664E-2</v>
      </c>
    </row>
    <row r="155" spans="1:25" x14ac:dyDescent="0.25">
      <c r="A155" s="64">
        <v>44201</v>
      </c>
      <c r="B155" s="65">
        <v>41.25</v>
      </c>
      <c r="C155" s="66">
        <f>myParidad('Flujo de Fondos'!$B$5,A155,B155,'Flujo de Fondos'!$B$7,'Flujo de Fondos'!$B$6)</f>
        <v>0.41460140437835608</v>
      </c>
      <c r="D155" s="65">
        <v>42.8</v>
      </c>
      <c r="E155" s="67">
        <f>myParidad('Flujo de Fondos'!$H$5,$A155,D155,'Flujo de Fondos'!$H$7,'Flujo de Fondos'!$H$6)</f>
        <v>0.43018036623984579</v>
      </c>
      <c r="F155" s="65">
        <v>40.25</v>
      </c>
      <c r="G155" s="66">
        <f>myParidad('Flujo de Fondos'!$N$5,$A155,F155,'Flujo de Fondos'!$N$7,'Flujo de Fondos'!$N$6)</f>
        <v>0.40275517022771279</v>
      </c>
      <c r="H155" s="65"/>
      <c r="I155" s="66">
        <f>myParidad('Flujo de Fondos'!$T$5,$A155,H155,'Flujo de Fondos'!$T$7,'Flujo de Fondos'!$T$6)</f>
        <v>0</v>
      </c>
      <c r="J155" s="65">
        <v>35.64</v>
      </c>
      <c r="K155" s="66">
        <f>myParidad('Flujo de Fondos'!$B$34,$A155,J155,'Flujo de Fondos'!$B$36,'Flujo de Fondos'!$B$35)</f>
        <v>0.3566259445196443</v>
      </c>
      <c r="L155" s="65">
        <v>36.9</v>
      </c>
      <c r="M155" s="66">
        <f>myParidad('Flujo de Fondos'!$H$34,'Paridad usd'!$A155,'Paridad usd'!L155,'Flujo de Fondos'!$H$36,'Flujo de Fondos'!$H$35)</f>
        <v>0.36923393245720748</v>
      </c>
      <c r="N155" s="69">
        <v>34.5</v>
      </c>
      <c r="O155" s="66">
        <f>myParidad('Flujo de Fondos'!$N$34,$A155,N155,'Flujo de Fondos'!$N$36,'Flujo de Fondos'!$N$35)</f>
        <v>0.34521871733803949</v>
      </c>
      <c r="P155" s="70">
        <f t="shared" ref="P155" si="145">C155-G155</f>
        <v>1.1846234150643287E-2</v>
      </c>
      <c r="Q155" s="70">
        <f t="shared" si="122"/>
        <v>1.5578961861489715E-2</v>
      </c>
      <c r="R155" s="70">
        <f t="shared" si="138"/>
        <v>4.5367471921148594E-2</v>
      </c>
      <c r="S155" s="67">
        <f t="shared" si="139"/>
        <v>6.9382687040316582E-2</v>
      </c>
      <c r="T155" s="70">
        <f t="shared" si="123"/>
        <v>8.4961648901806297E-2</v>
      </c>
      <c r="U155" s="70">
        <f t="shared" si="140"/>
        <v>5.7536452889673295E-2</v>
      </c>
      <c r="V155" s="70">
        <f t="shared" si="101"/>
        <v>4.6129225708068489E-2</v>
      </c>
      <c r="W155" s="70">
        <f t="shared" si="102"/>
        <v>5.7975459858711775E-2</v>
      </c>
      <c r="X155" s="80">
        <f t="shared" si="103"/>
        <v>-0.40275517022771279</v>
      </c>
      <c r="Y155" s="90">
        <f t="shared" si="133"/>
        <v>3.3521237770505308E-2</v>
      </c>
    </row>
    <row r="156" spans="1:25" x14ac:dyDescent="0.25">
      <c r="A156" s="64">
        <v>44200</v>
      </c>
      <c r="B156" s="65">
        <v>41.36</v>
      </c>
      <c r="C156" s="66">
        <f>myParidad('Flujo de Fondos'!$B$5,A156,B156,'Flujo de Fondos'!$B$7,'Flujo de Fondos'!$B$6)</f>
        <v>0.4157184556920196</v>
      </c>
      <c r="D156" s="65">
        <v>43.11</v>
      </c>
      <c r="E156" s="67">
        <f>myParidad('Flujo de Fondos'!$H$5,$A156,D156,'Flujo de Fondos'!$H$7,'Flujo de Fondos'!$H$6)</f>
        <v>0.43330809054359198</v>
      </c>
      <c r="F156" s="65">
        <v>40.549999999999997</v>
      </c>
      <c r="G156" s="66">
        <f>myParidad('Flujo de Fondos'!$N$5,$A156,F156,'Flujo de Fondos'!$N$7,'Flujo de Fondos'!$N$6)</f>
        <v>0.40575846258232984</v>
      </c>
      <c r="H156" s="65"/>
      <c r="I156" s="66">
        <f>myParidad('Flujo de Fondos'!$T$5,$A156,H156,'Flujo de Fondos'!$T$7,'Flujo de Fondos'!$T$6)</f>
        <v>0</v>
      </c>
      <c r="J156" s="65">
        <v>36.1</v>
      </c>
      <c r="K156" s="66">
        <f>myParidad('Flujo de Fondos'!$B$34,$A156,J156,'Flujo de Fondos'!$B$36,'Flujo de Fondos'!$B$35)</f>
        <v>0.36123009862446631</v>
      </c>
      <c r="L156" s="65">
        <v>37.229999999999997</v>
      </c>
      <c r="M156" s="66">
        <f>myParidad('Flujo de Fondos'!$H$34,'Paridad usd'!$A156,'Paridad usd'!L156,'Flujo de Fondos'!$H$36,'Flujo de Fondos'!$H$35)</f>
        <v>0.37253730115758665</v>
      </c>
      <c r="N156" s="69">
        <v>34.799999999999997</v>
      </c>
      <c r="O156" s="66">
        <f>myParidad('Flujo de Fondos'!$N$34,$A156,N156,'Flujo de Fondos'!$N$36,'Flujo de Fondos'!$N$35)</f>
        <v>0.3482218125244162</v>
      </c>
      <c r="P156" s="70">
        <f t="shared" ref="P156" si="146">C156-G156</f>
        <v>9.9599931096897576E-3</v>
      </c>
      <c r="Q156" s="70">
        <f t="shared" si="122"/>
        <v>1.7589634851572389E-2</v>
      </c>
      <c r="R156" s="70">
        <f t="shared" si="138"/>
        <v>4.3181154534432942E-2</v>
      </c>
      <c r="S156" s="67">
        <f t="shared" si="139"/>
        <v>6.7496643167603398E-2</v>
      </c>
      <c r="T156" s="70">
        <f t="shared" si="123"/>
        <v>8.5086278019175787E-2</v>
      </c>
      <c r="U156" s="70">
        <f t="shared" si="140"/>
        <v>5.7536650057913641E-2</v>
      </c>
      <c r="V156" s="70">
        <f t="shared" si="101"/>
        <v>4.4528363957863526E-2</v>
      </c>
      <c r="W156" s="70">
        <f t="shared" si="102"/>
        <v>5.4488357067553284E-2</v>
      </c>
      <c r="X156" s="80">
        <f t="shared" si="103"/>
        <v>-0.40575846258232984</v>
      </c>
      <c r="Y156" s="90">
        <f t="shared" si="133"/>
        <v>3.3221161424743184E-2</v>
      </c>
    </row>
    <row r="157" spans="1:25" x14ac:dyDescent="0.25">
      <c r="A157" s="64">
        <v>44195</v>
      </c>
      <c r="B157" s="65">
        <v>42.35</v>
      </c>
      <c r="C157" s="66">
        <f>myParidad('Flujo de Fondos'!$B$5,A157,B157,'Flujo de Fondos'!$B$7,'Flujo de Fondos'!$B$6)</f>
        <v>0.42572778099093889</v>
      </c>
      <c r="D157" s="65">
        <v>44.9</v>
      </c>
      <c r="E157" s="67">
        <f>myParidad('Flujo de Fondos'!$H$5,$A157,D157,'Flujo de Fondos'!$H$7,'Flujo de Fondos'!$H$6)</f>
        <v>0.4513619212867333</v>
      </c>
      <c r="F157" s="65">
        <v>40.94</v>
      </c>
      <c r="G157" s="66">
        <f>myParidad('Flujo de Fondos'!$N$5,$A157,F157,'Flujo de Fondos'!$N$7,'Flujo de Fondos'!$N$6)</f>
        <v>0.40966796774602565</v>
      </c>
      <c r="H157" s="65"/>
      <c r="I157" s="66">
        <f>myParidad('Flujo de Fondos'!$T$5,$A157,H157,'Flujo de Fondos'!$T$7,'Flujo de Fondos'!$T$6)</f>
        <v>0</v>
      </c>
      <c r="J157" s="65">
        <v>36.5</v>
      </c>
      <c r="K157" s="66">
        <f>myParidad('Flujo de Fondos'!$B$34,$A157,J157,'Flujo de Fondos'!$B$36,'Flujo de Fondos'!$B$35)</f>
        <v>0.36523890627088268</v>
      </c>
      <c r="L157" s="65">
        <v>38.200000000000003</v>
      </c>
      <c r="M157" s="66">
        <f>myParidad('Flujo de Fondos'!$H$34,'Paridad usd'!$A157,'Paridad usd'!L157,'Flujo de Fondos'!$H$36,'Flujo de Fondos'!$H$35)</f>
        <v>0.38225003341226627</v>
      </c>
      <c r="N157" s="69">
        <v>35.9</v>
      </c>
      <c r="O157" s="66">
        <f>myParidad('Flujo de Fondos'!$N$34,$A157,N157,'Flujo de Fondos'!$N$36,'Flujo de Fondos'!$N$35)</f>
        <v>0.35923497904451196</v>
      </c>
      <c r="P157" s="70">
        <f t="shared" ref="P157" si="147">C157-G157</f>
        <v>1.6059813244913235E-2</v>
      </c>
      <c r="Q157" s="70">
        <f t="shared" si="122"/>
        <v>2.5634140295794416E-2</v>
      </c>
      <c r="R157" s="70">
        <f t="shared" si="138"/>
        <v>4.3477747578672621E-2</v>
      </c>
      <c r="S157" s="67">
        <f t="shared" si="139"/>
        <v>6.6492801946426927E-2</v>
      </c>
      <c r="T157" s="70">
        <f t="shared" si="123"/>
        <v>9.2126942242221344E-2</v>
      </c>
      <c r="U157" s="70">
        <f t="shared" si="140"/>
        <v>5.0432988701513692E-2</v>
      </c>
      <c r="V157" s="70">
        <f t="shared" si="101"/>
        <v>4.4429061475142972E-2</v>
      </c>
      <c r="W157" s="70">
        <f t="shared" si="102"/>
        <v>6.0488874720056207E-2</v>
      </c>
      <c r="X157" s="80">
        <f t="shared" si="103"/>
        <v>-0.40966796774602565</v>
      </c>
      <c r="Y157" s="90">
        <f t="shared" si="133"/>
        <v>2.7417934333759386E-2</v>
      </c>
    </row>
    <row r="158" spans="1:25" x14ac:dyDescent="0.25">
      <c r="A158" s="64">
        <v>44194</v>
      </c>
      <c r="B158" s="65">
        <v>42.35</v>
      </c>
      <c r="C158" s="66">
        <f>myParidad('Flujo de Fondos'!$B$5,A158,B158,'Flujo de Fondos'!$B$7,'Flujo de Fondos'!$B$6)</f>
        <v>0.42573950644486064</v>
      </c>
      <c r="D158" s="65">
        <v>44.78</v>
      </c>
      <c r="E158" s="67">
        <f>myParidad('Flujo de Fondos'!$H$5,$A158,D158,'Flujo de Fondos'!$H$7,'Flujo de Fondos'!$H$6)</f>
        <v>0.45016800705078774</v>
      </c>
      <c r="F158" s="65">
        <v>40.93</v>
      </c>
      <c r="G158" s="66">
        <f>myParidad('Flujo de Fondos'!$N$5,$A158,F158,'Flujo de Fondos'!$N$7,'Flujo de Fondos'!$N$6)</f>
        <v>0.40956930584493911</v>
      </c>
      <c r="H158" s="65"/>
      <c r="I158" s="66">
        <f>myParidad('Flujo de Fondos'!$T$5,$A158,H158,'Flujo de Fondos'!$T$7,'Flujo de Fondos'!$T$6)</f>
        <v>0</v>
      </c>
      <c r="J158" s="65">
        <v>36.6</v>
      </c>
      <c r="K158" s="66">
        <f>myParidad('Flujo de Fondos'!$B$34,$A158,J158,'Flujo de Fondos'!$B$36,'Flujo de Fondos'!$B$35)</f>
        <v>0.36624081587893409</v>
      </c>
      <c r="L158" s="65">
        <v>38.799999999999997</v>
      </c>
      <c r="M158" s="66">
        <f>myParidad('Flujo de Fondos'!$H$34,'Paridad usd'!$A158,'Paridad usd'!L158,'Flujo de Fondos'!$H$36,'Flujo de Fondos'!$H$35)</f>
        <v>0.38825529115034541</v>
      </c>
      <c r="N158" s="69">
        <v>35.75</v>
      </c>
      <c r="O158" s="66">
        <f>myParidad('Flujo de Fondos'!$N$34,$A158,N158,'Flujo de Fondos'!$N$36,'Flujo de Fondos'!$N$35)</f>
        <v>0.35773522316043427</v>
      </c>
      <c r="P158" s="70">
        <f t="shared" ref="P158" si="148">C158-G158</f>
        <v>1.6170200599921525E-2</v>
      </c>
      <c r="Q158" s="70">
        <f t="shared" si="122"/>
        <v>2.4428500605927106E-2</v>
      </c>
      <c r="R158" s="70">
        <f t="shared" si="138"/>
        <v>3.7484215294515233E-2</v>
      </c>
      <c r="S158" s="67">
        <f t="shared" si="139"/>
        <v>6.800428328442637E-2</v>
      </c>
      <c r="T158" s="70">
        <f t="shared" si="123"/>
        <v>9.2432783890353476E-2</v>
      </c>
      <c r="U158" s="70">
        <f t="shared" si="140"/>
        <v>5.1834082684504845E-2</v>
      </c>
      <c r="V158" s="70">
        <f t="shared" si="101"/>
        <v>4.3328489966005024E-2</v>
      </c>
      <c r="W158" s="70">
        <f t="shared" si="102"/>
        <v>5.9498690565926549E-2</v>
      </c>
      <c r="X158" s="80">
        <f t="shared" si="103"/>
        <v>-0.40956930584493911</v>
      </c>
      <c r="Y158" s="90">
        <f t="shared" si="133"/>
        <v>2.1314014694593708E-2</v>
      </c>
    </row>
    <row r="159" spans="1:25" x14ac:dyDescent="0.25">
      <c r="A159" s="64">
        <v>44193</v>
      </c>
      <c r="B159" s="65">
        <v>42.24</v>
      </c>
      <c r="C159" s="66">
        <f>myParidad('Flujo de Fondos'!$B$5,A159,B159,'Flujo de Fondos'!$B$7,'Flujo de Fondos'!$B$6)</f>
        <v>0.42464538518742945</v>
      </c>
      <c r="D159" s="65">
        <v>44</v>
      </c>
      <c r="E159" s="67">
        <f>myParidad('Flujo de Fondos'!$H$5,$A159,D159,'Flujo de Fondos'!$H$7,'Flujo de Fondos'!$H$6)</f>
        <v>0.44233894290357234</v>
      </c>
      <c r="F159" s="65">
        <v>40.9</v>
      </c>
      <c r="G159" s="66">
        <f>myParidad('Flujo de Fondos'!$N$5,$A159,F159,'Flujo de Fondos'!$N$7,'Flujo de Fondos'!$N$6)</f>
        <v>0.40927051098842726</v>
      </c>
      <c r="H159" s="65"/>
      <c r="I159" s="66">
        <f>myParidad('Flujo de Fondos'!$T$5,$A159,H159,'Flujo de Fondos'!$T$7,'Flujo de Fondos'!$T$6)</f>
        <v>0</v>
      </c>
      <c r="J159" s="65">
        <v>36.75</v>
      </c>
      <c r="K159" s="66">
        <f>myParidad('Flujo de Fondos'!$B$34,$A159,J159,'Flujo de Fondos'!$B$36,'Flujo de Fondos'!$B$35)</f>
        <v>0.3677430630519487</v>
      </c>
      <c r="L159" s="65">
        <v>39</v>
      </c>
      <c r="M159" s="66">
        <f>myParidad('Flujo de Fondos'!$H$34,'Paridad usd'!$A159,'Paridad usd'!L159,'Flujo de Fondos'!$H$36,'Flujo de Fondos'!$H$35)</f>
        <v>0.39025794446329254</v>
      </c>
      <c r="N159" s="69">
        <v>35.700000000000003</v>
      </c>
      <c r="O159" s="66">
        <f>myParidad('Flujo de Fondos'!$N$34,$A159,N159,'Flujo de Fondos'!$N$36,'Flujo de Fondos'!$N$35)</f>
        <v>0.35723611839332164</v>
      </c>
      <c r="P159" s="70">
        <f t="shared" ref="P159:P160" si="149">C159-G159</f>
        <v>1.5374874199002186E-2</v>
      </c>
      <c r="Q159" s="70">
        <f t="shared" si="122"/>
        <v>1.7693557716142894E-2</v>
      </c>
      <c r="R159" s="70">
        <f t="shared" si="138"/>
        <v>3.4387440724136908E-2</v>
      </c>
      <c r="S159" s="67">
        <f t="shared" si="139"/>
        <v>6.7409266794107803E-2</v>
      </c>
      <c r="T159" s="70">
        <f t="shared" si="123"/>
        <v>8.5102824510250696E-2</v>
      </c>
      <c r="U159" s="70">
        <f t="shared" si="140"/>
        <v>5.2034392595105616E-2</v>
      </c>
      <c r="V159" s="70">
        <f t="shared" ref="V159:V222" si="150">G159-K159</f>
        <v>4.1527447936478556E-2</v>
      </c>
      <c r="W159" s="70">
        <f t="shared" ref="W159:W222" si="151">C159-K159</f>
        <v>5.6902322135480743E-2</v>
      </c>
      <c r="X159" s="80">
        <f t="shared" ref="X159:X222" si="152">I159-G159</f>
        <v>-0.40927051098842726</v>
      </c>
      <c r="Y159" s="90">
        <f t="shared" si="133"/>
        <v>1.9012566525134722E-2</v>
      </c>
    </row>
    <row r="160" spans="1:25" x14ac:dyDescent="0.25">
      <c r="A160" s="64">
        <v>44188</v>
      </c>
      <c r="B160" s="65">
        <v>42.27</v>
      </c>
      <c r="C160" s="66">
        <f>myParidad('Flujo de Fondos'!$B$5,A160,B160,'Flujo de Fondos'!$B$7,'Flujo de Fondos'!$B$6)</f>
        <v>0.42500550933832848</v>
      </c>
      <c r="D160" s="65">
        <v>44</v>
      </c>
      <c r="E160" s="67">
        <f>myParidad('Flujo de Fondos'!$H$5,$A160,D160,'Flujo de Fondos'!$H$7,'Flujo de Fondos'!$H$6)</f>
        <v>0.44239986777588014</v>
      </c>
      <c r="F160" s="65">
        <v>40.619999999999997</v>
      </c>
      <c r="G160" s="66">
        <f>myParidad('Flujo de Fondos'!$N$5,$A160,F160,'Flujo de Fondos'!$N$7,'Flujo de Fondos'!$N$6)</f>
        <v>0.4064756238819473</v>
      </c>
      <c r="H160" s="65"/>
      <c r="I160" s="66">
        <f>myParidad('Flujo de Fondos'!$T$5,$A160,H160,'Flujo de Fondos'!$T$7,'Flujo de Fondos'!$T$6)</f>
        <v>0</v>
      </c>
      <c r="J160" s="65">
        <v>36.299999999999997</v>
      </c>
      <c r="K160" s="66">
        <f>myParidad('Flujo de Fondos'!$B$34,$A160,J160,'Flujo de Fondos'!$B$36,'Flujo de Fondos'!$B$35)</f>
        <v>0.36324631085462056</v>
      </c>
      <c r="L160" s="65">
        <v>38.58</v>
      </c>
      <c r="M160" s="66">
        <f>myParidad('Flujo de Fondos'!$H$34,'Paridad usd'!$A160,'Paridad usd'!L160,'Flujo de Fondos'!$H$36,'Flujo de Fondos'!$H$35)</f>
        <v>0.38606178161904303</v>
      </c>
      <c r="N160" s="69">
        <v>35.700000000000003</v>
      </c>
      <c r="O160" s="66">
        <f>myParidad('Flujo de Fondos'!$N$34,$A160,N160,'Flujo de Fondos'!$N$36,'Flujo de Fondos'!$N$35)</f>
        <v>0.35724223960082524</v>
      </c>
      <c r="P160" s="70">
        <f t="shared" si="149"/>
        <v>1.8529885456381179E-2</v>
      </c>
      <c r="Q160" s="70">
        <f t="shared" si="122"/>
        <v>1.739435843755166E-2</v>
      </c>
      <c r="R160" s="70">
        <f t="shared" si="138"/>
        <v>3.8943727719285448E-2</v>
      </c>
      <c r="S160" s="67">
        <f t="shared" si="139"/>
        <v>6.776326973750324E-2</v>
      </c>
      <c r="T160" s="70">
        <f t="shared" si="123"/>
        <v>8.51576281750549E-2</v>
      </c>
      <c r="U160" s="70">
        <f t="shared" si="140"/>
        <v>4.9233384281122061E-2</v>
      </c>
      <c r="V160" s="70">
        <f t="shared" si="150"/>
        <v>4.3229313027326743E-2</v>
      </c>
      <c r="W160" s="70">
        <f t="shared" si="151"/>
        <v>6.1759198483707922E-2</v>
      </c>
      <c r="X160" s="80">
        <f t="shared" si="152"/>
        <v>-0.4064756238819473</v>
      </c>
      <c r="Y160" s="90">
        <f t="shared" si="133"/>
        <v>2.0413842262904269E-2</v>
      </c>
    </row>
    <row r="161" spans="1:25" x14ac:dyDescent="0.25">
      <c r="A161" s="64">
        <v>44187</v>
      </c>
      <c r="B161" s="65">
        <v>42.3</v>
      </c>
      <c r="C161" s="66">
        <f>myParidad('Flujo de Fondos'!$B$5,A161,B161,'Flujo de Fondos'!$B$7,'Flujo de Fondos'!$B$6)</f>
        <v>0.42531886173934602</v>
      </c>
      <c r="D161" s="65">
        <v>43.51</v>
      </c>
      <c r="E161" s="67">
        <f>myParidad('Flujo de Fondos'!$H$5,$A161,D161,'Flujo de Fondos'!$H$7,'Flujo de Fondos'!$H$6)</f>
        <v>0.43748519324536511</v>
      </c>
      <c r="F161" s="65">
        <v>40.71</v>
      </c>
      <c r="G161" s="66">
        <f>myParidad('Flujo de Fondos'!$N$5,$A161,F161,'Flujo de Fondos'!$N$7,'Flujo de Fondos'!$N$6)</f>
        <v>0.40737763064554267</v>
      </c>
      <c r="H161" s="65"/>
      <c r="I161" s="66">
        <f>myParidad('Flujo de Fondos'!$T$5,$A161,H161,'Flujo de Fondos'!$T$7,'Flujo de Fondos'!$T$6)</f>
        <v>0</v>
      </c>
      <c r="J161" s="65">
        <v>36.5</v>
      </c>
      <c r="K161" s="66">
        <f>myParidad('Flujo de Fondos'!$B$34,$A161,J161,'Flujo de Fondos'!$B$36,'Flujo de Fondos'!$B$35)</f>
        <v>0.36524891964043987</v>
      </c>
      <c r="L161" s="65">
        <v>38.65</v>
      </c>
      <c r="M161" s="66">
        <f>myParidad('Flujo de Fondos'!$H$34,'Paridad usd'!$A161,'Paridad usd'!L161,'Flujo de Fondos'!$H$36,'Flujo de Fondos'!$H$35)</f>
        <v>0.38676358203021921</v>
      </c>
      <c r="N161" s="69">
        <v>35.950000000000003</v>
      </c>
      <c r="O161" s="66">
        <f>myParidad('Flujo de Fondos'!$N$34,$A161,N161,'Flujo de Fondos'!$N$36,'Flujo de Fondos'!$N$35)</f>
        <v>0.35974516879654289</v>
      </c>
      <c r="P161" s="70">
        <f t="shared" ref="P161" si="153">C161-G161</f>
        <v>1.7941231093803356E-2</v>
      </c>
      <c r="Q161" s="70">
        <f t="shared" si="122"/>
        <v>1.216633150601909E-2</v>
      </c>
      <c r="R161" s="70">
        <f t="shared" si="138"/>
        <v>3.8555279709126811E-2</v>
      </c>
      <c r="S161" s="67">
        <f t="shared" si="139"/>
        <v>6.557369294280313E-2</v>
      </c>
      <c r="T161" s="70">
        <f t="shared" si="123"/>
        <v>7.774002444882222E-2</v>
      </c>
      <c r="U161" s="70">
        <f t="shared" si="140"/>
        <v>4.7632461848999774E-2</v>
      </c>
      <c r="V161" s="70">
        <f t="shared" si="150"/>
        <v>4.2128711005102792E-2</v>
      </c>
      <c r="W161" s="70">
        <f t="shared" si="151"/>
        <v>6.0069942098906148E-2</v>
      </c>
      <c r="X161" s="80">
        <f t="shared" si="152"/>
        <v>-0.40737763064554267</v>
      </c>
      <c r="Y161" s="90">
        <f t="shared" si="133"/>
        <v>2.0614048615323455E-2</v>
      </c>
    </row>
    <row r="162" spans="1:25" x14ac:dyDescent="0.25">
      <c r="A162" s="64">
        <v>44186</v>
      </c>
      <c r="B162" s="65">
        <v>42.21</v>
      </c>
      <c r="C162" s="66">
        <f>myParidad('Flujo de Fondos'!$B$5,A162,B162,'Flujo de Fondos'!$B$7,'Flujo de Fondos'!$B$6)</f>
        <v>0.42442561983471078</v>
      </c>
      <c r="D162" s="65">
        <v>44.38</v>
      </c>
      <c r="E162" s="67">
        <f>myParidad('Flujo de Fondos'!$H$5,$A162,D162,'Flujo de Fondos'!$H$7,'Flujo de Fondos'!$H$6)</f>
        <v>0.44624517906336092</v>
      </c>
      <c r="F162" s="65">
        <v>40.74</v>
      </c>
      <c r="G162" s="66">
        <f>myParidad('Flujo de Fondos'!$N$5,$A162,F162,'Flujo de Fondos'!$N$7,'Flujo de Fondos'!$N$6)</f>
        <v>0.40767923235092529</v>
      </c>
      <c r="H162" s="65"/>
      <c r="I162" s="66">
        <f>myParidad('Flujo de Fondos'!$T$5,$A162,H162,'Flujo de Fondos'!$T$7,'Flujo de Fondos'!$T$6)</f>
        <v>0</v>
      </c>
      <c r="J162" s="65">
        <v>37</v>
      </c>
      <c r="K162" s="66">
        <f>myParidad('Flujo de Fondos'!$B$34,$A162,J162,'Flujo de Fondos'!$B$36,'Flujo de Fondos'!$B$35)</f>
        <v>0.37025359835503768</v>
      </c>
      <c r="L162" s="65">
        <v>38.61</v>
      </c>
      <c r="M162" s="66">
        <f>myParidad('Flujo de Fondos'!$H$34,'Paridad usd'!$A162,'Paridad usd'!L162,'Flujo de Fondos'!$H$36,'Flujo de Fondos'!$H$35)</f>
        <v>0.38636463331048665</v>
      </c>
      <c r="N162" s="69">
        <v>35.549999999999997</v>
      </c>
      <c r="O162" s="66">
        <f>myParidad('Flujo de Fondos'!$N$34,$A162,N162,'Flujo de Fondos'!$N$36,'Flujo de Fondos'!$N$35)</f>
        <v>0.35574366004112401</v>
      </c>
      <c r="P162" s="70">
        <f t="shared" ref="P162" si="154">C162-G162</f>
        <v>1.6746387483785485E-2</v>
      </c>
      <c r="Q162" s="70">
        <f t="shared" si="122"/>
        <v>2.1819559228650143E-2</v>
      </c>
      <c r="R162" s="70">
        <f t="shared" si="138"/>
        <v>3.8060986524224127E-2</v>
      </c>
      <c r="S162" s="67">
        <f t="shared" si="139"/>
        <v>6.8681959793586767E-2</v>
      </c>
      <c r="T162" s="70">
        <f t="shared" si="123"/>
        <v>9.0501519022236909E-2</v>
      </c>
      <c r="U162" s="70">
        <f t="shared" si="140"/>
        <v>5.1935572309801281E-2</v>
      </c>
      <c r="V162" s="70">
        <f t="shared" si="150"/>
        <v>3.7425633995887608E-2</v>
      </c>
      <c r="W162" s="70">
        <f t="shared" si="151"/>
        <v>5.4172021479673094E-2</v>
      </c>
      <c r="X162" s="80">
        <f t="shared" si="152"/>
        <v>-0.40767923235092529</v>
      </c>
      <c r="Y162" s="90">
        <f t="shared" si="133"/>
        <v>2.1314599040438642E-2</v>
      </c>
    </row>
    <row r="163" spans="1:25" x14ac:dyDescent="0.25">
      <c r="A163" s="64">
        <v>44183</v>
      </c>
      <c r="B163" s="65">
        <v>41.75</v>
      </c>
      <c r="C163" s="66">
        <f>myParidad('Flujo de Fondos'!$B$5,A163,B163,'Flujo de Fondos'!$B$7,'Flujo de Fondos'!$B$6)</f>
        <v>0.41983497258726615</v>
      </c>
      <c r="D163" s="65">
        <v>43.5</v>
      </c>
      <c r="E163" s="67">
        <f>myParidad('Flujo de Fondos'!$H$5,$A163,D163,'Flujo de Fondos'!$H$7,'Flujo de Fondos'!$H$6)</f>
        <v>0.4374328456897264</v>
      </c>
      <c r="F163" s="65">
        <v>40.22</v>
      </c>
      <c r="G163" s="66">
        <f>myParidad('Flujo de Fondos'!$N$5,$A163,F163,'Flujo de Fondos'!$N$7,'Flujo de Fondos'!$N$6)</f>
        <v>0.40247980616661583</v>
      </c>
      <c r="H163" s="65"/>
      <c r="I163" s="66">
        <f>myParidad('Flujo de Fondos'!$T$5,$A163,H163,'Flujo de Fondos'!$T$7,'Flujo de Fondos'!$T$6)</f>
        <v>0</v>
      </c>
      <c r="J163" s="65">
        <v>36.18</v>
      </c>
      <c r="K163" s="66">
        <f>myParidad('Flujo de Fondos'!$B$34,$A163,J163,'Flujo de Fondos'!$B$36,'Flujo de Fondos'!$B$35)</f>
        <v>0.3620517003259115</v>
      </c>
      <c r="L163" s="65">
        <v>38.26</v>
      </c>
      <c r="M163" s="66">
        <f>myParidad('Flujo de Fondos'!$H$34,'Paridad usd'!$A163,'Paridad usd'!L163,'Flujo de Fondos'!$H$36,'Flujo de Fondos'!$H$35)</f>
        <v>0.38286617065973944</v>
      </c>
      <c r="N163" s="69">
        <v>35.5</v>
      </c>
      <c r="O163" s="66">
        <f>myParidad('Flujo de Fondos'!$N$34,$A163,N163,'Flujo de Fondos'!$N$36,'Flujo de Fondos'!$N$35)</f>
        <v>0.35524696963985236</v>
      </c>
      <c r="P163" s="70">
        <f t="shared" ref="P163" si="155">C163-G163</f>
        <v>1.7355166420650325E-2</v>
      </c>
      <c r="Q163" s="70">
        <f t="shared" si="122"/>
        <v>1.7597873102460249E-2</v>
      </c>
      <c r="R163" s="70">
        <f t="shared" si="138"/>
        <v>3.6968801927526718E-2</v>
      </c>
      <c r="S163" s="67">
        <f t="shared" si="139"/>
        <v>6.4588002947413792E-2</v>
      </c>
      <c r="T163" s="70">
        <f t="shared" si="123"/>
        <v>8.218587604987404E-2</v>
      </c>
      <c r="U163" s="70">
        <f t="shared" si="140"/>
        <v>4.7232836526763466E-2</v>
      </c>
      <c r="V163" s="70">
        <f t="shared" si="150"/>
        <v>4.0428105840704331E-2</v>
      </c>
      <c r="W163" s="70">
        <f t="shared" si="151"/>
        <v>5.7783272261354657E-2</v>
      </c>
      <c r="X163" s="80">
        <f t="shared" si="152"/>
        <v>-0.40247980616661583</v>
      </c>
      <c r="Y163" s="90">
        <f t="shared" si="133"/>
        <v>1.9613635506876392E-2</v>
      </c>
    </row>
    <row r="164" spans="1:25" x14ac:dyDescent="0.25">
      <c r="A164" s="64">
        <v>44182</v>
      </c>
      <c r="B164" s="65">
        <v>41.57</v>
      </c>
      <c r="C164" s="66">
        <f>myParidad('Flujo de Fondos'!$B$5,A164,B164,'Flujo de Fondos'!$B$7,'Flujo de Fondos'!$B$6)</f>
        <v>0.41803642274630815</v>
      </c>
      <c r="D164" s="65">
        <v>43.47</v>
      </c>
      <c r="E164" s="67">
        <f>myParidad('Flujo de Fondos'!$H$5,$A164,D164,'Flujo de Fondos'!$H$7,'Flujo de Fondos'!$H$6)</f>
        <v>0.43714321137315404</v>
      </c>
      <c r="F164" s="65">
        <v>39.840000000000003</v>
      </c>
      <c r="G164" s="66">
        <f>myParidad('Flujo de Fondos'!$N$5,$A164,F164,'Flujo de Fondos'!$N$7,'Flujo de Fondos'!$N$6)</f>
        <v>0.39867852883521365</v>
      </c>
      <c r="H164" s="65"/>
      <c r="I164" s="66">
        <f>myParidad('Flujo de Fondos'!$T$5,$A164,H164,'Flujo de Fondos'!$T$7,'Flujo de Fondos'!$T$6)</f>
        <v>0</v>
      </c>
      <c r="J164" s="65">
        <v>35.85</v>
      </c>
      <c r="K164" s="66">
        <f>myParidad('Flujo de Fondos'!$B$34,$A164,J164,'Flujo de Fondos'!$B$36,'Flujo de Fondos'!$B$35)</f>
        <v>0.35875063400457857</v>
      </c>
      <c r="L164" s="65">
        <v>37.9</v>
      </c>
      <c r="M164" s="66">
        <f>myParidad('Flujo de Fondos'!$H$34,'Paridad usd'!$A164,'Paridad usd'!L164,'Flujo de Fondos'!$H$36,'Flujo de Fondos'!$H$35)</f>
        <v>0.37926496593510534</v>
      </c>
      <c r="N164" s="69">
        <v>35.049999999999997</v>
      </c>
      <c r="O164" s="66">
        <f>myParidad('Flujo de Fondos'!$N$34,$A164,N164,'Flujo de Fondos'!$N$36,'Flujo de Fondos'!$N$35)</f>
        <v>0.35074504105608023</v>
      </c>
      <c r="P164" s="70">
        <f t="shared" ref="P164" si="156">C164-G164</f>
        <v>1.9357893911094493E-2</v>
      </c>
      <c r="Q164" s="70">
        <f t="shared" si="122"/>
        <v>1.9106788626845894E-2</v>
      </c>
      <c r="R164" s="70">
        <f t="shared" si="138"/>
        <v>3.8771456811202809E-2</v>
      </c>
      <c r="S164" s="67">
        <f t="shared" si="139"/>
        <v>6.7291381690227914E-2</v>
      </c>
      <c r="T164" s="70">
        <f t="shared" si="123"/>
        <v>8.6398170317073808E-2</v>
      </c>
      <c r="U164" s="70">
        <f t="shared" si="140"/>
        <v>4.7933487779133421E-2</v>
      </c>
      <c r="V164" s="70">
        <f t="shared" si="150"/>
        <v>3.992789483063508E-2</v>
      </c>
      <c r="W164" s="70">
        <f t="shared" si="151"/>
        <v>5.9285788741729573E-2</v>
      </c>
      <c r="X164" s="80">
        <f t="shared" si="152"/>
        <v>-0.39867852883521365</v>
      </c>
      <c r="Y164" s="90">
        <f t="shared" si="133"/>
        <v>1.9413562900108317E-2</v>
      </c>
    </row>
    <row r="165" spans="1:25" x14ac:dyDescent="0.25">
      <c r="A165" s="64">
        <v>44181</v>
      </c>
      <c r="B165" s="65">
        <v>41.55</v>
      </c>
      <c r="C165" s="66">
        <f>myParidad('Flujo de Fondos'!$B$5,A165,B165,'Flujo de Fondos'!$B$7,'Flujo de Fondos'!$B$6)</f>
        <v>0.41784681085548969</v>
      </c>
      <c r="D165" s="65">
        <v>43.48</v>
      </c>
      <c r="E165" s="67">
        <f>myParidad('Flujo de Fondos'!$H$5,$A165,D165,'Flujo de Fondos'!$H$7,'Flujo de Fondos'!$H$6)</f>
        <v>0.43725582036093125</v>
      </c>
      <c r="F165" s="65">
        <v>39.78</v>
      </c>
      <c r="G165" s="66">
        <f>myParidad('Flujo de Fondos'!$N$5,$A165,F165,'Flujo de Fondos'!$N$7,'Flujo de Fondos'!$N$6)</f>
        <v>0.39807947360304324</v>
      </c>
      <c r="H165" s="65"/>
      <c r="I165" s="66">
        <f>myParidad('Flujo de Fondos'!$T$5,$A165,H165,'Flujo de Fondos'!$T$7,'Flujo de Fondos'!$T$6)</f>
        <v>0</v>
      </c>
      <c r="J165" s="65">
        <v>35.1</v>
      </c>
      <c r="K165" s="66">
        <f>myParidad('Flujo de Fondos'!$B$34,$A165,J165,'Flujo de Fondos'!$B$36,'Flujo de Fondos'!$B$35)</f>
        <v>0.35124659435562638</v>
      </c>
      <c r="L165" s="65">
        <v>37.28</v>
      </c>
      <c r="M165" s="66">
        <f>myParidad('Flujo de Fondos'!$H$34,'Paridad usd'!$A165,'Paridad usd'!L165,'Flujo de Fondos'!$H$36,'Flujo de Fondos'!$H$35)</f>
        <v>0.37306190990250004</v>
      </c>
      <c r="N165" s="69">
        <v>34.799999999999997</v>
      </c>
      <c r="O165" s="66">
        <f>myParidad('Flujo de Fondos'!$N$34,$A165,N165,'Flujo de Fondos'!$N$36,'Flujo de Fondos'!$N$35)</f>
        <v>0.34824448671156116</v>
      </c>
      <c r="P165" s="70">
        <f t="shared" ref="P165:P166" si="157">C165-G165</f>
        <v>1.9767337252446449E-2</v>
      </c>
      <c r="Q165" s="70">
        <f t="shared" si="122"/>
        <v>1.9409009505441555E-2</v>
      </c>
      <c r="R165" s="70">
        <f t="shared" si="138"/>
        <v>4.4784900952989648E-2</v>
      </c>
      <c r="S165" s="67">
        <f t="shared" si="139"/>
        <v>6.9602324143928529E-2</v>
      </c>
      <c r="T165" s="70">
        <f t="shared" si="123"/>
        <v>8.9011333649370084E-2</v>
      </c>
      <c r="U165" s="70">
        <f t="shared" si="140"/>
        <v>4.983498689148208E-2</v>
      </c>
      <c r="V165" s="70">
        <f t="shared" si="150"/>
        <v>4.6832879247416859E-2</v>
      </c>
      <c r="W165" s="70">
        <f t="shared" si="151"/>
        <v>6.6600216499863307E-2</v>
      </c>
      <c r="X165" s="80">
        <f t="shared" si="152"/>
        <v>-0.39807947360304324</v>
      </c>
      <c r="Y165" s="90">
        <f t="shared" si="133"/>
        <v>2.5017563700543199E-2</v>
      </c>
    </row>
    <row r="166" spans="1:25" x14ac:dyDescent="0.25">
      <c r="A166" s="64">
        <v>44180</v>
      </c>
      <c r="B166" s="65">
        <v>41.75</v>
      </c>
      <c r="C166" s="66">
        <f>myParidad('Flujo de Fondos'!$B$5,A166,B166,'Flujo de Fondos'!$B$7,'Flujo de Fondos'!$B$6)</f>
        <v>0.4198696754284455</v>
      </c>
      <c r="D166" s="65">
        <v>43.9</v>
      </c>
      <c r="E166" s="67">
        <f>myParidad('Flujo de Fondos'!$H$5,$A166,D166,'Flujo de Fondos'!$H$7,'Flujo de Fondos'!$H$6)</f>
        <v>0.44149170661817377</v>
      </c>
      <c r="F166" s="65">
        <v>40.03</v>
      </c>
      <c r="G166" s="66">
        <f>myParidad('Flujo de Fondos'!$N$5,$A166,F166,'Flujo de Fondos'!$N$7,'Flujo de Fondos'!$N$6)</f>
        <v>0.40058260279512259</v>
      </c>
      <c r="H166" s="65"/>
      <c r="I166" s="66">
        <f>myParidad('Flujo de Fondos'!$T$5,$A166,H166,'Flujo de Fondos'!$T$7,'Flujo de Fondos'!$T$6)</f>
        <v>0</v>
      </c>
      <c r="J166" s="65">
        <v>35.1</v>
      </c>
      <c r="K166" s="66">
        <f>myParidad('Flujo de Fondos'!$B$34,$A166,J166,'Flujo de Fondos'!$B$36,'Flujo de Fondos'!$B$35)</f>
        <v>0.35124779810414197</v>
      </c>
      <c r="L166" s="65">
        <v>37</v>
      </c>
      <c r="M166" s="66">
        <f>myParidad('Flujo de Fondos'!$H$34,'Paridad usd'!$A166,'Paridad usd'!L166,'Flujo de Fondos'!$H$36,'Flujo de Fondos'!$H$35)</f>
        <v>0.37026121167673082</v>
      </c>
      <c r="N166" s="69">
        <v>34.799999999999997</v>
      </c>
      <c r="O166" s="66">
        <f>myParidad('Flujo de Fondos'!$N$34,$A166,N166,'Flujo de Fondos'!$N$36,'Flujo de Fondos'!$N$35)</f>
        <v>0.34824568017162788</v>
      </c>
      <c r="P166" s="70">
        <f t="shared" si="157"/>
        <v>1.928707263332291E-2</v>
      </c>
      <c r="Q166" s="70">
        <f t="shared" si="122"/>
        <v>2.1622031189728275E-2</v>
      </c>
      <c r="R166" s="70">
        <f t="shared" si="138"/>
        <v>4.9608463751714682E-2</v>
      </c>
      <c r="S166" s="67">
        <f t="shared" si="139"/>
        <v>7.1623995256817619E-2</v>
      </c>
      <c r="T166" s="70">
        <f t="shared" si="123"/>
        <v>9.3246026446545893E-2</v>
      </c>
      <c r="U166" s="70">
        <f t="shared" si="140"/>
        <v>5.2336922623494708E-2</v>
      </c>
      <c r="V166" s="70">
        <f t="shared" si="150"/>
        <v>4.9334804690980616E-2</v>
      </c>
      <c r="W166" s="70">
        <f t="shared" si="151"/>
        <v>6.8621877324303526E-2</v>
      </c>
      <c r="X166" s="80">
        <f t="shared" si="152"/>
        <v>-0.40058260279512259</v>
      </c>
      <c r="Y166" s="90">
        <f t="shared" si="133"/>
        <v>3.0321391118391772E-2</v>
      </c>
    </row>
    <row r="167" spans="1:25" x14ac:dyDescent="0.25">
      <c r="A167" s="64">
        <v>44179</v>
      </c>
      <c r="B167" s="65">
        <v>42.1</v>
      </c>
      <c r="C167" s="66">
        <f>myParidad('Flujo de Fondos'!$B$5,A167,B167,'Flujo de Fondos'!$B$7,'Flujo de Fondos'!$B$6)</f>
        <v>0.42340120684429505</v>
      </c>
      <c r="D167" s="65">
        <v>44.3</v>
      </c>
      <c r="E167" s="67">
        <f>myParidad('Flujo de Fondos'!$H$5,$A167,D167,'Flujo de Fondos'!$H$7,'Flujo de Fondos'!$H$6)</f>
        <v>0.44552668558675224</v>
      </c>
      <c r="F167" s="65">
        <v>40.33</v>
      </c>
      <c r="G167" s="66">
        <f>myParidad('Flujo de Fondos'!$N$5,$A167,F167,'Flujo de Fondos'!$N$7,'Flujo de Fondos'!$N$6)</f>
        <v>0.40358610384759058</v>
      </c>
      <c r="H167" s="65"/>
      <c r="I167" s="66">
        <f>myParidad('Flujo de Fondos'!$T$5,$A167,H167,'Flujo de Fondos'!$T$7,'Flujo de Fondos'!$T$6)</f>
        <v>0</v>
      </c>
      <c r="J167" s="65">
        <v>35.6</v>
      </c>
      <c r="K167" s="66">
        <f>myParidad('Flujo de Fondos'!$B$34,$A167,J167,'Flujo de Fondos'!$B$36,'Flujo de Fondos'!$B$35)</f>
        <v>0.35625254889596392</v>
      </c>
      <c r="L167" s="65">
        <v>37.42</v>
      </c>
      <c r="M167" s="66">
        <f>myParidad('Flujo de Fondos'!$H$34,'Paridad usd'!$A167,'Paridad usd'!L167,'Flujo de Fondos'!$H$36,'Flujo de Fondos'!$H$35)</f>
        <v>0.37446546010356657</v>
      </c>
      <c r="N167" s="69">
        <v>34.799999999999997</v>
      </c>
      <c r="O167" s="66">
        <f>myParidad('Flujo de Fondos'!$N$34,$A167,N167,'Flujo de Fondos'!$N$36,'Flujo de Fondos'!$N$35)</f>
        <v>0.34824687363987483</v>
      </c>
      <c r="P167" s="70">
        <f t="shared" ref="P167:P198" si="158">C167-G167</f>
        <v>1.981510299670447E-2</v>
      </c>
      <c r="Q167" s="70">
        <f t="shared" si="122"/>
        <v>2.2125478742457183E-2</v>
      </c>
      <c r="R167" s="70">
        <f t="shared" si="138"/>
        <v>4.8935746740728481E-2</v>
      </c>
      <c r="S167" s="67">
        <f t="shared" si="139"/>
        <v>7.5154333204420221E-2</v>
      </c>
      <c r="T167" s="70">
        <f t="shared" si="123"/>
        <v>9.7279811946877404E-2</v>
      </c>
      <c r="U167" s="70">
        <f t="shared" si="140"/>
        <v>5.5339230207715751E-2</v>
      </c>
      <c r="V167" s="70">
        <f t="shared" si="150"/>
        <v>4.7333554951626666E-2</v>
      </c>
      <c r="W167" s="70">
        <f t="shared" si="151"/>
        <v>6.7148657948331136E-2</v>
      </c>
      <c r="X167" s="80">
        <f t="shared" si="152"/>
        <v>-0.40358610384759058</v>
      </c>
      <c r="Y167" s="90">
        <f t="shared" si="133"/>
        <v>2.9120643744024011E-2</v>
      </c>
    </row>
    <row r="168" spans="1:25" x14ac:dyDescent="0.25">
      <c r="A168" s="64">
        <v>44176</v>
      </c>
      <c r="B168" s="65">
        <v>41.92</v>
      </c>
      <c r="C168" s="66">
        <f>myParidad('Flujo de Fondos'!$B$5,A168,B168,'Flujo de Fondos'!$B$7,'Flujo de Fondos'!$B$6)</f>
        <v>0.42162579222926427</v>
      </c>
      <c r="D168" s="65">
        <v>43.69</v>
      </c>
      <c r="E168" s="67">
        <f>myParidad('Flujo de Fondos'!$H$5,$A168,D168,'Flujo de Fondos'!$H$7,'Flujo de Fondos'!$H$6)</f>
        <v>0.43942821713970787</v>
      </c>
      <c r="F168" s="65">
        <v>39.85</v>
      </c>
      <c r="G168" s="66">
        <f>myParidad('Flujo de Fondos'!$N$5,$A168,F168,'Flujo de Fondos'!$N$7,'Flujo de Fondos'!$N$6)</f>
        <v>0.39878679872511053</v>
      </c>
      <c r="H168" s="65"/>
      <c r="I168" s="66">
        <f>myParidad('Flujo de Fondos'!$T$5,$A168,H168,'Flujo de Fondos'!$T$7,'Flujo de Fondos'!$T$6)</f>
        <v>0</v>
      </c>
      <c r="J168" s="65">
        <v>35.6</v>
      </c>
      <c r="K168" s="66">
        <f>myParidad('Flujo de Fondos'!$B$34,$A168,J168,'Flujo de Fondos'!$B$36,'Flujo de Fondos'!$B$35)</f>
        <v>0.3562562116590699</v>
      </c>
      <c r="L168" s="65">
        <v>37.32</v>
      </c>
      <c r="M168" s="66">
        <f>myParidad('Flujo de Fondos'!$H$34,'Paridad usd'!$A168,'Paridad usd'!L168,'Flujo de Fondos'!$H$36,'Flujo de Fondos'!$H$35)</f>
        <v>0.37346859042462044</v>
      </c>
      <c r="N168" s="69">
        <v>34.92</v>
      </c>
      <c r="O168" s="66">
        <f>myParidad('Flujo de Fondos'!$N$34,$A168,N168,'Flujo de Fondos'!$N$36,'Flujo de Fondos'!$N$35)</f>
        <v>0.34945131772850341</v>
      </c>
      <c r="P168" s="70">
        <f t="shared" si="158"/>
        <v>2.2838993504153748E-2</v>
      </c>
      <c r="Q168" s="70">
        <f t="shared" ref="Q168:Q199" si="159">E168-C168</f>
        <v>1.7802424910443593E-2</v>
      </c>
      <c r="R168" s="70">
        <f t="shared" si="138"/>
        <v>4.8157201804643834E-2</v>
      </c>
      <c r="S168" s="67">
        <f t="shared" si="139"/>
        <v>7.2174474500760866E-2</v>
      </c>
      <c r="T168" s="70">
        <f t="shared" ref="T168:T199" si="160">E168-O168</f>
        <v>8.9976899411204458E-2</v>
      </c>
      <c r="U168" s="70">
        <f t="shared" si="140"/>
        <v>4.9335480996607117E-2</v>
      </c>
      <c r="V168" s="70">
        <f t="shared" si="150"/>
        <v>4.2530587066040626E-2</v>
      </c>
      <c r="W168" s="70">
        <f t="shared" si="151"/>
        <v>6.5369580570194374E-2</v>
      </c>
      <c r="X168" s="80">
        <f t="shared" si="152"/>
        <v>-0.39878679872511053</v>
      </c>
      <c r="Y168" s="90">
        <f t="shared" si="133"/>
        <v>2.5318208300490086E-2</v>
      </c>
    </row>
    <row r="169" spans="1:25" x14ac:dyDescent="0.25">
      <c r="A169" s="64">
        <v>44175</v>
      </c>
      <c r="B169" s="65">
        <v>42.12</v>
      </c>
      <c r="C169" s="66">
        <f>myParidad('Flujo de Fondos'!$B$5,A169,B169,'Flujo de Fondos'!$B$7,'Flujo de Fondos'!$B$6)</f>
        <v>0.42364903965388956</v>
      </c>
      <c r="D169" s="65">
        <v>43.5</v>
      </c>
      <c r="E169" s="67">
        <f>myParidad('Flujo de Fondos'!$H$5,$A169,D169,'Flujo de Fondos'!$H$7,'Flujo de Fondos'!$H$6)</f>
        <v>0.43752927884482901</v>
      </c>
      <c r="F169" s="65">
        <v>39.67</v>
      </c>
      <c r="G169" s="66">
        <f>myParidad('Flujo de Fondos'!$N$5,$A169,F169,'Flujo de Fondos'!$N$7,'Flujo de Fondos'!$N$6)</f>
        <v>0.39698686379541381</v>
      </c>
      <c r="H169" s="65"/>
      <c r="I169" s="66">
        <f>myParidad('Flujo de Fondos'!$T$5,$A169,H169,'Flujo de Fondos'!$T$7,'Flujo de Fondos'!$T$6)</f>
        <v>0</v>
      </c>
      <c r="J169" s="65">
        <v>35.51</v>
      </c>
      <c r="K169" s="66">
        <f>myParidad('Flujo de Fondos'!$B$34,$A169,J169,'Flujo de Fondos'!$B$36,'Flujo de Fondos'!$B$35)</f>
        <v>0.35535678178409741</v>
      </c>
      <c r="L169" s="65">
        <v>37.35</v>
      </c>
      <c r="M169" s="66">
        <f>myParidad('Flujo de Fondos'!$H$34,'Paridad usd'!$A169,'Paridad usd'!L169,'Flujo de Fondos'!$H$36,'Flujo de Fondos'!$H$35)</f>
        <v>0.37377008728910277</v>
      </c>
      <c r="N169" s="69">
        <v>34.75</v>
      </c>
      <c r="O169" s="66">
        <f>myParidad('Flujo de Fondos'!$N$34,$A169,N169,'Flujo de Fondos'!$N$36,'Flujo de Fondos'!$N$35)</f>
        <v>0.34775128603202998</v>
      </c>
      <c r="P169" s="70">
        <f t="shared" si="158"/>
        <v>2.6662175858475745E-2</v>
      </c>
      <c r="Q169" s="70">
        <f t="shared" si="159"/>
        <v>1.3880239190939447E-2</v>
      </c>
      <c r="R169" s="70">
        <f t="shared" si="138"/>
        <v>4.9878952364786788E-2</v>
      </c>
      <c r="S169" s="67">
        <f t="shared" si="139"/>
        <v>7.5897753621859576E-2</v>
      </c>
      <c r="T169" s="70">
        <f t="shared" si="160"/>
        <v>8.9777992812799023E-2</v>
      </c>
      <c r="U169" s="70">
        <f t="shared" si="140"/>
        <v>4.9235577763383831E-2</v>
      </c>
      <c r="V169" s="70">
        <f t="shared" si="150"/>
        <v>4.1630082011316405E-2</v>
      </c>
      <c r="W169" s="70">
        <f t="shared" si="151"/>
        <v>6.829225786979215E-2</v>
      </c>
      <c r="X169" s="80">
        <f t="shared" si="152"/>
        <v>-0.39698686379541381</v>
      </c>
      <c r="Y169" s="90">
        <f t="shared" si="133"/>
        <v>2.3216776506311043E-2</v>
      </c>
    </row>
    <row r="170" spans="1:25" x14ac:dyDescent="0.25">
      <c r="A170" s="64">
        <v>44174</v>
      </c>
      <c r="B170" s="65">
        <v>41.7</v>
      </c>
      <c r="C170" s="66">
        <f>myParidad('Flujo de Fondos'!$B$5,A170,B170,'Flujo de Fondos'!$B$7,'Flujo de Fondos'!$B$6)</f>
        <v>0.41943617724867727</v>
      </c>
      <c r="D170" s="65">
        <v>43.5</v>
      </c>
      <c r="E170" s="67">
        <f>myParidad('Flujo de Fondos'!$H$5,$A170,D170,'Flujo de Fondos'!$H$7,'Flujo de Fondos'!$H$6)</f>
        <v>0.43754133597883599</v>
      </c>
      <c r="F170" s="65">
        <v>39.119999999999997</v>
      </c>
      <c r="G170" s="66">
        <f>myParidad('Flujo de Fondos'!$N$5,$A170,F170,'Flujo de Fondos'!$N$7,'Flujo de Fondos'!$N$6)</f>
        <v>0.39148422827532314</v>
      </c>
      <c r="H170" s="65"/>
      <c r="I170" s="66">
        <f>myParidad('Flujo de Fondos'!$T$5,$A170,H170,'Flujo de Fondos'!$T$7,'Flujo de Fondos'!$T$6)</f>
        <v>0</v>
      </c>
      <c r="J170" s="65">
        <v>34.9</v>
      </c>
      <c r="K170" s="66">
        <f>myParidad('Flujo de Fondos'!$B$34,$A170,J170,'Flujo de Fondos'!$B$36,'Flujo de Fondos'!$B$35)</f>
        <v>0.34925356765871113</v>
      </c>
      <c r="L170" s="65">
        <v>37.130000000000003</v>
      </c>
      <c r="M170" s="66">
        <f>myParidad('Flujo de Fondos'!$H$34,'Paridad usd'!$A170,'Paridad usd'!L170,'Flujo de Fondos'!$H$36,'Flujo de Fondos'!$H$35)</f>
        <v>0.37156976983289242</v>
      </c>
      <c r="N170" s="69">
        <v>34.47</v>
      </c>
      <c r="O170" s="66">
        <f>myParidad('Flujo de Fondos'!$N$34,$A170,N170,'Flujo de Fondos'!$N$36,'Flujo de Fondos'!$N$35)</f>
        <v>0.34495044347265824</v>
      </c>
      <c r="P170" s="70">
        <f t="shared" si="158"/>
        <v>2.7951948973354124E-2</v>
      </c>
      <c r="Q170" s="70">
        <f t="shared" si="159"/>
        <v>1.8105158730158721E-2</v>
      </c>
      <c r="R170" s="70">
        <f t="shared" si="138"/>
        <v>4.7866407415784851E-2</v>
      </c>
      <c r="S170" s="67">
        <f t="shared" si="139"/>
        <v>7.4485733776019025E-2</v>
      </c>
      <c r="T170" s="70">
        <f t="shared" si="160"/>
        <v>9.2590892506177747E-2</v>
      </c>
      <c r="U170" s="70">
        <f t="shared" si="140"/>
        <v>4.6533784802664901E-2</v>
      </c>
      <c r="V170" s="70">
        <f t="shared" si="150"/>
        <v>4.2230660616612015E-2</v>
      </c>
      <c r="W170" s="70">
        <f t="shared" si="151"/>
        <v>7.0182609589966138E-2</v>
      </c>
      <c r="X170" s="80">
        <f t="shared" si="152"/>
        <v>-0.39148422827532314</v>
      </c>
      <c r="Y170" s="90">
        <f t="shared" si="133"/>
        <v>1.9914458442430727E-2</v>
      </c>
    </row>
    <row r="171" spans="1:25" x14ac:dyDescent="0.25">
      <c r="A171" s="64">
        <v>44169</v>
      </c>
      <c r="B171" s="65">
        <v>41.76</v>
      </c>
      <c r="C171" s="66">
        <f>myParidad('Flujo de Fondos'!$B$5,A171,B171,'Flujo de Fondos'!$B$7,'Flujo de Fondos'!$B$6)</f>
        <v>0.42009756635338863</v>
      </c>
      <c r="D171" s="65">
        <v>43.7</v>
      </c>
      <c r="E171" s="67">
        <f>myParidad('Flujo de Fondos'!$H$5,$A171,D171,'Flujo de Fondos'!$H$7,'Flujo de Fondos'!$H$6)</f>
        <v>0.43961359314279419</v>
      </c>
      <c r="F171" s="65">
        <v>38.6</v>
      </c>
      <c r="G171" s="66">
        <f>myParidad('Flujo de Fondos'!$N$5,$A171,F171,'Flujo de Fondos'!$N$7,'Flujo de Fondos'!$N$6)</f>
        <v>0.38628706950027936</v>
      </c>
      <c r="H171" s="65"/>
      <c r="I171" s="66">
        <f>myParidad('Flujo de Fondos'!$T$5,$A171,H171,'Flujo de Fondos'!$T$7,'Flujo de Fondos'!$T$6)</f>
        <v>0</v>
      </c>
      <c r="J171" s="65">
        <v>35.299999999999997</v>
      </c>
      <c r="K171" s="66">
        <f>myParidad('Flujo de Fondos'!$B$34,$A171,J171,'Flujo de Fondos'!$B$36,'Flujo de Fondos'!$B$35)</f>
        <v>0.3532625272891155</v>
      </c>
      <c r="L171" s="65">
        <v>37.130000000000003</v>
      </c>
      <c r="M171" s="66">
        <f>myParidad('Flujo de Fondos'!$H$34,'Paridad usd'!$A171,'Paridad usd'!L171,'Flujo de Fondos'!$H$36,'Flujo de Fondos'!$H$35)</f>
        <v>0.37157613706076092</v>
      </c>
      <c r="N171" s="69">
        <v>34.47</v>
      </c>
      <c r="O171" s="66">
        <f>myParidad('Flujo de Fondos'!$N$34,$A171,N171,'Flujo de Fondos'!$N$36,'Flujo de Fondos'!$N$35)</f>
        <v>0.34495635455115614</v>
      </c>
      <c r="P171" s="70">
        <f t="shared" si="158"/>
        <v>3.3810496853109273E-2</v>
      </c>
      <c r="Q171" s="70">
        <f t="shared" si="159"/>
        <v>1.9516026789405561E-2</v>
      </c>
      <c r="R171" s="70">
        <f t="shared" si="138"/>
        <v>4.8521429292627705E-2</v>
      </c>
      <c r="S171" s="67">
        <f t="shared" si="139"/>
        <v>7.5141211802232488E-2</v>
      </c>
      <c r="T171" s="70">
        <f t="shared" si="160"/>
        <v>9.4657238591638049E-2</v>
      </c>
      <c r="U171" s="70">
        <f t="shared" si="140"/>
        <v>4.1330714949123215E-2</v>
      </c>
      <c r="V171" s="70">
        <f t="shared" si="150"/>
        <v>3.3024542211163854E-2</v>
      </c>
      <c r="W171" s="70">
        <f t="shared" si="151"/>
        <v>6.6835039064273127E-2</v>
      </c>
      <c r="X171" s="80">
        <f t="shared" si="152"/>
        <v>-0.38628706950027936</v>
      </c>
      <c r="Y171" s="90">
        <f t="shared" si="133"/>
        <v>1.4710932439518432E-2</v>
      </c>
    </row>
    <row r="172" spans="1:25" x14ac:dyDescent="0.25">
      <c r="A172" s="64">
        <v>44168</v>
      </c>
      <c r="B172" s="65">
        <v>41.8</v>
      </c>
      <c r="C172" s="66">
        <f>myParidad('Flujo de Fondos'!$B$5,A172,B172,'Flujo de Fondos'!$B$7,'Flujo de Fondos'!$B$6)</f>
        <v>0.42051154842621685</v>
      </c>
      <c r="D172" s="65">
        <v>44</v>
      </c>
      <c r="E172" s="67">
        <f>myParidad('Flujo de Fondos'!$H$5,$A172,D172,'Flujo de Fondos'!$H$7,'Flujo de Fondos'!$H$6)</f>
        <v>0.44264373518549144</v>
      </c>
      <c r="F172" s="65">
        <v>38.840000000000003</v>
      </c>
      <c r="G172" s="66">
        <f>myParidad('Flujo de Fondos'!$N$5,$A172,F172,'Flujo de Fondos'!$N$7,'Flujo de Fondos'!$N$6)</f>
        <v>0.38869018650910614</v>
      </c>
      <c r="H172" s="65"/>
      <c r="I172" s="66">
        <f>myParidad('Flujo de Fondos'!$T$5,$A172,H172,'Flujo de Fondos'!$T$7,'Flujo de Fondos'!$T$6)</f>
        <v>0</v>
      </c>
      <c r="J172" s="65">
        <v>35.68</v>
      </c>
      <c r="K172" s="66">
        <f>myParidad('Flujo de Fondos'!$B$34,$A172,J172,'Flujo de Fondos'!$B$36,'Flujo de Fondos'!$B$35)</f>
        <v>0.35706657710208306</v>
      </c>
      <c r="L172" s="65">
        <v>37.39</v>
      </c>
      <c r="M172" s="66">
        <f>myParidad('Flujo de Fondos'!$H$34,'Paridad usd'!$A172,'Paridad usd'!L172,'Flujo de Fondos'!$H$36,'Flujo de Fondos'!$H$35)</f>
        <v>0.37417935307866834</v>
      </c>
      <c r="N172" s="69">
        <v>34.700000000000003</v>
      </c>
      <c r="O172" s="66">
        <f>myParidad('Flujo de Fondos'!$N$34,$A172,N172,'Flujo de Fondos'!$N$36,'Flujo de Fondos'!$N$35)</f>
        <v>0.34725925519737338</v>
      </c>
      <c r="P172" s="70">
        <f t="shared" si="158"/>
        <v>3.1821361917110713E-2</v>
      </c>
      <c r="Q172" s="70">
        <f t="shared" si="159"/>
        <v>2.2132186759274586E-2</v>
      </c>
      <c r="R172" s="70">
        <f t="shared" si="138"/>
        <v>4.633219534754851E-2</v>
      </c>
      <c r="S172" s="67">
        <f t="shared" si="139"/>
        <v>7.3252293228843468E-2</v>
      </c>
      <c r="T172" s="70">
        <f t="shared" si="160"/>
        <v>9.5384479988118054E-2</v>
      </c>
      <c r="U172" s="70">
        <f t="shared" si="140"/>
        <v>4.1430931311732755E-2</v>
      </c>
      <c r="V172" s="70">
        <f t="shared" si="150"/>
        <v>3.1623609407023079E-2</v>
      </c>
      <c r="W172" s="70">
        <f t="shared" si="151"/>
        <v>6.3444971324133792E-2</v>
      </c>
      <c r="X172" s="80">
        <f t="shared" si="152"/>
        <v>-0.38869018650910614</v>
      </c>
      <c r="Y172" s="90">
        <f t="shared" si="133"/>
        <v>1.4510833430437797E-2</v>
      </c>
    </row>
    <row r="173" spans="1:25" ht="15.75" customHeight="1" x14ac:dyDescent="0.25">
      <c r="A173" s="64">
        <v>44167</v>
      </c>
      <c r="B173" s="65">
        <v>41.76</v>
      </c>
      <c r="C173" s="66">
        <f>myParidad('Flujo de Fondos'!$B$5,A173,B173,'Flujo de Fondos'!$B$7,'Flujo de Fondos'!$B$6)</f>
        <v>0.42012072434607645</v>
      </c>
      <c r="D173" s="65">
        <v>44</v>
      </c>
      <c r="E173" s="67">
        <f>myParidad('Flujo de Fondos'!$H$5,$A173,D173,'Flujo de Fondos'!$H$7,'Flujo de Fondos'!$H$6)</f>
        <v>0.44265593561368211</v>
      </c>
      <c r="F173" s="65">
        <v>38.65</v>
      </c>
      <c r="G173" s="66">
        <f>myParidad('Flujo de Fondos'!$N$5,$A173,F173,'Flujo de Fondos'!$N$7,'Flujo de Fondos'!$N$6)</f>
        <v>0.38679009256942704</v>
      </c>
      <c r="H173" s="65"/>
      <c r="I173" s="66">
        <f>myParidad('Flujo de Fondos'!$T$5,$A173,H173,'Flujo de Fondos'!$T$7,'Flujo de Fondos'!$T$6)</f>
        <v>0</v>
      </c>
      <c r="J173" s="65">
        <v>35.6</v>
      </c>
      <c r="K173" s="66">
        <f>myParidad('Flujo de Fondos'!$B$34,$A173,J173,'Flujo de Fondos'!$B$36,'Flujo de Fondos'!$B$35)</f>
        <v>0.35626720040030024</v>
      </c>
      <c r="L173" s="65">
        <v>37.979999999999997</v>
      </c>
      <c r="M173" s="66">
        <f>myParidad('Flujo de Fondos'!$H$34,'Paridad usd'!$A173,'Paridad usd'!L173,'Flujo de Fondos'!$H$36,'Flujo de Fondos'!$H$35)</f>
        <v>0.38008506379784834</v>
      </c>
      <c r="N173" s="69">
        <v>34.700000000000003</v>
      </c>
      <c r="O173" s="66">
        <f>myParidad('Flujo de Fondos'!$N$34,$A173,N173,'Flujo de Fondos'!$N$36,'Flujo de Fondos'!$N$35)</f>
        <v>0.34726044533400052</v>
      </c>
      <c r="P173" s="70">
        <f t="shared" si="158"/>
        <v>3.3330631776649411E-2</v>
      </c>
      <c r="Q173" s="70">
        <f t="shared" si="159"/>
        <v>2.2535211267605659E-2</v>
      </c>
      <c r="R173" s="70">
        <f t="shared" si="138"/>
        <v>4.0035660548228102E-2</v>
      </c>
      <c r="S173" s="67">
        <f t="shared" si="139"/>
        <v>7.2860279012075924E-2</v>
      </c>
      <c r="T173" s="70">
        <f t="shared" si="160"/>
        <v>9.5395490279681583E-2</v>
      </c>
      <c r="U173" s="70">
        <f t="shared" si="140"/>
        <v>3.9529647235426513E-2</v>
      </c>
      <c r="V173" s="70">
        <f t="shared" si="150"/>
        <v>3.0522892169126792E-2</v>
      </c>
      <c r="W173" s="70">
        <f t="shared" si="151"/>
        <v>6.3853523945776203E-2</v>
      </c>
      <c r="X173" s="80">
        <f t="shared" si="152"/>
        <v>-0.38679009256942704</v>
      </c>
      <c r="Y173" s="90">
        <f t="shared" si="133"/>
        <v>6.7050287715786916E-3</v>
      </c>
    </row>
    <row r="174" spans="1:25" ht="15.75" customHeight="1" x14ac:dyDescent="0.25">
      <c r="A174" s="64">
        <v>44166</v>
      </c>
      <c r="B174" s="65">
        <v>41.86</v>
      </c>
      <c r="C174" s="66">
        <f>myParidad('Flujo de Fondos'!$B$5,A174,B174,'Flujo de Fondos'!$B$7,'Flujo de Fondos'!$B$6)</f>
        <v>0.42113836824696804</v>
      </c>
      <c r="D174" s="65">
        <v>44.22</v>
      </c>
      <c r="E174" s="67">
        <f>myParidad('Flujo de Fondos'!$H$5,$A174,D174,'Flujo de Fondos'!$H$7,'Flujo de Fondos'!$H$6)</f>
        <v>0.44488147739801542</v>
      </c>
      <c r="F174" s="65">
        <v>38.479999999999997</v>
      </c>
      <c r="G174" s="66">
        <f>myParidad('Flujo de Fondos'!$N$5,$A174,F174,'Flujo de Fondos'!$N$7,'Flujo de Fondos'!$N$6)</f>
        <v>0.38509013640414008</v>
      </c>
      <c r="H174" s="65"/>
      <c r="I174" s="66">
        <f>myParidad('Flujo de Fondos'!$T$5,$A174,H174,'Flujo de Fondos'!$T$7,'Flujo de Fondos'!$T$6)</f>
        <v>0</v>
      </c>
      <c r="J174" s="65">
        <v>35.36</v>
      </c>
      <c r="K174" s="66">
        <f>myParidad('Flujo de Fondos'!$B$34,$A174,J174,'Flujo de Fondos'!$B$36,'Flujo de Fondos'!$B$35)</f>
        <v>0.35386661183083146</v>
      </c>
      <c r="L174" s="65">
        <v>36.950000000000003</v>
      </c>
      <c r="M174" s="66">
        <f>myParidad('Flujo de Fondos'!$H$34,'Paridad usd'!$A174,'Paridad usd'!L174,'Flujo de Fondos'!$H$36,'Flujo de Fondos'!$H$35)</f>
        <v>0.36977860031530607</v>
      </c>
      <c r="N174" s="69">
        <v>34.6</v>
      </c>
      <c r="O174" s="66">
        <f>myParidad('Flujo de Fondos'!$N$34,$A174,N174,'Flujo de Fondos'!$N$36,'Flujo de Fondos'!$N$35)</f>
        <v>0.34626088148605116</v>
      </c>
      <c r="P174" s="70">
        <f t="shared" si="158"/>
        <v>3.604823184282796E-2</v>
      </c>
      <c r="Q174" s="70">
        <f t="shared" si="159"/>
        <v>2.3743109151047381E-2</v>
      </c>
      <c r="R174" s="70">
        <f t="shared" si="138"/>
        <v>5.135976793166197E-2</v>
      </c>
      <c r="S174" s="67">
        <f t="shared" si="139"/>
        <v>7.4877486760916878E-2</v>
      </c>
      <c r="T174" s="70">
        <f t="shared" si="160"/>
        <v>9.8620595911964259E-2</v>
      </c>
      <c r="U174" s="70">
        <f t="shared" si="140"/>
        <v>3.8829254918088918E-2</v>
      </c>
      <c r="V174" s="70">
        <f t="shared" si="150"/>
        <v>3.1223524573308625E-2</v>
      </c>
      <c r="W174" s="70">
        <f t="shared" si="151"/>
        <v>6.7271756416136586E-2</v>
      </c>
      <c r="X174" s="80">
        <f t="shared" si="152"/>
        <v>-0.38509013640414008</v>
      </c>
      <c r="Y174" s="90">
        <f t="shared" si="133"/>
        <v>1.531153608883401E-2</v>
      </c>
    </row>
    <row r="175" spans="1:25" ht="15.75" customHeight="1" x14ac:dyDescent="0.25">
      <c r="A175" s="64">
        <v>44165</v>
      </c>
      <c r="B175" s="65">
        <v>42.2</v>
      </c>
      <c r="C175" s="66">
        <f>myParidad('Flujo de Fondos'!$B$5,A175,B175,'Flujo de Fondos'!$B$7,'Flujo de Fondos'!$B$6)</f>
        <v>0.42457068827696465</v>
      </c>
      <c r="D175" s="65">
        <v>44.16</v>
      </c>
      <c r="E175" s="67">
        <f>myParidad('Flujo de Fondos'!$H$5,$A175,D175,'Flujo de Fondos'!$H$7,'Flujo de Fondos'!$H$6)</f>
        <v>0.4442900851732407</v>
      </c>
      <c r="F175" s="65">
        <v>38.61</v>
      </c>
      <c r="G175" s="66">
        <f>myParidad('Flujo de Fondos'!$N$5,$A175,F175,'Flujo de Fondos'!$N$7,'Flujo de Fondos'!$N$6)</f>
        <v>0.38639244085420815</v>
      </c>
      <c r="H175" s="65"/>
      <c r="I175" s="66">
        <f>myParidad('Flujo de Fondos'!$T$5,$A175,H175,'Flujo de Fondos'!$T$7,'Flujo de Fondos'!$T$6)</f>
        <v>0</v>
      </c>
      <c r="J175" s="65">
        <v>35.99</v>
      </c>
      <c r="K175" s="66">
        <f>myParidad('Flujo de Fondos'!$B$34,$A175,J175,'Flujo de Fondos'!$B$36,'Flujo de Fondos'!$B$35)</f>
        <v>0.36017259638287885</v>
      </c>
      <c r="L175" s="65">
        <v>37.15</v>
      </c>
      <c r="M175" s="66">
        <f>myParidad('Flujo de Fondos'!$H$34,'Paridad usd'!$A175,'Paridad usd'!L175,'Flujo de Fondos'!$H$36,'Flujo de Fondos'!$H$35)</f>
        <v>0.37178138248468873</v>
      </c>
      <c r="N175" s="69">
        <v>35</v>
      </c>
      <c r="O175" s="66">
        <f>myParidad('Flujo de Fondos'!$N$34,$A175,N175,'Flujo de Fondos'!$N$36,'Flujo de Fondos'!$N$35)</f>
        <v>0.35026509789943761</v>
      </c>
      <c r="P175" s="70">
        <f t="shared" si="158"/>
        <v>3.8178247422756495E-2</v>
      </c>
      <c r="Q175" s="70">
        <f t="shared" si="159"/>
        <v>1.9719396896276054E-2</v>
      </c>
      <c r="R175" s="70">
        <f t="shared" si="138"/>
        <v>5.278930579227592E-2</v>
      </c>
      <c r="S175" s="67">
        <f t="shared" si="139"/>
        <v>7.4305590377527042E-2</v>
      </c>
      <c r="T175" s="70">
        <f t="shared" si="160"/>
        <v>9.4024987273803096E-2</v>
      </c>
      <c r="U175" s="70">
        <f t="shared" si="140"/>
        <v>3.6127342954770547E-2</v>
      </c>
      <c r="V175" s="70">
        <f t="shared" si="150"/>
        <v>2.6219844471329301E-2</v>
      </c>
      <c r="W175" s="70">
        <f t="shared" si="151"/>
        <v>6.4398091894085796E-2</v>
      </c>
      <c r="X175" s="80">
        <f t="shared" si="152"/>
        <v>-0.38639244085420815</v>
      </c>
      <c r="Y175" s="90">
        <f t="shared" si="133"/>
        <v>1.4611058369519425E-2</v>
      </c>
    </row>
    <row r="176" spans="1:25" ht="15.75" customHeight="1" x14ac:dyDescent="0.25">
      <c r="A176" s="64">
        <v>44162</v>
      </c>
      <c r="B176" s="65">
        <v>42.97</v>
      </c>
      <c r="C176" s="66">
        <f>myParidad('Flujo de Fondos'!$B$5,A176,B176,'Flujo de Fondos'!$B$7,'Flujo de Fondos'!$B$6)</f>
        <v>0.43235334656522217</v>
      </c>
      <c r="D176" s="65">
        <v>45.1</v>
      </c>
      <c r="E176" s="67">
        <f>myParidad('Flujo de Fondos'!$H$5,$A176,D176,'Flujo de Fondos'!$H$7,'Flujo de Fondos'!$H$6)</f>
        <v>0.45378487154041242</v>
      </c>
      <c r="F176" s="65">
        <v>39.01</v>
      </c>
      <c r="G176" s="66">
        <f>myParidad('Flujo de Fondos'!$N$5,$A176,F176,'Flujo de Fondos'!$N$7,'Flujo de Fondos'!$N$6)</f>
        <v>0.39039948453608248</v>
      </c>
      <c r="H176" s="65"/>
      <c r="I176" s="66">
        <f>myParidad('Flujo de Fondos'!$T$5,$A176,H176,'Flujo de Fondos'!$T$7,'Flujo de Fondos'!$T$6)</f>
        <v>0</v>
      </c>
      <c r="J176" s="65">
        <v>36.229999999999997</v>
      </c>
      <c r="K176" s="66">
        <f>myParidad('Flujo de Fondos'!$B$34,$A176,J176,'Flujo de Fondos'!$B$36,'Flujo de Fondos'!$B$35)</f>
        <v>0.36257814213643341</v>
      </c>
      <c r="L176" s="65">
        <v>37.5</v>
      </c>
      <c r="M176" s="66">
        <f>myParidad('Flujo de Fondos'!$H$34,'Paridad usd'!$A176,'Paridad usd'!L176,'Flujo de Fondos'!$H$36,'Flujo de Fondos'!$H$35)</f>
        <v>0.37528789208159685</v>
      </c>
      <c r="N176" s="69">
        <v>35</v>
      </c>
      <c r="O176" s="66">
        <f>myParidad('Flujo de Fondos'!$N$34,$A176,N176,'Flujo de Fondos'!$N$36,'Flujo de Fondos'!$N$35)</f>
        <v>0.35026869927615706</v>
      </c>
      <c r="P176" s="70">
        <f t="shared" si="158"/>
        <v>4.1953862029139699E-2</v>
      </c>
      <c r="Q176" s="70">
        <f t="shared" si="159"/>
        <v>2.1431524975190241E-2</v>
      </c>
      <c r="R176" s="70">
        <f t="shared" si="138"/>
        <v>5.7065454483625322E-2</v>
      </c>
      <c r="S176" s="67">
        <f t="shared" si="139"/>
        <v>8.2084647289065116E-2</v>
      </c>
      <c r="T176" s="70">
        <f t="shared" si="160"/>
        <v>0.10351617226425536</v>
      </c>
      <c r="U176" s="70">
        <f t="shared" si="140"/>
        <v>4.0130785259925417E-2</v>
      </c>
      <c r="V176" s="70">
        <f t="shared" si="150"/>
        <v>2.7821342399649063E-2</v>
      </c>
      <c r="W176" s="70">
        <f t="shared" si="151"/>
        <v>6.9775204428788762E-2</v>
      </c>
      <c r="X176" s="80">
        <f t="shared" si="152"/>
        <v>-0.39039948453608248</v>
      </c>
      <c r="Y176" s="90">
        <f t="shared" si="133"/>
        <v>1.5111592454485623E-2</v>
      </c>
    </row>
    <row r="177" spans="1:25" ht="15.75" customHeight="1" x14ac:dyDescent="0.25">
      <c r="A177" s="64">
        <v>44161</v>
      </c>
      <c r="B177" s="65">
        <v>43.2</v>
      </c>
      <c r="C177" s="66">
        <f>myParidad('Flujo de Fondos'!$B$5,A177,B177,'Flujo de Fondos'!$B$7,'Flujo de Fondos'!$B$6)</f>
        <v>0.43467953135768439</v>
      </c>
      <c r="D177" s="65">
        <v>45.1</v>
      </c>
      <c r="E177" s="67">
        <f>myParidad('Flujo de Fondos'!$H$5,$A177,D177,'Flujo de Fondos'!$H$7,'Flujo de Fondos'!$H$6)</f>
        <v>0.45379738111647139</v>
      </c>
      <c r="F177" s="65">
        <v>39</v>
      </c>
      <c r="G177" s="66">
        <f>myParidad('Flujo de Fondos'!$N$5,$A177,F177,'Flujo de Fondos'!$N$7,'Flujo de Fondos'!$N$6)</f>
        <v>0.39030074543740895</v>
      </c>
      <c r="H177" s="65"/>
      <c r="I177" s="66">
        <f>myParidad('Flujo de Fondos'!$T$5,$A177,H177,'Flujo de Fondos'!$T$7,'Flujo de Fondos'!$T$6)</f>
        <v>0</v>
      </c>
      <c r="J177" s="65">
        <v>35.71</v>
      </c>
      <c r="K177" s="66">
        <f>myParidad('Flujo de Fondos'!$B$34,$A177,J177,'Flujo de Fondos'!$B$36,'Flujo de Fondos'!$B$35)</f>
        <v>0.35737537486076604</v>
      </c>
      <c r="L177" s="65">
        <v>37.51</v>
      </c>
      <c r="M177" s="66">
        <f>myParidad('Flujo de Fondos'!$H$34,'Paridad usd'!$A177,'Paridad usd'!L177,'Flujo de Fondos'!$H$36,'Flujo de Fondos'!$H$35)</f>
        <v>0.37538925541941565</v>
      </c>
      <c r="N177" s="69">
        <v>34.9</v>
      </c>
      <c r="O177" s="66">
        <f>myParidad('Flujo de Fondos'!$N$34,$A177,N177,'Flujo de Fondos'!$N$36,'Flujo de Fondos'!$N$35)</f>
        <v>0.34926912860937365</v>
      </c>
      <c r="P177" s="70">
        <f t="shared" si="158"/>
        <v>4.4378785920275443E-2</v>
      </c>
      <c r="Q177" s="70">
        <f t="shared" si="159"/>
        <v>1.9117849758786998E-2</v>
      </c>
      <c r="R177" s="70">
        <f t="shared" si="138"/>
        <v>5.9290275938268744E-2</v>
      </c>
      <c r="S177" s="67">
        <f t="shared" si="139"/>
        <v>8.5410402748310743E-2</v>
      </c>
      <c r="T177" s="70">
        <f t="shared" si="160"/>
        <v>0.10452825250709774</v>
      </c>
      <c r="U177" s="70">
        <f t="shared" si="140"/>
        <v>4.10316168280353E-2</v>
      </c>
      <c r="V177" s="70">
        <f t="shared" si="150"/>
        <v>3.2925370576642909E-2</v>
      </c>
      <c r="W177" s="70">
        <f t="shared" si="151"/>
        <v>7.7304156496918353E-2</v>
      </c>
      <c r="X177" s="80">
        <f t="shared" si="152"/>
        <v>-0.39030074543740895</v>
      </c>
      <c r="Y177" s="90">
        <f t="shared" si="133"/>
        <v>1.4911490017993301E-2</v>
      </c>
    </row>
    <row r="178" spans="1:25" ht="15.75" customHeight="1" x14ac:dyDescent="0.25">
      <c r="A178" s="64">
        <v>44160</v>
      </c>
      <c r="B178" s="65">
        <v>43.39</v>
      </c>
      <c r="C178" s="66">
        <f>myParidad('Flujo de Fondos'!$B$5,A178,B178,'Flujo de Fondos'!$B$7,'Flujo de Fondos'!$B$6)</f>
        <v>0.43660335226332914</v>
      </c>
      <c r="D178" s="65">
        <v>45</v>
      </c>
      <c r="E178" s="67">
        <f>myParidad('Flujo de Fondos'!$H$5,$A178,D178,'Flujo de Fondos'!$H$7,'Flujo de Fondos'!$H$6)</f>
        <v>0.45280366102442521</v>
      </c>
      <c r="F178" s="65">
        <v>39.200000000000003</v>
      </c>
      <c r="G178" s="66">
        <f>myParidad('Flujo de Fondos'!$N$5,$A178,F178,'Flujo de Fondos'!$N$7,'Flujo de Fondos'!$N$6)</f>
        <v>0.39230363226332715</v>
      </c>
      <c r="H178" s="65"/>
      <c r="I178" s="66">
        <f>myParidad('Flujo de Fondos'!$T$5,$A178,H178,'Flujo de Fondos'!$T$7,'Flujo de Fondos'!$T$6)</f>
        <v>0</v>
      </c>
      <c r="J178" s="65">
        <v>36.4</v>
      </c>
      <c r="K178" s="66">
        <f>myParidad('Flujo de Fondos'!$B$34,$A178,J178,'Flujo de Fondos'!$B$36,'Flujo de Fondos'!$B$35)</f>
        <v>0.36428194424451799</v>
      </c>
      <c r="L178" s="65">
        <v>38</v>
      </c>
      <c r="M178" s="66">
        <f>myParidad('Flujo de Fondos'!$H$34,'Paridad usd'!$A178,'Paridad usd'!L178,'Flujo de Fondos'!$H$36,'Flujo de Fondos'!$H$35)</f>
        <v>0.38029433739812318</v>
      </c>
      <c r="N178" s="69">
        <v>35.4</v>
      </c>
      <c r="O178" s="66">
        <f>myParidad('Flujo de Fondos'!$N$34,$A173,N178,'Flujo de Fondos'!$N$36,'Flujo de Fondos'!$N$35)</f>
        <v>0.35426569927445584</v>
      </c>
      <c r="P178" s="70">
        <f t="shared" si="158"/>
        <v>4.4299720000001985E-2</v>
      </c>
      <c r="Q178" s="70">
        <f t="shared" si="159"/>
        <v>1.6200308761096072E-2</v>
      </c>
      <c r="R178" s="70">
        <f t="shared" si="138"/>
        <v>5.6309014865205953E-2</v>
      </c>
      <c r="S178" s="67">
        <f t="shared" si="139"/>
        <v>8.23376529888733E-2</v>
      </c>
      <c r="T178" s="70">
        <f t="shared" si="160"/>
        <v>9.8537961749969372E-2</v>
      </c>
      <c r="U178" s="70">
        <f t="shared" si="140"/>
        <v>3.8037932988871315E-2</v>
      </c>
      <c r="V178" s="70">
        <f t="shared" si="150"/>
        <v>2.8021688018809165E-2</v>
      </c>
      <c r="W178" s="70">
        <f t="shared" si="151"/>
        <v>7.2321408018811151E-2</v>
      </c>
      <c r="X178" s="80">
        <f t="shared" si="152"/>
        <v>-0.39230363226332715</v>
      </c>
      <c r="Y178" s="90">
        <f t="shared" si="133"/>
        <v>1.2009294865203968E-2</v>
      </c>
    </row>
    <row r="179" spans="1:25" ht="15.75" customHeight="1" x14ac:dyDescent="0.25">
      <c r="A179" s="64">
        <v>44159</v>
      </c>
      <c r="B179" s="65">
        <v>42.65</v>
      </c>
      <c r="C179" s="66">
        <f>myParidad('Flujo de Fondos'!$B$5,A179,B179,'Flujo de Fondos'!$B$7,'Flujo de Fondos'!$B$6)</f>
        <v>0.42916907892923112</v>
      </c>
      <c r="D179" s="65">
        <v>44.31</v>
      </c>
      <c r="E179" s="67">
        <f>myParidad('Flujo de Fondos'!$H$5,$A179,D179,'Flujo de Fondos'!$H$7,'Flujo de Fondos'!$H$6)</f>
        <v>0.44587296336117777</v>
      </c>
      <c r="F179" s="65">
        <v>38.85</v>
      </c>
      <c r="G179" s="66">
        <f>myParidad('Flujo de Fondos'!$N$5,$A179,F179,'Flujo de Fondos'!$N$7,'Flujo de Fondos'!$N$6)</f>
        <v>0.38880225380689787</v>
      </c>
      <c r="H179" s="65"/>
      <c r="I179" s="66">
        <f>myParidad('Flujo de Fondos'!$T$5,$A179,H179,'Flujo de Fondos'!$T$7,'Flujo de Fondos'!$T$6)</f>
        <v>0</v>
      </c>
      <c r="J179" s="65">
        <v>36.18</v>
      </c>
      <c r="K179" s="66">
        <f>myParidad('Flujo de Fondos'!$B$34,$A179,J179,'Flujo de Fondos'!$B$36,'Flujo de Fondos'!$B$35)</f>
        <v>0.36208148115144306</v>
      </c>
      <c r="L179" s="71">
        <v>38.049999999999997</v>
      </c>
      <c r="M179" s="66">
        <f>myParidad('Flujo de Fondos'!$H$34,'Paridad usd'!$A179,'Paridad usd'!L179,'Flujo de Fondos'!$H$36,'Flujo de Fondos'!$H$35)</f>
        <v>0.38079602979028215</v>
      </c>
      <c r="N179" s="69">
        <v>35</v>
      </c>
      <c r="O179" s="66">
        <f>myParidad('Flujo de Fondos'!$N$34,'Paridad usd'!$A179,'Paridad usd'!N179,'Flujo de Fondos'!$N$36,'Flujo de Fondos'!$N$35)</f>
        <v>0.35027230072693499</v>
      </c>
      <c r="P179" s="70">
        <f t="shared" si="158"/>
        <v>4.036682512233325E-2</v>
      </c>
      <c r="Q179" s="70">
        <f t="shared" si="159"/>
        <v>1.6703884431946647E-2</v>
      </c>
      <c r="R179" s="70">
        <f t="shared" si="138"/>
        <v>4.8373049138948965E-2</v>
      </c>
      <c r="S179" s="67">
        <f t="shared" si="139"/>
        <v>7.8896778202296125E-2</v>
      </c>
      <c r="T179" s="70">
        <f t="shared" si="160"/>
        <v>9.5600662634242772E-2</v>
      </c>
      <c r="U179" s="70">
        <f t="shared" si="140"/>
        <v>3.8529953079962875E-2</v>
      </c>
      <c r="V179" s="70">
        <f t="shared" si="150"/>
        <v>2.6720772655454805E-2</v>
      </c>
      <c r="W179" s="70">
        <f t="shared" si="151"/>
        <v>6.7087597777788055E-2</v>
      </c>
      <c r="X179" s="80">
        <f t="shared" si="152"/>
        <v>-0.38880225380689787</v>
      </c>
      <c r="Y179" s="90">
        <f t="shared" si="133"/>
        <v>8.006224016615715E-3</v>
      </c>
    </row>
    <row r="180" spans="1:25" ht="15.75" customHeight="1" x14ac:dyDescent="0.25">
      <c r="A180" s="64">
        <v>44155</v>
      </c>
      <c r="B180" s="65">
        <v>42.2</v>
      </c>
      <c r="C180" s="66">
        <f>myParidad('Flujo de Fondos'!$B$5,A180,B180,'Flujo de Fondos'!$B$7,'Flujo de Fondos'!$B$6)</f>
        <v>0.42468774986903418</v>
      </c>
      <c r="D180" s="65">
        <v>44.01</v>
      </c>
      <c r="E180" s="67">
        <f>myParidad('Flujo de Fondos'!$H$5,$A180,D180,'Flujo de Fondos'!$H$7,'Flujo de Fondos'!$H$6)</f>
        <v>0.44290303013592874</v>
      </c>
      <c r="F180" s="65">
        <v>39.049999999999997</v>
      </c>
      <c r="G180" s="66">
        <f>myParidad('Flujo de Fondos'!$N$5,$A180,F180,'Flujo de Fondos'!$N$7,'Flujo de Fondos'!$N$6)</f>
        <v>0.39080916752636502</v>
      </c>
      <c r="H180" s="65"/>
      <c r="I180" s="66">
        <f>myParidad('Flujo de Fondos'!$T$5,$A180,H180,'Flujo de Fondos'!$T$7,'Flujo de Fondos'!$T$6)</f>
        <v>0</v>
      </c>
      <c r="J180" s="65">
        <v>36.75</v>
      </c>
      <c r="K180" s="66">
        <f>myParidad('Flujo de Fondos'!$B$34,$A180,J180,'Flujo de Fondos'!$B$36,'Flujo de Fondos'!$B$35)</f>
        <v>0.36779095791533711</v>
      </c>
      <c r="L180" s="65">
        <v>38.79</v>
      </c>
      <c r="M180" s="66">
        <f>myParidad('Flujo de Fondos'!$H$34,'Paridad usd'!$A180,'Paridad usd'!L180,'Flujo de Fondos'!$H$36,'Flujo de Fondos'!$H$35)</f>
        <v>0.38820710904859668</v>
      </c>
      <c r="N180" s="69">
        <v>35.200000000000003</v>
      </c>
      <c r="O180" s="66">
        <f>myParidad('Flujo de Fondos'!$N$34,'Paridad usd'!$A180,'Paridad usd'!N180,'Flujo de Fondos'!$N$36,'Flujo de Fondos'!$N$35)</f>
        <v>0.35227868622094877</v>
      </c>
      <c r="P180" s="70">
        <f t="shared" si="158"/>
        <v>3.3878582342669161E-2</v>
      </c>
      <c r="Q180" s="70">
        <f t="shared" si="159"/>
        <v>1.8215280266894562E-2</v>
      </c>
      <c r="R180" s="70">
        <f t="shared" si="138"/>
        <v>3.6480640820437504E-2</v>
      </c>
      <c r="S180" s="67">
        <f t="shared" si="139"/>
        <v>7.2409063648085414E-2</v>
      </c>
      <c r="T180" s="70">
        <f t="shared" si="160"/>
        <v>9.0624343914979977E-2</v>
      </c>
      <c r="U180" s="70">
        <f t="shared" si="140"/>
        <v>3.8530481305416253E-2</v>
      </c>
      <c r="V180" s="70">
        <f t="shared" si="150"/>
        <v>2.3018209611027907E-2</v>
      </c>
      <c r="W180" s="70">
        <f t="shared" si="151"/>
        <v>5.6896791953697068E-2</v>
      </c>
      <c r="X180" s="80">
        <f t="shared" si="152"/>
        <v>-0.39080916752636502</v>
      </c>
      <c r="Y180" s="90">
        <f t="shared" si="133"/>
        <v>2.6020584777683431E-3</v>
      </c>
    </row>
    <row r="181" spans="1:25" ht="15.75" customHeight="1" x14ac:dyDescent="0.25">
      <c r="A181" s="64">
        <v>44154</v>
      </c>
      <c r="B181" s="65">
        <v>42.3</v>
      </c>
      <c r="C181" s="66">
        <f>myParidad('Flujo de Fondos'!$B$5,A181,B181,'Flujo de Fondos'!$B$7,'Flujo de Fondos'!$B$6)</f>
        <v>0.4257058564023381</v>
      </c>
      <c r="D181" s="65">
        <v>44.5</v>
      </c>
      <c r="E181" s="67">
        <f>myParidad('Flujo de Fondos'!$H$5,$A181,D181,'Flujo de Fondos'!$H$7,'Flujo de Fondos'!$H$6)</f>
        <v>0.44784658652255432</v>
      </c>
      <c r="F181" s="65">
        <v>39.43</v>
      </c>
      <c r="G181" s="66">
        <f>myParidad('Flujo de Fondos'!$N$5,$A181,F181,'Flujo de Fondos'!$N$7,'Flujo de Fondos'!$N$6)</f>
        <v>0.39461352855693566</v>
      </c>
      <c r="H181" s="65"/>
      <c r="I181" s="66">
        <f>myParidad('Flujo de Fondos'!$T$5,$A181,H181,'Flujo de Fondos'!$T$7,'Flujo de Fondos'!$T$6)</f>
        <v>0</v>
      </c>
      <c r="J181" s="65">
        <v>36.89</v>
      </c>
      <c r="K181" s="66">
        <f>myParidad('Flujo de Fondos'!$B$34,$A181,J181,'Flujo de Fondos'!$B$36,'Flujo de Fondos'!$B$35)</f>
        <v>0.36919333168819063</v>
      </c>
      <c r="L181" s="65">
        <v>39</v>
      </c>
      <c r="M181" s="66">
        <f>myParidad('Flujo de Fondos'!$H$34,'Paridad usd'!$A181,'Paridad usd'!L181,'Flujo de Fondos'!$H$36,'Flujo de Fondos'!$H$35)</f>
        <v>0.39031010940199062</v>
      </c>
      <c r="N181" s="69">
        <v>35.25</v>
      </c>
      <c r="O181" s="66">
        <f>myParidad('Flujo de Fondos'!$N$34,'Paridad usd'!$A181,'Paridad usd'!N181,'Flujo de Fondos'!$N$36,'Flujo de Fondos'!$N$35)</f>
        <v>0.35278029119026078</v>
      </c>
      <c r="P181" s="70">
        <f t="shared" si="158"/>
        <v>3.1092327845402445E-2</v>
      </c>
      <c r="Q181" s="70">
        <f t="shared" si="159"/>
        <v>2.2140730120216223E-2</v>
      </c>
      <c r="R181" s="70">
        <f t="shared" si="138"/>
        <v>3.5395747000347477E-2</v>
      </c>
      <c r="S181" s="67">
        <f t="shared" si="139"/>
        <v>7.2925565212077326E-2</v>
      </c>
      <c r="T181" s="70">
        <f t="shared" si="160"/>
        <v>9.5066295332293549E-2</v>
      </c>
      <c r="U181" s="70">
        <f t="shared" si="140"/>
        <v>4.183323736667488E-2</v>
      </c>
      <c r="V181" s="70">
        <f t="shared" si="150"/>
        <v>2.5420196868745026E-2</v>
      </c>
      <c r="W181" s="70">
        <f t="shared" si="151"/>
        <v>5.6512524714147472E-2</v>
      </c>
      <c r="X181" s="80">
        <f t="shared" si="152"/>
        <v>-0.39461352855693566</v>
      </c>
      <c r="Y181" s="90">
        <f t="shared" si="133"/>
        <v>4.3034191549450318E-3</v>
      </c>
    </row>
    <row r="182" spans="1:25" ht="15.75" customHeight="1" x14ac:dyDescent="0.25">
      <c r="A182" s="64">
        <v>44153</v>
      </c>
      <c r="B182" s="65">
        <v>43.5</v>
      </c>
      <c r="C182" s="66">
        <f>myParidad('Flujo de Fondos'!$B$5,A182,B182,'Flujo de Fondos'!$B$7,'Flujo de Fondos'!$B$6)</f>
        <v>0.43779468938704608</v>
      </c>
      <c r="D182" s="65">
        <v>44.5</v>
      </c>
      <c r="E182" s="67">
        <f>myParidad('Flujo de Fondos'!$H$5,$A182,D182,'Flujo de Fondos'!$H$7,'Flujo de Fondos'!$H$6)</f>
        <v>0.44785893512008162</v>
      </c>
      <c r="F182" s="65">
        <v>39.74</v>
      </c>
      <c r="G182" s="66">
        <f>myParidad('Flujo de Fondos'!$N$5,$A182,F182,'Flujo de Fondos'!$N$7,'Flujo de Fondos'!$N$6)</f>
        <v>0.39771735665788116</v>
      </c>
      <c r="H182" s="65"/>
      <c r="I182" s="66">
        <f>myParidad('Flujo de Fondos'!$T$5,$A182,H182,'Flujo de Fondos'!$T$7,'Flujo de Fondos'!$T$6)</f>
        <v>0</v>
      </c>
      <c r="J182" s="65">
        <v>37.5</v>
      </c>
      <c r="K182" s="66">
        <f>myParidad('Flujo de Fondos'!$B$34,$A182,J182,'Flujo de Fondos'!$B$36,'Flujo de Fondos'!$B$35)</f>
        <v>0.37529946841143791</v>
      </c>
      <c r="L182" s="65">
        <v>39.4</v>
      </c>
      <c r="M182" s="66">
        <f>myParidad('Flujo de Fondos'!$H$34,'Paridad usd'!$A182,'Paridad usd'!L182,'Flujo de Fondos'!$H$36,'Flujo de Fondos'!$H$35)</f>
        <v>0.39431464147761741</v>
      </c>
      <c r="N182" s="69">
        <v>35.65</v>
      </c>
      <c r="O182" s="66">
        <f>myParidad('Flujo de Fondos'!$N$34,'Paridad usd'!$A182,'Paridad usd'!N182,'Flujo de Fondos'!$N$36,'Flujo de Fondos'!$N$35)</f>
        <v>0.35678469463647361</v>
      </c>
      <c r="P182" s="70">
        <f t="shared" si="158"/>
        <v>4.0077332729164916E-2</v>
      </c>
      <c r="Q182" s="70">
        <f t="shared" si="159"/>
        <v>1.0064245733035548E-2</v>
      </c>
      <c r="R182" s="70">
        <f t="shared" ref="R182:R213" si="161">C182-M182</f>
        <v>4.3480047909428665E-2</v>
      </c>
      <c r="S182" s="67">
        <f t="shared" ref="S182:S213" si="162">C182-O182</f>
        <v>8.1009994750572467E-2</v>
      </c>
      <c r="T182" s="70">
        <f t="shared" si="160"/>
        <v>9.1074240483608015E-2</v>
      </c>
      <c r="U182" s="70">
        <f t="shared" ref="U182:U213" si="163">G182-O182</f>
        <v>4.0932662021407551E-2</v>
      </c>
      <c r="V182" s="70">
        <f t="shared" si="150"/>
        <v>2.2417888246443252E-2</v>
      </c>
      <c r="W182" s="70">
        <f t="shared" si="151"/>
        <v>6.2495220975608168E-2</v>
      </c>
      <c r="X182" s="80">
        <f t="shared" si="152"/>
        <v>-0.39771735665788116</v>
      </c>
      <c r="Y182" s="90">
        <f t="shared" si="133"/>
        <v>3.402715180263749E-3</v>
      </c>
    </row>
    <row r="183" spans="1:25" ht="15.75" customHeight="1" x14ac:dyDescent="0.25">
      <c r="A183" s="64">
        <v>44152</v>
      </c>
      <c r="B183" s="65">
        <v>44.05</v>
      </c>
      <c r="C183" s="66">
        <f>myParidad('Flujo de Fondos'!$B$5,A183,B183,'Flujo de Fondos'!$B$7,'Flujo de Fondos'!$B$6)</f>
        <v>0.44334224893839957</v>
      </c>
      <c r="D183" s="65">
        <v>45.7</v>
      </c>
      <c r="E183" s="67">
        <f>myParidad('Flujo de Fondos'!$H$5,$A183,D183,'Flujo de Fondos'!$H$7,'Flujo de Fondos'!$H$6)</f>
        <v>0.45994871229250539</v>
      </c>
      <c r="F183" s="65">
        <v>40.18</v>
      </c>
      <c r="G183" s="66">
        <f>myParidad('Flujo de Fondos'!$N$5,$A183,F183,'Flujo de Fondos'!$N$7,'Flujo de Fondos'!$N$6)</f>
        <v>0.40212224865131646</v>
      </c>
      <c r="H183" s="65"/>
      <c r="I183" s="66">
        <f>myParidad('Flujo de Fondos'!$T$5,$A183,H183,'Flujo de Fondos'!$T$7,'Flujo de Fondos'!$T$6)</f>
        <v>0</v>
      </c>
      <c r="J183" s="65">
        <v>37.200000000000003</v>
      </c>
      <c r="K183" s="66">
        <f>myParidad('Flujo de Fondos'!$B$34,$A183,J183,'Flujo de Fondos'!$B$36,'Flujo de Fondos'!$B$35)</f>
        <v>0.37229834867667927</v>
      </c>
      <c r="L183" s="65">
        <v>39.65</v>
      </c>
      <c r="M183" s="66">
        <f>myParidad('Flujo de Fondos'!$H$34,'Paridad usd'!$A183,'Paridad usd'!L183,'Flujo de Fondos'!$H$36,'Flujo de Fondos'!$H$35)</f>
        <v>0.39681799798468637</v>
      </c>
      <c r="N183" s="69">
        <v>35.799999999999997</v>
      </c>
      <c r="O183" s="66">
        <f>myParidad('Flujo de Fondos'!$N$34,'Paridad usd'!$A183,'Paridad usd'!N183,'Flujo de Fondos'!$N$36,'Flujo de Fondos'!$N$35)</f>
        <v>0.35828712050067518</v>
      </c>
      <c r="P183" s="70">
        <f t="shared" si="158"/>
        <v>4.1220000287083114E-2</v>
      </c>
      <c r="Q183" s="70">
        <f t="shared" si="159"/>
        <v>1.6606463354105816E-2</v>
      </c>
      <c r="R183" s="70">
        <f t="shared" si="161"/>
        <v>4.6524250953713209E-2</v>
      </c>
      <c r="S183" s="67">
        <f t="shared" si="162"/>
        <v>8.5055128437724392E-2</v>
      </c>
      <c r="T183" s="70">
        <f t="shared" si="160"/>
        <v>0.10166159179183021</v>
      </c>
      <c r="U183" s="70">
        <f t="shared" si="163"/>
        <v>4.3835128150641278E-2</v>
      </c>
      <c r="V183" s="70">
        <f t="shared" si="150"/>
        <v>2.9823899974637191E-2</v>
      </c>
      <c r="W183" s="70">
        <f t="shared" si="151"/>
        <v>7.1043900261720305E-2</v>
      </c>
      <c r="X183" s="80">
        <f t="shared" si="152"/>
        <v>-0.40212224865131646</v>
      </c>
      <c r="Y183" s="90">
        <f t="shared" si="133"/>
        <v>5.3042506666300948E-3</v>
      </c>
    </row>
    <row r="184" spans="1:25" ht="15.75" customHeight="1" x14ac:dyDescent="0.25">
      <c r="A184" s="64">
        <v>44151</v>
      </c>
      <c r="B184" s="65">
        <v>45</v>
      </c>
      <c r="C184" s="66">
        <f>myParidad('Flujo de Fondos'!$B$5,A184,B184,'Flujo de Fondos'!$B$7,'Flujo de Fondos'!$B$6)</f>
        <v>0.45291603474424375</v>
      </c>
      <c r="D184" s="65">
        <v>46.01</v>
      </c>
      <c r="E184" s="67">
        <f>myParidad('Flujo de Fondos'!$H$5,$A184,D184,'Flujo de Fondos'!$H$7,'Flujo de Fondos'!$H$6)</f>
        <v>0.46308148352405898</v>
      </c>
      <c r="F184" s="65">
        <v>40.26</v>
      </c>
      <c r="G184" s="66">
        <f>myParidad('Flujo de Fondos'!$N$5,$A184,F184,'Flujo de Fondos'!$N$7,'Flujo de Fondos'!$N$6)</f>
        <v>0.4029242712456943</v>
      </c>
      <c r="H184" s="65"/>
      <c r="I184" s="66">
        <f>myParidad('Flujo de Fondos'!$T$5,$A184,H184,'Flujo de Fondos'!$T$7,'Flujo de Fondos'!$T$6)</f>
        <v>0</v>
      </c>
      <c r="J184" s="65">
        <v>37.25</v>
      </c>
      <c r="K184" s="66">
        <f>myParidad('Flujo de Fondos'!$B$34,$A184,J184,'Flujo de Fondos'!$B$36,'Flujo de Fondos'!$B$35)</f>
        <v>0.37280002741932722</v>
      </c>
      <c r="L184" s="65">
        <v>39.799999999999997</v>
      </c>
      <c r="M184" s="66">
        <f>myParidad('Flujo de Fondos'!$H$34,'Paridad usd'!$A184,'Paridad usd'!L184,'Flujo de Fondos'!$H$36,'Flujo de Fondos'!$H$35)</f>
        <v>0.39832056620910661</v>
      </c>
      <c r="N184" s="69">
        <v>36.18</v>
      </c>
      <c r="O184" s="66">
        <f>myParidad('Flujo de Fondos'!$N$34,'Paridad usd'!$A184,'Paridad usd'!N184,'Flujo de Fondos'!$N$36,'Flujo de Fondos'!$N$35)</f>
        <v>0.36209140918204719</v>
      </c>
      <c r="P184" s="70">
        <f t="shared" si="158"/>
        <v>4.9991763498549446E-2</v>
      </c>
      <c r="Q184" s="70">
        <f t="shared" si="159"/>
        <v>1.0165448779815234E-2</v>
      </c>
      <c r="R184" s="70">
        <f t="shared" si="161"/>
        <v>5.4595468535137137E-2</v>
      </c>
      <c r="S184" s="67">
        <f t="shared" si="162"/>
        <v>9.0824625562196559E-2</v>
      </c>
      <c r="T184" s="70">
        <f t="shared" si="160"/>
        <v>0.10099007434201179</v>
      </c>
      <c r="U184" s="70">
        <f t="shared" si="163"/>
        <v>4.0832862063647113E-2</v>
      </c>
      <c r="V184" s="70">
        <f t="shared" si="150"/>
        <v>3.0124243826367081E-2</v>
      </c>
      <c r="W184" s="70">
        <f t="shared" si="151"/>
        <v>8.0116007324916527E-2</v>
      </c>
      <c r="X184" s="80">
        <f t="shared" si="152"/>
        <v>-0.4029242712456943</v>
      </c>
      <c r="Y184" s="90">
        <f t="shared" si="133"/>
        <v>4.6037050365876908E-3</v>
      </c>
    </row>
    <row r="185" spans="1:25" ht="15.75" customHeight="1" x14ac:dyDescent="0.25">
      <c r="A185" s="64">
        <v>44148</v>
      </c>
      <c r="B185" s="65">
        <v>45</v>
      </c>
      <c r="C185" s="66">
        <f>myParidad('Flujo de Fondos'!$B$5,A185,B185,'Flujo de Fondos'!$B$7,'Flujo de Fondos'!$B$6)</f>
        <v>0.45295350504660525</v>
      </c>
      <c r="D185" s="65">
        <v>46.25</v>
      </c>
      <c r="E185" s="67">
        <f>myParidad('Flujo de Fondos'!$H$5,$A185,D185,'Flujo de Fondos'!$H$7,'Flujo de Fondos'!$H$6)</f>
        <v>0.46553554685345538</v>
      </c>
      <c r="F185" s="65">
        <v>39.9</v>
      </c>
      <c r="G185" s="66">
        <f>myParidad('Flujo de Fondos'!$N$5,$A185,F185,'Flujo de Fondos'!$N$7,'Flujo de Fondos'!$N$6)</f>
        <v>0.39932547761531656</v>
      </c>
      <c r="H185" s="65"/>
      <c r="I185" s="66">
        <f>myParidad('Flujo de Fondos'!$T$5,$A185,H185,'Flujo de Fondos'!$T$7,'Flujo de Fondos'!$T$6)</f>
        <v>0</v>
      </c>
      <c r="J185" s="65">
        <v>36.83</v>
      </c>
      <c r="K185" s="66">
        <f>myParidad('Flujo de Fondos'!$B$34,$A185,J185,'Flujo de Fondos'!$B$36,'Flujo de Fondos'!$B$35)</f>
        <v>0.36860043460080477</v>
      </c>
      <c r="L185" s="65">
        <v>39.67</v>
      </c>
      <c r="M185" s="66">
        <f>myParidad('Flujo de Fondos'!$H$34,'Paridad usd'!$A185,'Paridad usd'!L185,'Flujo de Fondos'!$H$36,'Flujo de Fondos'!$H$35)</f>
        <v>0.39702360142856163</v>
      </c>
      <c r="N185" s="69">
        <v>35.89</v>
      </c>
      <c r="O185" s="66">
        <f>myParidad('Flujo de Fondos'!$N$34,'Paridad usd'!$A185,'Paridad usd'!N185,'Flujo de Fondos'!$N$36,'Flujo de Fondos'!$N$35)</f>
        <v>0.35919276670711059</v>
      </c>
      <c r="P185" s="70">
        <f t="shared" si="158"/>
        <v>5.3628027431288694E-2</v>
      </c>
      <c r="Q185" s="70">
        <f t="shared" si="159"/>
        <v>1.2582041806850131E-2</v>
      </c>
      <c r="R185" s="70">
        <f t="shared" si="161"/>
        <v>5.5929903618043619E-2</v>
      </c>
      <c r="S185" s="67">
        <f t="shared" si="162"/>
        <v>9.3760738339494665E-2</v>
      </c>
      <c r="T185" s="70">
        <f t="shared" si="160"/>
        <v>0.1063427801463448</v>
      </c>
      <c r="U185" s="70">
        <f t="shared" si="163"/>
        <v>4.0132710908205971E-2</v>
      </c>
      <c r="V185" s="70">
        <f t="shared" si="150"/>
        <v>3.0725043014511788E-2</v>
      </c>
      <c r="W185" s="70">
        <f t="shared" si="151"/>
        <v>8.4353070445800482E-2</v>
      </c>
      <c r="X185" s="80">
        <f t="shared" si="152"/>
        <v>-0.39932547761531656</v>
      </c>
      <c r="Y185" s="90">
        <f t="shared" si="133"/>
        <v>2.3018761867549253E-3</v>
      </c>
    </row>
    <row r="186" spans="1:25" ht="15.75" customHeight="1" x14ac:dyDescent="0.25">
      <c r="A186" s="64">
        <v>44147</v>
      </c>
      <c r="B186" s="65">
        <v>44</v>
      </c>
      <c r="C186" s="66">
        <f>myParidad('Flujo de Fondos'!$B$5,A186,B186,'Flujo de Fondos'!$B$7,'Flujo de Fondos'!$B$6)</f>
        <v>0.44290008549129917</v>
      </c>
      <c r="D186" s="65">
        <v>46.25</v>
      </c>
      <c r="E186" s="67">
        <f>myParidad('Flujo de Fondos'!$H$5,$A186,D186,'Flujo de Fondos'!$H$7,'Flujo de Fondos'!$H$6)</f>
        <v>0.46554838531755882</v>
      </c>
      <c r="F186" s="65">
        <v>39.47</v>
      </c>
      <c r="G186" s="66">
        <f>myParidad('Flujo de Fondos'!$N$5,$A186,F186,'Flujo de Fondos'!$N$7,'Flujo de Fondos'!$N$6)</f>
        <v>0.39502332388496064</v>
      </c>
      <c r="H186" s="65"/>
      <c r="I186" s="66">
        <f>myParidad('Flujo de Fondos'!$T$5,$A186,H186,'Flujo de Fondos'!$T$7,'Flujo de Fondos'!$T$6)</f>
        <v>0</v>
      </c>
      <c r="J186" s="65">
        <v>36.6</v>
      </c>
      <c r="K186" s="66">
        <f>myParidad('Flujo de Fondos'!$B$34,$A186,J186,'Flujo de Fondos'!$B$36,'Flujo de Fondos'!$B$35)</f>
        <v>0.36629981388876515</v>
      </c>
      <c r="L186" s="65">
        <v>39</v>
      </c>
      <c r="M186" s="66">
        <f>myParidad('Flujo de Fondos'!$H$34,'Paridad usd'!$A186,'Paridad usd'!L186,'Flujo de Fondos'!$H$36,'Flujo de Fondos'!$H$35)</f>
        <v>0.39031947381589727</v>
      </c>
      <c r="N186" s="69">
        <v>35.65</v>
      </c>
      <c r="O186" s="66">
        <f>myParidad('Flujo de Fondos'!$N$34,'Paridad usd'!$A186,'Paridad usd'!N186,'Flujo de Fondos'!$N$36,'Flujo de Fondos'!$N$35)</f>
        <v>0.35679203183427532</v>
      </c>
      <c r="P186" s="70">
        <f t="shared" si="158"/>
        <v>4.7876761606338525E-2</v>
      </c>
      <c r="Q186" s="70">
        <f t="shared" si="159"/>
        <v>2.2648299826259655E-2</v>
      </c>
      <c r="R186" s="70">
        <f t="shared" si="161"/>
        <v>5.25806116754019E-2</v>
      </c>
      <c r="S186" s="67">
        <f t="shared" si="162"/>
        <v>8.6108053657023842E-2</v>
      </c>
      <c r="T186" s="70">
        <f t="shared" si="160"/>
        <v>0.1087563534832835</v>
      </c>
      <c r="U186" s="70">
        <f t="shared" si="163"/>
        <v>3.8231292050685317E-2</v>
      </c>
      <c r="V186" s="70">
        <f t="shared" si="150"/>
        <v>2.8723509996195495E-2</v>
      </c>
      <c r="W186" s="70">
        <f t="shared" si="151"/>
        <v>7.660027160253402E-2</v>
      </c>
      <c r="X186" s="80">
        <f t="shared" si="152"/>
        <v>-0.39502332388496064</v>
      </c>
      <c r="Y186" s="90">
        <f t="shared" si="133"/>
        <v>4.7038500690633755E-3</v>
      </c>
    </row>
    <row r="187" spans="1:25" ht="15.75" customHeight="1" x14ac:dyDescent="0.25">
      <c r="A187" s="64">
        <v>44146</v>
      </c>
      <c r="B187" s="65">
        <v>44.8</v>
      </c>
      <c r="C187" s="66">
        <f>myParidad('Flujo de Fondos'!$B$5,A187,B187,'Flujo de Fondos'!$B$7,'Flujo de Fondos'!$B$6)</f>
        <v>0.45096525096525092</v>
      </c>
      <c r="D187" s="65">
        <v>46.2</v>
      </c>
      <c r="E187" s="67">
        <f>myParidad('Flujo de Fondos'!$H$5,$A187,D187,'Flujo de Fondos'!$H$7,'Flujo de Fondos'!$H$6)</f>
        <v>0.46505791505791511</v>
      </c>
      <c r="F187" s="65">
        <v>39.200000000000003</v>
      </c>
      <c r="G187" s="66">
        <f>myParidad('Flujo de Fondos'!$N$5,$A187,F187,'Flujo de Fondos'!$N$7,'Flujo de Fondos'!$N$6)</f>
        <v>0.39232245681381961</v>
      </c>
      <c r="H187" s="65"/>
      <c r="I187" s="66">
        <f>myParidad('Flujo de Fondos'!$T$5,$A187,H187,'Flujo de Fondos'!$T$7,'Flujo de Fondos'!$T$6)</f>
        <v>0</v>
      </c>
      <c r="J187" s="65">
        <v>37.299999999999997</v>
      </c>
      <c r="K187" s="66">
        <f>myParidad('Flujo de Fondos'!$B$34,$A187,J187,'Flujo de Fondos'!$B$36,'Flujo de Fondos'!$B$35)</f>
        <v>0.37330682752947625</v>
      </c>
      <c r="L187" s="65">
        <v>38.450000000000003</v>
      </c>
      <c r="M187" s="66">
        <f>myParidad('Flujo de Fondos'!$H$34,'Paridad usd'!$A187,'Paridad usd'!L187,'Flujo de Fondos'!$H$36,'Flujo de Fondos'!$H$35)</f>
        <v>0.38481628735947354</v>
      </c>
      <c r="N187" s="69">
        <v>35.39</v>
      </c>
      <c r="O187" s="66">
        <f>myParidad('Flujo de Fondos'!$N$34,'Paridad usd'!$A187,'Paridad usd'!N187,'Flujo de Fondos'!$N$36,'Flujo de Fondos'!$N$35)</f>
        <v>0.35419111598574171</v>
      </c>
      <c r="P187" s="70">
        <f t="shared" si="158"/>
        <v>5.864279415143131E-2</v>
      </c>
      <c r="Q187" s="70">
        <f t="shared" si="159"/>
        <v>1.4092664092664187E-2</v>
      </c>
      <c r="R187" s="70">
        <f t="shared" si="161"/>
        <v>6.6148963605777378E-2</v>
      </c>
      <c r="S187" s="67">
        <f t="shared" si="162"/>
        <v>9.6774134979509208E-2</v>
      </c>
      <c r="T187" s="70">
        <f t="shared" si="160"/>
        <v>0.11086679907217339</v>
      </c>
      <c r="U187" s="70">
        <f t="shared" si="163"/>
        <v>3.8131340828077898E-2</v>
      </c>
      <c r="V187" s="70">
        <f t="shared" si="150"/>
        <v>1.9015629284343361E-2</v>
      </c>
      <c r="W187" s="70">
        <f t="shared" si="151"/>
        <v>7.7658423435774671E-2</v>
      </c>
      <c r="X187" s="80">
        <f t="shared" si="152"/>
        <v>-0.39232245681381961</v>
      </c>
      <c r="Y187" s="90">
        <f t="shared" si="133"/>
        <v>7.5061694543460677E-3</v>
      </c>
    </row>
    <row r="188" spans="1:25" ht="15.75" customHeight="1" x14ac:dyDescent="0.25">
      <c r="A188" s="64">
        <v>44145</v>
      </c>
      <c r="B188" s="65">
        <v>45.15</v>
      </c>
      <c r="C188" s="66">
        <f>myParidad('Flujo de Fondos'!$B$5,A188,B188,'Flujo de Fondos'!$B$7,'Flujo de Fondos'!$B$6)</f>
        <v>0.45450095148790642</v>
      </c>
      <c r="D188" s="65">
        <v>46.49</v>
      </c>
      <c r="E188" s="67">
        <f>myParidad('Flujo de Fondos'!$H$5,$A188,D188,'Flujo de Fondos'!$H$7,'Flujo de Fondos'!$H$6)</f>
        <v>0.46799001627182218</v>
      </c>
      <c r="F188" s="65">
        <v>38.4</v>
      </c>
      <c r="G188" s="66">
        <f>myParidad('Flujo de Fondos'!$N$5,$A188,F188,'Flujo de Fondos'!$N$7,'Flujo de Fondos'!$N$6)</f>
        <v>0.38431719329994962</v>
      </c>
      <c r="H188" s="65"/>
      <c r="I188" s="66">
        <f>myParidad('Flujo de Fondos'!$T$5,$A188,H188,'Flujo de Fondos'!$T$7,'Flujo de Fondos'!$T$6)</f>
        <v>0</v>
      </c>
      <c r="J188" s="65">
        <v>37.1</v>
      </c>
      <c r="K188" s="66">
        <f>myParidad('Flujo de Fondos'!$B$34,$A188,J188,'Flujo de Fondos'!$B$36,'Flujo de Fondos'!$B$35)</f>
        <v>0.37130645498510756</v>
      </c>
      <c r="L188" s="65">
        <v>38.5</v>
      </c>
      <c r="M188" s="66">
        <f>myParidad('Flujo de Fondos'!$H$34,'Paridad usd'!$A188,'Paridad usd'!L188,'Flujo de Fondos'!$H$36,'Flujo de Fondos'!$H$35)</f>
        <v>0.38531801932416826</v>
      </c>
      <c r="N188" s="69">
        <v>35.200000000000003</v>
      </c>
      <c r="O188" s="66">
        <f>myParidad('Flujo de Fondos'!$N$34,'Paridad usd'!$A188,'Paridad usd'!N188,'Flujo de Fondos'!$N$36,'Flujo de Fondos'!$N$35)</f>
        <v>0.35229076052495384</v>
      </c>
      <c r="P188" s="70">
        <f t="shared" si="158"/>
        <v>7.0183758187956802E-2</v>
      </c>
      <c r="Q188" s="70">
        <f t="shared" si="159"/>
        <v>1.3489064783915761E-2</v>
      </c>
      <c r="R188" s="70">
        <f t="shared" si="161"/>
        <v>6.9182932163738164E-2</v>
      </c>
      <c r="S188" s="67">
        <f t="shared" si="162"/>
        <v>0.10221019096295259</v>
      </c>
      <c r="T188" s="70">
        <f t="shared" si="160"/>
        <v>0.11569925574686835</v>
      </c>
      <c r="U188" s="70">
        <f t="shared" si="163"/>
        <v>3.2026432774995783E-2</v>
      </c>
      <c r="V188" s="70">
        <f t="shared" si="150"/>
        <v>1.3010738314842063E-2</v>
      </c>
      <c r="W188" s="70">
        <f t="shared" si="151"/>
        <v>8.3194496502798865E-2</v>
      </c>
      <c r="X188" s="80">
        <f t="shared" si="152"/>
        <v>-0.38431719329994962</v>
      </c>
      <c r="Y188" s="90">
        <f t="shared" si="133"/>
        <v>-1.0008260242186373E-3</v>
      </c>
    </row>
    <row r="189" spans="1:25" ht="15.75" customHeight="1" x14ac:dyDescent="0.25">
      <c r="A189" s="64">
        <v>44144</v>
      </c>
      <c r="B189" s="65">
        <v>45.7</v>
      </c>
      <c r="C189" s="66">
        <f>myParidad('Flujo de Fondos'!$B$5,A189,B189,'Flujo de Fondos'!$B$7,'Flujo de Fondos'!$B$6)</f>
        <v>0.46005019581885381</v>
      </c>
      <c r="D189" s="65">
        <v>46</v>
      </c>
      <c r="E189" s="67">
        <f>myParidad('Flujo de Fondos'!$H$5,$A189,D189,'Flujo de Fondos'!$H$7,'Flujo de Fondos'!$H$6)</f>
        <v>0.4630702189861548</v>
      </c>
      <c r="F189" s="65">
        <v>38.35</v>
      </c>
      <c r="G189" s="66">
        <f>myParidad('Flujo de Fondos'!$N$5,$A189,F189,'Flujo de Fondos'!$N$7,'Flujo de Fondos'!$N$6)</f>
        <v>0.38381809581913778</v>
      </c>
      <c r="H189" s="65"/>
      <c r="I189" s="66">
        <f>myParidad('Flujo de Fondos'!$T$5,$A189,H189,'Flujo de Fondos'!$T$7,'Flujo de Fondos'!$T$6)</f>
        <v>0</v>
      </c>
      <c r="J189" s="65">
        <v>37.25</v>
      </c>
      <c r="K189" s="66">
        <f>myParidad('Flujo de Fondos'!$B$34,$A189,J189,'Flujo de Fondos'!$B$36,'Flujo de Fondos'!$B$35)</f>
        <v>0.37280897181911038</v>
      </c>
      <c r="L189" s="65">
        <v>37.9</v>
      </c>
      <c r="M189" s="66">
        <f>myParidad('Flujo de Fondos'!$H$34,'Paridad usd'!$A189,'Paridad usd'!L189,'Flujo de Fondos'!$H$36,'Flujo de Fondos'!$H$35)</f>
        <v>0.37931436327367202</v>
      </c>
      <c r="N189" s="69">
        <v>34.75</v>
      </c>
      <c r="O189" s="66">
        <f>myParidad('Flujo de Fondos'!$N$34,'Paridad usd'!$A189,'Paridad usd'!N189,'Flujo de Fondos'!$N$36,'Flujo de Fondos'!$N$35)</f>
        <v>0.34778823545541165</v>
      </c>
      <c r="P189" s="70">
        <f t="shared" si="158"/>
        <v>7.623209999971603E-2</v>
      </c>
      <c r="Q189" s="70">
        <f t="shared" si="159"/>
        <v>3.0200231673009892E-3</v>
      </c>
      <c r="R189" s="70">
        <f t="shared" si="161"/>
        <v>8.0735832545181796E-2</v>
      </c>
      <c r="S189" s="67">
        <f t="shared" si="162"/>
        <v>0.11226196036344216</v>
      </c>
      <c r="T189" s="70">
        <f t="shared" si="160"/>
        <v>0.11528198353074315</v>
      </c>
      <c r="U189" s="70">
        <f t="shared" si="163"/>
        <v>3.6029860363726129E-2</v>
      </c>
      <c r="V189" s="70">
        <f t="shared" si="150"/>
        <v>1.1009124000027404E-2</v>
      </c>
      <c r="W189" s="70">
        <f t="shared" si="151"/>
        <v>8.7241223999743434E-2</v>
      </c>
      <c r="X189" s="80">
        <f t="shared" si="152"/>
        <v>-0.38381809581913778</v>
      </c>
      <c r="Y189" s="90">
        <f t="shared" si="133"/>
        <v>4.5037325454657662E-3</v>
      </c>
    </row>
    <row r="190" spans="1:25" ht="15.75" customHeight="1" x14ac:dyDescent="0.25">
      <c r="A190" s="64">
        <v>44141</v>
      </c>
      <c r="B190" s="65">
        <v>45.41</v>
      </c>
      <c r="C190" s="66">
        <f>myParidad('Flujo de Fondos'!$B$5,A190,B190,'Flujo de Fondos'!$B$7,'Flujo de Fondos'!$B$6)</f>
        <v>0.45716866639084258</v>
      </c>
      <c r="D190" s="65">
        <v>45.6</v>
      </c>
      <c r="E190" s="67">
        <f>myParidad('Flujo de Fondos'!$H$5,$A190,D190,'Flujo de Fondos'!$H$7,'Flujo de Fondos'!$H$6)</f>
        <v>0.45908150599917252</v>
      </c>
      <c r="F190" s="65">
        <v>38</v>
      </c>
      <c r="G190" s="66">
        <f>myParidad('Flujo de Fondos'!$N$5,$A190,F190,'Flujo de Fondos'!$N$7,'Flujo de Fondos'!$N$6)</f>
        <v>0.38031910335726893</v>
      </c>
      <c r="H190" s="65"/>
      <c r="I190" s="66">
        <f>myParidad('Flujo de Fondos'!$T$5,$A190,H190,'Flujo de Fondos'!$T$7,'Flujo de Fondos'!$T$6)</f>
        <v>0</v>
      </c>
      <c r="J190" s="65">
        <v>35.799999999999997</v>
      </c>
      <c r="K190" s="66">
        <f>myParidad('Flujo de Fondos'!$B$34,$A190,J190,'Flujo de Fondos'!$B$36,'Flujo de Fondos'!$B$35)</f>
        <v>0.35830062895237441</v>
      </c>
      <c r="L190" s="65">
        <v>37.380000000000003</v>
      </c>
      <c r="M190" s="66">
        <f>myParidad('Flujo de Fondos'!$H$34,'Paridad usd'!$A190,'Paridad usd'!L190,'Flujo de Fondos'!$H$36,'Flujo de Fondos'!$H$35)</f>
        <v>0.37411389693407143</v>
      </c>
      <c r="N190" s="69">
        <v>34.590000000000003</v>
      </c>
      <c r="O190" s="66">
        <f>myParidad('Flujo de Fondos'!$N$34,'Paridad usd'!$A190,'Paridad usd'!N190,'Flujo de Fondos'!$N$36,'Flujo de Fondos'!$N$35)</f>
        <v>0.34619046802968245</v>
      </c>
      <c r="P190" s="70">
        <f t="shared" si="158"/>
        <v>7.6849563033573653E-2</v>
      </c>
      <c r="Q190" s="70">
        <f t="shared" si="159"/>
        <v>1.9128396083299415E-3</v>
      </c>
      <c r="R190" s="70">
        <f t="shared" si="161"/>
        <v>8.3054769456771149E-2</v>
      </c>
      <c r="S190" s="67">
        <f t="shared" si="162"/>
        <v>0.11097819836116013</v>
      </c>
      <c r="T190" s="70">
        <f t="shared" si="160"/>
        <v>0.11289103796949007</v>
      </c>
      <c r="U190" s="70">
        <f t="shared" si="163"/>
        <v>3.4128635327586476E-2</v>
      </c>
      <c r="V190" s="70">
        <f t="shared" si="150"/>
        <v>2.2018474404894517E-2</v>
      </c>
      <c r="W190" s="70">
        <f t="shared" si="151"/>
        <v>9.886803743846817E-2</v>
      </c>
      <c r="X190" s="80">
        <f t="shared" si="152"/>
        <v>-0.38031910335726893</v>
      </c>
      <c r="Y190" s="90">
        <f t="shared" si="133"/>
        <v>6.2052064231974957E-3</v>
      </c>
    </row>
    <row r="191" spans="1:25" ht="15.75" customHeight="1" x14ac:dyDescent="0.25">
      <c r="A191" s="64">
        <v>44140</v>
      </c>
      <c r="B191" s="65">
        <v>45.5</v>
      </c>
      <c r="C191" s="66">
        <f>myParidad('Flujo de Fondos'!$B$5,A191,B191,'Flujo de Fondos'!$B$7,'Flujo de Fondos'!$B$6)</f>
        <v>0.45808738346113531</v>
      </c>
      <c r="D191" s="65">
        <v>46.5</v>
      </c>
      <c r="E191" s="67">
        <f>myParidad('Flujo de Fondos'!$H$5,$A191,D191,'Flujo de Fondos'!$H$7,'Flujo de Fondos'!$H$6)</f>
        <v>0.46815523804269876</v>
      </c>
      <c r="F191" s="65">
        <v>37.99</v>
      </c>
      <c r="G191" s="66">
        <f>myParidad('Flujo de Fondos'!$N$5,$A191,F191,'Flujo de Fondos'!$N$7,'Flujo de Fondos'!$N$6)</f>
        <v>0.38022032260054706</v>
      </c>
      <c r="H191" s="65"/>
      <c r="I191" s="66">
        <f>myParidad('Flujo de Fondos'!$T$5,$A191,H191,'Flujo de Fondos'!$T$7,'Flujo de Fondos'!$T$6)</f>
        <v>0</v>
      </c>
      <c r="J191" s="65">
        <v>36.25</v>
      </c>
      <c r="K191" s="66">
        <f>myParidad('Flujo de Fondos'!$B$34,$A191,J191,'Flujo de Fondos'!$B$36,'Flujo de Fondos'!$B$35)</f>
        <v>0.36280565133639986</v>
      </c>
      <c r="L191" s="65">
        <v>37.4</v>
      </c>
      <c r="M191" s="66">
        <f>myParidad('Flujo de Fondos'!$H$34,'Paridad usd'!$A191,'Paridad usd'!L191,'Flujo de Fondos'!$H$36,'Flujo de Fondos'!$H$35)</f>
        <v>0.37431534786155457</v>
      </c>
      <c r="N191" s="69">
        <v>34.61</v>
      </c>
      <c r="O191" s="66">
        <f>myParidad('Flujo de Fondos'!$N$34,'Paridad usd'!$A191,'Paridad usd'!N191,'Flujo de Fondos'!$N$36,'Flujo de Fondos'!$N$35)</f>
        <v>0.34639182324835305</v>
      </c>
      <c r="P191" s="70">
        <f t="shared" si="158"/>
        <v>7.7867060860588255E-2</v>
      </c>
      <c r="Q191" s="70">
        <f t="shared" si="159"/>
        <v>1.0067854581563451E-2</v>
      </c>
      <c r="R191" s="70">
        <f t="shared" si="161"/>
        <v>8.3772035599580741E-2</v>
      </c>
      <c r="S191" s="67">
        <f t="shared" si="162"/>
        <v>0.11169556021278226</v>
      </c>
      <c r="T191" s="70">
        <f t="shared" si="160"/>
        <v>0.12176341479434571</v>
      </c>
      <c r="U191" s="70">
        <f t="shared" si="163"/>
        <v>3.3828499352194008E-2</v>
      </c>
      <c r="V191" s="70">
        <f t="shared" si="150"/>
        <v>1.7414671264147197E-2</v>
      </c>
      <c r="W191" s="70">
        <f t="shared" si="151"/>
        <v>9.5281732124735452E-2</v>
      </c>
      <c r="X191" s="80">
        <f t="shared" si="152"/>
        <v>-0.38022032260054706</v>
      </c>
      <c r="Y191" s="90">
        <f t="shared" si="133"/>
        <v>5.9049747389924856E-3</v>
      </c>
    </row>
    <row r="192" spans="1:25" ht="15.75" customHeight="1" x14ac:dyDescent="0.25">
      <c r="A192" s="64">
        <v>44139</v>
      </c>
      <c r="B192" s="65">
        <v>44.9</v>
      </c>
      <c r="C192" s="66">
        <f>myParidad('Flujo de Fondos'!$B$5,A192,B192,'Flujo de Fondos'!$B$7,'Flujo de Fondos'!$B$6)</f>
        <v>0.45205913993324687</v>
      </c>
      <c r="D192" s="65">
        <v>45.45</v>
      </c>
      <c r="E192" s="67">
        <f>myParidad('Flujo de Fondos'!$H$5,$A192,D192,'Flujo de Fondos'!$H$7,'Flujo de Fondos'!$H$6)</f>
        <v>0.45759661269412188</v>
      </c>
      <c r="F192" s="65">
        <v>38.39</v>
      </c>
      <c r="G192" s="66">
        <f>myParidad('Flujo de Fondos'!$N$5,$A192,F192,'Flujo de Fondos'!$N$7,'Flujo de Fondos'!$N$6)</f>
        <v>0.3842250122535158</v>
      </c>
      <c r="H192" s="65"/>
      <c r="I192" s="66">
        <f>myParidad('Flujo de Fondos'!$T$5,$A192,H192,'Flujo de Fondos'!$T$7,'Flujo de Fondos'!$T$6)</f>
        <v>0</v>
      </c>
      <c r="J192" s="65">
        <v>35.6</v>
      </c>
      <c r="K192" s="66">
        <f>myParidad('Flujo de Fondos'!$B$34,$A192,J192,'Flujo de Fondos'!$B$36,'Flujo de Fondos'!$B$35)</f>
        <v>0.35630139193084565</v>
      </c>
      <c r="L192" s="65">
        <v>37.25</v>
      </c>
      <c r="M192" s="66">
        <f>myParidad('Flujo de Fondos'!$H$34,'Paridad usd'!$A192,'Paridad usd'!L192,'Flujo de Fondos'!$H$36,'Flujo de Fondos'!$H$35)</f>
        <v>0.37281536093887641</v>
      </c>
      <c r="N192" s="69">
        <v>34</v>
      </c>
      <c r="O192" s="66">
        <f>myParidad('Flujo de Fondos'!$N$34,'Paridad usd'!$A192,'Paridad usd'!N192,'Flujo de Fondos'!$N$36,'Flujo de Fondos'!$N$35)</f>
        <v>0.34028784622608849</v>
      </c>
      <c r="P192" s="70">
        <f t="shared" si="158"/>
        <v>6.7834127679731071E-2</v>
      </c>
      <c r="Q192" s="70">
        <f t="shared" si="159"/>
        <v>5.5374727608750174E-3</v>
      </c>
      <c r="R192" s="70">
        <f t="shared" si="161"/>
        <v>7.9243778994370462E-2</v>
      </c>
      <c r="S192" s="67">
        <f t="shared" si="162"/>
        <v>0.11177129370715838</v>
      </c>
      <c r="T192" s="70">
        <f t="shared" si="160"/>
        <v>0.1173087664680334</v>
      </c>
      <c r="U192" s="70">
        <f t="shared" si="163"/>
        <v>4.393716602742731E-2</v>
      </c>
      <c r="V192" s="70">
        <f t="shared" si="150"/>
        <v>2.7923620322670151E-2</v>
      </c>
      <c r="W192" s="70">
        <f t="shared" si="151"/>
        <v>9.5757748002401222E-2</v>
      </c>
      <c r="X192" s="80">
        <f t="shared" si="152"/>
        <v>-0.3842250122535158</v>
      </c>
      <c r="Y192" s="90">
        <f t="shared" si="133"/>
        <v>1.1409651314639391E-2</v>
      </c>
    </row>
    <row r="193" spans="1:25" ht="15.75" customHeight="1" x14ac:dyDescent="0.25">
      <c r="A193" s="64">
        <v>44138</v>
      </c>
      <c r="B193" s="65">
        <v>44.8</v>
      </c>
      <c r="C193" s="66">
        <f>myParidad('Flujo de Fondos'!$B$5,A193,B193,'Flujo de Fondos'!$B$7,'Flujo de Fondos'!$B$6)</f>
        <v>0.4510647688403398</v>
      </c>
      <c r="D193" s="65">
        <v>44.76</v>
      </c>
      <c r="E193" s="67">
        <f>myParidad('Flujo de Fondos'!$H$5,$A193,D193,'Flujo de Fondos'!$H$7,'Flujo de Fondos'!$H$6)</f>
        <v>0.45066203243958952</v>
      </c>
      <c r="F193" s="65">
        <v>38.380000000000003</v>
      </c>
      <c r="G193" s="66">
        <f>myParidad('Flujo de Fondos'!$N$5,$A193,F193,'Flujo de Fondos'!$N$7,'Flujo de Fondos'!$N$6)</f>
        <v>0.38412624420740904</v>
      </c>
      <c r="H193" s="65"/>
      <c r="I193" s="66">
        <f>myParidad('Flujo de Fondos'!$T$5,$A193,H193,'Flujo de Fondos'!$T$7,'Flujo de Fondos'!$T$6)</f>
        <v>0</v>
      </c>
      <c r="J193" s="65">
        <v>35.5</v>
      </c>
      <c r="K193" s="66">
        <f>myParidad('Flujo de Fondos'!$B$34,$A193,J193,'Flujo de Fondos'!$B$36,'Flujo de Fondos'!$B$35)</f>
        <v>0.35530176314129808</v>
      </c>
      <c r="L193" s="65">
        <v>36.85</v>
      </c>
      <c r="M193" s="66">
        <f>myParidad('Flujo de Fondos'!$H$34,'Paridad usd'!$A193,'Paridad usd'!L193,'Flujo de Fondos'!$H$36,'Flujo de Fondos'!$H$35)</f>
        <v>0.3688132386410376</v>
      </c>
      <c r="N193" s="69">
        <v>34.020000000000003</v>
      </c>
      <c r="O193" s="66">
        <f>myParidad('Flujo de Fondos'!$N$34,'Paridad usd'!$A193,'Paridad usd'!N193,'Flujo de Fondos'!$N$36,'Flujo de Fondos'!$N$35)</f>
        <v>0.34048918259343552</v>
      </c>
      <c r="P193" s="70">
        <f t="shared" si="158"/>
        <v>6.6938524632930763E-2</v>
      </c>
      <c r="Q193" s="70">
        <f t="shared" si="159"/>
        <v>-4.0273640075028094E-4</v>
      </c>
      <c r="R193" s="70">
        <f t="shared" si="161"/>
        <v>8.2251530199302203E-2</v>
      </c>
      <c r="S193" s="67">
        <f t="shared" si="162"/>
        <v>0.11057558624690428</v>
      </c>
      <c r="T193" s="70">
        <f t="shared" si="160"/>
        <v>0.110172849846154</v>
      </c>
      <c r="U193" s="70">
        <f t="shared" si="163"/>
        <v>4.3637061613973516E-2</v>
      </c>
      <c r="V193" s="70">
        <f t="shared" si="150"/>
        <v>2.8824481066110963E-2</v>
      </c>
      <c r="W193" s="70">
        <f t="shared" si="151"/>
        <v>9.5763005699041726E-2</v>
      </c>
      <c r="X193" s="80">
        <f t="shared" si="152"/>
        <v>-0.38412624420740904</v>
      </c>
      <c r="Y193" s="90">
        <f t="shared" si="133"/>
        <v>1.531300556637144E-2</v>
      </c>
    </row>
    <row r="194" spans="1:25" ht="15.75" customHeight="1" x14ac:dyDescent="0.25">
      <c r="A194" s="64">
        <v>44137</v>
      </c>
      <c r="B194" s="65">
        <v>43.71</v>
      </c>
      <c r="C194" s="66">
        <f>myParidad('Flujo de Fondos'!$B$5,A194,B194,'Flujo de Fondos'!$B$7,'Flujo de Fondos'!$B$6)</f>
        <v>0.44010234200435849</v>
      </c>
      <c r="D194" s="65">
        <v>44.83</v>
      </c>
      <c r="E194" s="67">
        <f>myParidad('Flujo de Fondos'!$H$5,$A194,D194,'Flujo de Fondos'!$H$7,'Flujo de Fondos'!$H$6)</f>
        <v>0.45137927229593666</v>
      </c>
      <c r="F194" s="65">
        <v>38.64</v>
      </c>
      <c r="G194" s="66">
        <f>myParidad('Flujo de Fondos'!$N$5,$A194,F194,'Flujo de Fondos'!$N$7,'Flujo de Fondos'!$N$6)</f>
        <v>0.38672977984651297</v>
      </c>
      <c r="H194" s="65"/>
      <c r="I194" s="66">
        <f>myParidad('Flujo de Fondos'!$T$5,$A194,H194,'Flujo de Fondos'!$T$7,'Flujo de Fondos'!$T$6)</f>
        <v>0</v>
      </c>
      <c r="J194" s="65">
        <v>35.06</v>
      </c>
      <c r="K194" s="66">
        <f>myParidad('Flujo de Fondos'!$B$34,$A194,J194,'Flujo de Fondos'!$B$36,'Flujo de Fondos'!$B$35)</f>
        <v>0.35089922570959486</v>
      </c>
      <c r="L194" s="65">
        <v>36.25</v>
      </c>
      <c r="M194" s="66">
        <f>myParidad('Flujo de Fondos'!$H$34,'Paridad usd'!$A194,'Paridad usd'!L194,'Flujo de Fondos'!$H$36,'Flujo de Fondos'!$H$35)</f>
        <v>0.36280938197298379</v>
      </c>
      <c r="N194" s="69">
        <v>33.6</v>
      </c>
      <c r="O194" s="66">
        <f>myParidad('Flujo de Fondos'!$N$34,'Paridad usd'!$A194,'Paridad usd'!N194,'Flujo de Fondos'!$N$36,'Flujo de Fondos'!$N$35)</f>
        <v>0.3362867650839243</v>
      </c>
      <c r="P194" s="70">
        <f t="shared" si="158"/>
        <v>5.3372562157845527E-2</v>
      </c>
      <c r="Q194" s="70">
        <f t="shared" si="159"/>
        <v>1.1276930291578169E-2</v>
      </c>
      <c r="R194" s="70">
        <f t="shared" si="161"/>
        <v>7.7292960031374702E-2</v>
      </c>
      <c r="S194" s="67">
        <f t="shared" si="162"/>
        <v>0.10381557692043419</v>
      </c>
      <c r="T194" s="70">
        <f t="shared" si="160"/>
        <v>0.11509250721201236</v>
      </c>
      <c r="U194" s="70">
        <f t="shared" si="163"/>
        <v>5.0443014762588667E-2</v>
      </c>
      <c r="V194" s="70">
        <f t="shared" si="150"/>
        <v>3.5830554136918102E-2</v>
      </c>
      <c r="W194" s="70">
        <f t="shared" si="151"/>
        <v>8.9203116294763629E-2</v>
      </c>
      <c r="X194" s="80">
        <f t="shared" si="152"/>
        <v>-0.38672977984651297</v>
      </c>
      <c r="Y194" s="90">
        <f t="shared" si="133"/>
        <v>2.3920397873529176E-2</v>
      </c>
    </row>
    <row r="195" spans="1:25" ht="15.75" customHeight="1" x14ac:dyDescent="0.25">
      <c r="A195" s="64">
        <v>44134</v>
      </c>
      <c r="B195" s="65">
        <v>44.9</v>
      </c>
      <c r="C195" s="66">
        <f>myParidad('Flujo de Fondos'!$B$5,A195,B195,'Flujo de Fondos'!$B$7,'Flujo de Fondos'!$B$6)</f>
        <v>0.45212149635841975</v>
      </c>
      <c r="D195" s="65">
        <v>46.5</v>
      </c>
      <c r="E195" s="67">
        <f>myParidad('Flujo de Fondos'!$H$5,$A195,D195,'Flujo de Fondos'!$H$7,'Flujo de Fondos'!$H$6)</f>
        <v>0.46823273008165966</v>
      </c>
      <c r="F195" s="65">
        <v>38.049999999999997</v>
      </c>
      <c r="G195" s="66">
        <f>myParidad('Flujo de Fondos'!$N$5,$A195,F195,'Flujo de Fondos'!$N$7,'Flujo de Fondos'!$N$6)</f>
        <v>0.38082866035071361</v>
      </c>
      <c r="H195" s="65"/>
      <c r="I195" s="66">
        <f>myParidad('Flujo de Fondos'!$T$5,$A195,H195,'Flujo de Fondos'!$T$7,'Flujo de Fondos'!$T$6)</f>
        <v>0</v>
      </c>
      <c r="J195" s="65">
        <v>35.1</v>
      </c>
      <c r="K195" s="66">
        <f>myParidad('Flujo de Fondos'!$B$34,$A195,J195,'Flujo de Fondos'!$B$36,'Flujo de Fondos'!$B$35)</f>
        <v>0.35130317945624306</v>
      </c>
      <c r="L195" s="65">
        <v>35.979999999999997</v>
      </c>
      <c r="M195" s="66">
        <f>myParidad('Flujo de Fondos'!$H$34,'Paridad usd'!$A195,'Paridad usd'!L195,'Flujo de Fondos'!$H$36,'Flujo de Fondos'!$H$35)</f>
        <v>0.36011078053662748</v>
      </c>
      <c r="N195" s="69">
        <v>33.5</v>
      </c>
      <c r="O195" s="66">
        <f>myParidad('Flujo de Fondos'!$N$34,'Paridad usd'!$A195,'Paridad usd'!N195,'Flujo de Fondos'!$N$36,'Flujo de Fondos'!$N$35)</f>
        <v>0.33528935931008952</v>
      </c>
      <c r="P195" s="70">
        <f t="shared" si="158"/>
        <v>7.129283600770614E-2</v>
      </c>
      <c r="Q195" s="70">
        <f t="shared" si="159"/>
        <v>1.6111233723239915E-2</v>
      </c>
      <c r="R195" s="70">
        <f t="shared" si="161"/>
        <v>9.2010715821792266E-2</v>
      </c>
      <c r="S195" s="67">
        <f t="shared" si="162"/>
        <v>0.11683213704833023</v>
      </c>
      <c r="T195" s="70">
        <f t="shared" si="160"/>
        <v>0.13294337077157015</v>
      </c>
      <c r="U195" s="70">
        <f t="shared" si="163"/>
        <v>4.5539301040624092E-2</v>
      </c>
      <c r="V195" s="70">
        <f t="shared" si="150"/>
        <v>2.9525480894470546E-2</v>
      </c>
      <c r="W195" s="70">
        <f t="shared" si="151"/>
        <v>0.10081831690217669</v>
      </c>
      <c r="X195" s="80">
        <f t="shared" si="152"/>
        <v>-0.38082866035071361</v>
      </c>
      <c r="Y195" s="90">
        <f t="shared" si="133"/>
        <v>2.0717879814086126E-2</v>
      </c>
    </row>
    <row r="196" spans="1:25" x14ac:dyDescent="0.25">
      <c r="A196" s="64">
        <v>44133</v>
      </c>
      <c r="B196" s="65">
        <v>45.45</v>
      </c>
      <c r="C196" s="66">
        <f>myParidad('Flujo de Fondos'!$B$5,A196,B196,'Flujo de Fondos'!$B$7,'Flujo de Fondos'!$B$6)</f>
        <v>0.45767235909178694</v>
      </c>
      <c r="D196" s="65">
        <v>46.7</v>
      </c>
      <c r="E196" s="67">
        <f>myParidad('Flujo de Fondos'!$H$5,$A196,D196,'Flujo de Fondos'!$H$7,'Flujo de Fondos'!$H$6)</f>
        <v>0.47025960769167108</v>
      </c>
      <c r="F196" s="65">
        <v>38.74</v>
      </c>
      <c r="G196" s="66">
        <f>myParidad('Flujo de Fondos'!$N$5,$A196,F196,'Flujo de Fondos'!$N$7,'Flujo de Fondos'!$N$6)</f>
        <v>0.38773594929853605</v>
      </c>
      <c r="H196" s="65"/>
      <c r="I196" s="66">
        <f>myParidad('Flujo de Fondos'!$T$5,$A196,H196,'Flujo de Fondos'!$T$7,'Flujo de Fondos'!$T$6)</f>
        <v>0</v>
      </c>
      <c r="J196" s="65">
        <v>35.01</v>
      </c>
      <c r="K196" s="66">
        <f>myParidad('Flujo de Fondos'!$B$34,$A196,J196,'Flujo de Fondos'!$B$36,'Flujo de Fondos'!$B$35)</f>
        <v>0.35040360312188296</v>
      </c>
      <c r="L196" s="65">
        <v>36.090000000000003</v>
      </c>
      <c r="M196" s="66">
        <f>myParidad('Flujo de Fondos'!$H$34,'Paridad usd'!$A196,'Paridad usd'!L196,'Flujo de Fondos'!$H$36,'Flujo de Fondos'!$H$35)</f>
        <v>0.36121296877088716</v>
      </c>
      <c r="N196" s="69">
        <v>33.65</v>
      </c>
      <c r="O196" s="66">
        <f>myParidad('Flujo de Fondos'!$N$34,'Paridad usd'!$A196,'Paridad usd'!N196,'Flujo de Fondos'!$N$36,'Flujo de Fondos'!$N$35)</f>
        <v>0.33679180934165559</v>
      </c>
      <c r="P196" s="70">
        <f t="shared" si="158"/>
        <v>6.9936409793250887E-2</v>
      </c>
      <c r="Q196" s="70">
        <f t="shared" si="159"/>
        <v>1.2587248599884138E-2</v>
      </c>
      <c r="R196" s="70">
        <f t="shared" si="161"/>
        <v>9.6459390320899785E-2</v>
      </c>
      <c r="S196" s="67">
        <f t="shared" si="162"/>
        <v>0.12088054975013135</v>
      </c>
      <c r="T196" s="70">
        <f t="shared" si="160"/>
        <v>0.13346779835001549</v>
      </c>
      <c r="U196" s="70">
        <f t="shared" si="163"/>
        <v>5.0944139956880463E-2</v>
      </c>
      <c r="V196" s="70">
        <f t="shared" si="150"/>
        <v>3.7332346176653097E-2</v>
      </c>
      <c r="W196" s="70">
        <f t="shared" si="151"/>
        <v>0.10726875596990398</v>
      </c>
      <c r="X196" s="80">
        <f t="shared" si="152"/>
        <v>-0.38773594929853605</v>
      </c>
      <c r="Y196" s="90">
        <f t="shared" si="133"/>
        <v>2.6522980527648898E-2</v>
      </c>
    </row>
    <row r="197" spans="1:25" x14ac:dyDescent="0.25">
      <c r="A197" s="64">
        <v>44132</v>
      </c>
      <c r="B197" s="65">
        <v>44.2</v>
      </c>
      <c r="C197" s="66">
        <f>myParidad('Flujo de Fondos'!$B$5,A197,B197,'Flujo de Fondos'!$B$7,'Flujo de Fondos'!$B$6)</f>
        <v>0.44509739005683391</v>
      </c>
      <c r="D197" s="65">
        <v>48</v>
      </c>
      <c r="E197" s="67">
        <f>myParidad('Flujo de Fondos'!$H$5,$A197,D197,'Flujo de Fondos'!$H$7,'Flujo de Fondos'!$H$6)</f>
        <v>0.48336368150968384</v>
      </c>
      <c r="F197" s="65">
        <v>38.799999999999997</v>
      </c>
      <c r="G197" s="66">
        <f>myParidad('Flujo de Fondos'!$N$5,$A197,F197,'Flujo de Fondos'!$N$7,'Flujo de Fondos'!$N$6)</f>
        <v>0.38833780068964097</v>
      </c>
      <c r="H197" s="65"/>
      <c r="I197" s="66">
        <f>myParidad('Flujo de Fondos'!$T$5,$A197,H197,'Flujo de Fondos'!$T$7,'Flujo de Fondos'!$T$6)</f>
        <v>0</v>
      </c>
      <c r="J197" s="65">
        <v>35</v>
      </c>
      <c r="K197" s="66">
        <f>myParidad('Flujo de Fondos'!$B$34,$A197,J197,'Flujo de Fondos'!$B$36,'Flujo de Fondos'!$B$35)</f>
        <v>0.35030471711694416</v>
      </c>
      <c r="L197" s="65">
        <v>36.1</v>
      </c>
      <c r="M197" s="66">
        <f>myParidad('Flujo de Fondos'!$H$34,'Paridad usd'!$A197,'Paridad usd'!L197,'Flujo de Fondos'!$H$36,'Flujo de Fondos'!$H$35)</f>
        <v>0.36131429394061959</v>
      </c>
      <c r="N197" s="69">
        <v>33.79</v>
      </c>
      <c r="O197" s="66">
        <f>myParidad('Flujo de Fondos'!$N$34,'Paridad usd'!$A197,'Paridad usd'!N197,'Flujo de Fondos'!$N$36,'Flujo de Fondos'!$N$35)</f>
        <v>0.33819418261090123</v>
      </c>
      <c r="P197" s="70">
        <f t="shared" si="158"/>
        <v>5.6759589367192942E-2</v>
      </c>
      <c r="Q197" s="70">
        <f t="shared" si="159"/>
        <v>3.8266291452849932E-2</v>
      </c>
      <c r="R197" s="70">
        <f t="shared" si="161"/>
        <v>8.3783096116214317E-2</v>
      </c>
      <c r="S197" s="67">
        <f t="shared" si="162"/>
        <v>0.10690320744593268</v>
      </c>
      <c r="T197" s="70">
        <f t="shared" si="160"/>
        <v>0.14516949889878261</v>
      </c>
      <c r="U197" s="70">
        <f t="shared" si="163"/>
        <v>5.0143618078739738E-2</v>
      </c>
      <c r="V197" s="70">
        <f t="shared" si="150"/>
        <v>3.8033083572696802E-2</v>
      </c>
      <c r="W197" s="70">
        <f t="shared" si="151"/>
        <v>9.4792672939889744E-2</v>
      </c>
      <c r="X197" s="80">
        <f t="shared" si="152"/>
        <v>-0.38833780068964097</v>
      </c>
      <c r="Y197" s="90">
        <f t="shared" si="133"/>
        <v>2.7023506749021375E-2</v>
      </c>
    </row>
    <row r="198" spans="1:25" x14ac:dyDescent="0.25">
      <c r="A198" s="64">
        <v>44131</v>
      </c>
      <c r="B198" s="65">
        <v>43</v>
      </c>
      <c r="C198" s="66">
        <f>myParidad('Flujo de Fondos'!$B$5,A198,B198,'Flujo de Fondos'!$B$7,'Flujo de Fondos'!$B$6)</f>
        <v>0.43302524486136018</v>
      </c>
      <c r="D198" s="65">
        <v>45</v>
      </c>
      <c r="E198" s="67">
        <f>myParidad('Flujo de Fondos'!$H$5,$A198,D198,'Flujo de Fondos'!$H$7,'Flujo de Fondos'!$H$6)</f>
        <v>0.45316595392467929</v>
      </c>
      <c r="F198" s="65">
        <v>39.22</v>
      </c>
      <c r="G198" s="66">
        <f>myParidad('Flujo de Fondos'!$N$5,$A198,F198,'Flujo de Fondos'!$N$7,'Flujo de Fondos'!$N$6)</f>
        <v>0.39254280279010778</v>
      </c>
      <c r="H198" s="65"/>
      <c r="I198" s="66">
        <f>myParidad('Flujo de Fondos'!$T$5,$A198,H198,'Flujo de Fondos'!$T$7,'Flujo de Fondos'!$T$6)</f>
        <v>0</v>
      </c>
      <c r="J198" s="65">
        <v>35.200000000000003</v>
      </c>
      <c r="K198" s="66">
        <f>myParidad('Flujo de Fondos'!$B$34,$A198,J198,'Flujo de Fondos'!$B$36,'Flujo de Fondos'!$B$35)</f>
        <v>0.35230766594114726</v>
      </c>
      <c r="L198" s="65">
        <v>36.6</v>
      </c>
      <c r="M198" s="66">
        <f>myParidad('Flujo de Fondos'!$H$34,'Paridad usd'!$A198,'Paridad usd'!L198,'Flujo de Fondos'!$H$36,'Flujo de Fondos'!$H$35)</f>
        <v>0.36631990265471559</v>
      </c>
      <c r="N198" s="69">
        <v>34</v>
      </c>
      <c r="O198" s="66">
        <f>myParidad('Flujo de Fondos'!$N$34,'Paridad usd'!$A198,'Paridad usd'!N198,'Flujo de Fondos'!$N$36,'Flujo de Fondos'!$N$35)</f>
        <v>0.3402971773295172</v>
      </c>
      <c r="P198" s="70">
        <f t="shared" si="158"/>
        <v>4.04824420712524E-2</v>
      </c>
      <c r="Q198" s="70">
        <f t="shared" si="159"/>
        <v>2.0140709063319107E-2</v>
      </c>
      <c r="R198" s="70">
        <f t="shared" si="161"/>
        <v>6.6705342206644591E-2</v>
      </c>
      <c r="S198" s="67">
        <f t="shared" si="162"/>
        <v>9.2728067531842984E-2</v>
      </c>
      <c r="T198" s="70">
        <f t="shared" si="160"/>
        <v>0.11286877659516209</v>
      </c>
      <c r="U198" s="70">
        <f t="shared" si="163"/>
        <v>5.2245625460590583E-2</v>
      </c>
      <c r="V198" s="70">
        <f t="shared" si="150"/>
        <v>4.0235136848960518E-2</v>
      </c>
      <c r="W198" s="70">
        <f t="shared" si="151"/>
        <v>8.0717578920212918E-2</v>
      </c>
      <c r="X198" s="80">
        <f t="shared" si="152"/>
        <v>-0.39254280279010778</v>
      </c>
      <c r="Y198" s="90">
        <f t="shared" si="133"/>
        <v>2.6222900135392191E-2</v>
      </c>
    </row>
    <row r="199" spans="1:25" x14ac:dyDescent="0.25">
      <c r="A199" s="64">
        <v>44130</v>
      </c>
      <c r="B199" s="65">
        <v>40.56</v>
      </c>
      <c r="C199" s="66">
        <f>myParidad('Flujo de Fondos'!$B$5,A199,B199,'Flujo de Fondos'!$B$7,'Flujo de Fondos'!$B$6)</f>
        <v>0.40846484935437594</v>
      </c>
      <c r="D199" s="65">
        <v>47</v>
      </c>
      <c r="E199" s="67">
        <f>myParidad('Flujo de Fondos'!$H$5,$A199,D199,'Flujo de Fondos'!$H$7,'Flujo de Fondos'!$H$6)</f>
        <v>0.47331972188500165</v>
      </c>
      <c r="F199" s="65">
        <v>38.229999999999997</v>
      </c>
      <c r="G199" s="66">
        <f>myParidad('Flujo de Fondos'!$N$5,$A199,F199,'Flujo de Fondos'!$N$7,'Flujo de Fondos'!$N$6)</f>
        <v>0.38263546122628056</v>
      </c>
      <c r="H199" s="65"/>
      <c r="I199" s="66">
        <f>myParidad('Flujo de Fondos'!$T$5,$A199,H199,'Flujo de Fondos'!$T$7,'Flujo de Fondos'!$T$6)</f>
        <v>0</v>
      </c>
      <c r="J199" s="65">
        <v>34.200000000000003</v>
      </c>
      <c r="K199" s="66">
        <f>myParidad('Flujo de Fondos'!$B$34,$A199,J199,'Flujo de Fondos'!$B$36,'Flujo de Fondos'!$B$35)</f>
        <v>0.34230009871668315</v>
      </c>
      <c r="L199" s="65">
        <v>36</v>
      </c>
      <c r="M199" s="66">
        <f>myParidad('Flujo de Fondos'!$H$34,'Paridad usd'!$A199,'Paridad usd'!L199,'Flujo de Fondos'!$H$36,'Flujo de Fondos'!$H$35)</f>
        <v>0.36031589338598224</v>
      </c>
      <c r="N199" s="69">
        <v>33.4</v>
      </c>
      <c r="O199" s="66">
        <f>myParidad('Flujo de Fondos'!$N$34,'Paridad usd'!$A199,'Paridad usd'!N199,'Flujo de Fondos'!$N$36,'Flujo de Fondos'!$N$35)</f>
        <v>0.33429307886366127</v>
      </c>
      <c r="P199" s="70">
        <f t="shared" ref="P199:P228" si="164">C199-G199</f>
        <v>2.5829388128095376E-2</v>
      </c>
      <c r="Q199" s="70">
        <f t="shared" si="159"/>
        <v>6.4854872530625718E-2</v>
      </c>
      <c r="R199" s="70">
        <f t="shared" si="161"/>
        <v>4.8148955968393692E-2</v>
      </c>
      <c r="S199" s="67">
        <f t="shared" si="162"/>
        <v>7.4171770490714661E-2</v>
      </c>
      <c r="T199" s="70">
        <f t="shared" si="160"/>
        <v>0.13902664302134038</v>
      </c>
      <c r="U199" s="70">
        <f t="shared" si="163"/>
        <v>4.8342382362619285E-2</v>
      </c>
      <c r="V199" s="70">
        <f t="shared" si="150"/>
        <v>4.0335362509597406E-2</v>
      </c>
      <c r="W199" s="70">
        <f t="shared" si="151"/>
        <v>6.6164750637692782E-2</v>
      </c>
      <c r="X199" s="80">
        <f t="shared" si="152"/>
        <v>-0.38263546122628056</v>
      </c>
      <c r="Y199" s="90">
        <f t="shared" si="133"/>
        <v>2.2319567840298316E-2</v>
      </c>
    </row>
    <row r="200" spans="1:25" x14ac:dyDescent="0.25">
      <c r="A200" s="64">
        <v>44127</v>
      </c>
      <c r="B200" s="65">
        <v>43.66</v>
      </c>
      <c r="C200" s="66">
        <f>myParidad('Flujo de Fondos'!$B$5,A200,B200,'Flujo de Fondos'!$B$7,'Flujo de Fondos'!$B$6)</f>
        <v>0.43972020639607073</v>
      </c>
      <c r="D200" s="65">
        <v>49</v>
      </c>
      <c r="E200" s="67">
        <f>myParidad('Flujo de Fondos'!$H$5,$A200,D200,'Flujo de Fondos'!$H$7,'Flujo de Fondos'!$H$6)</f>
        <v>0.4935018349383295</v>
      </c>
      <c r="F200" s="65">
        <v>40.15</v>
      </c>
      <c r="G200" s="66">
        <f>myParidad('Flujo de Fondos'!$N$5,$A200,F200,'Flujo de Fondos'!$N$7,'Flujo de Fondos'!$N$6)</f>
        <v>0.40185644115842473</v>
      </c>
      <c r="H200" s="65"/>
      <c r="I200" s="66">
        <f>myParidad('Flujo de Fondos'!$T$5,$A200,H200,'Flujo de Fondos'!$T$7,'Flujo de Fondos'!$T$6)</f>
        <v>0</v>
      </c>
      <c r="J200" s="65">
        <v>35.450000000000003</v>
      </c>
      <c r="K200" s="66">
        <f>myParidad('Flujo de Fondos'!$B$34,$A200,J200,'Flujo de Fondos'!$B$36,'Flujo de Fondos'!$B$35)</f>
        <v>0.35481471579243234</v>
      </c>
      <c r="L200" s="65">
        <v>37.28</v>
      </c>
      <c r="M200" s="66">
        <f>myParidad('Flujo de Fondos'!$H$34,'Paridad usd'!$A200,'Paridad usd'!L200,'Flujo de Fondos'!$H$36,'Flujo de Fondos'!$H$35)</f>
        <v>0.37313096205195706</v>
      </c>
      <c r="N200" s="69">
        <v>34.15</v>
      </c>
      <c r="O200" s="66">
        <f>myParidad('Flujo de Fondos'!$N$34,'Paridad usd'!$A200,'Paridad usd'!N200,'Flujo de Fondos'!$N$36,'Flujo de Fondos'!$N$35)</f>
        <v>0.34180317473375355</v>
      </c>
      <c r="P200" s="70">
        <f t="shared" si="164"/>
        <v>3.7863765237646008E-2</v>
      </c>
      <c r="Q200" s="70">
        <f t="shared" ref="Q200:Q228" si="165">E200-C200</f>
        <v>5.3781628542258764E-2</v>
      </c>
      <c r="R200" s="70">
        <f t="shared" si="161"/>
        <v>6.6589244344113674E-2</v>
      </c>
      <c r="S200" s="67">
        <f t="shared" si="162"/>
        <v>9.7917031662317189E-2</v>
      </c>
      <c r="T200" s="70">
        <f t="shared" ref="T200:T228" si="166">E200-O200</f>
        <v>0.15169866020457595</v>
      </c>
      <c r="U200" s="70">
        <f t="shared" si="163"/>
        <v>6.0053266424671181E-2</v>
      </c>
      <c r="V200" s="70">
        <f t="shared" si="150"/>
        <v>4.7041725365992382E-2</v>
      </c>
      <c r="W200" s="70">
        <f t="shared" si="151"/>
        <v>8.4905490603638389E-2</v>
      </c>
      <c r="X200" s="80">
        <f t="shared" si="152"/>
        <v>-0.40185644115842473</v>
      </c>
      <c r="Y200" s="90">
        <f t="shared" si="133"/>
        <v>2.8725479106467666E-2</v>
      </c>
    </row>
    <row r="201" spans="1:25" x14ac:dyDescent="0.25">
      <c r="A201" s="64">
        <v>44126</v>
      </c>
      <c r="B201" s="65">
        <v>42.1</v>
      </c>
      <c r="C201" s="66">
        <f>myParidad('Flujo de Fondos'!$B$5,A201,B201,'Flujo de Fondos'!$B$7,'Flujo de Fondos'!$B$6)</f>
        <v>0.42402041942604857</v>
      </c>
      <c r="D201" s="65">
        <v>48</v>
      </c>
      <c r="E201" s="67">
        <f>myParidad('Flujo de Fondos'!$H$5,$A201,D201,'Flujo de Fondos'!$H$7,'Flujo de Fondos'!$H$6)</f>
        <v>0.48344370860927155</v>
      </c>
      <c r="F201" s="65">
        <v>40.1</v>
      </c>
      <c r="G201" s="66">
        <f>myParidad('Flujo de Fondos'!$N$5,$A201,F201,'Flujo de Fondos'!$N$7,'Flujo de Fondos'!$N$6)</f>
        <v>0.40135737300335916</v>
      </c>
      <c r="H201" s="65"/>
      <c r="I201" s="66">
        <f>myParidad('Flujo de Fondos'!$T$5,$A201,H201,'Flujo de Fondos'!$T$7,'Flujo de Fondos'!$T$6)</f>
        <v>0</v>
      </c>
      <c r="J201" s="65">
        <v>35</v>
      </c>
      <c r="K201" s="66">
        <f>myParidad('Flujo de Fondos'!$B$34,$A201,J201,'Flujo de Fondos'!$B$36,'Flujo de Fondos'!$B$35)</f>
        <v>0.35031192157400426</v>
      </c>
      <c r="L201" s="65">
        <v>37.74</v>
      </c>
      <c r="M201" s="66">
        <f>myParidad('Flujo de Fondos'!$H$34,'Paridad usd'!$A201,'Paridad usd'!L201,'Flujo de Fondos'!$H$36,'Flujo de Fondos'!$H$35)</f>
        <v>0.37773634057722633</v>
      </c>
      <c r="N201" s="69">
        <v>34.6</v>
      </c>
      <c r="O201" s="66">
        <f>myParidad('Flujo de Fondos'!$N$34,'Paridad usd'!$A201,'Paridad usd'!N201,'Flujo de Fondos'!$N$36,'Flujo de Fondos'!$N$35)</f>
        <v>0.34630835675601562</v>
      </c>
      <c r="P201" s="70">
        <f t="shared" si="164"/>
        <v>2.2663046422689404E-2</v>
      </c>
      <c r="Q201" s="70">
        <f t="shared" si="165"/>
        <v>5.9423289183222983E-2</v>
      </c>
      <c r="R201" s="70">
        <f t="shared" si="161"/>
        <v>4.6284078848822241E-2</v>
      </c>
      <c r="S201" s="67">
        <f t="shared" si="162"/>
        <v>7.7712062670032944E-2</v>
      </c>
      <c r="T201" s="70">
        <f t="shared" si="166"/>
        <v>0.13713535185325593</v>
      </c>
      <c r="U201" s="70">
        <f t="shared" si="163"/>
        <v>5.5049016247343541E-2</v>
      </c>
      <c r="V201" s="70">
        <f t="shared" si="150"/>
        <v>5.1045451429354904E-2</v>
      </c>
      <c r="W201" s="70">
        <f t="shared" si="151"/>
        <v>7.3708497852044308E-2</v>
      </c>
      <c r="X201" s="80">
        <f t="shared" si="152"/>
        <v>-0.40135737300335916</v>
      </c>
      <c r="Y201" s="90">
        <f t="shared" si="133"/>
        <v>2.3621032426132837E-2</v>
      </c>
    </row>
    <row r="202" spans="1:25" x14ac:dyDescent="0.25">
      <c r="A202" s="64">
        <v>44125</v>
      </c>
      <c r="B202" s="65">
        <v>41.18</v>
      </c>
      <c r="C202" s="66">
        <f>myParidad('Flujo de Fondos'!$B$5,A202,B202,'Flujo de Fondos'!$B$7,'Flujo de Fondos'!$B$6)</f>
        <v>0.41476585998509891</v>
      </c>
      <c r="D202" s="65">
        <v>44.3</v>
      </c>
      <c r="E202" s="67">
        <f>myParidad('Flujo de Fondos'!$H$5,$A202,D202,'Flujo de Fondos'!$H$7,'Flujo de Fondos'!$H$6)</f>
        <v>0.44619056817241093</v>
      </c>
      <c r="F202" s="65">
        <v>40.299999999999997</v>
      </c>
      <c r="G202" s="66">
        <f>myParidad('Flujo de Fondos'!$N$5,$A202,F202,'Flujo de Fondos'!$N$7,'Flujo de Fondos'!$N$6)</f>
        <v>0.40336053801514365</v>
      </c>
      <c r="H202" s="65"/>
      <c r="I202" s="66">
        <f>myParidad('Flujo de Fondos'!$T$5,$A202,H202,'Flujo de Fondos'!$T$7,'Flujo de Fondos'!$T$6)</f>
        <v>0</v>
      </c>
      <c r="J202" s="65">
        <v>34.5</v>
      </c>
      <c r="K202" s="66">
        <f>myParidad('Flujo de Fondos'!$B$34,$A202,J202,'Flujo de Fondos'!$B$36,'Flujo de Fondos'!$B$35)</f>
        <v>0.34530864916929171</v>
      </c>
      <c r="L202" s="65">
        <v>36.75</v>
      </c>
      <c r="M202" s="66">
        <f>myParidad('Flujo de Fondos'!$H$34,'Paridad usd'!$A202,'Paridad usd'!L202,'Flujo de Fondos'!$H$36,'Flujo de Fondos'!$H$35)</f>
        <v>0.36782877846294121</v>
      </c>
      <c r="N202" s="69">
        <v>33.950000000000003</v>
      </c>
      <c r="O202" s="66">
        <f>myParidad('Flujo de Fondos'!$N$34,'Paridad usd'!$A202,'Paridad usd'!N202,'Flujo de Fondos'!$N$36,'Flujo de Fondos'!$N$35)</f>
        <v>0.33980372867528857</v>
      </c>
      <c r="P202" s="70">
        <f t="shared" si="164"/>
        <v>1.1405321969955251E-2</v>
      </c>
      <c r="Q202" s="70">
        <f t="shared" si="165"/>
        <v>3.1424708187312023E-2</v>
      </c>
      <c r="R202" s="70">
        <f t="shared" si="161"/>
        <v>4.6937081522157698E-2</v>
      </c>
      <c r="S202" s="67">
        <f t="shared" si="162"/>
        <v>7.4962131309810331E-2</v>
      </c>
      <c r="T202" s="70">
        <f t="shared" si="166"/>
        <v>0.10638683949712235</v>
      </c>
      <c r="U202" s="70">
        <f t="shared" si="163"/>
        <v>6.355680933985508E-2</v>
      </c>
      <c r="V202" s="70">
        <f t="shared" si="150"/>
        <v>5.805188884585194E-2</v>
      </c>
      <c r="W202" s="70">
        <f t="shared" si="151"/>
        <v>6.9457210815807191E-2</v>
      </c>
      <c r="X202" s="80">
        <f t="shared" si="152"/>
        <v>-0.40336053801514365</v>
      </c>
      <c r="Y202" s="90">
        <f t="shared" si="133"/>
        <v>3.5531759552202447E-2</v>
      </c>
    </row>
    <row r="203" spans="1:25" x14ac:dyDescent="0.25">
      <c r="A203" s="64">
        <v>44124</v>
      </c>
      <c r="B203" s="65">
        <v>41.7</v>
      </c>
      <c r="C203" s="66">
        <f>myParidad('Flujo de Fondos'!$B$5,A203,B203,'Flujo de Fondos'!$B$7,'Flujo de Fondos'!$B$6)</f>
        <v>0.42001490148462944</v>
      </c>
      <c r="D203" s="65">
        <v>44.5</v>
      </c>
      <c r="E203" s="67">
        <f>myParidad('Flujo de Fondos'!$H$5,$A203,D203,'Flujo de Fondos'!$H$7,'Flujo de Fondos'!$H$6)</f>
        <v>0.44821734091285392</v>
      </c>
      <c r="F203" s="65">
        <v>41.38</v>
      </c>
      <c r="G203" s="66">
        <f>myParidad('Flujo de Fondos'!$N$5,$A203,F203,'Flujo de Fondos'!$N$7,'Flujo de Fondos'!$N$6)</f>
        <v>0.41417161974100053</v>
      </c>
      <c r="H203" s="65"/>
      <c r="I203" s="66">
        <f>myParidad('Flujo de Fondos'!$T$5,$A203,H203,'Flujo de Fondos'!$T$7,'Flujo de Fondos'!$T$6)</f>
        <v>0</v>
      </c>
      <c r="J203" s="65">
        <v>36.04</v>
      </c>
      <c r="K203" s="66">
        <f>myParidad('Flujo de Fondos'!$B$34,$A203,J203,'Flujo de Fondos'!$B$36,'Flujo de Fondos'!$B$35)</f>
        <v>0.36072366301270314</v>
      </c>
      <c r="L203" s="65">
        <v>37.799999999999997</v>
      </c>
      <c r="M203" s="66">
        <f>myParidad('Flujo de Fondos'!$H$34,'Paridad usd'!$A203,'Paridad usd'!L203,'Flujo de Fondos'!$H$36,'Flujo de Fondos'!$H$35)</f>
        <v>0.37833946897558768</v>
      </c>
      <c r="N203" s="69">
        <v>34.799999999999997</v>
      </c>
      <c r="O203" s="66">
        <f>myParidad('Flujo de Fondos'!$N$34,'Paridad usd'!$A203,'Paridad usd'!N203,'Flujo de Fondos'!$N$36,'Flujo de Fondos'!$N$35)</f>
        <v>0.34831252699339815</v>
      </c>
      <c r="P203" s="70">
        <f t="shared" si="164"/>
        <v>5.8432817436289142E-3</v>
      </c>
      <c r="Q203" s="70">
        <f t="shared" si="165"/>
        <v>2.8202439428224479E-2</v>
      </c>
      <c r="R203" s="70">
        <f t="shared" si="161"/>
        <v>4.1675432509041765E-2</v>
      </c>
      <c r="S203" s="67">
        <f t="shared" si="162"/>
        <v>7.1702374491231291E-2</v>
      </c>
      <c r="T203" s="70">
        <f t="shared" si="166"/>
        <v>9.990481391945577E-2</v>
      </c>
      <c r="U203" s="70">
        <f t="shared" si="163"/>
        <v>6.5859092747602377E-2</v>
      </c>
      <c r="V203" s="70">
        <f t="shared" si="150"/>
        <v>5.3447956728297386E-2</v>
      </c>
      <c r="W203" s="70">
        <f t="shared" si="151"/>
        <v>5.92912384719263E-2</v>
      </c>
      <c r="X203" s="80">
        <f t="shared" si="152"/>
        <v>-0.41417161974100053</v>
      </c>
      <c r="Y203" s="90">
        <f t="shared" si="133"/>
        <v>3.5832150765412851E-2</v>
      </c>
    </row>
    <row r="204" spans="1:25" x14ac:dyDescent="0.25">
      <c r="A204" s="64">
        <v>44123</v>
      </c>
      <c r="B204" s="65">
        <v>43.51</v>
      </c>
      <c r="C204" s="66">
        <f>myParidad('Flujo de Fondos'!$B$5,A204,B204,'Flujo de Fondos'!$B$7,'Flujo de Fondos'!$B$6)</f>
        <v>0.43825785799045175</v>
      </c>
      <c r="D204" s="65">
        <v>45.1</v>
      </c>
      <c r="E204" s="67">
        <f>myParidad('Flujo de Fondos'!$H$5,$A204,D204,'Flujo de Fondos'!$H$7,'Flujo de Fondos'!$H$6)</f>
        <v>0.4542732566161658</v>
      </c>
      <c r="F204" s="65">
        <v>43.35</v>
      </c>
      <c r="G204" s="66">
        <f>myParidad('Flujo de Fondos'!$N$5,$A204,F204,'Flujo de Fondos'!$N$7,'Flujo de Fondos'!$N$6)</f>
        <v>0.43389079890449278</v>
      </c>
      <c r="H204" s="65"/>
      <c r="I204" s="66">
        <f>myParidad('Flujo de Fondos'!$T$5,$A204,H204,'Flujo de Fondos'!$T$7,'Flujo de Fondos'!$T$6)</f>
        <v>0</v>
      </c>
      <c r="J204" s="65">
        <v>35.950000000000003</v>
      </c>
      <c r="K204" s="66">
        <f>myParidad('Flujo de Fondos'!$B$34,$A204,J204,'Flujo de Fondos'!$B$36,'Flujo de Fondos'!$B$35)</f>
        <v>0.35982408813417566</v>
      </c>
      <c r="L204" s="65">
        <v>38.85</v>
      </c>
      <c r="M204" s="66">
        <f>myParidad('Flujo de Fondos'!$H$34,'Paridad usd'!$A204,'Paridad usd'!L204,'Flujo de Fondos'!$H$36,'Flujo de Fondos'!$H$35)</f>
        <v>0.38885023154416481</v>
      </c>
      <c r="N204" s="69">
        <v>35.799999999999997</v>
      </c>
      <c r="O204" s="66">
        <f>myParidad('Flujo de Fondos'!$N$34,'Paridad usd'!$A204,'Paridad usd'!N204,'Flujo de Fondos'!$N$36,'Flujo de Fondos'!$N$35)</f>
        <v>0.35832273588883135</v>
      </c>
      <c r="P204" s="70">
        <f t="shared" si="164"/>
        <v>4.3670590859589686E-3</v>
      </c>
      <c r="Q204" s="70">
        <f t="shared" si="165"/>
        <v>1.601539862571405E-2</v>
      </c>
      <c r="R204" s="70">
        <f t="shared" si="161"/>
        <v>4.9407626446286934E-2</v>
      </c>
      <c r="S204" s="67">
        <f t="shared" si="162"/>
        <v>7.9935122101620404E-2</v>
      </c>
      <c r="T204" s="70">
        <f t="shared" si="166"/>
        <v>9.5950520727334454E-2</v>
      </c>
      <c r="U204" s="70">
        <f t="shared" si="163"/>
        <v>7.5568063015661435E-2</v>
      </c>
      <c r="V204" s="70">
        <f t="shared" si="150"/>
        <v>7.4066710770317123E-2</v>
      </c>
      <c r="W204" s="70">
        <f t="shared" si="151"/>
        <v>7.8433769856276092E-2</v>
      </c>
      <c r="X204" s="80">
        <f t="shared" si="152"/>
        <v>-0.43389079890449278</v>
      </c>
      <c r="Y204" s="90">
        <f t="shared" si="133"/>
        <v>4.5040567360327965E-2</v>
      </c>
    </row>
    <row r="205" spans="1:25" x14ac:dyDescent="0.25">
      <c r="A205" s="64">
        <v>44120</v>
      </c>
      <c r="B205" s="65">
        <v>44.3</v>
      </c>
      <c r="C205" s="66">
        <f>myParidad('Flujo de Fondos'!$B$5,A205,B205,'Flujo de Fondos'!$B$7,'Flujo de Fondos'!$B$6)</f>
        <v>0.44625213887508969</v>
      </c>
      <c r="D205" s="65">
        <v>47</v>
      </c>
      <c r="E205" s="67">
        <f>myParidad('Flujo de Fondos'!$H$5,$A205,D205,'Flujo de Fondos'!$H$7,'Flujo de Fondos'!$H$6)</f>
        <v>0.47345035049953083</v>
      </c>
      <c r="F205" s="65">
        <v>44.19</v>
      </c>
      <c r="G205" s="66">
        <f>myParidad('Flujo de Fondos'!$N$5,$A205,F205,'Flujo de Fondos'!$N$7,'Flujo de Fondos'!$N$6)</f>
        <v>0.44230291978309005</v>
      </c>
      <c r="H205" s="65"/>
      <c r="I205" s="66">
        <f>myParidad('Flujo de Fondos'!$T$5,$A205,H205,'Flujo de Fondos'!$T$7,'Flujo de Fondos'!$T$6)</f>
        <v>0</v>
      </c>
      <c r="J205" s="65">
        <v>37.67</v>
      </c>
      <c r="K205" s="66">
        <f>myParidad('Flujo de Fondos'!$B$34,$A205,J205,'Flujo de Fondos'!$B$36,'Flujo de Fondos'!$B$35)</f>
        <v>0.37704347110724157</v>
      </c>
      <c r="L205" s="65">
        <v>39.799999999999997</v>
      </c>
      <c r="M205" s="66">
        <f>myParidad('Flujo de Fondos'!$H$34,'Paridad usd'!$A205,'Paridad usd'!L205,'Flujo de Fondos'!$H$36,'Flujo de Fondos'!$H$35)</f>
        <v>0.39836289222373805</v>
      </c>
      <c r="N205" s="69">
        <v>35.799999999999997</v>
      </c>
      <c r="O205" s="66">
        <f>myParidad('Flujo de Fondos'!$N$34,'Paridad usd'!$A205,'Paridad usd'!N205,'Flujo de Fondos'!$N$36,'Flujo de Fondos'!$N$35)</f>
        <v>0.35832642064346287</v>
      </c>
      <c r="P205" s="70">
        <f t="shared" si="164"/>
        <v>3.9492190919996339E-3</v>
      </c>
      <c r="Q205" s="70">
        <f t="shared" si="165"/>
        <v>2.7198211624441138E-2</v>
      </c>
      <c r="R205" s="70">
        <f t="shared" si="161"/>
        <v>4.7889246651351636E-2</v>
      </c>
      <c r="S205" s="67">
        <f t="shared" si="162"/>
        <v>8.7925718231626815E-2</v>
      </c>
      <c r="T205" s="70">
        <f t="shared" si="166"/>
        <v>0.11512392985606795</v>
      </c>
      <c r="U205" s="70">
        <f t="shared" si="163"/>
        <v>8.3976499139627181E-2</v>
      </c>
      <c r="V205" s="70">
        <f t="shared" si="150"/>
        <v>6.5259448675848486E-2</v>
      </c>
      <c r="W205" s="70">
        <f t="shared" si="151"/>
        <v>6.920866776784812E-2</v>
      </c>
      <c r="X205" s="80">
        <f t="shared" si="152"/>
        <v>-0.44230291978309005</v>
      </c>
      <c r="Y205" s="90">
        <f t="shared" si="133"/>
        <v>4.3940027559352002E-2</v>
      </c>
    </row>
    <row r="206" spans="1:25" x14ac:dyDescent="0.25">
      <c r="A206" s="64">
        <v>44119</v>
      </c>
      <c r="B206" s="65">
        <v>44.56</v>
      </c>
      <c r="C206" s="66">
        <f>myParidad('Flujo de Fondos'!$B$5,A206,B206,'Flujo de Fondos'!$B$7,'Flujo de Fondos'!$B$6)</f>
        <v>0.448883614384677</v>
      </c>
      <c r="D206" s="65">
        <v>46.46</v>
      </c>
      <c r="E206" s="67">
        <f>myParidad('Flujo de Fondos'!$H$5,$A206,D206,'Flujo de Fondos'!$H$7,'Flujo de Fondos'!$H$6)</f>
        <v>0.46802362487235394</v>
      </c>
      <c r="F206" s="65">
        <v>44.4</v>
      </c>
      <c r="G206" s="66">
        <f>myParidad('Flujo de Fondos'!$N$5,$A206,F206,'Flujo de Fondos'!$N$7,'Flujo de Fondos'!$N$6)</f>
        <v>0.44440635786832478</v>
      </c>
      <c r="H206" s="65"/>
      <c r="I206" s="66">
        <f>myParidad('Flujo de Fondos'!$T$5,$A206,H206,'Flujo de Fondos'!$T$7,'Flujo de Fondos'!$T$6)</f>
        <v>0</v>
      </c>
      <c r="J206" s="65">
        <v>38</v>
      </c>
      <c r="K206" s="66">
        <f>myParidad('Flujo de Fondos'!$B$34,$A206,J206,'Flujo de Fondos'!$B$36,'Flujo de Fondos'!$B$35)</f>
        <v>0.38034778376117889</v>
      </c>
      <c r="L206" s="65">
        <v>40.39</v>
      </c>
      <c r="M206" s="66">
        <f>myParidad('Flujo de Fondos'!$H$34,'Paridad usd'!$A206,'Paridad usd'!L206,'Flujo de Fondos'!$H$36,'Flujo de Fondos'!$H$35)</f>
        <v>0.40426965752931621</v>
      </c>
      <c r="N206" s="69">
        <v>36.5</v>
      </c>
      <c r="O206" s="66">
        <f>myParidad('Flujo de Fondos'!$N$34,'Paridad usd'!$A206,'Paridad usd'!N206,'Flujo de Fondos'!$N$36,'Flujo de Fondos'!$N$35)</f>
        <v>0.36533405545481656</v>
      </c>
      <c r="P206" s="70">
        <f t="shared" si="164"/>
        <v>4.4772565163522238E-3</v>
      </c>
      <c r="Q206" s="70">
        <f t="shared" si="165"/>
        <v>1.9140010487676939E-2</v>
      </c>
      <c r="R206" s="70">
        <f t="shared" si="161"/>
        <v>4.4613956855360792E-2</v>
      </c>
      <c r="S206" s="67">
        <f t="shared" si="162"/>
        <v>8.3549558929860435E-2</v>
      </c>
      <c r="T206" s="70">
        <f t="shared" si="166"/>
        <v>0.10268956941753737</v>
      </c>
      <c r="U206" s="70">
        <f t="shared" si="163"/>
        <v>7.9072302413508211E-2</v>
      </c>
      <c r="V206" s="70">
        <f t="shared" si="150"/>
        <v>6.4058574107145883E-2</v>
      </c>
      <c r="W206" s="70">
        <f t="shared" si="151"/>
        <v>6.8535830623498106E-2</v>
      </c>
      <c r="X206" s="80">
        <f t="shared" si="152"/>
        <v>-0.44440635786832478</v>
      </c>
      <c r="Y206" s="90">
        <f t="shared" si="133"/>
        <v>4.0136700339008569E-2</v>
      </c>
    </row>
    <row r="207" spans="1:25" x14ac:dyDescent="0.25">
      <c r="A207" s="64">
        <v>44118</v>
      </c>
      <c r="B207" s="65">
        <v>44.9</v>
      </c>
      <c r="C207" s="66">
        <f>myParidad('Flujo de Fondos'!$B$5,A207,B207,'Flujo de Fondos'!$B$7,'Flujo de Fondos'!$B$6)</f>
        <v>0.45232115257231176</v>
      </c>
      <c r="D207" s="65">
        <v>48.4</v>
      </c>
      <c r="E207" s="67">
        <f>myParidad('Flujo de Fondos'!$H$5,$A207,D207,'Flujo de Fondos'!$H$7,'Flujo de Fondos'!$H$6)</f>
        <v>0.48758003974387282</v>
      </c>
      <c r="F207" s="65">
        <v>44.45</v>
      </c>
      <c r="G207" s="66">
        <f>myParidad('Flujo de Fondos'!$N$5,$A207,F207,'Flujo de Fondos'!$N$7,'Flujo de Fondos'!$N$6)</f>
        <v>0.4449083405317209</v>
      </c>
      <c r="H207" s="65"/>
      <c r="I207" s="66">
        <f>myParidad('Flujo de Fondos'!$T$5,$A207,H207,'Flujo de Fondos'!$T$7,'Flujo de Fondos'!$T$6)</f>
        <v>0</v>
      </c>
      <c r="J207" s="65">
        <v>39.380000000000003</v>
      </c>
      <c r="K207" s="66">
        <f>myParidad('Flujo de Fondos'!$B$34,$A207,J207,'Flujo de Fondos'!$B$36,'Flujo de Fondos'!$B$35)</f>
        <v>0.39416176490751786</v>
      </c>
      <c r="L207" s="65">
        <v>41.08</v>
      </c>
      <c r="M207" s="66">
        <f>myParidad('Flujo de Fondos'!$H$34,'Paridad usd'!$A207,'Paridad usd'!L207,'Flujo de Fondos'!$H$36,'Flujo de Fondos'!$H$35)</f>
        <v>0.41117738198072201</v>
      </c>
      <c r="N207" s="69">
        <v>38.200000000000003</v>
      </c>
      <c r="O207" s="66">
        <f>myParidad('Flujo de Fondos'!$N$34,'Paridad usd'!$A207,'Paridad usd'!N207,'Flujo de Fondos'!$N$36,'Flujo de Fondos'!$N$35)</f>
        <v>0.38235092482141148</v>
      </c>
      <c r="P207" s="70">
        <f t="shared" si="164"/>
        <v>7.4128120405908549E-3</v>
      </c>
      <c r="Q207" s="70">
        <f t="shared" si="165"/>
        <v>3.525888717156106E-2</v>
      </c>
      <c r="R207" s="70">
        <f t="shared" si="161"/>
        <v>4.1143770591589746E-2</v>
      </c>
      <c r="S207" s="67">
        <f t="shared" si="162"/>
        <v>6.9970227750900282E-2</v>
      </c>
      <c r="T207" s="70">
        <f t="shared" si="166"/>
        <v>0.10522911492246134</v>
      </c>
      <c r="U207" s="70">
        <f t="shared" si="163"/>
        <v>6.2557415710309427E-2</v>
      </c>
      <c r="V207" s="70">
        <f t="shared" si="150"/>
        <v>5.0746575624203039E-2</v>
      </c>
      <c r="W207" s="70">
        <f t="shared" si="151"/>
        <v>5.8159387664793893E-2</v>
      </c>
      <c r="X207" s="80">
        <f t="shared" si="152"/>
        <v>-0.4449083405317209</v>
      </c>
      <c r="Y207" s="90">
        <f t="shared" si="133"/>
        <v>3.3730958550998891E-2</v>
      </c>
    </row>
    <row r="208" spans="1:25" x14ac:dyDescent="0.25">
      <c r="A208" s="64">
        <v>44117</v>
      </c>
      <c r="B208" s="65">
        <v>45.45</v>
      </c>
      <c r="C208" s="66">
        <f>myParidad('Flujo de Fondos'!$B$5,A208,B208,'Flujo de Fondos'!$B$7,'Flujo de Fondos'!$B$6)</f>
        <v>0.45787447213712018</v>
      </c>
      <c r="D208" s="65">
        <v>48.4</v>
      </c>
      <c r="E208" s="67">
        <f>myParidad('Flujo de Fondos'!$H$5,$A208,D208,'Flujo de Fondos'!$H$7,'Flujo de Fondos'!$H$6)</f>
        <v>0.48759349728133367</v>
      </c>
      <c r="F208" s="65">
        <v>44.74</v>
      </c>
      <c r="G208" s="66">
        <f>myParidad('Flujo de Fondos'!$N$5,$A208,F208,'Flujo de Fondos'!$N$7,'Flujo de Fondos'!$N$6)</f>
        <v>0.44781253963411499</v>
      </c>
      <c r="H208" s="65"/>
      <c r="I208" s="66">
        <f>myParidad('Flujo de Fondos'!$T$5,$A208,H208,'Flujo de Fondos'!$T$7,'Flujo de Fondos'!$T$6)</f>
        <v>0</v>
      </c>
      <c r="J208" s="65">
        <v>39.700000000000003</v>
      </c>
      <c r="K208" s="66">
        <f>myParidad('Flujo de Fondos'!$B$34,$A208,J208,'Flujo de Fondos'!$B$36,'Flujo de Fondos'!$B$35)</f>
        <v>0.39736606668471985</v>
      </c>
      <c r="L208" s="65">
        <v>41.56</v>
      </c>
      <c r="M208" s="66">
        <f>myParidad('Flujo de Fondos'!$H$34,'Paridad usd'!$A208,'Paridad usd'!L208,'Flujo de Fondos'!$H$36,'Flujo de Fondos'!$H$35)</f>
        <v>0.41598321741604427</v>
      </c>
      <c r="N208" s="69">
        <v>39.25</v>
      </c>
      <c r="O208" s="66">
        <f>myParidad('Flujo de Fondos'!$N$34,'Paridad usd'!$A208,'Paridad usd'!N208,'Flujo de Fondos'!$N$36,'Flujo de Fondos'!$N$35)</f>
        <v>0.39286191731423814</v>
      </c>
      <c r="P208" s="70">
        <f t="shared" si="164"/>
        <v>1.0061932503005189E-2</v>
      </c>
      <c r="Q208" s="70">
        <f t="shared" si="165"/>
        <v>2.9719025144213485E-2</v>
      </c>
      <c r="R208" s="70">
        <f t="shared" si="161"/>
        <v>4.189125472107591E-2</v>
      </c>
      <c r="S208" s="67">
        <f t="shared" si="162"/>
        <v>6.501255482288204E-2</v>
      </c>
      <c r="T208" s="70">
        <f t="shared" si="166"/>
        <v>9.4731579967095525E-2</v>
      </c>
      <c r="U208" s="70">
        <f t="shared" si="163"/>
        <v>5.4950622319876852E-2</v>
      </c>
      <c r="V208" s="70">
        <f t="shared" si="150"/>
        <v>5.0446472949395138E-2</v>
      </c>
      <c r="W208" s="70">
        <f t="shared" si="151"/>
        <v>6.0508405452400327E-2</v>
      </c>
      <c r="X208" s="80">
        <f t="shared" si="152"/>
        <v>-0.44781253963411499</v>
      </c>
      <c r="Y208" s="90">
        <f t="shared" si="133"/>
        <v>3.1829322218070721E-2</v>
      </c>
    </row>
    <row r="209" spans="1:25" x14ac:dyDescent="0.25">
      <c r="A209" s="64">
        <v>44113</v>
      </c>
      <c r="B209" s="65">
        <v>45.63</v>
      </c>
      <c r="C209" s="66">
        <f>myParidad('Flujo de Fondos'!$B$5,A209,B209,'Flujo de Fondos'!$B$7,'Flujo de Fondos'!$B$6)</f>
        <v>0.45973859276230439</v>
      </c>
      <c r="D209" s="65">
        <v>48.6</v>
      </c>
      <c r="E209" s="67">
        <f>myParidad('Flujo de Fondos'!$H$5,$A209,D209,'Flujo de Fondos'!$H$7,'Flujo de Fondos'!$H$6)</f>
        <v>0.48966240649239517</v>
      </c>
      <c r="F209" s="65">
        <v>44.73</v>
      </c>
      <c r="G209" s="66">
        <f>myParidad('Flujo de Fondos'!$N$5,$A209,F209,'Flujo de Fondos'!$N$7,'Flujo de Fondos'!$N$6)</f>
        <v>0.44771858621245203</v>
      </c>
      <c r="H209" s="65"/>
      <c r="I209" s="66">
        <f>myParidad('Flujo de Fondos'!$T$5,$A209,H209,'Flujo de Fondos'!$T$7,'Flujo de Fondos'!$T$6)</f>
        <v>0</v>
      </c>
      <c r="J209" s="65">
        <v>40</v>
      </c>
      <c r="K209" s="66">
        <f>myParidad('Flujo de Fondos'!$B$34,$A209,J209,'Flujo de Fondos'!$B$36,'Flujo de Fondos'!$B$35)</f>
        <v>0.40037432256870292</v>
      </c>
      <c r="L209" s="65">
        <v>41.56</v>
      </c>
      <c r="M209" s="66">
        <f>myParidad('Flujo de Fondos'!$H$34,'Paridad usd'!$A209,'Paridad usd'!L209,'Flujo de Fondos'!$H$36,'Flujo de Fondos'!$H$35)</f>
        <v>0.41598892114888236</v>
      </c>
      <c r="N209" s="69">
        <v>39.5</v>
      </c>
      <c r="O209" s="66">
        <f>myParidad('Flujo de Fondos'!$N$34,'Paridad usd'!$A209,'Paridad usd'!N209,'Flujo de Fondos'!$N$36,'Flujo de Fondos'!$N$35)</f>
        <v>0.39536964353659415</v>
      </c>
      <c r="P209" s="70">
        <f t="shared" si="164"/>
        <v>1.2020006549852358E-2</v>
      </c>
      <c r="Q209" s="70">
        <f t="shared" si="165"/>
        <v>2.9923813730090787E-2</v>
      </c>
      <c r="R209" s="70">
        <f t="shared" si="161"/>
        <v>4.3749671613422025E-2</v>
      </c>
      <c r="S209" s="67">
        <f t="shared" si="162"/>
        <v>6.4368949225710237E-2</v>
      </c>
      <c r="T209" s="70">
        <f t="shared" si="166"/>
        <v>9.4292762955801024E-2</v>
      </c>
      <c r="U209" s="70">
        <f t="shared" si="163"/>
        <v>5.2348942675857879E-2</v>
      </c>
      <c r="V209" s="70">
        <f t="shared" si="150"/>
        <v>4.7344263643749107E-2</v>
      </c>
      <c r="W209" s="70">
        <f t="shared" si="151"/>
        <v>5.9364270193601465E-2</v>
      </c>
      <c r="X209" s="80">
        <f t="shared" si="152"/>
        <v>-0.44771858621245203</v>
      </c>
      <c r="Y209" s="90">
        <f t="shared" ref="Y209:Y228" si="167">G209-M209</f>
        <v>3.1729665063569668E-2</v>
      </c>
    </row>
    <row r="210" spans="1:25" x14ac:dyDescent="0.25">
      <c r="A210" s="64">
        <v>44112</v>
      </c>
      <c r="B210" s="65">
        <v>45.32</v>
      </c>
      <c r="C210" s="66">
        <f>myParidad('Flujo de Fondos'!$B$5,A210,B210,'Flujo de Fondos'!$B$7,'Flujo de Fondos'!$B$6)</f>
        <v>0.45662783636062498</v>
      </c>
      <c r="D210" s="65">
        <v>48.75</v>
      </c>
      <c r="E210" s="67">
        <f>myParidad('Flujo de Fondos'!$H$5,$A210,D210,'Flujo de Fondos'!$H$7,'Flujo de Fondos'!$H$6)</f>
        <v>0.49118726881245517</v>
      </c>
      <c r="F210" s="65">
        <v>44.7</v>
      </c>
      <c r="G210" s="66">
        <f>myParidad('Flujo de Fondos'!$N$5,$A210,F210,'Flujo de Fondos'!$N$7,'Flujo de Fondos'!$N$6)</f>
        <v>0.44741983916414718</v>
      </c>
      <c r="H210" s="65"/>
      <c r="I210" s="66">
        <f>myParidad('Flujo de Fondos'!$T$5,$A210,H210,'Flujo de Fondos'!$T$7,'Flujo de Fondos'!$T$6)</f>
        <v>0</v>
      </c>
      <c r="J210" s="65">
        <v>39.880000000000003</v>
      </c>
      <c r="K210" s="66">
        <f>myParidad('Flujo de Fondos'!$B$34,$A210,J210,'Flujo de Fondos'!$B$36,'Flujo de Fondos'!$B$35)</f>
        <v>0.3991745679164696</v>
      </c>
      <c r="L210" s="65">
        <v>41.44</v>
      </c>
      <c r="M210" s="66">
        <f>myParidad('Flujo de Fondos'!$H$34,'Paridad usd'!$A210,'Paridad usd'!L210,'Flujo de Fondos'!$H$36,'Flujo de Fondos'!$H$35)</f>
        <v>0.41478922002152702</v>
      </c>
      <c r="N210" s="69">
        <v>39.5</v>
      </c>
      <c r="O210" s="66">
        <f>myParidad('Flujo de Fondos'!$N$34,'Paridad usd'!$A210,'Paridad usd'!N210,'Flujo de Fondos'!$N$36,'Flujo de Fondos'!$N$35)</f>
        <v>0.39537099881395554</v>
      </c>
      <c r="P210" s="70">
        <f t="shared" si="164"/>
        <v>9.2079971964778018E-3</v>
      </c>
      <c r="Q210" s="70">
        <f t="shared" si="165"/>
        <v>3.4559432451830185E-2</v>
      </c>
      <c r="R210" s="70">
        <f t="shared" si="161"/>
        <v>4.1838616339097967E-2</v>
      </c>
      <c r="S210" s="67">
        <f t="shared" si="162"/>
        <v>6.125683754666944E-2</v>
      </c>
      <c r="T210" s="70">
        <f t="shared" si="166"/>
        <v>9.5816269998499626E-2</v>
      </c>
      <c r="U210" s="70">
        <f t="shared" si="163"/>
        <v>5.2048840350191639E-2</v>
      </c>
      <c r="V210" s="70">
        <f t="shared" si="150"/>
        <v>4.8245271247677579E-2</v>
      </c>
      <c r="W210" s="70">
        <f t="shared" si="151"/>
        <v>5.7453268444155381E-2</v>
      </c>
      <c r="X210" s="80">
        <f t="shared" si="152"/>
        <v>-0.44741983916414718</v>
      </c>
      <c r="Y210" s="90">
        <f t="shared" si="167"/>
        <v>3.2630619142620165E-2</v>
      </c>
    </row>
    <row r="211" spans="1:25" x14ac:dyDescent="0.25">
      <c r="A211" s="64">
        <v>44111</v>
      </c>
      <c r="B211" s="65">
        <v>45.44</v>
      </c>
      <c r="C211" s="66">
        <f>myParidad('Flujo de Fondos'!$B$5,A211,B211,'Flujo de Fondos'!$B$7,'Flujo de Fondos'!$B$6)</f>
        <v>0.4578495514147688</v>
      </c>
      <c r="D211" s="65">
        <v>47.7</v>
      </c>
      <c r="E211" s="67">
        <f>myParidad('Flujo de Fondos'!$H$5,$A211,D211,'Flujo de Fondos'!$H$7,'Flujo de Fondos'!$H$6)</f>
        <v>0.48062111801242241</v>
      </c>
      <c r="F211" s="65">
        <v>44.8</v>
      </c>
      <c r="G211" s="66">
        <f>myParidad('Flujo de Fondos'!$N$5,$A211,F211,'Flujo de Fondos'!$N$7,'Flujo de Fondos'!$N$6)</f>
        <v>0.4484223155368926</v>
      </c>
      <c r="H211" s="65"/>
      <c r="I211" s="66">
        <f>myParidad('Flujo de Fondos'!$T$5,$A211,H211,'Flujo de Fondos'!$T$7,'Flujo de Fondos'!$T$6)</f>
        <v>0</v>
      </c>
      <c r="J211" s="65">
        <v>40.1</v>
      </c>
      <c r="K211" s="66">
        <f>myParidad('Flujo de Fondos'!$B$34,$A211,J211,'Flujo de Fondos'!$B$36,'Flujo de Fondos'!$B$35)</f>
        <v>0.40137801011226326</v>
      </c>
      <c r="L211" s="65">
        <v>41.6</v>
      </c>
      <c r="M211" s="66">
        <f>myParidad('Flujo de Fondos'!$H$34,'Paridad usd'!$A211,'Paridad usd'!L211,'Flujo de Fondos'!$H$36,'Flujo de Fondos'!$H$35)</f>
        <v>0.4163921501414003</v>
      </c>
      <c r="N211" s="69">
        <v>39.9</v>
      </c>
      <c r="O211" s="66">
        <f>myParidad('Flujo de Fondos'!$N$34,'Paridad usd'!$A211,'Paridad usd'!N211,'Flujo de Fondos'!$N$36,'Flujo de Fondos'!$N$35)</f>
        <v>0.39937612477504497</v>
      </c>
      <c r="P211" s="70">
        <f t="shared" si="164"/>
        <v>9.4272358778761944E-3</v>
      </c>
      <c r="Q211" s="70">
        <f t="shared" si="165"/>
        <v>2.2771566597653614E-2</v>
      </c>
      <c r="R211" s="70">
        <f t="shared" si="161"/>
        <v>4.1457401273368499E-2</v>
      </c>
      <c r="S211" s="67">
        <f t="shared" si="162"/>
        <v>5.8473426639723824E-2</v>
      </c>
      <c r="T211" s="70">
        <f t="shared" si="166"/>
        <v>8.1244993237377439E-2</v>
      </c>
      <c r="U211" s="70">
        <f t="shared" si="163"/>
        <v>4.904619076184763E-2</v>
      </c>
      <c r="V211" s="70">
        <f t="shared" si="150"/>
        <v>4.704430542462934E-2</v>
      </c>
      <c r="W211" s="70">
        <f t="shared" si="151"/>
        <v>5.6471541302505535E-2</v>
      </c>
      <c r="X211" s="80">
        <f t="shared" si="152"/>
        <v>-0.4484223155368926</v>
      </c>
      <c r="Y211" s="90">
        <f t="shared" si="167"/>
        <v>3.2030165395492305E-2</v>
      </c>
    </row>
    <row r="212" spans="1:25" x14ac:dyDescent="0.25">
      <c r="A212" s="64">
        <v>44110</v>
      </c>
      <c r="B212" s="65">
        <v>45.3</v>
      </c>
      <c r="C212" s="66">
        <f>myParidad('Flujo de Fondos'!$B$5,A212,B212,'Flujo de Fondos'!$B$7,'Flujo de Fondos'!$B$6)</f>
        <v>0.4564515238515901</v>
      </c>
      <c r="D212" s="65">
        <v>47.6</v>
      </c>
      <c r="E212" s="67">
        <f>myParidad('Flujo de Fondos'!$H$5,$A212,D212,'Flujo de Fondos'!$H$7,'Flujo de Fondos'!$H$6)</f>
        <v>0.47962676678445232</v>
      </c>
      <c r="F212" s="65">
        <v>44.45</v>
      </c>
      <c r="G212" s="66">
        <f>myParidad('Flujo de Fondos'!$N$5,$A212,F212,'Flujo de Fondos'!$N$7,'Flujo de Fondos'!$N$6)</f>
        <v>0.44492054133358933</v>
      </c>
      <c r="H212" s="65"/>
      <c r="I212" s="66">
        <f>myParidad('Flujo de Fondos'!$T$5,$A212,H212,'Flujo de Fondos'!$T$7,'Flujo de Fondos'!$T$6)</f>
        <v>0</v>
      </c>
      <c r="J212" s="65">
        <v>39.96</v>
      </c>
      <c r="K212" s="66">
        <f>myParidad('Flujo de Fondos'!$B$34,$A212,J212,'Flujo de Fondos'!$B$36,'Flujo de Fondos'!$B$35)</f>
        <v>0.3999780614553482</v>
      </c>
      <c r="L212" s="65">
        <v>41.4</v>
      </c>
      <c r="M212" s="66">
        <f>myParidad('Flujo de Fondos'!$H$34,'Paridad usd'!$A212,'Paridad usd'!L212,'Flujo de Fondos'!$H$36,'Flujo de Fondos'!$H$35)</f>
        <v>0.41439168529157694</v>
      </c>
      <c r="N212" s="69">
        <v>39.99</v>
      </c>
      <c r="O212" s="66">
        <f>myParidad('Flujo de Fondos'!$N$34,'Paridad usd'!$A212,'Paridad usd'!N212,'Flujo de Fondos'!$N$36,'Flujo de Fondos'!$N$35)</f>
        <v>0.40027834528526968</v>
      </c>
      <c r="P212" s="70">
        <f t="shared" si="164"/>
        <v>1.1530982518000776E-2</v>
      </c>
      <c r="Q212" s="70">
        <f t="shared" si="165"/>
        <v>2.3175242932862217E-2</v>
      </c>
      <c r="R212" s="70">
        <f t="shared" si="161"/>
        <v>4.2059838560013163E-2</v>
      </c>
      <c r="S212" s="67">
        <f t="shared" si="162"/>
        <v>5.6173178566320425E-2</v>
      </c>
      <c r="T212" s="70">
        <f t="shared" si="166"/>
        <v>7.9348421499182642E-2</v>
      </c>
      <c r="U212" s="70">
        <f t="shared" si="163"/>
        <v>4.4642196048319649E-2</v>
      </c>
      <c r="V212" s="70">
        <f t="shared" si="150"/>
        <v>4.4942479878241126E-2</v>
      </c>
      <c r="W212" s="70">
        <f t="shared" si="151"/>
        <v>5.6473462396241902E-2</v>
      </c>
      <c r="X212" s="80">
        <f t="shared" si="152"/>
        <v>-0.44492054133358933</v>
      </c>
      <c r="Y212" s="90">
        <f t="shared" si="167"/>
        <v>3.0528856042012387E-2</v>
      </c>
    </row>
    <row r="213" spans="1:25" x14ac:dyDescent="0.25">
      <c r="A213" s="64">
        <v>44109</v>
      </c>
      <c r="B213" s="65">
        <v>45.39</v>
      </c>
      <c r="C213" s="66">
        <f>myParidad('Flujo de Fondos'!$B$5,A213,B213,'Flujo de Fondos'!$B$7,'Flujo de Fondos'!$B$6)</f>
        <v>0.45737100737100739</v>
      </c>
      <c r="D213" s="65">
        <v>47.99</v>
      </c>
      <c r="E213" s="67">
        <f>myParidad('Flujo de Fondos'!$H$5,$A213,D213,'Flujo de Fondos'!$H$7,'Flujo de Fondos'!$H$6)</f>
        <v>0.48356983132264031</v>
      </c>
      <c r="F213" s="65">
        <v>44.4</v>
      </c>
      <c r="G213" s="66">
        <f>myParidad('Flujo de Fondos'!$N$5,$A213,F213,'Flujo de Fondos'!$N$7,'Flujo de Fondos'!$N$6)</f>
        <v>0.44442159171542867</v>
      </c>
      <c r="H213" s="65"/>
      <c r="I213" s="66">
        <f>myParidad('Flujo de Fondos'!$T$5,$A213,H213,'Flujo de Fondos'!$T$7,'Flujo de Fondos'!$T$6)</f>
        <v>0</v>
      </c>
      <c r="J213" s="65">
        <v>39.5</v>
      </c>
      <c r="K213" s="66">
        <f>myParidad('Flujo de Fondos'!$B$34,$A213,J213,'Flujo de Fondos'!$B$36,'Flujo de Fondos'!$B$35)</f>
        <v>0.39537506470178901</v>
      </c>
      <c r="L213" s="65">
        <v>41.65</v>
      </c>
      <c r="M213" s="66">
        <f>myParidad('Flujo de Fondos'!$H$34,'Paridad usd'!$A213,'Paridad usd'!L213,'Flujo de Fondos'!$H$36,'Flujo de Fondos'!$H$35)</f>
        <v>0.41689547961593704</v>
      </c>
      <c r="N213" s="69">
        <v>40</v>
      </c>
      <c r="O213" s="66">
        <f>myParidad('Flujo de Fondos'!$N$34,'Paridad usd'!$A213,'Paridad usd'!N213,'Flujo de Fondos'!$N$36,'Flujo de Fondos'!$N$35)</f>
        <v>0.40037981235624204</v>
      </c>
      <c r="P213" s="70">
        <f t="shared" si="164"/>
        <v>1.2949415655578722E-2</v>
      </c>
      <c r="Q213" s="70">
        <f t="shared" si="165"/>
        <v>2.6198823951632921E-2</v>
      </c>
      <c r="R213" s="70">
        <f t="shared" si="161"/>
        <v>4.0475527755070351E-2</v>
      </c>
      <c r="S213" s="67">
        <f t="shared" si="162"/>
        <v>5.699119501476535E-2</v>
      </c>
      <c r="T213" s="70">
        <f t="shared" si="166"/>
        <v>8.3190018966398271E-2</v>
      </c>
      <c r="U213" s="70">
        <f t="shared" si="163"/>
        <v>4.4041779359186628E-2</v>
      </c>
      <c r="V213" s="70">
        <f t="shared" si="150"/>
        <v>4.9046527013639651E-2</v>
      </c>
      <c r="W213" s="70">
        <f t="shared" si="151"/>
        <v>6.1995942669218373E-2</v>
      </c>
      <c r="X213" s="80">
        <f t="shared" si="152"/>
        <v>-0.44442159171542867</v>
      </c>
      <c r="Y213" s="90">
        <f t="shared" si="167"/>
        <v>2.7526112099491629E-2</v>
      </c>
    </row>
    <row r="214" spans="1:25" x14ac:dyDescent="0.25">
      <c r="A214" s="64">
        <v>44106</v>
      </c>
      <c r="B214" s="65">
        <v>45.45</v>
      </c>
      <c r="C214" s="66">
        <f>myParidad('Flujo de Fondos'!$B$5,A214,B214,'Flujo de Fondos'!$B$7,'Flujo de Fondos'!$B$6)</f>
        <v>0.45801352843732746</v>
      </c>
      <c r="D214" s="65">
        <v>47.32</v>
      </c>
      <c r="E214" s="67">
        <f>myParidad('Flujo de Fondos'!$H$5,$A214,D214,'Flujo de Fondos'!$H$7,'Flujo de Fondos'!$H$6)</f>
        <v>0.47685808945334068</v>
      </c>
      <c r="F214" s="65">
        <v>44.3</v>
      </c>
      <c r="G214" s="66">
        <f>myParidad('Flujo de Fondos'!$N$5,$A214,F214,'Flujo de Fondos'!$N$7,'Flujo de Fondos'!$N$6)</f>
        <v>0.44342520224873161</v>
      </c>
      <c r="H214" s="65"/>
      <c r="I214" s="66">
        <f>myParidad('Flujo de Fondos'!$T$5,$A214,H214,'Flujo de Fondos'!$T$7,'Flujo de Fondos'!$T$6)</f>
        <v>0</v>
      </c>
      <c r="J214" s="65">
        <v>40.049999999999997</v>
      </c>
      <c r="K214" s="66">
        <f>myParidad('Flujo de Fondos'!$B$34,$A214,J214,'Flujo de Fondos'!$B$36,'Flujo de Fondos'!$B$35)</f>
        <v>0.40088440970793909</v>
      </c>
      <c r="L214" s="65">
        <v>42.15</v>
      </c>
      <c r="M214" s="66">
        <f>myParidad('Flujo de Fondos'!$H$34,'Paridad usd'!$A214,'Paridad usd'!L214,'Flujo de Fondos'!$H$36,'Flujo de Fondos'!$H$35)</f>
        <v>0.42190456602221305</v>
      </c>
      <c r="N214" s="69">
        <v>40</v>
      </c>
      <c r="O214" s="66">
        <f>myParidad('Flujo de Fondos'!$N$34,'Paridad usd'!$A214,'Paridad usd'!N214,'Flujo de Fondos'!$N$36,'Flujo de Fondos'!$N$35)</f>
        <v>0.40038392979569448</v>
      </c>
      <c r="P214" s="70">
        <f t="shared" si="164"/>
        <v>1.4588326188595846E-2</v>
      </c>
      <c r="Q214" s="70">
        <f t="shared" si="165"/>
        <v>1.8844561016013228E-2</v>
      </c>
      <c r="R214" s="70">
        <f t="shared" ref="R214:R228" si="168">C214-M214</f>
        <v>3.610896241511441E-2</v>
      </c>
      <c r="S214" s="67">
        <f t="shared" ref="S214:S228" si="169">C214-O214</f>
        <v>5.7629598641632973E-2</v>
      </c>
      <c r="T214" s="70">
        <f t="shared" si="166"/>
        <v>7.6474159657646201E-2</v>
      </c>
      <c r="U214" s="70">
        <f t="shared" ref="U214:U228" si="170">G214-O214</f>
        <v>4.3041272453037127E-2</v>
      </c>
      <c r="V214" s="70">
        <f t="shared" si="150"/>
        <v>4.2540792540792516E-2</v>
      </c>
      <c r="W214" s="70">
        <f t="shared" si="151"/>
        <v>5.7129118729388362E-2</v>
      </c>
      <c r="X214" s="80">
        <f t="shared" si="152"/>
        <v>-0.44342520224873161</v>
      </c>
      <c r="Y214" s="90">
        <f t="shared" si="167"/>
        <v>2.1520636226518564E-2</v>
      </c>
    </row>
    <row r="215" spans="1:25" x14ac:dyDescent="0.25">
      <c r="A215" s="64">
        <v>44105</v>
      </c>
      <c r="B215" s="65">
        <v>46.25</v>
      </c>
      <c r="C215" s="66">
        <f>myParidad('Flujo de Fondos'!$B$5,A215,B215,'Flujo de Fondos'!$B$7,'Flujo de Fondos'!$B$6)</f>
        <v>0.46608824097849194</v>
      </c>
      <c r="D215" s="65">
        <v>48.32</v>
      </c>
      <c r="E215" s="67">
        <f>myParidad('Flujo de Fondos'!$H$5,$A215,D215,'Flujo de Fondos'!$H$7,'Flujo de Fondos'!$H$6)</f>
        <v>0.48694883900715097</v>
      </c>
      <c r="F215" s="65">
        <v>44.7</v>
      </c>
      <c r="G215" s="66">
        <f>myParidad('Flujo de Fondos'!$N$5,$A215,F215,'Flujo de Fondos'!$N$7,'Flujo de Fondos'!$N$6)</f>
        <v>0.44743057531391511</v>
      </c>
      <c r="H215" s="65"/>
      <c r="I215" s="66">
        <f>myParidad('Flujo de Fondos'!$T$5,$A215,H215,'Flujo de Fondos'!$T$7,'Flujo de Fondos'!$T$6)</f>
        <v>0</v>
      </c>
      <c r="J215" s="65">
        <v>40.799999999999997</v>
      </c>
      <c r="K215" s="66">
        <f>myParidad('Flujo de Fondos'!$B$34,$A215,J215,'Flujo de Fondos'!$B$36,'Flujo de Fondos'!$B$35)</f>
        <v>0.4083930083402178</v>
      </c>
      <c r="L215" s="65">
        <v>42.9</v>
      </c>
      <c r="M215" s="66">
        <f>myParidad('Flujo de Fondos'!$H$34,'Paridad usd'!$A215,'Paridad usd'!L215,'Flujo de Fondos'!$H$36,'Flujo de Fondos'!$H$35)</f>
        <v>0.42941323671067017</v>
      </c>
      <c r="N215" s="69">
        <v>39.799999999999997</v>
      </c>
      <c r="O215" s="66">
        <f>myParidad('Flujo de Fondos'!$N$34,'Paridad usd'!$A215,'Paridad usd'!N215,'Flujo de Fondos'!$N$36,'Flujo de Fondos'!$N$35)</f>
        <v>0.39838337578285948</v>
      </c>
      <c r="P215" s="70">
        <f t="shared" si="164"/>
        <v>1.8657665664576828E-2</v>
      </c>
      <c r="Q215" s="70">
        <f t="shared" si="165"/>
        <v>2.0860598028659028E-2</v>
      </c>
      <c r="R215" s="70">
        <f t="shared" si="168"/>
        <v>3.6675004267821776E-2</v>
      </c>
      <c r="S215" s="67">
        <f t="shared" si="169"/>
        <v>6.7704865195632458E-2</v>
      </c>
      <c r="T215" s="70">
        <f t="shared" si="166"/>
        <v>8.8565463224291485E-2</v>
      </c>
      <c r="U215" s="70">
        <f t="shared" si="170"/>
        <v>4.904719953105563E-2</v>
      </c>
      <c r="V215" s="70">
        <f t="shared" si="150"/>
        <v>3.9037566973697313E-2</v>
      </c>
      <c r="W215" s="70">
        <f t="shared" si="151"/>
        <v>5.7695232638274141E-2</v>
      </c>
      <c r="X215" s="80">
        <f t="shared" si="152"/>
        <v>-0.44743057531391511</v>
      </c>
      <c r="Y215" s="90">
        <f t="shared" si="167"/>
        <v>1.8017338603244948E-2</v>
      </c>
    </row>
    <row r="216" spans="1:25" x14ac:dyDescent="0.25">
      <c r="A216" s="64">
        <v>44104</v>
      </c>
      <c r="B216" s="65">
        <v>45.86</v>
      </c>
      <c r="C216" s="66">
        <f>myParidad('Flujo de Fondos'!$B$5,A216,B216,'Flujo de Fondos'!$B$7,'Flujo de Fondos'!$B$6)</f>
        <v>0.46217074382903528</v>
      </c>
      <c r="D216" s="65">
        <v>47.9</v>
      </c>
      <c r="E216" s="67">
        <f>myParidad('Flujo de Fondos'!$H$5,$A216,D216,'Flujo de Fondos'!$H$7,'Flujo de Fondos'!$H$6)</f>
        <v>0.48272958197581312</v>
      </c>
      <c r="F216" s="65">
        <v>44.6</v>
      </c>
      <c r="G216" s="66">
        <f>myParidad('Flujo de Fondos'!$N$5,$A216,F216,'Flujo de Fondos'!$N$7,'Flujo de Fondos'!$N$6)</f>
        <v>0.44643114240465109</v>
      </c>
      <c r="H216" s="65"/>
      <c r="I216" s="66">
        <f>myParidad('Flujo de Fondos'!$T$5,$A216,H216,'Flujo de Fondos'!$T$7,'Flujo de Fondos'!$T$6)</f>
        <v>0</v>
      </c>
      <c r="J216" s="65">
        <v>40.74</v>
      </c>
      <c r="K216" s="66">
        <f>myParidad('Flujo de Fondos'!$B$34,$A216,J216,'Flujo de Fondos'!$B$36,'Flujo de Fondos'!$B$35)</f>
        <v>0.40779382828622163</v>
      </c>
      <c r="L216" s="65">
        <v>42.4</v>
      </c>
      <c r="M216" s="66">
        <f>myParidad('Flujo de Fondos'!$H$34,'Paridad usd'!$A216,'Paridad usd'!L216,'Flujo de Fondos'!$H$36,'Flujo de Fondos'!$H$35)</f>
        <v>0.42440987529052027</v>
      </c>
      <c r="N216" s="69">
        <v>39.020000000000003</v>
      </c>
      <c r="O216" s="66">
        <f>myParidad('Flujo de Fondos'!$N$34,'Paridad usd'!$A216,'Paridad usd'!N216,'Flujo de Fondos'!$N$36,'Flujo de Fondos'!$N$35)</f>
        <v>0.3905772012697194</v>
      </c>
      <c r="P216" s="70">
        <f t="shared" si="164"/>
        <v>1.5739601424384186E-2</v>
      </c>
      <c r="Q216" s="70">
        <f t="shared" si="165"/>
        <v>2.0558838146777836E-2</v>
      </c>
      <c r="R216" s="70">
        <f t="shared" si="168"/>
        <v>3.7760868538515013E-2</v>
      </c>
      <c r="S216" s="67">
        <f t="shared" si="169"/>
        <v>7.1593542559315881E-2</v>
      </c>
      <c r="T216" s="70">
        <f t="shared" si="166"/>
        <v>9.2152380706093717E-2</v>
      </c>
      <c r="U216" s="70">
        <f t="shared" si="170"/>
        <v>5.5853941134931695E-2</v>
      </c>
      <c r="V216" s="70">
        <f t="shared" si="150"/>
        <v>3.8637314118429467E-2</v>
      </c>
      <c r="W216" s="70">
        <f t="shared" si="151"/>
        <v>5.4376915542813653E-2</v>
      </c>
      <c r="X216" s="80">
        <f t="shared" si="152"/>
        <v>-0.44643114240465109</v>
      </c>
      <c r="Y216" s="90">
        <f t="shared" si="167"/>
        <v>2.2021267114130827E-2</v>
      </c>
    </row>
    <row r="217" spans="1:25" x14ac:dyDescent="0.25">
      <c r="A217" s="64">
        <v>44103</v>
      </c>
      <c r="B217" s="65">
        <v>46</v>
      </c>
      <c r="C217" s="66">
        <f>myParidad('Flujo de Fondos'!$B$5,A217,B217,'Flujo de Fondos'!$B$7,'Flujo de Fondos'!$B$6)</f>
        <v>0.46359444459784077</v>
      </c>
      <c r="D217" s="65">
        <v>47.5</v>
      </c>
      <c r="E217" s="67">
        <f>myParidad('Flujo de Fondos'!$H$5,$A217,D217,'Flujo de Fondos'!$H$7,'Flujo de Fondos'!$H$6)</f>
        <v>0.47871165474777039</v>
      </c>
      <c r="F217" s="65">
        <v>44.67</v>
      </c>
      <c r="G217" s="66">
        <f>myParidad('Flujo de Fondos'!$N$5,$A217,F217,'Flujo de Fondos'!$N$7,'Flujo de Fondos'!$N$6)</f>
        <v>0.4471333518444246</v>
      </c>
      <c r="H217" s="65"/>
      <c r="I217" s="66">
        <f>myParidad('Flujo de Fondos'!$T$5,$A217,H217,'Flujo de Fondos'!$T$7,'Flujo de Fondos'!$T$6)</f>
        <v>0</v>
      </c>
      <c r="J217" s="65">
        <v>39.9</v>
      </c>
      <c r="K217" s="66">
        <f>myParidad('Flujo de Fondos'!$B$34,$A217,J217,'Flujo de Fondos'!$B$36,'Flujo de Fondos'!$B$35)</f>
        <v>0.39938707720153432</v>
      </c>
      <c r="L217" s="65">
        <v>41.8</v>
      </c>
      <c r="M217" s="66">
        <f>myParidad('Flujo de Fondos'!$H$34,'Paridad usd'!$A217,'Paridad usd'!L217,'Flujo de Fondos'!$H$36,'Flujo de Fondos'!$H$35)</f>
        <v>0.41840550944922644</v>
      </c>
      <c r="N217" s="69">
        <v>39.04</v>
      </c>
      <c r="O217" s="66">
        <f>myParidad('Flujo de Fondos'!$N$34,'Paridad usd'!$A217,'Paridad usd'!N217,'Flujo de Fondos'!$N$36,'Flujo de Fondos'!$N$35)</f>
        <v>0.39077873418415793</v>
      </c>
      <c r="P217" s="70">
        <f t="shared" si="164"/>
        <v>1.6461092753416173E-2</v>
      </c>
      <c r="Q217" s="70">
        <f t="shared" si="165"/>
        <v>1.5117210149929616E-2</v>
      </c>
      <c r="R217" s="70">
        <f t="shared" si="168"/>
        <v>4.5188935148614329E-2</v>
      </c>
      <c r="S217" s="67">
        <f t="shared" si="169"/>
        <v>7.2815710413682844E-2</v>
      </c>
      <c r="T217" s="70">
        <f t="shared" si="166"/>
        <v>8.793292056361246E-2</v>
      </c>
      <c r="U217" s="70">
        <f t="shared" si="170"/>
        <v>5.635461766026667E-2</v>
      </c>
      <c r="V217" s="70">
        <f t="shared" si="150"/>
        <v>4.7746274642890274E-2</v>
      </c>
      <c r="W217" s="70">
        <f t="shared" si="151"/>
        <v>6.4207367396306447E-2</v>
      </c>
      <c r="X217" s="80">
        <f t="shared" si="152"/>
        <v>-0.4471333518444246</v>
      </c>
      <c r="Y217" s="90">
        <f t="shared" si="167"/>
        <v>2.8727842395198155E-2</v>
      </c>
    </row>
    <row r="218" spans="1:25" x14ac:dyDescent="0.25">
      <c r="A218" s="64">
        <v>44102</v>
      </c>
      <c r="B218" s="65">
        <v>46.29</v>
      </c>
      <c r="C218" s="66">
        <f>myParidad('Flujo de Fondos'!$B$5,A218,B218,'Flujo de Fondos'!$B$7,'Flujo de Fondos'!$B$6)</f>
        <v>0.46652998674618951</v>
      </c>
      <c r="D218" s="65">
        <v>48.3</v>
      </c>
      <c r="E218" s="67">
        <f>myParidad('Flujo de Fondos'!$H$5,$A218,D218,'Flujo de Fondos'!$H$7,'Flujo de Fondos'!$H$6)</f>
        <v>0.48678760768721002</v>
      </c>
      <c r="F218" s="65">
        <v>44.9</v>
      </c>
      <c r="G218" s="66">
        <f>myParidad('Flujo de Fondos'!$N$5,$A218,F218,'Flujo de Fondos'!$N$7,'Flujo de Fondos'!$N$6)</f>
        <v>0.449437123777921</v>
      </c>
      <c r="H218" s="65"/>
      <c r="I218" s="66">
        <f>myParidad('Flujo de Fondos'!$T$5,$A218,H218,'Flujo de Fondos'!$T$7,'Flujo de Fondos'!$T$6)</f>
        <v>0</v>
      </c>
      <c r="J218" s="65">
        <v>41</v>
      </c>
      <c r="K218" s="66">
        <f>myParidad('Flujo de Fondos'!$B$34,$A218,J218,'Flujo de Fondos'!$B$36,'Flujo de Fondos'!$B$35)</f>
        <v>0.41039915534286769</v>
      </c>
      <c r="L218" s="65">
        <v>42.43</v>
      </c>
      <c r="M218" s="66">
        <f>myParidad('Flujo de Fondos'!$H$34,'Paridad usd'!$A218,'Paridad usd'!L218,'Flujo de Fondos'!$H$36,'Flujo de Fondos'!$H$35)</f>
        <v>0.42471307710238726</v>
      </c>
      <c r="N218" s="69">
        <v>39.5</v>
      </c>
      <c r="O218" s="66">
        <f>myParidad('Flujo de Fondos'!$N$34,'Paridad usd'!$A218,'Paridad usd'!N218,'Flujo de Fondos'!$N$36,'Flujo de Fondos'!$N$35)</f>
        <v>0.39538455209861645</v>
      </c>
      <c r="P218" s="70">
        <f t="shared" si="164"/>
        <v>1.7092862968268507E-2</v>
      </c>
      <c r="Q218" s="70">
        <f t="shared" si="165"/>
        <v>2.0257620941020515E-2</v>
      </c>
      <c r="R218" s="70">
        <f t="shared" si="168"/>
        <v>4.1816909643802247E-2</v>
      </c>
      <c r="S218" s="67">
        <f t="shared" si="169"/>
        <v>7.1145434647573058E-2</v>
      </c>
      <c r="T218" s="70">
        <f t="shared" si="166"/>
        <v>9.1403055588593574E-2</v>
      </c>
      <c r="U218" s="70">
        <f t="shared" si="170"/>
        <v>5.4052571679304551E-2</v>
      </c>
      <c r="V218" s="70">
        <f t="shared" si="150"/>
        <v>3.9037968435053305E-2</v>
      </c>
      <c r="W218" s="70">
        <f t="shared" si="151"/>
        <v>5.6130831403321813E-2</v>
      </c>
      <c r="X218" s="80">
        <f t="shared" si="152"/>
        <v>-0.449437123777921</v>
      </c>
      <c r="Y218" s="90">
        <f t="shared" si="167"/>
        <v>2.472404667553374E-2</v>
      </c>
    </row>
    <row r="219" spans="1:25" x14ac:dyDescent="0.25">
      <c r="A219" s="64">
        <v>44099</v>
      </c>
      <c r="B219" s="65">
        <v>46.44</v>
      </c>
      <c r="C219" s="66">
        <f>myParidad('Flujo de Fondos'!$B$5,A219,B219,'Flujo de Fondos'!$B$7,'Flujo de Fondos'!$B$6)</f>
        <v>0.46808052356888408</v>
      </c>
      <c r="D219" s="65">
        <v>48</v>
      </c>
      <c r="E219" s="67">
        <f>myParidad('Flujo de Fondos'!$H$5,$A219,D219,'Flujo de Fondos'!$H$7,'Flujo de Fondos'!$H$6)</f>
        <v>0.4838041587275288</v>
      </c>
      <c r="F219" s="65">
        <v>45.2</v>
      </c>
      <c r="G219" s="66">
        <f>myParidad('Flujo de Fondos'!$N$5,$A219,F219,'Flujo de Fondos'!$N$7,'Flujo de Fondos'!$N$6)</f>
        <v>0.4524446973566485</v>
      </c>
      <c r="H219" s="65"/>
      <c r="I219" s="66">
        <f>myParidad('Flujo de Fondos'!$T$5,$A219,H219,'Flujo de Fondos'!$T$7,'Flujo de Fondos'!$T$6)</f>
        <v>0</v>
      </c>
      <c r="J219" s="65">
        <v>41.5</v>
      </c>
      <c r="K219" s="66">
        <f>myParidad('Flujo de Fondos'!$B$34,$A219,J219,'Flujo de Fondos'!$B$36,'Flujo de Fondos'!$B$35)</f>
        <v>0.4154082951394007</v>
      </c>
      <c r="L219" s="65">
        <v>42.89</v>
      </c>
      <c r="M219" s="66">
        <f>myParidad('Flujo de Fondos'!$H$34,'Paridad usd'!$A219,'Paridad usd'!L219,'Flujo de Fondos'!$H$36,'Flujo de Fondos'!$H$35)</f>
        <v>0.42932197056696136</v>
      </c>
      <c r="N219" s="69">
        <v>40</v>
      </c>
      <c r="O219" s="66">
        <f>myParidad('Flujo de Fondos'!$N$34,'Paridad usd'!$A219,'Paridad usd'!N219,'Flujo de Fondos'!$N$36,'Flujo de Fondos'!$N$35)</f>
        <v>0.40039353748375972</v>
      </c>
      <c r="P219" s="70">
        <f t="shared" si="164"/>
        <v>1.5635826212235582E-2</v>
      </c>
      <c r="Q219" s="70">
        <f t="shared" si="165"/>
        <v>1.5723635158644722E-2</v>
      </c>
      <c r="R219" s="70">
        <f t="shared" si="168"/>
        <v>3.8758553001922713E-2</v>
      </c>
      <c r="S219" s="67">
        <f t="shared" si="169"/>
        <v>6.7686986085124357E-2</v>
      </c>
      <c r="T219" s="70">
        <f t="shared" si="166"/>
        <v>8.3410621243769079E-2</v>
      </c>
      <c r="U219" s="70">
        <f t="shared" si="170"/>
        <v>5.2051159872888775E-2</v>
      </c>
      <c r="V219" s="70">
        <f t="shared" si="150"/>
        <v>3.7036402217247799E-2</v>
      </c>
      <c r="W219" s="70">
        <f t="shared" si="151"/>
        <v>5.2672228429483381E-2</v>
      </c>
      <c r="X219" s="80">
        <f t="shared" si="152"/>
        <v>-0.4524446973566485</v>
      </c>
      <c r="Y219" s="90">
        <f t="shared" si="167"/>
        <v>2.3122726789687131E-2</v>
      </c>
    </row>
    <row r="220" spans="1:25" x14ac:dyDescent="0.25">
      <c r="A220" s="64">
        <v>44098</v>
      </c>
      <c r="B220" s="65">
        <v>47.57</v>
      </c>
      <c r="C220" s="66">
        <f>myParidad('Flujo de Fondos'!$B$5,A220,B220,'Flujo de Fondos'!$B$7,'Flujo de Fondos'!$B$6)</f>
        <v>0.47948332044626091</v>
      </c>
      <c r="D220" s="65">
        <v>47.8</v>
      </c>
      <c r="E220" s="67">
        <f>myParidad('Flujo de Fondos'!$H$5,$A220,D220,'Flujo de Fondos'!$H$7,'Flujo de Fondos'!$H$6)</f>
        <v>0.4818016127250635</v>
      </c>
      <c r="F220" s="65">
        <v>46</v>
      </c>
      <c r="G220" s="66">
        <f>myParidad('Flujo de Fondos'!$N$5,$A220,F220,'Flujo de Fondos'!$N$7,'Flujo de Fondos'!$N$6)</f>
        <v>0.46045414655550682</v>
      </c>
      <c r="H220" s="65"/>
      <c r="I220" s="66">
        <f>myParidad('Flujo de Fondos'!$T$5,$A220,H220,'Flujo de Fondos'!$T$7,'Flujo de Fondos'!$T$6)</f>
        <v>0</v>
      </c>
      <c r="J220" s="65">
        <v>41.9</v>
      </c>
      <c r="K220" s="66">
        <f>myParidad('Flujo de Fondos'!$B$34,$A220,J220,'Flujo de Fondos'!$B$36,'Flujo de Fondos'!$B$35)</f>
        <v>0.41941366827555943</v>
      </c>
      <c r="L220" s="65">
        <v>43.4</v>
      </c>
      <c r="M220" s="66">
        <f>myParidad('Flujo de Fondos'!$H$34,'Paridad usd'!$A220,'Paridad usd'!L220,'Flujo de Fondos'!$H$36,'Flujo de Fondos'!$H$35)</f>
        <v>0.43442847740236945</v>
      </c>
      <c r="N220" s="69">
        <v>39.450000000000003</v>
      </c>
      <c r="O220" s="66">
        <f>myParidad('Flujo de Fondos'!$N$34,'Paridad usd'!$A220,'Paridad usd'!N220,'Flujo de Fondos'!$N$36,'Flujo de Fondos'!$N$35)</f>
        <v>0.39488948003510316</v>
      </c>
      <c r="P220" s="70">
        <f t="shared" si="164"/>
        <v>1.9029173890754092E-2</v>
      </c>
      <c r="Q220" s="70">
        <f t="shared" si="165"/>
        <v>2.3182922788025917E-3</v>
      </c>
      <c r="R220" s="70">
        <f t="shared" si="168"/>
        <v>4.5054843043891457E-2</v>
      </c>
      <c r="S220" s="67">
        <f t="shared" si="169"/>
        <v>8.459384041115775E-2</v>
      </c>
      <c r="T220" s="70">
        <f t="shared" si="166"/>
        <v>8.6912132689960342E-2</v>
      </c>
      <c r="U220" s="70">
        <f t="shared" si="170"/>
        <v>6.5564666520403658E-2</v>
      </c>
      <c r="V220" s="70">
        <f t="shared" si="150"/>
        <v>4.104047827994739E-2</v>
      </c>
      <c r="W220" s="70">
        <f t="shared" si="151"/>
        <v>6.0069652170701482E-2</v>
      </c>
      <c r="X220" s="80">
        <f t="shared" si="152"/>
        <v>-0.46045414655550682</v>
      </c>
      <c r="Y220" s="90">
        <f t="shared" si="167"/>
        <v>2.6025669153137365E-2</v>
      </c>
    </row>
    <row r="221" spans="1:25" x14ac:dyDescent="0.25">
      <c r="A221" s="64">
        <v>44097</v>
      </c>
      <c r="B221" s="65">
        <v>47.6</v>
      </c>
      <c r="C221" s="66">
        <f>myParidad('Flujo de Fondos'!$B$5,A221,B221,'Flujo de Fondos'!$B$7,'Flujo de Fondos'!$B$6)</f>
        <v>0.47979895611830659</v>
      </c>
      <c r="D221" s="65">
        <v>47.1</v>
      </c>
      <c r="E221" s="67">
        <f>myParidad('Flujo de Fondos'!$H$5,$A221,D221,'Flujo de Fondos'!$H$7,'Flujo de Fondos'!$H$6)</f>
        <v>0.4747590511170639</v>
      </c>
      <c r="F221" s="65">
        <v>46.55</v>
      </c>
      <c r="G221" s="66">
        <f>myParidad('Flujo de Fondos'!$N$5,$A221,F221,'Flujo de Fondos'!$N$7,'Flujo de Fondos'!$N$6)</f>
        <v>0.46596117390156694</v>
      </c>
      <c r="H221" s="65"/>
      <c r="I221" s="66">
        <f>myParidad('Flujo de Fondos'!$T$5,$A221,H221,'Flujo de Fondos'!$T$7,'Flujo de Fondos'!$T$6)</f>
        <v>0</v>
      </c>
      <c r="J221" s="65">
        <v>39.75</v>
      </c>
      <c r="K221" s="66">
        <f>myParidad('Flujo de Fondos'!$B$34,$A221,J221,'Flujo de Fondos'!$B$36,'Flujo de Fondos'!$B$35)</f>
        <v>0.39789380585579565</v>
      </c>
      <c r="L221" s="65">
        <v>43</v>
      </c>
      <c r="M221" s="66">
        <f>myParidad('Flujo de Fondos'!$H$34,'Paridad usd'!$A221,'Paridad usd'!L221,'Flujo de Fondos'!$H$36,'Flujo de Fondos'!$H$35)</f>
        <v>0.4304260038188481</v>
      </c>
      <c r="N221" s="69">
        <v>38.549999999999997</v>
      </c>
      <c r="O221" s="66">
        <f>myParidad('Flujo de Fondos'!$N$34,'Paridad usd'!$A221,'Paridad usd'!N221,'Flujo de Fondos'!$N$36,'Flujo de Fondos'!$N$35)</f>
        <v>0.38588191737713007</v>
      </c>
      <c r="P221" s="70">
        <f t="shared" si="164"/>
        <v>1.3837782216739647E-2</v>
      </c>
      <c r="Q221" s="70">
        <f t="shared" si="165"/>
        <v>-5.0399050012426838E-3</v>
      </c>
      <c r="R221" s="70">
        <f t="shared" si="168"/>
        <v>4.9372952299458484E-2</v>
      </c>
      <c r="S221" s="67">
        <f t="shared" si="169"/>
        <v>9.3917038741176517E-2</v>
      </c>
      <c r="T221" s="70">
        <f t="shared" si="166"/>
        <v>8.8877133739933833E-2</v>
      </c>
      <c r="U221" s="70">
        <f t="shared" si="170"/>
        <v>8.007925652443687E-2</v>
      </c>
      <c r="V221" s="70">
        <f t="shared" si="150"/>
        <v>6.8067368045771293E-2</v>
      </c>
      <c r="W221" s="70">
        <f t="shared" si="151"/>
        <v>8.190515026251094E-2</v>
      </c>
      <c r="X221" s="80">
        <f t="shared" si="152"/>
        <v>-0.46596117390156694</v>
      </c>
      <c r="Y221" s="90">
        <f t="shared" si="167"/>
        <v>3.5535170082718837E-2</v>
      </c>
    </row>
    <row r="222" spans="1:25" x14ac:dyDescent="0.25">
      <c r="A222" s="64">
        <v>44096</v>
      </c>
      <c r="B222" s="65">
        <v>46.5</v>
      </c>
      <c r="C222" s="66">
        <f>myParidad('Flujo de Fondos'!$B$5,A222,B222,'Flujo de Fondos'!$B$7,'Flujo de Fondos'!$B$6)</f>
        <v>0.46872410936205466</v>
      </c>
      <c r="D222" s="65">
        <v>47</v>
      </c>
      <c r="E222" s="67">
        <f>myParidad('Flujo de Fondos'!$H$5,$A222,D222,'Flujo de Fondos'!$H$7,'Flujo de Fondos'!$H$6)</f>
        <v>0.47376415354874346</v>
      </c>
      <c r="F222" s="65">
        <v>45.39</v>
      </c>
      <c r="G222" s="66">
        <f>myParidad('Flujo de Fondos'!$N$5,$A222,F222,'Flujo de Fondos'!$N$7,'Flujo de Fondos'!$N$6)</f>
        <v>0.45435123924445514</v>
      </c>
      <c r="H222" s="65"/>
      <c r="I222" s="66">
        <f>myParidad('Flujo de Fondos'!$T$5,$A222,H222,'Flujo de Fondos'!$T$7,'Flujo de Fondos'!$T$6)</f>
        <v>0</v>
      </c>
      <c r="J222" s="65">
        <v>38.5</v>
      </c>
      <c r="K222" s="66">
        <f>myParidad('Flujo de Fondos'!$B$34,$A222,J222,'Flujo de Fondos'!$B$36,'Flujo de Fondos'!$B$35)</f>
        <v>0.38538274313530563</v>
      </c>
      <c r="L222" s="65">
        <v>42.65</v>
      </c>
      <c r="M222" s="66">
        <f>myParidad('Flujo de Fondos'!$H$34,'Paridad usd'!$A222,'Paridad usd'!L222,'Flujo de Fondos'!$H$36,'Flujo de Fondos'!$H$35)</f>
        <v>0.42692399986287749</v>
      </c>
      <c r="N222" s="69">
        <v>37.75</v>
      </c>
      <c r="O222" s="66">
        <f>myParidad('Flujo de Fondos'!$N$34,'Paridad usd'!$A222,'Paridad usd'!N222,'Flujo de Fondos'!$N$36,'Flujo de Fondos'!$N$35)</f>
        <v>0.37787528710020224</v>
      </c>
      <c r="P222" s="70">
        <f t="shared" si="164"/>
        <v>1.4372870117599523E-2</v>
      </c>
      <c r="Q222" s="70">
        <f t="shared" si="165"/>
        <v>5.0400441866887968E-3</v>
      </c>
      <c r="R222" s="70">
        <f t="shared" si="168"/>
        <v>4.1800109499177174E-2</v>
      </c>
      <c r="S222" s="67">
        <f t="shared" si="169"/>
        <v>9.0848822261852424E-2</v>
      </c>
      <c r="T222" s="70">
        <f t="shared" si="166"/>
        <v>9.5888866448541221E-2</v>
      </c>
      <c r="U222" s="70">
        <f t="shared" si="170"/>
        <v>7.6475952144252901E-2</v>
      </c>
      <c r="V222" s="70">
        <f t="shared" si="150"/>
        <v>6.8968496109149513E-2</v>
      </c>
      <c r="W222" s="70">
        <f t="shared" si="151"/>
        <v>8.3341366226749036E-2</v>
      </c>
      <c r="X222" s="80">
        <f t="shared" si="152"/>
        <v>-0.45435123924445514</v>
      </c>
      <c r="Y222" s="90">
        <f t="shared" si="167"/>
        <v>2.7427239381577651E-2</v>
      </c>
    </row>
    <row r="223" spans="1:25" x14ac:dyDescent="0.25">
      <c r="A223" s="64">
        <v>44095</v>
      </c>
      <c r="B223" s="65">
        <v>47.4</v>
      </c>
      <c r="C223" s="66">
        <f>myParidad('Flujo de Fondos'!$B$5,A223,B223,'Flujo de Fondos'!$B$7,'Flujo de Fondos'!$B$6)</f>
        <v>0.47780938440719156</v>
      </c>
      <c r="D223" s="65">
        <v>47</v>
      </c>
      <c r="E223" s="67">
        <f>myParidad('Flujo de Fondos'!$H$5,$A223,D223,'Flujo de Fondos'!$H$7,'Flujo de Fondos'!$H$6)</f>
        <v>0.47377723770333341</v>
      </c>
      <c r="F223" s="65">
        <v>46.12</v>
      </c>
      <c r="G223" s="66">
        <f>myParidad('Flujo de Fondos'!$N$5,$A223,F223,'Flujo de Fondos'!$N$7,'Flujo de Fondos'!$N$6)</f>
        <v>0.4616600790513834</v>
      </c>
      <c r="H223" s="65"/>
      <c r="I223" s="66">
        <f>myParidad('Flujo de Fondos'!$T$5,$A223,H223,'Flujo de Fondos'!$T$7,'Flujo de Fondos'!$T$6)</f>
        <v>0</v>
      </c>
      <c r="J223" s="65">
        <v>40.24</v>
      </c>
      <c r="K223" s="66">
        <f>myParidad('Flujo de Fondos'!$B$34,$A223,J223,'Flujo de Fondos'!$B$36,'Flujo de Fondos'!$B$35)</f>
        <v>0.40280142196504054</v>
      </c>
      <c r="L223" s="65">
        <v>43.35</v>
      </c>
      <c r="M223" s="66">
        <f>myParidad('Flujo de Fondos'!$H$34,'Paridad usd'!$A223,'Paridad usd'!L223,'Flujo de Fondos'!$H$36,'Flujo de Fondos'!$H$35)</f>
        <v>0.43393244637635453</v>
      </c>
      <c r="N223" s="69">
        <v>38.6</v>
      </c>
      <c r="O223" s="66">
        <f>myParidad('Flujo de Fondos'!$N$34,'Paridad usd'!$A223,'Paridad usd'!N223,'Flujo de Fondos'!$N$36,'Flujo de Fondos'!$N$35)</f>
        <v>0.38638506182531224</v>
      </c>
      <c r="P223" s="70">
        <f t="shared" si="164"/>
        <v>1.6149305355808163E-2</v>
      </c>
      <c r="Q223" s="70">
        <f t="shared" si="165"/>
        <v>-4.0321467038581527E-3</v>
      </c>
      <c r="R223" s="70">
        <f t="shared" si="168"/>
        <v>4.3876938030837032E-2</v>
      </c>
      <c r="S223" s="67">
        <f t="shared" si="169"/>
        <v>9.1424322581879325E-2</v>
      </c>
      <c r="T223" s="70">
        <f t="shared" si="166"/>
        <v>8.7392175878021172E-2</v>
      </c>
      <c r="U223" s="70">
        <f t="shared" si="170"/>
        <v>7.5275017226071161E-2</v>
      </c>
      <c r="V223" s="70">
        <f t="shared" ref="V223:V228" si="171">G223-K223</f>
        <v>5.8858657086342858E-2</v>
      </c>
      <c r="W223" s="70">
        <f t="shared" ref="W223:W228" si="172">C223-K223</f>
        <v>7.5007962442151022E-2</v>
      </c>
      <c r="X223" s="80">
        <f t="shared" ref="X223:X228" si="173">I223-G223</f>
        <v>-0.4616600790513834</v>
      </c>
      <c r="Y223" s="90">
        <f t="shared" si="167"/>
        <v>2.7727632675028868E-2</v>
      </c>
    </row>
    <row r="224" spans="1:25" x14ac:dyDescent="0.25">
      <c r="A224" s="64">
        <v>44092</v>
      </c>
      <c r="B224" s="65">
        <v>48.35</v>
      </c>
      <c r="C224" s="66">
        <f>myParidad('Flujo de Fondos'!$B$5,A224,B224,'Flujo de Fondos'!$B$7,'Flujo de Fondos'!$B$6)</f>
        <v>0.48742611721814066</v>
      </c>
      <c r="D224" s="65">
        <v>48.45</v>
      </c>
      <c r="E224" s="67">
        <f>myParidad('Flujo de Fondos'!$H$5,$A224,D224,'Flujo de Fondos'!$H$7,'Flujo de Fondos'!$H$6)</f>
        <v>0.48843423741921232</v>
      </c>
      <c r="F224" s="65">
        <v>47.1</v>
      </c>
      <c r="G224" s="66">
        <f>myParidad('Flujo de Fondos'!$N$5,$A224,F224,'Flujo de Fondos'!$N$7,'Flujo de Fondos'!$N$6)</f>
        <v>0.47147470398277719</v>
      </c>
      <c r="H224" s="65"/>
      <c r="I224" s="66">
        <f>myParidad('Flujo de Fondos'!$T$5,$A224,H224,'Flujo de Fondos'!$T$7,'Flujo de Fondos'!$T$6)</f>
        <v>0</v>
      </c>
      <c r="J224" s="65">
        <v>41.6</v>
      </c>
      <c r="K224" s="66">
        <f>myParidad('Flujo de Fondos'!$B$34,$A224,J224,'Flujo de Fondos'!$B$36,'Flujo de Fondos'!$B$35)</f>
        <v>0.41641927145824909</v>
      </c>
      <c r="L224" s="65">
        <v>44.25</v>
      </c>
      <c r="M224" s="66">
        <f>myParidad('Flujo de Fondos'!$H$34,'Paridad usd'!$A224,'Paridad usd'!L224,'Flujo de Fondos'!$H$36,'Flujo de Fondos'!$H$35)</f>
        <v>0.4429459798564308</v>
      </c>
      <c r="N224" s="69">
        <v>40</v>
      </c>
      <c r="O224" s="66">
        <f>myParidad('Flujo de Fondos'!$N$34,'Paridad usd'!$A224,'Paridad usd'!N224,'Flujo de Fondos'!$N$36,'Flujo de Fondos'!$N$35)</f>
        <v>0.40040314563293178</v>
      </c>
      <c r="P224" s="70">
        <f t="shared" si="164"/>
        <v>1.5951413235363476E-2</v>
      </c>
      <c r="Q224" s="70">
        <f t="shared" si="165"/>
        <v>1.0081202010716606E-3</v>
      </c>
      <c r="R224" s="70">
        <f t="shared" si="168"/>
        <v>4.4480137361709859E-2</v>
      </c>
      <c r="S224" s="67">
        <f t="shared" si="169"/>
        <v>8.7022971585208886E-2</v>
      </c>
      <c r="T224" s="70">
        <f t="shared" si="166"/>
        <v>8.8031091786280546E-2</v>
      </c>
      <c r="U224" s="70">
        <f t="shared" si="170"/>
        <v>7.107155834984541E-2</v>
      </c>
      <c r="V224" s="70">
        <f t="shared" si="171"/>
        <v>5.5055432524528103E-2</v>
      </c>
      <c r="W224" s="70">
        <f t="shared" si="172"/>
        <v>7.1006845759891579E-2</v>
      </c>
      <c r="X224" s="80">
        <f t="shared" si="173"/>
        <v>-0.47147470398277719</v>
      </c>
      <c r="Y224" s="90">
        <f t="shared" si="167"/>
        <v>2.8528724126346383E-2</v>
      </c>
    </row>
    <row r="225" spans="1:25" x14ac:dyDescent="0.25">
      <c r="A225" s="64">
        <v>44091</v>
      </c>
      <c r="B225" s="65">
        <v>48.51</v>
      </c>
      <c r="C225" s="66">
        <f>myParidad('Flujo de Fondos'!$B$5,A225,B225,'Flujo de Fondos'!$B$7,'Flujo de Fondos'!$B$6)</f>
        <v>0.48905261704184505</v>
      </c>
      <c r="D225" s="65">
        <v>48.01</v>
      </c>
      <c r="E225" s="67">
        <f>myParidad('Flujo de Fondos'!$H$5,$A225,D225,'Flujo de Fondos'!$H$7,'Flujo de Fondos'!$H$6)</f>
        <v>0.48401187681259494</v>
      </c>
      <c r="F225" s="65">
        <v>46.9</v>
      </c>
      <c r="G225" s="66">
        <f>myParidad('Flujo de Fondos'!$N$5,$A225,F225,'Flujo de Fondos'!$N$7,'Flujo de Fondos'!$N$6)</f>
        <v>0.46947429766373561</v>
      </c>
      <c r="H225" s="65"/>
      <c r="I225" s="66">
        <f>myParidad('Flujo de Fondos'!$T$5,$A225,H225,'Flujo de Fondos'!$T$7,'Flujo de Fondos'!$T$6)</f>
        <v>0</v>
      </c>
      <c r="J225" s="65">
        <v>41.75</v>
      </c>
      <c r="K225" s="66">
        <f>myParidad('Flujo de Fondos'!$B$34,$A225,J225,'Flujo de Fondos'!$B$36,'Flujo de Fondos'!$B$35)</f>
        <v>0.41792221593733397</v>
      </c>
      <c r="L225" s="65">
        <v>44.25</v>
      </c>
      <c r="M225" s="66">
        <f>myParidad('Flujo de Fondos'!$H$34,'Paridad usd'!$A225,'Paridad usd'!L225,'Flujo de Fondos'!$H$36,'Flujo de Fondos'!$H$35)</f>
        <v>0.4429474983287911</v>
      </c>
      <c r="N225" s="69">
        <v>40</v>
      </c>
      <c r="O225" s="66">
        <f>myParidad('Flujo de Fondos'!$N$34,'Paridad usd'!$A225,'Paridad usd'!N225,'Flujo de Fondos'!$N$36,'Flujo de Fondos'!$N$35)</f>
        <v>0.40040451826331397</v>
      </c>
      <c r="P225" s="70">
        <f t="shared" si="164"/>
        <v>1.9578319378109443E-2</v>
      </c>
      <c r="Q225" s="70">
        <f t="shared" si="165"/>
        <v>-5.0407402292501069E-3</v>
      </c>
      <c r="R225" s="70">
        <f t="shared" si="168"/>
        <v>4.610511871305395E-2</v>
      </c>
      <c r="S225" s="67">
        <f t="shared" si="169"/>
        <v>8.8648098778531081E-2</v>
      </c>
      <c r="T225" s="70">
        <f t="shared" si="166"/>
        <v>8.3607358549280975E-2</v>
      </c>
      <c r="U225" s="70">
        <f t="shared" si="170"/>
        <v>6.9069779400421638E-2</v>
      </c>
      <c r="V225" s="70">
        <f t="shared" si="171"/>
        <v>5.1552081726401633E-2</v>
      </c>
      <c r="W225" s="70">
        <f t="shared" si="172"/>
        <v>7.1130401104511076E-2</v>
      </c>
      <c r="X225" s="80">
        <f t="shared" si="173"/>
        <v>-0.46947429766373561</v>
      </c>
      <c r="Y225" s="90">
        <f t="shared" si="167"/>
        <v>2.6526799334944506E-2</v>
      </c>
    </row>
    <row r="226" spans="1:25" x14ac:dyDescent="0.25">
      <c r="A226" s="64">
        <v>44090</v>
      </c>
      <c r="B226" s="65">
        <v>48.85</v>
      </c>
      <c r="C226" s="66">
        <f>myParidad('Flujo de Fondos'!$B$5,A226,B226,'Flujo de Fondos'!$B$7,'Flujo de Fondos'!$B$6)</f>
        <v>0.4924939233233897</v>
      </c>
      <c r="D226" s="65">
        <v>51</v>
      </c>
      <c r="E226" s="67">
        <f>myParidad('Flujo de Fondos'!$H$5,$A226,D226,'Flujo de Fondos'!$H$7,'Flujo de Fondos'!$H$6)</f>
        <v>0.51416970500497183</v>
      </c>
      <c r="F226" s="65">
        <v>47.96</v>
      </c>
      <c r="G226" s="66">
        <f>myParidad('Flujo de Fondos'!$N$5,$A226,F226,'Flujo de Fondos'!$N$7,'Flujo de Fondos'!$N$6)</f>
        <v>0.48008666319282561</v>
      </c>
      <c r="H226" s="65"/>
      <c r="I226" s="66">
        <f>myParidad('Flujo de Fondos'!$T$5,$A226,H226,'Flujo de Fondos'!$T$7,'Flujo de Fondos'!$T$6)</f>
        <v>0</v>
      </c>
      <c r="J226" s="65">
        <v>41.9</v>
      </c>
      <c r="K226" s="66">
        <f>myParidad('Flujo de Fondos'!$B$34,$A226,J226,'Flujo de Fondos'!$B$36,'Flujo de Fondos'!$B$35)</f>
        <v>0.41942517072100483</v>
      </c>
      <c r="L226" s="65">
        <v>45.15</v>
      </c>
      <c r="M226" s="66">
        <f>myParidad('Flujo de Fondos'!$H$34,'Paridad usd'!$A226,'Paridad usd'!L226,'Flujo de Fondos'!$H$36,'Flujo de Fondos'!$H$35)</f>
        <v>0.45195814935688228</v>
      </c>
      <c r="N226" s="69">
        <v>41</v>
      </c>
      <c r="O226" s="66">
        <f>myParidad('Flujo de Fondos'!$N$34,'Paridad usd'!$A226,'Paridad usd'!N226,'Flujo de Fondos'!$N$36,'Flujo de Fondos'!$N$35)</f>
        <v>0.41041603817568495</v>
      </c>
      <c r="P226" s="70">
        <f t="shared" si="164"/>
        <v>1.2407260130564091E-2</v>
      </c>
      <c r="Q226" s="70">
        <f t="shared" si="165"/>
        <v>2.1675781681582129E-2</v>
      </c>
      <c r="R226" s="70">
        <f t="shared" si="168"/>
        <v>4.0535773966507427E-2</v>
      </c>
      <c r="S226" s="67">
        <f t="shared" si="169"/>
        <v>8.2077885147704754E-2</v>
      </c>
      <c r="T226" s="70">
        <f t="shared" si="166"/>
        <v>0.10375366682928688</v>
      </c>
      <c r="U226" s="70">
        <f t="shared" si="170"/>
        <v>6.9670625017140664E-2</v>
      </c>
      <c r="V226" s="70">
        <f t="shared" si="171"/>
        <v>6.0661492471820788E-2</v>
      </c>
      <c r="W226" s="70">
        <f t="shared" si="172"/>
        <v>7.3068752602384879E-2</v>
      </c>
      <c r="X226" s="80">
        <f t="shared" si="173"/>
        <v>-0.48008666319282561</v>
      </c>
      <c r="Y226" s="90">
        <f t="shared" si="167"/>
        <v>2.8128513835943336E-2</v>
      </c>
    </row>
    <row r="227" spans="1:25" x14ac:dyDescent="0.25">
      <c r="A227" s="64">
        <v>44089</v>
      </c>
      <c r="B227" s="65">
        <v>51.4</v>
      </c>
      <c r="C227" s="66">
        <f>myParidad('Flujo de Fondos'!$B$5,A227,B227,'Flujo de Fondos'!$B$7,'Flujo de Fondos'!$B$6)</f>
        <v>0.51821672237107419</v>
      </c>
      <c r="D227" s="65">
        <v>53.75</v>
      </c>
      <c r="E227" s="67">
        <f>myParidad('Flujo de Fondos'!$H$5,$A227,D227,'Flujo de Fondos'!$H$7,'Flujo de Fondos'!$H$6)</f>
        <v>0.54190951026158052</v>
      </c>
      <c r="F227" s="65">
        <v>51.08</v>
      </c>
      <c r="G227" s="66">
        <f>myParidad('Flujo de Fondos'!$N$5,$A227,F227,'Flujo de Fondos'!$N$7,'Flujo de Fondos'!$N$6)</f>
        <v>0.5113200755563021</v>
      </c>
      <c r="H227" s="65"/>
      <c r="I227" s="66">
        <f>myParidad('Flujo de Fondos'!$T$5,$A227,H227,'Flujo de Fondos'!$T$7,'Flujo de Fondos'!$T$6)</f>
        <v>0</v>
      </c>
      <c r="J227" s="65">
        <v>44.55</v>
      </c>
      <c r="K227" s="66">
        <f>myParidad('Flujo de Fondos'!$B$34,$A227,J227,'Flujo de Fondos'!$B$36,'Flujo de Fondos'!$B$35)</f>
        <v>0.44595358978138722</v>
      </c>
      <c r="L227" s="65">
        <v>48.35</v>
      </c>
      <c r="M227" s="66">
        <f>myParidad('Flujo de Fondos'!$H$34,'Paridad usd'!$A227,'Paridad usd'!L227,'Flujo de Fondos'!$H$36,'Flujo de Fondos'!$H$35)</f>
        <v>0.48399227981885684</v>
      </c>
      <c r="N227" s="69">
        <v>43.1</v>
      </c>
      <c r="O227" s="66">
        <f>myParidad('Flujo de Fondos'!$N$34,'Paridad usd'!$A227,'Paridad usd'!N227,'Flujo de Fondos'!$N$36,'Flujo de Fondos'!$N$35)</f>
        <v>0.43143882647761594</v>
      </c>
      <c r="P227" s="70">
        <f t="shared" si="164"/>
        <v>6.8966468147720894E-3</v>
      </c>
      <c r="Q227" s="70">
        <f t="shared" si="165"/>
        <v>2.3692787890506328E-2</v>
      </c>
      <c r="R227" s="70">
        <f t="shared" si="168"/>
        <v>3.4224442552217349E-2</v>
      </c>
      <c r="S227" s="67">
        <f t="shared" si="169"/>
        <v>8.6777895893458246E-2</v>
      </c>
      <c r="T227" s="70">
        <f t="shared" si="166"/>
        <v>0.11047068378396457</v>
      </c>
      <c r="U227" s="70">
        <f t="shared" si="170"/>
        <v>7.9881249078686156E-2</v>
      </c>
      <c r="V227" s="70">
        <f t="shared" si="171"/>
        <v>6.5366485774914884E-2</v>
      </c>
      <c r="W227" s="70">
        <f t="shared" si="172"/>
        <v>7.2263132589686974E-2</v>
      </c>
      <c r="X227" s="80">
        <f t="shared" si="173"/>
        <v>-0.5113200755563021</v>
      </c>
      <c r="Y227" s="90">
        <f t="shared" si="167"/>
        <v>2.732779573744526E-2</v>
      </c>
    </row>
    <row r="228" spans="1:25" ht="15.75" thickBot="1" x14ac:dyDescent="0.3">
      <c r="A228" s="72">
        <v>44088</v>
      </c>
      <c r="B228" s="73">
        <v>51.8</v>
      </c>
      <c r="C228" s="74">
        <f>myParidad('Flujo de Fondos'!$B$5,A228,B228,'Flujo de Fondos'!$B$7,'Flujo de Fondos'!$B$6)</f>
        <v>0.5222639633169438</v>
      </c>
      <c r="D228" s="73">
        <v>53.75</v>
      </c>
      <c r="E228" s="75">
        <f>myParidad('Flujo de Fondos'!$H$5,$A228,D228,'Flujo de Fondos'!$H$7,'Flujo de Fondos'!$H$6)</f>
        <v>0.54192447931053533</v>
      </c>
      <c r="F228" s="73">
        <v>51.87</v>
      </c>
      <c r="G228" s="74">
        <f>myParidad('Flujo de Fondos'!$N$5,$A228,F228,'Flujo de Fondos'!$N$7,'Flujo de Fondos'!$N$6)</f>
        <v>0.51922989900652028</v>
      </c>
      <c r="H228" s="73"/>
      <c r="I228" s="66">
        <f>myParidad('Flujo de Fondos'!$T$5,$A228,H228,'Flujo de Fondos'!$T$7,'Flujo de Fondos'!$T$6)</f>
        <v>0</v>
      </c>
      <c r="J228" s="73">
        <v>44.54</v>
      </c>
      <c r="K228" s="66">
        <f>myParidad('Flujo de Fondos'!$B$34,$A228,J228,'Flujo de Fondos'!$B$36,'Flujo de Fondos'!$B$35)</f>
        <v>0.44585501642086789</v>
      </c>
      <c r="L228" s="73">
        <v>49.2</v>
      </c>
      <c r="M228" s="74">
        <f>myParidad('Flujo de Fondos'!$H$34,'Paridad usd'!$A228,'Paridad usd'!L228,'Flujo de Fondos'!$H$36,'Flujo de Fondos'!$H$35)</f>
        <v>0.49250262253944094</v>
      </c>
      <c r="N228" s="76">
        <v>43.99</v>
      </c>
      <c r="O228" s="74">
        <f>myParidad('Flujo de Fondos'!$N$34,'Paridad usd'!$A228,'Paridad usd'!N228,'Flujo de Fondos'!$N$36,'Flujo de Fondos'!$N$35)</f>
        <v>0.44034939767296766</v>
      </c>
      <c r="P228" s="77">
        <f t="shared" si="164"/>
        <v>3.0340643104235232E-3</v>
      </c>
      <c r="Q228" s="77">
        <f t="shared" si="165"/>
        <v>1.9660515993591532E-2</v>
      </c>
      <c r="R228" s="77">
        <f t="shared" si="168"/>
        <v>2.9761340777502865E-2</v>
      </c>
      <c r="S228" s="75">
        <f t="shared" si="169"/>
        <v>8.1914565643976145E-2</v>
      </c>
      <c r="T228" s="75">
        <f t="shared" si="166"/>
        <v>0.10157508163756768</v>
      </c>
      <c r="U228" s="75">
        <f t="shared" si="170"/>
        <v>7.8880501333552622E-2</v>
      </c>
      <c r="V228" s="75">
        <f t="shared" si="171"/>
        <v>7.337488258565239E-2</v>
      </c>
      <c r="W228" s="75">
        <f t="shared" si="172"/>
        <v>7.6408946896075913E-2</v>
      </c>
      <c r="X228" s="75">
        <f t="shared" si="173"/>
        <v>-0.51922989900652028</v>
      </c>
      <c r="Y228" s="90">
        <f t="shared" si="167"/>
        <v>2.6727276467079342E-2</v>
      </c>
    </row>
    <row r="229" spans="1:25" x14ac:dyDescent="0.25">
      <c r="A229" s="1"/>
      <c r="B229" s="2"/>
      <c r="C229" s="2"/>
      <c r="F229" s="2"/>
      <c r="G229" s="2"/>
    </row>
    <row r="230" spans="1:25" x14ac:dyDescent="0.25">
      <c r="A230" s="1"/>
      <c r="B230" s="2"/>
      <c r="C230" s="2"/>
      <c r="F230" s="2"/>
      <c r="G230" s="2"/>
    </row>
    <row r="231" spans="1:25" x14ac:dyDescent="0.25">
      <c r="A231" s="1"/>
      <c r="B231" s="2"/>
      <c r="C231" s="2"/>
      <c r="F231" s="2"/>
      <c r="G231" s="2"/>
    </row>
    <row r="232" spans="1:25" x14ac:dyDescent="0.25">
      <c r="A232" s="1"/>
      <c r="B232" s="2"/>
      <c r="C232" s="2"/>
      <c r="F232" s="2"/>
      <c r="G232" s="2"/>
    </row>
    <row r="233" spans="1:25" x14ac:dyDescent="0.25">
      <c r="A233" s="1"/>
      <c r="B233" s="2"/>
      <c r="C233" s="2"/>
      <c r="F233" s="3"/>
      <c r="G233" s="2"/>
    </row>
  </sheetData>
  <sortState ref="A2:U65">
    <sortCondition descending="1" ref="A2:A65"/>
  </sortState>
  <pageMargins left="0.7" right="0.7" top="0.75" bottom="0.75" header="0.3" footer="0.3"/>
  <pageSetup paperSize="5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H225"/>
  <sheetViews>
    <sheetView topLeftCell="B1" workbookViewId="0">
      <selection activeCell="B3" sqref="B3"/>
    </sheetView>
  </sheetViews>
  <sheetFormatPr baseColWidth="10" defaultRowHeight="15" x14ac:dyDescent="0.25"/>
  <cols>
    <col min="1" max="1" width="17.5703125" bestFit="1" customWidth="1"/>
    <col min="2" max="3" width="12.140625" style="3" bestFit="1" customWidth="1"/>
    <col min="4" max="4" width="13.5703125" style="3" bestFit="1" customWidth="1"/>
    <col min="5" max="6" width="12.140625" style="3" bestFit="1" customWidth="1"/>
    <col min="7" max="7" width="13.5703125" bestFit="1" customWidth="1"/>
    <col min="8" max="8" width="12.140625" bestFit="1" customWidth="1"/>
  </cols>
  <sheetData>
    <row r="1" spans="1:8" x14ac:dyDescent="0.25">
      <c r="A1" s="45" t="s">
        <v>33</v>
      </c>
      <c r="B1" s="3" t="s">
        <v>41</v>
      </c>
      <c r="C1" s="3" t="s">
        <v>42</v>
      </c>
      <c r="D1" s="3" t="s">
        <v>43</v>
      </c>
      <c r="E1" s="3" t="s">
        <v>44</v>
      </c>
      <c r="F1" s="3" t="s">
        <v>45</v>
      </c>
      <c r="G1" t="s">
        <v>52</v>
      </c>
      <c r="H1" t="s">
        <v>53</v>
      </c>
    </row>
    <row r="2" spans="1:8" x14ac:dyDescent="0.25">
      <c r="A2" s="46">
        <v>44088</v>
      </c>
      <c r="B2" s="3">
        <v>0.5222639633169438</v>
      </c>
      <c r="C2" s="3">
        <v>0.51922989900652028</v>
      </c>
      <c r="D2" s="3">
        <v>0.54192447931053533</v>
      </c>
      <c r="E2" s="3">
        <v>0.49250262253944094</v>
      </c>
      <c r="F2" s="3">
        <v>0.44034939767296766</v>
      </c>
      <c r="G2" s="3">
        <v>0</v>
      </c>
      <c r="H2" s="3">
        <v>0.44585501642086789</v>
      </c>
    </row>
    <row r="3" spans="1:8" x14ac:dyDescent="0.25">
      <c r="A3" s="46">
        <v>44089</v>
      </c>
      <c r="B3" s="3">
        <v>0.51821672237107419</v>
      </c>
      <c r="C3" s="3">
        <v>0.5113200755563021</v>
      </c>
      <c r="D3" s="3">
        <v>0.54190951026158052</v>
      </c>
      <c r="E3" s="3">
        <v>0.48399227981885684</v>
      </c>
      <c r="F3" s="3">
        <v>0.43143882647761594</v>
      </c>
      <c r="G3" s="3">
        <v>0</v>
      </c>
      <c r="H3" s="3">
        <v>0.44595358978138722</v>
      </c>
    </row>
    <row r="4" spans="1:8" x14ac:dyDescent="0.25">
      <c r="A4" s="46">
        <v>44090</v>
      </c>
      <c r="B4" s="3">
        <v>0.4924939233233897</v>
      </c>
      <c r="C4" s="3">
        <v>0.48008666319282561</v>
      </c>
      <c r="D4" s="3">
        <v>0.51416970500497183</v>
      </c>
      <c r="E4" s="3">
        <v>0.45195814935688228</v>
      </c>
      <c r="F4" s="3">
        <v>0.41041603817568495</v>
      </c>
      <c r="G4" s="3">
        <v>0</v>
      </c>
      <c r="H4" s="3">
        <v>0.41942517072100483</v>
      </c>
    </row>
    <row r="5" spans="1:8" x14ac:dyDescent="0.25">
      <c r="A5" s="46">
        <v>44091</v>
      </c>
      <c r="B5" s="3">
        <v>0.48905261704184505</v>
      </c>
      <c r="C5" s="3">
        <v>0.46947429766373561</v>
      </c>
      <c r="D5" s="3">
        <v>0.48401187681259494</v>
      </c>
      <c r="E5" s="3">
        <v>0.4429474983287911</v>
      </c>
      <c r="F5" s="3">
        <v>0.40040451826331397</v>
      </c>
      <c r="G5" s="3">
        <v>0</v>
      </c>
      <c r="H5" s="3">
        <v>0.41792221593733397</v>
      </c>
    </row>
    <row r="6" spans="1:8" x14ac:dyDescent="0.25">
      <c r="A6" s="46">
        <v>44092</v>
      </c>
      <c r="B6" s="3">
        <v>0.48742611721814066</v>
      </c>
      <c r="C6" s="3">
        <v>0.47147470398277719</v>
      </c>
      <c r="D6" s="3">
        <v>0.48843423741921232</v>
      </c>
      <c r="E6" s="3">
        <v>0.4429459798564308</v>
      </c>
      <c r="F6" s="3">
        <v>0.40040314563293178</v>
      </c>
      <c r="G6" s="3">
        <v>0</v>
      </c>
      <c r="H6" s="3">
        <v>0.41641927145824909</v>
      </c>
    </row>
    <row r="7" spans="1:8" x14ac:dyDescent="0.25">
      <c r="A7" s="46">
        <v>44095</v>
      </c>
      <c r="B7" s="3">
        <v>0.47780938440719156</v>
      </c>
      <c r="C7" s="3">
        <v>0.4616600790513834</v>
      </c>
      <c r="D7" s="3">
        <v>0.47377723770333341</v>
      </c>
      <c r="E7" s="3">
        <v>0.43393244637635453</v>
      </c>
      <c r="F7" s="3">
        <v>0.38638506182531224</v>
      </c>
      <c r="G7" s="3">
        <v>0</v>
      </c>
      <c r="H7" s="3">
        <v>0.40280142196504054</v>
      </c>
    </row>
    <row r="8" spans="1:8" x14ac:dyDescent="0.25">
      <c r="A8" s="46">
        <v>44096</v>
      </c>
      <c r="B8" s="3">
        <v>0.46872410936205466</v>
      </c>
      <c r="C8" s="3">
        <v>0.45435123924445514</v>
      </c>
      <c r="D8" s="3">
        <v>0.47376415354874346</v>
      </c>
      <c r="E8" s="3">
        <v>0.42692399986287749</v>
      </c>
      <c r="F8" s="3">
        <v>0.37787528710020224</v>
      </c>
      <c r="G8" s="3">
        <v>0</v>
      </c>
      <c r="H8" s="3">
        <v>0.38538274313530563</v>
      </c>
    </row>
    <row r="9" spans="1:8" x14ac:dyDescent="0.25">
      <c r="A9" s="46">
        <v>44097</v>
      </c>
      <c r="B9" s="3">
        <v>0.47979895611830659</v>
      </c>
      <c r="C9" s="3">
        <v>0.46596117390156694</v>
      </c>
      <c r="D9" s="3">
        <v>0.4747590511170639</v>
      </c>
      <c r="E9" s="3">
        <v>0.4304260038188481</v>
      </c>
      <c r="F9" s="3">
        <v>0.38588191737713007</v>
      </c>
      <c r="G9" s="3">
        <v>0</v>
      </c>
      <c r="H9" s="3">
        <v>0.39789380585579565</v>
      </c>
    </row>
    <row r="10" spans="1:8" x14ac:dyDescent="0.25">
      <c r="A10" s="46">
        <v>44098</v>
      </c>
      <c r="B10" s="3">
        <v>0.47948332044626091</v>
      </c>
      <c r="C10" s="3">
        <v>0.46045414655550682</v>
      </c>
      <c r="D10" s="3">
        <v>0.4818016127250635</v>
      </c>
      <c r="E10" s="3">
        <v>0.43442847740236945</v>
      </c>
      <c r="F10" s="3">
        <v>0.39488948003510316</v>
      </c>
      <c r="G10" s="3">
        <v>0</v>
      </c>
      <c r="H10" s="3">
        <v>0.41941366827555943</v>
      </c>
    </row>
    <row r="11" spans="1:8" x14ac:dyDescent="0.25">
      <c r="A11" s="46">
        <v>44099</v>
      </c>
      <c r="B11" s="3">
        <v>0.46808052356888408</v>
      </c>
      <c r="C11" s="3">
        <v>0.4524446973566485</v>
      </c>
      <c r="D11" s="3">
        <v>0.4838041587275288</v>
      </c>
      <c r="E11" s="3">
        <v>0.42932197056696136</v>
      </c>
      <c r="F11" s="3">
        <v>0.40039353748375972</v>
      </c>
      <c r="G11" s="3">
        <v>0</v>
      </c>
      <c r="H11" s="3">
        <v>0.4154082951394007</v>
      </c>
    </row>
    <row r="12" spans="1:8" x14ac:dyDescent="0.25">
      <c r="A12" s="46">
        <v>44102</v>
      </c>
      <c r="B12" s="3">
        <v>0.46652998674618951</v>
      </c>
      <c r="C12" s="3">
        <v>0.449437123777921</v>
      </c>
      <c r="D12" s="3">
        <v>0.48678760768721002</v>
      </c>
      <c r="E12" s="3">
        <v>0.42471307710238726</v>
      </c>
      <c r="F12" s="3">
        <v>0.39538455209861645</v>
      </c>
      <c r="G12" s="3">
        <v>0</v>
      </c>
      <c r="H12" s="3">
        <v>0.41039915534286769</v>
      </c>
    </row>
    <row r="13" spans="1:8" x14ac:dyDescent="0.25">
      <c r="A13" s="46">
        <v>44103</v>
      </c>
      <c r="B13" s="3">
        <v>0.46359444459784077</v>
      </c>
      <c r="C13" s="3">
        <v>0.4471333518444246</v>
      </c>
      <c r="D13" s="3">
        <v>0.47871165474777039</v>
      </c>
      <c r="E13" s="3">
        <v>0.41840550944922644</v>
      </c>
      <c r="F13" s="3">
        <v>0.39077873418415793</v>
      </c>
      <c r="G13" s="3">
        <v>0</v>
      </c>
      <c r="H13" s="3">
        <v>0.39938707720153432</v>
      </c>
    </row>
    <row r="14" spans="1:8" x14ac:dyDescent="0.25">
      <c r="A14" s="46">
        <v>44104</v>
      </c>
      <c r="B14" s="3">
        <v>0.46217074382903528</v>
      </c>
      <c r="C14" s="3">
        <v>0.44643114240465109</v>
      </c>
      <c r="D14" s="3">
        <v>0.48272958197581312</v>
      </c>
      <c r="E14" s="3">
        <v>0.42440987529052027</v>
      </c>
      <c r="F14" s="3">
        <v>0.3905772012697194</v>
      </c>
      <c r="G14" s="3">
        <v>0</v>
      </c>
      <c r="H14" s="3">
        <v>0.40779382828622163</v>
      </c>
    </row>
    <row r="15" spans="1:8" x14ac:dyDescent="0.25">
      <c r="A15" s="46">
        <v>44105</v>
      </c>
      <c r="B15" s="3">
        <v>0.46608824097849194</v>
      </c>
      <c r="C15" s="3">
        <v>0.44743057531391511</v>
      </c>
      <c r="D15" s="3">
        <v>0.48694883900715097</v>
      </c>
      <c r="E15" s="3">
        <v>0.42941323671067017</v>
      </c>
      <c r="F15" s="3">
        <v>0.39838337578285948</v>
      </c>
      <c r="G15" s="3">
        <v>0</v>
      </c>
      <c r="H15" s="3">
        <v>0.4083930083402178</v>
      </c>
    </row>
    <row r="16" spans="1:8" x14ac:dyDescent="0.25">
      <c r="A16" s="46">
        <v>44106</v>
      </c>
      <c r="B16" s="3">
        <v>0.45801352843732746</v>
      </c>
      <c r="C16" s="3">
        <v>0.44342520224873161</v>
      </c>
      <c r="D16" s="3">
        <v>0.47685808945334068</v>
      </c>
      <c r="E16" s="3">
        <v>0.42190456602221305</v>
      </c>
      <c r="F16" s="3">
        <v>0.40038392979569448</v>
      </c>
      <c r="G16" s="3">
        <v>0</v>
      </c>
      <c r="H16" s="3">
        <v>0.40088440970793909</v>
      </c>
    </row>
    <row r="17" spans="1:8" x14ac:dyDescent="0.25">
      <c r="A17" s="46">
        <v>44109</v>
      </c>
      <c r="B17" s="3">
        <v>0.45737100737100739</v>
      </c>
      <c r="C17" s="3">
        <v>0.44442159171542867</v>
      </c>
      <c r="D17" s="3">
        <v>0.48356983132264031</v>
      </c>
      <c r="E17" s="3">
        <v>0.41689547961593704</v>
      </c>
      <c r="F17" s="3">
        <v>0.40037981235624204</v>
      </c>
      <c r="G17" s="3">
        <v>0</v>
      </c>
      <c r="H17" s="3">
        <v>0.39537506470178901</v>
      </c>
    </row>
    <row r="18" spans="1:8" x14ac:dyDescent="0.25">
      <c r="A18" s="46">
        <v>44110</v>
      </c>
      <c r="B18" s="3">
        <v>0.4564515238515901</v>
      </c>
      <c r="C18" s="3">
        <v>0.44492054133358933</v>
      </c>
      <c r="D18" s="3">
        <v>0.47962676678445232</v>
      </c>
      <c r="E18" s="3">
        <v>0.41439168529157694</v>
      </c>
      <c r="F18" s="3">
        <v>0.40027834528526968</v>
      </c>
      <c r="G18" s="3">
        <v>0</v>
      </c>
      <c r="H18" s="3">
        <v>0.3999780614553482</v>
      </c>
    </row>
    <row r="19" spans="1:8" x14ac:dyDescent="0.25">
      <c r="A19" s="46">
        <v>44111</v>
      </c>
      <c r="B19" s="3">
        <v>0.4578495514147688</v>
      </c>
      <c r="C19" s="3">
        <v>0.4484223155368926</v>
      </c>
      <c r="D19" s="3">
        <v>0.48062111801242241</v>
      </c>
      <c r="E19" s="3">
        <v>0.4163921501414003</v>
      </c>
      <c r="F19" s="3">
        <v>0.39937612477504497</v>
      </c>
      <c r="G19" s="3">
        <v>0</v>
      </c>
      <c r="H19" s="3">
        <v>0.40137801011226326</v>
      </c>
    </row>
    <row r="20" spans="1:8" x14ac:dyDescent="0.25">
      <c r="A20" s="46">
        <v>44112</v>
      </c>
      <c r="B20" s="3">
        <v>0.45662783636062498</v>
      </c>
      <c r="C20" s="3">
        <v>0.44741983916414718</v>
      </c>
      <c r="D20" s="3">
        <v>0.49118726881245517</v>
      </c>
      <c r="E20" s="3">
        <v>0.41478922002152702</v>
      </c>
      <c r="F20" s="3">
        <v>0.39537099881395554</v>
      </c>
      <c r="G20" s="3">
        <v>0</v>
      </c>
      <c r="H20" s="3">
        <v>0.3991745679164696</v>
      </c>
    </row>
    <row r="21" spans="1:8" x14ac:dyDescent="0.25">
      <c r="A21" s="46">
        <v>44113</v>
      </c>
      <c r="B21" s="3">
        <v>0.45973859276230439</v>
      </c>
      <c r="C21" s="3">
        <v>0.44771858621245203</v>
      </c>
      <c r="D21" s="3">
        <v>0.48966240649239517</v>
      </c>
      <c r="E21" s="3">
        <v>0.41598892114888236</v>
      </c>
      <c r="F21" s="3">
        <v>0.39536964353659415</v>
      </c>
      <c r="G21" s="3">
        <v>0</v>
      </c>
      <c r="H21" s="3">
        <v>0.40037432256870292</v>
      </c>
    </row>
    <row r="22" spans="1:8" x14ac:dyDescent="0.25">
      <c r="A22" s="46">
        <v>44117</v>
      </c>
      <c r="B22" s="3">
        <v>0.45787447213712018</v>
      </c>
      <c r="C22" s="3">
        <v>0.44781253963411499</v>
      </c>
      <c r="D22" s="3">
        <v>0.48759349728133367</v>
      </c>
      <c r="E22" s="3">
        <v>0.41598321741604427</v>
      </c>
      <c r="F22" s="3">
        <v>0.39286191731423814</v>
      </c>
      <c r="G22" s="3">
        <v>0</v>
      </c>
      <c r="H22" s="3">
        <v>0.39736606668471985</v>
      </c>
    </row>
    <row r="23" spans="1:8" x14ac:dyDescent="0.25">
      <c r="A23" s="46">
        <v>44118</v>
      </c>
      <c r="B23" s="3">
        <v>0.45232115257231176</v>
      </c>
      <c r="C23" s="3">
        <v>0.4449083405317209</v>
      </c>
      <c r="D23" s="3">
        <v>0.48758003974387282</v>
      </c>
      <c r="E23" s="3">
        <v>0.41117738198072201</v>
      </c>
      <c r="F23" s="3">
        <v>0.38235092482141148</v>
      </c>
      <c r="G23" s="3">
        <v>0</v>
      </c>
      <c r="H23" s="3">
        <v>0.39416176490751786</v>
      </c>
    </row>
    <row r="24" spans="1:8" x14ac:dyDescent="0.25">
      <c r="A24" s="46">
        <v>44119</v>
      </c>
      <c r="B24" s="3">
        <v>0.448883614384677</v>
      </c>
      <c r="C24" s="3">
        <v>0.44440635786832478</v>
      </c>
      <c r="D24" s="3">
        <v>0.46802362487235394</v>
      </c>
      <c r="E24" s="3">
        <v>0.40426965752931621</v>
      </c>
      <c r="F24" s="3">
        <v>0.36533405545481656</v>
      </c>
      <c r="G24" s="3">
        <v>0</v>
      </c>
      <c r="H24" s="3">
        <v>0.38034778376117889</v>
      </c>
    </row>
    <row r="25" spans="1:8" x14ac:dyDescent="0.25">
      <c r="A25" s="46">
        <v>44120</v>
      </c>
      <c r="B25" s="3">
        <v>0.44625213887508969</v>
      </c>
      <c r="C25" s="3">
        <v>0.44230291978309005</v>
      </c>
      <c r="D25" s="3">
        <v>0.47345035049953083</v>
      </c>
      <c r="E25" s="3">
        <v>0.39836289222373805</v>
      </c>
      <c r="F25" s="3">
        <v>0.35832642064346287</v>
      </c>
      <c r="G25" s="3">
        <v>0</v>
      </c>
      <c r="H25" s="3">
        <v>0.37704347110724157</v>
      </c>
    </row>
    <row r="26" spans="1:8" x14ac:dyDescent="0.25">
      <c r="A26" s="46">
        <v>44123</v>
      </c>
      <c r="B26" s="3">
        <v>0.43825785799045175</v>
      </c>
      <c r="C26" s="3">
        <v>0.43389079890449278</v>
      </c>
      <c r="D26" s="3">
        <v>0.4542732566161658</v>
      </c>
      <c r="E26" s="3">
        <v>0.38885023154416481</v>
      </c>
      <c r="F26" s="3">
        <v>0.35832273588883135</v>
      </c>
      <c r="G26" s="3">
        <v>0</v>
      </c>
      <c r="H26" s="3">
        <v>0.35982408813417566</v>
      </c>
    </row>
    <row r="27" spans="1:8" x14ac:dyDescent="0.25">
      <c r="A27" s="46">
        <v>44124</v>
      </c>
      <c r="B27" s="3">
        <v>0.42001490148462944</v>
      </c>
      <c r="C27" s="3">
        <v>0.41417161974100053</v>
      </c>
      <c r="D27" s="3">
        <v>0.44821734091285392</v>
      </c>
      <c r="E27" s="3">
        <v>0.37833946897558768</v>
      </c>
      <c r="F27" s="3">
        <v>0.34831252699339815</v>
      </c>
      <c r="G27" s="3">
        <v>0</v>
      </c>
      <c r="H27" s="3">
        <v>0.36072366301270314</v>
      </c>
    </row>
    <row r="28" spans="1:8" x14ac:dyDescent="0.25">
      <c r="A28" s="46">
        <v>44125</v>
      </c>
      <c r="B28" s="3">
        <v>0.41476585998509891</v>
      </c>
      <c r="C28" s="3">
        <v>0.40336053801514365</v>
      </c>
      <c r="D28" s="3">
        <v>0.44619056817241093</v>
      </c>
      <c r="E28" s="3">
        <v>0.36782877846294121</v>
      </c>
      <c r="F28" s="3">
        <v>0.33980372867528857</v>
      </c>
      <c r="G28" s="3">
        <v>0</v>
      </c>
      <c r="H28" s="3">
        <v>0.34530864916929171</v>
      </c>
    </row>
    <row r="29" spans="1:8" x14ac:dyDescent="0.25">
      <c r="A29" s="46">
        <v>44126</v>
      </c>
      <c r="B29" s="3">
        <v>0.42402041942604857</v>
      </c>
      <c r="C29" s="3">
        <v>0.40135737300335916</v>
      </c>
      <c r="D29" s="3">
        <v>0.48344370860927155</v>
      </c>
      <c r="E29" s="3">
        <v>0.37773634057722633</v>
      </c>
      <c r="F29" s="3">
        <v>0.34630835675601562</v>
      </c>
      <c r="G29" s="3">
        <v>0</v>
      </c>
      <c r="H29" s="3">
        <v>0.35031192157400426</v>
      </c>
    </row>
    <row r="30" spans="1:8" x14ac:dyDescent="0.25">
      <c r="A30" s="46">
        <v>44127</v>
      </c>
      <c r="B30" s="3">
        <v>0.43972020639607073</v>
      </c>
      <c r="C30" s="3">
        <v>0.40185644115842473</v>
      </c>
      <c r="D30" s="3">
        <v>0.4935018349383295</v>
      </c>
      <c r="E30" s="3">
        <v>0.37313096205195706</v>
      </c>
      <c r="F30" s="3">
        <v>0.34180317473375355</v>
      </c>
      <c r="G30" s="3">
        <v>0</v>
      </c>
      <c r="H30" s="3">
        <v>0.35481471579243234</v>
      </c>
    </row>
    <row r="31" spans="1:8" x14ac:dyDescent="0.25">
      <c r="A31" s="46">
        <v>44130</v>
      </c>
      <c r="B31" s="3">
        <v>0.40846484935437594</v>
      </c>
      <c r="C31" s="3">
        <v>0.38263546122628056</v>
      </c>
      <c r="D31" s="3">
        <v>0.47331972188500165</v>
      </c>
      <c r="E31" s="3">
        <v>0.36031589338598224</v>
      </c>
      <c r="F31" s="3">
        <v>0.33429307886366127</v>
      </c>
      <c r="G31" s="3">
        <v>0</v>
      </c>
      <c r="H31" s="3">
        <v>0.34230009871668315</v>
      </c>
    </row>
    <row r="32" spans="1:8" x14ac:dyDescent="0.25">
      <c r="A32" s="46">
        <v>44131</v>
      </c>
      <c r="B32" s="3">
        <v>0.43302524486136018</v>
      </c>
      <c r="C32" s="3">
        <v>0.39254280279010778</v>
      </c>
      <c r="D32" s="3">
        <v>0.45316595392467929</v>
      </c>
      <c r="E32" s="3">
        <v>0.36631990265471559</v>
      </c>
      <c r="F32" s="3">
        <v>0.3402971773295172</v>
      </c>
      <c r="G32" s="3">
        <v>0</v>
      </c>
      <c r="H32" s="3">
        <v>0.35230766594114726</v>
      </c>
    </row>
    <row r="33" spans="1:8" x14ac:dyDescent="0.25">
      <c r="A33" s="46">
        <v>44132</v>
      </c>
      <c r="B33" s="3">
        <v>0.44509739005683391</v>
      </c>
      <c r="C33" s="3">
        <v>0.38833780068964097</v>
      </c>
      <c r="D33" s="3">
        <v>0.48336368150968384</v>
      </c>
      <c r="E33" s="3">
        <v>0.36131429394061959</v>
      </c>
      <c r="F33" s="3">
        <v>0.33819418261090123</v>
      </c>
      <c r="G33" s="3">
        <v>0</v>
      </c>
      <c r="H33" s="3">
        <v>0.35030471711694416</v>
      </c>
    </row>
    <row r="34" spans="1:8" x14ac:dyDescent="0.25">
      <c r="A34" s="46">
        <v>44133</v>
      </c>
      <c r="B34" s="3">
        <v>0.45767235909178694</v>
      </c>
      <c r="C34" s="3">
        <v>0.38773594929853605</v>
      </c>
      <c r="D34" s="3">
        <v>0.47025960769167108</v>
      </c>
      <c r="E34" s="3">
        <v>0.36121296877088716</v>
      </c>
      <c r="F34" s="3">
        <v>0.33679180934165559</v>
      </c>
      <c r="G34" s="3">
        <v>0</v>
      </c>
      <c r="H34" s="3">
        <v>0.35040360312188296</v>
      </c>
    </row>
    <row r="35" spans="1:8" x14ac:dyDescent="0.25">
      <c r="A35" s="46">
        <v>44134</v>
      </c>
      <c r="B35" s="3">
        <v>0.45212149635841975</v>
      </c>
      <c r="C35" s="3">
        <v>0.38082866035071361</v>
      </c>
      <c r="D35" s="3">
        <v>0.46823273008165966</v>
      </c>
      <c r="E35" s="3">
        <v>0.36011078053662748</v>
      </c>
      <c r="F35" s="3">
        <v>0.33528935931008952</v>
      </c>
      <c r="G35" s="3">
        <v>0</v>
      </c>
      <c r="H35" s="3">
        <v>0.35130317945624306</v>
      </c>
    </row>
    <row r="36" spans="1:8" x14ac:dyDescent="0.25">
      <c r="A36" s="46">
        <v>44137</v>
      </c>
      <c r="B36" s="3">
        <v>0.44010234200435849</v>
      </c>
      <c r="C36" s="3">
        <v>0.38672977984651297</v>
      </c>
      <c r="D36" s="3">
        <v>0.45137927229593666</v>
      </c>
      <c r="E36" s="3">
        <v>0.36280938197298379</v>
      </c>
      <c r="F36" s="3">
        <v>0.3362867650839243</v>
      </c>
      <c r="G36" s="3">
        <v>0</v>
      </c>
      <c r="H36" s="3">
        <v>0.35089922570959486</v>
      </c>
    </row>
    <row r="37" spans="1:8" x14ac:dyDescent="0.25">
      <c r="A37" s="46">
        <v>44138</v>
      </c>
      <c r="B37" s="3">
        <v>0.4510647688403398</v>
      </c>
      <c r="C37" s="3">
        <v>0.38412624420740904</v>
      </c>
      <c r="D37" s="3">
        <v>0.45066203243958952</v>
      </c>
      <c r="E37" s="3">
        <v>0.3688132386410376</v>
      </c>
      <c r="F37" s="3">
        <v>0.34048918259343552</v>
      </c>
      <c r="G37" s="3">
        <v>0</v>
      </c>
      <c r="H37" s="3">
        <v>0.35530176314129808</v>
      </c>
    </row>
    <row r="38" spans="1:8" x14ac:dyDescent="0.25">
      <c r="A38" s="46">
        <v>44139</v>
      </c>
      <c r="B38" s="3">
        <v>0.45205913993324687</v>
      </c>
      <c r="C38" s="3">
        <v>0.3842250122535158</v>
      </c>
      <c r="D38" s="3">
        <v>0.45759661269412188</v>
      </c>
      <c r="E38" s="3">
        <v>0.37281536093887641</v>
      </c>
      <c r="F38" s="3">
        <v>0.34028784622608849</v>
      </c>
      <c r="G38" s="3">
        <v>0</v>
      </c>
      <c r="H38" s="3">
        <v>0.35630139193084565</v>
      </c>
    </row>
    <row r="39" spans="1:8" x14ac:dyDescent="0.25">
      <c r="A39" s="46">
        <v>44140</v>
      </c>
      <c r="B39" s="3">
        <v>0.45808738346113531</v>
      </c>
      <c r="C39" s="3">
        <v>0.38022032260054706</v>
      </c>
      <c r="D39" s="3">
        <v>0.46815523804269876</v>
      </c>
      <c r="E39" s="3">
        <v>0.37431534786155457</v>
      </c>
      <c r="F39" s="3">
        <v>0.34639182324835305</v>
      </c>
      <c r="G39" s="3">
        <v>0</v>
      </c>
      <c r="H39" s="3">
        <v>0.36280565133639986</v>
      </c>
    </row>
    <row r="40" spans="1:8" x14ac:dyDescent="0.25">
      <c r="A40" s="46">
        <v>44141</v>
      </c>
      <c r="B40" s="3">
        <v>0.45716866639084258</v>
      </c>
      <c r="C40" s="3">
        <v>0.38031910335726893</v>
      </c>
      <c r="D40" s="3">
        <v>0.45908150599917252</v>
      </c>
      <c r="E40" s="3">
        <v>0.37411389693407143</v>
      </c>
      <c r="F40" s="3">
        <v>0.34619046802968245</v>
      </c>
      <c r="G40" s="3">
        <v>0</v>
      </c>
      <c r="H40" s="3">
        <v>0.35830062895237441</v>
      </c>
    </row>
    <row r="41" spans="1:8" x14ac:dyDescent="0.25">
      <c r="A41" s="46">
        <v>44144</v>
      </c>
      <c r="B41" s="3">
        <v>0.46005019581885381</v>
      </c>
      <c r="C41" s="3">
        <v>0.38381809581913778</v>
      </c>
      <c r="D41" s="3">
        <v>0.4630702189861548</v>
      </c>
      <c r="E41" s="3">
        <v>0.37931436327367202</v>
      </c>
      <c r="F41" s="3">
        <v>0.34778823545541165</v>
      </c>
      <c r="G41" s="3">
        <v>0</v>
      </c>
      <c r="H41" s="3">
        <v>0.37280897181911038</v>
      </c>
    </row>
    <row r="42" spans="1:8" x14ac:dyDescent="0.25">
      <c r="A42" s="46">
        <v>44145</v>
      </c>
      <c r="B42" s="3">
        <v>0.45450095148790642</v>
      </c>
      <c r="C42" s="3">
        <v>0.38431719329994962</v>
      </c>
      <c r="D42" s="3">
        <v>0.46799001627182218</v>
      </c>
      <c r="E42" s="3">
        <v>0.38531801932416826</v>
      </c>
      <c r="F42" s="3">
        <v>0.35229076052495384</v>
      </c>
      <c r="G42" s="3">
        <v>0</v>
      </c>
      <c r="H42" s="3">
        <v>0.37130645498510756</v>
      </c>
    </row>
    <row r="43" spans="1:8" x14ac:dyDescent="0.25">
      <c r="A43" s="46">
        <v>44146</v>
      </c>
      <c r="B43" s="3">
        <v>0.45096525096525092</v>
      </c>
      <c r="C43" s="3">
        <v>0.39232245681381961</v>
      </c>
      <c r="D43" s="3">
        <v>0.46505791505791511</v>
      </c>
      <c r="E43" s="3">
        <v>0.38481628735947354</v>
      </c>
      <c r="F43" s="3">
        <v>0.35419111598574171</v>
      </c>
      <c r="G43" s="3">
        <v>0</v>
      </c>
      <c r="H43" s="3">
        <v>0.37330682752947625</v>
      </c>
    </row>
    <row r="44" spans="1:8" x14ac:dyDescent="0.25">
      <c r="A44" s="46">
        <v>44147</v>
      </c>
      <c r="B44" s="3">
        <v>0.44290008549129917</v>
      </c>
      <c r="C44" s="3">
        <v>0.39502332388496064</v>
      </c>
      <c r="D44" s="3">
        <v>0.46554838531755882</v>
      </c>
      <c r="E44" s="3">
        <v>0.39031947381589727</v>
      </c>
      <c r="F44" s="3">
        <v>0.35679203183427532</v>
      </c>
      <c r="G44" s="3">
        <v>0</v>
      </c>
      <c r="H44" s="3">
        <v>0.36629981388876515</v>
      </c>
    </row>
    <row r="45" spans="1:8" x14ac:dyDescent="0.25">
      <c r="A45" s="46">
        <v>44148</v>
      </c>
      <c r="B45" s="3">
        <v>0.45295350504660525</v>
      </c>
      <c r="C45" s="3">
        <v>0.39932547761531656</v>
      </c>
      <c r="D45" s="3">
        <v>0.46553554685345538</v>
      </c>
      <c r="E45" s="3">
        <v>0.39702360142856163</v>
      </c>
      <c r="F45" s="3">
        <v>0.35919276670711059</v>
      </c>
      <c r="G45" s="3">
        <v>0</v>
      </c>
      <c r="H45" s="3">
        <v>0.36860043460080477</v>
      </c>
    </row>
    <row r="46" spans="1:8" x14ac:dyDescent="0.25">
      <c r="A46" s="46">
        <v>44151</v>
      </c>
      <c r="B46" s="3">
        <v>0.45291603474424375</v>
      </c>
      <c r="C46" s="3">
        <v>0.4029242712456943</v>
      </c>
      <c r="D46" s="3">
        <v>0.46308148352405898</v>
      </c>
      <c r="E46" s="3">
        <v>0.39832056620910661</v>
      </c>
      <c r="F46" s="3">
        <v>0.36209140918204719</v>
      </c>
      <c r="G46" s="3">
        <v>0</v>
      </c>
      <c r="H46" s="3">
        <v>0.37280002741932722</v>
      </c>
    </row>
    <row r="47" spans="1:8" x14ac:dyDescent="0.25">
      <c r="A47" s="46">
        <v>44152</v>
      </c>
      <c r="B47" s="3">
        <v>0.44334224893839957</v>
      </c>
      <c r="C47" s="3">
        <v>0.40212224865131646</v>
      </c>
      <c r="D47" s="3">
        <v>0.45994871229250539</v>
      </c>
      <c r="E47" s="3">
        <v>0.39681799798468637</v>
      </c>
      <c r="F47" s="3">
        <v>0.35828712050067518</v>
      </c>
      <c r="G47" s="3">
        <v>0</v>
      </c>
      <c r="H47" s="3">
        <v>0.37229834867667927</v>
      </c>
    </row>
    <row r="48" spans="1:8" x14ac:dyDescent="0.25">
      <c r="A48" s="46">
        <v>44153</v>
      </c>
      <c r="B48" s="3">
        <v>0.43779468938704608</v>
      </c>
      <c r="C48" s="3">
        <v>0.39771735665788116</v>
      </c>
      <c r="D48" s="3">
        <v>0.44785893512008162</v>
      </c>
      <c r="E48" s="3">
        <v>0.39431464147761741</v>
      </c>
      <c r="F48" s="3">
        <v>0.35678469463647361</v>
      </c>
      <c r="G48" s="3">
        <v>0</v>
      </c>
      <c r="H48" s="3">
        <v>0.37529946841143791</v>
      </c>
    </row>
    <row r="49" spans="1:8" x14ac:dyDescent="0.25">
      <c r="A49" s="46">
        <v>44154</v>
      </c>
      <c r="B49" s="3">
        <v>0.4257058564023381</v>
      </c>
      <c r="C49" s="3">
        <v>0.39461352855693566</v>
      </c>
      <c r="D49" s="3">
        <v>0.44784658652255432</v>
      </c>
      <c r="E49" s="3">
        <v>0.39031010940199062</v>
      </c>
      <c r="F49" s="3">
        <v>0.35278029119026078</v>
      </c>
      <c r="G49" s="3">
        <v>0</v>
      </c>
      <c r="H49" s="3">
        <v>0.36919333168819063</v>
      </c>
    </row>
    <row r="50" spans="1:8" x14ac:dyDescent="0.25">
      <c r="A50" s="46">
        <v>44155</v>
      </c>
      <c r="B50" s="3">
        <v>0.42468774986903418</v>
      </c>
      <c r="C50" s="3">
        <v>0.39080916752636502</v>
      </c>
      <c r="D50" s="3">
        <v>0.44290303013592874</v>
      </c>
      <c r="E50" s="3">
        <v>0.38820710904859668</v>
      </c>
      <c r="F50" s="3">
        <v>0.35227868622094877</v>
      </c>
      <c r="G50" s="3">
        <v>0</v>
      </c>
      <c r="H50" s="3">
        <v>0.36779095791533711</v>
      </c>
    </row>
    <row r="51" spans="1:8" x14ac:dyDescent="0.25">
      <c r="A51" s="46">
        <v>44159</v>
      </c>
      <c r="B51" s="3">
        <v>0.42916907892923112</v>
      </c>
      <c r="C51" s="3">
        <v>0.38880225380689787</v>
      </c>
      <c r="D51" s="3">
        <v>0.44587296336117777</v>
      </c>
      <c r="E51" s="3">
        <v>0.38079602979028215</v>
      </c>
      <c r="F51" s="3">
        <v>0.35027230072693499</v>
      </c>
      <c r="G51" s="3">
        <v>0</v>
      </c>
      <c r="H51" s="3">
        <v>0.36208148115144306</v>
      </c>
    </row>
    <row r="52" spans="1:8" x14ac:dyDescent="0.25">
      <c r="A52" s="46">
        <v>44160</v>
      </c>
      <c r="B52" s="3">
        <v>0.43660335226332914</v>
      </c>
      <c r="C52" s="3">
        <v>0.39230363226332715</v>
      </c>
      <c r="D52" s="3">
        <v>0.45280366102442521</v>
      </c>
      <c r="E52" s="3">
        <v>0.38029433739812318</v>
      </c>
      <c r="F52" s="3">
        <v>0.35426569927445584</v>
      </c>
      <c r="G52" s="3">
        <v>0</v>
      </c>
      <c r="H52" s="3">
        <v>0.36428194424451799</v>
      </c>
    </row>
    <row r="53" spans="1:8" x14ac:dyDescent="0.25">
      <c r="A53" s="46">
        <v>44161</v>
      </c>
      <c r="B53" s="3">
        <v>0.43467953135768439</v>
      </c>
      <c r="C53" s="3">
        <v>0.39030074543740895</v>
      </c>
      <c r="D53" s="3">
        <v>0.45379738111647139</v>
      </c>
      <c r="E53" s="3">
        <v>0.37538925541941565</v>
      </c>
      <c r="F53" s="3">
        <v>0.34926912860937365</v>
      </c>
      <c r="G53" s="3">
        <v>0</v>
      </c>
      <c r="H53" s="3">
        <v>0.35737537486076604</v>
      </c>
    </row>
    <row r="54" spans="1:8" x14ac:dyDescent="0.25">
      <c r="A54" s="46">
        <v>44162</v>
      </c>
      <c r="B54" s="3">
        <v>0.43235334656522217</v>
      </c>
      <c r="C54" s="3">
        <v>0.39039948453608248</v>
      </c>
      <c r="D54" s="3">
        <v>0.45378487154041242</v>
      </c>
      <c r="E54" s="3">
        <v>0.37528789208159685</v>
      </c>
      <c r="F54" s="3">
        <v>0.35026869927615706</v>
      </c>
      <c r="G54" s="3">
        <v>0</v>
      </c>
      <c r="H54" s="3">
        <v>0.36257814213643341</v>
      </c>
    </row>
    <row r="55" spans="1:8" x14ac:dyDescent="0.25">
      <c r="A55" s="46">
        <v>44165</v>
      </c>
      <c r="B55" s="3">
        <v>0.42457068827696465</v>
      </c>
      <c r="C55" s="3">
        <v>0.38639244085420815</v>
      </c>
      <c r="D55" s="3">
        <v>0.4442900851732407</v>
      </c>
      <c r="E55" s="3">
        <v>0.37178138248468873</v>
      </c>
      <c r="F55" s="3">
        <v>0.35026509789943761</v>
      </c>
      <c r="G55" s="3">
        <v>0</v>
      </c>
      <c r="H55" s="3">
        <v>0.36017259638287885</v>
      </c>
    </row>
    <row r="56" spans="1:8" x14ac:dyDescent="0.25">
      <c r="A56" s="46">
        <v>44166</v>
      </c>
      <c r="B56" s="3">
        <v>0.42113836824696804</v>
      </c>
      <c r="C56" s="3">
        <v>0.38509013640414008</v>
      </c>
      <c r="D56" s="3">
        <v>0.44488147739801542</v>
      </c>
      <c r="E56" s="3">
        <v>0.36977860031530607</v>
      </c>
      <c r="F56" s="3">
        <v>0.34626088148605116</v>
      </c>
      <c r="G56" s="3">
        <v>0</v>
      </c>
      <c r="H56" s="3">
        <v>0.35386661183083146</v>
      </c>
    </row>
    <row r="57" spans="1:8" x14ac:dyDescent="0.25">
      <c r="A57" s="46">
        <v>44167</v>
      </c>
      <c r="B57" s="3">
        <v>0.42012072434607645</v>
      </c>
      <c r="C57" s="3">
        <v>0.38679009256942704</v>
      </c>
      <c r="D57" s="3">
        <v>0.44265593561368211</v>
      </c>
      <c r="E57" s="3">
        <v>0.38008506379784834</v>
      </c>
      <c r="F57" s="3">
        <v>0.34726044533400052</v>
      </c>
      <c r="G57" s="3">
        <v>0</v>
      </c>
      <c r="H57" s="3">
        <v>0.35626720040030024</v>
      </c>
    </row>
    <row r="58" spans="1:8" x14ac:dyDescent="0.25">
      <c r="A58" s="46">
        <v>44168</v>
      </c>
      <c r="B58" s="3">
        <v>0.42051154842621685</v>
      </c>
      <c r="C58" s="3">
        <v>0.38869018650910614</v>
      </c>
      <c r="D58" s="3">
        <v>0.44264373518549144</v>
      </c>
      <c r="E58" s="3">
        <v>0.37417935307866834</v>
      </c>
      <c r="F58" s="3">
        <v>0.34725925519737338</v>
      </c>
      <c r="G58" s="3">
        <v>0</v>
      </c>
      <c r="H58" s="3">
        <v>0.35706657710208306</v>
      </c>
    </row>
    <row r="59" spans="1:8" x14ac:dyDescent="0.25">
      <c r="A59" s="46">
        <v>44169</v>
      </c>
      <c r="B59" s="3">
        <v>0.42009756635338863</v>
      </c>
      <c r="C59" s="3">
        <v>0.38628706950027936</v>
      </c>
      <c r="D59" s="3">
        <v>0.43961359314279419</v>
      </c>
      <c r="E59" s="3">
        <v>0.37157613706076092</v>
      </c>
      <c r="F59" s="3">
        <v>0.34495635455115614</v>
      </c>
      <c r="G59" s="3">
        <v>0</v>
      </c>
      <c r="H59" s="3">
        <v>0.3532625272891155</v>
      </c>
    </row>
    <row r="60" spans="1:8" x14ac:dyDescent="0.25">
      <c r="A60" s="46">
        <v>44174</v>
      </c>
      <c r="B60" s="3">
        <v>0.41943617724867727</v>
      </c>
      <c r="C60" s="3">
        <v>0.39148422827532314</v>
      </c>
      <c r="D60" s="3">
        <v>0.43754133597883599</v>
      </c>
      <c r="E60" s="3">
        <v>0.37156976983289242</v>
      </c>
      <c r="F60" s="3">
        <v>0.34495044347265824</v>
      </c>
      <c r="G60" s="3">
        <v>0</v>
      </c>
      <c r="H60" s="3">
        <v>0.34925356765871113</v>
      </c>
    </row>
    <row r="61" spans="1:8" x14ac:dyDescent="0.25">
      <c r="A61" s="46">
        <v>44175</v>
      </c>
      <c r="B61" s="3">
        <v>0.42364903965388956</v>
      </c>
      <c r="C61" s="3">
        <v>0.39698686379541381</v>
      </c>
      <c r="D61" s="3">
        <v>0.43752927884482901</v>
      </c>
      <c r="E61" s="3">
        <v>0.37377008728910277</v>
      </c>
      <c r="F61" s="3">
        <v>0.34775128603202998</v>
      </c>
      <c r="G61" s="3">
        <v>0</v>
      </c>
      <c r="H61" s="3">
        <v>0.35535678178409741</v>
      </c>
    </row>
    <row r="62" spans="1:8" x14ac:dyDescent="0.25">
      <c r="A62" s="46">
        <v>44176</v>
      </c>
      <c r="B62" s="3">
        <v>0.42162579222926427</v>
      </c>
      <c r="C62" s="3">
        <v>0.39878679872511053</v>
      </c>
      <c r="D62" s="3">
        <v>0.43942821713970787</v>
      </c>
      <c r="E62" s="3">
        <v>0.37346859042462044</v>
      </c>
      <c r="F62" s="3">
        <v>0.34945131772850341</v>
      </c>
      <c r="G62" s="3">
        <v>0</v>
      </c>
      <c r="H62" s="3">
        <v>0.3562562116590699</v>
      </c>
    </row>
    <row r="63" spans="1:8" x14ac:dyDescent="0.25">
      <c r="A63" s="46">
        <v>44179</v>
      </c>
      <c r="B63" s="3">
        <v>0.42340120684429505</v>
      </c>
      <c r="C63" s="3">
        <v>0.40358610384759058</v>
      </c>
      <c r="D63" s="3">
        <v>0.44552668558675224</v>
      </c>
      <c r="E63" s="3">
        <v>0.37446546010356657</v>
      </c>
      <c r="F63" s="3">
        <v>0.34824687363987483</v>
      </c>
      <c r="G63" s="3">
        <v>0</v>
      </c>
      <c r="H63" s="3">
        <v>0.35625254889596392</v>
      </c>
    </row>
    <row r="64" spans="1:8" x14ac:dyDescent="0.25">
      <c r="A64" s="46">
        <v>44180</v>
      </c>
      <c r="B64" s="3">
        <v>0.4198696754284455</v>
      </c>
      <c r="C64" s="3">
        <v>0.40058260279512259</v>
      </c>
      <c r="D64" s="3">
        <v>0.44149170661817377</v>
      </c>
      <c r="E64" s="3">
        <v>0.37026121167673082</v>
      </c>
      <c r="F64" s="3">
        <v>0.34824568017162788</v>
      </c>
      <c r="G64" s="3">
        <v>0</v>
      </c>
      <c r="H64" s="3">
        <v>0.35124779810414197</v>
      </c>
    </row>
    <row r="65" spans="1:8" x14ac:dyDescent="0.25">
      <c r="A65" s="46">
        <v>44181</v>
      </c>
      <c r="B65" s="3">
        <v>0.41784681085548969</v>
      </c>
      <c r="C65" s="3">
        <v>0.39807947360304324</v>
      </c>
      <c r="D65" s="3">
        <v>0.43725582036093125</v>
      </c>
      <c r="E65" s="3">
        <v>0.37306190990250004</v>
      </c>
      <c r="F65" s="3">
        <v>0.34824448671156116</v>
      </c>
      <c r="G65" s="3">
        <v>0</v>
      </c>
      <c r="H65" s="3">
        <v>0.35124659435562638</v>
      </c>
    </row>
    <row r="66" spans="1:8" x14ac:dyDescent="0.25">
      <c r="A66" s="46">
        <v>44182</v>
      </c>
      <c r="B66" s="3">
        <v>0.41803642274630815</v>
      </c>
      <c r="C66" s="3">
        <v>0.39867852883521365</v>
      </c>
      <c r="D66" s="3">
        <v>0.43714321137315404</v>
      </c>
      <c r="E66" s="3">
        <v>0.37926496593510534</v>
      </c>
      <c r="F66" s="3">
        <v>0.35074504105608023</v>
      </c>
      <c r="G66" s="3">
        <v>0</v>
      </c>
      <c r="H66" s="3">
        <v>0.35875063400457857</v>
      </c>
    </row>
    <row r="67" spans="1:8" x14ac:dyDescent="0.25">
      <c r="A67" s="46">
        <v>44183</v>
      </c>
      <c r="B67" s="3">
        <v>0.41983497258726615</v>
      </c>
      <c r="C67" s="3">
        <v>0.40247980616661583</v>
      </c>
      <c r="D67" s="3">
        <v>0.4374328456897264</v>
      </c>
      <c r="E67" s="3">
        <v>0.38286617065973944</v>
      </c>
      <c r="F67" s="3">
        <v>0.35524696963985236</v>
      </c>
      <c r="G67" s="3">
        <v>0</v>
      </c>
      <c r="H67" s="3">
        <v>0.3620517003259115</v>
      </c>
    </row>
    <row r="68" spans="1:8" x14ac:dyDescent="0.25">
      <c r="A68" s="46">
        <v>44186</v>
      </c>
      <c r="B68" s="3">
        <v>0.42442561983471078</v>
      </c>
      <c r="C68" s="3">
        <v>0.40767923235092529</v>
      </c>
      <c r="D68" s="3">
        <v>0.44624517906336092</v>
      </c>
      <c r="E68" s="3">
        <v>0.38636463331048665</v>
      </c>
      <c r="F68" s="3">
        <v>0.35574366004112401</v>
      </c>
      <c r="G68" s="3">
        <v>0</v>
      </c>
      <c r="H68" s="3">
        <v>0.37025359835503768</v>
      </c>
    </row>
    <row r="69" spans="1:8" x14ac:dyDescent="0.25">
      <c r="A69" s="46">
        <v>44187</v>
      </c>
      <c r="B69" s="3">
        <v>0.42531886173934602</v>
      </c>
      <c r="C69" s="3">
        <v>0.40737763064554267</v>
      </c>
      <c r="D69" s="3">
        <v>0.43748519324536511</v>
      </c>
      <c r="E69" s="3">
        <v>0.38676358203021921</v>
      </c>
      <c r="F69" s="3">
        <v>0.35974516879654289</v>
      </c>
      <c r="G69" s="3">
        <v>0</v>
      </c>
      <c r="H69" s="3">
        <v>0.36524891964043987</v>
      </c>
    </row>
    <row r="70" spans="1:8" x14ac:dyDescent="0.25">
      <c r="A70" s="46">
        <v>44188</v>
      </c>
      <c r="B70" s="3">
        <v>0.42500550933832848</v>
      </c>
      <c r="C70" s="3">
        <v>0.4064756238819473</v>
      </c>
      <c r="D70" s="3">
        <v>0.44239986777588014</v>
      </c>
      <c r="E70" s="3">
        <v>0.38606178161904303</v>
      </c>
      <c r="F70" s="3">
        <v>0.35724223960082524</v>
      </c>
      <c r="G70" s="3">
        <v>0</v>
      </c>
      <c r="H70" s="3">
        <v>0.36324631085462056</v>
      </c>
    </row>
    <row r="71" spans="1:8" x14ac:dyDescent="0.25">
      <c r="A71" s="46">
        <v>44193</v>
      </c>
      <c r="B71" s="3">
        <v>0.42464538518742945</v>
      </c>
      <c r="C71" s="3">
        <v>0.40927051098842726</v>
      </c>
      <c r="D71" s="3">
        <v>0.44233894290357234</v>
      </c>
      <c r="E71" s="3">
        <v>0.39025794446329254</v>
      </c>
      <c r="F71" s="3">
        <v>0.35723611839332164</v>
      </c>
      <c r="G71" s="3">
        <v>0</v>
      </c>
      <c r="H71" s="3">
        <v>0.3677430630519487</v>
      </c>
    </row>
    <row r="72" spans="1:8" x14ac:dyDescent="0.25">
      <c r="A72" s="46">
        <v>44194</v>
      </c>
      <c r="B72" s="3">
        <v>0.42573950644486064</v>
      </c>
      <c r="C72" s="3">
        <v>0.40956930584493911</v>
      </c>
      <c r="D72" s="3">
        <v>0.45016800705078774</v>
      </c>
      <c r="E72" s="3">
        <v>0.38825529115034541</v>
      </c>
      <c r="F72" s="3">
        <v>0.35773522316043427</v>
      </c>
      <c r="G72" s="3">
        <v>0</v>
      </c>
      <c r="H72" s="3">
        <v>0.36624081587893409</v>
      </c>
    </row>
    <row r="73" spans="1:8" x14ac:dyDescent="0.25">
      <c r="A73" s="46">
        <v>44195</v>
      </c>
      <c r="B73" s="3">
        <v>0.42572778099093889</v>
      </c>
      <c r="C73" s="3">
        <v>0.40966796774602565</v>
      </c>
      <c r="D73" s="3">
        <v>0.4513619212867333</v>
      </c>
      <c r="E73" s="3">
        <v>0.38225003341226627</v>
      </c>
      <c r="F73" s="3">
        <v>0.35923497904451196</v>
      </c>
      <c r="G73" s="3">
        <v>0</v>
      </c>
      <c r="H73" s="3">
        <v>0.36523890627088268</v>
      </c>
    </row>
    <row r="74" spans="1:8" x14ac:dyDescent="0.25">
      <c r="A74" s="46">
        <v>44200</v>
      </c>
      <c r="B74" s="3">
        <v>0.4157184556920196</v>
      </c>
      <c r="C74" s="3">
        <v>0.40575846258232984</v>
      </c>
      <c r="D74" s="3">
        <v>0.43330809054359198</v>
      </c>
      <c r="E74" s="3">
        <v>0.37253730115758665</v>
      </c>
      <c r="F74" s="3">
        <v>0.3482218125244162</v>
      </c>
      <c r="G74" s="3">
        <v>0</v>
      </c>
      <c r="H74" s="3">
        <v>0.36123009862446631</v>
      </c>
    </row>
    <row r="75" spans="1:8" x14ac:dyDescent="0.25">
      <c r="A75" s="46">
        <v>44201</v>
      </c>
      <c r="B75" s="3">
        <v>0.41460140437835608</v>
      </c>
      <c r="C75" s="3">
        <v>0.40275517022771279</v>
      </c>
      <c r="D75" s="3">
        <v>0.43018036623984579</v>
      </c>
      <c r="E75" s="3">
        <v>0.36923393245720748</v>
      </c>
      <c r="F75" s="3">
        <v>0.34521871733803949</v>
      </c>
      <c r="G75" s="3">
        <v>0</v>
      </c>
      <c r="H75" s="3">
        <v>0.3566259445196443</v>
      </c>
    </row>
    <row r="76" spans="1:8" x14ac:dyDescent="0.25">
      <c r="A76" s="46">
        <v>44202</v>
      </c>
      <c r="B76" s="3">
        <v>0.41710265447736533</v>
      </c>
      <c r="C76" s="3">
        <v>0.4012528442580256</v>
      </c>
      <c r="D76" s="3">
        <v>0.44072172045379449</v>
      </c>
      <c r="E76" s="3">
        <v>0.37403569372481293</v>
      </c>
      <c r="F76" s="3">
        <v>0.34621816487101464</v>
      </c>
      <c r="G76" s="3">
        <v>0</v>
      </c>
      <c r="H76" s="3">
        <v>0.35772541601557145</v>
      </c>
    </row>
    <row r="77" spans="1:8" x14ac:dyDescent="0.25">
      <c r="A77" s="46">
        <v>44203</v>
      </c>
      <c r="B77" s="3">
        <v>0.41437756422611999</v>
      </c>
      <c r="C77" s="3">
        <v>0.3957480201633215</v>
      </c>
      <c r="D77" s="3">
        <v>0.43216675386182779</v>
      </c>
      <c r="E77" s="3">
        <v>0.37133271879294216</v>
      </c>
      <c r="F77" s="3">
        <v>0.34871854621218096</v>
      </c>
      <c r="G77" s="3">
        <v>0</v>
      </c>
      <c r="H77" s="3">
        <v>0.35132017668607379</v>
      </c>
    </row>
    <row r="78" spans="1:8" x14ac:dyDescent="0.25">
      <c r="A78" s="46">
        <v>44204</v>
      </c>
      <c r="B78" s="3">
        <v>0.4105471116250895</v>
      </c>
      <c r="C78" s="3">
        <v>0.39524635217841259</v>
      </c>
      <c r="D78" s="3">
        <v>0.43215485434219947</v>
      </c>
      <c r="E78" s="3">
        <v>0.37023076026838647</v>
      </c>
      <c r="F78" s="3">
        <v>0.34621579203476138</v>
      </c>
      <c r="G78" s="3">
        <v>0</v>
      </c>
      <c r="H78" s="3">
        <v>0.35021828674036559</v>
      </c>
    </row>
    <row r="79" spans="1:8" x14ac:dyDescent="0.25">
      <c r="A79" s="46">
        <v>44207</v>
      </c>
      <c r="B79" s="3">
        <v>0.40970925910630218</v>
      </c>
      <c r="C79" s="3">
        <v>0.39063946734470789</v>
      </c>
      <c r="D79" s="3">
        <v>0.43312408799317204</v>
      </c>
      <c r="E79" s="3">
        <v>0.36412321251726232</v>
      </c>
      <c r="F79" s="3">
        <v>0.34521161945165013</v>
      </c>
      <c r="G79" s="3">
        <v>0</v>
      </c>
      <c r="H79" s="3">
        <v>0.3502146864002248</v>
      </c>
    </row>
    <row r="80" spans="1:8" x14ac:dyDescent="0.25">
      <c r="A80" s="46">
        <v>44208</v>
      </c>
      <c r="B80" s="3">
        <v>0.41150680028632786</v>
      </c>
      <c r="C80" s="3">
        <v>0.3906381287223033</v>
      </c>
      <c r="D80" s="3">
        <v>0.43220775287704422</v>
      </c>
      <c r="E80" s="3">
        <v>0.36372172077499298</v>
      </c>
      <c r="F80" s="3">
        <v>0.34721165642069485</v>
      </c>
      <c r="G80" s="3">
        <v>0</v>
      </c>
      <c r="H80" s="3">
        <v>0.34821226638156133</v>
      </c>
    </row>
    <row r="81" spans="1:8" x14ac:dyDescent="0.25">
      <c r="A81" s="46">
        <v>44209</v>
      </c>
      <c r="B81" s="3">
        <v>0.40737549211243562</v>
      </c>
      <c r="C81" s="3">
        <v>0.39003642618984791</v>
      </c>
      <c r="D81" s="3">
        <v>0.42405638300801146</v>
      </c>
      <c r="E81" s="3">
        <v>0.3624196859054975</v>
      </c>
      <c r="F81" s="3">
        <v>0.34270773722427633</v>
      </c>
      <c r="G81" s="3">
        <v>0</v>
      </c>
      <c r="H81" s="3">
        <v>0.34420864702233889</v>
      </c>
    </row>
    <row r="82" spans="1:8" x14ac:dyDescent="0.25">
      <c r="A82" s="46">
        <v>44210</v>
      </c>
      <c r="B82" s="3">
        <v>0.40424925668979184</v>
      </c>
      <c r="C82" s="3">
        <v>0.38773370250561984</v>
      </c>
      <c r="D82" s="3">
        <v>0.41861854421319233</v>
      </c>
      <c r="E82" s="3">
        <v>0.35711524754646634</v>
      </c>
      <c r="F82" s="3">
        <v>0.33820384889522448</v>
      </c>
      <c r="G82" s="3">
        <v>0</v>
      </c>
      <c r="H82" s="3">
        <v>0.34410740720434235</v>
      </c>
    </row>
    <row r="83" spans="1:8" x14ac:dyDescent="0.25">
      <c r="A83" s="46">
        <v>44211</v>
      </c>
      <c r="B83" s="3">
        <v>0.40273090158293184</v>
      </c>
      <c r="C83" s="3">
        <v>0.38713201404951597</v>
      </c>
      <c r="D83" s="3">
        <v>0.42202339986235377</v>
      </c>
      <c r="E83" s="3">
        <v>0.35721408378308922</v>
      </c>
      <c r="F83" s="3">
        <v>0.33670179045660925</v>
      </c>
      <c r="G83" s="3">
        <v>0</v>
      </c>
      <c r="H83" s="3">
        <v>0.34270538850338389</v>
      </c>
    </row>
    <row r="84" spans="1:8" x14ac:dyDescent="0.25">
      <c r="A84" s="46">
        <v>44214</v>
      </c>
      <c r="B84" s="3">
        <v>0.40289859061880645</v>
      </c>
      <c r="C84" s="3">
        <v>0.38822868264868343</v>
      </c>
      <c r="D84" s="3">
        <v>0.42198854877780223</v>
      </c>
      <c r="E84" s="3">
        <v>0.35821100100058934</v>
      </c>
      <c r="F84" s="3">
        <v>0.33819921323519331</v>
      </c>
      <c r="G84" s="3">
        <v>0</v>
      </c>
      <c r="H84" s="3">
        <v>0.34270186548240744</v>
      </c>
    </row>
    <row r="85" spans="1:8" x14ac:dyDescent="0.25">
      <c r="A85" s="46">
        <v>44215</v>
      </c>
      <c r="B85" s="3">
        <v>0.40389220732747944</v>
      </c>
      <c r="C85" s="3">
        <v>0.38812729372337912</v>
      </c>
      <c r="D85" s="3">
        <v>0.43302870984612846</v>
      </c>
      <c r="E85" s="3">
        <v>0.35871006651155302</v>
      </c>
      <c r="F85" s="3">
        <v>0.33869834731983456</v>
      </c>
      <c r="G85" s="3">
        <v>0.3993099175392536</v>
      </c>
      <c r="H85" s="3">
        <v>0.34420157009755714</v>
      </c>
    </row>
    <row r="86" spans="1:8" x14ac:dyDescent="0.25">
      <c r="A86" s="46">
        <v>44216</v>
      </c>
      <c r="B86" s="3">
        <v>0.40157032755298649</v>
      </c>
      <c r="C86" s="3">
        <v>0.38762567248055374</v>
      </c>
      <c r="D86" s="3">
        <v>0.43070602807597025</v>
      </c>
      <c r="E86" s="3">
        <v>0.36381180824452591</v>
      </c>
      <c r="F86" s="3">
        <v>0.33889730322447997</v>
      </c>
      <c r="G86" s="3">
        <v>0.40100773601697814</v>
      </c>
      <c r="H86" s="3">
        <v>0.34119864304560876</v>
      </c>
    </row>
    <row r="87" spans="1:8" x14ac:dyDescent="0.25">
      <c r="A87" s="46">
        <v>44217</v>
      </c>
      <c r="B87" s="3">
        <v>0.40085601827640305</v>
      </c>
      <c r="C87" s="3">
        <v>0.38712405467547994</v>
      </c>
      <c r="D87" s="3">
        <v>0.43250254603506644</v>
      </c>
      <c r="E87" s="3">
        <v>0.36030853473414404</v>
      </c>
      <c r="F87" s="3">
        <v>0.33419342016441023</v>
      </c>
      <c r="G87" s="3">
        <v>0.39880742518167595</v>
      </c>
      <c r="H87" s="3">
        <v>0.33719515747127621</v>
      </c>
    </row>
    <row r="88" spans="1:8" x14ac:dyDescent="0.25">
      <c r="A88" s="46">
        <v>44218</v>
      </c>
      <c r="B88" s="3">
        <v>0.40184960915996915</v>
      </c>
      <c r="C88" s="3">
        <v>0.38712272814496007</v>
      </c>
      <c r="D88" s="3">
        <v>0.43701144996146646</v>
      </c>
      <c r="E88" s="3">
        <v>0.36220839387044607</v>
      </c>
      <c r="F88" s="3">
        <v>0.33719400202856442</v>
      </c>
      <c r="G88" s="3">
        <v>0.40480314367670517</v>
      </c>
      <c r="H88" s="3">
        <v>0.34059595931906028</v>
      </c>
    </row>
    <row r="89" spans="1:8" x14ac:dyDescent="0.25">
      <c r="A89" s="46">
        <v>44221</v>
      </c>
      <c r="B89" s="3">
        <v>0.40071143525526354</v>
      </c>
      <c r="C89" s="3">
        <v>0.38611818321997021</v>
      </c>
      <c r="D89" s="3">
        <v>0.43566946470345397</v>
      </c>
      <c r="E89" s="3">
        <v>0.36520636661127009</v>
      </c>
      <c r="F89" s="3">
        <v>0.33618997035996367</v>
      </c>
      <c r="G89" s="3">
        <v>0.40379948313337555</v>
      </c>
      <c r="H89" s="3">
        <v>0.34219336268782019</v>
      </c>
    </row>
    <row r="90" spans="1:8" x14ac:dyDescent="0.25">
      <c r="A90" s="46">
        <v>44222</v>
      </c>
      <c r="B90" s="3">
        <v>0.40029860193747252</v>
      </c>
      <c r="C90" s="3">
        <v>0.38601680395838756</v>
      </c>
      <c r="D90" s="3">
        <v>0.43344754513430206</v>
      </c>
      <c r="E90" s="3">
        <v>0.36400444085034062</v>
      </c>
      <c r="F90" s="3">
        <v>0.33618881837744485</v>
      </c>
      <c r="G90" s="3">
        <v>0.40379810094952523</v>
      </c>
      <c r="H90" s="3">
        <v>0.34069134719499988</v>
      </c>
    </row>
    <row r="91" spans="1:8" x14ac:dyDescent="0.25">
      <c r="A91" s="46">
        <v>44223</v>
      </c>
      <c r="B91" s="3">
        <v>0.40018713707790959</v>
      </c>
      <c r="C91" s="3">
        <v>0.38451464344822622</v>
      </c>
      <c r="D91" s="3">
        <v>0.43192888791039435</v>
      </c>
      <c r="E91" s="3">
        <v>0.36690481330331659</v>
      </c>
      <c r="F91" s="3">
        <v>0.33908928614260703</v>
      </c>
      <c r="G91" s="3">
        <v>0.40279722194648582</v>
      </c>
      <c r="H91" s="3">
        <v>0.34018990052666387</v>
      </c>
    </row>
    <row r="92" spans="1:8" x14ac:dyDescent="0.25">
      <c r="A92" s="46">
        <v>44224</v>
      </c>
      <c r="B92" s="3">
        <v>0.396258737409874</v>
      </c>
      <c r="C92" s="3">
        <v>0.38291243772229799</v>
      </c>
      <c r="D92" s="3">
        <v>0.43191700148604767</v>
      </c>
      <c r="E92" s="3">
        <v>0.3677040001644748</v>
      </c>
      <c r="F92" s="3">
        <v>0.33718706953857963</v>
      </c>
      <c r="G92" s="3">
        <v>0.40019716034338759</v>
      </c>
      <c r="H92" s="3">
        <v>0.33918817974355636</v>
      </c>
    </row>
    <row r="93" spans="1:8" x14ac:dyDescent="0.25">
      <c r="A93" s="46">
        <v>44225</v>
      </c>
      <c r="B93" s="3">
        <v>0.39725226340845921</v>
      </c>
      <c r="C93" s="3">
        <v>0.38161040847864747</v>
      </c>
      <c r="D93" s="3">
        <v>0.43190511571589751</v>
      </c>
      <c r="E93" s="3">
        <v>0.36720246437247939</v>
      </c>
      <c r="F93" s="3">
        <v>0.33508475563581291</v>
      </c>
      <c r="G93" s="3">
        <v>0.40019579050416054</v>
      </c>
      <c r="H93" s="3">
        <v>0.33648552797946818</v>
      </c>
    </row>
    <row r="94" spans="1:8" x14ac:dyDescent="0.25">
      <c r="A94" s="46">
        <v>44228</v>
      </c>
      <c r="B94" s="3">
        <v>0.39952947003467065</v>
      </c>
      <c r="C94" s="3">
        <v>0.38110621500675024</v>
      </c>
      <c r="D94" s="3">
        <v>0.43186946233008638</v>
      </c>
      <c r="E94" s="3">
        <v>0.36769896039637884</v>
      </c>
      <c r="F94" s="3">
        <v>0.33618190664811781</v>
      </c>
      <c r="G94" s="3">
        <v>0.40378980804512721</v>
      </c>
      <c r="H94" s="3">
        <v>0.33818298942578517</v>
      </c>
    </row>
    <row r="95" spans="1:8" x14ac:dyDescent="0.25">
      <c r="A95" s="46">
        <v>44229</v>
      </c>
      <c r="B95" s="3">
        <v>0.40022150070164819</v>
      </c>
      <c r="C95" s="3">
        <v>0.3799042635937816</v>
      </c>
      <c r="D95" s="3">
        <v>0.42934677929725118</v>
      </c>
      <c r="E95" s="3">
        <v>0.36669716251546208</v>
      </c>
      <c r="F95" s="3">
        <v>0.33568048574062076</v>
      </c>
      <c r="G95" s="3">
        <v>0.39919083493922702</v>
      </c>
      <c r="H95" s="3">
        <v>0.33818183064181767</v>
      </c>
    </row>
    <row r="96" spans="1:8" x14ac:dyDescent="0.25">
      <c r="A96" s="46">
        <v>44230</v>
      </c>
      <c r="B96" s="3">
        <v>0.39769975786924938</v>
      </c>
      <c r="C96" s="3">
        <v>0.37800194624525435</v>
      </c>
      <c r="D96" s="3">
        <v>0.42431350429231784</v>
      </c>
      <c r="E96" s="3">
        <v>0.36569537149984233</v>
      </c>
      <c r="F96" s="3">
        <v>0.33367826647112842</v>
      </c>
      <c r="G96" s="3">
        <v>0.3958912080615018</v>
      </c>
      <c r="H96" s="3">
        <v>0.33918120639793858</v>
      </c>
    </row>
    <row r="97" spans="1:8" x14ac:dyDescent="0.25">
      <c r="A97" s="46">
        <v>44231</v>
      </c>
      <c r="B97" s="3">
        <v>0.39648369789517124</v>
      </c>
      <c r="C97" s="3">
        <v>0.37659990748513766</v>
      </c>
      <c r="D97" s="3">
        <v>0.42932315311597191</v>
      </c>
      <c r="E97" s="3">
        <v>0.36299268447292227</v>
      </c>
      <c r="F97" s="3">
        <v>0.33707892888348262</v>
      </c>
      <c r="G97" s="3">
        <v>0.39698926939467061</v>
      </c>
      <c r="H97" s="3">
        <v>0.34118110640922411</v>
      </c>
    </row>
    <row r="98" spans="1:8" x14ac:dyDescent="0.25">
      <c r="A98" s="46">
        <v>44232</v>
      </c>
      <c r="B98" s="3">
        <v>0.39647278930281182</v>
      </c>
      <c r="C98" s="3">
        <v>0.37639851154375936</v>
      </c>
      <c r="D98" s="3">
        <v>0.43704396632366699</v>
      </c>
      <c r="E98" s="3">
        <v>0.36018996319976976</v>
      </c>
      <c r="F98" s="3">
        <v>0.33767809049978414</v>
      </c>
      <c r="G98" s="3">
        <v>0.39958652226892477</v>
      </c>
      <c r="H98" s="3">
        <v>0.34127999013178184</v>
      </c>
    </row>
    <row r="99" spans="1:8" x14ac:dyDescent="0.25">
      <c r="A99" s="46">
        <v>44235</v>
      </c>
      <c r="B99" s="3">
        <v>0.39714297504745655</v>
      </c>
      <c r="C99" s="3">
        <v>0.37669479765221053</v>
      </c>
      <c r="D99" s="3">
        <v>0.43299127898979339</v>
      </c>
      <c r="E99" s="3">
        <v>0.36018626070330889</v>
      </c>
      <c r="F99" s="3">
        <v>0.33717436071393087</v>
      </c>
      <c r="G99" s="3">
        <v>0.39958241916216852</v>
      </c>
      <c r="H99" s="3">
        <v>0.34127648201638516</v>
      </c>
    </row>
    <row r="100" spans="1:8" x14ac:dyDescent="0.25">
      <c r="A100" s="46">
        <v>44236</v>
      </c>
      <c r="B100" s="3">
        <v>0.39632874828060521</v>
      </c>
      <c r="C100" s="3">
        <v>0.37539283878704816</v>
      </c>
      <c r="D100" s="3">
        <v>0.42976616231086656</v>
      </c>
      <c r="E100" s="3">
        <v>0.3581839986294329</v>
      </c>
      <c r="F100" s="3">
        <v>0.3369731026212095</v>
      </c>
      <c r="G100" s="3">
        <v>0.39868154435925524</v>
      </c>
      <c r="H100" s="3">
        <v>0.33827377077265719</v>
      </c>
    </row>
    <row r="101" spans="1:8" x14ac:dyDescent="0.25">
      <c r="A101" s="46">
        <v>44237</v>
      </c>
      <c r="B101" s="3">
        <v>0.39571538609666856</v>
      </c>
      <c r="C101" s="3">
        <v>0.37469119516465599</v>
      </c>
      <c r="D101" s="3">
        <v>0.42975433963302245</v>
      </c>
      <c r="E101" s="3">
        <v>0.35518123974219723</v>
      </c>
      <c r="F101" s="3">
        <v>0.33447067167835642</v>
      </c>
      <c r="G101" s="3">
        <v>0.39638144721574747</v>
      </c>
      <c r="H101" s="3">
        <v>0.3390730201369877</v>
      </c>
    </row>
    <row r="102" spans="1:8" x14ac:dyDescent="0.25">
      <c r="A102" s="46">
        <v>44238</v>
      </c>
      <c r="B102" s="3">
        <v>0.39259187940140844</v>
      </c>
      <c r="C102" s="3">
        <v>0.37028768005701518</v>
      </c>
      <c r="D102" s="3">
        <v>0.42723233934859151</v>
      </c>
      <c r="E102" s="3">
        <v>0.35518002275125748</v>
      </c>
      <c r="F102" s="3">
        <v>0.33526993133506022</v>
      </c>
      <c r="G102" s="3">
        <v>0.39558053408725297</v>
      </c>
      <c r="H102" s="3">
        <v>0.33817140194345074</v>
      </c>
    </row>
    <row r="103" spans="1:8" x14ac:dyDescent="0.25">
      <c r="A103" s="46">
        <v>44239</v>
      </c>
      <c r="B103" s="3">
        <v>0.3915770362831128</v>
      </c>
      <c r="C103" s="3">
        <v>0.36468359071176248</v>
      </c>
      <c r="D103" s="3">
        <v>0.43374687095975578</v>
      </c>
      <c r="E103" s="3">
        <v>0.35317779841221436</v>
      </c>
      <c r="F103" s="3">
        <v>0.33416822852600453</v>
      </c>
      <c r="G103" s="3">
        <v>0.3977779527181744</v>
      </c>
      <c r="H103" s="3">
        <v>0.33566898404333684</v>
      </c>
    </row>
    <row r="104" spans="1:8" x14ac:dyDescent="0.25">
      <c r="A104" s="46">
        <v>44244</v>
      </c>
      <c r="B104" s="3">
        <v>0.38841107871720115</v>
      </c>
      <c r="C104" s="3">
        <v>0.36157583482378419</v>
      </c>
      <c r="D104" s="3">
        <v>0.42565597667638483</v>
      </c>
      <c r="E104" s="3">
        <v>0.34706878002316194</v>
      </c>
      <c r="F104" s="3">
        <v>0.32865982772444136</v>
      </c>
      <c r="G104" s="3">
        <v>0.39207442293474981</v>
      </c>
      <c r="H104" s="3">
        <v>0.32916007099342831</v>
      </c>
    </row>
    <row r="105" spans="1:8" x14ac:dyDescent="0.25">
      <c r="A105" s="46">
        <v>44245</v>
      </c>
      <c r="B105" s="3">
        <v>0.39101047883605161</v>
      </c>
      <c r="C105" s="3">
        <v>0.36767754292312382</v>
      </c>
      <c r="D105" s="3">
        <v>0.4236365136554911</v>
      </c>
      <c r="E105" s="3">
        <v>0.34796802565622442</v>
      </c>
      <c r="F105" s="3">
        <v>0.32875874994432241</v>
      </c>
      <c r="G105" s="3">
        <v>0.39027412216901858</v>
      </c>
      <c r="H105" s="3">
        <v>0.33025947460931476</v>
      </c>
    </row>
    <row r="106" spans="1:8" x14ac:dyDescent="0.25">
      <c r="A106" s="46">
        <v>44246</v>
      </c>
      <c r="B106" s="3">
        <v>0.38698432343234318</v>
      </c>
      <c r="C106" s="3">
        <v>0.36207359693003494</v>
      </c>
      <c r="D106" s="3">
        <v>0.42372524752475249</v>
      </c>
      <c r="E106" s="3">
        <v>0.34816692934968818</v>
      </c>
      <c r="F106" s="3">
        <v>0.33015829507298022</v>
      </c>
      <c r="G106" s="3">
        <v>0.3857754047301229</v>
      </c>
      <c r="H106" s="3">
        <v>0.32515589666278355</v>
      </c>
    </row>
    <row r="107" spans="1:8" x14ac:dyDescent="0.25">
      <c r="A107" s="46">
        <v>44249</v>
      </c>
      <c r="B107" s="3">
        <v>0.38394109396914444</v>
      </c>
      <c r="C107" s="3">
        <v>0.36367062628699082</v>
      </c>
      <c r="D107" s="3">
        <v>0.42559744795533921</v>
      </c>
      <c r="E107" s="3">
        <v>0.34416147301987576</v>
      </c>
      <c r="F107" s="3">
        <v>0.32755368100787013</v>
      </c>
      <c r="G107" s="3">
        <v>0.38397250943790151</v>
      </c>
      <c r="H107" s="3">
        <v>0.32265138095613355</v>
      </c>
    </row>
    <row r="108" spans="1:8" x14ac:dyDescent="0.25">
      <c r="A108" s="46">
        <v>44250</v>
      </c>
      <c r="B108" s="3">
        <v>0.37830959190408092</v>
      </c>
      <c r="C108" s="3">
        <v>0.35766658443658689</v>
      </c>
      <c r="D108" s="3">
        <v>0.41956330436695632</v>
      </c>
      <c r="E108" s="3">
        <v>0.34115889592412907</v>
      </c>
      <c r="F108" s="3">
        <v>0.32755255872598199</v>
      </c>
      <c r="G108" s="3">
        <v>0.37767494712055144</v>
      </c>
      <c r="H108" s="3">
        <v>0.3212496231121344</v>
      </c>
    </row>
    <row r="109" spans="1:8" x14ac:dyDescent="0.25">
      <c r="A109" s="46">
        <v>44251</v>
      </c>
      <c r="B109" s="3">
        <v>0.38040698473807233</v>
      </c>
      <c r="C109" s="3">
        <v>0.36096688537508775</v>
      </c>
      <c r="D109" s="3">
        <v>0.41654062972638528</v>
      </c>
      <c r="E109" s="3">
        <v>0.34315865211656071</v>
      </c>
      <c r="F109" s="3">
        <v>0.33115310160519418</v>
      </c>
      <c r="G109" s="3">
        <v>0.38087173782835626</v>
      </c>
      <c r="H109" s="3">
        <v>0.32515032634951091</v>
      </c>
    </row>
    <row r="110" spans="1:8" x14ac:dyDescent="0.25">
      <c r="A110" s="46">
        <v>44252</v>
      </c>
      <c r="B110" s="3">
        <v>0.38059726117802345</v>
      </c>
      <c r="C110" s="3">
        <v>0.36486743916728909</v>
      </c>
      <c r="D110" s="3">
        <v>0.42154759940603859</v>
      </c>
      <c r="E110" s="3">
        <v>0.346158853720543</v>
      </c>
      <c r="F110" s="3">
        <v>0.33215242611335344</v>
      </c>
      <c r="G110" s="3">
        <v>0.37987103663545257</v>
      </c>
      <c r="H110" s="3">
        <v>0.32915104876895562</v>
      </c>
    </row>
    <row r="111" spans="1:8" x14ac:dyDescent="0.25">
      <c r="A111" s="46">
        <v>44253</v>
      </c>
      <c r="B111" s="3">
        <v>0.38189155003162206</v>
      </c>
      <c r="C111" s="3">
        <v>0.36796760168158787</v>
      </c>
      <c r="D111" s="3">
        <v>0.41651772211070476</v>
      </c>
      <c r="E111" s="3">
        <v>0.34865880692233109</v>
      </c>
      <c r="F111" s="3">
        <v>0.3311508323996889</v>
      </c>
      <c r="G111" s="3">
        <v>0.37607203852459298</v>
      </c>
      <c r="H111" s="3">
        <v>0.33015037671268077</v>
      </c>
    </row>
    <row r="112" spans="1:8" x14ac:dyDescent="0.25">
      <c r="A112" s="46">
        <v>44256</v>
      </c>
      <c r="B112" s="3">
        <v>0.38326505361561725</v>
      </c>
      <c r="C112" s="3">
        <v>0.3679638195086854</v>
      </c>
      <c r="D112" s="3">
        <v>0.41648336541105307</v>
      </c>
      <c r="E112" s="3">
        <v>0.35065611402336655</v>
      </c>
      <c r="F112" s="3">
        <v>0.33214787405351698</v>
      </c>
      <c r="G112" s="3">
        <v>0.37766719145732081</v>
      </c>
      <c r="H112" s="3">
        <v>0.33024702778634324</v>
      </c>
    </row>
    <row r="113" spans="1:8" x14ac:dyDescent="0.25">
      <c r="A113" s="46">
        <v>44257</v>
      </c>
      <c r="B113" s="3">
        <v>0.37823678205163452</v>
      </c>
      <c r="C113" s="3">
        <v>0.36306039311887783</v>
      </c>
      <c r="D113" s="3">
        <v>0.41145418052844301</v>
      </c>
      <c r="E113" s="3">
        <v>0.34465226075903399</v>
      </c>
      <c r="F113" s="3">
        <v>0.32264253728530756</v>
      </c>
      <c r="G113" s="3">
        <v>0.36937104055362946</v>
      </c>
      <c r="H113" s="3">
        <v>0.32224236049487615</v>
      </c>
    </row>
    <row r="114" spans="1:8" x14ac:dyDescent="0.25">
      <c r="A114" s="46">
        <v>44258</v>
      </c>
      <c r="B114" s="3">
        <v>0.37631969646981195</v>
      </c>
      <c r="C114" s="3">
        <v>0.36235884223221138</v>
      </c>
      <c r="D114" s="3">
        <v>0.4089340701638623</v>
      </c>
      <c r="E114" s="3">
        <v>0.3356471329898037</v>
      </c>
      <c r="F114" s="3">
        <v>0.32054051090889157</v>
      </c>
      <c r="G114" s="3">
        <v>0.36976952721249084</v>
      </c>
      <c r="H114" s="3">
        <v>0.31863967766692253</v>
      </c>
    </row>
    <row r="115" spans="1:8" x14ac:dyDescent="0.25">
      <c r="A115" s="46">
        <v>44259</v>
      </c>
      <c r="B115" s="3">
        <v>0.3793198251450251</v>
      </c>
      <c r="C115" s="3">
        <v>0.36395829693051435</v>
      </c>
      <c r="D115" s="3">
        <v>0.40541060676875701</v>
      </c>
      <c r="E115" s="3">
        <v>0.33814707081504625</v>
      </c>
      <c r="F115" s="3">
        <v>0.3231405440037276</v>
      </c>
      <c r="G115" s="3">
        <v>0.36956838693558486</v>
      </c>
      <c r="H115" s="3">
        <v>0.32574167531768955</v>
      </c>
    </row>
    <row r="116" spans="1:8" x14ac:dyDescent="0.25">
      <c r="A116" s="46">
        <v>44260</v>
      </c>
      <c r="B116" s="3">
        <v>0.3763993511849123</v>
      </c>
      <c r="C116" s="3">
        <v>0.3576543302932087</v>
      </c>
      <c r="D116" s="3">
        <v>0.38633364491120031</v>
      </c>
      <c r="E116" s="3">
        <v>0.33514461719783195</v>
      </c>
      <c r="F116" s="3">
        <v>0.32273926420304649</v>
      </c>
      <c r="G116" s="3">
        <v>0.36057278974892532</v>
      </c>
      <c r="H116" s="3">
        <v>0.31663663087496657</v>
      </c>
    </row>
    <row r="117" spans="1:8" x14ac:dyDescent="0.25">
      <c r="A117" s="46">
        <v>44263</v>
      </c>
      <c r="B117" s="3">
        <v>0.37014734585039999</v>
      </c>
      <c r="C117" s="3">
        <v>0.35715044350873831</v>
      </c>
      <c r="D117" s="3">
        <v>0.39934574044038812</v>
      </c>
      <c r="E117" s="3">
        <v>0.33063927613343974</v>
      </c>
      <c r="F117" s="3">
        <v>0.32013485132435926</v>
      </c>
      <c r="G117" s="3">
        <v>0.36056908760485579</v>
      </c>
      <c r="H117" s="3">
        <v>0.31663337638799904</v>
      </c>
    </row>
    <row r="118" spans="1:8" x14ac:dyDescent="0.25">
      <c r="A118" s="46">
        <v>44264</v>
      </c>
      <c r="B118" s="3">
        <v>0.36371570729561825</v>
      </c>
      <c r="C118" s="3">
        <v>0.35154687917554595</v>
      </c>
      <c r="D118" s="3">
        <v>0.38428445763923247</v>
      </c>
      <c r="E118" s="3">
        <v>0.32613626241100735</v>
      </c>
      <c r="F118" s="3">
        <v>0.31993367091730107</v>
      </c>
      <c r="G118" s="3">
        <v>0.35237312962886908</v>
      </c>
      <c r="H118" s="3">
        <v>0.30532756836760566</v>
      </c>
    </row>
    <row r="119" spans="1:8" x14ac:dyDescent="0.25">
      <c r="A119" s="46">
        <v>44265</v>
      </c>
      <c r="B119" s="3">
        <v>0.35116413315374256</v>
      </c>
      <c r="C119" s="3">
        <v>0.33523891749663387</v>
      </c>
      <c r="D119" s="3">
        <v>0.3712306550482421</v>
      </c>
      <c r="E119" s="3">
        <v>0.32113307226624732</v>
      </c>
      <c r="F119" s="3">
        <v>0.31433025328989067</v>
      </c>
      <c r="G119" s="3">
        <v>0.34367755117406884</v>
      </c>
      <c r="H119" s="3">
        <v>0.29812353749327636</v>
      </c>
    </row>
    <row r="120" spans="1:8" x14ac:dyDescent="0.25">
      <c r="A120" s="46">
        <v>44266</v>
      </c>
      <c r="B120" s="3">
        <v>0.35065283122594837</v>
      </c>
      <c r="C120" s="3">
        <v>0.33523776894614221</v>
      </c>
      <c r="D120" s="3">
        <v>0.37322704782847721</v>
      </c>
      <c r="E120" s="3">
        <v>0.32063176647937508</v>
      </c>
      <c r="F120" s="3">
        <v>0.31512950527614086</v>
      </c>
      <c r="G120" s="3">
        <v>0.34627468428077618</v>
      </c>
      <c r="H120" s="3">
        <v>0.30272440729066741</v>
      </c>
    </row>
    <row r="121" spans="1:8" x14ac:dyDescent="0.25">
      <c r="A121" s="46">
        <v>44267</v>
      </c>
      <c r="B121" s="3">
        <v>0.35626151012891344</v>
      </c>
      <c r="C121" s="3">
        <v>0.34404020816702696</v>
      </c>
      <c r="D121" s="3">
        <v>0.37923641461202273</v>
      </c>
      <c r="E121" s="3">
        <v>0.32763352188049238</v>
      </c>
      <c r="F121" s="3">
        <v>0.32513250262949628</v>
      </c>
      <c r="G121" s="3">
        <v>0.35286918488249125</v>
      </c>
      <c r="H121" s="3">
        <v>0.30512434862152726</v>
      </c>
    </row>
    <row r="122" spans="1:8" x14ac:dyDescent="0.25">
      <c r="A122" s="46">
        <v>44270</v>
      </c>
      <c r="B122" s="3">
        <v>0.36596306068601581</v>
      </c>
      <c r="C122" s="3">
        <v>0.34973893738608491</v>
      </c>
      <c r="D122" s="3">
        <v>0.38823383905013198</v>
      </c>
      <c r="E122" s="3">
        <v>0.33663373120828821</v>
      </c>
      <c r="F122" s="3">
        <v>0.33463293637198344</v>
      </c>
      <c r="G122" s="3">
        <v>0.35926131268951456</v>
      </c>
      <c r="H122" s="3">
        <v>0.30962300091817296</v>
      </c>
    </row>
    <row r="123" spans="1:8" x14ac:dyDescent="0.25">
      <c r="A123" s="46">
        <v>44271</v>
      </c>
      <c r="B123" s="3">
        <v>0.36765837570427373</v>
      </c>
      <c r="C123" s="3">
        <v>0.35413947273755075</v>
      </c>
      <c r="D123" s="3">
        <v>0.40116394118455412</v>
      </c>
      <c r="E123" s="3">
        <v>0.34263494184353427</v>
      </c>
      <c r="F123" s="3">
        <v>0.33503194751357557</v>
      </c>
      <c r="G123" s="3">
        <v>0.36275774739471928</v>
      </c>
      <c r="H123" s="3">
        <v>0.31302327971632665</v>
      </c>
    </row>
    <row r="124" spans="1:8" x14ac:dyDescent="0.25">
      <c r="A124" s="46">
        <v>44272</v>
      </c>
      <c r="B124" s="3">
        <v>0.36955422415214645</v>
      </c>
      <c r="C124" s="3">
        <v>0.358139821711216</v>
      </c>
      <c r="D124" s="3">
        <v>0.39974852965426266</v>
      </c>
      <c r="E124" s="3">
        <v>0.34063298685103083</v>
      </c>
      <c r="F124" s="3">
        <v>0.33763181516071344</v>
      </c>
      <c r="G124" s="3">
        <v>0.36855261536776684</v>
      </c>
      <c r="H124" s="3">
        <v>0.31672365238483519</v>
      </c>
    </row>
    <row r="125" spans="1:8" x14ac:dyDescent="0.25">
      <c r="A125" s="46">
        <v>44273</v>
      </c>
      <c r="B125" s="3">
        <v>0.36834034133069504</v>
      </c>
      <c r="C125" s="3">
        <v>0.35833867215737597</v>
      </c>
      <c r="D125" s="3">
        <v>0.39913568032539093</v>
      </c>
      <c r="E125" s="3">
        <v>0.33933131657113885</v>
      </c>
      <c r="F125" s="3">
        <v>0.33963143271197416</v>
      </c>
      <c r="G125" s="3">
        <v>0.36585317439946335</v>
      </c>
      <c r="H125" s="3">
        <v>0.31612233501320719</v>
      </c>
    </row>
    <row r="126" spans="1:8" x14ac:dyDescent="0.25">
      <c r="A126" s="46">
        <v>44274</v>
      </c>
      <c r="B126" s="3">
        <v>0.3711388369792239</v>
      </c>
      <c r="C126" s="3">
        <v>0.3593378282080798</v>
      </c>
      <c r="D126" s="3">
        <v>0.39721886336154777</v>
      </c>
      <c r="E126" s="3">
        <v>0.34463218768842846</v>
      </c>
      <c r="F126" s="3">
        <v>0.3426314202707888</v>
      </c>
      <c r="G126" s="3">
        <v>0.36924961840943471</v>
      </c>
      <c r="H126" s="3">
        <v>0.3217234007564545</v>
      </c>
    </row>
    <row r="127" spans="1:8" x14ac:dyDescent="0.25">
      <c r="A127" s="46">
        <v>44277</v>
      </c>
      <c r="B127" s="3">
        <v>0.3766247149020362</v>
      </c>
      <c r="C127" s="3">
        <v>0.36423596479507758</v>
      </c>
      <c r="D127" s="3">
        <v>0.40119809843093074</v>
      </c>
      <c r="E127" s="3">
        <v>0.35313181975463442</v>
      </c>
      <c r="F127" s="3">
        <v>0.34863013933283316</v>
      </c>
      <c r="G127" s="3">
        <v>0.37524170006262808</v>
      </c>
      <c r="H127" s="3">
        <v>0.32762229736442711</v>
      </c>
    </row>
    <row r="128" spans="1:8" x14ac:dyDescent="0.25">
      <c r="A128" s="46">
        <v>44278</v>
      </c>
      <c r="B128" s="3">
        <v>0.37360546273906353</v>
      </c>
      <c r="C128" s="3">
        <v>0.36013319995066667</v>
      </c>
      <c r="D128" s="3">
        <v>0.40118707408221588</v>
      </c>
      <c r="E128" s="3">
        <v>0.35333068395159856</v>
      </c>
      <c r="F128" s="3">
        <v>0.35263042495169444</v>
      </c>
      <c r="G128" s="3">
        <v>0.37054366499887065</v>
      </c>
      <c r="H128" s="3">
        <v>0.3275211379551341</v>
      </c>
    </row>
    <row r="129" spans="1:8" x14ac:dyDescent="0.25">
      <c r="A129" s="46">
        <v>44280</v>
      </c>
      <c r="B129" s="3">
        <v>0.36506017475408031</v>
      </c>
      <c r="C129" s="3">
        <v>0.35342829931413455</v>
      </c>
      <c r="D129" s="3">
        <v>0.3892303676430181</v>
      </c>
      <c r="E129" s="3">
        <v>0.34812637464284979</v>
      </c>
      <c r="F129" s="3">
        <v>0.34612564835179893</v>
      </c>
      <c r="G129" s="3">
        <v>0.36274657431109769</v>
      </c>
      <c r="H129" s="3">
        <v>0.31521442715506315</v>
      </c>
    </row>
    <row r="130" spans="1:8" x14ac:dyDescent="0.25">
      <c r="A130" s="46">
        <v>44281</v>
      </c>
      <c r="B130" s="3">
        <v>0.3660530292622613</v>
      </c>
      <c r="C130" s="3">
        <v>0.35332705253601465</v>
      </c>
      <c r="D130" s="3">
        <v>0.39212803956587444</v>
      </c>
      <c r="E130" s="3">
        <v>0.34752496616934175</v>
      </c>
      <c r="F130" s="3">
        <v>0.34362356326761334</v>
      </c>
      <c r="G130" s="3">
        <v>0.36184596430588117</v>
      </c>
      <c r="H130" s="3">
        <v>0.31211223213826889</v>
      </c>
    </row>
    <row r="131" spans="1:8" x14ac:dyDescent="0.25">
      <c r="A131" s="46">
        <v>44284</v>
      </c>
      <c r="B131" s="3">
        <v>0.36281389087312488</v>
      </c>
      <c r="C131" s="3">
        <v>0.34682114985371604</v>
      </c>
      <c r="D131" s="3">
        <v>0.38216797626243199</v>
      </c>
      <c r="E131" s="3">
        <v>0.34321989188004032</v>
      </c>
      <c r="F131" s="3">
        <v>0.33811810975066631</v>
      </c>
      <c r="G131" s="3">
        <v>0.35624623555823248</v>
      </c>
      <c r="H131" s="3">
        <v>0.30820766158041507</v>
      </c>
    </row>
    <row r="132" spans="1:8" x14ac:dyDescent="0.25">
      <c r="A132" s="46">
        <v>44285</v>
      </c>
      <c r="B132" s="3">
        <v>0.35899337893898181</v>
      </c>
      <c r="C132" s="3">
        <v>0.34301864686072919</v>
      </c>
      <c r="D132" s="3">
        <v>0.38205719937360916</v>
      </c>
      <c r="E132" s="3">
        <v>0.34011764343146089</v>
      </c>
      <c r="F132" s="3">
        <v>0.33911729742136831</v>
      </c>
      <c r="G132" s="3">
        <v>0.35064902176182122</v>
      </c>
      <c r="H132" s="3">
        <v>0.30700619049739808</v>
      </c>
    </row>
    <row r="133" spans="1:8" x14ac:dyDescent="0.25">
      <c r="A133" s="46">
        <v>44286</v>
      </c>
      <c r="B133" s="3">
        <v>0.36098901098901098</v>
      </c>
      <c r="C133" s="3">
        <v>0.34061664953751281</v>
      </c>
      <c r="D133" s="3">
        <v>0.38956730769230768</v>
      </c>
      <c r="E133" s="3">
        <v>0.33911613566289822</v>
      </c>
      <c r="F133" s="3">
        <v>0.33561493662213082</v>
      </c>
      <c r="G133" s="3">
        <v>0.34984839670100271</v>
      </c>
      <c r="H133" s="3">
        <v>0.30500445357999312</v>
      </c>
    </row>
    <row r="134" spans="1:8" x14ac:dyDescent="0.25">
      <c r="A134" s="46">
        <v>44291</v>
      </c>
      <c r="B134" s="3">
        <v>0.36254360664743851</v>
      </c>
      <c r="C134" s="3">
        <v>0.34861341874925061</v>
      </c>
      <c r="D134" s="3">
        <v>0.38941354209586598</v>
      </c>
      <c r="E134" s="3">
        <v>0.33911032698994537</v>
      </c>
      <c r="F134" s="3">
        <v>0.33260821157568388</v>
      </c>
      <c r="G134" s="3">
        <v>0.35323990897113428</v>
      </c>
      <c r="H134" s="3">
        <v>0.30609958719446395</v>
      </c>
    </row>
    <row r="135" spans="1:8" x14ac:dyDescent="0.25">
      <c r="A135" s="46">
        <v>44292</v>
      </c>
      <c r="B135" s="3">
        <v>0.35992693512058449</v>
      </c>
      <c r="C135" s="3">
        <v>0.34641151603598419</v>
      </c>
      <c r="D135" s="3">
        <v>0.38799923089600619</v>
      </c>
      <c r="E135" s="3">
        <v>0.33710852123628843</v>
      </c>
      <c r="F135" s="3">
        <v>0.33010626708597973</v>
      </c>
      <c r="G135" s="3">
        <v>0.35373833055000409</v>
      </c>
      <c r="H135" s="3">
        <v>0.30509821654916308</v>
      </c>
    </row>
    <row r="136" spans="1:8" x14ac:dyDescent="0.25">
      <c r="A136" s="46">
        <v>44293</v>
      </c>
      <c r="B136" s="3">
        <v>0.35881423901996867</v>
      </c>
      <c r="C136" s="3">
        <v>0.34581013816044154</v>
      </c>
      <c r="D136" s="3">
        <v>0.37996813799544044</v>
      </c>
      <c r="E136" s="3">
        <v>0.3243032883760924</v>
      </c>
      <c r="F136" s="3">
        <v>0.33210577341413533</v>
      </c>
      <c r="G136" s="3">
        <v>0.35263793687567802</v>
      </c>
      <c r="H136" s="3">
        <v>0.30369672532690206</v>
      </c>
    </row>
    <row r="137" spans="1:8" x14ac:dyDescent="0.25">
      <c r="A137" s="46">
        <v>44294</v>
      </c>
      <c r="B137" s="3">
        <v>0.35970665787738959</v>
      </c>
      <c r="C137" s="3">
        <v>0.34400838620387247</v>
      </c>
      <c r="D137" s="3">
        <v>0.37604784662711488</v>
      </c>
      <c r="E137" s="3">
        <v>0.33320498239171248</v>
      </c>
      <c r="F137" s="3">
        <v>0.33110432053934802</v>
      </c>
      <c r="G137" s="3">
        <v>0.35353605869590515</v>
      </c>
      <c r="H137" s="3">
        <v>0.304095811008948</v>
      </c>
    </row>
    <row r="138" spans="1:8" x14ac:dyDescent="0.25">
      <c r="A138" s="46">
        <v>44295</v>
      </c>
      <c r="B138" s="3">
        <v>0.35709027987585484</v>
      </c>
      <c r="C138" s="3">
        <v>0.34190655306962103</v>
      </c>
      <c r="D138" s="3">
        <v>0.37864401658930485</v>
      </c>
      <c r="E138" s="3">
        <v>0.33110318626695306</v>
      </c>
      <c r="F138" s="3">
        <v>0.33140327978924944</v>
      </c>
      <c r="G138" s="3">
        <v>0.35123657257057206</v>
      </c>
      <c r="H138" s="3">
        <v>0.30199411460420889</v>
      </c>
    </row>
    <row r="139" spans="1:8" x14ac:dyDescent="0.25">
      <c r="A139" s="46">
        <v>44298</v>
      </c>
      <c r="B139" s="3">
        <v>0.3633760848072064</v>
      </c>
      <c r="C139" s="3">
        <v>0.34660445613746604</v>
      </c>
      <c r="D139" s="3">
        <v>0.38693287927057013</v>
      </c>
      <c r="E139" s="3">
        <v>0.33710159226068132</v>
      </c>
      <c r="F139" s="3">
        <v>0.33510098933925292</v>
      </c>
      <c r="G139" s="3">
        <v>0.35892711705484187</v>
      </c>
      <c r="H139" s="3">
        <v>0.30609224697854148</v>
      </c>
    </row>
    <row r="140" spans="1:8" x14ac:dyDescent="0.25">
      <c r="A140" s="46">
        <v>44299</v>
      </c>
      <c r="B140" s="3">
        <v>0.36486968939664405</v>
      </c>
      <c r="C140" s="3">
        <v>0.34830377543994273</v>
      </c>
      <c r="D140" s="3">
        <v>0.39995331337709056</v>
      </c>
      <c r="E140" s="3">
        <v>0.3385008547067106</v>
      </c>
      <c r="F140" s="3">
        <v>0.33509984139109938</v>
      </c>
      <c r="G140" s="3">
        <v>0.36362230214596386</v>
      </c>
      <c r="H140" s="3">
        <v>0.30859194349001245</v>
      </c>
    </row>
    <row r="141" spans="1:8" x14ac:dyDescent="0.25">
      <c r="A141" s="46">
        <v>44300</v>
      </c>
      <c r="B141" s="3">
        <v>0.36455896083923761</v>
      </c>
      <c r="C141" s="3">
        <v>0.34580184574909051</v>
      </c>
      <c r="D141" s="3">
        <v>0.39292579777008846</v>
      </c>
      <c r="E141" s="3">
        <v>0.3365991353617846</v>
      </c>
      <c r="F141" s="3">
        <v>0.33489863452934765</v>
      </c>
      <c r="G141" s="3">
        <v>0.36072328077091548</v>
      </c>
      <c r="H141" s="3">
        <v>0.30729050336743013</v>
      </c>
    </row>
    <row r="142" spans="1:8" x14ac:dyDescent="0.25">
      <c r="A142" s="46">
        <v>44301</v>
      </c>
      <c r="B142" s="3">
        <v>0.36184264726074422</v>
      </c>
      <c r="C142" s="3">
        <v>0.34259972937327648</v>
      </c>
      <c r="D142" s="3">
        <v>0.39091033914595635</v>
      </c>
      <c r="E142" s="3">
        <v>0.33509754551838722</v>
      </c>
      <c r="F142" s="3">
        <v>0.33109638079577963</v>
      </c>
      <c r="G142" s="3">
        <v>0.35952297031397035</v>
      </c>
      <c r="H142" s="3">
        <v>0.30788962540465548</v>
      </c>
    </row>
    <row r="143" spans="1:8" x14ac:dyDescent="0.25">
      <c r="A143" s="46">
        <v>44302</v>
      </c>
      <c r="B143" s="3">
        <v>0.3628350175746925</v>
      </c>
      <c r="C143" s="3">
        <v>0.34209841187190837</v>
      </c>
      <c r="D143" s="3">
        <v>0.38999752855887521</v>
      </c>
      <c r="E143" s="3">
        <v>0.33609668534783982</v>
      </c>
      <c r="F143" s="3">
        <v>0.33159539045478836</v>
      </c>
      <c r="G143" s="3">
        <v>0.36371849185219657</v>
      </c>
      <c r="H143" s="3">
        <v>0.31008920374354265</v>
      </c>
    </row>
    <row r="144" spans="1:8" x14ac:dyDescent="0.25">
      <c r="A144" s="46">
        <v>44305</v>
      </c>
      <c r="B144" s="3">
        <v>0.36280512919080704</v>
      </c>
      <c r="C144" s="3">
        <v>0.34379536789314841</v>
      </c>
      <c r="D144" s="3">
        <v>0.39397429912957527</v>
      </c>
      <c r="E144" s="3">
        <v>0.33509295386733989</v>
      </c>
      <c r="F144" s="3">
        <v>0.33159198270753187</v>
      </c>
      <c r="G144" s="3">
        <v>0.36461405267786567</v>
      </c>
      <c r="H144" s="3">
        <v>0.30808546206310655</v>
      </c>
    </row>
    <row r="145" spans="1:8" x14ac:dyDescent="0.25">
      <c r="A145" s="46">
        <v>44306</v>
      </c>
      <c r="B145" s="3">
        <v>0.3622940691927512</v>
      </c>
      <c r="C145" s="3">
        <v>0.34269388873664014</v>
      </c>
      <c r="D145" s="3">
        <v>0.39436436024162552</v>
      </c>
      <c r="E145" s="3">
        <v>0.33659221704576597</v>
      </c>
      <c r="F145" s="3">
        <v>0.33009043573581803</v>
      </c>
      <c r="G145" s="3">
        <v>0.36171508743113306</v>
      </c>
      <c r="H145" s="3">
        <v>0.30868457111537406</v>
      </c>
    </row>
    <row r="146" spans="1:8" x14ac:dyDescent="0.25">
      <c r="A146" s="46">
        <v>44307</v>
      </c>
      <c r="B146" s="3">
        <v>0.36478954449356138</v>
      </c>
      <c r="C146" s="3">
        <v>0.34359295836887377</v>
      </c>
      <c r="D146" s="3">
        <v>0.39084594052881577</v>
      </c>
      <c r="E146" s="3">
        <v>0.33809146995248712</v>
      </c>
      <c r="F146" s="3">
        <v>0.3300893049831975</v>
      </c>
      <c r="G146" s="3">
        <v>0.36601045063665388</v>
      </c>
      <c r="H146" s="3">
        <v>0.3095837572493928</v>
      </c>
    </row>
    <row r="147" spans="1:8" x14ac:dyDescent="0.25">
      <c r="A147" s="46">
        <v>44308</v>
      </c>
      <c r="B147" s="3">
        <v>0.36678381198176929</v>
      </c>
      <c r="C147" s="3">
        <v>0.34379183480518766</v>
      </c>
      <c r="D147" s="3">
        <v>0.39885234199110425</v>
      </c>
      <c r="E147" s="3">
        <v>0.34209138057426303</v>
      </c>
      <c r="F147" s="3">
        <v>0.3345893766143011</v>
      </c>
      <c r="G147" s="3">
        <v>0.36670864244846563</v>
      </c>
      <c r="H147" s="3">
        <v>0.31168325785655071</v>
      </c>
    </row>
    <row r="148" spans="1:8" x14ac:dyDescent="0.25">
      <c r="A148" s="46">
        <v>44309</v>
      </c>
      <c r="B148" s="3">
        <v>0.36627268484199543</v>
      </c>
      <c r="C148" s="3">
        <v>0.34229026147305969</v>
      </c>
      <c r="D148" s="3">
        <v>0.39834033440408534</v>
      </c>
      <c r="E148" s="3">
        <v>0.3387893382844106</v>
      </c>
      <c r="F148" s="3">
        <v>0.3280865159648263</v>
      </c>
      <c r="G148" s="3">
        <v>0.36630770652185068</v>
      </c>
      <c r="H148" s="3">
        <v>0.31508308697841553</v>
      </c>
    </row>
    <row r="149" spans="1:8" x14ac:dyDescent="0.25">
      <c r="A149" s="46">
        <v>44312</v>
      </c>
      <c r="B149" s="3">
        <v>0.36914841047603364</v>
      </c>
      <c r="C149" s="3">
        <v>0.34878839157868774</v>
      </c>
      <c r="D149" s="3">
        <v>0.39580244880030746</v>
      </c>
      <c r="E149" s="3">
        <v>0.33758555250303157</v>
      </c>
      <c r="F149" s="3">
        <v>0.32808314435850178</v>
      </c>
      <c r="G149" s="3">
        <v>0.36820241174940804</v>
      </c>
      <c r="H149" s="3">
        <v>0.31507984900282948</v>
      </c>
    </row>
    <row r="150" spans="1:8" x14ac:dyDescent="0.25">
      <c r="A150" s="46">
        <v>44313</v>
      </c>
      <c r="B150" s="3">
        <v>0.37054108216432863</v>
      </c>
      <c r="C150" s="3">
        <v>0.35258814703675917</v>
      </c>
      <c r="D150" s="3">
        <v>0.39478957915831664</v>
      </c>
      <c r="E150" s="3">
        <v>0.33908477119279817</v>
      </c>
      <c r="F150" s="3">
        <v>0.32958239559889974</v>
      </c>
      <c r="G150" s="3">
        <v>0.37109879994661865</v>
      </c>
      <c r="H150" s="3">
        <v>0.32058014503625903</v>
      </c>
    </row>
    <row r="151" spans="1:8" x14ac:dyDescent="0.25">
      <c r="A151" s="46">
        <v>44314</v>
      </c>
      <c r="B151" s="3">
        <v>0.37323624684308776</v>
      </c>
      <c r="C151" s="3">
        <v>0.35358718588145022</v>
      </c>
      <c r="D151" s="3">
        <v>0.39327577687493137</v>
      </c>
      <c r="E151" s="3">
        <v>0.34308459620180315</v>
      </c>
      <c r="F151" s="3">
        <v>0.33158175988599925</v>
      </c>
      <c r="G151" s="3">
        <v>0.36929899602378885</v>
      </c>
      <c r="H151" s="3">
        <v>0.32207941684250913</v>
      </c>
    </row>
    <row r="152" spans="1:8" x14ac:dyDescent="0.25">
      <c r="A152" s="46">
        <v>44315</v>
      </c>
      <c r="B152" s="3">
        <v>0.3687172307776771</v>
      </c>
      <c r="C152" s="3">
        <v>0.35238568282013777</v>
      </c>
      <c r="D152" s="3">
        <v>0.39777375168135282</v>
      </c>
      <c r="E152" s="3">
        <v>0.33908244812951094</v>
      </c>
      <c r="F152" s="3">
        <v>0.32757965121656291</v>
      </c>
      <c r="G152" s="3">
        <v>0.36719944976543173</v>
      </c>
      <c r="H152" s="3">
        <v>0.31757721911834724</v>
      </c>
    </row>
    <row r="153" spans="1:8" x14ac:dyDescent="0.25">
      <c r="A153" s="46">
        <v>44316</v>
      </c>
      <c r="B153" s="3">
        <v>0.36920807027175406</v>
      </c>
      <c r="C153" s="3">
        <v>0.35168430788202648</v>
      </c>
      <c r="D153" s="3">
        <v>0.39074938237716167</v>
      </c>
      <c r="E153" s="3">
        <v>0.34068167026341933</v>
      </c>
      <c r="F153" s="3">
        <v>0.32957900866646117</v>
      </c>
      <c r="G153" s="3">
        <v>0.37179441554886394</v>
      </c>
      <c r="H153" s="3">
        <v>0.32007673072311854</v>
      </c>
    </row>
    <row r="154" spans="1:8" x14ac:dyDescent="0.25">
      <c r="A154" s="46">
        <v>44319</v>
      </c>
      <c r="B154" s="3">
        <v>0.36837619740345295</v>
      </c>
      <c r="C154" s="3">
        <v>0.35188073975878026</v>
      </c>
      <c r="D154" s="3">
        <v>0.39632750528367144</v>
      </c>
      <c r="E154" s="3">
        <v>0.33657722833663889</v>
      </c>
      <c r="F154" s="3">
        <v>0.32557470378477249</v>
      </c>
      <c r="G154" s="3">
        <v>0.37039176301913135</v>
      </c>
      <c r="H154" s="3">
        <v>0.32007344150883937</v>
      </c>
    </row>
    <row r="155" spans="1:8" x14ac:dyDescent="0.25">
      <c r="A155" s="46">
        <v>44320</v>
      </c>
      <c r="B155" s="3">
        <v>0.36816572432343414</v>
      </c>
      <c r="C155" s="3">
        <v>0.35127939876821473</v>
      </c>
      <c r="D155" s="3">
        <v>0.36676318823077347</v>
      </c>
      <c r="E155" s="3">
        <v>0.33657607541430595</v>
      </c>
      <c r="F155" s="3">
        <v>0.32837422157062895</v>
      </c>
      <c r="G155" s="3">
        <v>0.37019066259700795</v>
      </c>
      <c r="H155" s="3">
        <v>0.32017236772695196</v>
      </c>
    </row>
    <row r="156" spans="1:8" x14ac:dyDescent="0.25">
      <c r="A156" s="46">
        <v>44321</v>
      </c>
      <c r="B156" s="3">
        <v>0.36665294359818856</v>
      </c>
      <c r="C156" s="3">
        <v>0.35047801736687961</v>
      </c>
      <c r="D156" s="3">
        <v>0.38819129957458487</v>
      </c>
      <c r="E156" s="3">
        <v>0.33877541233493752</v>
      </c>
      <c r="F156" s="3">
        <v>0.32807302995529825</v>
      </c>
      <c r="G156" s="3">
        <v>0.3678913240602919</v>
      </c>
      <c r="H156" s="3">
        <v>0.3180708034322709</v>
      </c>
    </row>
    <row r="157" spans="1:8" x14ac:dyDescent="0.25">
      <c r="A157" s="46">
        <v>44322</v>
      </c>
      <c r="B157" s="3">
        <v>0.36604182676473818</v>
      </c>
      <c r="C157" s="3">
        <v>0.34777622492601123</v>
      </c>
      <c r="D157" s="3">
        <v>0.39268854978592604</v>
      </c>
      <c r="E157" s="3">
        <v>0.33527348459936429</v>
      </c>
      <c r="F157" s="3">
        <v>0.32497122657020716</v>
      </c>
      <c r="G157" s="3">
        <v>0.36499250631317454</v>
      </c>
      <c r="H157" s="3">
        <v>0.31566918776718184</v>
      </c>
    </row>
    <row r="158" spans="1:8" x14ac:dyDescent="0.25">
      <c r="A158" s="46">
        <v>44323</v>
      </c>
      <c r="B158" s="3">
        <v>0.36362763125394515</v>
      </c>
      <c r="C158" s="3">
        <v>0.34307401939459536</v>
      </c>
      <c r="D158" s="3">
        <v>0.38867085654691658</v>
      </c>
      <c r="E158" s="3">
        <v>0.33457218509472936</v>
      </c>
      <c r="F158" s="3">
        <v>0.32306970339491053</v>
      </c>
      <c r="G158" s="3">
        <v>0.36289303226380426</v>
      </c>
      <c r="H158" s="3">
        <v>0.31356765329506026</v>
      </c>
    </row>
    <row r="159" spans="1:8" x14ac:dyDescent="0.25">
      <c r="A159" s="46">
        <v>44326</v>
      </c>
      <c r="B159" s="3">
        <v>0.36459934138309547</v>
      </c>
      <c r="C159" s="3">
        <v>0.34407069945879287</v>
      </c>
      <c r="D159" s="3">
        <v>0.39565038419319432</v>
      </c>
      <c r="E159" s="3">
        <v>0.33546893197232308</v>
      </c>
      <c r="F159" s="3">
        <v>0.32256628074261834</v>
      </c>
      <c r="G159" s="3">
        <v>0.36448793840889648</v>
      </c>
      <c r="H159" s="3">
        <v>0.31406453380831678</v>
      </c>
    </row>
    <row r="160" spans="1:8" x14ac:dyDescent="0.25">
      <c r="A160" s="46">
        <v>44327</v>
      </c>
      <c r="B160" s="3">
        <v>0.36048269805987765</v>
      </c>
      <c r="C160" s="3">
        <v>0.33826834874169781</v>
      </c>
      <c r="D160" s="3">
        <v>0.38882851732938173</v>
      </c>
      <c r="E160" s="3">
        <v>0.33156699470098411</v>
      </c>
      <c r="F160" s="3">
        <v>0.3200646706012516</v>
      </c>
      <c r="G160" s="3">
        <v>0.35869167256912721</v>
      </c>
      <c r="H160" s="3">
        <v>0.3101626698545254</v>
      </c>
    </row>
    <row r="161" spans="1:8" x14ac:dyDescent="0.25">
      <c r="A161" s="46">
        <v>44328</v>
      </c>
      <c r="B161" s="3">
        <v>0.36367789912738052</v>
      </c>
      <c r="C161" s="3">
        <v>0.34116776620013561</v>
      </c>
      <c r="D161" s="3">
        <v>0.39252373634816967</v>
      </c>
      <c r="E161" s="3">
        <v>0.33406635564598447</v>
      </c>
      <c r="F161" s="3">
        <v>0.3225640709455988</v>
      </c>
      <c r="G161" s="3">
        <v>0.36368613388445586</v>
      </c>
      <c r="H161" s="3">
        <v>0.31326222331833037</v>
      </c>
    </row>
    <row r="162" spans="1:8" x14ac:dyDescent="0.25">
      <c r="A162" s="46">
        <v>44329</v>
      </c>
      <c r="B162" s="3">
        <v>0.36507010948604673</v>
      </c>
      <c r="C162" s="3">
        <v>0.34226681235720668</v>
      </c>
      <c r="D162" s="3">
        <v>0.38770545783826799</v>
      </c>
      <c r="E162" s="3">
        <v>0.33536546517642146</v>
      </c>
      <c r="F162" s="3">
        <v>0.32216288796100612</v>
      </c>
      <c r="G162" s="3">
        <v>0.36418445661806725</v>
      </c>
      <c r="H162" s="3">
        <v>0.31206091600072616</v>
      </c>
    </row>
    <row r="163" spans="1:8" x14ac:dyDescent="0.25">
      <c r="A163" s="46">
        <v>44330</v>
      </c>
      <c r="B163" s="3">
        <v>0.37477499725606411</v>
      </c>
      <c r="C163" s="3">
        <v>0.35096730879894777</v>
      </c>
      <c r="D163" s="3">
        <v>0.39560695862144662</v>
      </c>
      <c r="E163" s="3">
        <v>0.34506617707505549</v>
      </c>
      <c r="F163" s="3">
        <v>0.33056339571972704</v>
      </c>
      <c r="G163" s="3">
        <v>0.37417451942488389</v>
      </c>
      <c r="H163" s="3">
        <v>0.32456224481407397</v>
      </c>
    </row>
    <row r="164" spans="1:8" x14ac:dyDescent="0.25">
      <c r="A164" s="46">
        <v>44333</v>
      </c>
      <c r="B164" s="3">
        <v>0.38105331028616896</v>
      </c>
      <c r="C164" s="3">
        <v>0.35706480970861154</v>
      </c>
      <c r="D164" s="3">
        <v>0.40759184569374712</v>
      </c>
      <c r="E164" s="3">
        <v>0.35206390200961135</v>
      </c>
      <c r="F164" s="3">
        <v>0.33796134229843089</v>
      </c>
      <c r="G164" s="3">
        <v>0.38346250047047636</v>
      </c>
      <c r="H164" s="3">
        <v>0.32905972659421057</v>
      </c>
    </row>
    <row r="165" spans="1:8" x14ac:dyDescent="0.25">
      <c r="A165" s="46">
        <v>44334</v>
      </c>
      <c r="B165" s="3">
        <v>0.38054214223002636</v>
      </c>
      <c r="C165" s="3">
        <v>0.35706358666611865</v>
      </c>
      <c r="D165" s="3">
        <v>0.4030742427568042</v>
      </c>
      <c r="E165" s="3">
        <v>0.35506323043829724</v>
      </c>
      <c r="F165" s="3">
        <v>0.33505966816008331</v>
      </c>
      <c r="G165" s="3">
        <v>0.38346118840202836</v>
      </c>
      <c r="H165" s="3">
        <v>0.32905859947661908</v>
      </c>
    </row>
    <row r="166" spans="1:8" x14ac:dyDescent="0.25">
      <c r="A166" s="46">
        <v>44335</v>
      </c>
      <c r="B166" s="3">
        <v>0.3750240061455733</v>
      </c>
      <c r="C166" s="3">
        <v>0.35076126309732181</v>
      </c>
      <c r="D166" s="3">
        <v>0.40156108535213586</v>
      </c>
      <c r="E166" s="3">
        <v>0.35156140284775766</v>
      </c>
      <c r="F166" s="3">
        <v>0.33605869518306281</v>
      </c>
      <c r="G166" s="3">
        <v>0.37866413010377781</v>
      </c>
      <c r="H166" s="3">
        <v>0.32905747236674898</v>
      </c>
    </row>
    <row r="167" spans="1:8" x14ac:dyDescent="0.25">
      <c r="A167" s="46">
        <v>44336</v>
      </c>
      <c r="B167" s="3">
        <v>0.37341152263374483</v>
      </c>
      <c r="C167" s="3">
        <v>0.34785956499400583</v>
      </c>
      <c r="D167" s="3">
        <v>0.40355281207133054</v>
      </c>
      <c r="E167" s="3">
        <v>0.35256036992635725</v>
      </c>
      <c r="F167" s="3">
        <v>0.33005651652680251</v>
      </c>
      <c r="G167" s="3">
        <v>0.37956203380551568</v>
      </c>
      <c r="H167" s="3">
        <v>0.32805617400239762</v>
      </c>
    </row>
    <row r="168" spans="1:8" x14ac:dyDescent="0.25">
      <c r="A168" s="46">
        <v>44337</v>
      </c>
      <c r="B168" s="3">
        <v>0.36979643905516996</v>
      </c>
      <c r="C168" s="3">
        <v>0.34405773571592491</v>
      </c>
      <c r="D168" s="3">
        <v>0.40354174096732598</v>
      </c>
      <c r="E168" s="3">
        <v>0.35075886021969438</v>
      </c>
      <c r="F168" s="3">
        <v>0.3336559902175365</v>
      </c>
      <c r="G168" s="3">
        <v>0.37466511097956962</v>
      </c>
      <c r="H168" s="3">
        <v>0.3225541272336796</v>
      </c>
    </row>
    <row r="169" spans="1:8" x14ac:dyDescent="0.25">
      <c r="A169" s="46">
        <v>44342</v>
      </c>
      <c r="B169" s="3">
        <v>0.37815585911784072</v>
      </c>
      <c r="C169" s="3">
        <v>0.35455342585869104</v>
      </c>
      <c r="D169" s="3">
        <v>0.40649001536098311</v>
      </c>
      <c r="E169" s="3">
        <v>0.36655523435038156</v>
      </c>
      <c r="F169" s="3">
        <v>0.3470522955513845</v>
      </c>
      <c r="G169" s="3">
        <v>0.38714732469736474</v>
      </c>
      <c r="H169" s="3">
        <v>0.33455041170587352</v>
      </c>
    </row>
    <row r="170" spans="1:8" x14ac:dyDescent="0.25">
      <c r="A170" s="46">
        <v>44343</v>
      </c>
      <c r="B170" s="3">
        <v>0.38144937872013607</v>
      </c>
      <c r="C170" s="3">
        <v>0.35665252074791831</v>
      </c>
      <c r="D170" s="3">
        <v>0.41048358339962149</v>
      </c>
      <c r="E170" s="3">
        <v>0.36655397883934959</v>
      </c>
      <c r="F170" s="3">
        <v>0.35255191689187104</v>
      </c>
      <c r="G170" s="3">
        <v>0.38674636548087882</v>
      </c>
      <c r="H170" s="3">
        <v>0.33804978130341107</v>
      </c>
    </row>
    <row r="171" spans="1:8" x14ac:dyDescent="0.25">
      <c r="A171" s="46">
        <v>44344</v>
      </c>
      <c r="B171" s="3">
        <v>0.37683361676449612</v>
      </c>
      <c r="C171" s="3">
        <v>0.35355085320491303</v>
      </c>
      <c r="D171" s="3">
        <v>0.40056091941412036</v>
      </c>
      <c r="E171" s="3">
        <v>0.36325224861110161</v>
      </c>
      <c r="F171" s="3">
        <v>0.34604977428260231</v>
      </c>
      <c r="G171" s="3">
        <v>0.38514650936811418</v>
      </c>
      <c r="H171" s="3">
        <v>0.33504819186321322</v>
      </c>
    </row>
    <row r="172" spans="1:8" x14ac:dyDescent="0.25">
      <c r="A172" s="46">
        <v>44347</v>
      </c>
      <c r="B172" s="3">
        <v>0.37640218315460355</v>
      </c>
      <c r="C172" s="3">
        <v>0.35304715355818067</v>
      </c>
      <c r="D172" s="3">
        <v>0.4054332026000384</v>
      </c>
      <c r="E172" s="3">
        <v>0.36254842256328756</v>
      </c>
      <c r="F172" s="3">
        <v>0.34404595134281635</v>
      </c>
      <c r="G172" s="3">
        <v>0.3854422778859346</v>
      </c>
      <c r="H172" s="3">
        <v>0.33404461554796699</v>
      </c>
    </row>
    <row r="173" spans="1:8" x14ac:dyDescent="0.25">
      <c r="A173" s="46">
        <v>44348</v>
      </c>
      <c r="B173" s="3">
        <v>0.37889446547090122</v>
      </c>
      <c r="C173" s="3">
        <v>0.35604633479699416</v>
      </c>
      <c r="D173" s="3">
        <v>0.40842520980747077</v>
      </c>
      <c r="E173" s="3">
        <v>0.36804789664408377</v>
      </c>
      <c r="F173" s="3">
        <v>0.34904542371952513</v>
      </c>
      <c r="G173" s="3">
        <v>0.38763891169869158</v>
      </c>
      <c r="H173" s="3">
        <v>0.33714387488782788</v>
      </c>
    </row>
    <row r="174" spans="1:8" x14ac:dyDescent="0.25">
      <c r="A174" s="46">
        <v>44349</v>
      </c>
      <c r="B174" s="3">
        <v>0.3838891479033541</v>
      </c>
      <c r="C174" s="3">
        <v>0.3630460024044142</v>
      </c>
      <c r="D174" s="3">
        <v>0.41942517072100483</v>
      </c>
      <c r="E174" s="3">
        <v>0.37604764987344286</v>
      </c>
      <c r="F174" s="3">
        <v>0.35364481115757818</v>
      </c>
      <c r="G174" s="3">
        <v>0.39473095359475557</v>
      </c>
      <c r="H174" s="3">
        <v>0.34204334110829115</v>
      </c>
    </row>
    <row r="175" spans="1:8" x14ac:dyDescent="0.25">
      <c r="A175" s="46">
        <v>44350</v>
      </c>
      <c r="B175" s="3">
        <v>0.38237713909609483</v>
      </c>
      <c r="C175" s="3">
        <v>0.36054445068570096</v>
      </c>
      <c r="D175" s="3">
        <v>0.41841268100043877</v>
      </c>
      <c r="E175" s="3">
        <v>0.3696455727418449</v>
      </c>
      <c r="F175" s="3">
        <v>0.34504253949117014</v>
      </c>
      <c r="G175" s="3">
        <v>0.38823569664082336</v>
      </c>
      <c r="H175" s="3">
        <v>0.33274102286583279</v>
      </c>
    </row>
    <row r="176" spans="1:8" x14ac:dyDescent="0.25">
      <c r="A176" s="46">
        <v>44351</v>
      </c>
      <c r="B176" s="3">
        <v>0.38086521321815436</v>
      </c>
      <c r="C176" s="3">
        <v>0.35854297604164886</v>
      </c>
      <c r="D176" s="3">
        <v>0.41770053475935826</v>
      </c>
      <c r="E176" s="3">
        <v>0.37014436661928651</v>
      </c>
      <c r="F176" s="3">
        <v>0.34614148956210505</v>
      </c>
      <c r="G176" s="3">
        <v>0.39083192199127531</v>
      </c>
      <c r="H176" s="3">
        <v>0.33544020687411163</v>
      </c>
    </row>
    <row r="177" spans="1:8" x14ac:dyDescent="0.25">
      <c r="A177" s="46">
        <v>44354</v>
      </c>
      <c r="B177" s="3">
        <v>0.38203493473730393</v>
      </c>
      <c r="C177" s="3">
        <v>0.3650400043840421</v>
      </c>
      <c r="D177" s="3">
        <v>0.42387161346934299</v>
      </c>
      <c r="E177" s="3">
        <v>0.37304088119245943</v>
      </c>
      <c r="F177" s="3">
        <v>0.35353874397194213</v>
      </c>
      <c r="G177" s="3">
        <v>0.39492401070213978</v>
      </c>
      <c r="H177" s="3">
        <v>0.33803704515563349</v>
      </c>
    </row>
    <row r="178" spans="1:8" x14ac:dyDescent="0.25">
      <c r="A178" s="46">
        <v>44355</v>
      </c>
      <c r="B178" s="3">
        <v>0.38782938934437466</v>
      </c>
      <c r="C178" s="3">
        <v>0.370239306227716</v>
      </c>
      <c r="D178" s="3">
        <v>0.42536126573253996</v>
      </c>
      <c r="E178" s="3">
        <v>0.37553986895869079</v>
      </c>
      <c r="F178" s="3">
        <v>0.35903811706037281</v>
      </c>
      <c r="G178" s="3">
        <v>0.39921855487393892</v>
      </c>
      <c r="H178" s="3">
        <v>0.34093619528100588</v>
      </c>
    </row>
    <row r="179" spans="1:8" x14ac:dyDescent="0.25">
      <c r="A179" s="46">
        <v>44356</v>
      </c>
      <c r="B179" s="3">
        <v>0.39332327940773237</v>
      </c>
      <c r="C179" s="3">
        <v>0.37653868548138508</v>
      </c>
      <c r="D179" s="3">
        <v>0.4403619413216342</v>
      </c>
      <c r="E179" s="3">
        <v>0.38153919923279789</v>
      </c>
      <c r="F179" s="3">
        <v>0.36403740110285304</v>
      </c>
      <c r="G179" s="3">
        <v>0.40431230327083617</v>
      </c>
      <c r="H179" s="3">
        <v>0.3474356954481625</v>
      </c>
    </row>
    <row r="180" spans="1:8" x14ac:dyDescent="0.25">
      <c r="A180" s="46">
        <v>44357</v>
      </c>
      <c r="B180" s="3">
        <v>0.3953140851635546</v>
      </c>
      <c r="C180" s="3">
        <v>0.37973771367704323</v>
      </c>
      <c r="D180" s="3">
        <v>0.44034986701763046</v>
      </c>
      <c r="E180" s="3">
        <v>0.38333807124680191</v>
      </c>
      <c r="F180" s="3">
        <v>0.37003675022519361</v>
      </c>
      <c r="G180" s="3">
        <v>0.40421101611120808</v>
      </c>
      <c r="H180" s="3">
        <v>0.35053481338900094</v>
      </c>
    </row>
    <row r="181" spans="1:8" x14ac:dyDescent="0.25">
      <c r="A181" s="46">
        <v>44358</v>
      </c>
      <c r="B181" s="3">
        <v>0.39930631717481901</v>
      </c>
      <c r="C181" s="3">
        <v>0.38303672954940882</v>
      </c>
      <c r="D181" s="3">
        <v>0.4493447027856986</v>
      </c>
      <c r="E181" s="3">
        <v>0.38663707478799336</v>
      </c>
      <c r="F181" s="3">
        <v>0.377036154151768</v>
      </c>
      <c r="G181" s="3">
        <v>0.40560828241219099</v>
      </c>
      <c r="H181" s="3">
        <v>0.35153370871179429</v>
      </c>
    </row>
    <row r="182" spans="1:8" x14ac:dyDescent="0.25">
      <c r="A182" s="46">
        <v>44361</v>
      </c>
      <c r="B182" s="3">
        <v>0.3987731322823852</v>
      </c>
      <c r="C182" s="3">
        <v>0.38303279390358763</v>
      </c>
      <c r="D182" s="3">
        <v>0.45281014393420149</v>
      </c>
      <c r="E182" s="3">
        <v>0.38703313639866432</v>
      </c>
      <c r="F182" s="3">
        <v>0.38003253703228018</v>
      </c>
      <c r="G182" s="3">
        <v>0.40580392425201428</v>
      </c>
      <c r="H182" s="3">
        <v>0.35093004538059769</v>
      </c>
    </row>
    <row r="183" spans="1:8" x14ac:dyDescent="0.25">
      <c r="A183" s="46">
        <v>44362</v>
      </c>
      <c r="B183" s="3">
        <v>0.39726121285228644</v>
      </c>
      <c r="C183" s="3">
        <v>0.38063128476313124</v>
      </c>
      <c r="D183" s="3">
        <v>0.44028950542822676</v>
      </c>
      <c r="E183" s="3">
        <v>0.38253144094035124</v>
      </c>
      <c r="F183" s="3">
        <v>0.38283146559991232</v>
      </c>
      <c r="G183" s="3">
        <v>0.40290537350403371</v>
      </c>
      <c r="H183" s="3">
        <v>0.34732854755185355</v>
      </c>
    </row>
    <row r="184" spans="1:8" x14ac:dyDescent="0.25">
      <c r="A184" s="46">
        <v>44363</v>
      </c>
      <c r="B184" s="3">
        <v>0.39514899799873893</v>
      </c>
      <c r="C184" s="3">
        <v>0.37962990235532251</v>
      </c>
      <c r="D184" s="3">
        <v>0.43527428242454147</v>
      </c>
      <c r="E184" s="3">
        <v>0.38543035924062513</v>
      </c>
      <c r="F184" s="3">
        <v>0.37202930367802944</v>
      </c>
      <c r="G184" s="3">
        <v>0.40040644982500073</v>
      </c>
      <c r="H184" s="3">
        <v>0.34442712953417559</v>
      </c>
    </row>
    <row r="185" spans="1:8" x14ac:dyDescent="0.25">
      <c r="A185" s="46">
        <v>44364</v>
      </c>
      <c r="B185" s="3">
        <v>0.3934371401940896</v>
      </c>
      <c r="C185" s="3">
        <v>0.3753282781579434</v>
      </c>
      <c r="D185" s="3">
        <v>0.43125993749657326</v>
      </c>
      <c r="E185" s="3">
        <v>0.37982861722458539</v>
      </c>
      <c r="F185" s="3">
        <v>0.37002787881278726</v>
      </c>
      <c r="G185" s="3">
        <v>0.39640902123932559</v>
      </c>
      <c r="H185" s="3">
        <v>0.34142572385590697</v>
      </c>
    </row>
    <row r="186" spans="1:8" x14ac:dyDescent="0.25">
      <c r="A186" s="46">
        <v>44365</v>
      </c>
      <c r="B186" s="3">
        <v>0.3923257216480715</v>
      </c>
      <c r="C186" s="3">
        <v>0.37302682727182429</v>
      </c>
      <c r="D186" s="3">
        <v>0.43224869102771463</v>
      </c>
      <c r="E186" s="3">
        <v>0.37902725880970889</v>
      </c>
      <c r="F186" s="3">
        <v>0.36902653957990128</v>
      </c>
      <c r="G186" s="3">
        <v>0.39670736839224191</v>
      </c>
      <c r="H186" s="3">
        <v>0.33812431715979574</v>
      </c>
    </row>
    <row r="187" spans="1:8" x14ac:dyDescent="0.25">
      <c r="A187" s="46">
        <v>44369</v>
      </c>
      <c r="B187" s="3">
        <v>0.38617986459446868</v>
      </c>
      <c r="C187" s="3">
        <v>0.36652133857108116</v>
      </c>
      <c r="D187" s="3">
        <v>0.42169640654551432</v>
      </c>
      <c r="E187" s="3">
        <v>0.37322172866228515</v>
      </c>
      <c r="F187" s="3">
        <v>0.36202107656952631</v>
      </c>
      <c r="G187" s="3">
        <v>0.38711156271275743</v>
      </c>
      <c r="H187" s="3">
        <v>0.33351941722634537</v>
      </c>
    </row>
    <row r="188" spans="1:8" x14ac:dyDescent="0.25">
      <c r="A188" s="46">
        <v>44370</v>
      </c>
      <c r="B188" s="3">
        <v>0.38566906041004273</v>
      </c>
      <c r="C188" s="3">
        <v>0.36542002301495974</v>
      </c>
      <c r="D188" s="3">
        <v>0.41618243613638856</v>
      </c>
      <c r="E188" s="3">
        <v>0.37352046687489726</v>
      </c>
      <c r="F188" s="3">
        <v>0.36001972710833469</v>
      </c>
      <c r="G188" s="3">
        <v>0.38880852839948821</v>
      </c>
      <c r="H188" s="3">
        <v>0.33301824757520959</v>
      </c>
    </row>
    <row r="189" spans="1:8" x14ac:dyDescent="0.25">
      <c r="A189" s="46">
        <v>44371</v>
      </c>
      <c r="B189" s="3">
        <v>0.38175688639166777</v>
      </c>
      <c r="C189" s="3">
        <v>0.36001849410072434</v>
      </c>
      <c r="D189" s="3">
        <v>0.40716732903933128</v>
      </c>
      <c r="E189" s="3">
        <v>0.37111906433549668</v>
      </c>
      <c r="F189" s="3">
        <v>0.35751836566946932</v>
      </c>
      <c r="G189" s="3">
        <v>0.38411194170273188</v>
      </c>
      <c r="H189" s="3">
        <v>0.329516927239413</v>
      </c>
    </row>
    <row r="190" spans="1:8" x14ac:dyDescent="0.25">
      <c r="A190" s="46">
        <v>44372</v>
      </c>
      <c r="B190" s="3">
        <v>0.37464369895302313</v>
      </c>
      <c r="C190" s="3">
        <v>0.34991677683176592</v>
      </c>
      <c r="D190" s="3">
        <v>0.40015348352792851</v>
      </c>
      <c r="E190" s="3">
        <v>0.36201735699656834</v>
      </c>
      <c r="F190" s="3">
        <v>0.34751666175775553</v>
      </c>
      <c r="G190" s="3">
        <v>0.37472014670060483</v>
      </c>
      <c r="H190" s="3">
        <v>0.32061537196988898</v>
      </c>
    </row>
    <row r="191" spans="1:8" x14ac:dyDescent="0.25">
      <c r="A191" s="46">
        <v>44375</v>
      </c>
      <c r="B191" s="3">
        <v>0.37251226396996356</v>
      </c>
      <c r="C191" s="3">
        <v>0.34851312891924013</v>
      </c>
      <c r="D191" s="3">
        <v>0.40512209158924606</v>
      </c>
      <c r="E191" s="3">
        <v>0.36001356215473873</v>
      </c>
      <c r="F191" s="3">
        <v>0.34501299706495792</v>
      </c>
      <c r="G191" s="3">
        <v>0.37491609618917615</v>
      </c>
      <c r="H191" s="3">
        <v>0.32001205524865661</v>
      </c>
    </row>
    <row r="192" spans="1:8" x14ac:dyDescent="0.25">
      <c r="A192" s="46">
        <v>44376</v>
      </c>
      <c r="B192" s="3">
        <v>0.36730063030967386</v>
      </c>
      <c r="C192" s="3">
        <v>0.34151169560601391</v>
      </c>
      <c r="D192" s="3">
        <v>0.39510824883529733</v>
      </c>
      <c r="E192" s="3">
        <v>0.35351210657899246</v>
      </c>
      <c r="F192" s="3">
        <v>0.34101167848213981</v>
      </c>
      <c r="G192" s="3">
        <v>0.373616147793363</v>
      </c>
      <c r="H192" s="3">
        <v>0.31401075379293808</v>
      </c>
    </row>
    <row r="193" spans="1:8" x14ac:dyDescent="0.25">
      <c r="A193" s="46">
        <v>44377</v>
      </c>
      <c r="B193" s="3">
        <v>0.36368967690663451</v>
      </c>
      <c r="C193" s="3">
        <v>0.33931045819905409</v>
      </c>
      <c r="D193" s="3">
        <v>0.39559754460003832</v>
      </c>
      <c r="E193" s="3">
        <v>0.35011079108602661</v>
      </c>
      <c r="F193" s="3">
        <v>0.33901044895219373</v>
      </c>
      <c r="G193" s="3">
        <v>0.37551291305879902</v>
      </c>
      <c r="H193" s="3">
        <v>0.31300964755763022</v>
      </c>
    </row>
    <row r="194" spans="1:8" x14ac:dyDescent="0.25">
      <c r="A194" s="46">
        <v>44378</v>
      </c>
      <c r="B194" s="3">
        <v>0.36257946947276115</v>
      </c>
      <c r="C194" s="3">
        <v>0.33800926052768565</v>
      </c>
      <c r="D194" s="3">
        <v>0.40008769045270198</v>
      </c>
      <c r="E194" s="3">
        <v>0.3525096577988438</v>
      </c>
      <c r="F194" s="3">
        <v>0.34350941121674566</v>
      </c>
      <c r="G194" s="3">
        <v>0.37501214497334945</v>
      </c>
      <c r="H194" s="3">
        <v>0.31350858927641856</v>
      </c>
    </row>
    <row r="195" spans="1:8" x14ac:dyDescent="0.25">
      <c r="A195" s="46">
        <v>44379</v>
      </c>
      <c r="B195" s="3">
        <v>0.36507001342723261</v>
      </c>
      <c r="C195" s="3">
        <v>0.34060816526423582</v>
      </c>
      <c r="D195" s="3">
        <v>0.39707615159071608</v>
      </c>
      <c r="E195" s="3">
        <v>0.35730856561629898</v>
      </c>
      <c r="F195" s="3">
        <v>0.34750833067916009</v>
      </c>
      <c r="G195" s="3">
        <v>0.37181417912234904</v>
      </c>
      <c r="H195" s="3">
        <v>0.31750761148383694</v>
      </c>
    </row>
    <row r="196" spans="1:8" x14ac:dyDescent="0.25">
      <c r="A196" s="46">
        <v>44382</v>
      </c>
      <c r="B196" s="3">
        <v>0.36403989478298993</v>
      </c>
      <c r="C196" s="3">
        <v>0.33800463020041366</v>
      </c>
      <c r="D196" s="3">
        <v>0.39554334721613327</v>
      </c>
      <c r="E196" s="3">
        <v>0.35660488499842458</v>
      </c>
      <c r="F196" s="3">
        <v>0.34900478088740938</v>
      </c>
      <c r="G196" s="3">
        <v>0.37410795536184688</v>
      </c>
      <c r="H196" s="3">
        <v>0.31500431512760446</v>
      </c>
    </row>
    <row r="197" spans="1:8" x14ac:dyDescent="0.25">
      <c r="A197" s="46">
        <v>44383</v>
      </c>
      <c r="B197" s="3">
        <v>0.36302983806888234</v>
      </c>
      <c r="C197" s="3">
        <v>0.33770346955619412</v>
      </c>
      <c r="D197" s="3">
        <v>0.39803271501767268</v>
      </c>
      <c r="E197" s="3">
        <v>0.35400363702366805</v>
      </c>
      <c r="F197" s="3">
        <v>0.34600355483104278</v>
      </c>
      <c r="G197" s="3">
        <v>0.36981119165808551</v>
      </c>
      <c r="H197" s="3">
        <v>0.31080319318349159</v>
      </c>
    </row>
    <row r="198" spans="1:8" x14ac:dyDescent="0.25">
      <c r="A198" s="46">
        <v>44384</v>
      </c>
      <c r="B198" s="3">
        <v>0.35601950791824211</v>
      </c>
      <c r="C198" s="3">
        <v>0.33760231234460508</v>
      </c>
      <c r="D198" s="3">
        <v>0.3890213162365061</v>
      </c>
      <c r="E198" s="3">
        <v>0.35700244522222757</v>
      </c>
      <c r="F198" s="3">
        <v>0.34700237672860773</v>
      </c>
      <c r="G198" s="3">
        <v>0.36971003188417695</v>
      </c>
      <c r="H198" s="3">
        <v>0.31260214111055556</v>
      </c>
    </row>
    <row r="199" spans="1:8" x14ac:dyDescent="0.25">
      <c r="A199" s="46">
        <v>44385</v>
      </c>
      <c r="B199" s="3">
        <v>0.3554097372530754</v>
      </c>
      <c r="C199" s="3">
        <v>0.33860115959301229</v>
      </c>
      <c r="D199" s="3">
        <v>0.39041069618345708</v>
      </c>
      <c r="E199" s="3">
        <v>0.35660122123705901</v>
      </c>
      <c r="F199" s="3">
        <v>0.3505012003465765</v>
      </c>
      <c r="G199" s="3">
        <v>0.36811045845321222</v>
      </c>
      <c r="H199" s="3">
        <v>0.31500107877081773</v>
      </c>
    </row>
    <row r="200" spans="1:8" x14ac:dyDescent="0.25">
      <c r="A200" s="46">
        <v>44389</v>
      </c>
      <c r="B200" s="3">
        <v>0.35797057776073199</v>
      </c>
      <c r="C200" s="3">
        <v>0.3428964770909888</v>
      </c>
      <c r="D200" s="3">
        <v>0.39146782456236473</v>
      </c>
      <c r="E200" s="3">
        <v>0.35959630551740907</v>
      </c>
      <c r="F200" s="3">
        <v>0.3524963784618651</v>
      </c>
      <c r="G200" s="3">
        <v>0.37060274431859003</v>
      </c>
      <c r="H200" s="3">
        <v>0.31899672263641127</v>
      </c>
    </row>
    <row r="201" spans="1:8" x14ac:dyDescent="0.25">
      <c r="A201" s="46">
        <v>44390</v>
      </c>
      <c r="B201" s="3">
        <v>0.36046049747972825</v>
      </c>
      <c r="C201" s="3">
        <v>0.34749523979123575</v>
      </c>
      <c r="D201" s="3">
        <v>0.39305692526846375</v>
      </c>
      <c r="E201" s="3">
        <v>0.36499500006849223</v>
      </c>
      <c r="F201" s="3">
        <v>0.35999506856070462</v>
      </c>
      <c r="G201" s="3">
        <v>0.37369814651368044</v>
      </c>
      <c r="H201" s="3">
        <v>0.32749551376008545</v>
      </c>
    </row>
    <row r="202" spans="1:8" x14ac:dyDescent="0.25">
      <c r="A202" s="46">
        <v>44391</v>
      </c>
      <c r="B202" s="3">
        <v>0.36395014381591562</v>
      </c>
      <c r="C202" s="3">
        <v>0.35089399154124079</v>
      </c>
      <c r="D202" s="3">
        <v>0.39494589782221612</v>
      </c>
      <c r="E202" s="3">
        <v>0.36819369531343643</v>
      </c>
      <c r="F202" s="3">
        <v>0.36279378777760657</v>
      </c>
      <c r="G202" s="3">
        <v>0.37659374305116061</v>
      </c>
      <c r="H202" s="3">
        <v>0.32599441790380301</v>
      </c>
    </row>
    <row r="203" spans="1:8" x14ac:dyDescent="0.25">
      <c r="A203" s="46">
        <v>44392</v>
      </c>
      <c r="B203" s="3">
        <v>0.3636402235249</v>
      </c>
      <c r="C203" s="3">
        <v>0.35289274877913468</v>
      </c>
      <c r="D203" s="3">
        <v>0.39493507916506876</v>
      </c>
      <c r="E203" s="3">
        <v>0.36999239741649143</v>
      </c>
      <c r="F203" s="3">
        <v>0.36349253097539092</v>
      </c>
      <c r="G203" s="3">
        <v>0.37509407627362168</v>
      </c>
      <c r="H203" s="3">
        <v>0.32719327685047567</v>
      </c>
    </row>
    <row r="204" spans="1:8" x14ac:dyDescent="0.25">
      <c r="A204" s="46">
        <v>44393</v>
      </c>
      <c r="B204" s="3">
        <v>0.3639302051661325</v>
      </c>
      <c r="C204" s="3">
        <v>0.3556914731496163</v>
      </c>
      <c r="D204" s="3">
        <v>0.39702385843810778</v>
      </c>
      <c r="E204" s="3">
        <v>0.37199108240555878</v>
      </c>
      <c r="F204" s="3">
        <v>0.36749119027968508</v>
      </c>
      <c r="G204" s="3">
        <v>0.37749019044393584</v>
      </c>
      <c r="H204" s="3">
        <v>0.32649217313283585</v>
      </c>
    </row>
    <row r="205" spans="1:8" x14ac:dyDescent="0.25">
      <c r="A205" s="46">
        <v>44396</v>
      </c>
      <c r="B205" s="3">
        <v>0.36589975349219395</v>
      </c>
      <c r="C205" s="3">
        <v>0.35838772644772443</v>
      </c>
      <c r="D205" s="3">
        <v>0.39889071487263761</v>
      </c>
      <c r="E205" s="3">
        <v>0.37648710660593815</v>
      </c>
      <c r="F205" s="3">
        <v>0.36598746618266498</v>
      </c>
      <c r="G205" s="3">
        <v>0.37988368910782705</v>
      </c>
      <c r="H205" s="3">
        <v>0.32938871956439847</v>
      </c>
    </row>
    <row r="206" spans="1:8" x14ac:dyDescent="0.25">
      <c r="A206" s="46">
        <v>44397</v>
      </c>
      <c r="B206" s="3">
        <v>0.36988852674536443</v>
      </c>
      <c r="C206" s="3">
        <v>0.36188636729438273</v>
      </c>
      <c r="D206" s="3">
        <v>0.40887677686176765</v>
      </c>
      <c r="E206" s="3">
        <v>0.38198561013112525</v>
      </c>
      <c r="F206" s="3">
        <v>0.37598583615000808</v>
      </c>
      <c r="G206" s="3">
        <v>0.38188019334909223</v>
      </c>
      <c r="H206" s="3">
        <v>0.33118752375766664</v>
      </c>
    </row>
    <row r="207" spans="1:8" x14ac:dyDescent="0.25">
      <c r="A207" s="46">
        <v>44398</v>
      </c>
      <c r="B207" s="3">
        <v>0.37187773882559161</v>
      </c>
      <c r="C207" s="3">
        <v>0.36318507458597593</v>
      </c>
      <c r="D207" s="3">
        <v>0.40036837204206832</v>
      </c>
      <c r="E207" s="3">
        <v>0.38148432256208648</v>
      </c>
      <c r="F207" s="3">
        <v>0.37848444584469132</v>
      </c>
      <c r="G207" s="3">
        <v>0.38347712454074617</v>
      </c>
      <c r="H207" s="3">
        <v>0.3325863320685451</v>
      </c>
    </row>
    <row r="208" spans="1:8" x14ac:dyDescent="0.25">
      <c r="A208" s="46">
        <v>44399</v>
      </c>
      <c r="B208" s="3">
        <v>0.37186755402185528</v>
      </c>
      <c r="C208" s="3">
        <v>0.36298383976055859</v>
      </c>
      <c r="D208" s="3">
        <v>0.40585544874428287</v>
      </c>
      <c r="E208" s="3">
        <v>0.38548283809282463</v>
      </c>
      <c r="F208" s="3">
        <v>0.38208298945594887</v>
      </c>
      <c r="G208" s="3">
        <v>0.38537371332396014</v>
      </c>
      <c r="H208" s="3">
        <v>0.33298517531753719</v>
      </c>
    </row>
    <row r="209" spans="1:8" x14ac:dyDescent="0.25">
      <c r="A209" s="46">
        <v>44400</v>
      </c>
      <c r="B209" s="3">
        <v>0.36985813660513778</v>
      </c>
      <c r="C209" s="3">
        <v>0.36278260631339593</v>
      </c>
      <c r="D209" s="3">
        <v>0.40534452538752258</v>
      </c>
      <c r="E209" s="3">
        <v>0.38588149883224782</v>
      </c>
      <c r="F209" s="3">
        <v>0.38498154198086393</v>
      </c>
      <c r="G209" s="3">
        <v>0.38906829408464583</v>
      </c>
      <c r="H209" s="3">
        <v>0.33338401583485727</v>
      </c>
    </row>
    <row r="210" spans="1:8" x14ac:dyDescent="0.25">
      <c r="A210" s="46">
        <v>44403</v>
      </c>
      <c r="B210" s="3">
        <v>0.37042747213626531</v>
      </c>
      <c r="C210" s="3">
        <v>0.36217891424129417</v>
      </c>
      <c r="D210" s="3">
        <v>0.4053112249089465</v>
      </c>
      <c r="E210" s="3">
        <v>0.38447761602920383</v>
      </c>
      <c r="F210" s="3">
        <v>0.38297770335288694</v>
      </c>
      <c r="G210" s="3">
        <v>0.38556821641517891</v>
      </c>
      <c r="H210" s="3">
        <v>0.33498049771074973</v>
      </c>
    </row>
    <row r="211" spans="1:8" x14ac:dyDescent="0.25">
      <c r="A211" s="46">
        <v>44404</v>
      </c>
      <c r="B211" s="3">
        <v>0.37031737773152962</v>
      </c>
      <c r="C211" s="3">
        <v>0.36117773561903715</v>
      </c>
      <c r="D211" s="3">
        <v>0.40280135823429541</v>
      </c>
      <c r="E211" s="3">
        <v>0.38397633022621891</v>
      </c>
      <c r="F211" s="3">
        <v>0.38297639186625482</v>
      </c>
      <c r="G211" s="3">
        <v>0.38576667305218793</v>
      </c>
      <c r="H211" s="3">
        <v>0.33447938140799544</v>
      </c>
    </row>
    <row r="212" spans="1:8" x14ac:dyDescent="0.25">
      <c r="A212" s="46">
        <v>44405</v>
      </c>
      <c r="B212" s="3">
        <v>0.36960760152249511</v>
      </c>
      <c r="C212" s="3">
        <v>0.36007657036014779</v>
      </c>
      <c r="D212" s="3">
        <v>0.40279032832224321</v>
      </c>
      <c r="E212" s="3">
        <v>0.38447498279221559</v>
      </c>
      <c r="F212" s="3">
        <v>0.37997527558138339</v>
      </c>
      <c r="G212" s="3">
        <v>0.38646456560929637</v>
      </c>
      <c r="H212" s="3">
        <v>0.3370780668381167</v>
      </c>
    </row>
    <row r="213" spans="1:8" x14ac:dyDescent="0.25">
      <c r="A213" s="46">
        <v>44406</v>
      </c>
      <c r="B213" s="3">
        <v>0.36839813800657173</v>
      </c>
      <c r="C213" s="3">
        <v>0.35907540579412367</v>
      </c>
      <c r="D213" s="3">
        <v>0.40977546549835708</v>
      </c>
      <c r="E213" s="3">
        <v>0.38447366618724749</v>
      </c>
      <c r="F213" s="3">
        <v>0.38147387165262653</v>
      </c>
      <c r="G213" s="3">
        <v>0.38636335648068965</v>
      </c>
      <c r="H213" s="3">
        <v>0.33497705636600233</v>
      </c>
    </row>
    <row r="214" spans="1:8" x14ac:dyDescent="0.25">
      <c r="A214" s="46">
        <v>44407</v>
      </c>
      <c r="B214" s="3">
        <v>0.36778839571753236</v>
      </c>
      <c r="C214" s="3">
        <v>0.35867420493731611</v>
      </c>
      <c r="D214" s="3">
        <v>0.40876482024040961</v>
      </c>
      <c r="E214" s="3">
        <v>0.38477232801750555</v>
      </c>
      <c r="F214" s="3">
        <v>0.38097260128552402</v>
      </c>
      <c r="G214" s="3">
        <v>0.38776044962730605</v>
      </c>
      <c r="H214" s="3">
        <v>0.33577585173669017</v>
      </c>
    </row>
    <row r="215" spans="1:8" x14ac:dyDescent="0.25">
      <c r="A215" s="46">
        <v>44409</v>
      </c>
      <c r="B215" s="3">
        <v>0.36726857048982831</v>
      </c>
      <c r="C215" s="3">
        <v>0.35777181934299696</v>
      </c>
      <c r="D215" s="3">
        <v>0.40474495523368836</v>
      </c>
      <c r="E215" s="3">
        <v>0.38296983456782513</v>
      </c>
      <c r="F215" s="3">
        <v>0.38047003147012393</v>
      </c>
      <c r="G215" s="3">
        <v>0.38955574635774953</v>
      </c>
      <c r="H215" s="3">
        <v>0.33597353633104243</v>
      </c>
    </row>
    <row r="216" spans="1:8" x14ac:dyDescent="0.25">
      <c r="A216" s="46">
        <v>44410</v>
      </c>
      <c r="B216" s="3">
        <v>0.36625917205125397</v>
      </c>
      <c r="C216" s="3">
        <v>0.35587075034928639</v>
      </c>
      <c r="D216" s="3">
        <v>0.39983709341802648</v>
      </c>
      <c r="E216" s="3">
        <v>0.3822685806646029</v>
      </c>
      <c r="F216" s="3">
        <v>0.37896885187518831</v>
      </c>
      <c r="G216" s="3">
        <v>0.38915487079847028</v>
      </c>
      <c r="H216" s="3">
        <v>0.33697230364627567</v>
      </c>
    </row>
    <row r="217" spans="1:8" x14ac:dyDescent="0.25">
      <c r="A217" s="46">
        <v>44411</v>
      </c>
      <c r="B217" s="3">
        <v>0.36405065023956196</v>
      </c>
      <c r="C217" s="3">
        <v>0.35406968581457066</v>
      </c>
      <c r="D217" s="3">
        <v>0.40472279260780286</v>
      </c>
      <c r="E217" s="3">
        <v>0.38146734012498928</v>
      </c>
      <c r="F217" s="3">
        <v>0.37596781097508775</v>
      </c>
      <c r="G217" s="3">
        <v>0.38745548771101646</v>
      </c>
      <c r="H217" s="3">
        <v>0.33427138087492508</v>
      </c>
    </row>
    <row r="218" spans="1:8" x14ac:dyDescent="0.25">
      <c r="A218" s="46">
        <v>44412</v>
      </c>
      <c r="B218" s="3">
        <v>0.36274160871707822</v>
      </c>
      <c r="C218" s="3">
        <v>0.35186866922808241</v>
      </c>
      <c r="D218" s="3">
        <v>0.40970815309642444</v>
      </c>
      <c r="E218" s="3">
        <v>0.37696643449555867</v>
      </c>
      <c r="F218" s="3">
        <v>0.37146692417798416</v>
      </c>
      <c r="G218" s="3">
        <v>0.38655519675989275</v>
      </c>
      <c r="H218" s="3">
        <v>0.33017060124783415</v>
      </c>
    </row>
    <row r="219" spans="1:8" x14ac:dyDescent="0.25">
      <c r="A219" s="46">
        <v>44413</v>
      </c>
      <c r="B219" s="3">
        <v>0.36223204752648724</v>
      </c>
      <c r="C219" s="3">
        <v>0.34966766771565644</v>
      </c>
      <c r="D219" s="3">
        <v>0.40370137158814029</v>
      </c>
      <c r="E219" s="3">
        <v>0.37396542100559194</v>
      </c>
      <c r="F219" s="3">
        <v>0.36996579083440917</v>
      </c>
      <c r="G219" s="3">
        <v>0.38355733280426357</v>
      </c>
      <c r="H219" s="3">
        <v>0.3274697202655919</v>
      </c>
    </row>
    <row r="220" spans="1:8" x14ac:dyDescent="0.25">
      <c r="A220" s="46">
        <v>44417</v>
      </c>
      <c r="B220" s="3">
        <v>0.36089348772275598</v>
      </c>
      <c r="C220" s="3">
        <v>0.35096274025702751</v>
      </c>
      <c r="D220" s="3">
        <v>0.40016013796501598</v>
      </c>
      <c r="E220" s="3">
        <v>0.3739602987354082</v>
      </c>
      <c r="F220" s="3">
        <v>0.37076063842537266</v>
      </c>
      <c r="G220" s="3">
        <v>0.38285290123520133</v>
      </c>
      <c r="H220" s="3">
        <v>0.32696528793176072</v>
      </c>
    </row>
    <row r="221" spans="1:8" x14ac:dyDescent="0.25">
      <c r="A221" s="46">
        <v>44418</v>
      </c>
      <c r="B221" s="3">
        <v>0.36468028030220079</v>
      </c>
      <c r="C221" s="3">
        <v>0.35346126451895682</v>
      </c>
      <c r="D221" s="3">
        <v>0.40464524252709955</v>
      </c>
      <c r="E221" s="3">
        <v>0.37735864562787641</v>
      </c>
      <c r="F221" s="3">
        <v>0.37495890861275477</v>
      </c>
      <c r="G221" s="3">
        <v>0.38644738012328023</v>
      </c>
      <c r="H221" s="3">
        <v>0.32906393819855356</v>
      </c>
    </row>
    <row r="222" spans="1:8" x14ac:dyDescent="0.25">
      <c r="A222" s="46">
        <v>44419</v>
      </c>
      <c r="B222" s="3">
        <v>0.36616894314729148</v>
      </c>
      <c r="C222" s="3">
        <v>0.35525985077028965</v>
      </c>
      <c r="D222" s="3">
        <v>0.40463416637013111</v>
      </c>
      <c r="E222" s="3">
        <v>0.37805727434913178</v>
      </c>
      <c r="F222" s="3">
        <v>0.37545756815154446</v>
      </c>
      <c r="G222" s="3">
        <v>0.38654594089819155</v>
      </c>
      <c r="H222" s="3">
        <v>0.33026267579348911</v>
      </c>
    </row>
    <row r="223" spans="1:8" x14ac:dyDescent="0.25">
      <c r="A223" s="46">
        <v>44420</v>
      </c>
      <c r="B223" s="3">
        <v>0.36985547708983418</v>
      </c>
      <c r="C223" s="3">
        <v>0.35675845963141278</v>
      </c>
      <c r="D223" s="3">
        <v>0.40662122953960694</v>
      </c>
      <c r="E223" s="3">
        <v>0.38395529287685681</v>
      </c>
      <c r="F223" s="3">
        <v>0.37895587500085604</v>
      </c>
      <c r="G223" s="3">
        <v>0.39093944120625018</v>
      </c>
      <c r="H223" s="3">
        <v>0.33796064841764994</v>
      </c>
    </row>
    <row r="224" spans="1:8" x14ac:dyDescent="0.25">
      <c r="A224" s="46">
        <v>44421</v>
      </c>
      <c r="B224" s="3">
        <v>0.36115368824414945</v>
      </c>
      <c r="C224" s="3">
        <v>0.35115790915472456</v>
      </c>
      <c r="D224" s="3">
        <v>0.40561105788969481</v>
      </c>
      <c r="E224" s="3">
        <v>0.37745475713527488</v>
      </c>
      <c r="F224" s="3">
        <v>0.37395517660554384</v>
      </c>
      <c r="G224" s="3">
        <v>0.38754211633515195</v>
      </c>
      <c r="H224" s="3">
        <v>0.33246015032444742</v>
      </c>
    </row>
    <row r="225" spans="1:8" x14ac:dyDescent="0.25">
      <c r="A225" s="46" t="s">
        <v>34</v>
      </c>
      <c r="B225" s="3">
        <v>89.079034272976443</v>
      </c>
      <c r="C225" s="3">
        <v>84.386279200305637</v>
      </c>
      <c r="D225" s="3">
        <v>95.088635734118739</v>
      </c>
      <c r="E225" s="3">
        <v>82.328582716844977</v>
      </c>
      <c r="F225" s="3">
        <v>78.292059854052255</v>
      </c>
      <c r="G225" s="3">
        <v>53.024995448207356</v>
      </c>
      <c r="H225" s="3">
        <v>76.432113388113507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225"/>
  <sheetViews>
    <sheetView workbookViewId="0"/>
  </sheetViews>
  <sheetFormatPr baseColWidth="10" defaultRowHeight="15" x14ac:dyDescent="0.25"/>
  <cols>
    <col min="1" max="1" width="17.5703125" bestFit="1" customWidth="1"/>
    <col min="2" max="2" width="14.7109375" bestFit="1" customWidth="1"/>
    <col min="3" max="3" width="21" bestFit="1" customWidth="1"/>
  </cols>
  <sheetData>
    <row r="1" spans="1:2" x14ac:dyDescent="0.25">
      <c r="A1" s="45" t="s">
        <v>33</v>
      </c>
      <c r="B1" t="s">
        <v>38</v>
      </c>
    </row>
    <row r="2" spans="1:2" x14ac:dyDescent="0.25">
      <c r="A2" s="46">
        <v>44088</v>
      </c>
      <c r="B2" s="3">
        <v>0.10157508163756768</v>
      </c>
    </row>
    <row r="3" spans="1:2" x14ac:dyDescent="0.25">
      <c r="A3" s="46">
        <v>44089</v>
      </c>
      <c r="B3" s="3">
        <v>0.11047068378396457</v>
      </c>
    </row>
    <row r="4" spans="1:2" x14ac:dyDescent="0.25">
      <c r="A4" s="46">
        <v>44090</v>
      </c>
      <c r="B4" s="3">
        <v>0.10375366682928688</v>
      </c>
    </row>
    <row r="5" spans="1:2" x14ac:dyDescent="0.25">
      <c r="A5" s="46">
        <v>44091</v>
      </c>
      <c r="B5" s="3">
        <v>8.3607358549280975E-2</v>
      </c>
    </row>
    <row r="6" spans="1:2" x14ac:dyDescent="0.25">
      <c r="A6" s="46">
        <v>44092</v>
      </c>
      <c r="B6" s="3">
        <v>8.8031091786280546E-2</v>
      </c>
    </row>
    <row r="7" spans="1:2" x14ac:dyDescent="0.25">
      <c r="A7" s="46">
        <v>44095</v>
      </c>
      <c r="B7" s="3">
        <v>8.7392175878021172E-2</v>
      </c>
    </row>
    <row r="8" spans="1:2" x14ac:dyDescent="0.25">
      <c r="A8" s="46">
        <v>44096</v>
      </c>
      <c r="B8" s="3">
        <v>9.5888866448541221E-2</v>
      </c>
    </row>
    <row r="9" spans="1:2" x14ac:dyDescent="0.25">
      <c r="A9" s="46">
        <v>44097</v>
      </c>
      <c r="B9" s="3">
        <v>8.8877133739933833E-2</v>
      </c>
    </row>
    <row r="10" spans="1:2" x14ac:dyDescent="0.25">
      <c r="A10" s="46">
        <v>44098</v>
      </c>
      <c r="B10" s="3">
        <v>8.6912132689960342E-2</v>
      </c>
    </row>
    <row r="11" spans="1:2" x14ac:dyDescent="0.25">
      <c r="A11" s="46">
        <v>44099</v>
      </c>
      <c r="B11" s="3">
        <v>8.3410621243769079E-2</v>
      </c>
    </row>
    <row r="12" spans="1:2" x14ac:dyDescent="0.25">
      <c r="A12" s="46">
        <v>44102</v>
      </c>
      <c r="B12" s="3">
        <v>9.1403055588593574E-2</v>
      </c>
    </row>
    <row r="13" spans="1:2" x14ac:dyDescent="0.25">
      <c r="A13" s="46">
        <v>44103</v>
      </c>
      <c r="B13" s="3">
        <v>8.793292056361246E-2</v>
      </c>
    </row>
    <row r="14" spans="1:2" x14ac:dyDescent="0.25">
      <c r="A14" s="46">
        <v>44104</v>
      </c>
      <c r="B14" s="3">
        <v>9.2152380706093717E-2</v>
      </c>
    </row>
    <row r="15" spans="1:2" x14ac:dyDescent="0.25">
      <c r="A15" s="46">
        <v>44105</v>
      </c>
      <c r="B15" s="3">
        <v>8.8565463224291485E-2</v>
      </c>
    </row>
    <row r="16" spans="1:2" x14ac:dyDescent="0.25">
      <c r="A16" s="46">
        <v>44106</v>
      </c>
      <c r="B16" s="3">
        <v>7.6474159657646201E-2</v>
      </c>
    </row>
    <row r="17" spans="1:2" x14ac:dyDescent="0.25">
      <c r="A17" s="46">
        <v>44109</v>
      </c>
      <c r="B17" s="3">
        <v>8.3190018966398271E-2</v>
      </c>
    </row>
    <row r="18" spans="1:2" x14ac:dyDescent="0.25">
      <c r="A18" s="46">
        <v>44110</v>
      </c>
      <c r="B18" s="3">
        <v>7.9348421499182642E-2</v>
      </c>
    </row>
    <row r="19" spans="1:2" x14ac:dyDescent="0.25">
      <c r="A19" s="46">
        <v>44111</v>
      </c>
      <c r="B19" s="3">
        <v>8.1244993237377439E-2</v>
      </c>
    </row>
    <row r="20" spans="1:2" x14ac:dyDescent="0.25">
      <c r="A20" s="46">
        <v>44112</v>
      </c>
      <c r="B20" s="3">
        <v>9.5816269998499626E-2</v>
      </c>
    </row>
    <row r="21" spans="1:2" x14ac:dyDescent="0.25">
      <c r="A21" s="46">
        <v>44113</v>
      </c>
      <c r="B21" s="3">
        <v>9.4292762955801024E-2</v>
      </c>
    </row>
    <row r="22" spans="1:2" x14ac:dyDescent="0.25">
      <c r="A22" s="46">
        <v>44117</v>
      </c>
      <c r="B22" s="3">
        <v>9.4731579967095525E-2</v>
      </c>
    </row>
    <row r="23" spans="1:2" x14ac:dyDescent="0.25">
      <c r="A23" s="46">
        <v>44118</v>
      </c>
      <c r="B23" s="3">
        <v>0.10522911492246134</v>
      </c>
    </row>
    <row r="24" spans="1:2" x14ac:dyDescent="0.25">
      <c r="A24" s="46">
        <v>44119</v>
      </c>
      <c r="B24" s="3">
        <v>0.10268956941753737</v>
      </c>
    </row>
    <row r="25" spans="1:2" x14ac:dyDescent="0.25">
      <c r="A25" s="46">
        <v>44120</v>
      </c>
      <c r="B25" s="3">
        <v>0.11512392985606795</v>
      </c>
    </row>
    <row r="26" spans="1:2" x14ac:dyDescent="0.25">
      <c r="A26" s="46">
        <v>44123</v>
      </c>
      <c r="B26" s="3">
        <v>9.5950520727334454E-2</v>
      </c>
    </row>
    <row r="27" spans="1:2" x14ac:dyDescent="0.25">
      <c r="A27" s="46">
        <v>44124</v>
      </c>
      <c r="B27" s="3">
        <v>9.990481391945577E-2</v>
      </c>
    </row>
    <row r="28" spans="1:2" x14ac:dyDescent="0.25">
      <c r="A28" s="46">
        <v>44125</v>
      </c>
      <c r="B28" s="3">
        <v>0.10638683949712235</v>
      </c>
    </row>
    <row r="29" spans="1:2" x14ac:dyDescent="0.25">
      <c r="A29" s="46">
        <v>44126</v>
      </c>
      <c r="B29" s="3">
        <v>0.13713535185325593</v>
      </c>
    </row>
    <row r="30" spans="1:2" x14ac:dyDescent="0.25">
      <c r="A30" s="46">
        <v>44127</v>
      </c>
      <c r="B30" s="3">
        <v>0.15169866020457595</v>
      </c>
    </row>
    <row r="31" spans="1:2" x14ac:dyDescent="0.25">
      <c r="A31" s="46">
        <v>44130</v>
      </c>
      <c r="B31" s="3">
        <v>0.13902664302134038</v>
      </c>
    </row>
    <row r="32" spans="1:2" x14ac:dyDescent="0.25">
      <c r="A32" s="46">
        <v>44131</v>
      </c>
      <c r="B32" s="3">
        <v>0.11286877659516209</v>
      </c>
    </row>
    <row r="33" spans="1:2" x14ac:dyDescent="0.25">
      <c r="A33" s="46">
        <v>44132</v>
      </c>
      <c r="B33" s="3">
        <v>0.14516949889878261</v>
      </c>
    </row>
    <row r="34" spans="1:2" x14ac:dyDescent="0.25">
      <c r="A34" s="46">
        <v>44133</v>
      </c>
      <c r="B34" s="3">
        <v>0.13346779835001549</v>
      </c>
    </row>
    <row r="35" spans="1:2" x14ac:dyDescent="0.25">
      <c r="A35" s="46">
        <v>44134</v>
      </c>
      <c r="B35" s="3">
        <v>0.13294337077157015</v>
      </c>
    </row>
    <row r="36" spans="1:2" x14ac:dyDescent="0.25">
      <c r="A36" s="46">
        <v>44137</v>
      </c>
      <c r="B36" s="3">
        <v>0.11509250721201236</v>
      </c>
    </row>
    <row r="37" spans="1:2" x14ac:dyDescent="0.25">
      <c r="A37" s="46">
        <v>44138</v>
      </c>
      <c r="B37" s="3">
        <v>0.110172849846154</v>
      </c>
    </row>
    <row r="38" spans="1:2" x14ac:dyDescent="0.25">
      <c r="A38" s="46">
        <v>44139</v>
      </c>
      <c r="B38" s="3">
        <v>0.1173087664680334</v>
      </c>
    </row>
    <row r="39" spans="1:2" x14ac:dyDescent="0.25">
      <c r="A39" s="46">
        <v>44140</v>
      </c>
      <c r="B39" s="3">
        <v>0.12176341479434571</v>
      </c>
    </row>
    <row r="40" spans="1:2" x14ac:dyDescent="0.25">
      <c r="A40" s="46">
        <v>44141</v>
      </c>
      <c r="B40" s="3">
        <v>0.11289103796949007</v>
      </c>
    </row>
    <row r="41" spans="1:2" x14ac:dyDescent="0.25">
      <c r="A41" s="46">
        <v>44144</v>
      </c>
      <c r="B41" s="3">
        <v>0.11528198353074315</v>
      </c>
    </row>
    <row r="42" spans="1:2" x14ac:dyDescent="0.25">
      <c r="A42" s="46">
        <v>44145</v>
      </c>
      <c r="B42" s="3">
        <v>0.11569925574686835</v>
      </c>
    </row>
    <row r="43" spans="1:2" x14ac:dyDescent="0.25">
      <c r="A43" s="46">
        <v>44146</v>
      </c>
      <c r="B43" s="3">
        <v>0.11086679907217339</v>
      </c>
    </row>
    <row r="44" spans="1:2" x14ac:dyDescent="0.25">
      <c r="A44" s="46">
        <v>44147</v>
      </c>
      <c r="B44" s="3">
        <v>0.1087563534832835</v>
      </c>
    </row>
    <row r="45" spans="1:2" x14ac:dyDescent="0.25">
      <c r="A45" s="46">
        <v>44148</v>
      </c>
      <c r="B45" s="3">
        <v>0.1063427801463448</v>
      </c>
    </row>
    <row r="46" spans="1:2" x14ac:dyDescent="0.25">
      <c r="A46" s="46">
        <v>44151</v>
      </c>
      <c r="B46" s="3">
        <v>0.10099007434201179</v>
      </c>
    </row>
    <row r="47" spans="1:2" x14ac:dyDescent="0.25">
      <c r="A47" s="46">
        <v>44152</v>
      </c>
      <c r="B47" s="3">
        <v>0.10166159179183021</v>
      </c>
    </row>
    <row r="48" spans="1:2" x14ac:dyDescent="0.25">
      <c r="A48" s="46">
        <v>44153</v>
      </c>
      <c r="B48" s="3">
        <v>9.1074240483608015E-2</v>
      </c>
    </row>
    <row r="49" spans="1:2" x14ac:dyDescent="0.25">
      <c r="A49" s="46">
        <v>44154</v>
      </c>
      <c r="B49" s="3">
        <v>9.5066295332293549E-2</v>
      </c>
    </row>
    <row r="50" spans="1:2" x14ac:dyDescent="0.25">
      <c r="A50" s="46">
        <v>44155</v>
      </c>
      <c r="B50" s="3">
        <v>9.0624343914979977E-2</v>
      </c>
    </row>
    <row r="51" spans="1:2" x14ac:dyDescent="0.25">
      <c r="A51" s="46">
        <v>44159</v>
      </c>
      <c r="B51" s="3">
        <v>9.5600662634242772E-2</v>
      </c>
    </row>
    <row r="52" spans="1:2" x14ac:dyDescent="0.25">
      <c r="A52" s="46">
        <v>44160</v>
      </c>
      <c r="B52" s="3">
        <v>9.8537961749969372E-2</v>
      </c>
    </row>
    <row r="53" spans="1:2" x14ac:dyDescent="0.25">
      <c r="A53" s="46">
        <v>44161</v>
      </c>
      <c r="B53" s="3">
        <v>0.10452825250709774</v>
      </c>
    </row>
    <row r="54" spans="1:2" x14ac:dyDescent="0.25">
      <c r="A54" s="46">
        <v>44162</v>
      </c>
      <c r="B54" s="3">
        <v>0.10351617226425536</v>
      </c>
    </row>
    <row r="55" spans="1:2" x14ac:dyDescent="0.25">
      <c r="A55" s="46">
        <v>44165</v>
      </c>
      <c r="B55" s="3">
        <v>9.4024987273803096E-2</v>
      </c>
    </row>
    <row r="56" spans="1:2" x14ac:dyDescent="0.25">
      <c r="A56" s="46">
        <v>44166</v>
      </c>
      <c r="B56" s="3">
        <v>9.8620595911964259E-2</v>
      </c>
    </row>
    <row r="57" spans="1:2" x14ac:dyDescent="0.25">
      <c r="A57" s="46">
        <v>44167</v>
      </c>
      <c r="B57" s="3">
        <v>9.5395490279681583E-2</v>
      </c>
    </row>
    <row r="58" spans="1:2" x14ac:dyDescent="0.25">
      <c r="A58" s="46">
        <v>44168</v>
      </c>
      <c r="B58" s="3">
        <v>9.5384479988118054E-2</v>
      </c>
    </row>
    <row r="59" spans="1:2" x14ac:dyDescent="0.25">
      <c r="A59" s="46">
        <v>44169</v>
      </c>
      <c r="B59" s="3">
        <v>9.4657238591638049E-2</v>
      </c>
    </row>
    <row r="60" spans="1:2" x14ac:dyDescent="0.25">
      <c r="A60" s="46">
        <v>44174</v>
      </c>
      <c r="B60" s="3">
        <v>9.2590892506177747E-2</v>
      </c>
    </row>
    <row r="61" spans="1:2" x14ac:dyDescent="0.25">
      <c r="A61" s="46">
        <v>44175</v>
      </c>
      <c r="B61" s="3">
        <v>8.9777992812799023E-2</v>
      </c>
    </row>
    <row r="62" spans="1:2" x14ac:dyDescent="0.25">
      <c r="A62" s="46">
        <v>44176</v>
      </c>
      <c r="B62" s="3">
        <v>8.9976899411204458E-2</v>
      </c>
    </row>
    <row r="63" spans="1:2" x14ac:dyDescent="0.25">
      <c r="A63" s="46">
        <v>44179</v>
      </c>
      <c r="B63" s="3">
        <v>9.7279811946877404E-2</v>
      </c>
    </row>
    <row r="64" spans="1:2" x14ac:dyDescent="0.25">
      <c r="A64" s="46">
        <v>44180</v>
      </c>
      <c r="B64" s="3">
        <v>9.3246026446545893E-2</v>
      </c>
    </row>
    <row r="65" spans="1:2" x14ac:dyDescent="0.25">
      <c r="A65" s="46">
        <v>44181</v>
      </c>
      <c r="B65" s="3">
        <v>8.9011333649370084E-2</v>
      </c>
    </row>
    <row r="66" spans="1:2" x14ac:dyDescent="0.25">
      <c r="A66" s="46">
        <v>44182</v>
      </c>
      <c r="B66" s="3">
        <v>8.6398170317073808E-2</v>
      </c>
    </row>
    <row r="67" spans="1:2" x14ac:dyDescent="0.25">
      <c r="A67" s="46">
        <v>44183</v>
      </c>
      <c r="B67" s="3">
        <v>8.218587604987404E-2</v>
      </c>
    </row>
    <row r="68" spans="1:2" x14ac:dyDescent="0.25">
      <c r="A68" s="46">
        <v>44186</v>
      </c>
      <c r="B68" s="3">
        <v>9.0501519022236909E-2</v>
      </c>
    </row>
    <row r="69" spans="1:2" x14ac:dyDescent="0.25">
      <c r="A69" s="46">
        <v>44187</v>
      </c>
      <c r="B69" s="3">
        <v>7.774002444882222E-2</v>
      </c>
    </row>
    <row r="70" spans="1:2" x14ac:dyDescent="0.25">
      <c r="A70" s="46">
        <v>44188</v>
      </c>
      <c r="B70" s="3">
        <v>8.51576281750549E-2</v>
      </c>
    </row>
    <row r="71" spans="1:2" x14ac:dyDescent="0.25">
      <c r="A71" s="46">
        <v>44193</v>
      </c>
      <c r="B71" s="3">
        <v>8.5102824510250696E-2</v>
      </c>
    </row>
    <row r="72" spans="1:2" x14ac:dyDescent="0.25">
      <c r="A72" s="46">
        <v>44194</v>
      </c>
      <c r="B72" s="3">
        <v>9.2432783890353476E-2</v>
      </c>
    </row>
    <row r="73" spans="1:2" x14ac:dyDescent="0.25">
      <c r="A73" s="46">
        <v>44195</v>
      </c>
      <c r="B73" s="3">
        <v>9.2126942242221344E-2</v>
      </c>
    </row>
    <row r="74" spans="1:2" x14ac:dyDescent="0.25">
      <c r="A74" s="46">
        <v>44200</v>
      </c>
      <c r="B74" s="3">
        <v>8.5086278019175787E-2</v>
      </c>
    </row>
    <row r="75" spans="1:2" x14ac:dyDescent="0.25">
      <c r="A75" s="46">
        <v>44201</v>
      </c>
      <c r="B75" s="3">
        <v>8.4961648901806297E-2</v>
      </c>
    </row>
    <row r="76" spans="1:2" x14ac:dyDescent="0.25">
      <c r="A76" s="46">
        <v>44202</v>
      </c>
      <c r="B76" s="3">
        <v>9.4503555582779841E-2</v>
      </c>
    </row>
    <row r="77" spans="1:2" x14ac:dyDescent="0.25">
      <c r="A77" s="46">
        <v>44203</v>
      </c>
      <c r="B77" s="3">
        <v>8.3448207649646833E-2</v>
      </c>
    </row>
    <row r="78" spans="1:2" x14ac:dyDescent="0.25">
      <c r="A78" s="46">
        <v>44204</v>
      </c>
      <c r="B78" s="3">
        <v>8.5939062307438085E-2</v>
      </c>
    </row>
    <row r="79" spans="1:2" x14ac:dyDescent="0.25">
      <c r="A79" s="46">
        <v>44207</v>
      </c>
      <c r="B79" s="3">
        <v>8.7912468541521904E-2</v>
      </c>
    </row>
    <row r="80" spans="1:2" x14ac:dyDescent="0.25">
      <c r="A80" s="46">
        <v>44208</v>
      </c>
      <c r="B80" s="3">
        <v>8.4996096456349368E-2</v>
      </c>
    </row>
    <row r="81" spans="1:2" x14ac:dyDescent="0.25">
      <c r="A81" s="46">
        <v>44209</v>
      </c>
      <c r="B81" s="3">
        <v>8.134864578373513E-2</v>
      </c>
    </row>
    <row r="82" spans="1:2" x14ac:dyDescent="0.25">
      <c r="A82" s="46">
        <v>44210</v>
      </c>
      <c r="B82" s="3">
        <v>8.0414695317967855E-2</v>
      </c>
    </row>
    <row r="83" spans="1:2" x14ac:dyDescent="0.25">
      <c r="A83" s="46">
        <v>44211</v>
      </c>
      <c r="B83" s="3">
        <v>8.5321609405744514E-2</v>
      </c>
    </row>
    <row r="84" spans="1:2" x14ac:dyDescent="0.25">
      <c r="A84" s="46">
        <v>44214</v>
      </c>
      <c r="B84" s="3">
        <v>8.3789335542608923E-2</v>
      </c>
    </row>
    <row r="85" spans="1:2" x14ac:dyDescent="0.25">
      <c r="A85" s="46">
        <v>44215</v>
      </c>
      <c r="B85" s="3">
        <v>9.4330362526293898E-2</v>
      </c>
    </row>
    <row r="86" spans="1:2" x14ac:dyDescent="0.25">
      <c r="A86" s="46">
        <v>44216</v>
      </c>
      <c r="B86" s="3">
        <v>9.1808724851490275E-2</v>
      </c>
    </row>
    <row r="87" spans="1:2" x14ac:dyDescent="0.25">
      <c r="A87" s="46">
        <v>44217</v>
      </c>
      <c r="B87" s="3">
        <v>9.8309125870656211E-2</v>
      </c>
    </row>
    <row r="88" spans="1:2" x14ac:dyDescent="0.25">
      <c r="A88" s="46">
        <v>44218</v>
      </c>
      <c r="B88" s="3">
        <v>9.9817447932902037E-2</v>
      </c>
    </row>
    <row r="89" spans="1:2" x14ac:dyDescent="0.25">
      <c r="A89" s="46">
        <v>44221</v>
      </c>
      <c r="B89" s="3">
        <v>9.9479494343490293E-2</v>
      </c>
    </row>
    <row r="90" spans="1:2" x14ac:dyDescent="0.25">
      <c r="A90" s="46">
        <v>44222</v>
      </c>
      <c r="B90" s="3">
        <v>9.7258726756857206E-2</v>
      </c>
    </row>
    <row r="91" spans="1:2" x14ac:dyDescent="0.25">
      <c r="A91" s="46">
        <v>44223</v>
      </c>
      <c r="B91" s="3">
        <v>9.2839601767787328E-2</v>
      </c>
    </row>
    <row r="92" spans="1:2" x14ac:dyDescent="0.25">
      <c r="A92" s="46">
        <v>44224</v>
      </c>
      <c r="B92" s="3">
        <v>9.4729931947468038E-2</v>
      </c>
    </row>
    <row r="93" spans="1:2" x14ac:dyDescent="0.25">
      <c r="A93" s="46">
        <v>44225</v>
      </c>
      <c r="B93" s="3">
        <v>9.68203600800846E-2</v>
      </c>
    </row>
    <row r="94" spans="1:2" x14ac:dyDescent="0.25">
      <c r="A94" s="46">
        <v>44228</v>
      </c>
      <c r="B94" s="3">
        <v>9.5687555681968572E-2</v>
      </c>
    </row>
    <row r="95" spans="1:2" x14ac:dyDescent="0.25">
      <c r="A95" s="46">
        <v>44229</v>
      </c>
      <c r="B95" s="3">
        <v>9.366629355663042E-2</v>
      </c>
    </row>
    <row r="96" spans="1:2" x14ac:dyDescent="0.25">
      <c r="A96" s="46">
        <v>44230</v>
      </c>
      <c r="B96" s="3">
        <v>9.0635237821189429E-2</v>
      </c>
    </row>
    <row r="97" spans="1:2" x14ac:dyDescent="0.25">
      <c r="A97" s="46">
        <v>44231</v>
      </c>
      <c r="B97" s="3">
        <v>9.2244224232489291E-2</v>
      </c>
    </row>
    <row r="98" spans="1:2" x14ac:dyDescent="0.25">
      <c r="A98" s="46">
        <v>44232</v>
      </c>
      <c r="B98" s="3">
        <v>9.9365875823882843E-2</v>
      </c>
    </row>
    <row r="99" spans="1:2" x14ac:dyDescent="0.25">
      <c r="A99" s="46">
        <v>44235</v>
      </c>
      <c r="B99" s="3">
        <v>9.5816918275862528E-2</v>
      </c>
    </row>
    <row r="100" spans="1:2" x14ac:dyDescent="0.25">
      <c r="A100" s="46">
        <v>44236</v>
      </c>
      <c r="B100" s="3">
        <v>9.2793059689657065E-2</v>
      </c>
    </row>
    <row r="101" spans="1:2" x14ac:dyDescent="0.25">
      <c r="A101" s="46">
        <v>44237</v>
      </c>
      <c r="B101" s="3">
        <v>9.5283667954666029E-2</v>
      </c>
    </row>
    <row r="102" spans="1:2" x14ac:dyDescent="0.25">
      <c r="A102" s="46">
        <v>44238</v>
      </c>
      <c r="B102" s="3">
        <v>9.1962408013531283E-2</v>
      </c>
    </row>
    <row r="103" spans="1:2" x14ac:dyDescent="0.25">
      <c r="A103" s="46">
        <v>44239</v>
      </c>
      <c r="B103" s="3">
        <v>9.9578642433751252E-2</v>
      </c>
    </row>
    <row r="104" spans="1:2" x14ac:dyDescent="0.25">
      <c r="A104" s="46">
        <v>44244</v>
      </c>
      <c r="B104" s="3">
        <v>9.6996148951943473E-2</v>
      </c>
    </row>
    <row r="105" spans="1:2" x14ac:dyDescent="0.25">
      <c r="A105" s="46">
        <v>44245</v>
      </c>
      <c r="B105" s="3">
        <v>9.4877763711168683E-2</v>
      </c>
    </row>
    <row r="106" spans="1:2" x14ac:dyDescent="0.25">
      <c r="A106" s="46">
        <v>44246</v>
      </c>
      <c r="B106" s="3">
        <v>9.3566952451772267E-2</v>
      </c>
    </row>
    <row r="107" spans="1:2" x14ac:dyDescent="0.25">
      <c r="A107" s="46">
        <v>44249</v>
      </c>
      <c r="B107" s="3">
        <v>9.804376694746908E-2</v>
      </c>
    </row>
    <row r="108" spans="1:2" x14ac:dyDescent="0.25">
      <c r="A108" s="46">
        <v>44250</v>
      </c>
      <c r="B108" s="3">
        <v>9.2010745640974334E-2</v>
      </c>
    </row>
    <row r="109" spans="1:2" x14ac:dyDescent="0.25">
      <c r="A109" s="46">
        <v>44251</v>
      </c>
      <c r="B109" s="3">
        <v>8.5387528121191103E-2</v>
      </c>
    </row>
    <row r="110" spans="1:2" x14ac:dyDescent="0.25">
      <c r="A110" s="46">
        <v>44252</v>
      </c>
      <c r="B110" s="3">
        <v>8.9395173292685148E-2</v>
      </c>
    </row>
    <row r="111" spans="1:2" x14ac:dyDescent="0.25">
      <c r="A111" s="46">
        <v>44253</v>
      </c>
      <c r="B111" s="3">
        <v>8.5366889711015859E-2</v>
      </c>
    </row>
    <row r="112" spans="1:2" x14ac:dyDescent="0.25">
      <c r="A112" s="46">
        <v>44256</v>
      </c>
      <c r="B112" s="3">
        <v>8.4335491357536096E-2</v>
      </c>
    </row>
    <row r="113" spans="1:2" x14ac:dyDescent="0.25">
      <c r="A113" s="46">
        <v>44257</v>
      </c>
      <c r="B113" s="3">
        <v>8.8811643243135452E-2</v>
      </c>
    </row>
    <row r="114" spans="1:2" x14ac:dyDescent="0.25">
      <c r="A114" s="46">
        <v>44258</v>
      </c>
      <c r="B114" s="3">
        <v>8.8393559254970722E-2</v>
      </c>
    </row>
    <row r="115" spans="1:2" x14ac:dyDescent="0.25">
      <c r="A115" s="46">
        <v>44259</v>
      </c>
      <c r="B115" s="3">
        <v>8.2270062765029406E-2</v>
      </c>
    </row>
    <row r="116" spans="1:2" x14ac:dyDescent="0.25">
      <c r="A116" s="46">
        <v>44260</v>
      </c>
      <c r="B116" s="3">
        <v>6.3594380708153819E-2</v>
      </c>
    </row>
    <row r="117" spans="1:2" x14ac:dyDescent="0.25">
      <c r="A117" s="46">
        <v>44263</v>
      </c>
      <c r="B117" s="3">
        <v>7.921088911602886E-2</v>
      </c>
    </row>
    <row r="118" spans="1:2" x14ac:dyDescent="0.25">
      <c r="A118" s="46">
        <v>44264</v>
      </c>
      <c r="B118" s="3">
        <v>6.4350786721931397E-2</v>
      </c>
    </row>
    <row r="119" spans="1:2" x14ac:dyDescent="0.25">
      <c r="A119" s="46">
        <v>44265</v>
      </c>
      <c r="B119" s="3">
        <v>5.6900401758351427E-2</v>
      </c>
    </row>
    <row r="120" spans="1:2" x14ac:dyDescent="0.25">
      <c r="A120" s="46">
        <v>44266</v>
      </c>
      <c r="B120" s="3">
        <v>5.8097542552336345E-2</v>
      </c>
    </row>
    <row r="121" spans="1:2" x14ac:dyDescent="0.25">
      <c r="A121" s="46">
        <v>44267</v>
      </c>
      <c r="B121" s="3">
        <v>5.4103911982526454E-2</v>
      </c>
    </row>
    <row r="122" spans="1:2" x14ac:dyDescent="0.25">
      <c r="A122" s="46">
        <v>44270</v>
      </c>
      <c r="B122" s="3">
        <v>5.3600902678148543E-2</v>
      </c>
    </row>
    <row r="123" spans="1:2" x14ac:dyDescent="0.25">
      <c r="A123" s="46">
        <v>44271</v>
      </c>
      <c r="B123" s="3">
        <v>6.6131993670978551E-2</v>
      </c>
    </row>
    <row r="124" spans="1:2" x14ac:dyDescent="0.25">
      <c r="A124" s="46">
        <v>44272</v>
      </c>
      <c r="B124" s="3">
        <v>6.2116714493549219E-2</v>
      </c>
    </row>
    <row r="125" spans="1:2" x14ac:dyDescent="0.25">
      <c r="A125" s="46">
        <v>44273</v>
      </c>
      <c r="B125" s="3">
        <v>5.9504247613416772E-2</v>
      </c>
    </row>
    <row r="126" spans="1:2" x14ac:dyDescent="0.25">
      <c r="A126" s="46">
        <v>44274</v>
      </c>
      <c r="B126" s="3">
        <v>5.4587443090758969E-2</v>
      </c>
    </row>
    <row r="127" spans="1:2" x14ac:dyDescent="0.25">
      <c r="A127" s="46">
        <v>44277</v>
      </c>
      <c r="B127" s="3">
        <v>5.2567959098097583E-2</v>
      </c>
    </row>
    <row r="128" spans="1:2" x14ac:dyDescent="0.25">
      <c r="A128" s="46">
        <v>44278</v>
      </c>
      <c r="B128" s="3">
        <v>4.8556649130521434E-2</v>
      </c>
    </row>
    <row r="129" spans="1:2" x14ac:dyDescent="0.25">
      <c r="A129" s="46">
        <v>44280</v>
      </c>
      <c r="B129" s="3">
        <v>4.3104719291219173E-2</v>
      </c>
    </row>
    <row r="130" spans="1:2" x14ac:dyDescent="0.25">
      <c r="A130" s="46">
        <v>44281</v>
      </c>
      <c r="B130" s="3">
        <v>4.8504476298261101E-2</v>
      </c>
    </row>
    <row r="131" spans="1:2" x14ac:dyDescent="0.25">
      <c r="A131" s="46">
        <v>44284</v>
      </c>
      <c r="B131" s="3">
        <v>4.4049866511765678E-2</v>
      </c>
    </row>
    <row r="132" spans="1:2" x14ac:dyDescent="0.25">
      <c r="A132" s="46">
        <v>44285</v>
      </c>
      <c r="B132" s="3">
        <v>4.2939901952240844E-2</v>
      </c>
    </row>
    <row r="133" spans="1:2" x14ac:dyDescent="0.25">
      <c r="A133" s="46">
        <v>44286</v>
      </c>
      <c r="B133" s="3">
        <v>5.3952371070176863E-2</v>
      </c>
    </row>
    <row r="134" spans="1:2" x14ac:dyDescent="0.25">
      <c r="A134" s="46">
        <v>44291</v>
      </c>
      <c r="B134" s="3">
        <v>5.6805330520182107E-2</v>
      </c>
    </row>
    <row r="135" spans="1:2" x14ac:dyDescent="0.25">
      <c r="A135" s="46">
        <v>44292</v>
      </c>
      <c r="B135" s="3">
        <v>5.7892963810026454E-2</v>
      </c>
    </row>
    <row r="136" spans="1:2" x14ac:dyDescent="0.25">
      <c r="A136" s="46">
        <v>44293</v>
      </c>
      <c r="B136" s="3">
        <v>4.7862364581305106E-2</v>
      </c>
    </row>
    <row r="137" spans="1:2" x14ac:dyDescent="0.25">
      <c r="A137" s="46">
        <v>44294</v>
      </c>
      <c r="B137" s="3">
        <v>4.4943526087766861E-2</v>
      </c>
    </row>
    <row r="138" spans="1:2" x14ac:dyDescent="0.25">
      <c r="A138" s="46">
        <v>44295</v>
      </c>
      <c r="B138" s="3">
        <v>4.7240736800055416E-2</v>
      </c>
    </row>
    <row r="139" spans="1:2" x14ac:dyDescent="0.25">
      <c r="A139" s="46">
        <v>44298</v>
      </c>
      <c r="B139" s="3">
        <v>5.183188993131721E-2</v>
      </c>
    </row>
    <row r="140" spans="1:2" x14ac:dyDescent="0.25">
      <c r="A140" s="46">
        <v>44299</v>
      </c>
      <c r="B140" s="3">
        <v>6.4853471985991173E-2</v>
      </c>
    </row>
    <row r="141" spans="1:2" x14ac:dyDescent="0.25">
      <c r="A141" s="46">
        <v>44300</v>
      </c>
      <c r="B141" s="3">
        <v>5.8027163240740809E-2</v>
      </c>
    </row>
    <row r="142" spans="1:2" x14ac:dyDescent="0.25">
      <c r="A142" s="46">
        <v>44301</v>
      </c>
      <c r="B142" s="3">
        <v>5.9813958350176721E-2</v>
      </c>
    </row>
    <row r="143" spans="1:2" x14ac:dyDescent="0.25">
      <c r="A143" s="46">
        <v>44302</v>
      </c>
      <c r="B143" s="3">
        <v>5.8402138104086843E-2</v>
      </c>
    </row>
    <row r="144" spans="1:2" x14ac:dyDescent="0.25">
      <c r="A144" s="46">
        <v>44305</v>
      </c>
      <c r="B144" s="3">
        <v>6.2382316422043393E-2</v>
      </c>
    </row>
    <row r="145" spans="1:2" x14ac:dyDescent="0.25">
      <c r="A145" s="46">
        <v>44306</v>
      </c>
      <c r="B145" s="3">
        <v>6.4273924505807489E-2</v>
      </c>
    </row>
    <row r="146" spans="1:2" x14ac:dyDescent="0.25">
      <c r="A146" s="46">
        <v>44307</v>
      </c>
      <c r="B146" s="3">
        <v>6.0756635545618276E-2</v>
      </c>
    </row>
    <row r="147" spans="1:2" x14ac:dyDescent="0.25">
      <c r="A147" s="46">
        <v>44308</v>
      </c>
      <c r="B147" s="3">
        <v>6.4262965376803149E-2</v>
      </c>
    </row>
    <row r="148" spans="1:2" x14ac:dyDescent="0.25">
      <c r="A148" s="46">
        <v>44309</v>
      </c>
      <c r="B148" s="3">
        <v>7.0253818439259041E-2</v>
      </c>
    </row>
    <row r="149" spans="1:2" x14ac:dyDescent="0.25">
      <c r="A149" s="46">
        <v>44312</v>
      </c>
      <c r="B149" s="3">
        <v>6.7719304441805683E-2</v>
      </c>
    </row>
    <row r="150" spans="1:2" x14ac:dyDescent="0.25">
      <c r="A150" s="46">
        <v>44313</v>
      </c>
      <c r="B150" s="3">
        <v>6.5207183559416904E-2</v>
      </c>
    </row>
    <row r="151" spans="1:2" x14ac:dyDescent="0.25">
      <c r="A151" s="46">
        <v>44314</v>
      </c>
      <c r="B151" s="3">
        <v>6.1694016988932121E-2</v>
      </c>
    </row>
    <row r="152" spans="1:2" x14ac:dyDescent="0.25">
      <c r="A152" s="46">
        <v>44315</v>
      </c>
      <c r="B152" s="3">
        <v>7.019410046478991E-2</v>
      </c>
    </row>
    <row r="153" spans="1:2" x14ac:dyDescent="0.25">
      <c r="A153" s="46">
        <v>44316</v>
      </c>
      <c r="B153" s="3">
        <v>6.1170373710700499E-2</v>
      </c>
    </row>
    <row r="154" spans="1:2" x14ac:dyDescent="0.25">
      <c r="A154" s="46">
        <v>44319</v>
      </c>
      <c r="B154" s="3">
        <v>7.0752801498898954E-2</v>
      </c>
    </row>
    <row r="155" spans="1:2" x14ac:dyDescent="0.25">
      <c r="A155" s="46">
        <v>44320</v>
      </c>
      <c r="B155" s="3">
        <v>3.8388966660144519E-2</v>
      </c>
    </row>
    <row r="156" spans="1:2" x14ac:dyDescent="0.25">
      <c r="A156" s="46">
        <v>44321</v>
      </c>
      <c r="B156" s="3">
        <v>6.0118269619286624E-2</v>
      </c>
    </row>
    <row r="157" spans="1:2" x14ac:dyDescent="0.25">
      <c r="A157" s="46">
        <v>44322</v>
      </c>
      <c r="B157" s="3">
        <v>6.7717323215718883E-2</v>
      </c>
    </row>
    <row r="158" spans="1:2" x14ac:dyDescent="0.25">
      <c r="A158" s="46">
        <v>44323</v>
      </c>
      <c r="B158" s="3">
        <v>6.5601153152006042E-2</v>
      </c>
    </row>
    <row r="159" spans="1:2" x14ac:dyDescent="0.25">
      <c r="A159" s="46">
        <v>44326</v>
      </c>
      <c r="B159" s="3">
        <v>7.3084103450575977E-2</v>
      </c>
    </row>
    <row r="160" spans="1:2" x14ac:dyDescent="0.25">
      <c r="A160" s="46">
        <v>44327</v>
      </c>
      <c r="B160" s="3">
        <v>6.8763846728130129E-2</v>
      </c>
    </row>
    <row r="161" spans="1:2" x14ac:dyDescent="0.25">
      <c r="A161" s="46">
        <v>44328</v>
      </c>
      <c r="B161" s="3">
        <v>6.995966540257087E-2</v>
      </c>
    </row>
    <row r="162" spans="1:2" x14ac:dyDescent="0.25">
      <c r="A162" s="46">
        <v>44329</v>
      </c>
      <c r="B162" s="3">
        <v>6.5542569877261869E-2</v>
      </c>
    </row>
    <row r="163" spans="1:2" x14ac:dyDescent="0.25">
      <c r="A163" s="46">
        <v>44330</v>
      </c>
      <c r="B163" s="3">
        <v>6.5043562901719587E-2</v>
      </c>
    </row>
    <row r="164" spans="1:2" x14ac:dyDescent="0.25">
      <c r="A164" s="46">
        <v>44333</v>
      </c>
      <c r="B164" s="3">
        <v>6.9630503395316234E-2</v>
      </c>
    </row>
    <row r="165" spans="1:2" x14ac:dyDescent="0.25">
      <c r="A165" s="46">
        <v>44334</v>
      </c>
      <c r="B165" s="3">
        <v>6.8014574596720889E-2</v>
      </c>
    </row>
    <row r="166" spans="1:2" x14ac:dyDescent="0.25">
      <c r="A166" s="46">
        <v>44335</v>
      </c>
      <c r="B166" s="3">
        <v>6.5502390169073055E-2</v>
      </c>
    </row>
    <row r="167" spans="1:2" x14ac:dyDescent="0.25">
      <c r="A167" s="46">
        <v>44336</v>
      </c>
      <c r="B167" s="3">
        <v>7.3496295544528023E-2</v>
      </c>
    </row>
    <row r="168" spans="1:2" x14ac:dyDescent="0.25">
      <c r="A168" s="46">
        <v>44337</v>
      </c>
      <c r="B168" s="3">
        <v>6.9885750749789477E-2</v>
      </c>
    </row>
    <row r="169" spans="1:2" x14ac:dyDescent="0.25">
      <c r="A169" s="46">
        <v>44342</v>
      </c>
      <c r="B169" s="3">
        <v>5.943771980959861E-2</v>
      </c>
    </row>
    <row r="170" spans="1:2" x14ac:dyDescent="0.25">
      <c r="A170" s="46">
        <v>44343</v>
      </c>
      <c r="B170" s="3">
        <v>5.7931666507750446E-2</v>
      </c>
    </row>
    <row r="171" spans="1:2" x14ac:dyDescent="0.25">
      <c r="A171" s="46">
        <v>44344</v>
      </c>
      <c r="B171" s="3">
        <v>5.4511145131518057E-2</v>
      </c>
    </row>
    <row r="172" spans="1:2" x14ac:dyDescent="0.25">
      <c r="A172" s="46">
        <v>44347</v>
      </c>
      <c r="B172" s="3">
        <v>6.1387251257222053E-2</v>
      </c>
    </row>
    <row r="173" spans="1:2" x14ac:dyDescent="0.25">
      <c r="A173" s="46">
        <v>44348</v>
      </c>
      <c r="B173" s="3">
        <v>5.9379786087945641E-2</v>
      </c>
    </row>
    <row r="174" spans="1:2" x14ac:dyDescent="0.25">
      <c r="A174" s="46">
        <v>44349</v>
      </c>
      <c r="B174" s="3">
        <v>6.5780359563426649E-2</v>
      </c>
    </row>
    <row r="175" spans="1:2" x14ac:dyDescent="0.25">
      <c r="A175" s="46">
        <v>44350</v>
      </c>
      <c r="B175" s="3">
        <v>7.3370141509268627E-2</v>
      </c>
    </row>
    <row r="176" spans="1:2" x14ac:dyDescent="0.25">
      <c r="A176" s="46">
        <v>44351</v>
      </c>
      <c r="B176" s="3">
        <v>7.1559045197253202E-2</v>
      </c>
    </row>
    <row r="177" spans="1:2" x14ac:dyDescent="0.25">
      <c r="A177" s="46">
        <v>44354</v>
      </c>
      <c r="B177" s="3">
        <v>7.0332869497400863E-2</v>
      </c>
    </row>
    <row r="178" spans="1:2" x14ac:dyDescent="0.25">
      <c r="A178" s="46">
        <v>44355</v>
      </c>
      <c r="B178" s="3">
        <v>6.6323148672167154E-2</v>
      </c>
    </row>
    <row r="179" spans="1:2" x14ac:dyDescent="0.25">
      <c r="A179" s="46">
        <v>44356</v>
      </c>
      <c r="B179" s="3">
        <v>7.6324540218781156E-2</v>
      </c>
    </row>
    <row r="180" spans="1:2" x14ac:dyDescent="0.25">
      <c r="A180" s="46">
        <v>44357</v>
      </c>
      <c r="B180" s="3">
        <v>7.0313116792436847E-2</v>
      </c>
    </row>
    <row r="181" spans="1:2" x14ac:dyDescent="0.25">
      <c r="A181" s="46">
        <v>44358</v>
      </c>
      <c r="B181" s="3">
        <v>7.2308548633930603E-2</v>
      </c>
    </row>
    <row r="182" spans="1:2" x14ac:dyDescent="0.25">
      <c r="A182" s="46">
        <v>44361</v>
      </c>
      <c r="B182" s="3">
        <v>7.277760690192131E-2</v>
      </c>
    </row>
    <row r="183" spans="1:2" x14ac:dyDescent="0.25">
      <c r="A183" s="46">
        <v>44362</v>
      </c>
      <c r="B183" s="3">
        <v>5.7458039828314433E-2</v>
      </c>
    </row>
    <row r="184" spans="1:2" x14ac:dyDescent="0.25">
      <c r="A184" s="46">
        <v>44363</v>
      </c>
      <c r="B184" s="3">
        <v>6.3244978746512026E-2</v>
      </c>
    </row>
    <row r="185" spans="1:2" x14ac:dyDescent="0.25">
      <c r="A185" s="46">
        <v>44364</v>
      </c>
      <c r="B185" s="3">
        <v>6.1232058683786006E-2</v>
      </c>
    </row>
    <row r="186" spans="1:2" x14ac:dyDescent="0.25">
      <c r="A186" s="46">
        <v>44365</v>
      </c>
      <c r="B186" s="3">
        <v>6.3222151447813346E-2</v>
      </c>
    </row>
    <row r="187" spans="1:2" x14ac:dyDescent="0.25">
      <c r="A187" s="46">
        <v>44369</v>
      </c>
      <c r="B187" s="3">
        <v>5.9675329975988012E-2</v>
      </c>
    </row>
    <row r="188" spans="1:2" x14ac:dyDescent="0.25">
      <c r="A188" s="46">
        <v>44370</v>
      </c>
      <c r="B188" s="3">
        <v>5.616270902805387E-2</v>
      </c>
    </row>
    <row r="189" spans="1:2" x14ac:dyDescent="0.25">
      <c r="A189" s="46">
        <v>44371</v>
      </c>
      <c r="B189" s="3">
        <v>4.9648963369861965E-2</v>
      </c>
    </row>
    <row r="190" spans="1:2" x14ac:dyDescent="0.25">
      <c r="A190" s="46">
        <v>44372</v>
      </c>
      <c r="B190" s="3">
        <v>5.2636821770172981E-2</v>
      </c>
    </row>
    <row r="191" spans="1:2" x14ac:dyDescent="0.25">
      <c r="A191" s="46">
        <v>44375</v>
      </c>
      <c r="B191" s="3">
        <v>6.0109094524288142E-2</v>
      </c>
    </row>
    <row r="192" spans="1:2" x14ac:dyDescent="0.25">
      <c r="A192" s="46">
        <v>44376</v>
      </c>
      <c r="B192" s="3">
        <v>5.4096570353157514E-2</v>
      </c>
    </row>
    <row r="193" spans="1:2" x14ac:dyDescent="0.25">
      <c r="A193" s="46">
        <v>44377</v>
      </c>
      <c r="B193" s="3">
        <v>5.6587095647844587E-2</v>
      </c>
    </row>
    <row r="194" spans="1:2" x14ac:dyDescent="0.25">
      <c r="A194" s="46">
        <v>44378</v>
      </c>
      <c r="B194" s="3">
        <v>5.6578279235956319E-2</v>
      </c>
    </row>
    <row r="195" spans="1:2" x14ac:dyDescent="0.25">
      <c r="A195" s="46">
        <v>44379</v>
      </c>
      <c r="B195" s="3">
        <v>4.9567820911555982E-2</v>
      </c>
    </row>
    <row r="196" spans="1:2" x14ac:dyDescent="0.25">
      <c r="A196" s="46">
        <v>44382</v>
      </c>
      <c r="B196" s="3">
        <v>4.6538566328723885E-2</v>
      </c>
    </row>
    <row r="197" spans="1:2" x14ac:dyDescent="0.25">
      <c r="A197" s="46">
        <v>44383</v>
      </c>
      <c r="B197" s="3">
        <v>5.2029160186629897E-2</v>
      </c>
    </row>
    <row r="198" spans="1:2" x14ac:dyDescent="0.25">
      <c r="A198" s="46">
        <v>44384</v>
      </c>
      <c r="B198" s="3">
        <v>4.2018939507898367E-2</v>
      </c>
    </row>
    <row r="199" spans="1:2" x14ac:dyDescent="0.25">
      <c r="A199" s="46">
        <v>44385</v>
      </c>
      <c r="B199" s="3">
        <v>3.9909495836880582E-2</v>
      </c>
    </row>
    <row r="200" spans="1:2" x14ac:dyDescent="0.25">
      <c r="A200" s="46">
        <v>44389</v>
      </c>
      <c r="B200" s="3">
        <v>3.8971446100499629E-2</v>
      </c>
    </row>
    <row r="201" spans="1:2" x14ac:dyDescent="0.25">
      <c r="A201" s="46">
        <v>44390</v>
      </c>
      <c r="B201" s="3">
        <v>3.306185670775913E-2</v>
      </c>
    </row>
    <row r="202" spans="1:2" x14ac:dyDescent="0.25">
      <c r="A202" s="46">
        <v>44391</v>
      </c>
      <c r="B202" s="3">
        <v>3.215211004460955E-2</v>
      </c>
    </row>
    <row r="203" spans="1:2" x14ac:dyDescent="0.25">
      <c r="A203" s="46">
        <v>44392</v>
      </c>
      <c r="B203" s="3">
        <v>3.1442548189677844E-2</v>
      </c>
    </row>
    <row r="204" spans="1:2" x14ac:dyDescent="0.25">
      <c r="A204" s="46">
        <v>44393</v>
      </c>
      <c r="B204" s="3">
        <v>2.9532668158422704E-2</v>
      </c>
    </row>
    <row r="205" spans="1:2" x14ac:dyDescent="0.25">
      <c r="A205" s="46">
        <v>44396</v>
      </c>
      <c r="B205" s="3">
        <v>3.2903248689972631E-2</v>
      </c>
    </row>
    <row r="206" spans="1:2" x14ac:dyDescent="0.25">
      <c r="A206" s="46">
        <v>44397</v>
      </c>
      <c r="B206" s="3">
        <v>3.2890940711759575E-2</v>
      </c>
    </row>
    <row r="207" spans="1:2" x14ac:dyDescent="0.25">
      <c r="A207" s="46">
        <v>44398</v>
      </c>
      <c r="B207" s="3">
        <v>2.1883926197377002E-2</v>
      </c>
    </row>
    <row r="208" spans="1:2" x14ac:dyDescent="0.25">
      <c r="A208" s="46">
        <v>44399</v>
      </c>
      <c r="B208" s="3">
        <v>2.3772459288333991E-2</v>
      </c>
    </row>
    <row r="209" spans="1:2" x14ac:dyDescent="0.25">
      <c r="A209" s="46">
        <v>44400</v>
      </c>
      <c r="B209" s="3">
        <v>2.0362983406658652E-2</v>
      </c>
    </row>
    <row r="210" spans="1:2" x14ac:dyDescent="0.25">
      <c r="A210" s="46">
        <v>44403</v>
      </c>
      <c r="B210" s="3">
        <v>2.2333521556059555E-2</v>
      </c>
    </row>
    <row r="211" spans="1:2" x14ac:dyDescent="0.25">
      <c r="A211" s="46">
        <v>44404</v>
      </c>
      <c r="B211" s="3">
        <v>1.9824966368040597E-2</v>
      </c>
    </row>
    <row r="212" spans="1:2" x14ac:dyDescent="0.25">
      <c r="A212" s="46">
        <v>44405</v>
      </c>
      <c r="B212" s="3">
        <v>2.281505274085982E-2</v>
      </c>
    </row>
    <row r="213" spans="1:2" x14ac:dyDescent="0.25">
      <c r="A213" s="46">
        <v>44406</v>
      </c>
      <c r="B213" s="3">
        <v>2.8301593845730555E-2</v>
      </c>
    </row>
    <row r="214" spans="1:2" x14ac:dyDescent="0.25">
      <c r="A214" s="46">
        <v>44407</v>
      </c>
      <c r="B214" s="3">
        <v>2.7792218954885595E-2</v>
      </c>
    </row>
    <row r="215" spans="1:2" x14ac:dyDescent="0.25">
      <c r="A215" s="46">
        <v>44409</v>
      </c>
      <c r="B215" s="3">
        <v>2.4274923763564438E-2</v>
      </c>
    </row>
    <row r="216" spans="1:2" x14ac:dyDescent="0.25">
      <c r="A216" s="46">
        <v>44410</v>
      </c>
      <c r="B216" s="3">
        <v>2.0868241542838173E-2</v>
      </c>
    </row>
    <row r="217" spans="1:2" x14ac:dyDescent="0.25">
      <c r="A217" s="46">
        <v>44411</v>
      </c>
      <c r="B217" s="3">
        <v>2.8754981632715115E-2</v>
      </c>
    </row>
    <row r="218" spans="1:2" x14ac:dyDescent="0.25">
      <c r="A218" s="46">
        <v>44412</v>
      </c>
      <c r="B218" s="3">
        <v>3.8241228918440284E-2</v>
      </c>
    </row>
    <row r="219" spans="1:2" x14ac:dyDescent="0.25">
      <c r="A219" s="46">
        <v>44413</v>
      </c>
      <c r="B219" s="3">
        <v>3.373558075373112E-2</v>
      </c>
    </row>
    <row r="220" spans="1:2" x14ac:dyDescent="0.25">
      <c r="A220" s="46">
        <v>44417</v>
      </c>
      <c r="B220" s="3">
        <v>2.9399499539643326E-2</v>
      </c>
    </row>
    <row r="221" spans="1:2" x14ac:dyDescent="0.25">
      <c r="A221" s="46">
        <v>44418</v>
      </c>
      <c r="B221" s="3">
        <v>2.9686333914344776E-2</v>
      </c>
    </row>
    <row r="222" spans="1:2" x14ac:dyDescent="0.25">
      <c r="A222" s="46">
        <v>44419</v>
      </c>
      <c r="B222" s="3">
        <v>2.9176598218586647E-2</v>
      </c>
    </row>
    <row r="223" spans="1:2" x14ac:dyDescent="0.25">
      <c r="A223" s="46">
        <v>44420</v>
      </c>
      <c r="B223" s="3">
        <v>2.7665354538750908E-2</v>
      </c>
    </row>
    <row r="224" spans="1:2" x14ac:dyDescent="0.25">
      <c r="A224" s="46">
        <v>44421</v>
      </c>
      <c r="B224" s="3">
        <v>3.1655881284150977E-2</v>
      </c>
    </row>
    <row r="225" spans="1:2" x14ac:dyDescent="0.25">
      <c r="A225" s="46" t="s">
        <v>34</v>
      </c>
      <c r="B225" s="44">
        <v>16.796575880066513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205"/>
  <sheetViews>
    <sheetView workbookViewId="0"/>
  </sheetViews>
  <sheetFormatPr baseColWidth="10" defaultRowHeight="15" x14ac:dyDescent="0.25"/>
  <cols>
    <col min="1" max="1" width="17.5703125" bestFit="1" customWidth="1"/>
    <col min="2" max="2" width="14.7109375" customWidth="1"/>
    <col min="3" max="21" width="9.7109375" bestFit="1" customWidth="1"/>
    <col min="22" max="35" width="10.7109375" customWidth="1"/>
    <col min="36" max="41" width="9.7109375" bestFit="1" customWidth="1"/>
    <col min="42" max="55" width="10.7109375" customWidth="1"/>
    <col min="56" max="60" width="9.7109375" bestFit="1" customWidth="1"/>
    <col min="61" max="73" width="10.7109375" customWidth="1"/>
    <col min="74" max="78" width="8.7109375" bestFit="1" customWidth="1"/>
    <col min="79" max="93" width="9.7109375" bestFit="1" customWidth="1"/>
    <col min="94" max="100" width="8.7109375" bestFit="1" customWidth="1"/>
    <col min="101" max="111" width="9.7109375" bestFit="1" customWidth="1"/>
    <col min="112" max="118" width="8.7109375" bestFit="1" customWidth="1"/>
    <col min="119" max="133" width="9.7109375" bestFit="1" customWidth="1"/>
    <col min="134" max="138" width="8.7109375" bestFit="1" customWidth="1"/>
    <col min="139" max="153" width="9.7109375" bestFit="1" customWidth="1"/>
    <col min="154" max="158" width="8.7109375" bestFit="1" customWidth="1"/>
    <col min="159" max="172" width="9.7109375" bestFit="1" customWidth="1"/>
    <col min="173" max="179" width="8.7109375" bestFit="1" customWidth="1"/>
    <col min="180" max="193" width="9.7109375" bestFit="1" customWidth="1"/>
    <col min="194" max="199" width="8.7109375" bestFit="1" customWidth="1"/>
    <col min="200" max="204" width="9.7109375" bestFit="1" customWidth="1"/>
    <col min="205" max="205" width="12.5703125" bestFit="1" customWidth="1"/>
  </cols>
  <sheetData>
    <row r="1" spans="1:2" x14ac:dyDescent="0.25">
      <c r="A1" s="45" t="s">
        <v>33</v>
      </c>
      <c r="B1" t="s">
        <v>40</v>
      </c>
    </row>
    <row r="2" spans="1:2" x14ac:dyDescent="0.25">
      <c r="A2" s="46">
        <v>44088</v>
      </c>
      <c r="B2" s="44">
        <v>1.9660515993591532E-2</v>
      </c>
    </row>
    <row r="3" spans="1:2" x14ac:dyDescent="0.25">
      <c r="A3" s="46">
        <v>44089</v>
      </c>
      <c r="B3" s="44">
        <v>2.3692787890506328E-2</v>
      </c>
    </row>
    <row r="4" spans="1:2" x14ac:dyDescent="0.25">
      <c r="A4" s="46">
        <v>44090</v>
      </c>
      <c r="B4" s="44">
        <v>2.1675781681582129E-2</v>
      </c>
    </row>
    <row r="5" spans="1:2" x14ac:dyDescent="0.25">
      <c r="A5" s="46">
        <v>44091</v>
      </c>
      <c r="B5" s="44">
        <v>-5.0407402292501069E-3</v>
      </c>
    </row>
    <row r="6" spans="1:2" x14ac:dyDescent="0.25">
      <c r="A6" s="46">
        <v>44092</v>
      </c>
      <c r="B6" s="44">
        <v>1.0081202010716606E-3</v>
      </c>
    </row>
    <row r="7" spans="1:2" x14ac:dyDescent="0.25">
      <c r="A7" s="46">
        <v>44095</v>
      </c>
      <c r="B7" s="44">
        <v>-4.0321467038581527E-3</v>
      </c>
    </row>
    <row r="8" spans="1:2" x14ac:dyDescent="0.25">
      <c r="A8" s="46">
        <v>44096</v>
      </c>
      <c r="B8" s="44">
        <v>5.0400441866887968E-3</v>
      </c>
    </row>
    <row r="9" spans="1:2" x14ac:dyDescent="0.25">
      <c r="A9" s="46">
        <v>44097</v>
      </c>
      <c r="B9" s="44">
        <v>-5.0399050012426838E-3</v>
      </c>
    </row>
    <row r="10" spans="1:2" x14ac:dyDescent="0.25">
      <c r="A10" s="46">
        <v>44098</v>
      </c>
      <c r="B10" s="44">
        <v>2.3182922788025917E-3</v>
      </c>
    </row>
    <row r="11" spans="1:2" x14ac:dyDescent="0.25">
      <c r="A11" s="46">
        <v>44099</v>
      </c>
      <c r="B11" s="44">
        <v>1.5723635158644722E-2</v>
      </c>
    </row>
    <row r="12" spans="1:2" x14ac:dyDescent="0.25">
      <c r="A12" s="46">
        <v>44102</v>
      </c>
      <c r="B12" s="44">
        <v>2.0257620941020515E-2</v>
      </c>
    </row>
    <row r="13" spans="1:2" x14ac:dyDescent="0.25">
      <c r="A13" s="46">
        <v>44103</v>
      </c>
      <c r="B13" s="44">
        <v>1.5117210149929616E-2</v>
      </c>
    </row>
    <row r="14" spans="1:2" x14ac:dyDescent="0.25">
      <c r="A14" s="46">
        <v>44104</v>
      </c>
      <c r="B14" s="44">
        <v>2.0558838146777836E-2</v>
      </c>
    </row>
    <row r="15" spans="1:2" x14ac:dyDescent="0.25">
      <c r="A15" s="46">
        <v>44105</v>
      </c>
      <c r="B15" s="44">
        <v>2.0860598028659028E-2</v>
      </c>
    </row>
    <row r="16" spans="1:2" x14ac:dyDescent="0.25">
      <c r="A16" s="46">
        <v>44106</v>
      </c>
      <c r="B16" s="44">
        <v>1.8844561016013228E-2</v>
      </c>
    </row>
    <row r="17" spans="1:2" x14ac:dyDescent="0.25">
      <c r="A17" s="46">
        <v>44109</v>
      </c>
      <c r="B17" s="44">
        <v>2.6198823951632921E-2</v>
      </c>
    </row>
    <row r="18" spans="1:2" x14ac:dyDescent="0.25">
      <c r="A18" s="46">
        <v>44110</v>
      </c>
      <c r="B18" s="44">
        <v>2.3175242932862217E-2</v>
      </c>
    </row>
    <row r="19" spans="1:2" x14ac:dyDescent="0.25">
      <c r="A19" s="46">
        <v>44111</v>
      </c>
      <c r="B19" s="44">
        <v>2.2771566597653614E-2</v>
      </c>
    </row>
    <row r="20" spans="1:2" x14ac:dyDescent="0.25">
      <c r="A20" s="46">
        <v>44112</v>
      </c>
      <c r="B20" s="44">
        <v>3.4559432451830185E-2</v>
      </c>
    </row>
    <row r="21" spans="1:2" x14ac:dyDescent="0.25">
      <c r="A21" s="46">
        <v>44113</v>
      </c>
      <c r="B21" s="44">
        <v>2.9923813730090787E-2</v>
      </c>
    </row>
    <row r="22" spans="1:2" x14ac:dyDescent="0.25">
      <c r="A22" s="46">
        <v>44117</v>
      </c>
      <c r="B22" s="44">
        <v>2.9719025144213485E-2</v>
      </c>
    </row>
    <row r="23" spans="1:2" x14ac:dyDescent="0.25">
      <c r="A23" s="46">
        <v>44118</v>
      </c>
      <c r="B23" s="44">
        <v>3.525888717156106E-2</v>
      </c>
    </row>
    <row r="24" spans="1:2" x14ac:dyDescent="0.25">
      <c r="A24" s="46">
        <v>44119</v>
      </c>
      <c r="B24" s="44">
        <v>1.9140010487676939E-2</v>
      </c>
    </row>
    <row r="25" spans="1:2" x14ac:dyDescent="0.25">
      <c r="A25" s="46">
        <v>44120</v>
      </c>
      <c r="B25" s="44">
        <v>2.7198211624441138E-2</v>
      </c>
    </row>
    <row r="26" spans="1:2" x14ac:dyDescent="0.25">
      <c r="A26" s="46">
        <v>44123</v>
      </c>
      <c r="B26" s="44">
        <v>1.601539862571405E-2</v>
      </c>
    </row>
    <row r="27" spans="1:2" x14ac:dyDescent="0.25">
      <c r="A27" s="46">
        <v>44124</v>
      </c>
      <c r="B27" s="44">
        <v>2.8202439428224479E-2</v>
      </c>
    </row>
    <row r="28" spans="1:2" x14ac:dyDescent="0.25">
      <c r="A28" s="46">
        <v>44125</v>
      </c>
      <c r="B28" s="44">
        <v>3.1424708187312023E-2</v>
      </c>
    </row>
    <row r="29" spans="1:2" x14ac:dyDescent="0.25">
      <c r="A29" s="46">
        <v>44126</v>
      </c>
      <c r="B29" s="44">
        <v>5.9423289183222983E-2</v>
      </c>
    </row>
    <row r="30" spans="1:2" x14ac:dyDescent="0.25">
      <c r="A30" s="46">
        <v>44127</v>
      </c>
      <c r="B30" s="44">
        <v>5.3781628542258764E-2</v>
      </c>
    </row>
    <row r="31" spans="1:2" x14ac:dyDescent="0.25">
      <c r="A31" s="46">
        <v>44130</v>
      </c>
      <c r="B31" s="44">
        <v>6.4854872530625718E-2</v>
      </c>
    </row>
    <row r="32" spans="1:2" x14ac:dyDescent="0.25">
      <c r="A32" s="46">
        <v>44131</v>
      </c>
      <c r="B32" s="44">
        <v>2.0140709063319107E-2</v>
      </c>
    </row>
    <row r="33" spans="1:2" x14ac:dyDescent="0.25">
      <c r="A33" s="46">
        <v>44132</v>
      </c>
      <c r="B33" s="44">
        <v>3.8266291452849932E-2</v>
      </c>
    </row>
    <row r="34" spans="1:2" x14ac:dyDescent="0.25">
      <c r="A34" s="46">
        <v>44133</v>
      </c>
      <c r="B34" s="44">
        <v>1.2587248599884138E-2</v>
      </c>
    </row>
    <row r="35" spans="1:2" x14ac:dyDescent="0.25">
      <c r="A35" s="46">
        <v>44134</v>
      </c>
      <c r="B35" s="44">
        <v>1.6111233723239915E-2</v>
      </c>
    </row>
    <row r="36" spans="1:2" x14ac:dyDescent="0.25">
      <c r="A36" s="46">
        <v>44137</v>
      </c>
      <c r="B36" s="44">
        <v>1.1276930291578169E-2</v>
      </c>
    </row>
    <row r="37" spans="1:2" x14ac:dyDescent="0.25">
      <c r="A37" s="46">
        <v>44138</v>
      </c>
      <c r="B37" s="44">
        <v>-4.0273640075028094E-4</v>
      </c>
    </row>
    <row r="38" spans="1:2" x14ac:dyDescent="0.25">
      <c r="A38" s="46">
        <v>44139</v>
      </c>
      <c r="B38" s="44">
        <v>5.5374727608750174E-3</v>
      </c>
    </row>
    <row r="39" spans="1:2" x14ac:dyDescent="0.25">
      <c r="A39" s="46">
        <v>44140</v>
      </c>
      <c r="B39" s="44">
        <v>1.0067854581563451E-2</v>
      </c>
    </row>
    <row r="40" spans="1:2" x14ac:dyDescent="0.25">
      <c r="A40" s="46">
        <v>44141</v>
      </c>
      <c r="B40" s="44">
        <v>1.9128396083299415E-3</v>
      </c>
    </row>
    <row r="41" spans="1:2" x14ac:dyDescent="0.25">
      <c r="A41" s="46">
        <v>44144</v>
      </c>
      <c r="B41" s="44">
        <v>3.0200231673009892E-3</v>
      </c>
    </row>
    <row r="42" spans="1:2" x14ac:dyDescent="0.25">
      <c r="A42" s="46">
        <v>44145</v>
      </c>
      <c r="B42" s="44">
        <v>1.3489064783915761E-2</v>
      </c>
    </row>
    <row r="43" spans="1:2" x14ac:dyDescent="0.25">
      <c r="A43" s="46">
        <v>44146</v>
      </c>
      <c r="B43" s="44">
        <v>1.4092664092664187E-2</v>
      </c>
    </row>
    <row r="44" spans="1:2" x14ac:dyDescent="0.25">
      <c r="A44" s="46">
        <v>44147</v>
      </c>
      <c r="B44" s="44">
        <v>2.2648299826259655E-2</v>
      </c>
    </row>
    <row r="45" spans="1:2" x14ac:dyDescent="0.25">
      <c r="A45" s="46">
        <v>44148</v>
      </c>
      <c r="B45" s="44">
        <v>1.2582041806850131E-2</v>
      </c>
    </row>
    <row r="46" spans="1:2" x14ac:dyDescent="0.25">
      <c r="A46" s="46">
        <v>44151</v>
      </c>
      <c r="B46" s="44">
        <v>1.0165448779815234E-2</v>
      </c>
    </row>
    <row r="47" spans="1:2" x14ac:dyDescent="0.25">
      <c r="A47" s="46">
        <v>44152</v>
      </c>
      <c r="B47" s="44">
        <v>1.6606463354105816E-2</v>
      </c>
    </row>
    <row r="48" spans="1:2" x14ac:dyDescent="0.25">
      <c r="A48" s="46">
        <v>44153</v>
      </c>
      <c r="B48" s="44">
        <v>1.0064245733035548E-2</v>
      </c>
    </row>
    <row r="49" spans="1:2" x14ac:dyDescent="0.25">
      <c r="A49" s="46">
        <v>44154</v>
      </c>
      <c r="B49" s="44">
        <v>2.2140730120216223E-2</v>
      </c>
    </row>
    <row r="50" spans="1:2" x14ac:dyDescent="0.25">
      <c r="A50" s="46">
        <v>44155</v>
      </c>
      <c r="B50" s="44">
        <v>1.8215280266894562E-2</v>
      </c>
    </row>
    <row r="51" spans="1:2" x14ac:dyDescent="0.25">
      <c r="A51" s="46">
        <v>44159</v>
      </c>
      <c r="B51" s="44">
        <v>1.6703884431946647E-2</v>
      </c>
    </row>
    <row r="52" spans="1:2" x14ac:dyDescent="0.25">
      <c r="A52" s="46">
        <v>44160</v>
      </c>
      <c r="B52" s="44">
        <v>1.6200308761096072E-2</v>
      </c>
    </row>
    <row r="53" spans="1:2" x14ac:dyDescent="0.25">
      <c r="A53" s="46">
        <v>44161</v>
      </c>
      <c r="B53" s="44">
        <v>1.9117849758786998E-2</v>
      </c>
    </row>
    <row r="54" spans="1:2" x14ac:dyDescent="0.25">
      <c r="A54" s="46">
        <v>44162</v>
      </c>
      <c r="B54" s="44">
        <v>2.1431524975190241E-2</v>
      </c>
    </row>
    <row r="55" spans="1:2" x14ac:dyDescent="0.25">
      <c r="A55" s="46">
        <v>44165</v>
      </c>
      <c r="B55" s="44">
        <v>1.9719396896276054E-2</v>
      </c>
    </row>
    <row r="56" spans="1:2" x14ac:dyDescent="0.25">
      <c r="A56" s="46">
        <v>44166</v>
      </c>
      <c r="B56" s="44">
        <v>2.3743109151047381E-2</v>
      </c>
    </row>
    <row r="57" spans="1:2" x14ac:dyDescent="0.25">
      <c r="A57" s="46">
        <v>44167</v>
      </c>
      <c r="B57" s="44">
        <v>2.2535211267605659E-2</v>
      </c>
    </row>
    <row r="58" spans="1:2" x14ac:dyDescent="0.25">
      <c r="A58" s="46">
        <v>44168</v>
      </c>
      <c r="B58" s="44">
        <v>2.2132186759274586E-2</v>
      </c>
    </row>
    <row r="59" spans="1:2" x14ac:dyDescent="0.25">
      <c r="A59" s="46">
        <v>44169</v>
      </c>
      <c r="B59" s="44">
        <v>1.9516026789405561E-2</v>
      </c>
    </row>
    <row r="60" spans="1:2" x14ac:dyDescent="0.25">
      <c r="A60" s="46">
        <v>44174</v>
      </c>
      <c r="B60" s="44">
        <v>1.8105158730158721E-2</v>
      </c>
    </row>
    <row r="61" spans="1:2" x14ac:dyDescent="0.25">
      <c r="A61" s="46">
        <v>44175</v>
      </c>
      <c r="B61" s="44">
        <v>1.3880239190939447E-2</v>
      </c>
    </row>
    <row r="62" spans="1:2" x14ac:dyDescent="0.25">
      <c r="A62" s="46">
        <v>44176</v>
      </c>
      <c r="B62" s="44">
        <v>1.7802424910443593E-2</v>
      </c>
    </row>
    <row r="63" spans="1:2" x14ac:dyDescent="0.25">
      <c r="A63" s="46">
        <v>44179</v>
      </c>
      <c r="B63" s="44">
        <v>2.2125478742457183E-2</v>
      </c>
    </row>
    <row r="64" spans="1:2" x14ac:dyDescent="0.25">
      <c r="A64" s="46">
        <v>44180</v>
      </c>
      <c r="B64" s="44">
        <v>2.1622031189728275E-2</v>
      </c>
    </row>
    <row r="65" spans="1:2" x14ac:dyDescent="0.25">
      <c r="A65" s="46">
        <v>44181</v>
      </c>
      <c r="B65" s="44">
        <v>1.9409009505441555E-2</v>
      </c>
    </row>
    <row r="66" spans="1:2" x14ac:dyDescent="0.25">
      <c r="A66" s="46">
        <v>44182</v>
      </c>
      <c r="B66" s="44">
        <v>1.9106788626845894E-2</v>
      </c>
    </row>
    <row r="67" spans="1:2" x14ac:dyDescent="0.25">
      <c r="A67" s="46">
        <v>44183</v>
      </c>
      <c r="B67" s="44">
        <v>1.7597873102460249E-2</v>
      </c>
    </row>
    <row r="68" spans="1:2" x14ac:dyDescent="0.25">
      <c r="A68" s="46">
        <v>44186</v>
      </c>
      <c r="B68" s="44">
        <v>2.1819559228650143E-2</v>
      </c>
    </row>
    <row r="69" spans="1:2" x14ac:dyDescent="0.25">
      <c r="A69" s="46">
        <v>44187</v>
      </c>
      <c r="B69" s="44">
        <v>1.216633150601909E-2</v>
      </c>
    </row>
    <row r="70" spans="1:2" x14ac:dyDescent="0.25">
      <c r="A70" s="46">
        <v>44188</v>
      </c>
      <c r="B70" s="44">
        <v>1.739435843755166E-2</v>
      </c>
    </row>
    <row r="71" spans="1:2" x14ac:dyDescent="0.25">
      <c r="A71" s="46">
        <v>44193</v>
      </c>
      <c r="B71" s="44">
        <v>1.7693557716142894E-2</v>
      </c>
    </row>
    <row r="72" spans="1:2" x14ac:dyDescent="0.25">
      <c r="A72" s="46">
        <v>44194</v>
      </c>
      <c r="B72" s="44">
        <v>2.4428500605927106E-2</v>
      </c>
    </row>
    <row r="73" spans="1:2" x14ac:dyDescent="0.25">
      <c r="A73" s="46">
        <v>44195</v>
      </c>
      <c r="B73" s="44">
        <v>2.5634140295794416E-2</v>
      </c>
    </row>
    <row r="74" spans="1:2" x14ac:dyDescent="0.25">
      <c r="A74" s="46">
        <v>44200</v>
      </c>
      <c r="B74" s="44">
        <v>1.7589634851572389E-2</v>
      </c>
    </row>
    <row r="75" spans="1:2" x14ac:dyDescent="0.25">
      <c r="A75" s="46">
        <v>44201</v>
      </c>
      <c r="B75" s="44">
        <v>1.5578961861489715E-2</v>
      </c>
    </row>
    <row r="76" spans="1:2" x14ac:dyDescent="0.25">
      <c r="A76" s="46">
        <v>44202</v>
      </c>
      <c r="B76" s="44">
        <v>2.3619065976429154E-2</v>
      </c>
    </row>
    <row r="77" spans="1:2" x14ac:dyDescent="0.25">
      <c r="A77" s="46">
        <v>44203</v>
      </c>
      <c r="B77" s="44">
        <v>1.7789189635707803E-2</v>
      </c>
    </row>
    <row r="78" spans="1:2" x14ac:dyDescent="0.25">
      <c r="A78" s="46">
        <v>44204</v>
      </c>
      <c r="B78" s="44">
        <v>2.1607742717109968E-2</v>
      </c>
    </row>
    <row r="79" spans="1:2" x14ac:dyDescent="0.25">
      <c r="A79" s="46">
        <v>44207</v>
      </c>
      <c r="B79" s="44">
        <v>2.3414828886869854E-2</v>
      </c>
    </row>
    <row r="80" spans="1:2" x14ac:dyDescent="0.25">
      <c r="A80" s="46">
        <v>44208</v>
      </c>
      <c r="B80" s="44">
        <v>2.0700952590716359E-2</v>
      </c>
    </row>
    <row r="81" spans="1:2" x14ac:dyDescent="0.25">
      <c r="A81" s="46">
        <v>44209</v>
      </c>
      <c r="B81" s="44">
        <v>1.6680890895575839E-2</v>
      </c>
    </row>
    <row r="82" spans="1:2" x14ac:dyDescent="0.25">
      <c r="A82" s="46">
        <v>44210</v>
      </c>
      <c r="B82" s="44">
        <v>1.4369287523400498E-2</v>
      </c>
    </row>
    <row r="83" spans="1:2" x14ac:dyDescent="0.25">
      <c r="A83" s="46">
        <v>44211</v>
      </c>
      <c r="B83" s="44">
        <v>1.9292498279421921E-2</v>
      </c>
    </row>
    <row r="84" spans="1:2" x14ac:dyDescent="0.25">
      <c r="A84" s="46">
        <v>44214</v>
      </c>
      <c r="B84" s="44">
        <v>1.9089958158995779E-2</v>
      </c>
    </row>
    <row r="85" spans="1:2" x14ac:dyDescent="0.25">
      <c r="A85" s="46">
        <v>44215</v>
      </c>
      <c r="B85" s="44">
        <v>2.9136502518649021E-2</v>
      </c>
    </row>
    <row r="86" spans="1:2" x14ac:dyDescent="0.25">
      <c r="A86" s="46">
        <v>44216</v>
      </c>
      <c r="B86" s="44">
        <v>2.9135700522983754E-2</v>
      </c>
    </row>
    <row r="87" spans="1:2" x14ac:dyDescent="0.25">
      <c r="A87" s="46">
        <v>44217</v>
      </c>
      <c r="B87" s="44">
        <v>3.164652775866339E-2</v>
      </c>
    </row>
    <row r="88" spans="1:2" x14ac:dyDescent="0.25">
      <c r="A88" s="46">
        <v>44218</v>
      </c>
      <c r="B88" s="44">
        <v>3.5161840801497313E-2</v>
      </c>
    </row>
    <row r="89" spans="1:2" x14ac:dyDescent="0.25">
      <c r="A89" s="46">
        <v>44221</v>
      </c>
      <c r="B89" s="44">
        <v>3.4958029448190431E-2</v>
      </c>
    </row>
    <row r="90" spans="1:2" x14ac:dyDescent="0.25">
      <c r="A90" s="46">
        <v>44222</v>
      </c>
      <c r="B90" s="44">
        <v>3.3148943196829539E-2</v>
      </c>
    </row>
    <row r="91" spans="1:2" x14ac:dyDescent="0.25">
      <c r="A91" s="46">
        <v>44223</v>
      </c>
      <c r="B91" s="44">
        <v>3.1741750832484761E-2</v>
      </c>
    </row>
    <row r="92" spans="1:2" x14ac:dyDescent="0.25">
      <c r="A92" s="46">
        <v>44224</v>
      </c>
      <c r="B92" s="44">
        <v>3.5658264076173674E-2</v>
      </c>
    </row>
    <row r="93" spans="1:2" x14ac:dyDescent="0.25">
      <c r="A93" s="46">
        <v>44225</v>
      </c>
      <c r="B93" s="44">
        <v>3.4652852307438309E-2</v>
      </c>
    </row>
    <row r="94" spans="1:2" x14ac:dyDescent="0.25">
      <c r="A94" s="46">
        <v>44228</v>
      </c>
      <c r="B94" s="44">
        <v>3.2339992295415732E-2</v>
      </c>
    </row>
    <row r="95" spans="1:2" x14ac:dyDescent="0.25">
      <c r="A95" s="46">
        <v>44229</v>
      </c>
      <c r="B95" s="44">
        <v>2.9125278595602988E-2</v>
      </c>
    </row>
    <row r="96" spans="1:2" x14ac:dyDescent="0.25">
      <c r="A96" s="46">
        <v>44230</v>
      </c>
      <c r="B96" s="44">
        <v>2.6613746423068463E-2</v>
      </c>
    </row>
    <row r="97" spans="1:2" x14ac:dyDescent="0.25">
      <c r="A97" s="46">
        <v>44231</v>
      </c>
      <c r="B97" s="44">
        <v>3.2839455220800673E-2</v>
      </c>
    </row>
    <row r="98" spans="1:2" x14ac:dyDescent="0.25">
      <c r="A98" s="46">
        <v>44232</v>
      </c>
      <c r="B98" s="44">
        <v>4.0571177020855165E-2</v>
      </c>
    </row>
    <row r="99" spans="1:2" x14ac:dyDescent="0.25">
      <c r="A99" s="46">
        <v>44235</v>
      </c>
      <c r="B99" s="44">
        <v>3.5848303942336845E-2</v>
      </c>
    </row>
    <row r="100" spans="1:2" x14ac:dyDescent="0.25">
      <c r="A100" s="46">
        <v>44236</v>
      </c>
      <c r="B100" s="44">
        <v>3.3437414030261348E-2</v>
      </c>
    </row>
    <row r="101" spans="1:2" x14ac:dyDescent="0.25">
      <c r="A101" s="46">
        <v>44237</v>
      </c>
      <c r="B101" s="44">
        <v>3.4038953536353889E-2</v>
      </c>
    </row>
    <row r="102" spans="1:2" x14ac:dyDescent="0.25">
      <c r="A102" s="46">
        <v>44238</v>
      </c>
      <c r="B102" s="44">
        <v>3.4640459947183067E-2</v>
      </c>
    </row>
    <row r="103" spans="1:2" x14ac:dyDescent="0.25">
      <c r="A103" s="46">
        <v>44239</v>
      </c>
      <c r="B103" s="44">
        <v>4.2169834676642981E-2</v>
      </c>
    </row>
    <row r="104" spans="1:2" x14ac:dyDescent="0.25">
      <c r="A104" s="46">
        <v>44244</v>
      </c>
      <c r="B104" s="44">
        <v>3.7244897959183676E-2</v>
      </c>
    </row>
    <row r="105" spans="1:2" x14ac:dyDescent="0.25">
      <c r="A105" s="46">
        <v>44245</v>
      </c>
      <c r="B105" s="44">
        <v>3.2626034819439487E-2</v>
      </c>
    </row>
    <row r="106" spans="1:2" x14ac:dyDescent="0.25">
      <c r="A106" s="46">
        <v>44246</v>
      </c>
      <c r="B106" s="44">
        <v>3.6740924092409311E-2</v>
      </c>
    </row>
    <row r="107" spans="1:2" x14ac:dyDescent="0.25">
      <c r="A107" s="46">
        <v>44249</v>
      </c>
      <c r="B107" s="44">
        <v>4.1656353986194772E-2</v>
      </c>
    </row>
    <row r="108" spans="1:2" x14ac:dyDescent="0.25">
      <c r="A108" s="46">
        <v>44250</v>
      </c>
      <c r="B108" s="44">
        <v>4.1253712462875403E-2</v>
      </c>
    </row>
    <row r="109" spans="1:2" x14ac:dyDescent="0.25">
      <c r="A109" s="46">
        <v>44251</v>
      </c>
      <c r="B109" s="44">
        <v>3.6133644988312952E-2</v>
      </c>
    </row>
    <row r="110" spans="1:2" x14ac:dyDescent="0.25">
      <c r="A110" s="46">
        <v>44252</v>
      </c>
      <c r="B110" s="44">
        <v>4.0950338228015137E-2</v>
      </c>
    </row>
    <row r="111" spans="1:2" x14ac:dyDescent="0.25">
      <c r="A111" s="46">
        <v>44253</v>
      </c>
      <c r="B111" s="44">
        <v>3.4626172079082695E-2</v>
      </c>
    </row>
    <row r="112" spans="1:2" x14ac:dyDescent="0.25">
      <c r="A112" s="46">
        <v>44256</v>
      </c>
      <c r="B112" s="44">
        <v>3.3218311795435829E-2</v>
      </c>
    </row>
    <row r="113" spans="1:2" x14ac:dyDescent="0.25">
      <c r="A113" s="46">
        <v>44257</v>
      </c>
      <c r="B113" s="44">
        <v>3.3217398476808491E-2</v>
      </c>
    </row>
    <row r="114" spans="1:2" x14ac:dyDescent="0.25">
      <c r="A114" s="46">
        <v>44258</v>
      </c>
      <c r="B114" s="44">
        <v>3.2614373694050347E-2</v>
      </c>
    </row>
    <row r="115" spans="1:2" x14ac:dyDescent="0.25">
      <c r="A115" s="46">
        <v>44259</v>
      </c>
      <c r="B115" s="44">
        <v>2.6090781623731907E-2</v>
      </c>
    </row>
    <row r="116" spans="1:2" x14ac:dyDescent="0.25">
      <c r="A116" s="46">
        <v>44260</v>
      </c>
      <c r="B116" s="44">
        <v>9.9342937262880127E-3</v>
      </c>
    </row>
    <row r="117" spans="1:2" x14ac:dyDescent="0.25">
      <c r="A117" s="46">
        <v>44263</v>
      </c>
      <c r="B117" s="44">
        <v>2.919839458998813E-2</v>
      </c>
    </row>
    <row r="118" spans="1:2" x14ac:dyDescent="0.25">
      <c r="A118" s="46">
        <v>44264</v>
      </c>
      <c r="B118" s="44">
        <v>2.0568750343614217E-2</v>
      </c>
    </row>
    <row r="119" spans="1:2" x14ac:dyDescent="0.25">
      <c r="A119" s="46">
        <v>44265</v>
      </c>
      <c r="B119" s="44">
        <v>2.0066521894499534E-2</v>
      </c>
    </row>
    <row r="120" spans="1:2" x14ac:dyDescent="0.25">
      <c r="A120" s="46">
        <v>44266</v>
      </c>
      <c r="B120" s="44">
        <v>2.257421660252884E-2</v>
      </c>
    </row>
    <row r="121" spans="1:2" x14ac:dyDescent="0.25">
      <c r="A121" s="46">
        <v>44267</v>
      </c>
      <c r="B121" s="44">
        <v>2.2974904483109293E-2</v>
      </c>
    </row>
    <row r="122" spans="1:2" x14ac:dyDescent="0.25">
      <c r="A122" s="46">
        <v>44270</v>
      </c>
      <c r="B122" s="44">
        <v>2.2270778364116173E-2</v>
      </c>
    </row>
    <row r="123" spans="1:2" x14ac:dyDescent="0.25">
      <c r="A123" s="46">
        <v>44271</v>
      </c>
      <c r="B123" s="44">
        <v>3.3505565480280386E-2</v>
      </c>
    </row>
    <row r="124" spans="1:2" x14ac:dyDescent="0.25">
      <c r="A124" s="46">
        <v>44272</v>
      </c>
      <c r="B124" s="44">
        <v>3.0194305502116214E-2</v>
      </c>
    </row>
    <row r="125" spans="1:2" x14ac:dyDescent="0.25">
      <c r="A125" s="46">
        <v>44273</v>
      </c>
      <c r="B125" s="44">
        <v>3.0795338994695887E-2</v>
      </c>
    </row>
    <row r="126" spans="1:2" x14ac:dyDescent="0.25">
      <c r="A126" s="46">
        <v>44274</v>
      </c>
      <c r="B126" s="44">
        <v>2.6080026382323873E-2</v>
      </c>
    </row>
    <row r="127" spans="1:2" x14ac:dyDescent="0.25">
      <c r="A127" s="46">
        <v>44277</v>
      </c>
      <c r="B127" s="44">
        <v>2.4573383528894543E-2</v>
      </c>
    </row>
    <row r="128" spans="1:2" x14ac:dyDescent="0.25">
      <c r="A128" s="46">
        <v>44278</v>
      </c>
      <c r="B128" s="44">
        <v>2.7581611343152346E-2</v>
      </c>
    </row>
    <row r="129" spans="1:2" x14ac:dyDescent="0.25">
      <c r="A129" s="46">
        <v>44280</v>
      </c>
      <c r="B129" s="44">
        <v>2.4170192888937791E-2</v>
      </c>
    </row>
    <row r="130" spans="1:2" x14ac:dyDescent="0.25">
      <c r="A130" s="46">
        <v>44281</v>
      </c>
      <c r="B130" s="44">
        <v>2.6075010303613144E-2</v>
      </c>
    </row>
    <row r="131" spans="1:2" x14ac:dyDescent="0.25">
      <c r="A131" s="46">
        <v>44284</v>
      </c>
      <c r="B131" s="44">
        <v>1.9354085389307107E-2</v>
      </c>
    </row>
    <row r="132" spans="1:2" x14ac:dyDescent="0.25">
      <c r="A132" s="46">
        <v>44285</v>
      </c>
      <c r="B132" s="44">
        <v>2.3063820434627347E-2</v>
      </c>
    </row>
    <row r="133" spans="1:2" x14ac:dyDescent="0.25">
      <c r="A133" s="46">
        <v>44286</v>
      </c>
      <c r="B133" s="44">
        <v>2.8578296703296702E-2</v>
      </c>
    </row>
    <row r="134" spans="1:2" x14ac:dyDescent="0.25">
      <c r="A134" s="46">
        <v>44291</v>
      </c>
      <c r="B134" s="44">
        <v>2.6869935448427473E-2</v>
      </c>
    </row>
    <row r="135" spans="1:2" x14ac:dyDescent="0.25">
      <c r="A135" s="46">
        <v>44292</v>
      </c>
      <c r="B135" s="44">
        <v>2.8072295775421696E-2</v>
      </c>
    </row>
    <row r="136" spans="1:2" x14ac:dyDescent="0.25">
      <c r="A136" s="46">
        <v>44293</v>
      </c>
      <c r="B136" s="44">
        <v>2.1153898975471763E-2</v>
      </c>
    </row>
    <row r="137" spans="1:2" x14ac:dyDescent="0.25">
      <c r="A137" s="46">
        <v>44294</v>
      </c>
      <c r="B137" s="44">
        <v>1.6341188749725288E-2</v>
      </c>
    </row>
    <row r="138" spans="1:2" x14ac:dyDescent="0.25">
      <c r="A138" s="46">
        <v>44295</v>
      </c>
      <c r="B138" s="44">
        <v>2.1553736713450011E-2</v>
      </c>
    </row>
    <row r="139" spans="1:2" x14ac:dyDescent="0.25">
      <c r="A139" s="46">
        <v>44298</v>
      </c>
      <c r="B139" s="44">
        <v>2.3556794463363728E-2</v>
      </c>
    </row>
    <row r="140" spans="1:2" x14ac:dyDescent="0.25">
      <c r="A140" s="46">
        <v>44299</v>
      </c>
      <c r="B140" s="44">
        <v>3.508362398044651E-2</v>
      </c>
    </row>
    <row r="141" spans="1:2" x14ac:dyDescent="0.25">
      <c r="A141" s="46">
        <v>44300</v>
      </c>
      <c r="B141" s="44">
        <v>2.8366836930850847E-2</v>
      </c>
    </row>
    <row r="142" spans="1:2" x14ac:dyDescent="0.25">
      <c r="A142" s="46">
        <v>44301</v>
      </c>
      <c r="B142" s="44">
        <v>2.9067691885212132E-2</v>
      </c>
    </row>
    <row r="143" spans="1:2" x14ac:dyDescent="0.25">
      <c r="A143" s="46">
        <v>44302</v>
      </c>
      <c r="B143" s="44">
        <v>2.7162510984182708E-2</v>
      </c>
    </row>
    <row r="144" spans="1:2" x14ac:dyDescent="0.25">
      <c r="A144" s="46">
        <v>44305</v>
      </c>
      <c r="B144" s="44">
        <v>3.1169169938768226E-2</v>
      </c>
    </row>
    <row r="145" spans="1:2" x14ac:dyDescent="0.25">
      <c r="A145" s="46">
        <v>44306</v>
      </c>
      <c r="B145" s="44">
        <v>3.2070291048874322E-2</v>
      </c>
    </row>
    <row r="146" spans="1:2" x14ac:dyDescent="0.25">
      <c r="A146" s="46">
        <v>44307</v>
      </c>
      <c r="B146" s="44">
        <v>2.6056396035254392E-2</v>
      </c>
    </row>
    <row r="147" spans="1:2" x14ac:dyDescent="0.25">
      <c r="A147" s="46">
        <v>44308</v>
      </c>
      <c r="B147" s="44">
        <v>3.2068530009334961E-2</v>
      </c>
    </row>
    <row r="148" spans="1:2" x14ac:dyDescent="0.25">
      <c r="A148" s="46">
        <v>44309</v>
      </c>
      <c r="B148" s="44">
        <v>3.2067649562089906E-2</v>
      </c>
    </row>
    <row r="149" spans="1:2" x14ac:dyDescent="0.25">
      <c r="A149" s="46">
        <v>44312</v>
      </c>
      <c r="B149" s="44">
        <v>2.6654038324273821E-2</v>
      </c>
    </row>
    <row r="150" spans="1:2" x14ac:dyDescent="0.25">
      <c r="A150" s="46">
        <v>44313</v>
      </c>
      <c r="B150" s="44">
        <v>2.4248496993988011E-2</v>
      </c>
    </row>
    <row r="151" spans="1:2" x14ac:dyDescent="0.25">
      <c r="A151" s="46">
        <v>44314</v>
      </c>
      <c r="B151" s="44">
        <v>2.0039530031843611E-2</v>
      </c>
    </row>
    <row r="152" spans="1:2" x14ac:dyDescent="0.25">
      <c r="A152" s="46">
        <v>44315</v>
      </c>
      <c r="B152" s="44">
        <v>2.905652090367572E-2</v>
      </c>
    </row>
    <row r="153" spans="1:2" x14ac:dyDescent="0.25">
      <c r="A153" s="46">
        <v>44316</v>
      </c>
      <c r="B153" s="44">
        <v>2.1541312105407606E-2</v>
      </c>
    </row>
    <row r="154" spans="1:2" x14ac:dyDescent="0.25">
      <c r="A154" s="46">
        <v>44319</v>
      </c>
      <c r="B154" s="44">
        <v>2.795130788021849E-2</v>
      </c>
    </row>
    <row r="155" spans="1:2" x14ac:dyDescent="0.25">
      <c r="A155" s="46">
        <v>44320</v>
      </c>
      <c r="B155" s="44">
        <v>-1.4025360926606667E-3</v>
      </c>
    </row>
    <row r="156" spans="1:2" x14ac:dyDescent="0.25">
      <c r="A156" s="46">
        <v>44321</v>
      </c>
      <c r="B156" s="44">
        <v>2.1538355976396306E-2</v>
      </c>
    </row>
    <row r="157" spans="1:2" x14ac:dyDescent="0.25">
      <c r="A157" s="46">
        <v>44322</v>
      </c>
      <c r="B157" s="44">
        <v>2.6646723021187868E-2</v>
      </c>
    </row>
    <row r="158" spans="1:2" x14ac:dyDescent="0.25">
      <c r="A158" s="46">
        <v>44323</v>
      </c>
      <c r="B158" s="44">
        <v>2.5043225292971427E-2</v>
      </c>
    </row>
    <row r="159" spans="1:2" x14ac:dyDescent="0.25">
      <c r="A159" s="46">
        <v>44326</v>
      </c>
      <c r="B159" s="44">
        <v>3.105104281009885E-2</v>
      </c>
    </row>
    <row r="160" spans="1:2" x14ac:dyDescent="0.25">
      <c r="A160" s="46">
        <v>44327</v>
      </c>
      <c r="B160" s="44">
        <v>2.834581926950408E-2</v>
      </c>
    </row>
    <row r="161" spans="1:2" x14ac:dyDescent="0.25">
      <c r="A161" s="46">
        <v>44328</v>
      </c>
      <c r="B161" s="44">
        <v>2.884583722078915E-2</v>
      </c>
    </row>
    <row r="162" spans="1:2" x14ac:dyDescent="0.25">
      <c r="A162" s="46">
        <v>44329</v>
      </c>
      <c r="B162" s="44">
        <v>2.2635348352221252E-2</v>
      </c>
    </row>
    <row r="163" spans="1:2" x14ac:dyDescent="0.25">
      <c r="A163" s="46">
        <v>44330</v>
      </c>
      <c r="B163" s="44">
        <v>2.0831961365382512E-2</v>
      </c>
    </row>
    <row r="164" spans="1:2" x14ac:dyDescent="0.25">
      <c r="A164" s="46">
        <v>44333</v>
      </c>
      <c r="B164" s="44">
        <v>2.6538535407578168E-2</v>
      </c>
    </row>
    <row r="165" spans="1:2" x14ac:dyDescent="0.25">
      <c r="A165" s="46">
        <v>44334</v>
      </c>
      <c r="B165" s="44">
        <v>2.2532100526777843E-2</v>
      </c>
    </row>
    <row r="166" spans="1:2" x14ac:dyDescent="0.25">
      <c r="A166" s="46">
        <v>44335</v>
      </c>
      <c r="B166" s="44">
        <v>2.6537079206562564E-2</v>
      </c>
    </row>
    <row r="167" spans="1:2" x14ac:dyDescent="0.25">
      <c r="A167" s="46">
        <v>44336</v>
      </c>
      <c r="B167" s="44">
        <v>3.0141289437585705E-2</v>
      </c>
    </row>
    <row r="168" spans="1:2" x14ac:dyDescent="0.25">
      <c r="A168" s="46">
        <v>44337</v>
      </c>
      <c r="B168" s="44">
        <v>3.3745301912156023E-2</v>
      </c>
    </row>
    <row r="169" spans="1:2" x14ac:dyDescent="0.25">
      <c r="A169" s="46">
        <v>44342</v>
      </c>
      <c r="B169" s="44">
        <v>2.8334156243142394E-2</v>
      </c>
    </row>
    <row r="170" spans="1:2" x14ac:dyDescent="0.25">
      <c r="A170" s="46">
        <v>44343</v>
      </c>
      <c r="B170" s="44">
        <v>2.903420467948542E-2</v>
      </c>
    </row>
    <row r="171" spans="1:2" x14ac:dyDescent="0.25">
      <c r="A171" s="46">
        <v>44344</v>
      </c>
      <c r="B171" s="44">
        <v>2.3727302649624249E-2</v>
      </c>
    </row>
    <row r="172" spans="1:2" x14ac:dyDescent="0.25">
      <c r="A172" s="46">
        <v>44347</v>
      </c>
      <c r="B172" s="44">
        <v>2.9031019445434847E-2</v>
      </c>
    </row>
    <row r="173" spans="1:2" x14ac:dyDescent="0.25">
      <c r="A173" s="46">
        <v>44348</v>
      </c>
      <c r="B173" s="44">
        <v>2.9530744336569548E-2</v>
      </c>
    </row>
    <row r="174" spans="1:2" x14ac:dyDescent="0.25">
      <c r="A174" s="46">
        <v>44349</v>
      </c>
      <c r="B174" s="44">
        <v>3.5536022817650725E-2</v>
      </c>
    </row>
    <row r="175" spans="1:2" x14ac:dyDescent="0.25">
      <c r="A175" s="46">
        <v>44350</v>
      </c>
      <c r="B175" s="44">
        <v>3.6035541904343937E-2</v>
      </c>
    </row>
    <row r="176" spans="1:2" x14ac:dyDescent="0.25">
      <c r="A176" s="46">
        <v>44351</v>
      </c>
      <c r="B176" s="44">
        <v>3.6835321541203891E-2</v>
      </c>
    </row>
    <row r="177" spans="1:2" x14ac:dyDescent="0.25">
      <c r="A177" s="46">
        <v>44354</v>
      </c>
      <c r="B177" s="44">
        <v>4.1836678732039057E-2</v>
      </c>
    </row>
    <row r="178" spans="1:2" x14ac:dyDescent="0.25">
      <c r="A178" s="46">
        <v>44355</v>
      </c>
      <c r="B178" s="44">
        <v>3.7531876388165297E-2</v>
      </c>
    </row>
    <row r="179" spans="1:2" x14ac:dyDescent="0.25">
      <c r="A179" s="46">
        <v>44356</v>
      </c>
      <c r="B179" s="44">
        <v>4.7038661913901825E-2</v>
      </c>
    </row>
    <row r="180" spans="1:2" x14ac:dyDescent="0.25">
      <c r="A180" s="46">
        <v>44357</v>
      </c>
      <c r="B180" s="44">
        <v>4.5035781854075863E-2</v>
      </c>
    </row>
    <row r="181" spans="1:2" x14ac:dyDescent="0.25">
      <c r="A181" s="46">
        <v>44358</v>
      </c>
      <c r="B181" s="44">
        <v>5.0038385610879588E-2</v>
      </c>
    </row>
    <row r="182" spans="1:2" x14ac:dyDescent="0.25">
      <c r="A182" s="46">
        <v>44361</v>
      </c>
      <c r="B182" s="44">
        <v>5.4037011651816291E-2</v>
      </c>
    </row>
    <row r="183" spans="1:2" x14ac:dyDescent="0.25">
      <c r="A183" s="46">
        <v>44362</v>
      </c>
      <c r="B183" s="44">
        <v>4.3028292575940319E-2</v>
      </c>
    </row>
    <row r="184" spans="1:2" x14ac:dyDescent="0.25">
      <c r="A184" s="46">
        <v>44363</v>
      </c>
      <c r="B184" s="44">
        <v>4.0125284425802543E-2</v>
      </c>
    </row>
    <row r="185" spans="1:2" x14ac:dyDescent="0.25">
      <c r="A185" s="46">
        <v>44364</v>
      </c>
      <c r="B185" s="44">
        <v>3.7822797302483668E-2</v>
      </c>
    </row>
    <row r="186" spans="1:2" x14ac:dyDescent="0.25">
      <c r="A186" s="46">
        <v>44365</v>
      </c>
      <c r="B186" s="44">
        <v>3.9922969379643125E-2</v>
      </c>
    </row>
    <row r="187" spans="1:2" x14ac:dyDescent="0.25">
      <c r="A187" s="46">
        <v>44369</v>
      </c>
      <c r="B187" s="44">
        <v>3.5516541951045644E-2</v>
      </c>
    </row>
    <row r="188" spans="1:2" x14ac:dyDescent="0.25">
      <c r="A188" s="46">
        <v>44370</v>
      </c>
      <c r="B188" s="44">
        <v>3.0513375726345826E-2</v>
      </c>
    </row>
    <row r="189" spans="1:2" x14ac:dyDescent="0.25">
      <c r="A189" s="46">
        <v>44371</v>
      </c>
      <c r="B189" s="44">
        <v>2.5410442647663511E-2</v>
      </c>
    </row>
    <row r="190" spans="1:2" x14ac:dyDescent="0.25">
      <c r="A190" s="46">
        <v>44372</v>
      </c>
      <c r="B190" s="44">
        <v>2.5509784574905381E-2</v>
      </c>
    </row>
    <row r="191" spans="1:2" x14ac:dyDescent="0.25">
      <c r="A191" s="46">
        <v>44375</v>
      </c>
      <c r="B191" s="44">
        <v>3.2609827619282494E-2</v>
      </c>
    </row>
    <row r="192" spans="1:2" x14ac:dyDescent="0.25">
      <c r="A192" s="46">
        <v>44376</v>
      </c>
      <c r="B192" s="44">
        <v>2.7807618525623468E-2</v>
      </c>
    </row>
    <row r="193" spans="1:2" x14ac:dyDescent="0.25">
      <c r="A193" s="46">
        <v>44377</v>
      </c>
      <c r="B193" s="44">
        <v>3.1907867693403813E-2</v>
      </c>
    </row>
    <row r="194" spans="1:2" x14ac:dyDescent="0.25">
      <c r="A194" s="46">
        <v>44378</v>
      </c>
      <c r="B194" s="44">
        <v>3.7508220979940832E-2</v>
      </c>
    </row>
    <row r="195" spans="1:2" x14ac:dyDescent="0.25">
      <c r="A195" s="46">
        <v>44379</v>
      </c>
      <c r="B195" s="44">
        <v>3.2006138163483466E-2</v>
      </c>
    </row>
    <row r="196" spans="1:2" x14ac:dyDescent="0.25">
      <c r="A196" s="46">
        <v>44382</v>
      </c>
      <c r="B196" s="44">
        <v>3.1503452433143342E-2</v>
      </c>
    </row>
    <row r="197" spans="1:2" x14ac:dyDescent="0.25">
      <c r="A197" s="46">
        <v>44383</v>
      </c>
      <c r="B197" s="44">
        <v>3.500287694879034E-2</v>
      </c>
    </row>
    <row r="198" spans="1:2" x14ac:dyDescent="0.25">
      <c r="A198" s="46">
        <v>44384</v>
      </c>
      <c r="B198" s="44">
        <v>3.3001808318263992E-2</v>
      </c>
    </row>
    <row r="199" spans="1:2" x14ac:dyDescent="0.25">
      <c r="A199" s="46">
        <v>44385</v>
      </c>
      <c r="B199" s="44">
        <v>3.5000958930381687E-2</v>
      </c>
    </row>
    <row r="200" spans="1:2" x14ac:dyDescent="0.25">
      <c r="A200" s="46">
        <v>44389</v>
      </c>
      <c r="B200" s="44">
        <v>3.3497246801632741E-2</v>
      </c>
    </row>
    <row r="201" spans="1:2" x14ac:dyDescent="0.25">
      <c r="A201" s="46">
        <v>44390</v>
      </c>
      <c r="B201" s="44">
        <v>3.2596427788735505E-2</v>
      </c>
    </row>
    <row r="202" spans="1:2" x14ac:dyDescent="0.25">
      <c r="A202" s="46">
        <v>44391</v>
      </c>
      <c r="B202" s="44">
        <v>3.0995754006300502E-2</v>
      </c>
    </row>
    <row r="203" spans="1:2" x14ac:dyDescent="0.25">
      <c r="A203" s="46">
        <v>44392</v>
      </c>
      <c r="B203" s="44">
        <v>3.1294855640168762E-2</v>
      </c>
    </row>
    <row r="204" spans="1:2" x14ac:dyDescent="0.25">
      <c r="A204" s="46">
        <v>44393</v>
      </c>
      <c r="B204" s="44">
        <v>3.3093653271975276E-2</v>
      </c>
    </row>
    <row r="205" spans="1:2" x14ac:dyDescent="0.25">
      <c r="A205" s="46" t="s">
        <v>34</v>
      </c>
      <c r="B205" s="44">
        <v>5.2576708461291668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5"/>
  <sheetViews>
    <sheetView topLeftCell="G6" workbookViewId="0">
      <selection activeCell="A21" sqref="A21"/>
    </sheetView>
  </sheetViews>
  <sheetFormatPr baseColWidth="10" defaultRowHeight="15" x14ac:dyDescent="0.25"/>
  <cols>
    <col min="1" max="1" width="17.5703125" bestFit="1" customWidth="1"/>
    <col min="2" max="2" width="13.7109375" customWidth="1"/>
  </cols>
  <sheetData>
    <row r="1" spans="1:2" x14ac:dyDescent="0.25">
      <c r="A1" s="45" t="s">
        <v>33</v>
      </c>
      <c r="B1" t="s">
        <v>58</v>
      </c>
    </row>
    <row r="2" spans="1:2" x14ac:dyDescent="0.25">
      <c r="A2" s="46">
        <v>44088</v>
      </c>
      <c r="B2" s="44">
        <v>7.6408946896075913E-2</v>
      </c>
    </row>
    <row r="3" spans="1:2" x14ac:dyDescent="0.25">
      <c r="A3" s="46">
        <v>44089</v>
      </c>
      <c r="B3" s="44">
        <v>7.2263132589686974E-2</v>
      </c>
    </row>
    <row r="4" spans="1:2" x14ac:dyDescent="0.25">
      <c r="A4" s="46">
        <v>44090</v>
      </c>
      <c r="B4" s="44">
        <v>7.3068752602384879E-2</v>
      </c>
    </row>
    <row r="5" spans="1:2" x14ac:dyDescent="0.25">
      <c r="A5" s="46">
        <v>44091</v>
      </c>
      <c r="B5" s="44">
        <v>7.1130401104511076E-2</v>
      </c>
    </row>
    <row r="6" spans="1:2" x14ac:dyDescent="0.25">
      <c r="A6" s="46">
        <v>44092</v>
      </c>
      <c r="B6" s="44">
        <v>7.1006845759891579E-2</v>
      </c>
    </row>
    <row r="7" spans="1:2" x14ac:dyDescent="0.25">
      <c r="A7" s="46">
        <v>44095</v>
      </c>
      <c r="B7" s="44">
        <v>7.5007962442151022E-2</v>
      </c>
    </row>
    <row r="8" spans="1:2" x14ac:dyDescent="0.25">
      <c r="A8" s="46">
        <v>44096</v>
      </c>
      <c r="B8" s="44">
        <v>8.3341366226749036E-2</v>
      </c>
    </row>
    <row r="9" spans="1:2" x14ac:dyDescent="0.25">
      <c r="A9" s="46">
        <v>44097</v>
      </c>
      <c r="B9" s="44">
        <v>8.190515026251094E-2</v>
      </c>
    </row>
    <row r="10" spans="1:2" x14ac:dyDescent="0.25">
      <c r="A10" s="46">
        <v>44098</v>
      </c>
      <c r="B10" s="44">
        <v>6.0069652170701482E-2</v>
      </c>
    </row>
    <row r="11" spans="1:2" x14ac:dyDescent="0.25">
      <c r="A11" s="46">
        <v>44099</v>
      </c>
      <c r="B11" s="44">
        <v>5.2672228429483381E-2</v>
      </c>
    </row>
    <row r="12" spans="1:2" x14ac:dyDescent="0.25">
      <c r="A12" s="46">
        <v>44102</v>
      </c>
      <c r="B12" s="44">
        <v>5.6130831403321813E-2</v>
      </c>
    </row>
    <row r="13" spans="1:2" x14ac:dyDescent="0.25">
      <c r="A13" s="46">
        <v>44103</v>
      </c>
      <c r="B13" s="44">
        <v>6.4207367396306447E-2</v>
      </c>
    </row>
    <row r="14" spans="1:2" x14ac:dyDescent="0.25">
      <c r="A14" s="46">
        <v>44104</v>
      </c>
      <c r="B14" s="44">
        <v>5.4376915542813653E-2</v>
      </c>
    </row>
    <row r="15" spans="1:2" x14ac:dyDescent="0.25">
      <c r="A15" s="46">
        <v>44105</v>
      </c>
      <c r="B15" s="44">
        <v>5.7695232638274141E-2</v>
      </c>
    </row>
    <row r="16" spans="1:2" x14ac:dyDescent="0.25">
      <c r="A16" s="46">
        <v>44106</v>
      </c>
      <c r="B16" s="44">
        <v>5.7129118729388362E-2</v>
      </c>
    </row>
    <row r="17" spans="1:2" x14ac:dyDescent="0.25">
      <c r="A17" s="46">
        <v>44109</v>
      </c>
      <c r="B17" s="44">
        <v>6.1995942669218373E-2</v>
      </c>
    </row>
    <row r="18" spans="1:2" x14ac:dyDescent="0.25">
      <c r="A18" s="46">
        <v>44110</v>
      </c>
      <c r="B18" s="44">
        <v>5.6473462396241902E-2</v>
      </c>
    </row>
    <row r="19" spans="1:2" x14ac:dyDescent="0.25">
      <c r="A19" s="46">
        <v>44111</v>
      </c>
      <c r="B19" s="44">
        <v>5.6471541302505535E-2</v>
      </c>
    </row>
    <row r="20" spans="1:2" x14ac:dyDescent="0.25">
      <c r="A20" s="46">
        <v>44112</v>
      </c>
      <c r="B20" s="44">
        <v>5.7453268444155381E-2</v>
      </c>
    </row>
    <row r="21" spans="1:2" x14ac:dyDescent="0.25">
      <c r="A21" s="46">
        <v>44113</v>
      </c>
      <c r="B21" s="44">
        <v>5.9364270193601465E-2</v>
      </c>
    </row>
    <row r="22" spans="1:2" x14ac:dyDescent="0.25">
      <c r="A22" s="46">
        <v>44117</v>
      </c>
      <c r="B22" s="44">
        <v>6.0508405452400327E-2</v>
      </c>
    </row>
    <row r="23" spans="1:2" x14ac:dyDescent="0.25">
      <c r="A23" s="46">
        <v>44118</v>
      </c>
      <c r="B23" s="44">
        <v>5.8159387664793893E-2</v>
      </c>
    </row>
    <row r="24" spans="1:2" x14ac:dyDescent="0.25">
      <c r="A24" s="46">
        <v>44119</v>
      </c>
      <c r="B24" s="44">
        <v>6.8535830623498106E-2</v>
      </c>
    </row>
    <row r="25" spans="1:2" x14ac:dyDescent="0.25">
      <c r="A25" s="46">
        <v>44120</v>
      </c>
      <c r="B25" s="44">
        <v>6.920866776784812E-2</v>
      </c>
    </row>
    <row r="26" spans="1:2" x14ac:dyDescent="0.25">
      <c r="A26" s="46">
        <v>44123</v>
      </c>
      <c r="B26" s="44">
        <v>7.8433769856276092E-2</v>
      </c>
    </row>
    <row r="27" spans="1:2" x14ac:dyDescent="0.25">
      <c r="A27" s="46">
        <v>44124</v>
      </c>
      <c r="B27" s="44">
        <v>5.92912384719263E-2</v>
      </c>
    </row>
    <row r="28" spans="1:2" x14ac:dyDescent="0.25">
      <c r="A28" s="46">
        <v>44125</v>
      </c>
      <c r="B28" s="44">
        <v>6.9457210815807191E-2</v>
      </c>
    </row>
    <row r="29" spans="1:2" x14ac:dyDescent="0.25">
      <c r="A29" s="46">
        <v>44126</v>
      </c>
      <c r="B29" s="44">
        <v>7.3708497852044308E-2</v>
      </c>
    </row>
    <row r="30" spans="1:2" x14ac:dyDescent="0.25">
      <c r="A30" s="46">
        <v>44127</v>
      </c>
      <c r="B30" s="44">
        <v>8.4905490603638389E-2</v>
      </c>
    </row>
    <row r="31" spans="1:2" x14ac:dyDescent="0.25">
      <c r="A31" s="46">
        <v>44130</v>
      </c>
      <c r="B31" s="44">
        <v>6.6164750637692782E-2</v>
      </c>
    </row>
    <row r="32" spans="1:2" x14ac:dyDescent="0.25">
      <c r="A32" s="46">
        <v>44131</v>
      </c>
      <c r="B32" s="44">
        <v>8.0717578920212918E-2</v>
      </c>
    </row>
    <row r="33" spans="1:2" x14ac:dyDescent="0.25">
      <c r="A33" s="46">
        <v>44132</v>
      </c>
      <c r="B33" s="44">
        <v>9.4792672939889744E-2</v>
      </c>
    </row>
    <row r="34" spans="1:2" x14ac:dyDescent="0.25">
      <c r="A34" s="46">
        <v>44133</v>
      </c>
      <c r="B34" s="44">
        <v>0.10726875596990398</v>
      </c>
    </row>
    <row r="35" spans="1:2" x14ac:dyDescent="0.25">
      <c r="A35" s="46">
        <v>44134</v>
      </c>
      <c r="B35" s="44">
        <v>0.10081831690217669</v>
      </c>
    </row>
    <row r="36" spans="1:2" x14ac:dyDescent="0.25">
      <c r="A36" s="46">
        <v>44137</v>
      </c>
      <c r="B36" s="44">
        <v>8.9203116294763629E-2</v>
      </c>
    </row>
    <row r="37" spans="1:2" x14ac:dyDescent="0.25">
      <c r="A37" s="46">
        <v>44138</v>
      </c>
      <c r="B37" s="44">
        <v>9.5763005699041726E-2</v>
      </c>
    </row>
    <row r="38" spans="1:2" x14ac:dyDescent="0.25">
      <c r="A38" s="46">
        <v>44139</v>
      </c>
      <c r="B38" s="44">
        <v>9.5757748002401222E-2</v>
      </c>
    </row>
    <row r="39" spans="1:2" x14ac:dyDescent="0.25">
      <c r="A39" s="46">
        <v>44140</v>
      </c>
      <c r="B39" s="44">
        <v>9.5281732124735452E-2</v>
      </c>
    </row>
    <row r="40" spans="1:2" x14ac:dyDescent="0.25">
      <c r="A40" s="46">
        <v>44141</v>
      </c>
      <c r="B40" s="44">
        <v>9.886803743846817E-2</v>
      </c>
    </row>
    <row r="41" spans="1:2" x14ac:dyDescent="0.25">
      <c r="A41" s="46">
        <v>44144</v>
      </c>
      <c r="B41" s="44">
        <v>8.7241223999743434E-2</v>
      </c>
    </row>
    <row r="42" spans="1:2" x14ac:dyDescent="0.25">
      <c r="A42" s="46">
        <v>44145</v>
      </c>
      <c r="B42" s="44">
        <v>8.3194496502798865E-2</v>
      </c>
    </row>
    <row r="43" spans="1:2" x14ac:dyDescent="0.25">
      <c r="A43" s="46">
        <v>44146</v>
      </c>
      <c r="B43" s="44">
        <v>7.7658423435774671E-2</v>
      </c>
    </row>
    <row r="44" spans="1:2" x14ac:dyDescent="0.25">
      <c r="A44" s="46">
        <v>44147</v>
      </c>
      <c r="B44" s="44">
        <v>7.660027160253402E-2</v>
      </c>
    </row>
    <row r="45" spans="1:2" x14ac:dyDescent="0.25">
      <c r="A45" s="46">
        <v>44148</v>
      </c>
      <c r="B45" s="44">
        <v>8.4353070445800482E-2</v>
      </c>
    </row>
    <row r="46" spans="1:2" x14ac:dyDescent="0.25">
      <c r="A46" s="46">
        <v>44151</v>
      </c>
      <c r="B46" s="44">
        <v>8.0116007324916527E-2</v>
      </c>
    </row>
    <row r="47" spans="1:2" x14ac:dyDescent="0.25">
      <c r="A47" s="46">
        <v>44152</v>
      </c>
      <c r="B47" s="44">
        <v>7.1043900261720305E-2</v>
      </c>
    </row>
    <row r="48" spans="1:2" x14ac:dyDescent="0.25">
      <c r="A48" s="46">
        <v>44153</v>
      </c>
      <c r="B48" s="44">
        <v>6.2495220975608168E-2</v>
      </c>
    </row>
    <row r="49" spans="1:2" x14ac:dyDescent="0.25">
      <c r="A49" s="46">
        <v>44154</v>
      </c>
      <c r="B49" s="44">
        <v>5.6512524714147472E-2</v>
      </c>
    </row>
    <row r="50" spans="1:2" x14ac:dyDescent="0.25">
      <c r="A50" s="46">
        <v>44155</v>
      </c>
      <c r="B50" s="44">
        <v>5.6896791953697068E-2</v>
      </c>
    </row>
    <row r="51" spans="1:2" x14ac:dyDescent="0.25">
      <c r="A51" s="46">
        <v>44159</v>
      </c>
      <c r="B51" s="44">
        <v>6.7087597777788055E-2</v>
      </c>
    </row>
    <row r="52" spans="1:2" x14ac:dyDescent="0.25">
      <c r="A52" s="46">
        <v>44160</v>
      </c>
      <c r="B52" s="44">
        <v>7.2321408018811151E-2</v>
      </c>
    </row>
    <row r="53" spans="1:2" x14ac:dyDescent="0.25">
      <c r="A53" s="46">
        <v>44161</v>
      </c>
      <c r="B53" s="44">
        <v>7.7304156496918353E-2</v>
      </c>
    </row>
    <row r="54" spans="1:2" x14ac:dyDescent="0.25">
      <c r="A54" s="46">
        <v>44162</v>
      </c>
      <c r="B54" s="44">
        <v>6.9775204428788762E-2</v>
      </c>
    </row>
    <row r="55" spans="1:2" x14ac:dyDescent="0.25">
      <c r="A55" s="46">
        <v>44165</v>
      </c>
      <c r="B55" s="44">
        <v>6.4398091894085796E-2</v>
      </c>
    </row>
    <row r="56" spans="1:2" x14ac:dyDescent="0.25">
      <c r="A56" s="46">
        <v>44166</v>
      </c>
      <c r="B56" s="44">
        <v>6.7271756416136586E-2</v>
      </c>
    </row>
    <row r="57" spans="1:2" x14ac:dyDescent="0.25">
      <c r="A57" s="46">
        <v>44167</v>
      </c>
      <c r="B57" s="44">
        <v>6.3853523945776203E-2</v>
      </c>
    </row>
    <row r="58" spans="1:2" x14ac:dyDescent="0.25">
      <c r="A58" s="46">
        <v>44168</v>
      </c>
      <c r="B58" s="44">
        <v>6.3444971324133792E-2</v>
      </c>
    </row>
    <row r="59" spans="1:2" x14ac:dyDescent="0.25">
      <c r="A59" s="46">
        <v>44169</v>
      </c>
      <c r="B59" s="44">
        <v>6.6835039064273127E-2</v>
      </c>
    </row>
    <row r="60" spans="1:2" x14ac:dyDescent="0.25">
      <c r="A60" s="46">
        <v>44174</v>
      </c>
      <c r="B60" s="44">
        <v>7.0182609589966138E-2</v>
      </c>
    </row>
    <row r="61" spans="1:2" x14ac:dyDescent="0.25">
      <c r="A61" s="46">
        <v>44175</v>
      </c>
      <c r="B61" s="44">
        <v>6.829225786979215E-2</v>
      </c>
    </row>
    <row r="62" spans="1:2" x14ac:dyDescent="0.25">
      <c r="A62" s="46">
        <v>44176</v>
      </c>
      <c r="B62" s="44">
        <v>6.5369580570194374E-2</v>
      </c>
    </row>
    <row r="63" spans="1:2" x14ac:dyDescent="0.25">
      <c r="A63" s="46">
        <v>44179</v>
      </c>
      <c r="B63" s="44">
        <v>6.7148657948331136E-2</v>
      </c>
    </row>
    <row r="64" spans="1:2" x14ac:dyDescent="0.25">
      <c r="A64" s="46">
        <v>44180</v>
      </c>
      <c r="B64" s="44">
        <v>6.8621877324303526E-2</v>
      </c>
    </row>
    <row r="65" spans="1:2" x14ac:dyDescent="0.25">
      <c r="A65" s="46">
        <v>44181</v>
      </c>
      <c r="B65" s="44">
        <v>6.6600216499863307E-2</v>
      </c>
    </row>
    <row r="66" spans="1:2" x14ac:dyDescent="0.25">
      <c r="A66" s="46">
        <v>44182</v>
      </c>
      <c r="B66" s="44">
        <v>5.9285788741729573E-2</v>
      </c>
    </row>
    <row r="67" spans="1:2" x14ac:dyDescent="0.25">
      <c r="A67" s="46">
        <v>44183</v>
      </c>
      <c r="B67" s="44">
        <v>5.7783272261354657E-2</v>
      </c>
    </row>
    <row r="68" spans="1:2" x14ac:dyDescent="0.25">
      <c r="A68" s="46">
        <v>44186</v>
      </c>
      <c r="B68" s="44">
        <v>5.4172021479673094E-2</v>
      </c>
    </row>
    <row r="69" spans="1:2" x14ac:dyDescent="0.25">
      <c r="A69" s="46">
        <v>44187</v>
      </c>
      <c r="B69" s="44">
        <v>6.0069942098906148E-2</v>
      </c>
    </row>
    <row r="70" spans="1:2" x14ac:dyDescent="0.25">
      <c r="A70" s="46">
        <v>44188</v>
      </c>
      <c r="B70" s="44">
        <v>6.1759198483707922E-2</v>
      </c>
    </row>
    <row r="71" spans="1:2" x14ac:dyDescent="0.25">
      <c r="A71" s="46">
        <v>44193</v>
      </c>
      <c r="B71" s="44">
        <v>5.6902322135480743E-2</v>
      </c>
    </row>
    <row r="72" spans="1:2" x14ac:dyDescent="0.25">
      <c r="A72" s="46">
        <v>44194</v>
      </c>
      <c r="B72" s="44">
        <v>5.9498690565926549E-2</v>
      </c>
    </row>
    <row r="73" spans="1:2" x14ac:dyDescent="0.25">
      <c r="A73" s="46">
        <v>44195</v>
      </c>
      <c r="B73" s="44">
        <v>6.0488874720056207E-2</v>
      </c>
    </row>
    <row r="74" spans="1:2" x14ac:dyDescent="0.25">
      <c r="A74" s="46">
        <v>44200</v>
      </c>
      <c r="B74" s="44">
        <v>5.4488357067553284E-2</v>
      </c>
    </row>
    <row r="75" spans="1:2" x14ac:dyDescent="0.25">
      <c r="A75" s="46">
        <v>44201</v>
      </c>
      <c r="B75" s="44">
        <v>5.7975459858711775E-2</v>
      </c>
    </row>
    <row r="76" spans="1:2" x14ac:dyDescent="0.25">
      <c r="A76" s="46">
        <v>44202</v>
      </c>
      <c r="B76" s="44">
        <v>5.937723846179388E-2</v>
      </c>
    </row>
    <row r="77" spans="1:2" x14ac:dyDescent="0.25">
      <c r="A77" s="46">
        <v>44203</v>
      </c>
      <c r="B77" s="44">
        <v>6.3057387540046195E-2</v>
      </c>
    </row>
    <row r="78" spans="1:2" x14ac:dyDescent="0.25">
      <c r="A78" s="46">
        <v>44204</v>
      </c>
      <c r="B78" s="44">
        <v>6.0328824884723908E-2</v>
      </c>
    </row>
    <row r="79" spans="1:2" x14ac:dyDescent="0.25">
      <c r="A79" s="46">
        <v>44207</v>
      </c>
      <c r="B79" s="44">
        <v>5.9494572706077387E-2</v>
      </c>
    </row>
    <row r="80" spans="1:2" x14ac:dyDescent="0.25">
      <c r="A80" s="46">
        <v>44208</v>
      </c>
      <c r="B80" s="44">
        <v>6.3294533904766526E-2</v>
      </c>
    </row>
    <row r="81" spans="1:2" x14ac:dyDescent="0.25">
      <c r="A81" s="46">
        <v>44209</v>
      </c>
      <c r="B81" s="44">
        <v>6.3166845090096735E-2</v>
      </c>
    </row>
    <row r="82" spans="1:2" x14ac:dyDescent="0.25">
      <c r="A82" s="46">
        <v>44210</v>
      </c>
      <c r="B82" s="44">
        <v>6.0141849485449483E-2</v>
      </c>
    </row>
    <row r="83" spans="1:2" x14ac:dyDescent="0.25">
      <c r="A83" s="46">
        <v>44211</v>
      </c>
      <c r="B83" s="44">
        <v>6.0025513079547954E-2</v>
      </c>
    </row>
    <row r="84" spans="1:2" x14ac:dyDescent="0.25">
      <c r="A84" s="46">
        <v>44214</v>
      </c>
      <c r="B84" s="44">
        <v>6.019672513639901E-2</v>
      </c>
    </row>
    <row r="85" spans="1:2" x14ac:dyDescent="0.25">
      <c r="A85" s="46">
        <v>44215</v>
      </c>
      <c r="B85" s="44">
        <v>5.9690637229922294E-2</v>
      </c>
    </row>
    <row r="86" spans="1:2" x14ac:dyDescent="0.25">
      <c r="A86" s="46">
        <v>44216</v>
      </c>
      <c r="B86" s="44">
        <v>6.0371684507377732E-2</v>
      </c>
    </row>
    <row r="87" spans="1:2" x14ac:dyDescent="0.25">
      <c r="A87" s="46">
        <v>44217</v>
      </c>
      <c r="B87" s="44">
        <v>6.366086080512684E-2</v>
      </c>
    </row>
    <row r="88" spans="1:2" x14ac:dyDescent="0.25">
      <c r="A88" s="46">
        <v>44218</v>
      </c>
      <c r="B88" s="44">
        <v>6.1253649840908864E-2</v>
      </c>
    </row>
    <row r="89" spans="1:2" x14ac:dyDescent="0.25">
      <c r="A89" s="46">
        <v>44221</v>
      </c>
      <c r="B89" s="44">
        <v>5.8518072567443347E-2</v>
      </c>
    </row>
    <row r="90" spans="1:2" x14ac:dyDescent="0.25">
      <c r="A90" s="46">
        <v>44222</v>
      </c>
      <c r="B90" s="44">
        <v>5.9607254742472637E-2</v>
      </c>
    </row>
    <row r="91" spans="1:2" x14ac:dyDescent="0.25">
      <c r="A91" s="46">
        <v>44223</v>
      </c>
      <c r="B91" s="44">
        <v>5.9997236551245725E-2</v>
      </c>
    </row>
    <row r="92" spans="1:2" x14ac:dyDescent="0.25">
      <c r="A92" s="46">
        <v>44224</v>
      </c>
      <c r="B92" s="44">
        <v>5.7070557666317634E-2</v>
      </c>
    </row>
    <row r="93" spans="1:2" x14ac:dyDescent="0.25">
      <c r="A93" s="46">
        <v>44225</v>
      </c>
      <c r="B93" s="44">
        <v>6.0766735428991026E-2</v>
      </c>
    </row>
    <row r="94" spans="1:2" x14ac:dyDescent="0.25">
      <c r="A94" s="46">
        <v>44228</v>
      </c>
      <c r="B94" s="44">
        <v>6.1346480608885479E-2</v>
      </c>
    </row>
    <row r="95" spans="1:2" x14ac:dyDescent="0.25">
      <c r="A95" s="46">
        <v>44229</v>
      </c>
      <c r="B95" s="44">
        <v>6.2039670059830521E-2</v>
      </c>
    </row>
    <row r="96" spans="1:2" x14ac:dyDescent="0.25">
      <c r="A96" s="46">
        <v>44230</v>
      </c>
      <c r="B96" s="44">
        <v>5.8518551471310798E-2</v>
      </c>
    </row>
    <row r="97" spans="1:2" x14ac:dyDescent="0.25">
      <c r="A97" s="46">
        <v>44231</v>
      </c>
      <c r="B97" s="44">
        <v>5.5302591485947128E-2</v>
      </c>
    </row>
    <row r="98" spans="1:2" x14ac:dyDescent="0.25">
      <c r="A98" s="46">
        <v>44232</v>
      </c>
      <c r="B98" s="44">
        <v>5.5192799171029983E-2</v>
      </c>
    </row>
    <row r="99" spans="1:2" x14ac:dyDescent="0.25">
      <c r="A99" s="46">
        <v>44235</v>
      </c>
      <c r="B99" s="44">
        <v>5.5866493031071385E-2</v>
      </c>
    </row>
    <row r="100" spans="1:2" x14ac:dyDescent="0.25">
      <c r="A100" s="46">
        <v>44236</v>
      </c>
      <c r="B100" s="44">
        <v>5.8054977507948025E-2</v>
      </c>
    </row>
    <row r="101" spans="1:2" x14ac:dyDescent="0.25">
      <c r="A101" s="46">
        <v>44237</v>
      </c>
      <c r="B101" s="44">
        <v>5.6642365959680863E-2</v>
      </c>
    </row>
    <row r="102" spans="1:2" x14ac:dyDescent="0.25">
      <c r="A102" s="46">
        <v>44238</v>
      </c>
      <c r="B102" s="44">
        <v>5.4420477457957694E-2</v>
      </c>
    </row>
    <row r="103" spans="1:2" x14ac:dyDescent="0.25">
      <c r="A103" s="46">
        <v>44239</v>
      </c>
      <c r="B103" s="44">
        <v>5.5908052239775963E-2</v>
      </c>
    </row>
    <row r="104" spans="1:2" x14ac:dyDescent="0.25">
      <c r="A104" s="46">
        <v>44244</v>
      </c>
      <c r="B104" s="44">
        <v>5.9251007723772842E-2</v>
      </c>
    </row>
    <row r="105" spans="1:2" x14ac:dyDescent="0.25">
      <c r="A105" s="46">
        <v>44245</v>
      </c>
      <c r="B105" s="44">
        <v>6.0751004226736849E-2</v>
      </c>
    </row>
    <row r="106" spans="1:2" x14ac:dyDescent="0.25">
      <c r="A106" s="46">
        <v>44246</v>
      </c>
      <c r="B106" s="44">
        <v>6.182842676955963E-2</v>
      </c>
    </row>
    <row r="107" spans="1:2" x14ac:dyDescent="0.25">
      <c r="A107" s="46">
        <v>44249</v>
      </c>
      <c r="B107" s="44">
        <v>6.1289713013010894E-2</v>
      </c>
    </row>
    <row r="108" spans="1:2" x14ac:dyDescent="0.25">
      <c r="A108" s="46">
        <v>44250</v>
      </c>
      <c r="B108" s="44">
        <v>5.7059968791946525E-2</v>
      </c>
    </row>
    <row r="109" spans="1:2" x14ac:dyDescent="0.25">
      <c r="A109" s="46">
        <v>44251</v>
      </c>
      <c r="B109" s="44">
        <v>5.5256658388561419E-2</v>
      </c>
    </row>
    <row r="110" spans="1:2" x14ac:dyDescent="0.25">
      <c r="A110" s="46">
        <v>44252</v>
      </c>
      <c r="B110" s="44">
        <v>5.1446212409067826E-2</v>
      </c>
    </row>
    <row r="111" spans="1:2" x14ac:dyDescent="0.25">
      <c r="A111" s="46">
        <v>44253</v>
      </c>
      <c r="B111" s="44">
        <v>5.1741173318941291E-2</v>
      </c>
    </row>
    <row r="112" spans="1:2" x14ac:dyDescent="0.25">
      <c r="A112" s="46">
        <v>44256</v>
      </c>
      <c r="B112" s="44">
        <v>5.3018025829274007E-2</v>
      </c>
    </row>
    <row r="113" spans="1:2" x14ac:dyDescent="0.25">
      <c r="A113" s="46">
        <v>44257</v>
      </c>
      <c r="B113" s="44">
        <v>5.5994421556758378E-2</v>
      </c>
    </row>
    <row r="114" spans="1:2" x14ac:dyDescent="0.25">
      <c r="A114" s="46">
        <v>44258</v>
      </c>
      <c r="B114" s="44">
        <v>5.7680018802889421E-2</v>
      </c>
    </row>
    <row r="115" spans="1:2" x14ac:dyDescent="0.25">
      <c r="A115" s="46">
        <v>44259</v>
      </c>
      <c r="B115" s="44">
        <v>5.3578149827335553E-2</v>
      </c>
    </row>
    <row r="116" spans="1:2" x14ac:dyDescent="0.25">
      <c r="A116" s="46">
        <v>44260</v>
      </c>
      <c r="B116" s="44">
        <v>5.9762720309945727E-2</v>
      </c>
    </row>
    <row r="117" spans="1:2" x14ac:dyDescent="0.25">
      <c r="A117" s="46">
        <v>44263</v>
      </c>
      <c r="B117" s="44">
        <v>5.3513969462400945E-2</v>
      </c>
    </row>
    <row r="118" spans="1:2" x14ac:dyDescent="0.25">
      <c r="A118" s="46">
        <v>44264</v>
      </c>
      <c r="B118" s="44">
        <v>5.838813892801259E-2</v>
      </c>
    </row>
    <row r="119" spans="1:2" x14ac:dyDescent="0.25">
      <c r="A119" s="46">
        <v>44265</v>
      </c>
      <c r="B119" s="44">
        <v>5.3040595660466205E-2</v>
      </c>
    </row>
    <row r="120" spans="1:2" x14ac:dyDescent="0.25">
      <c r="A120" s="46">
        <v>44266</v>
      </c>
      <c r="B120" s="44">
        <v>4.7928423935280962E-2</v>
      </c>
    </row>
    <row r="121" spans="1:2" x14ac:dyDescent="0.25">
      <c r="A121" s="46">
        <v>44267</v>
      </c>
      <c r="B121" s="44">
        <v>5.1137161507386175E-2</v>
      </c>
    </row>
    <row r="122" spans="1:2" x14ac:dyDescent="0.25">
      <c r="A122" s="46">
        <v>44270</v>
      </c>
      <c r="B122" s="44">
        <v>5.6340059767842843E-2</v>
      </c>
    </row>
    <row r="123" spans="1:2" x14ac:dyDescent="0.25">
      <c r="A123" s="46">
        <v>44271</v>
      </c>
      <c r="B123" s="44">
        <v>5.463509598794708E-2</v>
      </c>
    </row>
    <row r="124" spans="1:2" x14ac:dyDescent="0.25">
      <c r="A124" s="46">
        <v>44272</v>
      </c>
      <c r="B124" s="44">
        <v>5.2830571767311263E-2</v>
      </c>
    </row>
    <row r="125" spans="1:2" x14ac:dyDescent="0.25">
      <c r="A125" s="46">
        <v>44273</v>
      </c>
      <c r="B125" s="44">
        <v>5.2218006317487853E-2</v>
      </c>
    </row>
    <row r="126" spans="1:2" x14ac:dyDescent="0.25">
      <c r="A126" s="46">
        <v>44274</v>
      </c>
      <c r="B126" s="44">
        <v>4.9415436222769393E-2</v>
      </c>
    </row>
    <row r="127" spans="1:2" x14ac:dyDescent="0.25">
      <c r="A127" s="46">
        <v>44277</v>
      </c>
      <c r="B127" s="44">
        <v>4.9002417537609089E-2</v>
      </c>
    </row>
    <row r="128" spans="1:2" x14ac:dyDescent="0.25">
      <c r="A128" s="46">
        <v>44278</v>
      </c>
      <c r="B128" s="44">
        <v>4.6084324783929431E-2</v>
      </c>
    </row>
    <row r="129" spans="1:2" x14ac:dyDescent="0.25">
      <c r="A129" s="46">
        <v>44280</v>
      </c>
      <c r="B129" s="44">
        <v>4.9845747599017165E-2</v>
      </c>
    </row>
    <row r="130" spans="1:2" x14ac:dyDescent="0.25">
      <c r="A130" s="46">
        <v>44281</v>
      </c>
      <c r="B130" s="44">
        <v>5.3940797123992412E-2</v>
      </c>
    </row>
    <row r="131" spans="1:2" x14ac:dyDescent="0.25">
      <c r="A131" s="46">
        <v>44284</v>
      </c>
      <c r="B131" s="44">
        <v>5.4606229292709807E-2</v>
      </c>
    </row>
    <row r="132" spans="1:2" x14ac:dyDescent="0.25">
      <c r="A132" s="46">
        <v>44285</v>
      </c>
      <c r="B132" s="44">
        <v>5.1987188441583732E-2</v>
      </c>
    </row>
    <row r="133" spans="1:2" x14ac:dyDescent="0.25">
      <c r="A133" s="46">
        <v>44286</v>
      </c>
      <c r="B133" s="44">
        <v>5.5984557409017865E-2</v>
      </c>
    </row>
    <row r="134" spans="1:2" x14ac:dyDescent="0.25">
      <c r="A134" s="46">
        <v>44291</v>
      </c>
      <c r="B134" s="44">
        <v>5.6444019452974559E-2</v>
      </c>
    </row>
    <row r="135" spans="1:2" x14ac:dyDescent="0.25">
      <c r="A135" s="46">
        <v>44292</v>
      </c>
      <c r="B135" s="44">
        <v>5.4828718571421409E-2</v>
      </c>
    </row>
    <row r="136" spans="1:2" x14ac:dyDescent="0.25">
      <c r="A136" s="46">
        <v>44293</v>
      </c>
      <c r="B136" s="44">
        <v>5.5117513693066611E-2</v>
      </c>
    </row>
    <row r="137" spans="1:2" x14ac:dyDescent="0.25">
      <c r="A137" s="46">
        <v>44294</v>
      </c>
      <c r="B137" s="44">
        <v>5.5610846868441588E-2</v>
      </c>
    </row>
    <row r="138" spans="1:2" x14ac:dyDescent="0.25">
      <c r="A138" s="46">
        <v>44295</v>
      </c>
      <c r="B138" s="44">
        <v>5.5096165271645958E-2</v>
      </c>
    </row>
    <row r="139" spans="1:2" x14ac:dyDescent="0.25">
      <c r="A139" s="46">
        <v>44298</v>
      </c>
      <c r="B139" s="44">
        <v>5.7283837828664919E-2</v>
      </c>
    </row>
    <row r="140" spans="1:2" x14ac:dyDescent="0.25">
      <c r="A140" s="46">
        <v>44299</v>
      </c>
      <c r="B140" s="44">
        <v>5.6277745906631593E-2</v>
      </c>
    </row>
    <row r="141" spans="1:2" x14ac:dyDescent="0.25">
      <c r="A141" s="46">
        <v>44300</v>
      </c>
      <c r="B141" s="44">
        <v>5.7268457471807477E-2</v>
      </c>
    </row>
    <row r="142" spans="1:2" x14ac:dyDescent="0.25">
      <c r="A142" s="46">
        <v>44301</v>
      </c>
      <c r="B142" s="44">
        <v>5.3953021856088745E-2</v>
      </c>
    </row>
    <row r="143" spans="1:2" x14ac:dyDescent="0.25">
      <c r="A143" s="46">
        <v>44302</v>
      </c>
      <c r="B143" s="44">
        <v>5.2745813831149846E-2</v>
      </c>
    </row>
    <row r="144" spans="1:2" x14ac:dyDescent="0.25">
      <c r="A144" s="46">
        <v>44305</v>
      </c>
      <c r="B144" s="44">
        <v>5.4719667127700489E-2</v>
      </c>
    </row>
    <row r="145" spans="1:2" x14ac:dyDescent="0.25">
      <c r="A145" s="46">
        <v>44306</v>
      </c>
      <c r="B145" s="44">
        <v>5.3609498077377138E-2</v>
      </c>
    </row>
    <row r="146" spans="1:2" x14ac:dyDescent="0.25">
      <c r="A146" s="46">
        <v>44307</v>
      </c>
      <c r="B146" s="44">
        <v>5.520578724416858E-2</v>
      </c>
    </row>
    <row r="147" spans="1:2" x14ac:dyDescent="0.25">
      <c r="A147" s="46">
        <v>44308</v>
      </c>
      <c r="B147" s="44">
        <v>5.5100554125218582E-2</v>
      </c>
    </row>
    <row r="148" spans="1:2" x14ac:dyDescent="0.25">
      <c r="A148" s="46">
        <v>44309</v>
      </c>
      <c r="B148" s="44">
        <v>5.1189597863579905E-2</v>
      </c>
    </row>
    <row r="149" spans="1:2" x14ac:dyDescent="0.25">
      <c r="A149" s="46">
        <v>44312</v>
      </c>
      <c r="B149" s="44">
        <v>5.4068561473204158E-2</v>
      </c>
    </row>
    <row r="150" spans="1:2" x14ac:dyDescent="0.25">
      <c r="A150" s="46">
        <v>44313</v>
      </c>
      <c r="B150" s="44">
        <v>4.9960937128069594E-2</v>
      </c>
    </row>
    <row r="151" spans="1:2" x14ac:dyDescent="0.25">
      <c r="A151" s="46">
        <v>44314</v>
      </c>
      <c r="B151" s="44">
        <v>5.1156830000578635E-2</v>
      </c>
    </row>
    <row r="152" spans="1:2" x14ac:dyDescent="0.25">
      <c r="A152" s="46">
        <v>44315</v>
      </c>
      <c r="B152" s="44">
        <v>5.1140011659329854E-2</v>
      </c>
    </row>
    <row r="153" spans="1:2" x14ac:dyDescent="0.25">
      <c r="A153" s="46">
        <v>44316</v>
      </c>
      <c r="B153" s="44">
        <v>4.9131339548635522E-2</v>
      </c>
    </row>
    <row r="154" spans="1:2" x14ac:dyDescent="0.25">
      <c r="A154" s="46">
        <v>44319</v>
      </c>
      <c r="B154" s="44">
        <v>4.830275589461358E-2</v>
      </c>
    </row>
    <row r="155" spans="1:2" x14ac:dyDescent="0.25">
      <c r="A155" s="46">
        <v>44320</v>
      </c>
      <c r="B155" s="44">
        <v>4.7993356596482184E-2</v>
      </c>
    </row>
    <row r="156" spans="1:2" x14ac:dyDescent="0.25">
      <c r="A156" s="46">
        <v>44321</v>
      </c>
      <c r="B156" s="44">
        <v>4.8582140165917664E-2</v>
      </c>
    </row>
    <row r="157" spans="1:2" x14ac:dyDescent="0.25">
      <c r="A157" s="46">
        <v>44322</v>
      </c>
      <c r="B157" s="44">
        <v>5.037263899755634E-2</v>
      </c>
    </row>
    <row r="158" spans="1:2" x14ac:dyDescent="0.25">
      <c r="A158" s="46">
        <v>44323</v>
      </c>
      <c r="B158" s="44">
        <v>5.0059977958884894E-2</v>
      </c>
    </row>
    <row r="159" spans="1:2" x14ac:dyDescent="0.25">
      <c r="A159" s="46">
        <v>44326</v>
      </c>
      <c r="B159" s="44">
        <v>5.0534807574778684E-2</v>
      </c>
    </row>
    <row r="160" spans="1:2" x14ac:dyDescent="0.25">
      <c r="A160" s="46">
        <v>44327</v>
      </c>
      <c r="B160" s="44">
        <v>5.0320028205352252E-2</v>
      </c>
    </row>
    <row r="161" spans="1:2" x14ac:dyDescent="0.25">
      <c r="A161" s="46">
        <v>44328</v>
      </c>
      <c r="B161" s="44">
        <v>5.0415675809050153E-2</v>
      </c>
    </row>
    <row r="162" spans="1:2" x14ac:dyDescent="0.25">
      <c r="A162" s="46">
        <v>44329</v>
      </c>
      <c r="B162" s="44">
        <v>5.3009193485320572E-2</v>
      </c>
    </row>
    <row r="163" spans="1:2" x14ac:dyDescent="0.25">
      <c r="A163" s="46">
        <v>44330</v>
      </c>
      <c r="B163" s="44">
        <v>5.0212752441990138E-2</v>
      </c>
    </row>
    <row r="164" spans="1:2" x14ac:dyDescent="0.25">
      <c r="A164" s="46">
        <v>44333</v>
      </c>
      <c r="B164" s="44">
        <v>5.1993583691958389E-2</v>
      </c>
    </row>
    <row r="165" spans="1:2" x14ac:dyDescent="0.25">
      <c r="A165" s="46">
        <v>44334</v>
      </c>
      <c r="B165" s="44">
        <v>5.1483542753407274E-2</v>
      </c>
    </row>
    <row r="166" spans="1:2" x14ac:dyDescent="0.25">
      <c r="A166" s="46">
        <v>44335</v>
      </c>
      <c r="B166" s="44">
        <v>4.5966533778824314E-2</v>
      </c>
    </row>
    <row r="167" spans="1:2" x14ac:dyDescent="0.25">
      <c r="A167" s="46">
        <v>44336</v>
      </c>
      <c r="B167" s="44">
        <v>4.5355348631347214E-2</v>
      </c>
    </row>
    <row r="168" spans="1:2" x14ac:dyDescent="0.25">
      <c r="A168" s="46">
        <v>44337</v>
      </c>
      <c r="B168" s="44">
        <v>4.7242311821490357E-2</v>
      </c>
    </row>
    <row r="169" spans="1:2" x14ac:dyDescent="0.25">
      <c r="A169" s="46">
        <v>44342</v>
      </c>
      <c r="B169" s="44">
        <v>4.3605447411967202E-2</v>
      </c>
    </row>
    <row r="170" spans="1:2" x14ac:dyDescent="0.25">
      <c r="A170" s="46">
        <v>44343</v>
      </c>
      <c r="B170" s="44">
        <v>4.3399597416725E-2</v>
      </c>
    </row>
    <row r="171" spans="1:2" x14ac:dyDescent="0.25">
      <c r="A171" s="46">
        <v>44344</v>
      </c>
      <c r="B171" s="44">
        <v>4.1785424901282897E-2</v>
      </c>
    </row>
    <row r="172" spans="1:2" x14ac:dyDescent="0.25">
      <c r="A172" s="46">
        <v>44347</v>
      </c>
      <c r="B172" s="44">
        <v>4.2357567606636559E-2</v>
      </c>
    </row>
    <row r="173" spans="1:2" x14ac:dyDescent="0.25">
      <c r="A173" s="46">
        <v>44348</v>
      </c>
      <c r="B173" s="44">
        <v>4.1750590583073344E-2</v>
      </c>
    </row>
    <row r="174" spans="1:2" x14ac:dyDescent="0.25">
      <c r="A174" s="46">
        <v>44349</v>
      </c>
      <c r="B174" s="44">
        <v>4.1845806795062945E-2</v>
      </c>
    </row>
    <row r="175" spans="1:2" x14ac:dyDescent="0.25">
      <c r="A175" s="46">
        <v>44350</v>
      </c>
      <c r="B175" s="44">
        <v>4.963611623026204E-2</v>
      </c>
    </row>
    <row r="176" spans="1:2" x14ac:dyDescent="0.25">
      <c r="A176" s="46">
        <v>44351</v>
      </c>
      <c r="B176" s="44">
        <v>4.5425006344042729E-2</v>
      </c>
    </row>
    <row r="177" spans="1:2" x14ac:dyDescent="0.25">
      <c r="A177" s="46">
        <v>44354</v>
      </c>
      <c r="B177" s="44">
        <v>4.3997889581670446E-2</v>
      </c>
    </row>
    <row r="178" spans="1:2" x14ac:dyDescent="0.25">
      <c r="A178" s="46">
        <v>44355</v>
      </c>
      <c r="B178" s="44">
        <v>4.6893194063368782E-2</v>
      </c>
    </row>
    <row r="179" spans="1:2" x14ac:dyDescent="0.25">
      <c r="A179" s="46">
        <v>44356</v>
      </c>
      <c r="B179" s="44">
        <v>4.5887583959569878E-2</v>
      </c>
    </row>
    <row r="180" spans="1:2" x14ac:dyDescent="0.25">
      <c r="A180" s="46">
        <v>44357</v>
      </c>
      <c r="B180" s="44">
        <v>4.4779271774553653E-2</v>
      </c>
    </row>
    <row r="181" spans="1:2" x14ac:dyDescent="0.25">
      <c r="A181" s="46">
        <v>44358</v>
      </c>
      <c r="B181" s="44">
        <v>4.7772608463024724E-2</v>
      </c>
    </row>
    <row r="182" spans="1:2" x14ac:dyDescent="0.25">
      <c r="A182" s="46">
        <v>44361</v>
      </c>
      <c r="B182" s="44">
        <v>4.7843086901787513E-2</v>
      </c>
    </row>
    <row r="183" spans="1:2" x14ac:dyDescent="0.25">
      <c r="A183" s="46">
        <v>44362</v>
      </c>
      <c r="B183" s="44">
        <v>4.9932665300432888E-2</v>
      </c>
    </row>
    <row r="184" spans="1:2" x14ac:dyDescent="0.25">
      <c r="A184" s="46">
        <v>44363</v>
      </c>
      <c r="B184" s="44">
        <v>5.0721868464563336E-2</v>
      </c>
    </row>
    <row r="185" spans="1:2" x14ac:dyDescent="0.25">
      <c r="A185" s="46">
        <v>44364</v>
      </c>
      <c r="B185" s="44">
        <v>5.2011416338182626E-2</v>
      </c>
    </row>
    <row r="186" spans="1:2" x14ac:dyDescent="0.25">
      <c r="A186" s="46">
        <v>44365</v>
      </c>
      <c r="B186" s="44">
        <v>5.4201404488275762E-2</v>
      </c>
    </row>
    <row r="187" spans="1:2" x14ac:dyDescent="0.25">
      <c r="A187" s="46">
        <v>44369</v>
      </c>
      <c r="B187" s="44">
        <v>5.2660447368123309E-2</v>
      </c>
    </row>
    <row r="188" spans="1:2" x14ac:dyDescent="0.25">
      <c r="A188" s="46">
        <v>44370</v>
      </c>
      <c r="B188" s="44">
        <v>5.2650812834833138E-2</v>
      </c>
    </row>
    <row r="189" spans="1:2" x14ac:dyDescent="0.25">
      <c r="A189" s="46">
        <v>44371</v>
      </c>
      <c r="B189" s="44">
        <v>5.2239959152254767E-2</v>
      </c>
    </row>
    <row r="190" spans="1:2" x14ac:dyDescent="0.25">
      <c r="A190" s="46">
        <v>44372</v>
      </c>
      <c r="B190" s="44">
        <v>5.4028326983134145E-2</v>
      </c>
    </row>
    <row r="191" spans="1:2" x14ac:dyDescent="0.25">
      <c r="A191" s="46">
        <v>44375</v>
      </c>
      <c r="B191" s="44">
        <v>5.2500208721306951E-2</v>
      </c>
    </row>
    <row r="192" spans="1:2" x14ac:dyDescent="0.25">
      <c r="A192" s="46">
        <v>44376</v>
      </c>
      <c r="B192" s="44">
        <v>5.3289876516735779E-2</v>
      </c>
    </row>
    <row r="193" spans="1:2" x14ac:dyDescent="0.25">
      <c r="A193" s="46">
        <v>44377</v>
      </c>
      <c r="B193" s="44">
        <v>5.0680029349004285E-2</v>
      </c>
    </row>
    <row r="194" spans="1:2" x14ac:dyDescent="0.25">
      <c r="A194" s="46">
        <v>44378</v>
      </c>
      <c r="B194" s="44">
        <v>4.9070880196342592E-2</v>
      </c>
    </row>
    <row r="195" spans="1:2" x14ac:dyDescent="0.25">
      <c r="A195" s="46">
        <v>44379</v>
      </c>
      <c r="B195" s="44">
        <v>4.7562401943395671E-2</v>
      </c>
    </row>
    <row r="196" spans="1:2" x14ac:dyDescent="0.25">
      <c r="A196" s="46">
        <v>44382</v>
      </c>
      <c r="B196" s="44">
        <v>4.9035579655385464E-2</v>
      </c>
    </row>
    <row r="197" spans="1:2" x14ac:dyDescent="0.25">
      <c r="A197" s="46">
        <v>44383</v>
      </c>
      <c r="B197" s="44">
        <v>5.2226644885390749E-2</v>
      </c>
    </row>
    <row r="198" spans="1:2" x14ac:dyDescent="0.25">
      <c r="A198" s="46">
        <v>44384</v>
      </c>
      <c r="B198" s="44">
        <v>4.3417366807686542E-2</v>
      </c>
    </row>
    <row r="199" spans="1:2" x14ac:dyDescent="0.25">
      <c r="A199" s="46">
        <v>44385</v>
      </c>
      <c r="B199" s="44">
        <v>4.0408658482257664E-2</v>
      </c>
    </row>
    <row r="200" spans="1:2" x14ac:dyDescent="0.25">
      <c r="A200" s="46">
        <v>44389</v>
      </c>
      <c r="B200" s="44">
        <v>3.8973855124320722E-2</v>
      </c>
    </row>
    <row r="201" spans="1:2" x14ac:dyDescent="0.25">
      <c r="A201" s="46">
        <v>44390</v>
      </c>
      <c r="B201" s="44">
        <v>3.2964983719642793E-2</v>
      </c>
    </row>
    <row r="202" spans="1:2" x14ac:dyDescent="0.25">
      <c r="A202" s="46">
        <v>44391</v>
      </c>
      <c r="B202" s="44">
        <v>3.7955725912112603E-2</v>
      </c>
    </row>
    <row r="203" spans="1:2" x14ac:dyDescent="0.25">
      <c r="A203" s="46">
        <v>44392</v>
      </c>
      <c r="B203" s="44">
        <v>3.644694667442433E-2</v>
      </c>
    </row>
    <row r="204" spans="1:2" x14ac:dyDescent="0.25">
      <c r="A204" s="46">
        <v>44393</v>
      </c>
      <c r="B204" s="44">
        <v>3.7438032033296653E-2</v>
      </c>
    </row>
    <row r="205" spans="1:2" x14ac:dyDescent="0.25">
      <c r="A205" s="46">
        <v>44396</v>
      </c>
      <c r="B205" s="44">
        <v>3.6511033927795478E-2</v>
      </c>
    </row>
    <row r="206" spans="1:2" x14ac:dyDescent="0.25">
      <c r="A206" s="46">
        <v>44397</v>
      </c>
      <c r="B206" s="44">
        <v>3.8701002987697797E-2</v>
      </c>
    </row>
    <row r="207" spans="1:2" x14ac:dyDescent="0.25">
      <c r="A207" s="46">
        <v>44398</v>
      </c>
      <c r="B207" s="44">
        <v>3.929140675704651E-2</v>
      </c>
    </row>
    <row r="208" spans="1:2" x14ac:dyDescent="0.25">
      <c r="A208" s="46">
        <v>44399</v>
      </c>
      <c r="B208" s="44">
        <v>3.8882378704318099E-2</v>
      </c>
    </row>
    <row r="209" spans="1:2" x14ac:dyDescent="0.25">
      <c r="A209" s="46">
        <v>44400</v>
      </c>
      <c r="B209" s="44">
        <v>3.6474120770280505E-2</v>
      </c>
    </row>
    <row r="210" spans="1:2" x14ac:dyDescent="0.25">
      <c r="A210" s="46">
        <v>44403</v>
      </c>
      <c r="B210" s="44">
        <v>3.5446974425515587E-2</v>
      </c>
    </row>
    <row r="211" spans="1:2" x14ac:dyDescent="0.25">
      <c r="A211" s="46">
        <v>44404</v>
      </c>
      <c r="B211" s="44">
        <v>3.5837996323534183E-2</v>
      </c>
    </row>
    <row r="212" spans="1:2" x14ac:dyDescent="0.25">
      <c r="A212" s="46">
        <v>44405</v>
      </c>
      <c r="B212" s="44">
        <v>3.2529534684378414E-2</v>
      </c>
    </row>
    <row r="213" spans="1:2" x14ac:dyDescent="0.25">
      <c r="A213" s="46">
        <v>44406</v>
      </c>
      <c r="B213" s="44">
        <v>3.3421081640569394E-2</v>
      </c>
    </row>
    <row r="214" spans="1:2" x14ac:dyDescent="0.25">
      <c r="A214" s="46">
        <v>44407</v>
      </c>
      <c r="B214" s="44">
        <v>3.201254398084219E-2</v>
      </c>
    </row>
    <row r="215" spans="1:2" x14ac:dyDescent="0.25">
      <c r="A215" s="46">
        <v>44409</v>
      </c>
      <c r="B215" s="44">
        <v>3.1295034158785873E-2</v>
      </c>
    </row>
    <row r="216" spans="1:2" x14ac:dyDescent="0.25">
      <c r="A216" s="46">
        <v>44410</v>
      </c>
      <c r="B216" s="44">
        <v>2.9286868404978295E-2</v>
      </c>
    </row>
    <row r="217" spans="1:2" x14ac:dyDescent="0.25">
      <c r="A217" s="46">
        <v>44411</v>
      </c>
      <c r="B217" s="44">
        <v>2.9779269364636873E-2</v>
      </c>
    </row>
    <row r="218" spans="1:2" x14ac:dyDescent="0.25">
      <c r="A218" s="46">
        <v>44412</v>
      </c>
      <c r="B218" s="44">
        <v>3.2571007469244073E-2</v>
      </c>
    </row>
    <row r="219" spans="1:2" x14ac:dyDescent="0.25">
      <c r="A219" s="46">
        <v>44413</v>
      </c>
      <c r="B219" s="44">
        <v>3.4762327260895343E-2</v>
      </c>
    </row>
    <row r="220" spans="1:2" x14ac:dyDescent="0.25">
      <c r="A220" s="46">
        <v>44417</v>
      </c>
      <c r="B220" s="44">
        <v>3.3928199790995262E-2</v>
      </c>
    </row>
    <row r="221" spans="1:2" x14ac:dyDescent="0.25">
      <c r="A221" s="46">
        <v>44418</v>
      </c>
      <c r="B221" s="44">
        <v>3.5616342103647225E-2</v>
      </c>
    </row>
    <row r="222" spans="1:2" x14ac:dyDescent="0.25">
      <c r="A222" s="46">
        <v>44419</v>
      </c>
      <c r="B222" s="44">
        <v>3.5906267353802368E-2</v>
      </c>
    </row>
    <row r="223" spans="1:2" x14ac:dyDescent="0.25">
      <c r="A223" s="46">
        <v>44420</v>
      </c>
      <c r="B223" s="44">
        <v>3.1894828672184239E-2</v>
      </c>
    </row>
    <row r="224" spans="1:2" x14ac:dyDescent="0.25">
      <c r="A224" s="46">
        <v>44421</v>
      </c>
      <c r="B224" s="44">
        <v>2.8693537919702028E-2</v>
      </c>
    </row>
    <row r="225" spans="1:2" x14ac:dyDescent="0.25">
      <c r="A225" s="46" t="s">
        <v>34</v>
      </c>
      <c r="B225" s="44">
        <v>12.646920884862915</v>
      </c>
    </row>
  </sheetData>
  <pageMargins left="0.7" right="0.7" top="0.75" bottom="0.75" header="0.3" footer="0.3"/>
  <pageSetup paperSize="9" orientation="portrait" verticalDpi="300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205"/>
  <sheetViews>
    <sheetView workbookViewId="0"/>
  </sheetViews>
  <sheetFormatPr baseColWidth="10" defaultRowHeight="15" x14ac:dyDescent="0.25"/>
  <cols>
    <col min="1" max="1" width="17.5703125" bestFit="1" customWidth="1"/>
    <col min="2" max="2" width="13.7109375" bestFit="1" customWidth="1"/>
    <col min="3" max="3" width="18.85546875" bestFit="1" customWidth="1"/>
  </cols>
  <sheetData>
    <row r="1" spans="1:2" x14ac:dyDescent="0.25">
      <c r="A1" s="45" t="s">
        <v>33</v>
      </c>
      <c r="B1" t="s">
        <v>36</v>
      </c>
    </row>
    <row r="2" spans="1:2" x14ac:dyDescent="0.25">
      <c r="A2" s="46">
        <v>44088</v>
      </c>
      <c r="B2" s="3">
        <v>8.1914565643976145E-2</v>
      </c>
    </row>
    <row r="3" spans="1:2" x14ac:dyDescent="0.25">
      <c r="A3" s="46">
        <v>44089</v>
      </c>
      <c r="B3" s="3">
        <v>8.6777895893458246E-2</v>
      </c>
    </row>
    <row r="4" spans="1:2" x14ac:dyDescent="0.25">
      <c r="A4" s="46">
        <v>44090</v>
      </c>
      <c r="B4" s="3">
        <v>8.2077885147704754E-2</v>
      </c>
    </row>
    <row r="5" spans="1:2" x14ac:dyDescent="0.25">
      <c r="A5" s="46">
        <v>44091</v>
      </c>
      <c r="B5" s="3">
        <v>8.8648098778531081E-2</v>
      </c>
    </row>
    <row r="6" spans="1:2" x14ac:dyDescent="0.25">
      <c r="A6" s="46">
        <v>44092</v>
      </c>
      <c r="B6" s="3">
        <v>8.7022971585208886E-2</v>
      </c>
    </row>
    <row r="7" spans="1:2" x14ac:dyDescent="0.25">
      <c r="A7" s="46">
        <v>44095</v>
      </c>
      <c r="B7" s="3">
        <v>9.1424322581879325E-2</v>
      </c>
    </row>
    <row r="8" spans="1:2" x14ac:dyDescent="0.25">
      <c r="A8" s="46">
        <v>44096</v>
      </c>
      <c r="B8" s="3">
        <v>9.0848822261852424E-2</v>
      </c>
    </row>
    <row r="9" spans="1:2" x14ac:dyDescent="0.25">
      <c r="A9" s="46">
        <v>44097</v>
      </c>
      <c r="B9" s="3">
        <v>9.3917038741176517E-2</v>
      </c>
    </row>
    <row r="10" spans="1:2" x14ac:dyDescent="0.25">
      <c r="A10" s="46">
        <v>44098</v>
      </c>
      <c r="B10" s="3">
        <v>8.459384041115775E-2</v>
      </c>
    </row>
    <row r="11" spans="1:2" x14ac:dyDescent="0.25">
      <c r="A11" s="46">
        <v>44099</v>
      </c>
      <c r="B11" s="3">
        <v>6.7686986085124357E-2</v>
      </c>
    </row>
    <row r="12" spans="1:2" x14ac:dyDescent="0.25">
      <c r="A12" s="46">
        <v>44102</v>
      </c>
      <c r="B12" s="3">
        <v>7.1145434647573058E-2</v>
      </c>
    </row>
    <row r="13" spans="1:2" x14ac:dyDescent="0.25">
      <c r="A13" s="46">
        <v>44103</v>
      </c>
      <c r="B13" s="3">
        <v>7.2815710413682844E-2</v>
      </c>
    </row>
    <row r="14" spans="1:2" x14ac:dyDescent="0.25">
      <c r="A14" s="46">
        <v>44104</v>
      </c>
      <c r="B14" s="3">
        <v>7.1593542559315881E-2</v>
      </c>
    </row>
    <row r="15" spans="1:2" x14ac:dyDescent="0.25">
      <c r="A15" s="46">
        <v>44105</v>
      </c>
      <c r="B15" s="3">
        <v>6.7704865195632458E-2</v>
      </c>
    </row>
    <row r="16" spans="1:2" x14ac:dyDescent="0.25">
      <c r="A16" s="46">
        <v>44106</v>
      </c>
      <c r="B16" s="3">
        <v>5.7629598641632973E-2</v>
      </c>
    </row>
    <row r="17" spans="1:2" x14ac:dyDescent="0.25">
      <c r="A17" s="46">
        <v>44109</v>
      </c>
      <c r="B17" s="3">
        <v>5.699119501476535E-2</v>
      </c>
    </row>
    <row r="18" spans="1:2" x14ac:dyDescent="0.25">
      <c r="A18" s="46">
        <v>44110</v>
      </c>
      <c r="B18" s="3">
        <v>5.6173178566320425E-2</v>
      </c>
    </row>
    <row r="19" spans="1:2" x14ac:dyDescent="0.25">
      <c r="A19" s="46">
        <v>44111</v>
      </c>
      <c r="B19" s="3">
        <v>5.8473426639723824E-2</v>
      </c>
    </row>
    <row r="20" spans="1:2" x14ac:dyDescent="0.25">
      <c r="A20" s="46">
        <v>44112</v>
      </c>
      <c r="B20" s="3">
        <v>6.125683754666944E-2</v>
      </c>
    </row>
    <row r="21" spans="1:2" x14ac:dyDescent="0.25">
      <c r="A21" s="46">
        <v>44113</v>
      </c>
      <c r="B21" s="3">
        <v>6.4368949225710237E-2</v>
      </c>
    </row>
    <row r="22" spans="1:2" x14ac:dyDescent="0.25">
      <c r="A22" s="46">
        <v>44117</v>
      </c>
      <c r="B22" s="3">
        <v>6.501255482288204E-2</v>
      </c>
    </row>
    <row r="23" spans="1:2" x14ac:dyDescent="0.25">
      <c r="A23" s="46">
        <v>44118</v>
      </c>
      <c r="B23" s="3">
        <v>6.9970227750900282E-2</v>
      </c>
    </row>
    <row r="24" spans="1:2" x14ac:dyDescent="0.25">
      <c r="A24" s="46">
        <v>44119</v>
      </c>
      <c r="B24" s="3">
        <v>8.3549558929860435E-2</v>
      </c>
    </row>
    <row r="25" spans="1:2" x14ac:dyDescent="0.25">
      <c r="A25" s="46">
        <v>44120</v>
      </c>
      <c r="B25" s="3">
        <v>8.7925718231626815E-2</v>
      </c>
    </row>
    <row r="26" spans="1:2" x14ac:dyDescent="0.25">
      <c r="A26" s="46">
        <v>44123</v>
      </c>
      <c r="B26" s="3">
        <v>7.9935122101620404E-2</v>
      </c>
    </row>
    <row r="27" spans="1:2" x14ac:dyDescent="0.25">
      <c r="A27" s="46">
        <v>44124</v>
      </c>
      <c r="B27" s="3">
        <v>7.1702374491231291E-2</v>
      </c>
    </row>
    <row r="28" spans="1:2" x14ac:dyDescent="0.25">
      <c r="A28" s="46">
        <v>44125</v>
      </c>
      <c r="B28" s="3">
        <v>7.4962131309810331E-2</v>
      </c>
    </row>
    <row r="29" spans="1:2" x14ac:dyDescent="0.25">
      <c r="A29" s="46">
        <v>44126</v>
      </c>
      <c r="B29" s="3">
        <v>7.7712062670032944E-2</v>
      </c>
    </row>
    <row r="30" spans="1:2" x14ac:dyDescent="0.25">
      <c r="A30" s="46">
        <v>44127</v>
      </c>
      <c r="B30" s="3">
        <v>9.7917031662317189E-2</v>
      </c>
    </row>
    <row r="31" spans="1:2" x14ac:dyDescent="0.25">
      <c r="A31" s="46">
        <v>44130</v>
      </c>
      <c r="B31" s="3">
        <v>7.4171770490714661E-2</v>
      </c>
    </row>
    <row r="32" spans="1:2" x14ac:dyDescent="0.25">
      <c r="A32" s="46">
        <v>44131</v>
      </c>
      <c r="B32" s="3">
        <v>9.2728067531842984E-2</v>
      </c>
    </row>
    <row r="33" spans="1:2" x14ac:dyDescent="0.25">
      <c r="A33" s="46">
        <v>44132</v>
      </c>
      <c r="B33" s="3">
        <v>0.10690320744593268</v>
      </c>
    </row>
    <row r="34" spans="1:2" x14ac:dyDescent="0.25">
      <c r="A34" s="46">
        <v>44133</v>
      </c>
      <c r="B34" s="3">
        <v>0.12088054975013135</v>
      </c>
    </row>
    <row r="35" spans="1:2" x14ac:dyDescent="0.25">
      <c r="A35" s="46">
        <v>44134</v>
      </c>
      <c r="B35" s="3">
        <v>0.11683213704833023</v>
      </c>
    </row>
    <row r="36" spans="1:2" x14ac:dyDescent="0.25">
      <c r="A36" s="46">
        <v>44137</v>
      </c>
      <c r="B36" s="3">
        <v>0.10381557692043419</v>
      </c>
    </row>
    <row r="37" spans="1:2" x14ac:dyDescent="0.25">
      <c r="A37" s="46">
        <v>44138</v>
      </c>
      <c r="B37" s="3">
        <v>0.11057558624690428</v>
      </c>
    </row>
    <row r="38" spans="1:2" x14ac:dyDescent="0.25">
      <c r="A38" s="46">
        <v>44139</v>
      </c>
      <c r="B38" s="3">
        <v>0.11177129370715838</v>
      </c>
    </row>
    <row r="39" spans="1:2" x14ac:dyDescent="0.25">
      <c r="A39" s="46">
        <v>44140</v>
      </c>
      <c r="B39" s="3">
        <v>0.11169556021278226</v>
      </c>
    </row>
    <row r="40" spans="1:2" x14ac:dyDescent="0.25">
      <c r="A40" s="46">
        <v>44141</v>
      </c>
      <c r="B40" s="3">
        <v>0.11097819836116013</v>
      </c>
    </row>
    <row r="41" spans="1:2" x14ac:dyDescent="0.25">
      <c r="A41" s="46">
        <v>44144</v>
      </c>
      <c r="B41" s="3">
        <v>0.11226196036344216</v>
      </c>
    </row>
    <row r="42" spans="1:2" x14ac:dyDescent="0.25">
      <c r="A42" s="46">
        <v>44145</v>
      </c>
      <c r="B42" s="3">
        <v>0.10221019096295259</v>
      </c>
    </row>
    <row r="43" spans="1:2" x14ac:dyDescent="0.25">
      <c r="A43" s="46">
        <v>44146</v>
      </c>
      <c r="B43" s="3">
        <v>9.6774134979509208E-2</v>
      </c>
    </row>
    <row r="44" spans="1:2" x14ac:dyDescent="0.25">
      <c r="A44" s="46">
        <v>44147</v>
      </c>
      <c r="B44" s="3">
        <v>8.6108053657023842E-2</v>
      </c>
    </row>
    <row r="45" spans="1:2" x14ac:dyDescent="0.25">
      <c r="A45" s="46">
        <v>44148</v>
      </c>
      <c r="B45" s="3">
        <v>9.3760738339494665E-2</v>
      </c>
    </row>
    <row r="46" spans="1:2" x14ac:dyDescent="0.25">
      <c r="A46" s="46">
        <v>44151</v>
      </c>
      <c r="B46" s="3">
        <v>9.0824625562196559E-2</v>
      </c>
    </row>
    <row r="47" spans="1:2" x14ac:dyDescent="0.25">
      <c r="A47" s="46">
        <v>44152</v>
      </c>
      <c r="B47" s="3">
        <v>8.5055128437724392E-2</v>
      </c>
    </row>
    <row r="48" spans="1:2" x14ac:dyDescent="0.25">
      <c r="A48" s="46">
        <v>44153</v>
      </c>
      <c r="B48" s="3">
        <v>8.1009994750572467E-2</v>
      </c>
    </row>
    <row r="49" spans="1:2" x14ac:dyDescent="0.25">
      <c r="A49" s="46">
        <v>44154</v>
      </c>
      <c r="B49" s="3">
        <v>7.2925565212077326E-2</v>
      </c>
    </row>
    <row r="50" spans="1:2" x14ac:dyDescent="0.25">
      <c r="A50" s="46">
        <v>44155</v>
      </c>
      <c r="B50" s="3">
        <v>7.2409063648085414E-2</v>
      </c>
    </row>
    <row r="51" spans="1:2" x14ac:dyDescent="0.25">
      <c r="A51" s="46">
        <v>44159</v>
      </c>
      <c r="B51" s="3">
        <v>7.8896778202296125E-2</v>
      </c>
    </row>
    <row r="52" spans="1:2" x14ac:dyDescent="0.25">
      <c r="A52" s="46">
        <v>44160</v>
      </c>
      <c r="B52" s="3">
        <v>8.23376529888733E-2</v>
      </c>
    </row>
    <row r="53" spans="1:2" x14ac:dyDescent="0.25">
      <c r="A53" s="46">
        <v>44161</v>
      </c>
      <c r="B53" s="3">
        <v>8.5410402748310743E-2</v>
      </c>
    </row>
    <row r="54" spans="1:2" x14ac:dyDescent="0.25">
      <c r="A54" s="46">
        <v>44162</v>
      </c>
      <c r="B54" s="3">
        <v>8.2084647289065116E-2</v>
      </c>
    </row>
    <row r="55" spans="1:2" x14ac:dyDescent="0.25">
      <c r="A55" s="46">
        <v>44165</v>
      </c>
      <c r="B55" s="3">
        <v>7.4305590377527042E-2</v>
      </c>
    </row>
    <row r="56" spans="1:2" x14ac:dyDescent="0.25">
      <c r="A56" s="46">
        <v>44166</v>
      </c>
      <c r="B56" s="3">
        <v>7.4877486760916878E-2</v>
      </c>
    </row>
    <row r="57" spans="1:2" x14ac:dyDescent="0.25">
      <c r="A57" s="46">
        <v>44167</v>
      </c>
      <c r="B57" s="3">
        <v>7.2860279012075924E-2</v>
      </c>
    </row>
    <row r="58" spans="1:2" x14ac:dyDescent="0.25">
      <c r="A58" s="46">
        <v>44168</v>
      </c>
      <c r="B58" s="3">
        <v>7.3252293228843468E-2</v>
      </c>
    </row>
    <row r="59" spans="1:2" x14ac:dyDescent="0.25">
      <c r="A59" s="46">
        <v>44169</v>
      </c>
      <c r="B59" s="3">
        <v>7.5141211802232488E-2</v>
      </c>
    </row>
    <row r="60" spans="1:2" x14ac:dyDescent="0.25">
      <c r="A60" s="46">
        <v>44174</v>
      </c>
      <c r="B60" s="3">
        <v>7.4485733776019025E-2</v>
      </c>
    </row>
    <row r="61" spans="1:2" x14ac:dyDescent="0.25">
      <c r="A61" s="46">
        <v>44175</v>
      </c>
      <c r="B61" s="3">
        <v>7.5897753621859576E-2</v>
      </c>
    </row>
    <row r="62" spans="1:2" x14ac:dyDescent="0.25">
      <c r="A62" s="46">
        <v>44176</v>
      </c>
      <c r="B62" s="3">
        <v>7.2174474500760866E-2</v>
      </c>
    </row>
    <row r="63" spans="1:2" x14ac:dyDescent="0.25">
      <c r="A63" s="46">
        <v>44179</v>
      </c>
      <c r="B63" s="3">
        <v>7.5154333204420221E-2</v>
      </c>
    </row>
    <row r="64" spans="1:2" x14ac:dyDescent="0.25">
      <c r="A64" s="46">
        <v>44180</v>
      </c>
      <c r="B64" s="3">
        <v>7.1623995256817619E-2</v>
      </c>
    </row>
    <row r="65" spans="1:2" x14ac:dyDescent="0.25">
      <c r="A65" s="46">
        <v>44181</v>
      </c>
      <c r="B65" s="3">
        <v>6.9602324143928529E-2</v>
      </c>
    </row>
    <row r="66" spans="1:2" x14ac:dyDescent="0.25">
      <c r="A66" s="46">
        <v>44182</v>
      </c>
      <c r="B66" s="3">
        <v>6.7291381690227914E-2</v>
      </c>
    </row>
    <row r="67" spans="1:2" x14ac:dyDescent="0.25">
      <c r="A67" s="46">
        <v>44183</v>
      </c>
      <c r="B67" s="3">
        <v>6.4588002947413792E-2</v>
      </c>
    </row>
    <row r="68" spans="1:2" x14ac:dyDescent="0.25">
      <c r="A68" s="46">
        <v>44186</v>
      </c>
      <c r="B68" s="3">
        <v>6.8681959793586767E-2</v>
      </c>
    </row>
    <row r="69" spans="1:2" x14ac:dyDescent="0.25">
      <c r="A69" s="46">
        <v>44187</v>
      </c>
      <c r="B69" s="3">
        <v>6.557369294280313E-2</v>
      </c>
    </row>
    <row r="70" spans="1:2" x14ac:dyDescent="0.25">
      <c r="A70" s="46">
        <v>44188</v>
      </c>
      <c r="B70" s="3">
        <v>6.776326973750324E-2</v>
      </c>
    </row>
    <row r="71" spans="1:2" x14ac:dyDescent="0.25">
      <c r="A71" s="46">
        <v>44193</v>
      </c>
      <c r="B71" s="3">
        <v>6.7409266794107803E-2</v>
      </c>
    </row>
    <row r="72" spans="1:2" x14ac:dyDescent="0.25">
      <c r="A72" s="46">
        <v>44194</v>
      </c>
      <c r="B72" s="3">
        <v>6.800428328442637E-2</v>
      </c>
    </row>
    <row r="73" spans="1:2" x14ac:dyDescent="0.25">
      <c r="A73" s="46">
        <v>44195</v>
      </c>
      <c r="B73" s="3">
        <v>6.6492801946426927E-2</v>
      </c>
    </row>
    <row r="74" spans="1:2" x14ac:dyDescent="0.25">
      <c r="A74" s="46">
        <v>44200</v>
      </c>
      <c r="B74" s="3">
        <v>6.7496643167603398E-2</v>
      </c>
    </row>
    <row r="75" spans="1:2" x14ac:dyDescent="0.25">
      <c r="A75" s="46">
        <v>44201</v>
      </c>
      <c r="B75" s="3">
        <v>6.9382687040316582E-2</v>
      </c>
    </row>
    <row r="76" spans="1:2" x14ac:dyDescent="0.25">
      <c r="A76" s="46">
        <v>44202</v>
      </c>
      <c r="B76" s="3">
        <v>7.0884489606350687E-2</v>
      </c>
    </row>
    <row r="77" spans="1:2" x14ac:dyDescent="0.25">
      <c r="A77" s="46">
        <v>44203</v>
      </c>
      <c r="B77" s="3">
        <v>6.565901801393903E-2</v>
      </c>
    </row>
    <row r="78" spans="1:2" x14ac:dyDescent="0.25">
      <c r="A78" s="46">
        <v>44204</v>
      </c>
      <c r="B78" s="3">
        <v>6.4331319590328118E-2</v>
      </c>
    </row>
    <row r="79" spans="1:2" x14ac:dyDescent="0.25">
      <c r="A79" s="46">
        <v>44207</v>
      </c>
      <c r="B79" s="3">
        <v>6.449763965465205E-2</v>
      </c>
    </row>
    <row r="80" spans="1:2" x14ac:dyDescent="0.25">
      <c r="A80" s="46">
        <v>44208</v>
      </c>
      <c r="B80" s="3">
        <v>6.4295143865633009E-2</v>
      </c>
    </row>
    <row r="81" spans="1:2" x14ac:dyDescent="0.25">
      <c r="A81" s="46">
        <v>44209</v>
      </c>
      <c r="B81" s="3">
        <v>6.466775488815929E-2</v>
      </c>
    </row>
    <row r="82" spans="1:2" x14ac:dyDescent="0.25">
      <c r="A82" s="46">
        <v>44210</v>
      </c>
      <c r="B82" s="3">
        <v>6.6045407794567357E-2</v>
      </c>
    </row>
    <row r="83" spans="1:2" x14ac:dyDescent="0.25">
      <c r="A83" s="46">
        <v>44211</v>
      </c>
      <c r="B83" s="3">
        <v>6.6029111126322593E-2</v>
      </c>
    </row>
    <row r="84" spans="1:2" x14ac:dyDescent="0.25">
      <c r="A84" s="46">
        <v>44214</v>
      </c>
      <c r="B84" s="3">
        <v>6.4699377383613144E-2</v>
      </c>
    </row>
    <row r="85" spans="1:2" x14ac:dyDescent="0.25">
      <c r="A85" s="46">
        <v>44215</v>
      </c>
      <c r="B85" s="3">
        <v>6.5193860007644877E-2</v>
      </c>
    </row>
    <row r="86" spans="1:2" x14ac:dyDescent="0.25">
      <c r="A86" s="46">
        <v>44216</v>
      </c>
      <c r="B86" s="3">
        <v>6.2673024328506521E-2</v>
      </c>
    </row>
    <row r="87" spans="1:2" x14ac:dyDescent="0.25">
      <c r="A87" s="46">
        <v>44217</v>
      </c>
      <c r="B87" s="3">
        <v>6.6662598111992821E-2</v>
      </c>
    </row>
    <row r="88" spans="1:2" x14ac:dyDescent="0.25">
      <c r="A88" s="46">
        <v>44218</v>
      </c>
      <c r="B88" s="3">
        <v>6.4655607131404724E-2</v>
      </c>
    </row>
    <row r="89" spans="1:2" x14ac:dyDescent="0.25">
      <c r="A89" s="46">
        <v>44221</v>
      </c>
      <c r="B89" s="3">
        <v>6.4521464895299863E-2</v>
      </c>
    </row>
    <row r="90" spans="1:2" x14ac:dyDescent="0.25">
      <c r="A90" s="46">
        <v>44222</v>
      </c>
      <c r="B90" s="3">
        <v>6.4109783560027667E-2</v>
      </c>
    </row>
    <row r="91" spans="1:2" x14ac:dyDescent="0.25">
      <c r="A91" s="46">
        <v>44223</v>
      </c>
      <c r="B91" s="3">
        <v>6.1097850935302567E-2</v>
      </c>
    </row>
    <row r="92" spans="1:2" x14ac:dyDescent="0.25">
      <c r="A92" s="46">
        <v>44224</v>
      </c>
      <c r="B92" s="3">
        <v>5.9071667871294364E-2</v>
      </c>
    </row>
    <row r="93" spans="1:2" x14ac:dyDescent="0.25">
      <c r="A93" s="46">
        <v>44225</v>
      </c>
      <c r="B93" s="3">
        <v>6.2167507772646291E-2</v>
      </c>
    </row>
    <row r="94" spans="1:2" x14ac:dyDescent="0.25">
      <c r="A94" s="46">
        <v>44228</v>
      </c>
      <c r="B94" s="3">
        <v>6.3347563386552841E-2</v>
      </c>
    </row>
    <row r="95" spans="1:2" x14ac:dyDescent="0.25">
      <c r="A95" s="46">
        <v>44229</v>
      </c>
      <c r="B95" s="3">
        <v>6.4541014961027432E-2</v>
      </c>
    </row>
    <row r="96" spans="1:2" x14ac:dyDescent="0.25">
      <c r="A96" s="46">
        <v>44230</v>
      </c>
      <c r="B96" s="3">
        <v>6.4021491398120967E-2</v>
      </c>
    </row>
    <row r="97" spans="1:2" x14ac:dyDescent="0.25">
      <c r="A97" s="46">
        <v>44231</v>
      </c>
      <c r="B97" s="3">
        <v>5.9404769011688618E-2</v>
      </c>
    </row>
    <row r="98" spans="1:2" x14ac:dyDescent="0.25">
      <c r="A98" s="46">
        <v>44232</v>
      </c>
      <c r="B98" s="3">
        <v>5.8794698803027678E-2</v>
      </c>
    </row>
    <row r="99" spans="1:2" x14ac:dyDescent="0.25">
      <c r="A99" s="46">
        <v>44235</v>
      </c>
      <c r="B99" s="3">
        <v>5.9968614333525683E-2</v>
      </c>
    </row>
    <row r="100" spans="1:2" x14ac:dyDescent="0.25">
      <c r="A100" s="46">
        <v>44236</v>
      </c>
      <c r="B100" s="3">
        <v>5.9355645659395717E-2</v>
      </c>
    </row>
    <row r="101" spans="1:2" x14ac:dyDescent="0.25">
      <c r="A101" s="46">
        <v>44237</v>
      </c>
      <c r="B101" s="3">
        <v>6.1244714418312141E-2</v>
      </c>
    </row>
    <row r="102" spans="1:2" x14ac:dyDescent="0.25">
      <c r="A102" s="46">
        <v>44238</v>
      </c>
      <c r="B102" s="3">
        <v>5.7321948066348216E-2</v>
      </c>
    </row>
    <row r="103" spans="1:2" x14ac:dyDescent="0.25">
      <c r="A103" s="46">
        <v>44239</v>
      </c>
      <c r="B103" s="3">
        <v>5.7408807757108271E-2</v>
      </c>
    </row>
    <row r="104" spans="1:2" x14ac:dyDescent="0.25">
      <c r="A104" s="46">
        <v>44244</v>
      </c>
      <c r="B104" s="3">
        <v>5.9751250992759797E-2</v>
      </c>
    </row>
    <row r="105" spans="1:2" x14ac:dyDescent="0.25">
      <c r="A105" s="46">
        <v>44245</v>
      </c>
      <c r="B105" s="3">
        <v>6.2251728891729197E-2</v>
      </c>
    </row>
    <row r="106" spans="1:2" x14ac:dyDescent="0.25">
      <c r="A106" s="46">
        <v>44246</v>
      </c>
      <c r="B106" s="3">
        <v>5.6826028359362957E-2</v>
      </c>
    </row>
    <row r="107" spans="1:2" x14ac:dyDescent="0.25">
      <c r="A107" s="46">
        <v>44249</v>
      </c>
      <c r="B107" s="3">
        <v>5.6387412961274308E-2</v>
      </c>
    </row>
    <row r="108" spans="1:2" x14ac:dyDescent="0.25">
      <c r="A108" s="46">
        <v>44250</v>
      </c>
      <c r="B108" s="3">
        <v>5.0757033178098931E-2</v>
      </c>
    </row>
    <row r="109" spans="1:2" x14ac:dyDescent="0.25">
      <c r="A109" s="46">
        <v>44251</v>
      </c>
      <c r="B109" s="3">
        <v>4.9253883132878151E-2</v>
      </c>
    </row>
    <row r="110" spans="1:2" x14ac:dyDescent="0.25">
      <c r="A110" s="46">
        <v>44252</v>
      </c>
      <c r="B110" s="3">
        <v>4.8444835064670011E-2</v>
      </c>
    </row>
    <row r="111" spans="1:2" x14ac:dyDescent="0.25">
      <c r="A111" s="46">
        <v>44253</v>
      </c>
      <c r="B111" s="3">
        <v>5.0740717631933163E-2</v>
      </c>
    </row>
    <row r="112" spans="1:2" x14ac:dyDescent="0.25">
      <c r="A112" s="46">
        <v>44256</v>
      </c>
      <c r="B112" s="3">
        <v>5.1117179562100268E-2</v>
      </c>
    </row>
    <row r="113" spans="1:2" x14ac:dyDescent="0.25">
      <c r="A113" s="46">
        <v>44257</v>
      </c>
      <c r="B113" s="3">
        <v>5.5594244766326961E-2</v>
      </c>
    </row>
    <row r="114" spans="1:2" x14ac:dyDescent="0.25">
      <c r="A114" s="46">
        <v>44258</v>
      </c>
      <c r="B114" s="3">
        <v>5.5779185560920375E-2</v>
      </c>
    </row>
    <row r="115" spans="1:2" x14ac:dyDescent="0.25">
      <c r="A115" s="46">
        <v>44259</v>
      </c>
      <c r="B115" s="3">
        <v>5.6179281141297499E-2</v>
      </c>
    </row>
    <row r="116" spans="1:2" x14ac:dyDescent="0.25">
      <c r="A116" s="46">
        <v>44260</v>
      </c>
      <c r="B116" s="3">
        <v>5.3660086981865807E-2</v>
      </c>
    </row>
    <row r="117" spans="1:2" x14ac:dyDescent="0.25">
      <c r="A117" s="46">
        <v>44263</v>
      </c>
      <c r="B117" s="3">
        <v>5.0012494526040729E-2</v>
      </c>
    </row>
    <row r="118" spans="1:2" x14ac:dyDescent="0.25">
      <c r="A118" s="46">
        <v>44264</v>
      </c>
      <c r="B118" s="3">
        <v>4.378203637831718E-2</v>
      </c>
    </row>
    <row r="119" spans="1:2" x14ac:dyDescent="0.25">
      <c r="A119" s="46">
        <v>44265</v>
      </c>
      <c r="B119" s="3">
        <v>3.6833879863851893E-2</v>
      </c>
    </row>
    <row r="120" spans="1:2" x14ac:dyDescent="0.25">
      <c r="A120" s="46">
        <v>44266</v>
      </c>
      <c r="B120" s="3">
        <v>3.5523325949807505E-2</v>
      </c>
    </row>
    <row r="121" spans="1:2" x14ac:dyDescent="0.25">
      <c r="A121" s="46">
        <v>44267</v>
      </c>
      <c r="B121" s="3">
        <v>3.1129007499417161E-2</v>
      </c>
    </row>
    <row r="122" spans="1:2" x14ac:dyDescent="0.25">
      <c r="A122" s="46">
        <v>44270</v>
      </c>
      <c r="B122" s="3">
        <v>3.133012431403237E-2</v>
      </c>
    </row>
    <row r="123" spans="1:2" x14ac:dyDescent="0.25">
      <c r="A123" s="46">
        <v>44271</v>
      </c>
      <c r="B123" s="3">
        <v>3.2626428190698165E-2</v>
      </c>
    </row>
    <row r="124" spans="1:2" x14ac:dyDescent="0.25">
      <c r="A124" s="46">
        <v>44272</v>
      </c>
      <c r="B124" s="3">
        <v>3.1922408991433004E-2</v>
      </c>
    </row>
    <row r="125" spans="1:2" x14ac:dyDescent="0.25">
      <c r="A125" s="46">
        <v>44273</v>
      </c>
      <c r="B125" s="3">
        <v>2.8708908618720885E-2</v>
      </c>
    </row>
    <row r="126" spans="1:2" x14ac:dyDescent="0.25">
      <c r="A126" s="46">
        <v>44274</v>
      </c>
      <c r="B126" s="3">
        <v>2.8507416708435096E-2</v>
      </c>
    </row>
    <row r="127" spans="1:2" x14ac:dyDescent="0.25">
      <c r="A127" s="46">
        <v>44277</v>
      </c>
      <c r="B127" s="3">
        <v>2.799457556920304E-2</v>
      </c>
    </row>
    <row r="128" spans="1:2" x14ac:dyDescent="0.25">
      <c r="A128" s="46">
        <v>44278</v>
      </c>
      <c r="B128" s="3">
        <v>2.0975037787369089E-2</v>
      </c>
    </row>
    <row r="129" spans="1:2" x14ac:dyDescent="0.25">
      <c r="A129" s="46">
        <v>44280</v>
      </c>
      <c r="B129" s="3">
        <v>1.8934526402281382E-2</v>
      </c>
    </row>
    <row r="130" spans="1:2" x14ac:dyDescent="0.25">
      <c r="A130" s="46">
        <v>44281</v>
      </c>
      <c r="B130" s="3">
        <v>2.2429465994647957E-2</v>
      </c>
    </row>
    <row r="131" spans="1:2" x14ac:dyDescent="0.25">
      <c r="A131" s="46">
        <v>44284</v>
      </c>
      <c r="B131" s="3">
        <v>2.4695781122458571E-2</v>
      </c>
    </row>
    <row r="132" spans="1:2" x14ac:dyDescent="0.25">
      <c r="A132" s="46">
        <v>44285</v>
      </c>
      <c r="B132" s="3">
        <v>1.9876081517613498E-2</v>
      </c>
    </row>
    <row r="133" spans="1:2" x14ac:dyDescent="0.25">
      <c r="A133" s="46">
        <v>44286</v>
      </c>
      <c r="B133" s="3">
        <v>2.5374074366880162E-2</v>
      </c>
    </row>
    <row r="134" spans="1:2" x14ac:dyDescent="0.25">
      <c r="A134" s="46">
        <v>44291</v>
      </c>
      <c r="B134" s="3">
        <v>2.9935395071754634E-2</v>
      </c>
    </row>
    <row r="135" spans="1:2" x14ac:dyDescent="0.25">
      <c r="A135" s="46">
        <v>44292</v>
      </c>
      <c r="B135" s="3">
        <v>2.9820668034604758E-2</v>
      </c>
    </row>
    <row r="136" spans="1:2" x14ac:dyDescent="0.25">
      <c r="A136" s="46">
        <v>44293</v>
      </c>
      <c r="B136" s="3">
        <v>2.6708465605833343E-2</v>
      </c>
    </row>
    <row r="137" spans="1:2" x14ac:dyDescent="0.25">
      <c r="A137" s="46">
        <v>44294</v>
      </c>
      <c r="B137" s="3">
        <v>2.8602337338041572E-2</v>
      </c>
    </row>
    <row r="138" spans="1:2" x14ac:dyDescent="0.25">
      <c r="A138" s="46">
        <v>44295</v>
      </c>
      <c r="B138" s="3">
        <v>2.5687000086605405E-2</v>
      </c>
    </row>
    <row r="139" spans="1:2" x14ac:dyDescent="0.25">
      <c r="A139" s="46">
        <v>44298</v>
      </c>
      <c r="B139" s="3">
        <v>2.8275095467953482E-2</v>
      </c>
    </row>
    <row r="140" spans="1:2" x14ac:dyDescent="0.25">
      <c r="A140" s="46">
        <v>44299</v>
      </c>
      <c r="B140" s="3">
        <v>2.9769848005544663E-2</v>
      </c>
    </row>
    <row r="141" spans="1:2" x14ac:dyDescent="0.25">
      <c r="A141" s="46">
        <v>44300</v>
      </c>
      <c r="B141" s="3">
        <v>2.9660326309889962E-2</v>
      </c>
    </row>
    <row r="142" spans="1:2" x14ac:dyDescent="0.25">
      <c r="A142" s="46">
        <v>44301</v>
      </c>
      <c r="B142" s="3">
        <v>3.0746266464964589E-2</v>
      </c>
    </row>
    <row r="143" spans="1:2" x14ac:dyDescent="0.25">
      <c r="A143" s="46">
        <v>44302</v>
      </c>
      <c r="B143" s="3">
        <v>3.1239627119904134E-2</v>
      </c>
    </row>
    <row r="144" spans="1:2" x14ac:dyDescent="0.25">
      <c r="A144" s="46">
        <v>44305</v>
      </c>
      <c r="B144" s="3">
        <v>3.1213146483275167E-2</v>
      </c>
    </row>
    <row r="145" spans="1:2" x14ac:dyDescent="0.25">
      <c r="A145" s="46">
        <v>44306</v>
      </c>
      <c r="B145" s="3">
        <v>3.2203633456933167E-2</v>
      </c>
    </row>
    <row r="146" spans="1:2" x14ac:dyDescent="0.25">
      <c r="A146" s="46">
        <v>44307</v>
      </c>
      <c r="B146" s="3">
        <v>3.4700239510363884E-2</v>
      </c>
    </row>
    <row r="147" spans="1:2" x14ac:dyDescent="0.25">
      <c r="A147" s="46">
        <v>44308</v>
      </c>
      <c r="B147" s="3">
        <v>3.2194435367468188E-2</v>
      </c>
    </row>
    <row r="148" spans="1:2" x14ac:dyDescent="0.25">
      <c r="A148" s="46">
        <v>44309</v>
      </c>
      <c r="B148" s="3">
        <v>3.8186168877169135E-2</v>
      </c>
    </row>
    <row r="149" spans="1:2" x14ac:dyDescent="0.25">
      <c r="A149" s="46">
        <v>44312</v>
      </c>
      <c r="B149" s="3">
        <v>4.1065266117531862E-2</v>
      </c>
    </row>
    <row r="150" spans="1:2" x14ac:dyDescent="0.25">
      <c r="A150" s="46">
        <v>44313</v>
      </c>
      <c r="B150" s="3">
        <v>4.0958686565428892E-2</v>
      </c>
    </row>
    <row r="151" spans="1:2" x14ac:dyDescent="0.25">
      <c r="A151" s="46">
        <v>44314</v>
      </c>
      <c r="B151" s="3">
        <v>4.165448695708851E-2</v>
      </c>
    </row>
    <row r="152" spans="1:2" x14ac:dyDescent="0.25">
      <c r="A152" s="46">
        <v>44315</v>
      </c>
      <c r="B152" s="3">
        <v>4.113757956111419E-2</v>
      </c>
    </row>
    <row r="153" spans="1:2" x14ac:dyDescent="0.25">
      <c r="A153" s="46">
        <v>44316</v>
      </c>
      <c r="B153" s="3">
        <v>3.9629061605292892E-2</v>
      </c>
    </row>
    <row r="154" spans="1:2" x14ac:dyDescent="0.25">
      <c r="A154" s="46">
        <v>44319</v>
      </c>
      <c r="B154" s="3">
        <v>4.2801493618680464E-2</v>
      </c>
    </row>
    <row r="155" spans="1:2" x14ac:dyDescent="0.25">
      <c r="A155" s="46">
        <v>44320</v>
      </c>
      <c r="B155" s="3">
        <v>3.9791502752805186E-2</v>
      </c>
    </row>
    <row r="156" spans="1:2" x14ac:dyDescent="0.25">
      <c r="A156" s="46">
        <v>44321</v>
      </c>
      <c r="B156" s="3">
        <v>3.8579913642890318E-2</v>
      </c>
    </row>
    <row r="157" spans="1:2" x14ac:dyDescent="0.25">
      <c r="A157" s="46">
        <v>44322</v>
      </c>
      <c r="B157" s="3">
        <v>4.1070600194531015E-2</v>
      </c>
    </row>
    <row r="158" spans="1:2" x14ac:dyDescent="0.25">
      <c r="A158" s="46">
        <v>44323</v>
      </c>
      <c r="B158" s="3">
        <v>4.0557927859034615E-2</v>
      </c>
    </row>
    <row r="159" spans="1:2" x14ac:dyDescent="0.25">
      <c r="A159" s="46">
        <v>44326</v>
      </c>
      <c r="B159" s="3">
        <v>4.2033060640477127E-2</v>
      </c>
    </row>
    <row r="160" spans="1:2" x14ac:dyDescent="0.25">
      <c r="A160" s="46">
        <v>44327</v>
      </c>
      <c r="B160" s="3">
        <v>4.0418027458626049E-2</v>
      </c>
    </row>
    <row r="161" spans="1:2" x14ac:dyDescent="0.25">
      <c r="A161" s="46">
        <v>44328</v>
      </c>
      <c r="B161" s="3">
        <v>4.111382818178172E-2</v>
      </c>
    </row>
    <row r="162" spans="1:2" x14ac:dyDescent="0.25">
      <c r="A162" s="46">
        <v>44329</v>
      </c>
      <c r="B162" s="3">
        <v>4.2907221525040617E-2</v>
      </c>
    </row>
    <row r="163" spans="1:2" x14ac:dyDescent="0.25">
      <c r="A163" s="46">
        <v>44330</v>
      </c>
      <c r="B163" s="3">
        <v>4.4211601536337075E-2</v>
      </c>
    </row>
    <row r="164" spans="1:2" x14ac:dyDescent="0.25">
      <c r="A164" s="46">
        <v>44333</v>
      </c>
      <c r="B164" s="3">
        <v>4.3091967987738067E-2</v>
      </c>
    </row>
    <row r="165" spans="1:2" x14ac:dyDescent="0.25">
      <c r="A165" s="46">
        <v>44334</v>
      </c>
      <c r="B165" s="3">
        <v>4.5482474069943046E-2</v>
      </c>
    </row>
    <row r="166" spans="1:2" x14ac:dyDescent="0.25">
      <c r="A166" s="46">
        <v>44335</v>
      </c>
      <c r="B166" s="3">
        <v>3.8965310962510491E-2</v>
      </c>
    </row>
    <row r="167" spans="1:2" x14ac:dyDescent="0.25">
      <c r="A167" s="46">
        <v>44336</v>
      </c>
      <c r="B167" s="3">
        <v>4.3355006106942318E-2</v>
      </c>
    </row>
    <row r="168" spans="1:2" x14ac:dyDescent="0.25">
      <c r="A168" s="46">
        <v>44337</v>
      </c>
      <c r="B168" s="3">
        <v>3.6140448837633454E-2</v>
      </c>
    </row>
    <row r="169" spans="1:2" x14ac:dyDescent="0.25">
      <c r="A169" s="46">
        <v>44342</v>
      </c>
      <c r="B169" s="3">
        <v>3.1103563566456216E-2</v>
      </c>
    </row>
    <row r="170" spans="1:2" x14ac:dyDescent="0.25">
      <c r="A170" s="46">
        <v>44343</v>
      </c>
      <c r="B170" s="3">
        <v>2.8897461828265025E-2</v>
      </c>
    </row>
    <row r="171" spans="1:2" x14ac:dyDescent="0.25">
      <c r="A171" s="46">
        <v>44344</v>
      </c>
      <c r="B171" s="3">
        <v>3.0783842481893808E-2</v>
      </c>
    </row>
    <row r="172" spans="1:2" x14ac:dyDescent="0.25">
      <c r="A172" s="46">
        <v>44347</v>
      </c>
      <c r="B172" s="3">
        <v>3.2356231811787206E-2</v>
      </c>
    </row>
    <row r="173" spans="1:2" x14ac:dyDescent="0.25">
      <c r="A173" s="46">
        <v>44348</v>
      </c>
      <c r="B173" s="3">
        <v>2.9849041751376093E-2</v>
      </c>
    </row>
    <row r="174" spans="1:2" x14ac:dyDescent="0.25">
      <c r="A174" s="46">
        <v>44349</v>
      </c>
      <c r="B174" s="3">
        <v>3.0244336745775924E-2</v>
      </c>
    </row>
    <row r="175" spans="1:2" x14ac:dyDescent="0.25">
      <c r="A175" s="46">
        <v>44350</v>
      </c>
      <c r="B175" s="3">
        <v>3.733459960492469E-2</v>
      </c>
    </row>
    <row r="176" spans="1:2" x14ac:dyDescent="0.25">
      <c r="A176" s="46">
        <v>44351</v>
      </c>
      <c r="B176" s="3">
        <v>3.472372365604931E-2</v>
      </c>
    </row>
    <row r="177" spans="1:2" x14ac:dyDescent="0.25">
      <c r="A177" s="46">
        <v>44354</v>
      </c>
      <c r="B177" s="3">
        <v>2.8496190765361806E-2</v>
      </c>
    </row>
    <row r="178" spans="1:2" x14ac:dyDescent="0.25">
      <c r="A178" s="46">
        <v>44355</v>
      </c>
      <c r="B178" s="3">
        <v>2.8791272284001856E-2</v>
      </c>
    </row>
    <row r="179" spans="1:2" x14ac:dyDescent="0.25">
      <c r="A179" s="46">
        <v>44356</v>
      </c>
      <c r="B179" s="3">
        <v>2.9285878304879331E-2</v>
      </c>
    </row>
    <row r="180" spans="1:2" x14ac:dyDescent="0.25">
      <c r="A180" s="46">
        <v>44357</v>
      </c>
      <c r="B180" s="3">
        <v>2.5277334938360985E-2</v>
      </c>
    </row>
    <row r="181" spans="1:2" x14ac:dyDescent="0.25">
      <c r="A181" s="46">
        <v>44358</v>
      </c>
      <c r="B181" s="3">
        <v>2.2270163023051015E-2</v>
      </c>
    </row>
    <row r="182" spans="1:2" x14ac:dyDescent="0.25">
      <c r="A182" s="46">
        <v>44361</v>
      </c>
      <c r="B182" s="3">
        <v>1.8740595250105019E-2</v>
      </c>
    </row>
    <row r="183" spans="1:2" x14ac:dyDescent="0.25">
      <c r="A183" s="46">
        <v>44362</v>
      </c>
      <c r="B183" s="3">
        <v>1.4429747252374114E-2</v>
      </c>
    </row>
    <row r="184" spans="1:2" x14ac:dyDescent="0.25">
      <c r="A184" s="46">
        <v>44363</v>
      </c>
      <c r="B184" s="3">
        <v>2.3119694320709483E-2</v>
      </c>
    </row>
    <row r="185" spans="1:2" x14ac:dyDescent="0.25">
      <c r="A185" s="46">
        <v>44364</v>
      </c>
      <c r="B185" s="3">
        <v>2.3409261381302338E-2</v>
      </c>
    </row>
    <row r="186" spans="1:2" x14ac:dyDescent="0.25">
      <c r="A186" s="46">
        <v>44365</v>
      </c>
      <c r="B186" s="3">
        <v>2.3299182068170221E-2</v>
      </c>
    </row>
    <row r="187" spans="1:2" x14ac:dyDescent="0.25">
      <c r="A187" s="46">
        <v>44369</v>
      </c>
      <c r="B187" s="3">
        <v>2.4158788024942368E-2</v>
      </c>
    </row>
    <row r="188" spans="1:2" x14ac:dyDescent="0.25">
      <c r="A188" s="46">
        <v>44370</v>
      </c>
      <c r="B188" s="3">
        <v>2.5649333301708044E-2</v>
      </c>
    </row>
    <row r="189" spans="1:2" x14ac:dyDescent="0.25">
      <c r="A189" s="46">
        <v>44371</v>
      </c>
      <c r="B189" s="3">
        <v>2.4238520722198453E-2</v>
      </c>
    </row>
    <row r="190" spans="1:2" x14ac:dyDescent="0.25">
      <c r="A190" s="46">
        <v>44372</v>
      </c>
      <c r="B190" s="3">
        <v>2.71270371952676E-2</v>
      </c>
    </row>
    <row r="191" spans="1:2" x14ac:dyDescent="0.25">
      <c r="A191" s="46">
        <v>44375</v>
      </c>
      <c r="B191" s="3">
        <v>2.7499266905005648E-2</v>
      </c>
    </row>
    <row r="192" spans="1:2" x14ac:dyDescent="0.25">
      <c r="A192" s="46">
        <v>44376</v>
      </c>
      <c r="B192" s="3">
        <v>2.6288951827534046E-2</v>
      </c>
    </row>
    <row r="193" spans="1:2" x14ac:dyDescent="0.25">
      <c r="A193" s="46">
        <v>44377</v>
      </c>
      <c r="B193" s="3">
        <v>2.4679227954440774E-2</v>
      </c>
    </row>
    <row r="194" spans="1:2" x14ac:dyDescent="0.25">
      <c r="A194" s="46">
        <v>44378</v>
      </c>
      <c r="B194" s="3">
        <v>1.9070058256015487E-2</v>
      </c>
    </row>
    <row r="195" spans="1:2" x14ac:dyDescent="0.25">
      <c r="A195" s="46">
        <v>44379</v>
      </c>
      <c r="B195" s="3">
        <v>1.7561682748072516E-2</v>
      </c>
    </row>
    <row r="196" spans="1:2" x14ac:dyDescent="0.25">
      <c r="A196" s="46">
        <v>44382</v>
      </c>
      <c r="B196" s="3">
        <v>1.5035113895580543E-2</v>
      </c>
    </row>
    <row r="197" spans="1:2" x14ac:dyDescent="0.25">
      <c r="A197" s="46">
        <v>44383</v>
      </c>
      <c r="B197" s="3">
        <v>1.7026283237839557E-2</v>
      </c>
    </row>
    <row r="198" spans="1:2" x14ac:dyDescent="0.25">
      <c r="A198" s="46">
        <v>44384</v>
      </c>
      <c r="B198" s="3">
        <v>9.0171311896343753E-3</v>
      </c>
    </row>
    <row r="199" spans="1:2" x14ac:dyDescent="0.25">
      <c r="A199" s="46">
        <v>44385</v>
      </c>
      <c r="B199" s="3">
        <v>4.9085369064988948E-3</v>
      </c>
    </row>
    <row r="200" spans="1:2" x14ac:dyDescent="0.25">
      <c r="A200" s="46">
        <v>44389</v>
      </c>
      <c r="B200" s="3">
        <v>5.4741992988668886E-3</v>
      </c>
    </row>
    <row r="201" spans="1:2" x14ac:dyDescent="0.25">
      <c r="A201" s="46">
        <v>44390</v>
      </c>
      <c r="B201" s="3">
        <v>4.6542891902362493E-4</v>
      </c>
    </row>
    <row r="202" spans="1:2" x14ac:dyDescent="0.25">
      <c r="A202" s="46">
        <v>44391</v>
      </c>
      <c r="B202" s="3">
        <v>1.1563560383090477E-3</v>
      </c>
    </row>
    <row r="203" spans="1:2" x14ac:dyDescent="0.25">
      <c r="A203" s="46">
        <v>44392</v>
      </c>
      <c r="B203" s="3">
        <v>1.4769254950908195E-4</v>
      </c>
    </row>
    <row r="204" spans="1:2" x14ac:dyDescent="0.25">
      <c r="A204" s="46">
        <v>44393</v>
      </c>
      <c r="B204" s="3">
        <v>-3.5609851135525727E-3</v>
      </c>
    </row>
    <row r="205" spans="1:2" x14ac:dyDescent="0.25">
      <c r="A205" s="46" t="s">
        <v>34</v>
      </c>
      <c r="B205" s="44">
        <v>10.992565498070899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5"/>
  <sheetViews>
    <sheetView workbookViewId="0"/>
  </sheetViews>
  <sheetFormatPr baseColWidth="10" defaultRowHeight="15" x14ac:dyDescent="0.25"/>
  <cols>
    <col min="1" max="1" width="17.5703125" bestFit="1" customWidth="1"/>
    <col min="2" max="2" width="13.7109375" customWidth="1"/>
  </cols>
  <sheetData>
    <row r="1" spans="1:2" x14ac:dyDescent="0.25">
      <c r="A1" s="45" t="s">
        <v>33</v>
      </c>
      <c r="B1" t="s">
        <v>59</v>
      </c>
    </row>
    <row r="2" spans="1:2" x14ac:dyDescent="0.25">
      <c r="A2" s="46">
        <v>44088</v>
      </c>
      <c r="B2" s="44">
        <v>7.337488258565239E-2</v>
      </c>
    </row>
    <row r="3" spans="1:2" x14ac:dyDescent="0.25">
      <c r="A3" s="46">
        <v>44089</v>
      </c>
      <c r="B3" s="44">
        <v>6.5366485774914884E-2</v>
      </c>
    </row>
    <row r="4" spans="1:2" x14ac:dyDescent="0.25">
      <c r="A4" s="46">
        <v>44090</v>
      </c>
      <c r="B4" s="44">
        <v>6.0661492471820788E-2</v>
      </c>
    </row>
    <row r="5" spans="1:2" x14ac:dyDescent="0.25">
      <c r="A5" s="46">
        <v>44091</v>
      </c>
      <c r="B5" s="44">
        <v>5.1552081726401633E-2</v>
      </c>
    </row>
    <row r="6" spans="1:2" x14ac:dyDescent="0.25">
      <c r="A6" s="46">
        <v>44092</v>
      </c>
      <c r="B6" s="44">
        <v>5.5055432524528103E-2</v>
      </c>
    </row>
    <row r="7" spans="1:2" x14ac:dyDescent="0.25">
      <c r="A7" s="46">
        <v>44095</v>
      </c>
      <c r="B7" s="44">
        <v>5.8858657086342858E-2</v>
      </c>
    </row>
    <row r="8" spans="1:2" x14ac:dyDescent="0.25">
      <c r="A8" s="46">
        <v>44096</v>
      </c>
      <c r="B8" s="44">
        <v>6.8968496109149513E-2</v>
      </c>
    </row>
    <row r="9" spans="1:2" x14ac:dyDescent="0.25">
      <c r="A9" s="46">
        <v>44097</v>
      </c>
      <c r="B9" s="44">
        <v>6.8067368045771293E-2</v>
      </c>
    </row>
    <row r="10" spans="1:2" x14ac:dyDescent="0.25">
      <c r="A10" s="46">
        <v>44098</v>
      </c>
      <c r="B10" s="44">
        <v>4.104047827994739E-2</v>
      </c>
    </row>
    <row r="11" spans="1:2" x14ac:dyDescent="0.25">
      <c r="A11" s="46">
        <v>44099</v>
      </c>
      <c r="B11" s="44">
        <v>3.7036402217247799E-2</v>
      </c>
    </row>
    <row r="12" spans="1:2" x14ac:dyDescent="0.25">
      <c r="A12" s="46">
        <v>44102</v>
      </c>
      <c r="B12" s="44">
        <v>3.9037968435053305E-2</v>
      </c>
    </row>
    <row r="13" spans="1:2" x14ac:dyDescent="0.25">
      <c r="A13" s="46">
        <v>44103</v>
      </c>
      <c r="B13" s="44">
        <v>4.7746274642890274E-2</v>
      </c>
    </row>
    <row r="14" spans="1:2" x14ac:dyDescent="0.25">
      <c r="A14" s="46">
        <v>44104</v>
      </c>
      <c r="B14" s="44">
        <v>3.8637314118429467E-2</v>
      </c>
    </row>
    <row r="15" spans="1:2" x14ac:dyDescent="0.25">
      <c r="A15" s="46">
        <v>44105</v>
      </c>
      <c r="B15" s="44">
        <v>3.9037566973697313E-2</v>
      </c>
    </row>
    <row r="16" spans="1:2" x14ac:dyDescent="0.25">
      <c r="A16" s="46">
        <v>44106</v>
      </c>
      <c r="B16" s="44">
        <v>4.2540792540792516E-2</v>
      </c>
    </row>
    <row r="17" spans="1:2" x14ac:dyDescent="0.25">
      <c r="A17" s="46">
        <v>44109</v>
      </c>
      <c r="B17" s="44">
        <v>4.9046527013639651E-2</v>
      </c>
    </row>
    <row r="18" spans="1:2" x14ac:dyDescent="0.25">
      <c r="A18" s="46">
        <v>44110</v>
      </c>
      <c r="B18" s="44">
        <v>4.4942479878241126E-2</v>
      </c>
    </row>
    <row r="19" spans="1:2" x14ac:dyDescent="0.25">
      <c r="A19" s="46">
        <v>44111</v>
      </c>
      <c r="B19" s="44">
        <v>4.704430542462934E-2</v>
      </c>
    </row>
    <row r="20" spans="1:2" x14ac:dyDescent="0.25">
      <c r="A20" s="46">
        <v>44112</v>
      </c>
      <c r="B20" s="44">
        <v>4.8245271247677579E-2</v>
      </c>
    </row>
    <row r="21" spans="1:2" x14ac:dyDescent="0.25">
      <c r="A21" s="46">
        <v>44113</v>
      </c>
      <c r="B21" s="44">
        <v>4.7344263643749107E-2</v>
      </c>
    </row>
    <row r="22" spans="1:2" x14ac:dyDescent="0.25">
      <c r="A22" s="46">
        <v>44117</v>
      </c>
      <c r="B22" s="44">
        <v>5.0446472949395138E-2</v>
      </c>
    </row>
    <row r="23" spans="1:2" x14ac:dyDescent="0.25">
      <c r="A23" s="46">
        <v>44118</v>
      </c>
      <c r="B23" s="44">
        <v>5.0746575624203039E-2</v>
      </c>
    </row>
    <row r="24" spans="1:2" x14ac:dyDescent="0.25">
      <c r="A24" s="46">
        <v>44119</v>
      </c>
      <c r="B24" s="44">
        <v>6.4058574107145883E-2</v>
      </c>
    </row>
    <row r="25" spans="1:2" x14ac:dyDescent="0.25">
      <c r="A25" s="46">
        <v>44120</v>
      </c>
      <c r="B25" s="44">
        <v>6.5259448675848486E-2</v>
      </c>
    </row>
    <row r="26" spans="1:2" x14ac:dyDescent="0.25">
      <c r="A26" s="46">
        <v>44123</v>
      </c>
      <c r="B26" s="44">
        <v>7.4066710770317123E-2</v>
      </c>
    </row>
    <row r="27" spans="1:2" x14ac:dyDescent="0.25">
      <c r="A27" s="46">
        <v>44124</v>
      </c>
      <c r="B27" s="44">
        <v>5.3447956728297386E-2</v>
      </c>
    </row>
    <row r="28" spans="1:2" x14ac:dyDescent="0.25">
      <c r="A28" s="46">
        <v>44125</v>
      </c>
      <c r="B28" s="44">
        <v>5.805188884585194E-2</v>
      </c>
    </row>
    <row r="29" spans="1:2" x14ac:dyDescent="0.25">
      <c r="A29" s="46">
        <v>44126</v>
      </c>
      <c r="B29" s="44">
        <v>5.1045451429354904E-2</v>
      </c>
    </row>
    <row r="30" spans="1:2" x14ac:dyDescent="0.25">
      <c r="A30" s="46">
        <v>44127</v>
      </c>
      <c r="B30" s="44">
        <v>4.7041725365992382E-2</v>
      </c>
    </row>
    <row r="31" spans="1:2" x14ac:dyDescent="0.25">
      <c r="A31" s="46">
        <v>44130</v>
      </c>
      <c r="B31" s="44">
        <v>4.0335362509597406E-2</v>
      </c>
    </row>
    <row r="32" spans="1:2" x14ac:dyDescent="0.25">
      <c r="A32" s="46">
        <v>44131</v>
      </c>
      <c r="B32" s="44">
        <v>4.0235136848960518E-2</v>
      </c>
    </row>
    <row r="33" spans="1:2" x14ac:dyDescent="0.25">
      <c r="A33" s="46">
        <v>44132</v>
      </c>
      <c r="B33" s="44">
        <v>3.8033083572696802E-2</v>
      </c>
    </row>
    <row r="34" spans="1:2" x14ac:dyDescent="0.25">
      <c r="A34" s="46">
        <v>44133</v>
      </c>
      <c r="B34" s="44">
        <v>3.7332346176653097E-2</v>
      </c>
    </row>
    <row r="35" spans="1:2" x14ac:dyDescent="0.25">
      <c r="A35" s="46">
        <v>44134</v>
      </c>
      <c r="B35" s="44">
        <v>2.9525480894470546E-2</v>
      </c>
    </row>
    <row r="36" spans="1:2" x14ac:dyDescent="0.25">
      <c r="A36" s="46">
        <v>44137</v>
      </c>
      <c r="B36" s="44">
        <v>3.5830554136918102E-2</v>
      </c>
    </row>
    <row r="37" spans="1:2" x14ac:dyDescent="0.25">
      <c r="A37" s="46">
        <v>44138</v>
      </c>
      <c r="B37" s="44">
        <v>2.8824481066110963E-2</v>
      </c>
    </row>
    <row r="38" spans="1:2" x14ac:dyDescent="0.25">
      <c r="A38" s="46">
        <v>44139</v>
      </c>
      <c r="B38" s="44">
        <v>2.7923620322670151E-2</v>
      </c>
    </row>
    <row r="39" spans="1:2" x14ac:dyDescent="0.25">
      <c r="A39" s="46">
        <v>44140</v>
      </c>
      <c r="B39" s="44">
        <v>1.7414671264147197E-2</v>
      </c>
    </row>
    <row r="40" spans="1:2" x14ac:dyDescent="0.25">
      <c r="A40" s="46">
        <v>44141</v>
      </c>
      <c r="B40" s="44">
        <v>2.2018474404894517E-2</v>
      </c>
    </row>
    <row r="41" spans="1:2" x14ac:dyDescent="0.25">
      <c r="A41" s="46">
        <v>44144</v>
      </c>
      <c r="B41" s="44">
        <v>1.1009124000027404E-2</v>
      </c>
    </row>
    <row r="42" spans="1:2" x14ac:dyDescent="0.25">
      <c r="A42" s="46">
        <v>44145</v>
      </c>
      <c r="B42" s="44">
        <v>1.3010738314842063E-2</v>
      </c>
    </row>
    <row r="43" spans="1:2" x14ac:dyDescent="0.25">
      <c r="A43" s="46">
        <v>44146</v>
      </c>
      <c r="B43" s="44">
        <v>1.9015629284343361E-2</v>
      </c>
    </row>
    <row r="44" spans="1:2" x14ac:dyDescent="0.25">
      <c r="A44" s="46">
        <v>44147</v>
      </c>
      <c r="B44" s="44">
        <v>2.8723509996195495E-2</v>
      </c>
    </row>
    <row r="45" spans="1:2" x14ac:dyDescent="0.25">
      <c r="A45" s="46">
        <v>44148</v>
      </c>
      <c r="B45" s="44">
        <v>3.0725043014511788E-2</v>
      </c>
    </row>
    <row r="46" spans="1:2" x14ac:dyDescent="0.25">
      <c r="A46" s="46">
        <v>44151</v>
      </c>
      <c r="B46" s="44">
        <v>3.0124243826367081E-2</v>
      </c>
    </row>
    <row r="47" spans="1:2" x14ac:dyDescent="0.25">
      <c r="A47" s="46">
        <v>44152</v>
      </c>
      <c r="B47" s="44">
        <v>2.9823899974637191E-2</v>
      </c>
    </row>
    <row r="48" spans="1:2" x14ac:dyDescent="0.25">
      <c r="A48" s="46">
        <v>44153</v>
      </c>
      <c r="B48" s="44">
        <v>2.2417888246443252E-2</v>
      </c>
    </row>
    <row r="49" spans="1:2" x14ac:dyDescent="0.25">
      <c r="A49" s="46">
        <v>44154</v>
      </c>
      <c r="B49" s="44">
        <v>2.5420196868745026E-2</v>
      </c>
    </row>
    <row r="50" spans="1:2" x14ac:dyDescent="0.25">
      <c r="A50" s="46">
        <v>44155</v>
      </c>
      <c r="B50" s="44">
        <v>2.3018209611027907E-2</v>
      </c>
    </row>
    <row r="51" spans="1:2" x14ac:dyDescent="0.25">
      <c r="A51" s="46">
        <v>44159</v>
      </c>
      <c r="B51" s="44">
        <v>2.6720772655454805E-2</v>
      </c>
    </row>
    <row r="52" spans="1:2" x14ac:dyDescent="0.25">
      <c r="A52" s="46">
        <v>44160</v>
      </c>
      <c r="B52" s="44">
        <v>2.8021688018809165E-2</v>
      </c>
    </row>
    <row r="53" spans="1:2" x14ac:dyDescent="0.25">
      <c r="A53" s="46">
        <v>44161</v>
      </c>
      <c r="B53" s="44">
        <v>3.2925370576642909E-2</v>
      </c>
    </row>
    <row r="54" spans="1:2" x14ac:dyDescent="0.25">
      <c r="A54" s="46">
        <v>44162</v>
      </c>
      <c r="B54" s="44">
        <v>2.7821342399649063E-2</v>
      </c>
    </row>
    <row r="55" spans="1:2" x14ac:dyDescent="0.25">
      <c r="A55" s="46">
        <v>44165</v>
      </c>
      <c r="B55" s="44">
        <v>2.6219844471329301E-2</v>
      </c>
    </row>
    <row r="56" spans="1:2" x14ac:dyDescent="0.25">
      <c r="A56" s="46">
        <v>44166</v>
      </c>
      <c r="B56" s="44">
        <v>3.1223524573308625E-2</v>
      </c>
    </row>
    <row r="57" spans="1:2" x14ac:dyDescent="0.25">
      <c r="A57" s="46">
        <v>44167</v>
      </c>
      <c r="B57" s="44">
        <v>3.0522892169126792E-2</v>
      </c>
    </row>
    <row r="58" spans="1:2" x14ac:dyDescent="0.25">
      <c r="A58" s="46">
        <v>44168</v>
      </c>
      <c r="B58" s="44">
        <v>3.1623609407023079E-2</v>
      </c>
    </row>
    <row r="59" spans="1:2" x14ac:dyDescent="0.25">
      <c r="A59" s="46">
        <v>44169</v>
      </c>
      <c r="B59" s="44">
        <v>3.3024542211163854E-2</v>
      </c>
    </row>
    <row r="60" spans="1:2" x14ac:dyDescent="0.25">
      <c r="A60" s="46">
        <v>44174</v>
      </c>
      <c r="B60" s="44">
        <v>4.2230660616612015E-2</v>
      </c>
    </row>
    <row r="61" spans="1:2" x14ac:dyDescent="0.25">
      <c r="A61" s="46">
        <v>44175</v>
      </c>
      <c r="B61" s="44">
        <v>4.1630082011316405E-2</v>
      </c>
    </row>
    <row r="62" spans="1:2" x14ac:dyDescent="0.25">
      <c r="A62" s="46">
        <v>44176</v>
      </c>
      <c r="B62" s="44">
        <v>4.2530587066040626E-2</v>
      </c>
    </row>
    <row r="63" spans="1:2" x14ac:dyDescent="0.25">
      <c r="A63" s="46">
        <v>44179</v>
      </c>
      <c r="B63" s="44">
        <v>4.7333554951626666E-2</v>
      </c>
    </row>
    <row r="64" spans="1:2" x14ac:dyDescent="0.25">
      <c r="A64" s="46">
        <v>44180</v>
      </c>
      <c r="B64" s="44">
        <v>4.9334804690980616E-2</v>
      </c>
    </row>
    <row r="65" spans="1:2" x14ac:dyDescent="0.25">
      <c r="A65" s="46">
        <v>44181</v>
      </c>
      <c r="B65" s="44">
        <v>4.6832879247416859E-2</v>
      </c>
    </row>
    <row r="66" spans="1:2" x14ac:dyDescent="0.25">
      <c r="A66" s="46">
        <v>44182</v>
      </c>
      <c r="B66" s="44">
        <v>3.992789483063508E-2</v>
      </c>
    </row>
    <row r="67" spans="1:2" x14ac:dyDescent="0.25">
      <c r="A67" s="46">
        <v>44183</v>
      </c>
      <c r="B67" s="44">
        <v>4.0428105840704331E-2</v>
      </c>
    </row>
    <row r="68" spans="1:2" x14ac:dyDescent="0.25">
      <c r="A68" s="46">
        <v>44186</v>
      </c>
      <c r="B68" s="44">
        <v>3.7425633995887608E-2</v>
      </c>
    </row>
    <row r="69" spans="1:2" x14ac:dyDescent="0.25">
      <c r="A69" s="46">
        <v>44187</v>
      </c>
      <c r="B69" s="44">
        <v>4.2128711005102792E-2</v>
      </c>
    </row>
    <row r="70" spans="1:2" x14ac:dyDescent="0.25">
      <c r="A70" s="46">
        <v>44188</v>
      </c>
      <c r="B70" s="44">
        <v>4.3229313027326743E-2</v>
      </c>
    </row>
    <row r="71" spans="1:2" x14ac:dyDescent="0.25">
      <c r="A71" s="46">
        <v>44193</v>
      </c>
      <c r="B71" s="44">
        <v>4.1527447936478556E-2</v>
      </c>
    </row>
    <row r="72" spans="1:2" x14ac:dyDescent="0.25">
      <c r="A72" s="46">
        <v>44194</v>
      </c>
      <c r="B72" s="44">
        <v>4.3328489966005024E-2</v>
      </c>
    </row>
    <row r="73" spans="1:2" x14ac:dyDescent="0.25">
      <c r="A73" s="46">
        <v>44195</v>
      </c>
      <c r="B73" s="44">
        <v>4.4429061475142972E-2</v>
      </c>
    </row>
    <row r="74" spans="1:2" x14ac:dyDescent="0.25">
      <c r="A74" s="46">
        <v>44200</v>
      </c>
      <c r="B74" s="44">
        <v>4.4528363957863526E-2</v>
      </c>
    </row>
    <row r="75" spans="1:2" x14ac:dyDescent="0.25">
      <c r="A75" s="46">
        <v>44201</v>
      </c>
      <c r="B75" s="44">
        <v>4.6129225708068489E-2</v>
      </c>
    </row>
    <row r="76" spans="1:2" x14ac:dyDescent="0.25">
      <c r="A76" s="46">
        <v>44202</v>
      </c>
      <c r="B76" s="44">
        <v>4.3527428242454147E-2</v>
      </c>
    </row>
    <row r="77" spans="1:2" x14ac:dyDescent="0.25">
      <c r="A77" s="46">
        <v>44203</v>
      </c>
      <c r="B77" s="44">
        <v>4.4427843477247708E-2</v>
      </c>
    </row>
    <row r="78" spans="1:2" x14ac:dyDescent="0.25">
      <c r="A78" s="46">
        <v>44204</v>
      </c>
      <c r="B78" s="44">
        <v>4.5028065438046994E-2</v>
      </c>
    </row>
    <row r="79" spans="1:2" x14ac:dyDescent="0.25">
      <c r="A79" s="46">
        <v>44207</v>
      </c>
      <c r="B79" s="44">
        <v>4.0424780944483096E-2</v>
      </c>
    </row>
    <row r="80" spans="1:2" x14ac:dyDescent="0.25">
      <c r="A80" s="46">
        <v>44208</v>
      </c>
      <c r="B80" s="44">
        <v>4.2425862340741971E-2</v>
      </c>
    </row>
    <row r="81" spans="1:2" x14ac:dyDescent="0.25">
      <c r="A81" s="46">
        <v>44209</v>
      </c>
      <c r="B81" s="44">
        <v>4.582777916750902E-2</v>
      </c>
    </row>
    <row r="82" spans="1:2" x14ac:dyDescent="0.25">
      <c r="A82" s="46">
        <v>44210</v>
      </c>
      <c r="B82" s="44">
        <v>4.3626295301277485E-2</v>
      </c>
    </row>
    <row r="83" spans="1:2" x14ac:dyDescent="0.25">
      <c r="A83" s="46">
        <v>44211</v>
      </c>
      <c r="B83" s="44">
        <v>4.4426625546132081E-2</v>
      </c>
    </row>
    <row r="84" spans="1:2" x14ac:dyDescent="0.25">
      <c r="A84" s="46">
        <v>44214</v>
      </c>
      <c r="B84" s="44">
        <v>4.552681716627599E-2</v>
      </c>
    </row>
    <row r="85" spans="1:2" x14ac:dyDescent="0.25">
      <c r="A85" s="46">
        <v>44215</v>
      </c>
      <c r="B85" s="44">
        <v>4.3925723625821977E-2</v>
      </c>
    </row>
    <row r="86" spans="1:2" x14ac:dyDescent="0.25">
      <c r="A86" s="46">
        <v>44216</v>
      </c>
      <c r="B86" s="44">
        <v>4.6427029434944977E-2</v>
      </c>
    </row>
    <row r="87" spans="1:2" x14ac:dyDescent="0.25">
      <c r="A87" s="46">
        <v>44217</v>
      </c>
      <c r="B87" s="44">
        <v>4.9928897204203737E-2</v>
      </c>
    </row>
    <row r="88" spans="1:2" x14ac:dyDescent="0.25">
      <c r="A88" s="46">
        <v>44218</v>
      </c>
      <c r="B88" s="44">
        <v>4.6526768825899789E-2</v>
      </c>
    </row>
    <row r="89" spans="1:2" x14ac:dyDescent="0.25">
      <c r="A89" s="46">
        <v>44221</v>
      </c>
      <c r="B89" s="44">
        <v>4.3924820532150022E-2</v>
      </c>
    </row>
    <row r="90" spans="1:2" x14ac:dyDescent="0.25">
      <c r="A90" s="46">
        <v>44222</v>
      </c>
      <c r="B90" s="44">
        <v>4.5325456763387673E-2</v>
      </c>
    </row>
    <row r="91" spans="1:2" x14ac:dyDescent="0.25">
      <c r="A91" s="46">
        <v>44223</v>
      </c>
      <c r="B91" s="44">
        <v>4.4324742921562355E-2</v>
      </c>
    </row>
    <row r="92" spans="1:2" x14ac:dyDescent="0.25">
      <c r="A92" s="46">
        <v>44224</v>
      </c>
      <c r="B92" s="44">
        <v>4.3724257978741632E-2</v>
      </c>
    </row>
    <row r="93" spans="1:2" x14ac:dyDescent="0.25">
      <c r="A93" s="46">
        <v>44225</v>
      </c>
      <c r="B93" s="44">
        <v>4.5124880499179287E-2</v>
      </c>
    </row>
    <row r="94" spans="1:2" x14ac:dyDescent="0.25">
      <c r="A94" s="46">
        <v>44228</v>
      </c>
      <c r="B94" s="44">
        <v>4.2923225580965063E-2</v>
      </c>
    </row>
    <row r="95" spans="1:2" x14ac:dyDescent="0.25">
      <c r="A95" s="46">
        <v>44229</v>
      </c>
      <c r="B95" s="44">
        <v>4.1722432951963928E-2</v>
      </c>
    </row>
    <row r="96" spans="1:2" x14ac:dyDescent="0.25">
      <c r="A96" s="46">
        <v>44230</v>
      </c>
      <c r="B96" s="44">
        <v>3.8820739847315766E-2</v>
      </c>
    </row>
    <row r="97" spans="1:2" x14ac:dyDescent="0.25">
      <c r="A97" s="46">
        <v>44231</v>
      </c>
      <c r="B97" s="44">
        <v>3.5418801075913553E-2</v>
      </c>
    </row>
    <row r="98" spans="1:2" x14ac:dyDescent="0.25">
      <c r="A98" s="46">
        <v>44232</v>
      </c>
      <c r="B98" s="44">
        <v>3.5118521411977521E-2</v>
      </c>
    </row>
    <row r="99" spans="1:2" x14ac:dyDescent="0.25">
      <c r="A99" s="46">
        <v>44235</v>
      </c>
      <c r="B99" s="44">
        <v>3.541831563582537E-2</v>
      </c>
    </row>
    <row r="100" spans="1:2" x14ac:dyDescent="0.25">
      <c r="A100" s="46">
        <v>44236</v>
      </c>
      <c r="B100" s="44">
        <v>3.7119068014390966E-2</v>
      </c>
    </row>
    <row r="101" spans="1:2" x14ac:dyDescent="0.25">
      <c r="A101" s="46">
        <v>44237</v>
      </c>
      <c r="B101" s="44">
        <v>3.5618175027668286E-2</v>
      </c>
    </row>
    <row r="102" spans="1:2" x14ac:dyDescent="0.25">
      <c r="A102" s="46">
        <v>44238</v>
      </c>
      <c r="B102" s="44">
        <v>3.2116278113564434E-2</v>
      </c>
    </row>
    <row r="103" spans="1:2" x14ac:dyDescent="0.25">
      <c r="A103" s="46">
        <v>44239</v>
      </c>
      <c r="B103" s="44">
        <v>2.9014606668425647E-2</v>
      </c>
    </row>
    <row r="104" spans="1:2" x14ac:dyDescent="0.25">
      <c r="A104" s="46">
        <v>44244</v>
      </c>
      <c r="B104" s="44">
        <v>3.2415763830355881E-2</v>
      </c>
    </row>
    <row r="105" spans="1:2" x14ac:dyDescent="0.25">
      <c r="A105" s="46">
        <v>44245</v>
      </c>
      <c r="B105" s="44">
        <v>3.7418068313809061E-2</v>
      </c>
    </row>
    <row r="106" spans="1:2" x14ac:dyDescent="0.25">
      <c r="A106" s="46">
        <v>44246</v>
      </c>
      <c r="B106" s="44">
        <v>3.6917700267251385E-2</v>
      </c>
    </row>
    <row r="107" spans="1:2" x14ac:dyDescent="0.25">
      <c r="A107" s="46">
        <v>44249</v>
      </c>
      <c r="B107" s="44">
        <v>4.1019245330857268E-2</v>
      </c>
    </row>
    <row r="108" spans="1:2" x14ac:dyDescent="0.25">
      <c r="A108" s="46">
        <v>44250</v>
      </c>
      <c r="B108" s="44">
        <v>3.641696132445249E-2</v>
      </c>
    </row>
    <row r="109" spans="1:2" x14ac:dyDescent="0.25">
      <c r="A109" s="46">
        <v>44251</v>
      </c>
      <c r="B109" s="44">
        <v>3.5816559025576844E-2</v>
      </c>
    </row>
    <row r="110" spans="1:2" x14ac:dyDescent="0.25">
      <c r="A110" s="46">
        <v>44252</v>
      </c>
      <c r="B110" s="44">
        <v>3.5716390398333464E-2</v>
      </c>
    </row>
    <row r="111" spans="1:2" x14ac:dyDescent="0.25">
      <c r="A111" s="46">
        <v>44253</v>
      </c>
      <c r="B111" s="44">
        <v>3.7817224968907104E-2</v>
      </c>
    </row>
    <row r="112" spans="1:2" x14ac:dyDescent="0.25">
      <c r="A112" s="46">
        <v>44256</v>
      </c>
      <c r="B112" s="44">
        <v>3.7716791722342158E-2</v>
      </c>
    </row>
    <row r="113" spans="1:2" x14ac:dyDescent="0.25">
      <c r="A113" s="46">
        <v>44257</v>
      </c>
      <c r="B113" s="44">
        <v>4.0818032624001688E-2</v>
      </c>
    </row>
    <row r="114" spans="1:2" x14ac:dyDescent="0.25">
      <c r="A114" s="46">
        <v>44258</v>
      </c>
      <c r="B114" s="44">
        <v>4.3719164565288848E-2</v>
      </c>
    </row>
    <row r="115" spans="1:2" x14ac:dyDescent="0.25">
      <c r="A115" s="46">
        <v>44259</v>
      </c>
      <c r="B115" s="44">
        <v>3.8216621612824797E-2</v>
      </c>
    </row>
    <row r="116" spans="1:2" x14ac:dyDescent="0.25">
      <c r="A116" s="46">
        <v>44260</v>
      </c>
      <c r="B116" s="44">
        <v>4.1017699418242126E-2</v>
      </c>
    </row>
    <row r="117" spans="1:2" x14ac:dyDescent="0.25">
      <c r="A117" s="46">
        <v>44263</v>
      </c>
      <c r="B117" s="44">
        <v>4.051706712073927E-2</v>
      </c>
    </row>
    <row r="118" spans="1:2" x14ac:dyDescent="0.25">
      <c r="A118" s="46">
        <v>44264</v>
      </c>
      <c r="B118" s="44">
        <v>4.6219310807940284E-2</v>
      </c>
    </row>
    <row r="119" spans="1:2" x14ac:dyDescent="0.25">
      <c r="A119" s="46">
        <v>44265</v>
      </c>
      <c r="B119" s="44">
        <v>3.7115380003357512E-2</v>
      </c>
    </row>
    <row r="120" spans="1:2" x14ac:dyDescent="0.25">
      <c r="A120" s="46">
        <v>44266</v>
      </c>
      <c r="B120" s="44">
        <v>3.2513361655474804E-2</v>
      </c>
    </row>
    <row r="121" spans="1:2" x14ac:dyDescent="0.25">
      <c r="A121" s="46">
        <v>44267</v>
      </c>
      <c r="B121" s="44">
        <v>3.8915859545499698E-2</v>
      </c>
    </row>
    <row r="122" spans="1:2" x14ac:dyDescent="0.25">
      <c r="A122" s="46">
        <v>44270</v>
      </c>
      <c r="B122" s="44">
        <v>4.011593646791195E-2</v>
      </c>
    </row>
    <row r="123" spans="1:2" x14ac:dyDescent="0.25">
      <c r="A123" s="46">
        <v>44271</v>
      </c>
      <c r="B123" s="44">
        <v>4.1116193021224101E-2</v>
      </c>
    </row>
    <row r="124" spans="1:2" x14ac:dyDescent="0.25">
      <c r="A124" s="46">
        <v>44272</v>
      </c>
      <c r="B124" s="44">
        <v>4.1416169326380814E-2</v>
      </c>
    </row>
    <row r="125" spans="1:2" x14ac:dyDescent="0.25">
      <c r="A125" s="46">
        <v>44273</v>
      </c>
      <c r="B125" s="44">
        <v>4.2216337144168781E-2</v>
      </c>
    </row>
    <row r="126" spans="1:2" x14ac:dyDescent="0.25">
      <c r="A126" s="46">
        <v>44274</v>
      </c>
      <c r="B126" s="44">
        <v>3.7614427451625299E-2</v>
      </c>
    </row>
    <row r="127" spans="1:2" x14ac:dyDescent="0.25">
      <c r="A127" s="46">
        <v>44277</v>
      </c>
      <c r="B127" s="44">
        <v>3.6613667430650476E-2</v>
      </c>
    </row>
    <row r="128" spans="1:2" x14ac:dyDescent="0.25">
      <c r="A128" s="46">
        <v>44278</v>
      </c>
      <c r="B128" s="44">
        <v>3.2612061995532571E-2</v>
      </c>
    </row>
    <row r="129" spans="1:2" x14ac:dyDescent="0.25">
      <c r="A129" s="46">
        <v>44280</v>
      </c>
      <c r="B129" s="44">
        <v>3.8213872159071405E-2</v>
      </c>
    </row>
    <row r="130" spans="1:2" x14ac:dyDescent="0.25">
      <c r="A130" s="46">
        <v>44281</v>
      </c>
      <c r="B130" s="44">
        <v>4.1214820397745766E-2</v>
      </c>
    </row>
    <row r="131" spans="1:2" x14ac:dyDescent="0.25">
      <c r="A131" s="46">
        <v>44284</v>
      </c>
      <c r="B131" s="44">
        <v>3.8613488273300967E-2</v>
      </c>
    </row>
    <row r="132" spans="1:2" x14ac:dyDescent="0.25">
      <c r="A132" s="46">
        <v>44285</v>
      </c>
      <c r="B132" s="44">
        <v>3.6012456363331113E-2</v>
      </c>
    </row>
    <row r="133" spans="1:2" x14ac:dyDescent="0.25">
      <c r="A133" s="46">
        <v>44286</v>
      </c>
      <c r="B133" s="44">
        <v>3.5612195957519688E-2</v>
      </c>
    </row>
    <row r="134" spans="1:2" x14ac:dyDescent="0.25">
      <c r="A134" s="46">
        <v>44291</v>
      </c>
      <c r="B134" s="44">
        <v>4.2513831554786663E-2</v>
      </c>
    </row>
    <row r="135" spans="1:2" x14ac:dyDescent="0.25">
      <c r="A135" s="46">
        <v>44292</v>
      </c>
      <c r="B135" s="44">
        <v>4.1313299486821109E-2</v>
      </c>
    </row>
    <row r="136" spans="1:2" x14ac:dyDescent="0.25">
      <c r="A136" s="46">
        <v>44293</v>
      </c>
      <c r="B136" s="44">
        <v>4.2113412833539476E-2</v>
      </c>
    </row>
    <row r="137" spans="1:2" x14ac:dyDescent="0.25">
      <c r="A137" s="46">
        <v>44294</v>
      </c>
      <c r="B137" s="44">
        <v>3.9912575194924471E-2</v>
      </c>
    </row>
    <row r="138" spans="1:2" x14ac:dyDescent="0.25">
      <c r="A138" s="46">
        <v>44295</v>
      </c>
      <c r="B138" s="44">
        <v>3.9912438465412148E-2</v>
      </c>
    </row>
    <row r="139" spans="1:2" x14ac:dyDescent="0.25">
      <c r="A139" s="46">
        <v>44298</v>
      </c>
      <c r="B139" s="44">
        <v>4.0512209158924561E-2</v>
      </c>
    </row>
    <row r="140" spans="1:2" x14ac:dyDescent="0.25">
      <c r="A140" s="46">
        <v>44299</v>
      </c>
      <c r="B140" s="44">
        <v>3.9711831949930276E-2</v>
      </c>
    </row>
    <row r="141" spans="1:2" x14ac:dyDescent="0.25">
      <c r="A141" s="46">
        <v>44300</v>
      </c>
      <c r="B141" s="44">
        <v>3.8511342381660374E-2</v>
      </c>
    </row>
    <row r="142" spans="1:2" x14ac:dyDescent="0.25">
      <c r="A142" s="46">
        <v>44301</v>
      </c>
      <c r="B142" s="44">
        <v>3.4710103968621009E-2</v>
      </c>
    </row>
    <row r="143" spans="1:2" x14ac:dyDescent="0.25">
      <c r="A143" s="46">
        <v>44302</v>
      </c>
      <c r="B143" s="44">
        <v>3.2009208128365718E-2</v>
      </c>
    </row>
    <row r="144" spans="1:2" x14ac:dyDescent="0.25">
      <c r="A144" s="46">
        <v>44305</v>
      </c>
      <c r="B144" s="44">
        <v>3.5709905830041855E-2</v>
      </c>
    </row>
    <row r="145" spans="1:2" x14ac:dyDescent="0.25">
      <c r="A145" s="46">
        <v>44306</v>
      </c>
      <c r="B145" s="44">
        <v>3.4009317621266077E-2</v>
      </c>
    </row>
    <row r="146" spans="1:2" x14ac:dyDescent="0.25">
      <c r="A146" s="46">
        <v>44307</v>
      </c>
      <c r="B146" s="44">
        <v>3.400920111948097E-2</v>
      </c>
    </row>
    <row r="147" spans="1:2" x14ac:dyDescent="0.25">
      <c r="A147" s="46">
        <v>44308</v>
      </c>
      <c r="B147" s="44">
        <v>3.2108576948636947E-2</v>
      </c>
    </row>
    <row r="148" spans="1:2" x14ac:dyDescent="0.25">
      <c r="A148" s="46">
        <v>44309</v>
      </c>
      <c r="B148" s="44">
        <v>2.720717449464416E-2</v>
      </c>
    </row>
    <row r="149" spans="1:2" x14ac:dyDescent="0.25">
      <c r="A149" s="46">
        <v>44312</v>
      </c>
      <c r="B149" s="44">
        <v>3.3708542575858258E-2</v>
      </c>
    </row>
    <row r="150" spans="1:2" x14ac:dyDescent="0.25">
      <c r="A150" s="46">
        <v>44313</v>
      </c>
      <c r="B150" s="44">
        <v>3.2008002000500135E-2</v>
      </c>
    </row>
    <row r="151" spans="1:2" x14ac:dyDescent="0.25">
      <c r="A151" s="46">
        <v>44314</v>
      </c>
      <c r="B151" s="44">
        <v>3.1507769038941091E-2</v>
      </c>
    </row>
    <row r="152" spans="1:2" x14ac:dyDescent="0.25">
      <c r="A152" s="46">
        <v>44315</v>
      </c>
      <c r="B152" s="44">
        <v>3.4808463701790526E-2</v>
      </c>
    </row>
    <row r="153" spans="1:2" x14ac:dyDescent="0.25">
      <c r="A153" s="46">
        <v>44316</v>
      </c>
      <c r="B153" s="44">
        <v>3.160757715890794E-2</v>
      </c>
    </row>
    <row r="154" spans="1:2" x14ac:dyDescent="0.25">
      <c r="A154" s="46">
        <v>44319</v>
      </c>
      <c r="B154" s="44">
        <v>3.1807298249940885E-2</v>
      </c>
    </row>
    <row r="155" spans="1:2" x14ac:dyDescent="0.25">
      <c r="A155" s="46">
        <v>44320</v>
      </c>
      <c r="B155" s="44">
        <v>3.1107031041262778E-2</v>
      </c>
    </row>
    <row r="156" spans="1:2" x14ac:dyDescent="0.25">
      <c r="A156" s="46">
        <v>44321</v>
      </c>
      <c r="B156" s="44">
        <v>3.2407213934608714E-2</v>
      </c>
    </row>
    <row r="157" spans="1:2" x14ac:dyDescent="0.25">
      <c r="A157" s="46">
        <v>44322</v>
      </c>
      <c r="B157" s="44">
        <v>3.2107037158829399E-2</v>
      </c>
    </row>
    <row r="158" spans="1:2" x14ac:dyDescent="0.25">
      <c r="A158" s="46">
        <v>44323</v>
      </c>
      <c r="B158" s="44">
        <v>2.9506366099535108E-2</v>
      </c>
    </row>
    <row r="159" spans="1:2" x14ac:dyDescent="0.25">
      <c r="A159" s="46">
        <v>44326</v>
      </c>
      <c r="B159" s="44">
        <v>3.0006165650476091E-2</v>
      </c>
    </row>
    <row r="160" spans="1:2" x14ac:dyDescent="0.25">
      <c r="A160" s="46">
        <v>44327</v>
      </c>
      <c r="B160" s="44">
        <v>2.8105678887172414E-2</v>
      </c>
    </row>
    <row r="161" spans="1:2" x14ac:dyDescent="0.25">
      <c r="A161" s="46">
        <v>44328</v>
      </c>
      <c r="B161" s="44">
        <v>2.7905542881805245E-2</v>
      </c>
    </row>
    <row r="162" spans="1:2" x14ac:dyDescent="0.25">
      <c r="A162" s="46">
        <v>44329</v>
      </c>
      <c r="B162" s="44">
        <v>3.0205896356480522E-2</v>
      </c>
    </row>
    <row r="163" spans="1:2" x14ac:dyDescent="0.25">
      <c r="A163" s="46">
        <v>44330</v>
      </c>
      <c r="B163" s="44">
        <v>2.64050639848738E-2</v>
      </c>
    </row>
    <row r="164" spans="1:2" x14ac:dyDescent="0.25">
      <c r="A164" s="46">
        <v>44333</v>
      </c>
      <c r="B164" s="44">
        <v>2.8005083114400975E-2</v>
      </c>
    </row>
    <row r="165" spans="1:2" x14ac:dyDescent="0.25">
      <c r="A165" s="46">
        <v>44334</v>
      </c>
      <c r="B165" s="44">
        <v>2.8004987189499564E-2</v>
      </c>
    </row>
    <row r="166" spans="1:2" x14ac:dyDescent="0.25">
      <c r="A166" s="46">
        <v>44335</v>
      </c>
      <c r="B166" s="44">
        <v>2.1703790730572825E-2</v>
      </c>
    </row>
    <row r="167" spans="1:2" x14ac:dyDescent="0.25">
      <c r="A167" s="46">
        <v>44336</v>
      </c>
      <c r="B167" s="44">
        <v>1.9803390991608216E-2</v>
      </c>
    </row>
    <row r="168" spans="1:2" x14ac:dyDescent="0.25">
      <c r="A168" s="46">
        <v>44337</v>
      </c>
      <c r="B168" s="44">
        <v>2.1503608482245307E-2</v>
      </c>
    </row>
    <row r="169" spans="1:2" x14ac:dyDescent="0.25">
      <c r="A169" s="46">
        <v>44342</v>
      </c>
      <c r="B169" s="44">
        <v>2.0003014152817522E-2</v>
      </c>
    </row>
    <row r="170" spans="1:2" x14ac:dyDescent="0.25">
      <c r="A170" s="46">
        <v>44343</v>
      </c>
      <c r="B170" s="44">
        <v>1.8602739444507244E-2</v>
      </c>
    </row>
    <row r="171" spans="1:2" x14ac:dyDescent="0.25">
      <c r="A171" s="46">
        <v>44344</v>
      </c>
      <c r="B171" s="44">
        <v>1.8502661341699811E-2</v>
      </c>
    </row>
    <row r="172" spans="1:2" x14ac:dyDescent="0.25">
      <c r="A172" s="46">
        <v>44347</v>
      </c>
      <c r="B172" s="44">
        <v>1.9002538010213677E-2</v>
      </c>
    </row>
    <row r="173" spans="1:2" x14ac:dyDescent="0.25">
      <c r="A173" s="46">
        <v>44348</v>
      </c>
      <c r="B173" s="44">
        <v>1.890245990916628E-2</v>
      </c>
    </row>
    <row r="174" spans="1:2" x14ac:dyDescent="0.25">
      <c r="A174" s="46">
        <v>44349</v>
      </c>
      <c r="B174" s="44">
        <v>2.1002661296123049E-2</v>
      </c>
    </row>
    <row r="175" spans="1:2" x14ac:dyDescent="0.25">
      <c r="A175" s="46">
        <v>44350</v>
      </c>
      <c r="B175" s="44">
        <v>2.7803427819868165E-2</v>
      </c>
    </row>
    <row r="176" spans="1:2" x14ac:dyDescent="0.25">
      <c r="A176" s="46">
        <v>44351</v>
      </c>
      <c r="B176" s="44">
        <v>2.3102769167537229E-2</v>
      </c>
    </row>
    <row r="177" spans="1:2" x14ac:dyDescent="0.25">
      <c r="A177" s="46">
        <v>44354</v>
      </c>
      <c r="B177" s="44">
        <v>2.7002959228408618E-2</v>
      </c>
    </row>
    <row r="178" spans="1:2" x14ac:dyDescent="0.25">
      <c r="A178" s="46">
        <v>44355</v>
      </c>
      <c r="B178" s="44">
        <v>2.930311094671012E-2</v>
      </c>
    </row>
    <row r="179" spans="1:2" x14ac:dyDescent="0.25">
      <c r="A179" s="46">
        <v>44356</v>
      </c>
      <c r="B179" s="44">
        <v>2.9102990033222587E-2</v>
      </c>
    </row>
    <row r="180" spans="1:2" x14ac:dyDescent="0.25">
      <c r="A180" s="46">
        <v>44357</v>
      </c>
      <c r="B180" s="44">
        <v>2.9202900288042288E-2</v>
      </c>
    </row>
    <row r="181" spans="1:2" x14ac:dyDescent="0.25">
      <c r="A181" s="46">
        <v>44358</v>
      </c>
      <c r="B181" s="44">
        <v>3.1503020837614526E-2</v>
      </c>
    </row>
    <row r="182" spans="1:2" x14ac:dyDescent="0.25">
      <c r="A182" s="46">
        <v>44361</v>
      </c>
      <c r="B182" s="44">
        <v>3.2102748522989943E-2</v>
      </c>
    </row>
    <row r="183" spans="1:2" x14ac:dyDescent="0.25">
      <c r="A183" s="46">
        <v>44362</v>
      </c>
      <c r="B183" s="44">
        <v>3.3302737211277689E-2</v>
      </c>
    </row>
    <row r="184" spans="1:2" x14ac:dyDescent="0.25">
      <c r="A184" s="46">
        <v>44363</v>
      </c>
      <c r="B184" s="44">
        <v>3.5202772821146922E-2</v>
      </c>
    </row>
    <row r="185" spans="1:2" x14ac:dyDescent="0.25">
      <c r="A185" s="46">
        <v>44364</v>
      </c>
      <c r="B185" s="44">
        <v>3.3902554302036425E-2</v>
      </c>
    </row>
    <row r="186" spans="1:2" x14ac:dyDescent="0.25">
      <c r="A186" s="46">
        <v>44365</v>
      </c>
      <c r="B186" s="44">
        <v>3.4902510112028551E-2</v>
      </c>
    </row>
    <row r="187" spans="1:2" x14ac:dyDescent="0.25">
      <c r="A187" s="46">
        <v>44369</v>
      </c>
      <c r="B187" s="44">
        <v>3.3001921344735785E-2</v>
      </c>
    </row>
    <row r="188" spans="1:2" x14ac:dyDescent="0.25">
      <c r="A188" s="46">
        <v>44370</v>
      </c>
      <c r="B188" s="44">
        <v>3.2401775439750147E-2</v>
      </c>
    </row>
    <row r="189" spans="1:2" x14ac:dyDescent="0.25">
      <c r="A189" s="46">
        <v>44371</v>
      </c>
      <c r="B189" s="44">
        <v>3.0501566861311336E-2</v>
      </c>
    </row>
    <row r="190" spans="1:2" x14ac:dyDescent="0.25">
      <c r="A190" s="46">
        <v>44372</v>
      </c>
      <c r="B190" s="44">
        <v>2.9301404861876934E-2</v>
      </c>
    </row>
    <row r="191" spans="1:2" x14ac:dyDescent="0.25">
      <c r="A191" s="46">
        <v>44375</v>
      </c>
      <c r="B191" s="44">
        <v>2.8501073670583521E-2</v>
      </c>
    </row>
    <row r="192" spans="1:2" x14ac:dyDescent="0.25">
      <c r="A192" s="46">
        <v>44376</v>
      </c>
      <c r="B192" s="44">
        <v>2.750094181307583E-2</v>
      </c>
    </row>
    <row r="193" spans="1:2" x14ac:dyDescent="0.25">
      <c r="A193" s="46">
        <v>44377</v>
      </c>
      <c r="B193" s="44">
        <v>2.6300810641423866E-2</v>
      </c>
    </row>
    <row r="194" spans="1:2" x14ac:dyDescent="0.25">
      <c r="A194" s="46">
        <v>44378</v>
      </c>
      <c r="B194" s="44">
        <v>2.4500671251267092E-2</v>
      </c>
    </row>
    <row r="195" spans="1:2" x14ac:dyDescent="0.25">
      <c r="A195" s="46">
        <v>44379</v>
      </c>
      <c r="B195" s="44">
        <v>2.310055378039888E-2</v>
      </c>
    </row>
    <row r="196" spans="1:2" x14ac:dyDescent="0.25">
      <c r="A196" s="46">
        <v>44382</v>
      </c>
      <c r="B196" s="44">
        <v>2.3000315072809197E-2</v>
      </c>
    </row>
    <row r="197" spans="1:2" x14ac:dyDescent="0.25">
      <c r="A197" s="46">
        <v>44383</v>
      </c>
      <c r="B197" s="44">
        <v>2.6900276372702536E-2</v>
      </c>
    </row>
    <row r="198" spans="1:2" x14ac:dyDescent="0.25">
      <c r="A198" s="46">
        <v>44384</v>
      </c>
      <c r="B198" s="44">
        <v>2.5000171234049517E-2</v>
      </c>
    </row>
    <row r="199" spans="1:2" x14ac:dyDescent="0.25">
      <c r="A199" s="46">
        <v>44385</v>
      </c>
      <c r="B199" s="44">
        <v>2.3600080822194558E-2</v>
      </c>
    </row>
    <row r="200" spans="1:2" x14ac:dyDescent="0.25">
      <c r="A200" s="46">
        <v>44389</v>
      </c>
      <c r="B200" s="44">
        <v>2.3899754454577538E-2</v>
      </c>
    </row>
    <row r="201" spans="1:2" x14ac:dyDescent="0.25">
      <c r="A201" s="46">
        <v>44390</v>
      </c>
      <c r="B201" s="44">
        <v>1.99997260311503E-2</v>
      </c>
    </row>
    <row r="202" spans="1:2" x14ac:dyDescent="0.25">
      <c r="A202" s="46">
        <v>44391</v>
      </c>
      <c r="B202" s="44">
        <v>2.4899573637437777E-2</v>
      </c>
    </row>
    <row r="203" spans="1:2" x14ac:dyDescent="0.25">
      <c r="A203" s="46">
        <v>44392</v>
      </c>
      <c r="B203" s="44">
        <v>2.5699471928659012E-2</v>
      </c>
    </row>
    <row r="204" spans="1:2" x14ac:dyDescent="0.25">
      <c r="A204" s="46">
        <v>44393</v>
      </c>
      <c r="B204" s="44">
        <v>2.919930001678045E-2</v>
      </c>
    </row>
    <row r="205" spans="1:2" x14ac:dyDescent="0.25">
      <c r="A205" s="46">
        <v>44396</v>
      </c>
      <c r="B205" s="44">
        <v>2.8999006883325962E-2</v>
      </c>
    </row>
    <row r="206" spans="1:2" x14ac:dyDescent="0.25">
      <c r="A206" s="46">
        <v>44397</v>
      </c>
      <c r="B206" s="44">
        <v>3.0698843536716092E-2</v>
      </c>
    </row>
    <row r="207" spans="1:2" x14ac:dyDescent="0.25">
      <c r="A207" s="46">
        <v>44398</v>
      </c>
      <c r="B207" s="44">
        <v>3.0598742517430833E-2</v>
      </c>
    </row>
    <row r="208" spans="1:2" x14ac:dyDescent="0.25">
      <c r="A208" s="46">
        <v>44399</v>
      </c>
      <c r="B208" s="44">
        <v>2.9998664443021406E-2</v>
      </c>
    </row>
    <row r="209" spans="1:2" x14ac:dyDescent="0.25">
      <c r="A209" s="46">
        <v>44400</v>
      </c>
      <c r="B209" s="44">
        <v>2.9398590478538655E-2</v>
      </c>
    </row>
    <row r="210" spans="1:2" x14ac:dyDescent="0.25">
      <c r="A210" s="46">
        <v>44403</v>
      </c>
      <c r="B210" s="44">
        <v>2.7198416530544445E-2</v>
      </c>
    </row>
    <row r="211" spans="1:2" x14ac:dyDescent="0.25">
      <c r="A211" s="46">
        <v>44404</v>
      </c>
      <c r="B211" s="44">
        <v>2.6698354211041719E-2</v>
      </c>
    </row>
    <row r="212" spans="1:2" x14ac:dyDescent="0.25">
      <c r="A212" s="46">
        <v>44405</v>
      </c>
      <c r="B212" s="44">
        <v>2.2998503522031088E-2</v>
      </c>
    </row>
    <row r="213" spans="1:2" x14ac:dyDescent="0.25">
      <c r="A213" s="46">
        <v>44406</v>
      </c>
      <c r="B213" s="44">
        <v>2.4098349428121335E-2</v>
      </c>
    </row>
    <row r="214" spans="1:2" x14ac:dyDescent="0.25">
      <c r="A214" s="46">
        <v>44407</v>
      </c>
      <c r="B214" s="44">
        <v>2.2898353200625943E-2</v>
      </c>
    </row>
    <row r="215" spans="1:2" x14ac:dyDescent="0.25">
      <c r="A215" s="46">
        <v>44410</v>
      </c>
      <c r="B215" s="44">
        <v>1.8898446703010718E-2</v>
      </c>
    </row>
    <row r="216" spans="1:2" x14ac:dyDescent="0.25">
      <c r="A216" s="46">
        <v>44411</v>
      </c>
      <c r="B216" s="44">
        <v>1.9798304939645572E-2</v>
      </c>
    </row>
    <row r="217" spans="1:2" x14ac:dyDescent="0.25">
      <c r="A217" s="46">
        <v>44412</v>
      </c>
      <c r="B217" s="44">
        <v>2.1698067980248259E-2</v>
      </c>
    </row>
    <row r="218" spans="1:2" x14ac:dyDescent="0.25">
      <c r="A218" s="46">
        <v>44413</v>
      </c>
      <c r="B218" s="44">
        <v>2.2197947450064537E-2</v>
      </c>
    </row>
    <row r="219" spans="1:2" x14ac:dyDescent="0.25">
      <c r="A219" s="46">
        <v>44421</v>
      </c>
      <c r="B219" s="44">
        <v>1.8697758830277134E-2</v>
      </c>
    </row>
    <row r="220" spans="1:2" x14ac:dyDescent="0.25">
      <c r="A220" s="46">
        <v>44420</v>
      </c>
      <c r="B220" s="44">
        <v>1.8797811213762838E-2</v>
      </c>
    </row>
    <row r="221" spans="1:2" x14ac:dyDescent="0.25">
      <c r="A221" s="46">
        <v>44419</v>
      </c>
      <c r="B221" s="44">
        <v>2.499717497680054E-2</v>
      </c>
    </row>
    <row r="222" spans="1:2" x14ac:dyDescent="0.25">
      <c r="A222" s="46">
        <v>44418</v>
      </c>
      <c r="B222" s="44">
        <v>2.4397326320403256E-2</v>
      </c>
    </row>
    <row r="223" spans="1:2" x14ac:dyDescent="0.25">
      <c r="A223" s="46">
        <v>44417</v>
      </c>
      <c r="B223" s="44">
        <v>2.3997452325266788E-2</v>
      </c>
    </row>
    <row r="224" spans="1:2" x14ac:dyDescent="0.25">
      <c r="A224" s="46">
        <v>44409</v>
      </c>
      <c r="B224" s="44">
        <v>2.1798283011954522E-2</v>
      </c>
    </row>
    <row r="225" spans="1:2" x14ac:dyDescent="0.25">
      <c r="A225" s="46" t="s">
        <v>34</v>
      </c>
      <c r="B225" s="44">
        <v>7.9541658121921373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B205"/>
  <sheetViews>
    <sheetView topLeftCell="D1" workbookViewId="0"/>
  </sheetViews>
  <sheetFormatPr baseColWidth="10" defaultRowHeight="15" x14ac:dyDescent="0.25"/>
  <cols>
    <col min="1" max="1" width="17.5703125" bestFit="1" customWidth="1"/>
    <col min="2" max="2" width="13.7109375" bestFit="1" customWidth="1"/>
    <col min="3" max="3" width="19.28515625" bestFit="1" customWidth="1"/>
  </cols>
  <sheetData>
    <row r="1" spans="1:2" x14ac:dyDescent="0.25">
      <c r="A1" s="45" t="s">
        <v>33</v>
      </c>
      <c r="B1" t="s">
        <v>35</v>
      </c>
    </row>
    <row r="2" spans="1:2" x14ac:dyDescent="0.25">
      <c r="A2" s="46">
        <v>44088</v>
      </c>
      <c r="B2" s="3">
        <v>3.0340643104235232E-3</v>
      </c>
    </row>
    <row r="3" spans="1:2" x14ac:dyDescent="0.25">
      <c r="A3" s="46">
        <v>44089</v>
      </c>
      <c r="B3" s="3">
        <v>6.8966468147720894E-3</v>
      </c>
    </row>
    <row r="4" spans="1:2" x14ac:dyDescent="0.25">
      <c r="A4" s="46">
        <v>44090</v>
      </c>
      <c r="B4" s="3">
        <v>1.2407260130564091E-2</v>
      </c>
    </row>
    <row r="5" spans="1:2" x14ac:dyDescent="0.25">
      <c r="A5" s="46">
        <v>44091</v>
      </c>
      <c r="B5" s="3">
        <v>1.9578319378109443E-2</v>
      </c>
    </row>
    <row r="6" spans="1:2" x14ac:dyDescent="0.25">
      <c r="A6" s="46">
        <v>44092</v>
      </c>
      <c r="B6" s="3">
        <v>1.5951413235363476E-2</v>
      </c>
    </row>
    <row r="7" spans="1:2" x14ac:dyDescent="0.25">
      <c r="A7" s="46">
        <v>44095</v>
      </c>
      <c r="B7" s="3">
        <v>1.6149305355808163E-2</v>
      </c>
    </row>
    <row r="8" spans="1:2" x14ac:dyDescent="0.25">
      <c r="A8" s="46">
        <v>44096</v>
      </c>
      <c r="B8" s="3">
        <v>1.4372870117599523E-2</v>
      </c>
    </row>
    <row r="9" spans="1:2" x14ac:dyDescent="0.25">
      <c r="A9" s="46">
        <v>44097</v>
      </c>
      <c r="B9" s="3">
        <v>1.3837782216739647E-2</v>
      </c>
    </row>
    <row r="10" spans="1:2" x14ac:dyDescent="0.25">
      <c r="A10" s="46">
        <v>44098</v>
      </c>
      <c r="B10" s="3">
        <v>1.9029173890754092E-2</v>
      </c>
    </row>
    <row r="11" spans="1:2" x14ac:dyDescent="0.25">
      <c r="A11" s="46">
        <v>44099</v>
      </c>
      <c r="B11" s="3">
        <v>1.5635826212235582E-2</v>
      </c>
    </row>
    <row r="12" spans="1:2" x14ac:dyDescent="0.25">
      <c r="A12" s="46">
        <v>44102</v>
      </c>
      <c r="B12" s="3">
        <v>1.7092862968268507E-2</v>
      </c>
    </row>
    <row r="13" spans="1:2" x14ac:dyDescent="0.25">
      <c r="A13" s="46">
        <v>44103</v>
      </c>
      <c r="B13" s="3">
        <v>1.6461092753416173E-2</v>
      </c>
    </row>
    <row r="14" spans="1:2" x14ac:dyDescent="0.25">
      <c r="A14" s="46">
        <v>44104</v>
      </c>
      <c r="B14" s="3">
        <v>1.5739601424384186E-2</v>
      </c>
    </row>
    <row r="15" spans="1:2" x14ac:dyDescent="0.25">
      <c r="A15" s="46">
        <v>44105</v>
      </c>
      <c r="B15" s="3">
        <v>1.8657665664576828E-2</v>
      </c>
    </row>
    <row r="16" spans="1:2" x14ac:dyDescent="0.25">
      <c r="A16" s="46">
        <v>44106</v>
      </c>
      <c r="B16" s="3">
        <v>1.4588326188595846E-2</v>
      </c>
    </row>
    <row r="17" spans="1:2" x14ac:dyDescent="0.25">
      <c r="A17" s="46">
        <v>44109</v>
      </c>
      <c r="B17" s="3">
        <v>1.2949415655578722E-2</v>
      </c>
    </row>
    <row r="18" spans="1:2" x14ac:dyDescent="0.25">
      <c r="A18" s="46">
        <v>44110</v>
      </c>
      <c r="B18" s="3">
        <v>1.1530982518000776E-2</v>
      </c>
    </row>
    <row r="19" spans="1:2" x14ac:dyDescent="0.25">
      <c r="A19" s="46">
        <v>44111</v>
      </c>
      <c r="B19" s="3">
        <v>9.4272358778761944E-3</v>
      </c>
    </row>
    <row r="20" spans="1:2" x14ac:dyDescent="0.25">
      <c r="A20" s="46">
        <v>44112</v>
      </c>
      <c r="B20" s="3">
        <v>9.2079971964778018E-3</v>
      </c>
    </row>
    <row r="21" spans="1:2" x14ac:dyDescent="0.25">
      <c r="A21" s="46">
        <v>44113</v>
      </c>
      <c r="B21" s="3">
        <v>1.2020006549852358E-2</v>
      </c>
    </row>
    <row r="22" spans="1:2" x14ac:dyDescent="0.25">
      <c r="A22" s="46">
        <v>44117</v>
      </c>
      <c r="B22" s="3">
        <v>1.0061932503005189E-2</v>
      </c>
    </row>
    <row r="23" spans="1:2" x14ac:dyDescent="0.25">
      <c r="A23" s="46">
        <v>44118</v>
      </c>
      <c r="B23" s="3">
        <v>7.4128120405908549E-3</v>
      </c>
    </row>
    <row r="24" spans="1:2" x14ac:dyDescent="0.25">
      <c r="A24" s="46">
        <v>44119</v>
      </c>
      <c r="B24" s="3">
        <v>4.4772565163522238E-3</v>
      </c>
    </row>
    <row r="25" spans="1:2" x14ac:dyDescent="0.25">
      <c r="A25" s="46">
        <v>44120</v>
      </c>
      <c r="B25" s="3">
        <v>3.9492190919996339E-3</v>
      </c>
    </row>
    <row r="26" spans="1:2" x14ac:dyDescent="0.25">
      <c r="A26" s="46">
        <v>44123</v>
      </c>
      <c r="B26" s="3">
        <v>4.3670590859589686E-3</v>
      </c>
    </row>
    <row r="27" spans="1:2" x14ac:dyDescent="0.25">
      <c r="A27" s="46">
        <v>44124</v>
      </c>
      <c r="B27" s="3">
        <v>5.8432817436289142E-3</v>
      </c>
    </row>
    <row r="28" spans="1:2" x14ac:dyDescent="0.25">
      <c r="A28" s="46">
        <v>44125</v>
      </c>
      <c r="B28" s="3">
        <v>1.1405321969955251E-2</v>
      </c>
    </row>
    <row r="29" spans="1:2" x14ac:dyDescent="0.25">
      <c r="A29" s="46">
        <v>44126</v>
      </c>
      <c r="B29" s="3">
        <v>2.2663046422689404E-2</v>
      </c>
    </row>
    <row r="30" spans="1:2" x14ac:dyDescent="0.25">
      <c r="A30" s="46">
        <v>44127</v>
      </c>
      <c r="B30" s="3">
        <v>3.7863765237646008E-2</v>
      </c>
    </row>
    <row r="31" spans="1:2" x14ac:dyDescent="0.25">
      <c r="A31" s="46">
        <v>44130</v>
      </c>
      <c r="B31" s="3">
        <v>2.5829388128095376E-2</v>
      </c>
    </row>
    <row r="32" spans="1:2" x14ac:dyDescent="0.25">
      <c r="A32" s="46">
        <v>44131</v>
      </c>
      <c r="B32" s="3">
        <v>4.04824420712524E-2</v>
      </c>
    </row>
    <row r="33" spans="1:2" x14ac:dyDescent="0.25">
      <c r="A33" s="46">
        <v>44132</v>
      </c>
      <c r="B33" s="3">
        <v>5.6759589367192942E-2</v>
      </c>
    </row>
    <row r="34" spans="1:2" x14ac:dyDescent="0.25">
      <c r="A34" s="46">
        <v>44133</v>
      </c>
      <c r="B34" s="3">
        <v>6.9936409793250887E-2</v>
      </c>
    </row>
    <row r="35" spans="1:2" x14ac:dyDescent="0.25">
      <c r="A35" s="46">
        <v>44134</v>
      </c>
      <c r="B35" s="3">
        <v>7.129283600770614E-2</v>
      </c>
    </row>
    <row r="36" spans="1:2" x14ac:dyDescent="0.25">
      <c r="A36" s="46">
        <v>44137</v>
      </c>
      <c r="B36" s="3">
        <v>5.3372562157845527E-2</v>
      </c>
    </row>
    <row r="37" spans="1:2" x14ac:dyDescent="0.25">
      <c r="A37" s="46">
        <v>44138</v>
      </c>
      <c r="B37" s="3">
        <v>6.6938524632930763E-2</v>
      </c>
    </row>
    <row r="38" spans="1:2" x14ac:dyDescent="0.25">
      <c r="A38" s="46">
        <v>44139</v>
      </c>
      <c r="B38" s="3">
        <v>6.7834127679731071E-2</v>
      </c>
    </row>
    <row r="39" spans="1:2" x14ac:dyDescent="0.25">
      <c r="A39" s="46">
        <v>44140</v>
      </c>
      <c r="B39" s="3">
        <v>7.7867060860588255E-2</v>
      </c>
    </row>
    <row r="40" spans="1:2" x14ac:dyDescent="0.25">
      <c r="A40" s="46">
        <v>44141</v>
      </c>
      <c r="B40" s="3">
        <v>7.6849563033573653E-2</v>
      </c>
    </row>
    <row r="41" spans="1:2" x14ac:dyDescent="0.25">
      <c r="A41" s="46">
        <v>44144</v>
      </c>
      <c r="B41" s="3">
        <v>7.623209999971603E-2</v>
      </c>
    </row>
    <row r="42" spans="1:2" x14ac:dyDescent="0.25">
      <c r="A42" s="46">
        <v>44145</v>
      </c>
      <c r="B42" s="3">
        <v>7.0183758187956802E-2</v>
      </c>
    </row>
    <row r="43" spans="1:2" x14ac:dyDescent="0.25">
      <c r="A43" s="46">
        <v>44146</v>
      </c>
      <c r="B43" s="3">
        <v>5.864279415143131E-2</v>
      </c>
    </row>
    <row r="44" spans="1:2" x14ac:dyDescent="0.25">
      <c r="A44" s="46">
        <v>44147</v>
      </c>
      <c r="B44" s="3">
        <v>4.7876761606338525E-2</v>
      </c>
    </row>
    <row r="45" spans="1:2" x14ac:dyDescent="0.25">
      <c r="A45" s="46">
        <v>44148</v>
      </c>
      <c r="B45" s="3">
        <v>5.3628027431288694E-2</v>
      </c>
    </row>
    <row r="46" spans="1:2" x14ac:dyDescent="0.25">
      <c r="A46" s="46">
        <v>44151</v>
      </c>
      <c r="B46" s="3">
        <v>4.9991763498549446E-2</v>
      </c>
    </row>
    <row r="47" spans="1:2" x14ac:dyDescent="0.25">
      <c r="A47" s="46">
        <v>44152</v>
      </c>
      <c r="B47" s="3">
        <v>4.1220000287083114E-2</v>
      </c>
    </row>
    <row r="48" spans="1:2" x14ac:dyDescent="0.25">
      <c r="A48" s="46">
        <v>44153</v>
      </c>
      <c r="B48" s="3">
        <v>4.0077332729164916E-2</v>
      </c>
    </row>
    <row r="49" spans="1:2" x14ac:dyDescent="0.25">
      <c r="A49" s="46">
        <v>44154</v>
      </c>
      <c r="B49" s="3">
        <v>3.1092327845402445E-2</v>
      </c>
    </row>
    <row r="50" spans="1:2" x14ac:dyDescent="0.25">
      <c r="A50" s="46">
        <v>44155</v>
      </c>
      <c r="B50" s="3">
        <v>3.3878582342669161E-2</v>
      </c>
    </row>
    <row r="51" spans="1:2" x14ac:dyDescent="0.25">
      <c r="A51" s="46">
        <v>44159</v>
      </c>
      <c r="B51" s="3">
        <v>4.036682512233325E-2</v>
      </c>
    </row>
    <row r="52" spans="1:2" x14ac:dyDescent="0.25">
      <c r="A52" s="46">
        <v>44160</v>
      </c>
      <c r="B52" s="3">
        <v>4.4299720000001985E-2</v>
      </c>
    </row>
    <row r="53" spans="1:2" x14ac:dyDescent="0.25">
      <c r="A53" s="46">
        <v>44161</v>
      </c>
      <c r="B53" s="3">
        <v>4.4378785920275443E-2</v>
      </c>
    </row>
    <row r="54" spans="1:2" x14ac:dyDescent="0.25">
      <c r="A54" s="46">
        <v>44162</v>
      </c>
      <c r="B54" s="3">
        <v>4.1953862029139699E-2</v>
      </c>
    </row>
    <row r="55" spans="1:2" x14ac:dyDescent="0.25">
      <c r="A55" s="46">
        <v>44165</v>
      </c>
      <c r="B55" s="3">
        <v>3.8178247422756495E-2</v>
      </c>
    </row>
    <row r="56" spans="1:2" x14ac:dyDescent="0.25">
      <c r="A56" s="46">
        <v>44166</v>
      </c>
      <c r="B56" s="3">
        <v>3.604823184282796E-2</v>
      </c>
    </row>
    <row r="57" spans="1:2" x14ac:dyDescent="0.25">
      <c r="A57" s="46">
        <v>44167</v>
      </c>
      <c r="B57" s="3">
        <v>3.3330631776649411E-2</v>
      </c>
    </row>
    <row r="58" spans="1:2" x14ac:dyDescent="0.25">
      <c r="A58" s="46">
        <v>44168</v>
      </c>
      <c r="B58" s="3">
        <v>3.1821361917110713E-2</v>
      </c>
    </row>
    <row r="59" spans="1:2" x14ac:dyDescent="0.25">
      <c r="A59" s="46">
        <v>44169</v>
      </c>
      <c r="B59" s="3">
        <v>3.3810496853109273E-2</v>
      </c>
    </row>
    <row r="60" spans="1:2" x14ac:dyDescent="0.25">
      <c r="A60" s="46">
        <v>44174</v>
      </c>
      <c r="B60" s="3">
        <v>2.7951948973354124E-2</v>
      </c>
    </row>
    <row r="61" spans="1:2" x14ac:dyDescent="0.25">
      <c r="A61" s="46">
        <v>44175</v>
      </c>
      <c r="B61" s="3">
        <v>2.6662175858475745E-2</v>
      </c>
    </row>
    <row r="62" spans="1:2" x14ac:dyDescent="0.25">
      <c r="A62" s="46">
        <v>44176</v>
      </c>
      <c r="B62" s="3">
        <v>2.2838993504153748E-2</v>
      </c>
    </row>
    <row r="63" spans="1:2" x14ac:dyDescent="0.25">
      <c r="A63" s="46">
        <v>44179</v>
      </c>
      <c r="B63" s="3">
        <v>1.981510299670447E-2</v>
      </c>
    </row>
    <row r="64" spans="1:2" x14ac:dyDescent="0.25">
      <c r="A64" s="46">
        <v>44180</v>
      </c>
      <c r="B64" s="3">
        <v>1.928707263332291E-2</v>
      </c>
    </row>
    <row r="65" spans="1:2" x14ac:dyDescent="0.25">
      <c r="A65" s="46">
        <v>44181</v>
      </c>
      <c r="B65" s="3">
        <v>1.9767337252446449E-2</v>
      </c>
    </row>
    <row r="66" spans="1:2" x14ac:dyDescent="0.25">
      <c r="A66" s="46">
        <v>44182</v>
      </c>
      <c r="B66" s="3">
        <v>1.9357893911094493E-2</v>
      </c>
    </row>
    <row r="67" spans="1:2" x14ac:dyDescent="0.25">
      <c r="A67" s="46">
        <v>44183</v>
      </c>
      <c r="B67" s="3">
        <v>1.7355166420650325E-2</v>
      </c>
    </row>
    <row r="68" spans="1:2" x14ac:dyDescent="0.25">
      <c r="A68" s="46">
        <v>44186</v>
      </c>
      <c r="B68" s="3">
        <v>1.6746387483785485E-2</v>
      </c>
    </row>
    <row r="69" spans="1:2" x14ac:dyDescent="0.25">
      <c r="A69" s="46">
        <v>44187</v>
      </c>
      <c r="B69" s="3">
        <v>1.7941231093803356E-2</v>
      </c>
    </row>
    <row r="70" spans="1:2" x14ac:dyDescent="0.25">
      <c r="A70" s="46">
        <v>44188</v>
      </c>
      <c r="B70" s="3">
        <v>1.8529885456381179E-2</v>
      </c>
    </row>
    <row r="71" spans="1:2" x14ac:dyDescent="0.25">
      <c r="A71" s="46">
        <v>44193</v>
      </c>
      <c r="B71" s="3">
        <v>1.5374874199002186E-2</v>
      </c>
    </row>
    <row r="72" spans="1:2" x14ac:dyDescent="0.25">
      <c r="A72" s="46">
        <v>44194</v>
      </c>
      <c r="B72" s="3">
        <v>1.6170200599921525E-2</v>
      </c>
    </row>
    <row r="73" spans="1:2" x14ac:dyDescent="0.25">
      <c r="A73" s="46">
        <v>44195</v>
      </c>
      <c r="B73" s="3">
        <v>1.6059813244913235E-2</v>
      </c>
    </row>
    <row r="74" spans="1:2" x14ac:dyDescent="0.25">
      <c r="A74" s="46">
        <v>44200</v>
      </c>
      <c r="B74" s="3">
        <v>9.9599931096897576E-3</v>
      </c>
    </row>
    <row r="75" spans="1:2" x14ac:dyDescent="0.25">
      <c r="A75" s="46">
        <v>44201</v>
      </c>
      <c r="B75" s="3">
        <v>1.1846234150643287E-2</v>
      </c>
    </row>
    <row r="76" spans="1:2" x14ac:dyDescent="0.25">
      <c r="A76" s="46">
        <v>44202</v>
      </c>
      <c r="B76" s="3">
        <v>1.5849810219339733E-2</v>
      </c>
    </row>
    <row r="77" spans="1:2" x14ac:dyDescent="0.25">
      <c r="A77" s="46">
        <v>44203</v>
      </c>
      <c r="B77" s="3">
        <v>1.8629544062798487E-2</v>
      </c>
    </row>
    <row r="78" spans="1:2" x14ac:dyDescent="0.25">
      <c r="A78" s="46">
        <v>44204</v>
      </c>
      <c r="B78" s="3">
        <v>1.5300759446676915E-2</v>
      </c>
    </row>
    <row r="79" spans="1:2" x14ac:dyDescent="0.25">
      <c r="A79" s="46">
        <v>44207</v>
      </c>
      <c r="B79" s="3">
        <v>1.906979176159429E-2</v>
      </c>
    </row>
    <row r="80" spans="1:2" x14ac:dyDescent="0.25">
      <c r="A80" s="46">
        <v>44208</v>
      </c>
      <c r="B80" s="3">
        <v>2.0868671564024555E-2</v>
      </c>
    </row>
    <row r="81" spans="1:2" x14ac:dyDescent="0.25">
      <c r="A81" s="46">
        <v>44209</v>
      </c>
      <c r="B81" s="3">
        <v>1.7339065922587715E-2</v>
      </c>
    </row>
    <row r="82" spans="1:2" x14ac:dyDescent="0.25">
      <c r="A82" s="46">
        <v>44210</v>
      </c>
      <c r="B82" s="3">
        <v>1.6515554184171999E-2</v>
      </c>
    </row>
    <row r="83" spans="1:2" x14ac:dyDescent="0.25">
      <c r="A83" s="46">
        <v>44211</v>
      </c>
      <c r="B83" s="3">
        <v>1.5598887533415873E-2</v>
      </c>
    </row>
    <row r="84" spans="1:2" x14ac:dyDescent="0.25">
      <c r="A84" s="46">
        <v>44214</v>
      </c>
      <c r="B84" s="3">
        <v>1.466990797012302E-2</v>
      </c>
    </row>
    <row r="85" spans="1:2" x14ac:dyDescent="0.25">
      <c r="A85" s="46">
        <v>44215</v>
      </c>
      <c r="B85" s="3">
        <v>1.5764913604100317E-2</v>
      </c>
    </row>
    <row r="86" spans="1:2" x14ac:dyDescent="0.25">
      <c r="A86" s="46">
        <v>44216</v>
      </c>
      <c r="B86" s="3">
        <v>1.3944655072432754E-2</v>
      </c>
    </row>
    <row r="87" spans="1:2" x14ac:dyDescent="0.25">
      <c r="A87" s="46">
        <v>44217</v>
      </c>
      <c r="B87" s="3">
        <v>1.3731963600923103E-2</v>
      </c>
    </row>
    <row r="88" spans="1:2" x14ac:dyDescent="0.25">
      <c r="A88" s="46">
        <v>44218</v>
      </c>
      <c r="B88" s="3">
        <v>1.4726881015009075E-2</v>
      </c>
    </row>
    <row r="89" spans="1:2" x14ac:dyDescent="0.25">
      <c r="A89" s="46">
        <v>44221</v>
      </c>
      <c r="B89" s="3">
        <v>1.4593252035293325E-2</v>
      </c>
    </row>
    <row r="90" spans="1:2" x14ac:dyDescent="0.25">
      <c r="A90" s="46">
        <v>44222</v>
      </c>
      <c r="B90" s="3">
        <v>1.4281797979084965E-2</v>
      </c>
    </row>
    <row r="91" spans="1:2" x14ac:dyDescent="0.25">
      <c r="A91" s="46">
        <v>44223</v>
      </c>
      <c r="B91" s="3">
        <v>1.5672493629683371E-2</v>
      </c>
    </row>
    <row r="92" spans="1:2" x14ac:dyDescent="0.25">
      <c r="A92" s="46">
        <v>44224</v>
      </c>
      <c r="B92" s="3">
        <v>1.3346299687576002E-2</v>
      </c>
    </row>
    <row r="93" spans="1:2" x14ac:dyDescent="0.25">
      <c r="A93" s="46">
        <v>44225</v>
      </c>
      <c r="B93" s="3">
        <v>1.5641854929811738E-2</v>
      </c>
    </row>
    <row r="94" spans="1:2" x14ac:dyDescent="0.25">
      <c r="A94" s="46">
        <v>44228</v>
      </c>
      <c r="B94" s="3">
        <v>1.8423255027920415E-2</v>
      </c>
    </row>
    <row r="95" spans="1:2" x14ac:dyDescent="0.25">
      <c r="A95" s="46">
        <v>44229</v>
      </c>
      <c r="B95" s="3">
        <v>2.0317237107866593E-2</v>
      </c>
    </row>
    <row r="96" spans="1:2" x14ac:dyDescent="0.25">
      <c r="A96" s="46">
        <v>44230</v>
      </c>
      <c r="B96" s="3">
        <v>1.9697811623995032E-2</v>
      </c>
    </row>
    <row r="97" spans="1:2" x14ac:dyDescent="0.25">
      <c r="A97" s="46">
        <v>44231</v>
      </c>
      <c r="B97" s="3">
        <v>1.9883790410033575E-2</v>
      </c>
    </row>
    <row r="98" spans="1:2" x14ac:dyDescent="0.25">
      <c r="A98" s="46">
        <v>44232</v>
      </c>
      <c r="B98" s="3">
        <v>2.0074277759052461E-2</v>
      </c>
    </row>
    <row r="99" spans="1:2" x14ac:dyDescent="0.25">
      <c r="A99" s="46">
        <v>44235</v>
      </c>
      <c r="B99" s="3">
        <v>2.0448177395246014E-2</v>
      </c>
    </row>
    <row r="100" spans="1:2" x14ac:dyDescent="0.25">
      <c r="A100" s="46">
        <v>44236</v>
      </c>
      <c r="B100" s="3">
        <v>2.0935909493557059E-2</v>
      </c>
    </row>
    <row r="101" spans="1:2" x14ac:dyDescent="0.25">
      <c r="A101" s="46">
        <v>44237</v>
      </c>
      <c r="B101" s="3">
        <v>2.1024190932012576E-2</v>
      </c>
    </row>
    <row r="102" spans="1:2" x14ac:dyDescent="0.25">
      <c r="A102" s="46">
        <v>44238</v>
      </c>
      <c r="B102" s="3">
        <v>2.2304199344393261E-2</v>
      </c>
    </row>
    <row r="103" spans="1:2" x14ac:dyDescent="0.25">
      <c r="A103" s="46">
        <v>44239</v>
      </c>
      <c r="B103" s="3">
        <v>2.6893445571350316E-2</v>
      </c>
    </row>
    <row r="104" spans="1:2" x14ac:dyDescent="0.25">
      <c r="A104" s="46">
        <v>44244</v>
      </c>
      <c r="B104" s="3">
        <v>2.683524389341696E-2</v>
      </c>
    </row>
    <row r="105" spans="1:2" x14ac:dyDescent="0.25">
      <c r="A105" s="46">
        <v>44245</v>
      </c>
      <c r="B105" s="3">
        <v>2.3332935912927788E-2</v>
      </c>
    </row>
    <row r="106" spans="1:2" x14ac:dyDescent="0.25">
      <c r="A106" s="46">
        <v>44246</v>
      </c>
      <c r="B106" s="3">
        <v>2.4910726502308245E-2</v>
      </c>
    </row>
    <row r="107" spans="1:2" x14ac:dyDescent="0.25">
      <c r="A107" s="46">
        <v>44249</v>
      </c>
      <c r="B107" s="3">
        <v>2.0270467682153626E-2</v>
      </c>
    </row>
    <row r="108" spans="1:2" x14ac:dyDescent="0.25">
      <c r="A108" s="46">
        <v>44250</v>
      </c>
      <c r="B108" s="3">
        <v>2.0643007467494034E-2</v>
      </c>
    </row>
    <row r="109" spans="1:2" x14ac:dyDescent="0.25">
      <c r="A109" s="46">
        <v>44251</v>
      </c>
      <c r="B109" s="3">
        <v>1.9440099362984575E-2</v>
      </c>
    </row>
    <row r="110" spans="1:2" x14ac:dyDescent="0.25">
      <c r="A110" s="46">
        <v>44252</v>
      </c>
      <c r="B110" s="3">
        <v>1.5729822010734362E-2</v>
      </c>
    </row>
    <row r="111" spans="1:2" x14ac:dyDescent="0.25">
      <c r="A111" s="46">
        <v>44253</v>
      </c>
      <c r="B111" s="3">
        <v>1.3923948350034188E-2</v>
      </c>
    </row>
    <row r="112" spans="1:2" x14ac:dyDescent="0.25">
      <c r="A112" s="46">
        <v>44256</v>
      </c>
      <c r="B112" s="3">
        <v>1.5301234106931849E-2</v>
      </c>
    </row>
    <row r="113" spans="1:2" x14ac:dyDescent="0.25">
      <c r="A113" s="46">
        <v>44257</v>
      </c>
      <c r="B113" s="3">
        <v>1.517638893275669E-2</v>
      </c>
    </row>
    <row r="114" spans="1:2" x14ac:dyDescent="0.25">
      <c r="A114" s="46">
        <v>44258</v>
      </c>
      <c r="B114" s="3">
        <v>1.3960854237600573E-2</v>
      </c>
    </row>
    <row r="115" spans="1:2" x14ac:dyDescent="0.25">
      <c r="A115" s="46">
        <v>44259</v>
      </c>
      <c r="B115" s="3">
        <v>1.5361528214510756E-2</v>
      </c>
    </row>
    <row r="116" spans="1:2" x14ac:dyDescent="0.25">
      <c r="A116" s="46">
        <v>44260</v>
      </c>
      <c r="B116" s="3">
        <v>1.8745020891703601E-2</v>
      </c>
    </row>
    <row r="117" spans="1:2" x14ac:dyDescent="0.25">
      <c r="A117" s="46">
        <v>44263</v>
      </c>
      <c r="B117" s="3">
        <v>1.2996902341661676E-2</v>
      </c>
    </row>
    <row r="118" spans="1:2" x14ac:dyDescent="0.25">
      <c r="A118" s="46">
        <v>44264</v>
      </c>
      <c r="B118" s="3">
        <v>1.2168828120072306E-2</v>
      </c>
    </row>
    <row r="119" spans="1:2" x14ac:dyDescent="0.25">
      <c r="A119" s="46">
        <v>44265</v>
      </c>
      <c r="B119" s="3">
        <v>1.5925215657108693E-2</v>
      </c>
    </row>
    <row r="120" spans="1:2" x14ac:dyDescent="0.25">
      <c r="A120" s="46">
        <v>44266</v>
      </c>
      <c r="B120" s="3">
        <v>1.5415062279806158E-2</v>
      </c>
    </row>
    <row r="121" spans="1:2" x14ac:dyDescent="0.25">
      <c r="A121" s="46">
        <v>44267</v>
      </c>
      <c r="B121" s="3">
        <v>1.2221301961886477E-2</v>
      </c>
    </row>
    <row r="122" spans="1:2" x14ac:dyDescent="0.25">
      <c r="A122" s="46">
        <v>44270</v>
      </c>
      <c r="B122" s="3">
        <v>1.6224123299930893E-2</v>
      </c>
    </row>
    <row r="123" spans="1:2" x14ac:dyDescent="0.25">
      <c r="A123" s="46">
        <v>44271</v>
      </c>
      <c r="B123" s="3">
        <v>1.3518902966722979E-2</v>
      </c>
    </row>
    <row r="124" spans="1:2" x14ac:dyDescent="0.25">
      <c r="A124" s="46">
        <v>44272</v>
      </c>
      <c r="B124" s="3">
        <v>1.1414402440930449E-2</v>
      </c>
    </row>
    <row r="125" spans="1:2" x14ac:dyDescent="0.25">
      <c r="A125" s="46">
        <v>44273</v>
      </c>
      <c r="B125" s="3">
        <v>1.0001669173319072E-2</v>
      </c>
    </row>
    <row r="126" spans="1:2" x14ac:dyDescent="0.25">
      <c r="A126" s="46">
        <v>44274</v>
      </c>
      <c r="B126" s="3">
        <v>1.1801008771144095E-2</v>
      </c>
    </row>
    <row r="127" spans="1:2" x14ac:dyDescent="0.25">
      <c r="A127" s="46">
        <v>44277</v>
      </c>
      <c r="B127" s="3">
        <v>1.2388750106958613E-2</v>
      </c>
    </row>
    <row r="128" spans="1:2" x14ac:dyDescent="0.25">
      <c r="A128" s="46">
        <v>44278</v>
      </c>
      <c r="B128" s="3">
        <v>1.347226278839686E-2</v>
      </c>
    </row>
    <row r="129" spans="1:2" x14ac:dyDescent="0.25">
      <c r="A129" s="46">
        <v>44280</v>
      </c>
      <c r="B129" s="3">
        <v>1.163187543994576E-2</v>
      </c>
    </row>
    <row r="130" spans="1:2" x14ac:dyDescent="0.25">
      <c r="A130" s="46">
        <v>44281</v>
      </c>
      <c r="B130" s="3">
        <v>1.2725976726246646E-2</v>
      </c>
    </row>
    <row r="131" spans="1:2" x14ac:dyDescent="0.25">
      <c r="A131" s="46">
        <v>44284</v>
      </c>
      <c r="B131" s="3">
        <v>1.599274101940884E-2</v>
      </c>
    </row>
    <row r="132" spans="1:2" x14ac:dyDescent="0.25">
      <c r="A132" s="46">
        <v>44285</v>
      </c>
      <c r="B132" s="3">
        <v>1.5974732078252618E-2</v>
      </c>
    </row>
    <row r="133" spans="1:2" x14ac:dyDescent="0.25">
      <c r="A133" s="46">
        <v>44286</v>
      </c>
      <c r="B133" s="3">
        <v>2.0372361451498178E-2</v>
      </c>
    </row>
    <row r="134" spans="1:2" x14ac:dyDescent="0.25">
      <c r="A134" s="46">
        <v>44291</v>
      </c>
      <c r="B134" s="3">
        <v>1.3930187898187896E-2</v>
      </c>
    </row>
    <row r="135" spans="1:2" x14ac:dyDescent="0.25">
      <c r="A135" s="46">
        <v>44292</v>
      </c>
      <c r="B135" s="3">
        <v>1.35154190846003E-2</v>
      </c>
    </row>
    <row r="136" spans="1:2" x14ac:dyDescent="0.25">
      <c r="A136" s="46">
        <v>44293</v>
      </c>
      <c r="B136" s="3">
        <v>1.3004100859527135E-2</v>
      </c>
    </row>
    <row r="137" spans="1:2" x14ac:dyDescent="0.25">
      <c r="A137" s="46">
        <v>44294</v>
      </c>
      <c r="B137" s="3">
        <v>1.5698271673517117E-2</v>
      </c>
    </row>
    <row r="138" spans="1:2" x14ac:dyDescent="0.25">
      <c r="A138" s="46">
        <v>44295</v>
      </c>
      <c r="B138" s="3">
        <v>1.518372680623381E-2</v>
      </c>
    </row>
    <row r="139" spans="1:2" x14ac:dyDescent="0.25">
      <c r="A139" s="46">
        <v>44298</v>
      </c>
      <c r="B139" s="3">
        <v>1.6771628669740357E-2</v>
      </c>
    </row>
    <row r="140" spans="1:2" x14ac:dyDescent="0.25">
      <c r="A140" s="46">
        <v>44299</v>
      </c>
      <c r="B140" s="3">
        <v>1.6565913956701317E-2</v>
      </c>
    </row>
    <row r="141" spans="1:2" x14ac:dyDescent="0.25">
      <c r="A141" s="46">
        <v>44300</v>
      </c>
      <c r="B141" s="3">
        <v>1.8757115090147103E-2</v>
      </c>
    </row>
    <row r="142" spans="1:2" x14ac:dyDescent="0.25">
      <c r="A142" s="46">
        <v>44301</v>
      </c>
      <c r="B142" s="3">
        <v>1.9242917887467736E-2</v>
      </c>
    </row>
    <row r="143" spans="1:2" x14ac:dyDescent="0.25">
      <c r="A143" s="46">
        <v>44302</v>
      </c>
      <c r="B143" s="3">
        <v>2.0736605702784128E-2</v>
      </c>
    </row>
    <row r="144" spans="1:2" x14ac:dyDescent="0.25">
      <c r="A144" s="46">
        <v>44305</v>
      </c>
      <c r="B144" s="3">
        <v>1.9009761297658634E-2</v>
      </c>
    </row>
    <row r="145" spans="1:2" x14ac:dyDescent="0.25">
      <c r="A145" s="46">
        <v>44306</v>
      </c>
      <c r="B145" s="3">
        <v>1.960018045611106E-2</v>
      </c>
    </row>
    <row r="146" spans="1:2" x14ac:dyDescent="0.25">
      <c r="A146" s="46">
        <v>44307</v>
      </c>
      <c r="B146" s="3">
        <v>2.1196586124687611E-2</v>
      </c>
    </row>
    <row r="147" spans="1:2" x14ac:dyDescent="0.25">
      <c r="A147" s="46">
        <v>44308</v>
      </c>
      <c r="B147" s="3">
        <v>2.2991977176581635E-2</v>
      </c>
    </row>
    <row r="148" spans="1:2" x14ac:dyDescent="0.25">
      <c r="A148" s="46">
        <v>44309</v>
      </c>
      <c r="B148" s="3">
        <v>2.3982423368935746E-2</v>
      </c>
    </row>
    <row r="149" spans="1:2" x14ac:dyDescent="0.25">
      <c r="A149" s="46">
        <v>44312</v>
      </c>
      <c r="B149" s="3">
        <v>2.03600188973459E-2</v>
      </c>
    </row>
    <row r="150" spans="1:2" x14ac:dyDescent="0.25">
      <c r="A150" s="46">
        <v>44313</v>
      </c>
      <c r="B150" s="3">
        <v>1.7952935127569458E-2</v>
      </c>
    </row>
    <row r="151" spans="1:2" x14ac:dyDescent="0.25">
      <c r="A151" s="46">
        <v>44314</v>
      </c>
      <c r="B151" s="3">
        <v>1.9649060961637543E-2</v>
      </c>
    </row>
    <row r="152" spans="1:2" x14ac:dyDescent="0.25">
      <c r="A152" s="46">
        <v>44315</v>
      </c>
      <c r="B152" s="3">
        <v>1.6331547957539327E-2</v>
      </c>
    </row>
    <row r="153" spans="1:2" x14ac:dyDescent="0.25">
      <c r="A153" s="46">
        <v>44316</v>
      </c>
      <c r="B153" s="3">
        <v>1.7523762389727582E-2</v>
      </c>
    </row>
    <row r="154" spans="1:2" x14ac:dyDescent="0.25">
      <c r="A154" s="46">
        <v>44319</v>
      </c>
      <c r="B154" s="3">
        <v>1.6495457644672695E-2</v>
      </c>
    </row>
    <row r="155" spans="1:2" x14ac:dyDescent="0.25">
      <c r="A155" s="46">
        <v>44320</v>
      </c>
      <c r="B155" s="3">
        <v>1.6886325555219406E-2</v>
      </c>
    </row>
    <row r="156" spans="1:2" x14ac:dyDescent="0.25">
      <c r="A156" s="46">
        <v>44321</v>
      </c>
      <c r="B156" s="3">
        <v>1.617492623130895E-2</v>
      </c>
    </row>
    <row r="157" spans="1:2" x14ac:dyDescent="0.25">
      <c r="A157" s="46">
        <v>44322</v>
      </c>
      <c r="B157" s="3">
        <v>1.8265601838726941E-2</v>
      </c>
    </row>
    <row r="158" spans="1:2" x14ac:dyDescent="0.25">
      <c r="A158" s="46">
        <v>44323</v>
      </c>
      <c r="B158" s="3">
        <v>2.0553611859349785E-2</v>
      </c>
    </row>
    <row r="159" spans="1:2" x14ac:dyDescent="0.25">
      <c r="A159" s="46">
        <v>44326</v>
      </c>
      <c r="B159" s="3">
        <v>2.0528641924302593E-2</v>
      </c>
    </row>
    <row r="160" spans="1:2" x14ac:dyDescent="0.25">
      <c r="A160" s="46">
        <v>44327</v>
      </c>
      <c r="B160" s="3">
        <v>2.2214349318179838E-2</v>
      </c>
    </row>
    <row r="161" spans="1:2" x14ac:dyDescent="0.25">
      <c r="A161" s="46">
        <v>44328</v>
      </c>
      <c r="B161" s="3">
        <v>2.2510132927244908E-2</v>
      </c>
    </row>
    <row r="162" spans="1:2" x14ac:dyDescent="0.25">
      <c r="A162" s="46">
        <v>44329</v>
      </c>
      <c r="B162" s="3">
        <v>2.280329712884005E-2</v>
      </c>
    </row>
    <row r="163" spans="1:2" x14ac:dyDescent="0.25">
      <c r="A163" s="46">
        <v>44330</v>
      </c>
      <c r="B163" s="3">
        <v>2.3807688457116338E-2</v>
      </c>
    </row>
    <row r="164" spans="1:2" x14ac:dyDescent="0.25">
      <c r="A164" s="46">
        <v>44333</v>
      </c>
      <c r="B164" s="3">
        <v>2.3988500577557414E-2</v>
      </c>
    </row>
    <row r="165" spans="1:2" x14ac:dyDescent="0.25">
      <c r="A165" s="46">
        <v>44334</v>
      </c>
      <c r="B165" s="3">
        <v>2.347855556390771E-2</v>
      </c>
    </row>
    <row r="166" spans="1:2" x14ac:dyDescent="0.25">
      <c r="A166" s="46">
        <v>44335</v>
      </c>
      <c r="B166" s="3">
        <v>2.4262743048251489E-2</v>
      </c>
    </row>
    <row r="167" spans="1:2" x14ac:dyDescent="0.25">
      <c r="A167" s="46">
        <v>44336</v>
      </c>
      <c r="B167" s="3">
        <v>2.5551957639738998E-2</v>
      </c>
    </row>
    <row r="168" spans="1:2" x14ac:dyDescent="0.25">
      <c r="A168" s="46">
        <v>44337</v>
      </c>
      <c r="B168" s="3">
        <v>2.573870333924505E-2</v>
      </c>
    </row>
    <row r="169" spans="1:2" x14ac:dyDescent="0.25">
      <c r="A169" s="46">
        <v>44342</v>
      </c>
      <c r="B169" s="3">
        <v>2.360243325914968E-2</v>
      </c>
    </row>
    <row r="170" spans="1:2" x14ac:dyDescent="0.25">
      <c r="A170" s="46">
        <v>44343</v>
      </c>
      <c r="B170" s="3">
        <v>2.4796857972217756E-2</v>
      </c>
    </row>
    <row r="171" spans="1:2" x14ac:dyDescent="0.25">
      <c r="A171" s="46">
        <v>44344</v>
      </c>
      <c r="B171" s="3">
        <v>2.3282763559583086E-2</v>
      </c>
    </row>
    <row r="172" spans="1:2" x14ac:dyDescent="0.25">
      <c r="A172" s="46">
        <v>44347</v>
      </c>
      <c r="B172" s="3">
        <v>2.3355029596422883E-2</v>
      </c>
    </row>
    <row r="173" spans="1:2" x14ac:dyDescent="0.25">
      <c r="A173" s="46">
        <v>44348</v>
      </c>
      <c r="B173" s="3">
        <v>2.2848130673907063E-2</v>
      </c>
    </row>
    <row r="174" spans="1:2" x14ac:dyDescent="0.25">
      <c r="A174" s="46">
        <v>44349</v>
      </c>
      <c r="B174" s="3">
        <v>2.0843145498939897E-2</v>
      </c>
    </row>
    <row r="175" spans="1:2" x14ac:dyDescent="0.25">
      <c r="A175" s="46">
        <v>44350</v>
      </c>
      <c r="B175" s="3">
        <v>2.1832688410393875E-2</v>
      </c>
    </row>
    <row r="176" spans="1:2" x14ac:dyDescent="0.25">
      <c r="A176" s="46">
        <v>44351</v>
      </c>
      <c r="B176" s="3">
        <v>2.2322237176505499E-2</v>
      </c>
    </row>
    <row r="177" spans="1:2" x14ac:dyDescent="0.25">
      <c r="A177" s="46">
        <v>44354</v>
      </c>
      <c r="B177" s="3">
        <v>1.6994930353261828E-2</v>
      </c>
    </row>
    <row r="178" spans="1:2" x14ac:dyDescent="0.25">
      <c r="A178" s="46">
        <v>44355</v>
      </c>
      <c r="B178" s="3">
        <v>1.7590083116658661E-2</v>
      </c>
    </row>
    <row r="179" spans="1:2" x14ac:dyDescent="0.25">
      <c r="A179" s="46">
        <v>44356</v>
      </c>
      <c r="B179" s="3">
        <v>1.6784593926347291E-2</v>
      </c>
    </row>
    <row r="180" spans="1:2" x14ac:dyDescent="0.25">
      <c r="A180" s="46">
        <v>44357</v>
      </c>
      <c r="B180" s="3">
        <v>1.5576371486511364E-2</v>
      </c>
    </row>
    <row r="181" spans="1:2" x14ac:dyDescent="0.25">
      <c r="A181" s="46">
        <v>44358</v>
      </c>
      <c r="B181" s="3">
        <v>1.6269587625410198E-2</v>
      </c>
    </row>
    <row r="182" spans="1:2" x14ac:dyDescent="0.25">
      <c r="A182" s="46">
        <v>44361</v>
      </c>
      <c r="B182" s="3">
        <v>1.5740338378797569E-2</v>
      </c>
    </row>
    <row r="183" spans="1:2" x14ac:dyDescent="0.25">
      <c r="A183" s="46">
        <v>44362</v>
      </c>
      <c r="B183" s="3">
        <v>1.6629928089155199E-2</v>
      </c>
    </row>
    <row r="184" spans="1:2" x14ac:dyDescent="0.25">
      <c r="A184" s="46">
        <v>44363</v>
      </c>
      <c r="B184" s="3">
        <v>1.5519095643416414E-2</v>
      </c>
    </row>
    <row r="185" spans="1:2" x14ac:dyDescent="0.25">
      <c r="A185" s="46">
        <v>44364</v>
      </c>
      <c r="B185" s="3">
        <v>1.81088620361462E-2</v>
      </c>
    </row>
    <row r="186" spans="1:2" x14ac:dyDescent="0.25">
      <c r="A186" s="46">
        <v>44365</v>
      </c>
      <c r="B186" s="3">
        <v>1.9298894376247211E-2</v>
      </c>
    </row>
    <row r="187" spans="1:2" x14ac:dyDescent="0.25">
      <c r="A187" s="46">
        <v>44369</v>
      </c>
      <c r="B187" s="3">
        <v>1.9658526023387524E-2</v>
      </c>
    </row>
    <row r="188" spans="1:2" x14ac:dyDescent="0.25">
      <c r="A188" s="46">
        <v>44370</v>
      </c>
      <c r="B188" s="3">
        <v>2.0249037395082992E-2</v>
      </c>
    </row>
    <row r="189" spans="1:2" x14ac:dyDescent="0.25">
      <c r="A189" s="46">
        <v>44371</v>
      </c>
      <c r="B189" s="3">
        <v>2.1738392290943431E-2</v>
      </c>
    </row>
    <row r="190" spans="1:2" x14ac:dyDescent="0.25">
      <c r="A190" s="46">
        <v>44372</v>
      </c>
      <c r="B190" s="3">
        <v>2.4726922121257211E-2</v>
      </c>
    </row>
    <row r="191" spans="1:2" x14ac:dyDescent="0.25">
      <c r="A191" s="46">
        <v>44375</v>
      </c>
      <c r="B191" s="3">
        <v>2.399913505072343E-2</v>
      </c>
    </row>
    <row r="192" spans="1:2" x14ac:dyDescent="0.25">
      <c r="A192" s="46">
        <v>44376</v>
      </c>
      <c r="B192" s="3">
        <v>2.5788934703659949E-2</v>
      </c>
    </row>
    <row r="193" spans="1:2" x14ac:dyDescent="0.25">
      <c r="A193" s="46">
        <v>44377</v>
      </c>
      <c r="B193" s="3">
        <v>2.4379218707580419E-2</v>
      </c>
    </row>
    <row r="194" spans="1:2" x14ac:dyDescent="0.25">
      <c r="A194" s="46">
        <v>44378</v>
      </c>
      <c r="B194" s="3">
        <v>2.45702089450755E-2</v>
      </c>
    </row>
    <row r="195" spans="1:2" x14ac:dyDescent="0.25">
      <c r="A195" s="46">
        <v>44379</v>
      </c>
      <c r="B195" s="3">
        <v>2.4461848162996791E-2</v>
      </c>
    </row>
    <row r="196" spans="1:2" x14ac:dyDescent="0.25">
      <c r="A196" s="46">
        <v>44382</v>
      </c>
      <c r="B196" s="3">
        <v>2.6035264582576267E-2</v>
      </c>
    </row>
    <row r="197" spans="1:2" x14ac:dyDescent="0.25">
      <c r="A197" s="46">
        <v>44383</v>
      </c>
      <c r="B197" s="3">
        <v>2.5326368512688213E-2</v>
      </c>
    </row>
    <row r="198" spans="1:2" x14ac:dyDescent="0.25">
      <c r="A198" s="46">
        <v>44384</v>
      </c>
      <c r="B198" s="3">
        <v>1.8417195573637024E-2</v>
      </c>
    </row>
    <row r="199" spans="1:2" x14ac:dyDescent="0.25">
      <c r="A199" s="46">
        <v>44385</v>
      </c>
      <c r="B199" s="3">
        <v>1.6808577660063106E-2</v>
      </c>
    </row>
    <row r="200" spans="1:2" x14ac:dyDescent="0.25">
      <c r="A200" s="46">
        <v>44389</v>
      </c>
      <c r="B200" s="3">
        <v>1.5074100669743185E-2</v>
      </c>
    </row>
    <row r="201" spans="1:2" x14ac:dyDescent="0.25">
      <c r="A201" s="46">
        <v>44390</v>
      </c>
      <c r="B201" s="3">
        <v>1.2965257688492493E-2</v>
      </c>
    </row>
    <row r="202" spans="1:2" x14ac:dyDescent="0.25">
      <c r="A202" s="46">
        <v>44391</v>
      </c>
      <c r="B202" s="3">
        <v>1.3056152274674826E-2</v>
      </c>
    </row>
    <row r="203" spans="1:2" x14ac:dyDescent="0.25">
      <c r="A203" s="46">
        <v>44392</v>
      </c>
      <c r="B203" s="3">
        <v>1.0747474745765317E-2</v>
      </c>
    </row>
    <row r="204" spans="1:2" x14ac:dyDescent="0.25">
      <c r="A204" s="46">
        <v>44393</v>
      </c>
      <c r="B204" s="3">
        <v>8.2387320165162037E-3</v>
      </c>
    </row>
    <row r="205" spans="1:2" x14ac:dyDescent="0.25">
      <c r="A205" s="46" t="s">
        <v>34</v>
      </c>
      <c r="B205" s="44">
        <v>4.498777714472757</v>
      </c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B205"/>
  <sheetViews>
    <sheetView workbookViewId="0">
      <selection activeCell="A4" sqref="A4"/>
    </sheetView>
  </sheetViews>
  <sheetFormatPr baseColWidth="10" defaultRowHeight="15" x14ac:dyDescent="0.25"/>
  <cols>
    <col min="1" max="1" width="17.5703125" bestFit="1" customWidth="1"/>
    <col min="2" max="2" width="13.7109375" bestFit="1" customWidth="1"/>
  </cols>
  <sheetData>
    <row r="1" spans="1:2" x14ac:dyDescent="0.25">
      <c r="A1" s="45" t="s">
        <v>33</v>
      </c>
      <c r="B1" t="s">
        <v>54</v>
      </c>
    </row>
    <row r="2" spans="1:2" x14ac:dyDescent="0.25">
      <c r="A2" s="46">
        <v>44088</v>
      </c>
      <c r="B2" s="44">
        <v>2.9761340777502865E-2</v>
      </c>
    </row>
    <row r="3" spans="1:2" x14ac:dyDescent="0.25">
      <c r="A3" s="46">
        <v>44089</v>
      </c>
      <c r="B3" s="44">
        <v>3.4224442552217349E-2</v>
      </c>
    </row>
    <row r="4" spans="1:2" x14ac:dyDescent="0.25">
      <c r="A4" s="46">
        <v>44090</v>
      </c>
      <c r="B4" s="44">
        <v>4.0535773966507427E-2</v>
      </c>
    </row>
    <row r="5" spans="1:2" x14ac:dyDescent="0.25">
      <c r="A5" s="46">
        <v>44091</v>
      </c>
      <c r="B5" s="44">
        <v>4.610511871305395E-2</v>
      </c>
    </row>
    <row r="6" spans="1:2" x14ac:dyDescent="0.25">
      <c r="A6" s="46">
        <v>44092</v>
      </c>
      <c r="B6" s="44">
        <v>4.4480137361709859E-2</v>
      </c>
    </row>
    <row r="7" spans="1:2" x14ac:dyDescent="0.25">
      <c r="A7" s="46">
        <v>44095</v>
      </c>
      <c r="B7" s="44">
        <v>4.3876938030837032E-2</v>
      </c>
    </row>
    <row r="8" spans="1:2" x14ac:dyDescent="0.25">
      <c r="A8" s="46">
        <v>44096</v>
      </c>
      <c r="B8" s="44">
        <v>4.1800109499177174E-2</v>
      </c>
    </row>
    <row r="9" spans="1:2" x14ac:dyDescent="0.25">
      <c r="A9" s="46">
        <v>44097</v>
      </c>
      <c r="B9" s="44">
        <v>4.9372952299458484E-2</v>
      </c>
    </row>
    <row r="10" spans="1:2" x14ac:dyDescent="0.25">
      <c r="A10" s="46">
        <v>44098</v>
      </c>
      <c r="B10" s="44">
        <v>4.5054843043891457E-2</v>
      </c>
    </row>
    <row r="11" spans="1:2" x14ac:dyDescent="0.25">
      <c r="A11" s="46">
        <v>44099</v>
      </c>
      <c r="B11" s="44">
        <v>3.8758553001922713E-2</v>
      </c>
    </row>
    <row r="12" spans="1:2" x14ac:dyDescent="0.25">
      <c r="A12" s="46">
        <v>44102</v>
      </c>
      <c r="B12" s="44">
        <v>4.1816909643802247E-2</v>
      </c>
    </row>
    <row r="13" spans="1:2" x14ac:dyDescent="0.25">
      <c r="A13" s="46">
        <v>44103</v>
      </c>
      <c r="B13" s="44">
        <v>4.5188935148614329E-2</v>
      </c>
    </row>
    <row r="14" spans="1:2" x14ac:dyDescent="0.25">
      <c r="A14" s="46">
        <v>44104</v>
      </c>
      <c r="B14" s="44">
        <v>3.7760868538515013E-2</v>
      </c>
    </row>
    <row r="15" spans="1:2" x14ac:dyDescent="0.25">
      <c r="A15" s="46">
        <v>44105</v>
      </c>
      <c r="B15" s="44">
        <v>3.6675004267821776E-2</v>
      </c>
    </row>
    <row r="16" spans="1:2" x14ac:dyDescent="0.25">
      <c r="A16" s="46">
        <v>44106</v>
      </c>
      <c r="B16" s="44">
        <v>3.610896241511441E-2</v>
      </c>
    </row>
    <row r="17" spans="1:2" x14ac:dyDescent="0.25">
      <c r="A17" s="46">
        <v>44109</v>
      </c>
      <c r="B17" s="44">
        <v>4.0475527755070351E-2</v>
      </c>
    </row>
    <row r="18" spans="1:2" x14ac:dyDescent="0.25">
      <c r="A18" s="46">
        <v>44110</v>
      </c>
      <c r="B18" s="44">
        <v>4.2059838560013163E-2</v>
      </c>
    </row>
    <row r="19" spans="1:2" x14ac:dyDescent="0.25">
      <c r="A19" s="46">
        <v>44111</v>
      </c>
      <c r="B19" s="44">
        <v>4.1457401273368499E-2</v>
      </c>
    </row>
    <row r="20" spans="1:2" x14ac:dyDescent="0.25">
      <c r="A20" s="46">
        <v>44112</v>
      </c>
      <c r="B20" s="44">
        <v>4.1838616339097967E-2</v>
      </c>
    </row>
    <row r="21" spans="1:2" x14ac:dyDescent="0.25">
      <c r="A21" s="46">
        <v>44113</v>
      </c>
      <c r="B21" s="44">
        <v>4.3749671613422025E-2</v>
      </c>
    </row>
    <row r="22" spans="1:2" x14ac:dyDescent="0.25">
      <c r="A22" s="46">
        <v>44117</v>
      </c>
      <c r="B22" s="44">
        <v>4.189125472107591E-2</v>
      </c>
    </row>
    <row r="23" spans="1:2" x14ac:dyDescent="0.25">
      <c r="A23" s="46">
        <v>44118</v>
      </c>
      <c r="B23" s="44">
        <v>4.1143770591589746E-2</v>
      </c>
    </row>
    <row r="24" spans="1:2" x14ac:dyDescent="0.25">
      <c r="A24" s="46">
        <v>44119</v>
      </c>
      <c r="B24" s="44">
        <v>4.4613956855360792E-2</v>
      </c>
    </row>
    <row r="25" spans="1:2" x14ac:dyDescent="0.25">
      <c r="A25" s="46">
        <v>44120</v>
      </c>
      <c r="B25" s="44">
        <v>4.7889246651351636E-2</v>
      </c>
    </row>
    <row r="26" spans="1:2" x14ac:dyDescent="0.25">
      <c r="A26" s="46">
        <v>44123</v>
      </c>
      <c r="B26" s="44">
        <v>4.9407626446286934E-2</v>
      </c>
    </row>
    <row r="27" spans="1:2" x14ac:dyDescent="0.25">
      <c r="A27" s="46">
        <v>44124</v>
      </c>
      <c r="B27" s="44">
        <v>4.1675432509041765E-2</v>
      </c>
    </row>
    <row r="28" spans="1:2" x14ac:dyDescent="0.25">
      <c r="A28" s="46">
        <v>44125</v>
      </c>
      <c r="B28" s="44">
        <v>4.6937081522157698E-2</v>
      </c>
    </row>
    <row r="29" spans="1:2" x14ac:dyDescent="0.25">
      <c r="A29" s="46">
        <v>44126</v>
      </c>
      <c r="B29" s="44">
        <v>4.6284078848822241E-2</v>
      </c>
    </row>
    <row r="30" spans="1:2" x14ac:dyDescent="0.25">
      <c r="A30" s="46">
        <v>44127</v>
      </c>
      <c r="B30" s="44">
        <v>6.6589244344113674E-2</v>
      </c>
    </row>
    <row r="31" spans="1:2" x14ac:dyDescent="0.25">
      <c r="A31" s="46">
        <v>44130</v>
      </c>
      <c r="B31" s="44">
        <v>4.8148955968393692E-2</v>
      </c>
    </row>
    <row r="32" spans="1:2" x14ac:dyDescent="0.25">
      <c r="A32" s="46">
        <v>44131</v>
      </c>
      <c r="B32" s="44">
        <v>6.6705342206644591E-2</v>
      </c>
    </row>
    <row r="33" spans="1:2" x14ac:dyDescent="0.25">
      <c r="A33" s="46">
        <v>44132</v>
      </c>
      <c r="B33" s="44">
        <v>8.3783096116214317E-2</v>
      </c>
    </row>
    <row r="34" spans="1:2" x14ac:dyDescent="0.25">
      <c r="A34" s="46">
        <v>44133</v>
      </c>
      <c r="B34" s="44">
        <v>9.6459390320899785E-2</v>
      </c>
    </row>
    <row r="35" spans="1:2" x14ac:dyDescent="0.25">
      <c r="A35" s="46">
        <v>44134</v>
      </c>
      <c r="B35" s="44">
        <v>9.2010715821792266E-2</v>
      </c>
    </row>
    <row r="36" spans="1:2" x14ac:dyDescent="0.25">
      <c r="A36" s="46">
        <v>44137</v>
      </c>
      <c r="B36" s="44">
        <v>7.7292960031374702E-2</v>
      </c>
    </row>
    <row r="37" spans="1:2" x14ac:dyDescent="0.25">
      <c r="A37" s="46">
        <v>44138</v>
      </c>
      <c r="B37" s="44">
        <v>8.2251530199302203E-2</v>
      </c>
    </row>
    <row r="38" spans="1:2" x14ac:dyDescent="0.25">
      <c r="A38" s="46">
        <v>44139</v>
      </c>
      <c r="B38" s="44">
        <v>7.9243778994370462E-2</v>
      </c>
    </row>
    <row r="39" spans="1:2" x14ac:dyDescent="0.25">
      <c r="A39" s="46">
        <v>44140</v>
      </c>
      <c r="B39" s="44">
        <v>8.3772035599580741E-2</v>
      </c>
    </row>
    <row r="40" spans="1:2" x14ac:dyDescent="0.25">
      <c r="A40" s="46">
        <v>44141</v>
      </c>
      <c r="B40" s="44">
        <v>8.3054769456771149E-2</v>
      </c>
    </row>
    <row r="41" spans="1:2" x14ac:dyDescent="0.25">
      <c r="A41" s="46">
        <v>44144</v>
      </c>
      <c r="B41" s="44">
        <v>8.0735832545181796E-2</v>
      </c>
    </row>
    <row r="42" spans="1:2" x14ac:dyDescent="0.25">
      <c r="A42" s="46">
        <v>44145</v>
      </c>
      <c r="B42" s="44">
        <v>6.9182932163738164E-2</v>
      </c>
    </row>
    <row r="43" spans="1:2" x14ac:dyDescent="0.25">
      <c r="A43" s="46">
        <v>44146</v>
      </c>
      <c r="B43" s="44">
        <v>6.6148963605777378E-2</v>
      </c>
    </row>
    <row r="44" spans="1:2" x14ac:dyDescent="0.25">
      <c r="A44" s="46">
        <v>44147</v>
      </c>
      <c r="B44" s="44">
        <v>5.25806116754019E-2</v>
      </c>
    </row>
    <row r="45" spans="1:2" x14ac:dyDescent="0.25">
      <c r="A45" s="46">
        <v>44148</v>
      </c>
      <c r="B45" s="44">
        <v>5.5929903618043619E-2</v>
      </c>
    </row>
    <row r="46" spans="1:2" x14ac:dyDescent="0.25">
      <c r="A46" s="46">
        <v>44151</v>
      </c>
      <c r="B46" s="44">
        <v>5.4595468535137137E-2</v>
      </c>
    </row>
    <row r="47" spans="1:2" x14ac:dyDescent="0.25">
      <c r="A47" s="46">
        <v>44152</v>
      </c>
      <c r="B47" s="44">
        <v>4.6524250953713209E-2</v>
      </c>
    </row>
    <row r="48" spans="1:2" x14ac:dyDescent="0.25">
      <c r="A48" s="46">
        <v>44153</v>
      </c>
      <c r="B48" s="44">
        <v>4.3480047909428665E-2</v>
      </c>
    </row>
    <row r="49" spans="1:2" x14ac:dyDescent="0.25">
      <c r="A49" s="46">
        <v>44154</v>
      </c>
      <c r="B49" s="44">
        <v>3.5395747000347477E-2</v>
      </c>
    </row>
    <row r="50" spans="1:2" x14ac:dyDescent="0.25">
      <c r="A50" s="46">
        <v>44155</v>
      </c>
      <c r="B50" s="44">
        <v>3.6480640820437504E-2</v>
      </c>
    </row>
    <row r="51" spans="1:2" x14ac:dyDescent="0.25">
      <c r="A51" s="46">
        <v>44159</v>
      </c>
      <c r="B51" s="44">
        <v>4.8373049138948965E-2</v>
      </c>
    </row>
    <row r="52" spans="1:2" x14ac:dyDescent="0.25">
      <c r="A52" s="46">
        <v>44160</v>
      </c>
      <c r="B52" s="44">
        <v>5.6309014865205953E-2</v>
      </c>
    </row>
    <row r="53" spans="1:2" x14ac:dyDescent="0.25">
      <c r="A53" s="46">
        <v>44161</v>
      </c>
      <c r="B53" s="44">
        <v>5.9290275938268744E-2</v>
      </c>
    </row>
    <row r="54" spans="1:2" x14ac:dyDescent="0.25">
      <c r="A54" s="46">
        <v>44162</v>
      </c>
      <c r="B54" s="44">
        <v>5.7065454483625322E-2</v>
      </c>
    </row>
    <row r="55" spans="1:2" x14ac:dyDescent="0.25">
      <c r="A55" s="46">
        <v>44165</v>
      </c>
      <c r="B55" s="44">
        <v>5.278930579227592E-2</v>
      </c>
    </row>
    <row r="56" spans="1:2" x14ac:dyDescent="0.25">
      <c r="A56" s="46">
        <v>44166</v>
      </c>
      <c r="B56" s="44">
        <v>5.135976793166197E-2</v>
      </c>
    </row>
    <row r="57" spans="1:2" x14ac:dyDescent="0.25">
      <c r="A57" s="46">
        <v>44167</v>
      </c>
      <c r="B57" s="44">
        <v>4.0035660548228102E-2</v>
      </c>
    </row>
    <row r="58" spans="1:2" x14ac:dyDescent="0.25">
      <c r="A58" s="46">
        <v>44168</v>
      </c>
      <c r="B58" s="44">
        <v>4.633219534754851E-2</v>
      </c>
    </row>
    <row r="59" spans="1:2" x14ac:dyDescent="0.25">
      <c r="A59" s="46">
        <v>44169</v>
      </c>
      <c r="B59" s="44">
        <v>4.8521429292627705E-2</v>
      </c>
    </row>
    <row r="60" spans="1:2" x14ac:dyDescent="0.25">
      <c r="A60" s="46">
        <v>44174</v>
      </c>
      <c r="B60" s="44">
        <v>4.7866407415784851E-2</v>
      </c>
    </row>
    <row r="61" spans="1:2" x14ac:dyDescent="0.25">
      <c r="A61" s="46">
        <v>44175</v>
      </c>
      <c r="B61" s="44">
        <v>4.9878952364786788E-2</v>
      </c>
    </row>
    <row r="62" spans="1:2" x14ac:dyDescent="0.25">
      <c r="A62" s="46">
        <v>44176</v>
      </c>
      <c r="B62" s="44">
        <v>4.8157201804643834E-2</v>
      </c>
    </row>
    <row r="63" spans="1:2" x14ac:dyDescent="0.25">
      <c r="A63" s="46">
        <v>44179</v>
      </c>
      <c r="B63" s="44">
        <v>4.8935746740728481E-2</v>
      </c>
    </row>
    <row r="64" spans="1:2" x14ac:dyDescent="0.25">
      <c r="A64" s="46">
        <v>44180</v>
      </c>
      <c r="B64" s="44">
        <v>4.9608463751714682E-2</v>
      </c>
    </row>
    <row r="65" spans="1:2" x14ac:dyDescent="0.25">
      <c r="A65" s="46">
        <v>44181</v>
      </c>
      <c r="B65" s="44">
        <v>4.4784900952989648E-2</v>
      </c>
    </row>
    <row r="66" spans="1:2" x14ac:dyDescent="0.25">
      <c r="A66" s="46">
        <v>44182</v>
      </c>
      <c r="B66" s="44">
        <v>3.8771456811202809E-2</v>
      </c>
    </row>
    <row r="67" spans="1:2" x14ac:dyDescent="0.25">
      <c r="A67" s="46">
        <v>44183</v>
      </c>
      <c r="B67" s="44">
        <v>3.6968801927526718E-2</v>
      </c>
    </row>
    <row r="68" spans="1:2" x14ac:dyDescent="0.25">
      <c r="A68" s="46">
        <v>44186</v>
      </c>
      <c r="B68" s="44">
        <v>3.8060986524224127E-2</v>
      </c>
    </row>
    <row r="69" spans="1:2" x14ac:dyDescent="0.25">
      <c r="A69" s="46">
        <v>44187</v>
      </c>
      <c r="B69" s="44">
        <v>3.8555279709126811E-2</v>
      </c>
    </row>
    <row r="70" spans="1:2" x14ac:dyDescent="0.25">
      <c r="A70" s="46">
        <v>44188</v>
      </c>
      <c r="B70" s="44">
        <v>3.8943727719285448E-2</v>
      </c>
    </row>
    <row r="71" spans="1:2" x14ac:dyDescent="0.25">
      <c r="A71" s="46">
        <v>44193</v>
      </c>
      <c r="B71" s="44">
        <v>3.4387440724136908E-2</v>
      </c>
    </row>
    <row r="72" spans="1:2" x14ac:dyDescent="0.25">
      <c r="A72" s="46">
        <v>44194</v>
      </c>
      <c r="B72" s="44">
        <v>3.7484215294515233E-2</v>
      </c>
    </row>
    <row r="73" spans="1:2" x14ac:dyDescent="0.25">
      <c r="A73" s="46">
        <v>44195</v>
      </c>
      <c r="B73" s="44">
        <v>4.3477747578672621E-2</v>
      </c>
    </row>
    <row r="74" spans="1:2" x14ac:dyDescent="0.25">
      <c r="A74" s="46">
        <v>44200</v>
      </c>
      <c r="B74" s="44">
        <v>4.3181154534432942E-2</v>
      </c>
    </row>
    <row r="75" spans="1:2" x14ac:dyDescent="0.25">
      <c r="A75" s="46">
        <v>44201</v>
      </c>
      <c r="B75" s="44">
        <v>4.5367471921148594E-2</v>
      </c>
    </row>
    <row r="76" spans="1:2" x14ac:dyDescent="0.25">
      <c r="A76" s="46">
        <v>44202</v>
      </c>
      <c r="B76" s="44">
        <v>4.3066960752552397E-2</v>
      </c>
    </row>
    <row r="77" spans="1:2" x14ac:dyDescent="0.25">
      <c r="A77" s="46">
        <v>44203</v>
      </c>
      <c r="B77" s="44">
        <v>4.3044845433177825E-2</v>
      </c>
    </row>
    <row r="78" spans="1:2" x14ac:dyDescent="0.25">
      <c r="A78" s="46">
        <v>44204</v>
      </c>
      <c r="B78" s="44">
        <v>4.0316351356703028E-2</v>
      </c>
    </row>
    <row r="79" spans="1:2" x14ac:dyDescent="0.25">
      <c r="A79" s="46">
        <v>44207</v>
      </c>
      <c r="B79" s="44">
        <v>4.5586046589039864E-2</v>
      </c>
    </row>
    <row r="80" spans="1:2" x14ac:dyDescent="0.25">
      <c r="A80" s="46">
        <v>44208</v>
      </c>
      <c r="B80" s="44">
        <v>4.7785079511334871E-2</v>
      </c>
    </row>
    <row r="81" spans="1:2" x14ac:dyDescent="0.25">
      <c r="A81" s="46">
        <v>44209</v>
      </c>
      <c r="B81" s="44">
        <v>4.495580620693812E-2</v>
      </c>
    </row>
    <row r="82" spans="1:2" x14ac:dyDescent="0.25">
      <c r="A82" s="46">
        <v>44210</v>
      </c>
      <c r="B82" s="44">
        <v>4.7134009143325495E-2</v>
      </c>
    </row>
    <row r="83" spans="1:2" x14ac:dyDescent="0.25">
      <c r="A83" s="46">
        <v>44211</v>
      </c>
      <c r="B83" s="44">
        <v>4.5516817799842624E-2</v>
      </c>
    </row>
    <row r="84" spans="1:2" x14ac:dyDescent="0.25">
      <c r="A84" s="46">
        <v>44214</v>
      </c>
      <c r="B84" s="44">
        <v>4.4687589618217116E-2</v>
      </c>
    </row>
    <row r="85" spans="1:2" x14ac:dyDescent="0.25">
      <c r="A85" s="46">
        <v>44215</v>
      </c>
      <c r="B85" s="44">
        <v>4.5182140815926419E-2</v>
      </c>
    </row>
    <row r="86" spans="1:2" x14ac:dyDescent="0.25">
      <c r="A86" s="46">
        <v>44216</v>
      </c>
      <c r="B86" s="44">
        <v>3.7758519308460581E-2</v>
      </c>
    </row>
    <row r="87" spans="1:2" x14ac:dyDescent="0.25">
      <c r="A87" s="46">
        <v>44217</v>
      </c>
      <c r="B87" s="44">
        <v>4.0547483542259011E-2</v>
      </c>
    </row>
    <row r="88" spans="1:2" x14ac:dyDescent="0.25">
      <c r="A88" s="46">
        <v>44218</v>
      </c>
      <c r="B88" s="44">
        <v>3.964121528952308E-2</v>
      </c>
    </row>
    <row r="89" spans="1:2" x14ac:dyDescent="0.25">
      <c r="A89" s="46">
        <v>44221</v>
      </c>
      <c r="B89" s="44">
        <v>3.5505068643993443E-2</v>
      </c>
    </row>
    <row r="90" spans="1:2" x14ac:dyDescent="0.25">
      <c r="A90" s="46">
        <v>44222</v>
      </c>
      <c r="B90" s="44">
        <v>3.6294161087131904E-2</v>
      </c>
    </row>
    <row r="91" spans="1:2" x14ac:dyDescent="0.25">
      <c r="A91" s="46">
        <v>44223</v>
      </c>
      <c r="B91" s="44">
        <v>3.3282323774593003E-2</v>
      </c>
    </row>
    <row r="92" spans="1:2" x14ac:dyDescent="0.25">
      <c r="A92" s="46">
        <v>44224</v>
      </c>
      <c r="B92" s="44">
        <v>2.8554737245399198E-2</v>
      </c>
    </row>
    <row r="93" spans="1:2" x14ac:dyDescent="0.25">
      <c r="A93" s="46">
        <v>44225</v>
      </c>
      <c r="B93" s="44">
        <v>3.0049799035979818E-2</v>
      </c>
    </row>
    <row r="94" spans="1:2" x14ac:dyDescent="0.25">
      <c r="A94" s="46">
        <v>44228</v>
      </c>
      <c r="B94" s="44">
        <v>3.1830509638291815E-2</v>
      </c>
    </row>
    <row r="95" spans="1:2" x14ac:dyDescent="0.25">
      <c r="A95" s="46">
        <v>44229</v>
      </c>
      <c r="B95" s="44">
        <v>3.3524338186186109E-2</v>
      </c>
    </row>
    <row r="96" spans="1:2" x14ac:dyDescent="0.25">
      <c r="A96" s="46">
        <v>44230</v>
      </c>
      <c r="B96" s="44">
        <v>3.2004386369407056E-2</v>
      </c>
    </row>
    <row r="97" spans="1:2" x14ac:dyDescent="0.25">
      <c r="A97" s="46">
        <v>44231</v>
      </c>
      <c r="B97" s="44">
        <v>3.3491013422248972E-2</v>
      </c>
    </row>
    <row r="98" spans="1:2" x14ac:dyDescent="0.25">
      <c r="A98" s="46">
        <v>44232</v>
      </c>
      <c r="B98" s="44">
        <v>3.6282826103042065E-2</v>
      </c>
    </row>
    <row r="99" spans="1:2" x14ac:dyDescent="0.25">
      <c r="A99" s="46">
        <v>44235</v>
      </c>
      <c r="B99" s="44">
        <v>3.6956714344147656E-2</v>
      </c>
    </row>
    <row r="100" spans="1:2" x14ac:dyDescent="0.25">
      <c r="A100" s="46">
        <v>44236</v>
      </c>
      <c r="B100" s="44">
        <v>3.8144749651172316E-2</v>
      </c>
    </row>
    <row r="101" spans="1:2" x14ac:dyDescent="0.25">
      <c r="A101" s="46">
        <v>44237</v>
      </c>
      <c r="B101" s="44">
        <v>4.0534146354471334E-2</v>
      </c>
    </row>
    <row r="102" spans="1:2" x14ac:dyDescent="0.25">
      <c r="A102" s="46">
        <v>44238</v>
      </c>
      <c r="B102" s="44">
        <v>3.7411856650150954E-2</v>
      </c>
    </row>
    <row r="103" spans="1:2" x14ac:dyDescent="0.25">
      <c r="A103" s="46">
        <v>44239</v>
      </c>
      <c r="B103" s="44">
        <v>3.8399237870898439E-2</v>
      </c>
    </row>
    <row r="104" spans="1:2" x14ac:dyDescent="0.25">
      <c r="A104" s="46">
        <v>44244</v>
      </c>
      <c r="B104" s="44">
        <v>4.1342298694039215E-2</v>
      </c>
    </row>
    <row r="105" spans="1:2" x14ac:dyDescent="0.25">
      <c r="A105" s="46">
        <v>44245</v>
      </c>
      <c r="B105" s="44">
        <v>4.3042453179827189E-2</v>
      </c>
    </row>
    <row r="106" spans="1:2" x14ac:dyDescent="0.25">
      <c r="A106" s="46">
        <v>44246</v>
      </c>
      <c r="B106" s="44">
        <v>3.8817394082654999E-2</v>
      </c>
    </row>
    <row r="107" spans="1:2" x14ac:dyDescent="0.25">
      <c r="A107" s="46">
        <v>44249</v>
      </c>
      <c r="B107" s="44">
        <v>3.9779620949268679E-2</v>
      </c>
    </row>
    <row r="108" spans="1:2" x14ac:dyDescent="0.25">
      <c r="A108" s="46">
        <v>44250</v>
      </c>
      <c r="B108" s="44">
        <v>3.7150695979951853E-2</v>
      </c>
    </row>
    <row r="109" spans="1:2" x14ac:dyDescent="0.25">
      <c r="A109" s="46">
        <v>44251</v>
      </c>
      <c r="B109" s="44">
        <v>3.7248332621511615E-2</v>
      </c>
    </row>
    <row r="110" spans="1:2" x14ac:dyDescent="0.25">
      <c r="A110" s="46">
        <v>44252</v>
      </c>
      <c r="B110" s="44">
        <v>3.4438407457480447E-2</v>
      </c>
    </row>
    <row r="111" spans="1:2" x14ac:dyDescent="0.25">
      <c r="A111" s="46">
        <v>44253</v>
      </c>
      <c r="B111" s="44">
        <v>3.3232743109290974E-2</v>
      </c>
    </row>
    <row r="112" spans="1:2" x14ac:dyDescent="0.25">
      <c r="A112" s="46">
        <v>44256</v>
      </c>
      <c r="B112" s="44">
        <v>3.2608939592250696E-2</v>
      </c>
    </row>
    <row r="113" spans="1:2" x14ac:dyDescent="0.25">
      <c r="A113" s="46">
        <v>44257</v>
      </c>
      <c r="B113" s="44">
        <v>3.3584521292600533E-2</v>
      </c>
    </row>
    <row r="114" spans="1:2" x14ac:dyDescent="0.25">
      <c r="A114" s="46">
        <v>44258</v>
      </c>
      <c r="B114" s="44">
        <v>4.067256348000825E-2</v>
      </c>
    </row>
    <row r="115" spans="1:2" x14ac:dyDescent="0.25">
      <c r="A115" s="46">
        <v>44259</v>
      </c>
      <c r="B115" s="44">
        <v>4.1172754329978856E-2</v>
      </c>
    </row>
    <row r="116" spans="1:2" x14ac:dyDescent="0.25">
      <c r="A116" s="46">
        <v>44260</v>
      </c>
      <c r="B116" s="44">
        <v>4.125473398708035E-2</v>
      </c>
    </row>
    <row r="117" spans="1:2" x14ac:dyDescent="0.25">
      <c r="A117" s="46">
        <v>44263</v>
      </c>
      <c r="B117" s="44">
        <v>3.9508069716960248E-2</v>
      </c>
    </row>
    <row r="118" spans="1:2" x14ac:dyDescent="0.25">
      <c r="A118" s="46">
        <v>44264</v>
      </c>
      <c r="B118" s="44">
        <v>3.7579444884610902E-2</v>
      </c>
    </row>
    <row r="119" spans="1:2" x14ac:dyDescent="0.25">
      <c r="A119" s="46">
        <v>44265</v>
      </c>
      <c r="B119" s="44">
        <v>3.0031060887495242E-2</v>
      </c>
    </row>
    <row r="120" spans="1:2" x14ac:dyDescent="0.25">
      <c r="A120" s="46">
        <v>44266</v>
      </c>
      <c r="B120" s="44">
        <v>3.0021064746573289E-2</v>
      </c>
    </row>
    <row r="121" spans="1:2" x14ac:dyDescent="0.25">
      <c r="A121" s="46">
        <v>44267</v>
      </c>
      <c r="B121" s="44">
        <v>2.8627988248421055E-2</v>
      </c>
    </row>
    <row r="122" spans="1:2" x14ac:dyDescent="0.25">
      <c r="A122" s="46">
        <v>44270</v>
      </c>
      <c r="B122" s="44">
        <v>2.9329329477727595E-2</v>
      </c>
    </row>
    <row r="123" spans="1:2" x14ac:dyDescent="0.25">
      <c r="A123" s="46">
        <v>44271</v>
      </c>
      <c r="B123" s="44">
        <v>2.5023433860739464E-2</v>
      </c>
    </row>
    <row r="124" spans="1:2" x14ac:dyDescent="0.25">
      <c r="A124" s="46">
        <v>44272</v>
      </c>
      <c r="B124" s="44">
        <v>2.8921237301115621E-2</v>
      </c>
    </row>
    <row r="125" spans="1:2" x14ac:dyDescent="0.25">
      <c r="A125" s="46">
        <v>44273</v>
      </c>
      <c r="B125" s="44">
        <v>2.900902475955619E-2</v>
      </c>
    </row>
    <row r="126" spans="1:2" x14ac:dyDescent="0.25">
      <c r="A126" s="46">
        <v>44274</v>
      </c>
      <c r="B126" s="44">
        <v>2.6506649290795437E-2</v>
      </c>
    </row>
    <row r="127" spans="1:2" x14ac:dyDescent="0.25">
      <c r="A127" s="46">
        <v>44277</v>
      </c>
      <c r="B127" s="44">
        <v>2.3492895147401771E-2</v>
      </c>
    </row>
    <row r="128" spans="1:2" x14ac:dyDescent="0.25">
      <c r="A128" s="46">
        <v>44278</v>
      </c>
      <c r="B128" s="44">
        <v>2.0274778787464975E-2</v>
      </c>
    </row>
    <row r="129" spans="1:2" x14ac:dyDescent="0.25">
      <c r="A129" s="46">
        <v>44280</v>
      </c>
      <c r="B129" s="44">
        <v>1.6933800111230524E-2</v>
      </c>
    </row>
    <row r="130" spans="1:2" x14ac:dyDescent="0.25">
      <c r="A130" s="46">
        <v>44281</v>
      </c>
      <c r="B130" s="44">
        <v>1.8528063092919544E-2</v>
      </c>
    </row>
    <row r="131" spans="1:2" x14ac:dyDescent="0.25">
      <c r="A131" s="46">
        <v>44284</v>
      </c>
      <c r="B131" s="44">
        <v>1.959399899308456E-2</v>
      </c>
    </row>
    <row r="132" spans="1:2" x14ac:dyDescent="0.25">
      <c r="A132" s="46">
        <v>44285</v>
      </c>
      <c r="B132" s="44">
        <v>1.8875735507520919E-2</v>
      </c>
    </row>
    <row r="133" spans="1:2" x14ac:dyDescent="0.25">
      <c r="A133" s="46">
        <v>44286</v>
      </c>
      <c r="B133" s="44">
        <v>2.1872875326112762E-2</v>
      </c>
    </row>
    <row r="134" spans="1:2" x14ac:dyDescent="0.25">
      <c r="A134" s="46">
        <v>44291</v>
      </c>
      <c r="B134" s="44">
        <v>2.3433279657493145E-2</v>
      </c>
    </row>
    <row r="135" spans="1:2" x14ac:dyDescent="0.25">
      <c r="A135" s="46">
        <v>44292</v>
      </c>
      <c r="B135" s="44">
        <v>2.2818413884296063E-2</v>
      </c>
    </row>
    <row r="136" spans="1:2" x14ac:dyDescent="0.25">
      <c r="A136" s="46">
        <v>44293</v>
      </c>
      <c r="B136" s="44">
        <v>3.451095064387627E-2</v>
      </c>
    </row>
    <row r="137" spans="1:2" x14ac:dyDescent="0.25">
      <c r="A137" s="46">
        <v>44294</v>
      </c>
      <c r="B137" s="44">
        <v>2.6501675485677112E-2</v>
      </c>
    </row>
    <row r="138" spans="1:2" x14ac:dyDescent="0.25">
      <c r="A138" s="46">
        <v>44295</v>
      </c>
      <c r="B138" s="44">
        <v>2.5987093608901779E-2</v>
      </c>
    </row>
    <row r="139" spans="1:2" x14ac:dyDescent="0.25">
      <c r="A139" s="46">
        <v>44298</v>
      </c>
      <c r="B139" s="44">
        <v>2.6274492546525086E-2</v>
      </c>
    </row>
    <row r="140" spans="1:2" x14ac:dyDescent="0.25">
      <c r="A140" s="46">
        <v>44299</v>
      </c>
      <c r="B140" s="44">
        <v>2.6368834689933451E-2</v>
      </c>
    </row>
    <row r="141" spans="1:2" x14ac:dyDescent="0.25">
      <c r="A141" s="46">
        <v>44300</v>
      </c>
      <c r="B141" s="44">
        <v>2.7959825477453015E-2</v>
      </c>
    </row>
    <row r="142" spans="1:2" x14ac:dyDescent="0.25">
      <c r="A142" s="46">
        <v>44301</v>
      </c>
      <c r="B142" s="44">
        <v>2.6745101742357003E-2</v>
      </c>
    </row>
    <row r="143" spans="1:2" x14ac:dyDescent="0.25">
      <c r="A143" s="46">
        <v>44302</v>
      </c>
      <c r="B143" s="44">
        <v>2.6738332226852679E-2</v>
      </c>
    </row>
    <row r="144" spans="1:2" x14ac:dyDescent="0.25">
      <c r="A144" s="46">
        <v>44305</v>
      </c>
      <c r="B144" s="44">
        <v>2.7712175323467148E-2</v>
      </c>
    </row>
    <row r="145" spans="1:2" x14ac:dyDescent="0.25">
      <c r="A145" s="46">
        <v>44306</v>
      </c>
      <c r="B145" s="44">
        <v>2.5701852146985227E-2</v>
      </c>
    </row>
    <row r="146" spans="1:2" x14ac:dyDescent="0.25">
      <c r="A146" s="46">
        <v>44307</v>
      </c>
      <c r="B146" s="44">
        <v>2.6698074541074257E-2</v>
      </c>
    </row>
    <row r="147" spans="1:2" x14ac:dyDescent="0.25">
      <c r="A147" s="46">
        <v>44308</v>
      </c>
      <c r="B147" s="44">
        <v>2.4692431407506266E-2</v>
      </c>
    </row>
    <row r="148" spans="1:2" x14ac:dyDescent="0.25">
      <c r="A148" s="46">
        <v>44309</v>
      </c>
      <c r="B148" s="44">
        <v>2.7483346557584831E-2</v>
      </c>
    </row>
    <row r="149" spans="1:2" x14ac:dyDescent="0.25">
      <c r="A149" s="46">
        <v>44312</v>
      </c>
      <c r="B149" s="44">
        <v>3.1562857973002068E-2</v>
      </c>
    </row>
    <row r="150" spans="1:2" x14ac:dyDescent="0.25">
      <c r="A150" s="46">
        <v>44313</v>
      </c>
      <c r="B150" s="44">
        <v>3.1456310971530455E-2</v>
      </c>
    </row>
    <row r="151" spans="1:2" x14ac:dyDescent="0.25">
      <c r="A151" s="46">
        <v>44314</v>
      </c>
      <c r="B151" s="44">
        <v>3.0151650641284611E-2</v>
      </c>
    </row>
    <row r="152" spans="1:2" x14ac:dyDescent="0.25">
      <c r="A152" s="46">
        <v>44315</v>
      </c>
      <c r="B152" s="44">
        <v>2.9634782648166158E-2</v>
      </c>
    </row>
    <row r="153" spans="1:2" x14ac:dyDescent="0.25">
      <c r="A153" s="46">
        <v>44316</v>
      </c>
      <c r="B153" s="44">
        <v>2.8526400008334729E-2</v>
      </c>
    </row>
    <row r="154" spans="1:2" x14ac:dyDescent="0.25">
      <c r="A154" s="46">
        <v>44319</v>
      </c>
      <c r="B154" s="44">
        <v>3.1798969066814065E-2</v>
      </c>
    </row>
    <row r="155" spans="1:2" x14ac:dyDescent="0.25">
      <c r="A155" s="46">
        <v>44320</v>
      </c>
      <c r="B155" s="44">
        <v>3.1589648909128187E-2</v>
      </c>
    </row>
    <row r="156" spans="1:2" x14ac:dyDescent="0.25">
      <c r="A156" s="46">
        <v>44321</v>
      </c>
      <c r="B156" s="44">
        <v>2.7877531263251043E-2</v>
      </c>
    </row>
    <row r="157" spans="1:2" x14ac:dyDescent="0.25">
      <c r="A157" s="46">
        <v>44322</v>
      </c>
      <c r="B157" s="44">
        <v>3.0768342165373885E-2</v>
      </c>
    </row>
    <row r="158" spans="1:2" x14ac:dyDescent="0.25">
      <c r="A158" s="46">
        <v>44323</v>
      </c>
      <c r="B158" s="44">
        <v>2.9055446159215792E-2</v>
      </c>
    </row>
    <row r="159" spans="1:2" x14ac:dyDescent="0.25">
      <c r="A159" s="46">
        <v>44326</v>
      </c>
      <c r="B159" s="44">
        <v>2.9130409410772384E-2</v>
      </c>
    </row>
    <row r="160" spans="1:2" x14ac:dyDescent="0.25">
      <c r="A160" s="46">
        <v>44327</v>
      </c>
      <c r="B160" s="44">
        <v>2.8915703358893541E-2</v>
      </c>
    </row>
    <row r="161" spans="1:2" x14ac:dyDescent="0.25">
      <c r="A161" s="46">
        <v>44328</v>
      </c>
      <c r="B161" s="44">
        <v>2.9611543481396052E-2</v>
      </c>
    </row>
    <row r="162" spans="1:2" x14ac:dyDescent="0.25">
      <c r="A162" s="46">
        <v>44329</v>
      </c>
      <c r="B162" s="44">
        <v>2.9704644309625272E-2</v>
      </c>
    </row>
    <row r="163" spans="1:2" x14ac:dyDescent="0.25">
      <c r="A163" s="46">
        <v>44330</v>
      </c>
      <c r="B163" s="44">
        <v>2.9708820181008622E-2</v>
      </c>
    </row>
    <row r="164" spans="1:2" x14ac:dyDescent="0.25">
      <c r="A164" s="46">
        <v>44333</v>
      </c>
      <c r="B164" s="44">
        <v>2.8989408276557604E-2</v>
      </c>
    </row>
    <row r="165" spans="1:2" x14ac:dyDescent="0.25">
      <c r="A165" s="46">
        <v>44334</v>
      </c>
      <c r="B165" s="44">
        <v>2.547891179172912E-2</v>
      </c>
    </row>
    <row r="166" spans="1:2" x14ac:dyDescent="0.25">
      <c r="A166" s="46">
        <v>44335</v>
      </c>
      <c r="B166" s="44">
        <v>2.3462603297815632E-2</v>
      </c>
    </row>
    <row r="167" spans="1:2" x14ac:dyDescent="0.25">
      <c r="A167" s="46">
        <v>44336</v>
      </c>
      <c r="B167" s="44">
        <v>2.0851152707387577E-2</v>
      </c>
    </row>
    <row r="168" spans="1:2" x14ac:dyDescent="0.25">
      <c r="A168" s="46">
        <v>44337</v>
      </c>
      <c r="B168" s="44">
        <v>1.9037578835475577E-2</v>
      </c>
    </row>
    <row r="169" spans="1:2" x14ac:dyDescent="0.25">
      <c r="A169" s="46">
        <v>44342</v>
      </c>
      <c r="B169" s="44">
        <v>1.1600624767459156E-2</v>
      </c>
    </row>
    <row r="170" spans="1:2" x14ac:dyDescent="0.25">
      <c r="A170" s="46">
        <v>44343</v>
      </c>
      <c r="B170" s="44">
        <v>1.4895399880786475E-2</v>
      </c>
    </row>
    <row r="171" spans="1:2" x14ac:dyDescent="0.25">
      <c r="A171" s="46">
        <v>44344</v>
      </c>
      <c r="B171" s="44">
        <v>1.3581368153394502E-2</v>
      </c>
    </row>
    <row r="172" spans="1:2" x14ac:dyDescent="0.25">
      <c r="A172" s="46">
        <v>44347</v>
      </c>
      <c r="B172" s="44">
        <v>1.3853760591315989E-2</v>
      </c>
    </row>
    <row r="173" spans="1:2" x14ac:dyDescent="0.25">
      <c r="A173" s="46">
        <v>44348</v>
      </c>
      <c r="B173" s="44">
        <v>1.0846568826817449E-2</v>
      </c>
    </row>
    <row r="174" spans="1:2" x14ac:dyDescent="0.25">
      <c r="A174" s="46">
        <v>44349</v>
      </c>
      <c r="B174" s="44">
        <v>7.8414980299112425E-3</v>
      </c>
    </row>
    <row r="175" spans="1:2" x14ac:dyDescent="0.25">
      <c r="A175" s="46">
        <v>44350</v>
      </c>
      <c r="B175" s="44">
        <v>1.2731566354249935E-2</v>
      </c>
    </row>
    <row r="176" spans="1:2" x14ac:dyDescent="0.25">
      <c r="A176" s="46">
        <v>44351</v>
      </c>
      <c r="B176" s="44">
        <v>1.072084659886785E-2</v>
      </c>
    </row>
    <row r="177" spans="1:2" x14ac:dyDescent="0.25">
      <c r="A177" s="46">
        <v>44354</v>
      </c>
      <c r="B177" s="44">
        <v>8.9940535448445047E-3</v>
      </c>
    </row>
    <row r="178" spans="1:2" x14ac:dyDescent="0.25">
      <c r="A178" s="46">
        <v>44355</v>
      </c>
      <c r="B178" s="44">
        <v>1.2289520385683872E-2</v>
      </c>
    </row>
    <row r="179" spans="1:2" x14ac:dyDescent="0.25">
      <c r="A179" s="46">
        <v>44356</v>
      </c>
      <c r="B179" s="44">
        <v>1.1784080174934486E-2</v>
      </c>
    </row>
    <row r="180" spans="1:2" x14ac:dyDescent="0.25">
      <c r="A180" s="46">
        <v>44357</v>
      </c>
      <c r="B180" s="44">
        <v>1.1976013916752681E-2</v>
      </c>
    </row>
    <row r="181" spans="1:2" x14ac:dyDescent="0.25">
      <c r="A181" s="46">
        <v>44358</v>
      </c>
      <c r="B181" s="44">
        <v>1.2669242386825652E-2</v>
      </c>
    </row>
    <row r="182" spans="1:2" x14ac:dyDescent="0.25">
      <c r="A182" s="46">
        <v>44361</v>
      </c>
      <c r="B182" s="44">
        <v>1.1739995883720877E-2</v>
      </c>
    </row>
    <row r="183" spans="1:2" x14ac:dyDescent="0.25">
      <c r="A183" s="46">
        <v>44362</v>
      </c>
      <c r="B183" s="44">
        <v>1.4729771911935197E-2</v>
      </c>
    </row>
    <row r="184" spans="1:2" x14ac:dyDescent="0.25">
      <c r="A184" s="46">
        <v>44363</v>
      </c>
      <c r="B184" s="44">
        <v>9.7186387581137956E-3</v>
      </c>
    </row>
    <row r="185" spans="1:2" x14ac:dyDescent="0.25">
      <c r="A185" s="46">
        <v>44364</v>
      </c>
      <c r="B185" s="44">
        <v>1.3608522969504211E-2</v>
      </c>
    </row>
    <row r="186" spans="1:2" x14ac:dyDescent="0.25">
      <c r="A186" s="46">
        <v>44365</v>
      </c>
      <c r="B186" s="44">
        <v>1.3298462838362612E-2</v>
      </c>
    </row>
    <row r="187" spans="1:2" x14ac:dyDescent="0.25">
      <c r="A187" s="46">
        <v>44369</v>
      </c>
      <c r="B187" s="44">
        <v>1.2958135932183534E-2</v>
      </c>
    </row>
    <row r="188" spans="1:2" x14ac:dyDescent="0.25">
      <c r="A188" s="46">
        <v>44370</v>
      </c>
      <c r="B188" s="44">
        <v>1.2148593535145469E-2</v>
      </c>
    </row>
    <row r="189" spans="1:2" x14ac:dyDescent="0.25">
      <c r="A189" s="46">
        <v>44371</v>
      </c>
      <c r="B189" s="44">
        <v>1.0637822056171087E-2</v>
      </c>
    </row>
    <row r="190" spans="1:2" x14ac:dyDescent="0.25">
      <c r="A190" s="46">
        <v>44372</v>
      </c>
      <c r="B190" s="44">
        <v>1.262634195645479E-2</v>
      </c>
    </row>
    <row r="191" spans="1:2" x14ac:dyDescent="0.25">
      <c r="A191" s="46">
        <v>44375</v>
      </c>
      <c r="B191" s="44">
        <v>1.2498701815224833E-2</v>
      </c>
    </row>
    <row r="192" spans="1:2" x14ac:dyDescent="0.25">
      <c r="A192" s="46">
        <v>44376</v>
      </c>
      <c r="B192" s="44">
        <v>1.3788523730681401E-2</v>
      </c>
    </row>
    <row r="193" spans="1:2" x14ac:dyDescent="0.25">
      <c r="A193" s="46">
        <v>44377</v>
      </c>
      <c r="B193" s="44">
        <v>1.35788858206079E-2</v>
      </c>
    </row>
    <row r="194" spans="1:2" x14ac:dyDescent="0.25">
      <c r="A194" s="46">
        <v>44378</v>
      </c>
      <c r="B194" s="44">
        <v>1.006981167391735E-2</v>
      </c>
    </row>
    <row r="195" spans="1:2" x14ac:dyDescent="0.25">
      <c r="A195" s="46">
        <v>44379</v>
      </c>
      <c r="B195" s="44">
        <v>7.7614478109336305E-3</v>
      </c>
    </row>
    <row r="196" spans="1:2" x14ac:dyDescent="0.25">
      <c r="A196" s="46">
        <v>44382</v>
      </c>
      <c r="B196" s="44">
        <v>7.4350097845653496E-3</v>
      </c>
    </row>
    <row r="197" spans="1:2" x14ac:dyDescent="0.25">
      <c r="A197" s="46">
        <v>44383</v>
      </c>
      <c r="B197" s="44">
        <v>9.0262010452142882E-3</v>
      </c>
    </row>
    <row r="198" spans="1:2" x14ac:dyDescent="0.25">
      <c r="A198" s="46">
        <v>44384</v>
      </c>
      <c r="B198" s="44">
        <v>-9.8293730398546497E-4</v>
      </c>
    </row>
    <row r="199" spans="1:2" x14ac:dyDescent="0.25">
      <c r="A199" s="46">
        <v>44385</v>
      </c>
      <c r="B199" s="44">
        <v>-1.19148398398361E-3</v>
      </c>
    </row>
    <row r="200" spans="1:2" x14ac:dyDescent="0.25">
      <c r="A200" s="46">
        <v>44389</v>
      </c>
      <c r="B200" s="44">
        <v>-1.6257277566770756E-3</v>
      </c>
    </row>
    <row r="201" spans="1:2" x14ac:dyDescent="0.25">
      <c r="A201" s="46">
        <v>44390</v>
      </c>
      <c r="B201" s="44">
        <v>-4.5345025887639778E-3</v>
      </c>
    </row>
    <row r="202" spans="1:2" x14ac:dyDescent="0.25">
      <c r="A202" s="46">
        <v>44391</v>
      </c>
      <c r="B202" s="44">
        <v>-4.2435514975208144E-3</v>
      </c>
    </row>
    <row r="203" spans="1:2" x14ac:dyDescent="0.25">
      <c r="A203" s="46">
        <v>44392</v>
      </c>
      <c r="B203" s="44">
        <v>-6.3521738915914283E-3</v>
      </c>
    </row>
    <row r="204" spans="1:2" x14ac:dyDescent="0.25">
      <c r="A204" s="46">
        <v>44393</v>
      </c>
      <c r="B204" s="44">
        <v>-8.0608772394262784E-3</v>
      </c>
    </row>
    <row r="205" spans="1:2" x14ac:dyDescent="0.25">
      <c r="A205" s="46" t="s">
        <v>34</v>
      </c>
      <c r="B205" s="44">
        <v>7.0311371148562456</v>
      </c>
    </row>
  </sheetData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B205"/>
  <sheetViews>
    <sheetView workbookViewId="0"/>
  </sheetViews>
  <sheetFormatPr baseColWidth="10" defaultRowHeight="15" x14ac:dyDescent="0.25"/>
  <cols>
    <col min="1" max="1" width="17.5703125" bestFit="1" customWidth="1"/>
    <col min="2" max="2" width="13.7109375" customWidth="1"/>
  </cols>
  <sheetData>
    <row r="1" spans="1:2" x14ac:dyDescent="0.25">
      <c r="A1" s="45" t="s">
        <v>33</v>
      </c>
      <c r="B1" t="s">
        <v>47</v>
      </c>
    </row>
    <row r="2" spans="1:2" x14ac:dyDescent="0.25">
      <c r="A2" s="46">
        <v>44088</v>
      </c>
      <c r="B2" s="44">
        <v>7.8880501333552622E-2</v>
      </c>
    </row>
    <row r="3" spans="1:2" x14ac:dyDescent="0.25">
      <c r="A3" s="46">
        <v>44089</v>
      </c>
      <c r="B3" s="44">
        <v>7.9881249078686156E-2</v>
      </c>
    </row>
    <row r="4" spans="1:2" x14ac:dyDescent="0.25">
      <c r="A4" s="46">
        <v>44090</v>
      </c>
      <c r="B4" s="44">
        <v>6.9670625017140664E-2</v>
      </c>
    </row>
    <row r="5" spans="1:2" x14ac:dyDescent="0.25">
      <c r="A5" s="46">
        <v>44091</v>
      </c>
      <c r="B5" s="44">
        <v>6.9069779400421638E-2</v>
      </c>
    </row>
    <row r="6" spans="1:2" x14ac:dyDescent="0.25">
      <c r="A6" s="46">
        <v>44092</v>
      </c>
      <c r="B6" s="44">
        <v>7.107155834984541E-2</v>
      </c>
    </row>
    <row r="7" spans="1:2" x14ac:dyDescent="0.25">
      <c r="A7" s="46">
        <v>44095</v>
      </c>
      <c r="B7" s="44">
        <v>7.5275017226071161E-2</v>
      </c>
    </row>
    <row r="8" spans="1:2" x14ac:dyDescent="0.25">
      <c r="A8" s="46">
        <v>44096</v>
      </c>
      <c r="B8" s="44">
        <v>7.6475952144252901E-2</v>
      </c>
    </row>
    <row r="9" spans="1:2" x14ac:dyDescent="0.25">
      <c r="A9" s="46">
        <v>44097</v>
      </c>
      <c r="B9" s="44">
        <v>8.007925652443687E-2</v>
      </c>
    </row>
    <row r="10" spans="1:2" x14ac:dyDescent="0.25">
      <c r="A10" s="46">
        <v>44098</v>
      </c>
      <c r="B10" s="44">
        <v>6.5564666520403658E-2</v>
      </c>
    </row>
    <row r="11" spans="1:2" x14ac:dyDescent="0.25">
      <c r="A11" s="46">
        <v>44099</v>
      </c>
      <c r="B11" s="44">
        <v>5.2051159872888775E-2</v>
      </c>
    </row>
    <row r="12" spans="1:2" x14ac:dyDescent="0.25">
      <c r="A12" s="46">
        <v>44102</v>
      </c>
      <c r="B12" s="44">
        <v>5.4052571679304551E-2</v>
      </c>
    </row>
    <row r="13" spans="1:2" x14ac:dyDescent="0.25">
      <c r="A13" s="46">
        <v>44103</v>
      </c>
      <c r="B13" s="44">
        <v>5.635461766026667E-2</v>
      </c>
    </row>
    <row r="14" spans="1:2" x14ac:dyDescent="0.25">
      <c r="A14" s="46">
        <v>44104</v>
      </c>
      <c r="B14" s="44">
        <v>5.5853941134931695E-2</v>
      </c>
    </row>
    <row r="15" spans="1:2" x14ac:dyDescent="0.25">
      <c r="A15" s="46">
        <v>44105</v>
      </c>
      <c r="B15" s="44">
        <v>4.904719953105563E-2</v>
      </c>
    </row>
    <row r="16" spans="1:2" x14ac:dyDescent="0.25">
      <c r="A16" s="46">
        <v>44106</v>
      </c>
      <c r="B16" s="44">
        <v>4.3041272453037127E-2</v>
      </c>
    </row>
    <row r="17" spans="1:2" x14ac:dyDescent="0.25">
      <c r="A17" s="46">
        <v>44109</v>
      </c>
      <c r="B17" s="44">
        <v>4.4041779359186628E-2</v>
      </c>
    </row>
    <row r="18" spans="1:2" x14ac:dyDescent="0.25">
      <c r="A18" s="46">
        <v>44110</v>
      </c>
      <c r="B18" s="44">
        <v>4.4642196048319649E-2</v>
      </c>
    </row>
    <row r="19" spans="1:2" x14ac:dyDescent="0.25">
      <c r="A19" s="46">
        <v>44111</v>
      </c>
      <c r="B19" s="44">
        <v>4.904619076184763E-2</v>
      </c>
    </row>
    <row r="20" spans="1:2" x14ac:dyDescent="0.25">
      <c r="A20" s="46">
        <v>44112</v>
      </c>
      <c r="B20" s="44">
        <v>5.2048840350191639E-2</v>
      </c>
    </row>
    <row r="21" spans="1:2" x14ac:dyDescent="0.25">
      <c r="A21" s="46">
        <v>44113</v>
      </c>
      <c r="B21" s="44">
        <v>5.2348942675857879E-2</v>
      </c>
    </row>
    <row r="22" spans="1:2" x14ac:dyDescent="0.25">
      <c r="A22" s="46">
        <v>44117</v>
      </c>
      <c r="B22" s="44">
        <v>5.4950622319876852E-2</v>
      </c>
    </row>
    <row r="23" spans="1:2" x14ac:dyDescent="0.25">
      <c r="A23" s="46">
        <v>44118</v>
      </c>
      <c r="B23" s="44">
        <v>6.2557415710309427E-2</v>
      </c>
    </row>
    <row r="24" spans="1:2" x14ac:dyDescent="0.25">
      <c r="A24" s="46">
        <v>44119</v>
      </c>
      <c r="B24" s="44">
        <v>7.9072302413508211E-2</v>
      </c>
    </row>
    <row r="25" spans="1:2" x14ac:dyDescent="0.25">
      <c r="A25" s="46">
        <v>44120</v>
      </c>
      <c r="B25" s="44">
        <v>8.3976499139627181E-2</v>
      </c>
    </row>
    <row r="26" spans="1:2" x14ac:dyDescent="0.25">
      <c r="A26" s="46">
        <v>44123</v>
      </c>
      <c r="B26" s="44">
        <v>7.5568063015661435E-2</v>
      </c>
    </row>
    <row r="27" spans="1:2" x14ac:dyDescent="0.25">
      <c r="A27" s="46">
        <v>44124</v>
      </c>
      <c r="B27" s="44">
        <v>6.5859092747602377E-2</v>
      </c>
    </row>
    <row r="28" spans="1:2" x14ac:dyDescent="0.25">
      <c r="A28" s="46">
        <v>44125</v>
      </c>
      <c r="B28" s="44">
        <v>6.355680933985508E-2</v>
      </c>
    </row>
    <row r="29" spans="1:2" x14ac:dyDescent="0.25">
      <c r="A29" s="46">
        <v>44126</v>
      </c>
      <c r="B29" s="44">
        <v>5.5049016247343541E-2</v>
      </c>
    </row>
    <row r="30" spans="1:2" x14ac:dyDescent="0.25">
      <c r="A30" s="46">
        <v>44127</v>
      </c>
      <c r="B30" s="44">
        <v>6.0053266424671181E-2</v>
      </c>
    </row>
    <row r="31" spans="1:2" x14ac:dyDescent="0.25">
      <c r="A31" s="46">
        <v>44130</v>
      </c>
      <c r="B31" s="44">
        <v>4.8342382362619285E-2</v>
      </c>
    </row>
    <row r="32" spans="1:2" x14ac:dyDescent="0.25">
      <c r="A32" s="46">
        <v>44131</v>
      </c>
      <c r="B32" s="44">
        <v>5.2245625460590583E-2</v>
      </c>
    </row>
    <row r="33" spans="1:2" x14ac:dyDescent="0.25">
      <c r="A33" s="46">
        <v>44132</v>
      </c>
      <c r="B33" s="44">
        <v>5.0143618078739738E-2</v>
      </c>
    </row>
    <row r="34" spans="1:2" x14ac:dyDescent="0.25">
      <c r="A34" s="46">
        <v>44133</v>
      </c>
      <c r="B34" s="44">
        <v>5.0944139956880463E-2</v>
      </c>
    </row>
    <row r="35" spans="1:2" x14ac:dyDescent="0.25">
      <c r="A35" s="46">
        <v>44134</v>
      </c>
      <c r="B35" s="44">
        <v>4.5539301040624092E-2</v>
      </c>
    </row>
    <row r="36" spans="1:2" x14ac:dyDescent="0.25">
      <c r="A36" s="46">
        <v>44137</v>
      </c>
      <c r="B36" s="44">
        <v>5.0443014762588667E-2</v>
      </c>
    </row>
    <row r="37" spans="1:2" x14ac:dyDescent="0.25">
      <c r="A37" s="46">
        <v>44138</v>
      </c>
      <c r="B37" s="44">
        <v>4.3637061613973516E-2</v>
      </c>
    </row>
    <row r="38" spans="1:2" x14ac:dyDescent="0.25">
      <c r="A38" s="46">
        <v>44139</v>
      </c>
      <c r="B38" s="44">
        <v>4.393716602742731E-2</v>
      </c>
    </row>
    <row r="39" spans="1:2" x14ac:dyDescent="0.25">
      <c r="A39" s="46">
        <v>44140</v>
      </c>
      <c r="B39" s="44">
        <v>3.3828499352194008E-2</v>
      </c>
    </row>
    <row r="40" spans="1:2" x14ac:dyDescent="0.25">
      <c r="A40" s="46">
        <v>44141</v>
      </c>
      <c r="B40" s="44">
        <v>3.4128635327586476E-2</v>
      </c>
    </row>
    <row r="41" spans="1:2" x14ac:dyDescent="0.25">
      <c r="A41" s="46">
        <v>44144</v>
      </c>
      <c r="B41" s="44">
        <v>3.6029860363726129E-2</v>
      </c>
    </row>
    <row r="42" spans="1:2" x14ac:dyDescent="0.25">
      <c r="A42" s="46">
        <v>44145</v>
      </c>
      <c r="B42" s="44">
        <v>3.2026432774995783E-2</v>
      </c>
    </row>
    <row r="43" spans="1:2" x14ac:dyDescent="0.25">
      <c r="A43" s="46">
        <v>44146</v>
      </c>
      <c r="B43" s="44">
        <v>3.8131340828077898E-2</v>
      </c>
    </row>
    <row r="44" spans="1:2" x14ac:dyDescent="0.25">
      <c r="A44" s="46">
        <v>44147</v>
      </c>
      <c r="B44" s="44">
        <v>3.8231292050685317E-2</v>
      </c>
    </row>
    <row r="45" spans="1:2" x14ac:dyDescent="0.25">
      <c r="A45" s="46">
        <v>44148</v>
      </c>
      <c r="B45" s="44">
        <v>4.0132710908205971E-2</v>
      </c>
    </row>
    <row r="46" spans="1:2" x14ac:dyDescent="0.25">
      <c r="A46" s="46">
        <v>44151</v>
      </c>
      <c r="B46" s="44">
        <v>4.0832862063647113E-2</v>
      </c>
    </row>
    <row r="47" spans="1:2" x14ac:dyDescent="0.25">
      <c r="A47" s="46">
        <v>44152</v>
      </c>
      <c r="B47" s="44">
        <v>4.3835128150641278E-2</v>
      </c>
    </row>
    <row r="48" spans="1:2" x14ac:dyDescent="0.25">
      <c r="A48" s="46">
        <v>44153</v>
      </c>
      <c r="B48" s="44">
        <v>4.0932662021407551E-2</v>
      </c>
    </row>
    <row r="49" spans="1:2" x14ac:dyDescent="0.25">
      <c r="A49" s="46">
        <v>44154</v>
      </c>
      <c r="B49" s="44">
        <v>4.183323736667488E-2</v>
      </c>
    </row>
    <row r="50" spans="1:2" x14ac:dyDescent="0.25">
      <c r="A50" s="46">
        <v>44155</v>
      </c>
      <c r="B50" s="44">
        <v>3.8530481305416253E-2</v>
      </c>
    </row>
    <row r="51" spans="1:2" x14ac:dyDescent="0.25">
      <c r="A51" s="46">
        <v>44159</v>
      </c>
      <c r="B51" s="44">
        <v>3.8529953079962875E-2</v>
      </c>
    </row>
    <row r="52" spans="1:2" x14ac:dyDescent="0.25">
      <c r="A52" s="46">
        <v>44160</v>
      </c>
      <c r="B52" s="44">
        <v>3.8037932988871315E-2</v>
      </c>
    </row>
    <row r="53" spans="1:2" x14ac:dyDescent="0.25">
      <c r="A53" s="46">
        <v>44161</v>
      </c>
      <c r="B53" s="44">
        <v>4.10316168280353E-2</v>
      </c>
    </row>
    <row r="54" spans="1:2" x14ac:dyDescent="0.25">
      <c r="A54" s="46">
        <v>44162</v>
      </c>
      <c r="B54" s="44">
        <v>4.0130785259925417E-2</v>
      </c>
    </row>
    <row r="55" spans="1:2" x14ac:dyDescent="0.25">
      <c r="A55" s="46">
        <v>44165</v>
      </c>
      <c r="B55" s="44">
        <v>3.6127342954770547E-2</v>
      </c>
    </row>
    <row r="56" spans="1:2" x14ac:dyDescent="0.25">
      <c r="A56" s="46">
        <v>44166</v>
      </c>
      <c r="B56" s="44">
        <v>3.8829254918088918E-2</v>
      </c>
    </row>
    <row r="57" spans="1:2" x14ac:dyDescent="0.25">
      <c r="A57" s="46">
        <v>44167</v>
      </c>
      <c r="B57" s="44">
        <v>3.9529647235426513E-2</v>
      </c>
    </row>
    <row r="58" spans="1:2" x14ac:dyDescent="0.25">
      <c r="A58" s="46">
        <v>44168</v>
      </c>
      <c r="B58" s="44">
        <v>4.1430931311732755E-2</v>
      </c>
    </row>
    <row r="59" spans="1:2" x14ac:dyDescent="0.25">
      <c r="A59" s="46">
        <v>44169</v>
      </c>
      <c r="B59" s="44">
        <v>4.1330714949123215E-2</v>
      </c>
    </row>
    <row r="60" spans="1:2" x14ac:dyDescent="0.25">
      <c r="A60" s="46">
        <v>44174</v>
      </c>
      <c r="B60" s="44">
        <v>4.6533784802664901E-2</v>
      </c>
    </row>
    <row r="61" spans="1:2" x14ac:dyDescent="0.25">
      <c r="A61" s="46">
        <v>44175</v>
      </c>
      <c r="B61" s="44">
        <v>4.9235577763383831E-2</v>
      </c>
    </row>
    <row r="62" spans="1:2" x14ac:dyDescent="0.25">
      <c r="A62" s="46">
        <v>44176</v>
      </c>
      <c r="B62" s="44">
        <v>4.9335480996607117E-2</v>
      </c>
    </row>
    <row r="63" spans="1:2" x14ac:dyDescent="0.25">
      <c r="A63" s="46">
        <v>44179</v>
      </c>
      <c r="B63" s="44">
        <v>5.5339230207715751E-2</v>
      </c>
    </row>
    <row r="64" spans="1:2" x14ac:dyDescent="0.25">
      <c r="A64" s="46">
        <v>44180</v>
      </c>
      <c r="B64" s="44">
        <v>5.2336922623494708E-2</v>
      </c>
    </row>
    <row r="65" spans="1:2" x14ac:dyDescent="0.25">
      <c r="A65" s="46">
        <v>44181</v>
      </c>
      <c r="B65" s="44">
        <v>4.983498689148208E-2</v>
      </c>
    </row>
    <row r="66" spans="1:2" x14ac:dyDescent="0.25">
      <c r="A66" s="46">
        <v>44182</v>
      </c>
      <c r="B66" s="44">
        <v>4.7933487779133421E-2</v>
      </c>
    </row>
    <row r="67" spans="1:2" x14ac:dyDescent="0.25">
      <c r="A67" s="46">
        <v>44183</v>
      </c>
      <c r="B67" s="44">
        <v>4.7232836526763466E-2</v>
      </c>
    </row>
    <row r="68" spans="1:2" x14ac:dyDescent="0.25">
      <c r="A68" s="46">
        <v>44186</v>
      </c>
      <c r="B68" s="44">
        <v>5.1935572309801281E-2</v>
      </c>
    </row>
    <row r="69" spans="1:2" x14ac:dyDescent="0.25">
      <c r="A69" s="46">
        <v>44187</v>
      </c>
      <c r="B69" s="44">
        <v>4.7632461848999774E-2</v>
      </c>
    </row>
    <row r="70" spans="1:2" x14ac:dyDescent="0.25">
      <c r="A70" s="46">
        <v>44188</v>
      </c>
      <c r="B70" s="44">
        <v>4.9233384281122061E-2</v>
      </c>
    </row>
    <row r="71" spans="1:2" x14ac:dyDescent="0.25">
      <c r="A71" s="46">
        <v>44193</v>
      </c>
      <c r="B71" s="44">
        <v>5.2034392595105616E-2</v>
      </c>
    </row>
    <row r="72" spans="1:2" x14ac:dyDescent="0.25">
      <c r="A72" s="46">
        <v>44194</v>
      </c>
      <c r="B72" s="44">
        <v>5.1834082684504845E-2</v>
      </c>
    </row>
    <row r="73" spans="1:2" x14ac:dyDescent="0.25">
      <c r="A73" s="46">
        <v>44195</v>
      </c>
      <c r="B73" s="44">
        <v>5.0432988701513692E-2</v>
      </c>
    </row>
    <row r="74" spans="1:2" x14ac:dyDescent="0.25">
      <c r="A74" s="46">
        <v>44200</v>
      </c>
      <c r="B74" s="44">
        <v>5.7536650057913641E-2</v>
      </c>
    </row>
    <row r="75" spans="1:2" x14ac:dyDescent="0.25">
      <c r="A75" s="46">
        <v>44201</v>
      </c>
      <c r="B75" s="44">
        <v>5.7536452889673295E-2</v>
      </c>
    </row>
    <row r="76" spans="1:2" x14ac:dyDescent="0.25">
      <c r="A76" s="46">
        <v>44202</v>
      </c>
      <c r="B76" s="44">
        <v>5.5034679387010954E-2</v>
      </c>
    </row>
    <row r="77" spans="1:2" x14ac:dyDescent="0.25">
      <c r="A77" s="46">
        <v>44203</v>
      </c>
      <c r="B77" s="44">
        <v>4.7029473951140544E-2</v>
      </c>
    </row>
    <row r="78" spans="1:2" x14ac:dyDescent="0.25">
      <c r="A78" s="46">
        <v>44204</v>
      </c>
      <c r="B78" s="44">
        <v>4.9030560143651203E-2</v>
      </c>
    </row>
    <row r="79" spans="1:2" x14ac:dyDescent="0.25">
      <c r="A79" s="46">
        <v>44207</v>
      </c>
      <c r="B79" s="44">
        <v>4.542784789305776E-2</v>
      </c>
    </row>
    <row r="80" spans="1:2" x14ac:dyDescent="0.25">
      <c r="A80" s="46">
        <v>44208</v>
      </c>
      <c r="B80" s="44">
        <v>4.3426472301608454E-2</v>
      </c>
    </row>
    <row r="81" spans="1:2" x14ac:dyDescent="0.25">
      <c r="A81" s="46">
        <v>44209</v>
      </c>
      <c r="B81" s="44">
        <v>4.7328688965571575E-2</v>
      </c>
    </row>
    <row r="82" spans="1:2" x14ac:dyDescent="0.25">
      <c r="A82" s="46">
        <v>44210</v>
      </c>
      <c r="B82" s="44">
        <v>4.9529853610395358E-2</v>
      </c>
    </row>
    <row r="83" spans="1:2" x14ac:dyDescent="0.25">
      <c r="A83" s="46">
        <v>44211</v>
      </c>
      <c r="B83" s="44">
        <v>5.043022359290672E-2</v>
      </c>
    </row>
    <row r="84" spans="1:2" x14ac:dyDescent="0.25">
      <c r="A84" s="46">
        <v>44214</v>
      </c>
      <c r="B84" s="44">
        <v>5.0029469413490124E-2</v>
      </c>
    </row>
    <row r="85" spans="1:2" x14ac:dyDescent="0.25">
      <c r="A85" s="46">
        <v>44215</v>
      </c>
      <c r="B85" s="44">
        <v>4.942894640354456E-2</v>
      </c>
    </row>
    <row r="86" spans="1:2" x14ac:dyDescent="0.25">
      <c r="A86" s="46">
        <v>44216</v>
      </c>
      <c r="B86" s="44">
        <v>4.8728369256073767E-2</v>
      </c>
    </row>
    <row r="87" spans="1:2" x14ac:dyDescent="0.25">
      <c r="A87" s="46">
        <v>44217</v>
      </c>
      <c r="B87" s="44">
        <v>5.2930634511069719E-2</v>
      </c>
    </row>
    <row r="88" spans="1:2" x14ac:dyDescent="0.25">
      <c r="A88" s="46">
        <v>44218</v>
      </c>
      <c r="B88" s="44">
        <v>4.992872611639565E-2</v>
      </c>
    </row>
    <row r="89" spans="1:2" x14ac:dyDescent="0.25">
      <c r="A89" s="46">
        <v>44221</v>
      </c>
      <c r="B89" s="44">
        <v>4.9928212860006538E-2</v>
      </c>
    </row>
    <row r="90" spans="1:2" x14ac:dyDescent="0.25">
      <c r="A90" s="46">
        <v>44222</v>
      </c>
      <c r="B90" s="44">
        <v>4.9827985580942702E-2</v>
      </c>
    </row>
    <row r="91" spans="1:2" x14ac:dyDescent="0.25">
      <c r="A91" s="46">
        <v>44223</v>
      </c>
      <c r="B91" s="44">
        <v>4.5425357305619196E-2</v>
      </c>
    </row>
    <row r="92" spans="1:2" x14ac:dyDescent="0.25">
      <c r="A92" s="46">
        <v>44224</v>
      </c>
      <c r="B92" s="44">
        <v>4.5725368183718362E-2</v>
      </c>
    </row>
    <row r="93" spans="1:2" x14ac:dyDescent="0.25">
      <c r="A93" s="46">
        <v>44225</v>
      </c>
      <c r="B93" s="44">
        <v>4.6525652842834553E-2</v>
      </c>
    </row>
    <row r="94" spans="1:2" x14ac:dyDescent="0.25">
      <c r="A94" s="46">
        <v>44228</v>
      </c>
      <c r="B94" s="44">
        <v>4.4924308358632425E-2</v>
      </c>
    </row>
    <row r="95" spans="1:2" x14ac:dyDescent="0.25">
      <c r="A95" s="46">
        <v>44229</v>
      </c>
      <c r="B95" s="44">
        <v>4.4223777853160839E-2</v>
      </c>
    </row>
    <row r="96" spans="1:2" x14ac:dyDescent="0.25">
      <c r="A96" s="46">
        <v>44230</v>
      </c>
      <c r="B96" s="44">
        <v>4.4323679774125935E-2</v>
      </c>
    </row>
    <row r="97" spans="1:2" x14ac:dyDescent="0.25">
      <c r="A97" s="46">
        <v>44231</v>
      </c>
      <c r="B97" s="44">
        <v>3.9520978601655044E-2</v>
      </c>
    </row>
    <row r="98" spans="1:2" x14ac:dyDescent="0.25">
      <c r="A98" s="46">
        <v>44232</v>
      </c>
      <c r="B98" s="44">
        <v>3.8720421043975217E-2</v>
      </c>
    </row>
    <row r="99" spans="1:2" x14ac:dyDescent="0.25">
      <c r="A99" s="46">
        <v>44235</v>
      </c>
      <c r="B99" s="44">
        <v>3.9520436938279668E-2</v>
      </c>
    </row>
    <row r="100" spans="1:2" x14ac:dyDescent="0.25">
      <c r="A100" s="46">
        <v>44236</v>
      </c>
      <c r="B100" s="44">
        <v>3.8419736165838658E-2</v>
      </c>
    </row>
    <row r="101" spans="1:2" x14ac:dyDescent="0.25">
      <c r="A101" s="46">
        <v>44237</v>
      </c>
      <c r="B101" s="44">
        <v>4.0220523486299564E-2</v>
      </c>
    </row>
    <row r="102" spans="1:2" x14ac:dyDescent="0.25">
      <c r="A102" s="46">
        <v>44238</v>
      </c>
      <c r="B102" s="44">
        <v>3.5017748721954955E-2</v>
      </c>
    </row>
    <row r="103" spans="1:2" x14ac:dyDescent="0.25">
      <c r="A103" s="46">
        <v>44239</v>
      </c>
      <c r="B103" s="44">
        <v>3.0515362185757955E-2</v>
      </c>
    </row>
    <row r="104" spans="1:2" x14ac:dyDescent="0.25">
      <c r="A104" s="46">
        <v>44244</v>
      </c>
      <c r="B104" s="44">
        <v>3.2916007099342837E-2</v>
      </c>
    </row>
    <row r="105" spans="1:2" x14ac:dyDescent="0.25">
      <c r="A105" s="46">
        <v>44245</v>
      </c>
      <c r="B105" s="44">
        <v>3.8918792978801409E-2</v>
      </c>
    </row>
    <row r="106" spans="1:2" x14ac:dyDescent="0.25">
      <c r="A106" s="46">
        <v>44246</v>
      </c>
      <c r="B106" s="44">
        <v>3.1915301857054712E-2</v>
      </c>
    </row>
    <row r="107" spans="1:2" x14ac:dyDescent="0.25">
      <c r="A107" s="46">
        <v>44249</v>
      </c>
      <c r="B107" s="44">
        <v>3.6116945279120682E-2</v>
      </c>
    </row>
    <row r="108" spans="1:2" x14ac:dyDescent="0.25">
      <c r="A108" s="46">
        <v>44250</v>
      </c>
      <c r="B108" s="44">
        <v>3.0114025710604897E-2</v>
      </c>
    </row>
    <row r="109" spans="1:2" x14ac:dyDescent="0.25">
      <c r="A109" s="46">
        <v>44251</v>
      </c>
      <c r="B109" s="44">
        <v>2.9813783769893576E-2</v>
      </c>
    </row>
    <row r="110" spans="1:2" x14ac:dyDescent="0.25">
      <c r="A110" s="46">
        <v>44252</v>
      </c>
      <c r="B110" s="44">
        <v>3.2715013053935649E-2</v>
      </c>
    </row>
    <row r="111" spans="1:2" x14ac:dyDescent="0.25">
      <c r="A111" s="46">
        <v>44253</v>
      </c>
      <c r="B111" s="44">
        <v>3.6816769281898976E-2</v>
      </c>
    </row>
    <row r="112" spans="1:2" x14ac:dyDescent="0.25">
      <c r="A112" s="46">
        <v>44256</v>
      </c>
      <c r="B112" s="44">
        <v>3.5815945455168419E-2</v>
      </c>
    </row>
    <row r="113" spans="1:2" x14ac:dyDescent="0.25">
      <c r="A113" s="46">
        <v>44257</v>
      </c>
      <c r="B113" s="44">
        <v>4.0417855833570271E-2</v>
      </c>
    </row>
    <row r="114" spans="1:2" x14ac:dyDescent="0.25">
      <c r="A114" s="46">
        <v>44258</v>
      </c>
      <c r="B114" s="44">
        <v>4.1818331323319802E-2</v>
      </c>
    </row>
    <row r="115" spans="1:2" x14ac:dyDescent="0.25">
      <c r="A115" s="46">
        <v>44259</v>
      </c>
      <c r="B115" s="44">
        <v>4.0817752926786743E-2</v>
      </c>
    </row>
    <row r="116" spans="1:2" x14ac:dyDescent="0.25">
      <c r="A116" s="46">
        <v>44260</v>
      </c>
      <c r="B116" s="44">
        <v>3.4915066090162206E-2</v>
      </c>
    </row>
    <row r="117" spans="1:2" x14ac:dyDescent="0.25">
      <c r="A117" s="46">
        <v>44263</v>
      </c>
      <c r="B117" s="44">
        <v>3.7015592184379054E-2</v>
      </c>
    </row>
    <row r="118" spans="1:2" x14ac:dyDescent="0.25">
      <c r="A118" s="46">
        <v>44264</v>
      </c>
      <c r="B118" s="44">
        <v>3.1613208258244874E-2</v>
      </c>
    </row>
    <row r="119" spans="1:2" x14ac:dyDescent="0.25">
      <c r="A119" s="46">
        <v>44265</v>
      </c>
      <c r="B119" s="44">
        <v>2.0908664206743199E-2</v>
      </c>
    </row>
    <row r="120" spans="1:2" x14ac:dyDescent="0.25">
      <c r="A120" s="46">
        <v>44266</v>
      </c>
      <c r="B120" s="44">
        <v>2.0108263670001347E-2</v>
      </c>
    </row>
    <row r="121" spans="1:2" x14ac:dyDescent="0.25">
      <c r="A121" s="46">
        <v>44267</v>
      </c>
      <c r="B121" s="44">
        <v>1.8907705537530684E-2</v>
      </c>
    </row>
    <row r="122" spans="1:2" x14ac:dyDescent="0.25">
      <c r="A122" s="46">
        <v>44270</v>
      </c>
      <c r="B122" s="44">
        <v>1.5106001014101478E-2</v>
      </c>
    </row>
    <row r="123" spans="1:2" x14ac:dyDescent="0.25">
      <c r="A123" s="46">
        <v>44271</v>
      </c>
      <c r="B123" s="44">
        <v>1.9107525223975186E-2</v>
      </c>
    </row>
    <row r="124" spans="1:2" x14ac:dyDescent="0.25">
      <c r="A124" s="46">
        <v>44272</v>
      </c>
      <c r="B124" s="44">
        <v>2.0508006550502555E-2</v>
      </c>
    </row>
    <row r="125" spans="1:2" x14ac:dyDescent="0.25">
      <c r="A125" s="46">
        <v>44273</v>
      </c>
      <c r="B125" s="44">
        <v>1.8707239445401813E-2</v>
      </c>
    </row>
    <row r="126" spans="1:2" x14ac:dyDescent="0.25">
      <c r="A126" s="46">
        <v>44274</v>
      </c>
      <c r="B126" s="44">
        <v>1.6706407937291001E-2</v>
      </c>
    </row>
    <row r="127" spans="1:2" x14ac:dyDescent="0.25">
      <c r="A127" s="46">
        <v>44277</v>
      </c>
      <c r="B127" s="44">
        <v>1.5605825462244427E-2</v>
      </c>
    </row>
    <row r="128" spans="1:2" x14ac:dyDescent="0.25">
      <c r="A128" s="46">
        <v>44278</v>
      </c>
      <c r="B128" s="44">
        <v>7.5027749989722281E-3</v>
      </c>
    </row>
    <row r="129" spans="1:2" x14ac:dyDescent="0.25">
      <c r="A129" s="46">
        <v>44280</v>
      </c>
      <c r="B129" s="44">
        <v>7.3026509623356217E-3</v>
      </c>
    </row>
    <row r="130" spans="1:2" x14ac:dyDescent="0.25">
      <c r="A130" s="46">
        <v>44281</v>
      </c>
      <c r="B130" s="44">
        <v>9.7034892684013108E-3</v>
      </c>
    </row>
    <row r="131" spans="1:2" x14ac:dyDescent="0.25">
      <c r="A131" s="46">
        <v>44284</v>
      </c>
      <c r="B131" s="44">
        <v>8.7030401030497306E-3</v>
      </c>
    </row>
    <row r="132" spans="1:2" x14ac:dyDescent="0.25">
      <c r="A132" s="46">
        <v>44285</v>
      </c>
      <c r="B132" s="44">
        <v>3.9013494393608794E-3</v>
      </c>
    </row>
    <row r="133" spans="1:2" x14ac:dyDescent="0.25">
      <c r="A133" s="46">
        <v>44286</v>
      </c>
      <c r="B133" s="44">
        <v>5.0017129153819839E-3</v>
      </c>
    </row>
    <row r="134" spans="1:2" x14ac:dyDescent="0.25">
      <c r="A134" s="46">
        <v>44291</v>
      </c>
      <c r="B134" s="44">
        <v>1.6005207173566738E-2</v>
      </c>
    </row>
    <row r="135" spans="1:2" x14ac:dyDescent="0.25">
      <c r="A135" s="46">
        <v>44292</v>
      </c>
      <c r="B135" s="44">
        <v>1.6305248950004458E-2</v>
      </c>
    </row>
    <row r="136" spans="1:2" x14ac:dyDescent="0.25">
      <c r="A136" s="46">
        <v>44293</v>
      </c>
      <c r="B136" s="44">
        <v>1.3704364746306208E-2</v>
      </c>
    </row>
    <row r="137" spans="1:2" x14ac:dyDescent="0.25">
      <c r="A137" s="46">
        <v>44294</v>
      </c>
      <c r="B137" s="44">
        <v>1.2904065664524456E-2</v>
      </c>
    </row>
    <row r="138" spans="1:2" x14ac:dyDescent="0.25">
      <c r="A138" s="46">
        <v>44295</v>
      </c>
      <c r="B138" s="44">
        <v>1.0503273280371594E-2</v>
      </c>
    </row>
    <row r="139" spans="1:2" x14ac:dyDescent="0.25">
      <c r="A139" s="46">
        <v>44298</v>
      </c>
      <c r="B139" s="44">
        <v>1.1503466798213124E-2</v>
      </c>
    </row>
    <row r="140" spans="1:2" x14ac:dyDescent="0.25">
      <c r="A140" s="46">
        <v>44299</v>
      </c>
      <c r="B140" s="44">
        <v>1.3203934048843347E-2</v>
      </c>
    </row>
    <row r="141" spans="1:2" x14ac:dyDescent="0.25">
      <c r="A141" s="46">
        <v>44300</v>
      </c>
      <c r="B141" s="44">
        <v>1.0903211219742859E-2</v>
      </c>
    </row>
    <row r="142" spans="1:2" x14ac:dyDescent="0.25">
      <c r="A142" s="46">
        <v>44301</v>
      </c>
      <c r="B142" s="44">
        <v>1.1503348577496852E-2</v>
      </c>
    </row>
    <row r="143" spans="1:2" x14ac:dyDescent="0.25">
      <c r="A143" s="46">
        <v>44302</v>
      </c>
      <c r="B143" s="44">
        <v>1.0503021417120006E-2</v>
      </c>
    </row>
    <row r="144" spans="1:2" x14ac:dyDescent="0.25">
      <c r="A144" s="46">
        <v>44305</v>
      </c>
      <c r="B144" s="44">
        <v>1.2203385185616533E-2</v>
      </c>
    </row>
    <row r="145" spans="1:2" x14ac:dyDescent="0.25">
      <c r="A145" s="46">
        <v>44306</v>
      </c>
      <c r="B145" s="44">
        <v>1.2603453000822107E-2</v>
      </c>
    </row>
    <row r="146" spans="1:2" x14ac:dyDescent="0.25">
      <c r="A146" s="46">
        <v>44307</v>
      </c>
      <c r="B146" s="44">
        <v>1.3503653385676273E-2</v>
      </c>
    </row>
    <row r="147" spans="1:2" x14ac:dyDescent="0.25">
      <c r="A147" s="46">
        <v>44308</v>
      </c>
      <c r="B147" s="44">
        <v>9.2024581908865533E-3</v>
      </c>
    </row>
    <row r="148" spans="1:2" x14ac:dyDescent="0.25">
      <c r="A148" s="46">
        <v>44309</v>
      </c>
      <c r="B148" s="44">
        <v>1.420374550823339E-2</v>
      </c>
    </row>
    <row r="149" spans="1:2" x14ac:dyDescent="0.25">
      <c r="A149" s="46">
        <v>44312</v>
      </c>
      <c r="B149" s="44">
        <v>2.0705247220185963E-2</v>
      </c>
    </row>
    <row r="150" spans="1:2" x14ac:dyDescent="0.25">
      <c r="A150" s="46">
        <v>44313</v>
      </c>
      <c r="B150" s="44">
        <v>2.3005751437859434E-2</v>
      </c>
    </row>
    <row r="151" spans="1:2" x14ac:dyDescent="0.25">
      <c r="A151" s="46">
        <v>44314</v>
      </c>
      <c r="B151" s="44">
        <v>2.2005425995450967E-2</v>
      </c>
    </row>
    <row r="152" spans="1:2" x14ac:dyDescent="0.25">
      <c r="A152" s="46">
        <v>44315</v>
      </c>
      <c r="B152" s="44">
        <v>2.4806031603574863E-2</v>
      </c>
    </row>
    <row r="153" spans="1:2" x14ac:dyDescent="0.25">
      <c r="A153" s="46">
        <v>44316</v>
      </c>
      <c r="B153" s="44">
        <v>2.2105299215565311E-2</v>
      </c>
    </row>
    <row r="154" spans="1:2" x14ac:dyDescent="0.25">
      <c r="A154" s="46">
        <v>44319</v>
      </c>
      <c r="B154" s="44">
        <v>2.6306035974007769E-2</v>
      </c>
    </row>
    <row r="155" spans="1:2" x14ac:dyDescent="0.25">
      <c r="A155" s="46">
        <v>44320</v>
      </c>
      <c r="B155" s="44">
        <v>2.290517719758578E-2</v>
      </c>
    </row>
    <row r="156" spans="1:2" x14ac:dyDescent="0.25">
      <c r="A156" s="46">
        <v>44321</v>
      </c>
      <c r="B156" s="44">
        <v>2.2404987411581367E-2</v>
      </c>
    </row>
    <row r="157" spans="1:2" x14ac:dyDescent="0.25">
      <c r="A157" s="46">
        <v>44322</v>
      </c>
      <c r="B157" s="44">
        <v>2.2804998355804074E-2</v>
      </c>
    </row>
    <row r="158" spans="1:2" x14ac:dyDescent="0.25">
      <c r="A158" s="46">
        <v>44323</v>
      </c>
      <c r="B158" s="44">
        <v>2.000431599968483E-2</v>
      </c>
    </row>
    <row r="159" spans="1:2" x14ac:dyDescent="0.25">
      <c r="A159" s="46">
        <v>44326</v>
      </c>
      <c r="B159" s="44">
        <v>2.1504418716174534E-2</v>
      </c>
    </row>
    <row r="160" spans="1:2" x14ac:dyDescent="0.25">
      <c r="A160" s="46">
        <v>44327</v>
      </c>
      <c r="B160" s="44">
        <v>1.8203678140446211E-2</v>
      </c>
    </row>
    <row r="161" spans="1:2" x14ac:dyDescent="0.25">
      <c r="A161" s="46">
        <v>44328</v>
      </c>
      <c r="B161" s="44">
        <v>1.8603695254536812E-2</v>
      </c>
    </row>
    <row r="162" spans="1:2" x14ac:dyDescent="0.25">
      <c r="A162" s="46">
        <v>44329</v>
      </c>
      <c r="B162" s="44">
        <v>2.0103924396200568E-2</v>
      </c>
    </row>
    <row r="163" spans="1:2" x14ac:dyDescent="0.25">
      <c r="A163" s="46">
        <v>44330</v>
      </c>
      <c r="B163" s="44">
        <v>2.0403913079220737E-2</v>
      </c>
    </row>
    <row r="164" spans="1:2" x14ac:dyDescent="0.25">
      <c r="A164" s="46">
        <v>44333</v>
      </c>
      <c r="B164" s="44">
        <v>1.9103467410180652E-2</v>
      </c>
    </row>
    <row r="165" spans="1:2" x14ac:dyDescent="0.25">
      <c r="A165" s="46">
        <v>44334</v>
      </c>
      <c r="B165" s="44">
        <v>2.2003918506035336E-2</v>
      </c>
    </row>
    <row r="166" spans="1:2" x14ac:dyDescent="0.25">
      <c r="A166" s="46">
        <v>44335</v>
      </c>
      <c r="B166" s="44">
        <v>1.4702567914259002E-2</v>
      </c>
    </row>
    <row r="167" spans="1:2" x14ac:dyDescent="0.25">
      <c r="A167" s="46">
        <v>44336</v>
      </c>
      <c r="B167" s="44">
        <v>1.780304846720332E-2</v>
      </c>
    </row>
    <row r="168" spans="1:2" x14ac:dyDescent="0.25">
      <c r="A168" s="46">
        <v>44337</v>
      </c>
      <c r="B168" s="44">
        <v>1.0401745498388404E-2</v>
      </c>
    </row>
    <row r="169" spans="1:2" x14ac:dyDescent="0.25">
      <c r="A169" s="46">
        <v>44342</v>
      </c>
      <c r="B169" s="44">
        <v>7.5011303073065361E-3</v>
      </c>
    </row>
    <row r="170" spans="1:2" x14ac:dyDescent="0.25">
      <c r="A170" s="46">
        <v>44343</v>
      </c>
      <c r="B170" s="44">
        <v>4.1006038560472691E-3</v>
      </c>
    </row>
    <row r="171" spans="1:2" x14ac:dyDescent="0.25">
      <c r="A171" s="46">
        <v>44344</v>
      </c>
      <c r="B171" s="44">
        <v>7.5010789223107222E-3</v>
      </c>
    </row>
    <row r="172" spans="1:2" x14ac:dyDescent="0.25">
      <c r="A172" s="46">
        <v>44347</v>
      </c>
      <c r="B172" s="44">
        <v>9.0012022153643234E-3</v>
      </c>
    </row>
    <row r="173" spans="1:2" x14ac:dyDescent="0.25">
      <c r="A173" s="46">
        <v>44348</v>
      </c>
      <c r="B173" s="44">
        <v>7.0009110774690297E-3</v>
      </c>
    </row>
    <row r="174" spans="1:2" x14ac:dyDescent="0.25">
      <c r="A174" s="46">
        <v>44349</v>
      </c>
      <c r="B174" s="44">
        <v>9.401191246836027E-3</v>
      </c>
    </row>
    <row r="175" spans="1:2" x14ac:dyDescent="0.25">
      <c r="A175" s="46">
        <v>44350</v>
      </c>
      <c r="B175" s="44">
        <v>1.5501911194530815E-2</v>
      </c>
    </row>
    <row r="176" spans="1:2" x14ac:dyDescent="0.25">
      <c r="A176" s="46">
        <v>44351</v>
      </c>
      <c r="B176" s="44">
        <v>1.2401486479543811E-2</v>
      </c>
    </row>
    <row r="177" spans="1:2" x14ac:dyDescent="0.25">
      <c r="A177" s="46">
        <v>44354</v>
      </c>
      <c r="B177" s="44">
        <v>1.1501260412099978E-2</v>
      </c>
    </row>
    <row r="178" spans="1:2" x14ac:dyDescent="0.25">
      <c r="A178" s="46">
        <v>44355</v>
      </c>
      <c r="B178" s="44">
        <v>1.1201189167343195E-2</v>
      </c>
    </row>
    <row r="179" spans="1:2" x14ac:dyDescent="0.25">
      <c r="A179" s="46">
        <v>44356</v>
      </c>
      <c r="B179" s="44">
        <v>1.250128437853204E-2</v>
      </c>
    </row>
    <row r="180" spans="1:2" x14ac:dyDescent="0.25">
      <c r="A180" s="46">
        <v>44357</v>
      </c>
      <c r="B180" s="44">
        <v>9.7009634518496202E-3</v>
      </c>
    </row>
    <row r="181" spans="1:2" x14ac:dyDescent="0.25">
      <c r="A181" s="46">
        <v>44358</v>
      </c>
      <c r="B181" s="44">
        <v>6.0005753976408172E-3</v>
      </c>
    </row>
    <row r="182" spans="1:2" x14ac:dyDescent="0.25">
      <c r="A182" s="46">
        <v>44361</v>
      </c>
      <c r="B182" s="44">
        <v>3.0002568713074496E-3</v>
      </c>
    </row>
    <row r="183" spans="1:2" x14ac:dyDescent="0.25">
      <c r="A183" s="46">
        <v>44362</v>
      </c>
      <c r="B183" s="44">
        <v>-2.2001808367810849E-3</v>
      </c>
    </row>
    <row r="184" spans="1:2" x14ac:dyDescent="0.25">
      <c r="A184" s="46">
        <v>44363</v>
      </c>
      <c r="B184" s="44">
        <v>7.6005986772930689E-3</v>
      </c>
    </row>
    <row r="185" spans="1:2" x14ac:dyDescent="0.25">
      <c r="A185" s="46">
        <v>44364</v>
      </c>
      <c r="B185" s="44">
        <v>5.3003993451561371E-3</v>
      </c>
    </row>
    <row r="186" spans="1:2" x14ac:dyDescent="0.25">
      <c r="A186" s="46">
        <v>44365</v>
      </c>
      <c r="B186" s="44">
        <v>4.0002876919230101E-3</v>
      </c>
    </row>
    <row r="187" spans="1:2" x14ac:dyDescent="0.25">
      <c r="A187" s="46">
        <v>44369</v>
      </c>
      <c r="B187" s="44">
        <v>4.5002620015548445E-3</v>
      </c>
    </row>
    <row r="188" spans="1:2" x14ac:dyDescent="0.25">
      <c r="A188" s="46">
        <v>44370</v>
      </c>
      <c r="B188" s="44">
        <v>5.4002959066250522E-3</v>
      </c>
    </row>
    <row r="189" spans="1:2" x14ac:dyDescent="0.25">
      <c r="A189" s="46">
        <v>44371</v>
      </c>
      <c r="B189" s="44">
        <v>2.500128431255022E-3</v>
      </c>
    </row>
    <row r="190" spans="1:2" x14ac:dyDescent="0.25">
      <c r="A190" s="46">
        <v>44372</v>
      </c>
      <c r="B190" s="44">
        <v>2.4001150740103894E-3</v>
      </c>
    </row>
    <row r="191" spans="1:2" x14ac:dyDescent="0.25">
      <c r="A191" s="46">
        <v>44375</v>
      </c>
      <c r="B191" s="44">
        <v>3.500131854282218E-3</v>
      </c>
    </row>
    <row r="192" spans="1:2" x14ac:dyDescent="0.25">
      <c r="A192" s="46">
        <v>44376</v>
      </c>
      <c r="B192" s="44">
        <v>5.0001712387409691E-4</v>
      </c>
    </row>
    <row r="193" spans="1:2" x14ac:dyDescent="0.25">
      <c r="A193" s="46">
        <v>44377</v>
      </c>
      <c r="B193" s="44">
        <v>3.0000924686035546E-4</v>
      </c>
    </row>
    <row r="194" spans="1:2" x14ac:dyDescent="0.25">
      <c r="A194" s="46">
        <v>44378</v>
      </c>
      <c r="B194" s="44">
        <v>-5.5001506890600127E-3</v>
      </c>
    </row>
    <row r="195" spans="1:2" x14ac:dyDescent="0.25">
      <c r="A195" s="46">
        <v>44379</v>
      </c>
      <c r="B195" s="44">
        <v>-6.9001654149242753E-3</v>
      </c>
    </row>
    <row r="196" spans="1:2" x14ac:dyDescent="0.25">
      <c r="A196" s="46">
        <v>44382</v>
      </c>
      <c r="B196" s="44">
        <v>-1.1000150686995724E-2</v>
      </c>
    </row>
    <row r="197" spans="1:2" x14ac:dyDescent="0.25">
      <c r="A197" s="46">
        <v>44383</v>
      </c>
      <c r="B197" s="44">
        <v>-8.3000852748486564E-3</v>
      </c>
    </row>
    <row r="198" spans="1:2" x14ac:dyDescent="0.25">
      <c r="A198" s="46">
        <v>44384</v>
      </c>
      <c r="B198" s="44">
        <v>-9.4000643840026488E-3</v>
      </c>
    </row>
    <row r="199" spans="1:2" x14ac:dyDescent="0.25">
      <c r="A199" s="46">
        <v>44385</v>
      </c>
      <c r="B199" s="44">
        <v>-1.1900040753564212E-2</v>
      </c>
    </row>
    <row r="200" spans="1:2" x14ac:dyDescent="0.25">
      <c r="A200" s="46">
        <v>44389</v>
      </c>
      <c r="B200" s="44">
        <v>-9.5999013708762959E-3</v>
      </c>
    </row>
    <row r="201" spans="1:2" x14ac:dyDescent="0.25">
      <c r="A201" s="46">
        <v>44390</v>
      </c>
      <c r="B201" s="44">
        <v>-1.2499828769468868E-2</v>
      </c>
    </row>
    <row r="202" spans="1:2" x14ac:dyDescent="0.25">
      <c r="A202" s="46">
        <v>44391</v>
      </c>
      <c r="B202" s="44">
        <v>-1.1899796236365778E-2</v>
      </c>
    </row>
    <row r="203" spans="1:2" x14ac:dyDescent="0.25">
      <c r="A203" s="46">
        <v>44392</v>
      </c>
      <c r="B203" s="44">
        <v>-1.0599782196256236E-2</v>
      </c>
    </row>
    <row r="204" spans="1:2" x14ac:dyDescent="0.25">
      <c r="A204" s="46">
        <v>44393</v>
      </c>
      <c r="B204" s="44">
        <v>-1.1799717130068776E-2</v>
      </c>
    </row>
    <row r="205" spans="1:2" x14ac:dyDescent="0.25">
      <c r="A205" s="55" t="s">
        <v>34</v>
      </c>
      <c r="B205" s="44">
        <v>6.4937877835981421</v>
      </c>
    </row>
  </sheetData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>
      <selection activeCell="G10" sqref="G10"/>
    </sheetView>
  </sheetViews>
  <sheetFormatPr baseColWidth="10" defaultRowHeight="15" x14ac:dyDescent="0.25"/>
  <sheetData>
    <row r="1" spans="1:8" x14ac:dyDescent="0.25">
      <c r="B1" t="s">
        <v>62</v>
      </c>
      <c r="C1" t="s">
        <v>63</v>
      </c>
      <c r="D1" t="s">
        <v>64</v>
      </c>
      <c r="E1" t="s">
        <v>63</v>
      </c>
      <c r="H1" t="s">
        <v>66</v>
      </c>
    </row>
    <row r="3" spans="1:8" x14ac:dyDescent="0.25">
      <c r="A3" t="s">
        <v>60</v>
      </c>
      <c r="B3">
        <v>0.32600000000000001</v>
      </c>
      <c r="C3">
        <v>0.36399999999999999</v>
      </c>
      <c r="D3">
        <v>0.38600000000000001</v>
      </c>
      <c r="E3">
        <v>0.33350000000000002</v>
      </c>
    </row>
    <row r="4" spans="1:8" x14ac:dyDescent="0.25">
      <c r="A4" t="s">
        <v>61</v>
      </c>
      <c r="B4" s="85">
        <v>1000</v>
      </c>
      <c r="C4" s="87">
        <f>B5/C3</f>
        <v>895.60439560439568</v>
      </c>
      <c r="D4" s="85">
        <f>C4</f>
        <v>895.60439560439568</v>
      </c>
      <c r="E4" s="87">
        <f>D5/E3</f>
        <v>1036.5915943127338</v>
      </c>
    </row>
    <row r="5" spans="1:8" x14ac:dyDescent="0.25">
      <c r="A5" t="s">
        <v>65</v>
      </c>
      <c r="B5" s="86">
        <f>B4*B3</f>
        <v>326</v>
      </c>
      <c r="C5">
        <f>C4*C3</f>
        <v>326</v>
      </c>
      <c r="D5">
        <f>D4*D3</f>
        <v>345.70329670329676</v>
      </c>
      <c r="E5" s="86">
        <f>E4*E3</f>
        <v>345.70329670329676</v>
      </c>
      <c r="H5">
        <f>E5-B5-F6</f>
        <v>12.98626373626379</v>
      </c>
    </row>
    <row r="6" spans="1:8" x14ac:dyDescent="0.25">
      <c r="A6" t="s">
        <v>67</v>
      </c>
      <c r="B6">
        <f>B5*0.5/100</f>
        <v>1.63</v>
      </c>
      <c r="C6">
        <f>C5*0.5/100</f>
        <v>1.63</v>
      </c>
      <c r="D6">
        <f>D5*0.5/100</f>
        <v>1.7285164835164837</v>
      </c>
      <c r="E6">
        <f>E5*0.5/100</f>
        <v>1.7285164835164837</v>
      </c>
      <c r="F6" s="88">
        <f>E6+D6+C6+B6</f>
        <v>6.7170329670329672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Flujo de Fondos (2)</vt:lpstr>
      <vt:lpstr>Flujo de Fondos</vt:lpstr>
      <vt:lpstr>Hoja3</vt:lpstr>
      <vt:lpstr>30-38</vt:lpstr>
      <vt:lpstr>Paridad usd</vt:lpstr>
      <vt:lpstr>Grafico Paridades</vt:lpstr>
      <vt:lpstr>g29-41</vt:lpstr>
      <vt:lpstr>g29-29</vt:lpstr>
      <vt:lpstr>29-35</vt:lpstr>
      <vt:lpstr>29-41</vt:lpstr>
      <vt:lpstr>30-35</vt:lpstr>
      <vt:lpstr>29-30</vt:lpstr>
      <vt:lpstr>29-38</vt:lpstr>
      <vt:lpstr>30-41</vt:lpstr>
      <vt:lpstr>Aribtrar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 Luis FERRELLI</dc:creator>
  <cp:lastModifiedBy>Adrian</cp:lastModifiedBy>
  <dcterms:created xsi:type="dcterms:W3CDTF">2020-10-16T14:33:48Z</dcterms:created>
  <dcterms:modified xsi:type="dcterms:W3CDTF">2021-08-14T22:52:48Z</dcterms:modified>
</cp:coreProperties>
</file>