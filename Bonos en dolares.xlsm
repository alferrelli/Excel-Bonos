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724" sheetId="1" state="visible" r:id="rId1"/>
    <sheet name="Flujo de Fondos 0124" sheetId="2" state="visible" r:id="rId2"/>
    <sheet name="Flujo de Fondos 0723" sheetId="3" state="visible" r:id="rId3"/>
    <sheet name="Flujo de Fondos 0123" sheetId="4" state="visible" r:id="rId4"/>
    <sheet name="Flujo de Fondos 0722" sheetId="5" state="visible" r:id="rId5"/>
    <sheet name="Flujo de Fondos 0122" sheetId="6" state="visible" r:id="rId6"/>
    <sheet name="Flujo de Fondos 0721" sheetId="7" state="visible" r:id="rId7"/>
    <sheet name="Flujo de Fondos" sheetId="8" state="visible" r:id="rId8"/>
    <sheet name="Hoja3" sheetId="9" state="hidden" r:id="rId9"/>
    <sheet name="Grafico Paridades bkp" sheetId="10" state="visible" r:id="rId10"/>
    <sheet name="Paridad usd" sheetId="11" state="visible" r:id="rId11"/>
    <sheet name="30-38" sheetId="12" state="visible" r:id="rId12"/>
    <sheet name="Aribtrar" sheetId="13" state="visible" r:id="rId13"/>
  </sheets>
  <definedNames/>
  <calcPr calcId="162913" fullCalcOnLoad="1"/>
  <pivotCaches>
    <pivotCache cacheId="0" r:id="rId14"/>
    <pivotCache cacheId="1" r:id="rId15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4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22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  <xf numFmtId="2" fontId="2" fillId="2" borderId="0" applyAlignment="1" pivotButton="0" quotePrefix="0" xfId="0">
      <alignment horizontal="right" vertical="center" wrapText="1"/>
    </xf>
    <xf numFmtId="2" fontId="1" fillId="8" borderId="14" pivotButton="0" quotePrefix="0" xfId="0"/>
    <xf numFmtId="165" fontId="2" fillId="2" borderId="0" applyAlignment="1" pivotButton="0" quotePrefix="0" xfId="0">
      <alignment horizontal="right" vertical="center" wrapText="1"/>
    </xf>
    <xf numFmtId="14" fontId="0" fillId="13" borderId="13" pivotButton="0" quotePrefix="0" xfId="0"/>
    <xf numFmtId="2" fontId="0" fillId="13" borderId="13" pivotButton="0" quotePrefix="0" xfId="0"/>
    <xf numFmtId="168" fontId="0" fillId="13" borderId="14" pivotButton="0" quotePrefix="0" xfId="0"/>
    <xf numFmtId="168" fontId="0" fillId="13" borderId="0" pivotButton="0" quotePrefix="0" xfId="0"/>
    <xf numFmtId="2" fontId="0" fillId="13" borderId="0" pivotButton="0" quotePrefix="0" xfId="0"/>
    <xf numFmtId="10" fontId="0" fillId="13" borderId="14" pivotButton="0" quotePrefix="0" xfId="0"/>
    <xf numFmtId="10" fontId="0" fillId="13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chartsheet" Target="/xl/chartsheets/sheet1.xml" Id="rId12" /><Relationship Type="http://schemas.openxmlformats.org/officeDocument/2006/relationships/worksheet" Target="/xl/worksheets/sheet12.xml" Id="rId13" /><Relationship Type="http://schemas.openxmlformats.org/officeDocument/2006/relationships/pivotCacheDefinition" Target="/xl/pivotCache/pivotCacheDefinition1.xml" Id="rId14" /><Relationship Type="http://schemas.openxmlformats.org/officeDocument/2006/relationships/pivotCacheDefinition" Target="/xl/pivotCache/pivotCacheDefinition2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usd'!$A$11:$A$488</f>
              <numCache>
                <formatCode>m/d/yyyy</formatCode>
                <ptCount val="478"/>
                <pt idx="0">
                  <v>45289</v>
                </pt>
                <pt idx="1">
                  <v>45288</v>
                </pt>
                <pt idx="2">
                  <v>45287</v>
                </pt>
                <pt idx="3">
                  <v>45286</v>
                </pt>
                <pt idx="4">
                  <v>45282</v>
                </pt>
                <pt idx="5">
                  <v>45281</v>
                </pt>
                <pt idx="6">
                  <v>45280</v>
                </pt>
                <pt idx="7">
                  <v>45279</v>
                </pt>
                <pt idx="8">
                  <v>45278</v>
                </pt>
                <pt idx="9">
                  <v>45278</v>
                </pt>
                <pt idx="10">
                  <v>45275</v>
                </pt>
                <pt idx="11">
                  <v>45274</v>
                </pt>
                <pt idx="12">
                  <v>45273</v>
                </pt>
                <pt idx="13">
                  <v>45272</v>
                </pt>
                <pt idx="14">
                  <v>45271</v>
                </pt>
                <pt idx="15">
                  <v>45267</v>
                </pt>
                <pt idx="16">
                  <v>45266</v>
                </pt>
                <pt idx="17">
                  <v>45265</v>
                </pt>
                <pt idx="18">
                  <v>45264</v>
                </pt>
                <pt idx="19">
                  <v>45261</v>
                </pt>
                <pt idx="20">
                  <v>45260</v>
                </pt>
                <pt idx="21">
                  <v>45259</v>
                </pt>
                <pt idx="22">
                  <v>45258</v>
                </pt>
                <pt idx="23">
                  <v>45257</v>
                </pt>
                <pt idx="24">
                  <v>45254</v>
                </pt>
                <pt idx="25">
                  <v>45253</v>
                </pt>
                <pt idx="26">
                  <v>45252</v>
                </pt>
                <pt idx="27">
                  <v>45251</v>
                </pt>
                <pt idx="28">
                  <v>45247</v>
                </pt>
                <pt idx="29">
                  <v>45246</v>
                </pt>
                <pt idx="30">
                  <v>45245</v>
                </pt>
                <pt idx="31">
                  <v>45244</v>
                </pt>
                <pt idx="32">
                  <v>45243</v>
                </pt>
                <pt idx="33">
                  <v>45240</v>
                </pt>
                <pt idx="34">
                  <v>45239</v>
                </pt>
                <pt idx="35">
                  <v>45238</v>
                </pt>
                <pt idx="36">
                  <v>45237</v>
                </pt>
                <pt idx="37">
                  <v>45233</v>
                </pt>
                <pt idx="38">
                  <v>45232</v>
                </pt>
                <pt idx="39">
                  <v>45231</v>
                </pt>
                <pt idx="40">
                  <v>45230</v>
                </pt>
                <pt idx="41">
                  <v>45229</v>
                </pt>
                <pt idx="42">
                  <v>45226</v>
                </pt>
                <pt idx="43">
                  <v>45225</v>
                </pt>
                <pt idx="44">
                  <v>45224</v>
                </pt>
                <pt idx="45">
                  <v>45223</v>
                </pt>
                <pt idx="46">
                  <v>45222</v>
                </pt>
                <pt idx="47">
                  <v>45219</v>
                </pt>
                <pt idx="48">
                  <v>45218</v>
                </pt>
                <pt idx="49">
                  <v>45217</v>
                </pt>
                <pt idx="50">
                  <v>45216</v>
                </pt>
                <pt idx="51">
                  <v>45211</v>
                </pt>
                <pt idx="52">
                  <v>45210</v>
                </pt>
                <pt idx="53">
                  <v>45209</v>
                </pt>
                <pt idx="54">
                  <v>45208</v>
                </pt>
                <pt idx="55">
                  <v>45205</v>
                </pt>
                <pt idx="56">
                  <v>45204</v>
                </pt>
                <pt idx="57">
                  <v>45203</v>
                </pt>
                <pt idx="58">
                  <v>45202</v>
                </pt>
                <pt idx="59">
                  <v>45201</v>
                </pt>
                <pt idx="60">
                  <v>45198</v>
                </pt>
                <pt idx="61">
                  <v>45197</v>
                </pt>
                <pt idx="62">
                  <v>45196</v>
                </pt>
                <pt idx="63">
                  <v>45195</v>
                </pt>
                <pt idx="64">
                  <v>45194</v>
                </pt>
                <pt idx="65">
                  <v>45191</v>
                </pt>
                <pt idx="66">
                  <v>45190</v>
                </pt>
                <pt idx="67">
                  <v>45189</v>
                </pt>
                <pt idx="68">
                  <v>45188</v>
                </pt>
                <pt idx="69">
                  <v>45187</v>
                </pt>
                <pt idx="70">
                  <v>45184</v>
                </pt>
                <pt idx="71">
                  <v>45183</v>
                </pt>
                <pt idx="72">
                  <v>45182</v>
                </pt>
                <pt idx="73">
                  <v>45181</v>
                </pt>
                <pt idx="74">
                  <v>45180</v>
                </pt>
                <pt idx="75">
                  <v>45177</v>
                </pt>
                <pt idx="76">
                  <v>45176</v>
                </pt>
                <pt idx="77">
                  <v>45175</v>
                </pt>
                <pt idx="78">
                  <v>45174</v>
                </pt>
                <pt idx="79">
                  <v>45173</v>
                </pt>
                <pt idx="80">
                  <v>45170</v>
                </pt>
                <pt idx="81">
                  <v>45169</v>
                </pt>
                <pt idx="82">
                  <v>45168</v>
                </pt>
                <pt idx="83">
                  <v>45167</v>
                </pt>
                <pt idx="84">
                  <v>45166</v>
                </pt>
                <pt idx="85">
                  <v>45163</v>
                </pt>
                <pt idx="86">
                  <v>45162</v>
                </pt>
                <pt idx="87">
                  <v>45161</v>
                </pt>
                <pt idx="88">
                  <v>45160</v>
                </pt>
                <pt idx="89">
                  <v>45156</v>
                </pt>
                <pt idx="90">
                  <v>45155</v>
                </pt>
                <pt idx="91">
                  <v>45154</v>
                </pt>
                <pt idx="92">
                  <v>45153</v>
                </pt>
                <pt idx="93">
                  <v>45152</v>
                </pt>
                <pt idx="94">
                  <v>45149</v>
                </pt>
                <pt idx="95">
                  <v>45148</v>
                </pt>
                <pt idx="96">
                  <v>45147</v>
                </pt>
                <pt idx="97">
                  <v>45146</v>
                </pt>
                <pt idx="98">
                  <v>45145</v>
                </pt>
                <pt idx="99">
                  <v>45142</v>
                </pt>
                <pt idx="100">
                  <v>45141</v>
                </pt>
                <pt idx="101">
                  <v>45140</v>
                </pt>
                <pt idx="102">
                  <v>45139</v>
                </pt>
                <pt idx="103">
                  <v>45138</v>
                </pt>
                <pt idx="104">
                  <v>45135</v>
                </pt>
                <pt idx="105">
                  <v>45134</v>
                </pt>
                <pt idx="106">
                  <v>45133</v>
                </pt>
                <pt idx="107">
                  <v>45132</v>
                </pt>
                <pt idx="108">
                  <v>45131</v>
                </pt>
                <pt idx="109">
                  <v>45128</v>
                </pt>
                <pt idx="110">
                  <v>45127</v>
                </pt>
                <pt idx="111">
                  <v>45126</v>
                </pt>
                <pt idx="112">
                  <v>45125</v>
                </pt>
                <pt idx="113">
                  <v>45124</v>
                </pt>
                <pt idx="114">
                  <v>45121</v>
                </pt>
                <pt idx="115">
                  <v>45120</v>
                </pt>
                <pt idx="116">
                  <v>45119</v>
                </pt>
                <pt idx="117">
                  <v>45118</v>
                </pt>
                <pt idx="118">
                  <v>45117</v>
                </pt>
                <pt idx="119">
                  <v>45114</v>
                </pt>
                <pt idx="120">
                  <v>45113</v>
                </pt>
                <pt idx="121">
                  <v>45112</v>
                </pt>
                <pt idx="122">
                  <v>45111</v>
                </pt>
                <pt idx="123">
                  <v>45110</v>
                </pt>
                <pt idx="124">
                  <v>45107</v>
                </pt>
                <pt idx="125">
                  <v>45106</v>
                </pt>
                <pt idx="126">
                  <v>45105</v>
                </pt>
                <pt idx="127">
                  <v>45104</v>
                </pt>
                <pt idx="128">
                  <v>45103</v>
                </pt>
                <pt idx="129">
                  <v>45100</v>
                </pt>
                <pt idx="130">
                  <v>45099</v>
                </pt>
                <pt idx="131">
                  <v>45098</v>
                </pt>
                <pt idx="132">
                  <v>45093</v>
                </pt>
                <pt idx="133">
                  <v>45092</v>
                </pt>
                <pt idx="134">
                  <v>45091</v>
                </pt>
                <pt idx="135">
                  <v>45090</v>
                </pt>
                <pt idx="136">
                  <v>45089</v>
                </pt>
                <pt idx="137">
                  <v>45086</v>
                </pt>
                <pt idx="138">
                  <v>45085</v>
                </pt>
                <pt idx="139">
                  <v>45084</v>
                </pt>
                <pt idx="140">
                  <v>45083</v>
                </pt>
                <pt idx="141">
                  <v>45082</v>
                </pt>
                <pt idx="142">
                  <v>45079</v>
                </pt>
                <pt idx="143">
                  <v>45078</v>
                </pt>
                <pt idx="144">
                  <v>45077</v>
                </pt>
                <pt idx="145">
                  <v>45076</v>
                </pt>
                <pt idx="146">
                  <v>45075</v>
                </pt>
                <pt idx="147">
                  <v>45070</v>
                </pt>
                <pt idx="148">
                  <v>45069</v>
                </pt>
                <pt idx="149">
                  <v>45068</v>
                </pt>
                <pt idx="150">
                  <v>45065</v>
                </pt>
                <pt idx="151">
                  <v>45064</v>
                </pt>
                <pt idx="152">
                  <v>45063</v>
                </pt>
                <pt idx="153">
                  <v>45062</v>
                </pt>
                <pt idx="154">
                  <v>45061</v>
                </pt>
                <pt idx="155">
                  <v>45058</v>
                </pt>
                <pt idx="156">
                  <v>45057</v>
                </pt>
                <pt idx="157">
                  <v>45056</v>
                </pt>
                <pt idx="158">
                  <v>45055</v>
                </pt>
                <pt idx="159">
                  <v>45054</v>
                </pt>
                <pt idx="160">
                  <v>45051</v>
                </pt>
                <pt idx="161">
                  <v>45050</v>
                </pt>
                <pt idx="162">
                  <v>45049</v>
                </pt>
                <pt idx="163">
                  <v>45048</v>
                </pt>
                <pt idx="164">
                  <v>45044</v>
                </pt>
                <pt idx="165">
                  <v>45043</v>
                </pt>
                <pt idx="166">
                  <v>45042</v>
                </pt>
                <pt idx="167">
                  <v>45041</v>
                </pt>
                <pt idx="168">
                  <v>45040</v>
                </pt>
                <pt idx="169">
                  <v>45037</v>
                </pt>
                <pt idx="170">
                  <v>45036</v>
                </pt>
                <pt idx="171">
                  <v>45035</v>
                </pt>
                <pt idx="172">
                  <v>45034</v>
                </pt>
                <pt idx="173">
                  <v>45033</v>
                </pt>
                <pt idx="174">
                  <v>45030</v>
                </pt>
                <pt idx="175">
                  <v>45029</v>
                </pt>
                <pt idx="176">
                  <v>45028</v>
                </pt>
                <pt idx="177">
                  <v>45027</v>
                </pt>
                <pt idx="178">
                  <v>45026</v>
                </pt>
                <pt idx="179">
                  <v>45021</v>
                </pt>
                <pt idx="180">
                  <v>45020</v>
                </pt>
                <pt idx="181">
                  <v>45019</v>
                </pt>
                <pt idx="182">
                  <v>45016</v>
                </pt>
                <pt idx="183">
                  <v>45015</v>
                </pt>
                <pt idx="184">
                  <v>45014</v>
                </pt>
                <pt idx="185">
                  <v>45013</v>
                </pt>
                <pt idx="186">
                  <v>45012</v>
                </pt>
                <pt idx="187">
                  <v>45008</v>
                </pt>
                <pt idx="188">
                  <v>45007</v>
                </pt>
                <pt idx="189">
                  <v>45006</v>
                </pt>
                <pt idx="190">
                  <v>45005</v>
                </pt>
                <pt idx="191">
                  <v>45002</v>
                </pt>
                <pt idx="192">
                  <v>45001</v>
                </pt>
                <pt idx="193">
                  <v>45000</v>
                </pt>
                <pt idx="194">
                  <v>44999</v>
                </pt>
                <pt idx="195">
                  <v>44998</v>
                </pt>
                <pt idx="196">
                  <v>44995</v>
                </pt>
                <pt idx="197">
                  <v>44994</v>
                </pt>
                <pt idx="198">
                  <v>44993</v>
                </pt>
                <pt idx="199">
                  <v>44992</v>
                </pt>
                <pt idx="200">
                  <v>44991</v>
                </pt>
                <pt idx="201">
                  <v>44988</v>
                </pt>
                <pt idx="202">
                  <v>44987</v>
                </pt>
                <pt idx="203">
                  <v>44986</v>
                </pt>
                <pt idx="204">
                  <v>44985</v>
                </pt>
                <pt idx="205">
                  <v>44984</v>
                </pt>
                <pt idx="206">
                  <v>44981</v>
                </pt>
                <pt idx="207">
                  <v>44980</v>
                </pt>
                <pt idx="208">
                  <v>44979</v>
                </pt>
                <pt idx="209">
                  <v>44974</v>
                </pt>
                <pt idx="210">
                  <v>44973</v>
                </pt>
                <pt idx="211">
                  <v>44972</v>
                </pt>
                <pt idx="212">
                  <v>44971</v>
                </pt>
                <pt idx="213">
                  <v>44970</v>
                </pt>
                <pt idx="214">
                  <v>44967</v>
                </pt>
                <pt idx="215">
                  <v>44966</v>
                </pt>
                <pt idx="216">
                  <v>44965</v>
                </pt>
                <pt idx="217">
                  <v>44964</v>
                </pt>
                <pt idx="218">
                  <v>44963</v>
                </pt>
                <pt idx="219">
                  <v>44960</v>
                </pt>
                <pt idx="220">
                  <v>44959</v>
                </pt>
                <pt idx="221">
                  <v>44958</v>
                </pt>
                <pt idx="222">
                  <v>44957</v>
                </pt>
                <pt idx="223">
                  <v>44956</v>
                </pt>
                <pt idx="224">
                  <v>44953</v>
                </pt>
                <pt idx="225">
                  <v>44952</v>
                </pt>
                <pt idx="226">
                  <v>44951</v>
                </pt>
                <pt idx="227">
                  <v>44950</v>
                </pt>
                <pt idx="228">
                  <v>44949</v>
                </pt>
                <pt idx="229">
                  <v>44946</v>
                </pt>
                <pt idx="230">
                  <v>44945</v>
                </pt>
                <pt idx="231">
                  <v>44944</v>
                </pt>
                <pt idx="232">
                  <v>44943</v>
                </pt>
                <pt idx="233">
                  <v>44942</v>
                </pt>
                <pt idx="234">
                  <v>44939</v>
                </pt>
                <pt idx="235">
                  <v>44938</v>
                </pt>
                <pt idx="236">
                  <v>44937</v>
                </pt>
                <pt idx="237">
                  <v>44936</v>
                </pt>
                <pt idx="238">
                  <v>44935</v>
                </pt>
                <pt idx="239">
                  <v>44932</v>
                </pt>
                <pt idx="240">
                  <v>44931</v>
                </pt>
                <pt idx="241">
                  <v>44930</v>
                </pt>
                <pt idx="242">
                  <v>44929</v>
                </pt>
                <pt idx="243">
                  <v>44928</v>
                </pt>
                <pt idx="244">
                  <v>44925</v>
                </pt>
                <pt idx="245">
                  <v>44924</v>
                </pt>
                <pt idx="246">
                  <v>44923</v>
                </pt>
                <pt idx="247">
                  <v>44922</v>
                </pt>
                <pt idx="248">
                  <v>44921</v>
                </pt>
                <pt idx="249">
                  <v>44918</v>
                </pt>
                <pt idx="250">
                  <v>44917</v>
                </pt>
                <pt idx="251">
                  <v>44916</v>
                </pt>
                <pt idx="252">
                  <v>44915</v>
                </pt>
                <pt idx="253">
                  <v>44914</v>
                </pt>
                <pt idx="254">
                  <v>44911</v>
                </pt>
                <pt idx="255">
                  <v>44910</v>
                </pt>
                <pt idx="256">
                  <v>44909</v>
                </pt>
                <pt idx="257">
                  <v>44908</v>
                </pt>
                <pt idx="258">
                  <v>44907</v>
                </pt>
                <pt idx="259">
                  <v>44902</v>
                </pt>
                <pt idx="260">
                  <v>44901</v>
                </pt>
                <pt idx="261">
                  <v>44900</v>
                </pt>
                <pt idx="262">
                  <v>44897</v>
                </pt>
                <pt idx="263">
                  <v>44896</v>
                </pt>
                <pt idx="264">
                  <v>44895</v>
                </pt>
                <pt idx="265">
                  <v>44894</v>
                </pt>
                <pt idx="266">
                  <v>44893</v>
                </pt>
                <pt idx="267">
                  <v>44890</v>
                </pt>
                <pt idx="268">
                  <v>44889</v>
                </pt>
                <pt idx="269">
                  <v>44888</v>
                </pt>
                <pt idx="270">
                  <v>44887</v>
                </pt>
                <pt idx="271">
                  <v>44883</v>
                </pt>
                <pt idx="272">
                  <v>44882</v>
                </pt>
                <pt idx="273">
                  <v>44881</v>
                </pt>
                <pt idx="274">
                  <v>44880</v>
                </pt>
                <pt idx="275">
                  <v>44879</v>
                </pt>
                <pt idx="276">
                  <v>44876</v>
                </pt>
                <pt idx="277">
                  <v>44875</v>
                </pt>
                <pt idx="278">
                  <v>44874</v>
                </pt>
                <pt idx="279">
                  <v>44873</v>
                </pt>
                <pt idx="280">
                  <v>44872</v>
                </pt>
                <pt idx="281">
                  <v>44869</v>
                </pt>
                <pt idx="282">
                  <v>44868</v>
                </pt>
                <pt idx="283">
                  <v>44867</v>
                </pt>
                <pt idx="284">
                  <v>44866</v>
                </pt>
                <pt idx="285">
                  <v>44865</v>
                </pt>
                <pt idx="286">
                  <v>44862</v>
                </pt>
                <pt idx="287">
                  <v>44861</v>
                </pt>
                <pt idx="288">
                  <v>44860</v>
                </pt>
                <pt idx="289">
                  <v>44859</v>
                </pt>
                <pt idx="290">
                  <v>44858</v>
                </pt>
                <pt idx="291">
                  <v>44855</v>
                </pt>
                <pt idx="292">
                  <v>44854</v>
                </pt>
                <pt idx="293">
                  <v>44853</v>
                </pt>
                <pt idx="294">
                  <v>44852</v>
                </pt>
                <pt idx="295">
                  <v>44851</v>
                </pt>
                <pt idx="296">
                  <v>44848</v>
                </pt>
                <pt idx="297">
                  <v>44847</v>
                </pt>
                <pt idx="298">
                  <v>44846</v>
                </pt>
                <pt idx="299">
                  <v>44845</v>
                </pt>
                <pt idx="300">
                  <v>44840</v>
                </pt>
                <pt idx="301">
                  <v>44839</v>
                </pt>
                <pt idx="302">
                  <v>44838</v>
                </pt>
                <pt idx="303">
                  <v>44837</v>
                </pt>
                <pt idx="304">
                  <v>44834</v>
                </pt>
                <pt idx="305">
                  <v>44833</v>
                </pt>
                <pt idx="306">
                  <v>44832</v>
                </pt>
                <pt idx="307">
                  <v>44831</v>
                </pt>
                <pt idx="308">
                  <v>44830</v>
                </pt>
                <pt idx="309">
                  <v>44827</v>
                </pt>
                <pt idx="310">
                  <v>44826</v>
                </pt>
                <pt idx="311">
                  <v>44825</v>
                </pt>
                <pt idx="312">
                  <v>44824</v>
                </pt>
                <pt idx="313">
                  <v>44823</v>
                </pt>
                <pt idx="314">
                  <v>44820</v>
                </pt>
                <pt idx="315">
                  <v>44819</v>
                </pt>
                <pt idx="316">
                  <v>44818</v>
                </pt>
                <pt idx="317">
                  <v>44817</v>
                </pt>
                <pt idx="318">
                  <v>44816</v>
                </pt>
                <pt idx="319">
                  <v>44813</v>
                </pt>
                <pt idx="320">
                  <v>44812</v>
                </pt>
                <pt idx="321">
                  <v>44811</v>
                </pt>
                <pt idx="322">
                  <v>44810</v>
                </pt>
                <pt idx="323">
                  <v>44809</v>
                </pt>
                <pt idx="324">
                  <v>44805</v>
                </pt>
                <pt idx="325">
                  <v>44804</v>
                </pt>
                <pt idx="326">
                  <v>44803</v>
                </pt>
                <pt idx="327">
                  <v>44802</v>
                </pt>
                <pt idx="328">
                  <v>44799</v>
                </pt>
                <pt idx="329">
                  <v>44798</v>
                </pt>
                <pt idx="330">
                  <v>44797</v>
                </pt>
                <pt idx="331">
                  <v>44796</v>
                </pt>
                <pt idx="332">
                  <v>44795</v>
                </pt>
                <pt idx="333">
                  <v>44792</v>
                </pt>
                <pt idx="334">
                  <v>44791</v>
                </pt>
                <pt idx="335">
                  <v>44790</v>
                </pt>
                <pt idx="336">
                  <v>44789</v>
                </pt>
                <pt idx="337">
                  <v>44785</v>
                </pt>
                <pt idx="338">
                  <v>44784</v>
                </pt>
                <pt idx="339">
                  <v>44783</v>
                </pt>
                <pt idx="340">
                  <v>44782</v>
                </pt>
                <pt idx="341">
                  <v>44781</v>
                </pt>
                <pt idx="342">
                  <v>44778</v>
                </pt>
                <pt idx="343">
                  <v>44777</v>
                </pt>
                <pt idx="344">
                  <v>44776</v>
                </pt>
                <pt idx="345">
                  <v>44775</v>
                </pt>
                <pt idx="346">
                  <v>44774</v>
                </pt>
                <pt idx="347">
                  <v>44771</v>
                </pt>
                <pt idx="348">
                  <v>44770</v>
                </pt>
                <pt idx="349">
                  <v>44769</v>
                </pt>
                <pt idx="350">
                  <v>44768</v>
                </pt>
                <pt idx="351">
                  <v>44767</v>
                </pt>
                <pt idx="352">
                  <v>44764</v>
                </pt>
                <pt idx="353">
                  <v>44763</v>
                </pt>
                <pt idx="354">
                  <v>44762</v>
                </pt>
                <pt idx="355">
                  <v>44761</v>
                </pt>
                <pt idx="356">
                  <v>44760</v>
                </pt>
                <pt idx="357">
                  <v>44757</v>
                </pt>
                <pt idx="358">
                  <v>44756</v>
                </pt>
                <pt idx="359">
                  <v>44755</v>
                </pt>
                <pt idx="360">
                  <v>44754</v>
                </pt>
                <pt idx="361">
                  <v>44753</v>
                </pt>
                <pt idx="362">
                  <v>44750</v>
                </pt>
                <pt idx="363">
                  <v>44749</v>
                </pt>
                <pt idx="364">
                  <v>44747</v>
                </pt>
                <pt idx="365">
                  <v>44746</v>
                </pt>
                <pt idx="366">
                  <v>44743</v>
                </pt>
                <pt idx="367">
                  <v>44742</v>
                </pt>
                <pt idx="368">
                  <v>44741</v>
                </pt>
                <pt idx="369">
                  <v>44740</v>
                </pt>
                <pt idx="370">
                  <v>44739</v>
                </pt>
                <pt idx="371">
                  <v>44736</v>
                </pt>
                <pt idx="372">
                  <v>44735</v>
                </pt>
                <pt idx="373">
                  <v>44734</v>
                </pt>
                <pt idx="374">
                  <v>44733</v>
                </pt>
                <pt idx="375">
                  <v>44728</v>
                </pt>
                <pt idx="376">
                  <v>44727</v>
                </pt>
                <pt idx="377">
                  <v>44725</v>
                </pt>
                <pt idx="378">
                  <v>44722</v>
                </pt>
                <pt idx="379">
                  <v>44721</v>
                </pt>
                <pt idx="380">
                  <v>44720</v>
                </pt>
                <pt idx="381">
                  <v>44719</v>
                </pt>
                <pt idx="382">
                  <v>44718</v>
                </pt>
                <pt idx="383">
                  <v>44715</v>
                </pt>
                <pt idx="384">
                  <v>44714</v>
                </pt>
                <pt idx="385">
                  <v>44713</v>
                </pt>
                <pt idx="386">
                  <v>44712</v>
                </pt>
                <pt idx="387">
                  <v>44711</v>
                </pt>
                <pt idx="388">
                  <v>44708</v>
                </pt>
                <pt idx="389">
                  <v>44707</v>
                </pt>
                <pt idx="390">
                  <v>44705</v>
                </pt>
                <pt idx="391">
                  <v>44704</v>
                </pt>
                <pt idx="392">
                  <v>44701</v>
                </pt>
                <pt idx="393">
                  <v>44700</v>
                </pt>
                <pt idx="394">
                  <v>44698</v>
                </pt>
                <pt idx="395">
                  <v>44697</v>
                </pt>
                <pt idx="396">
                  <v>44694</v>
                </pt>
                <pt idx="397">
                  <v>44693</v>
                </pt>
                <pt idx="398">
                  <v>44692</v>
                </pt>
                <pt idx="399">
                  <v>44691</v>
                </pt>
                <pt idx="400">
                  <v>44690</v>
                </pt>
                <pt idx="401">
                  <v>44687</v>
                </pt>
                <pt idx="402">
                  <v>44686</v>
                </pt>
                <pt idx="403">
                  <v>44685</v>
                </pt>
                <pt idx="404">
                  <v>44684</v>
                </pt>
                <pt idx="405">
                  <v>44683</v>
                </pt>
                <pt idx="406">
                  <v>44680</v>
                </pt>
                <pt idx="407">
                  <v>44679</v>
                </pt>
                <pt idx="408">
                  <v>44678</v>
                </pt>
                <pt idx="409">
                  <v>44677</v>
                </pt>
                <pt idx="410">
                  <v>44676</v>
                </pt>
                <pt idx="411">
                  <v>44673</v>
                </pt>
                <pt idx="412">
                  <v>44672</v>
                </pt>
                <pt idx="413">
                  <v>44671</v>
                </pt>
                <pt idx="414">
                  <v>44670</v>
                </pt>
                <pt idx="415">
                  <v>44669</v>
                </pt>
                <pt idx="416">
                  <v>44664</v>
                </pt>
                <pt idx="417">
                  <v>44663</v>
                </pt>
                <pt idx="418">
                  <v>44662</v>
                </pt>
                <pt idx="419">
                  <v>44659</v>
                </pt>
                <pt idx="420">
                  <v>44658</v>
                </pt>
                <pt idx="421">
                  <v>44657</v>
                </pt>
                <pt idx="422">
                  <v>44656</v>
                </pt>
                <pt idx="423">
                  <v>44655</v>
                </pt>
                <pt idx="424">
                  <v>44652</v>
                </pt>
                <pt idx="425">
                  <v>44651</v>
                </pt>
                <pt idx="426">
                  <v>44650</v>
                </pt>
                <pt idx="427">
                  <v>44649</v>
                </pt>
                <pt idx="428">
                  <v>44648</v>
                </pt>
                <pt idx="429">
                  <v>44645</v>
                </pt>
                <pt idx="430">
                  <v>44643</v>
                </pt>
                <pt idx="431">
                  <v>44642</v>
                </pt>
                <pt idx="432">
                  <v>44641</v>
                </pt>
                <pt idx="433">
                  <v>44638</v>
                </pt>
                <pt idx="434">
                  <v>44637</v>
                </pt>
                <pt idx="435">
                  <v>44636</v>
                </pt>
                <pt idx="436">
                  <v>44635</v>
                </pt>
                <pt idx="437">
                  <v>44634</v>
                </pt>
                <pt idx="438">
                  <v>44631</v>
                </pt>
                <pt idx="439">
                  <v>44630</v>
                </pt>
                <pt idx="440">
                  <v>44629</v>
                </pt>
                <pt idx="441">
                  <v>44628</v>
                </pt>
                <pt idx="442">
                  <v>44627</v>
                </pt>
                <pt idx="443">
                  <v>44624</v>
                </pt>
                <pt idx="444">
                  <v>44623</v>
                </pt>
                <pt idx="445">
                  <v>44622</v>
                </pt>
                <pt idx="446">
                  <v>44617</v>
                </pt>
                <pt idx="447">
                  <v>44616</v>
                </pt>
                <pt idx="448">
                  <v>44615</v>
                </pt>
                <pt idx="449">
                  <v>44614</v>
                </pt>
                <pt idx="450">
                  <v>44613</v>
                </pt>
                <pt idx="451">
                  <v>44610</v>
                </pt>
                <pt idx="452">
                  <v>44609</v>
                </pt>
                <pt idx="453">
                  <v>44608</v>
                </pt>
                <pt idx="454">
                  <v>44607</v>
                </pt>
                <pt idx="455">
                  <v>44606</v>
                </pt>
                <pt idx="456">
                  <v>44603</v>
                </pt>
                <pt idx="457">
                  <v>44602</v>
                </pt>
                <pt idx="458">
                  <v>44601</v>
                </pt>
                <pt idx="459">
                  <v>44600</v>
                </pt>
                <pt idx="460">
                  <v>44599</v>
                </pt>
                <pt idx="461">
                  <v>44596</v>
                </pt>
                <pt idx="462">
                  <v>44595</v>
                </pt>
                <pt idx="463">
                  <v>44594</v>
                </pt>
                <pt idx="464">
                  <v>44593</v>
                </pt>
                <pt idx="465">
                  <v>44592</v>
                </pt>
                <pt idx="466">
                  <v>44589</v>
                </pt>
                <pt idx="467">
                  <v>44588</v>
                </pt>
                <pt idx="468">
                  <v>44587</v>
                </pt>
                <pt idx="469">
                  <v>44586</v>
                </pt>
                <pt idx="470">
                  <v>44585</v>
                </pt>
                <pt idx="471">
                  <v>44582</v>
                </pt>
                <pt idx="472">
                  <v>44581</v>
                </pt>
                <pt idx="473">
                  <v>44580</v>
                </pt>
                <pt idx="474">
                  <v>44579</v>
                </pt>
                <pt idx="475">
                  <v>44578</v>
                </pt>
                <pt idx="476">
                  <v>44575</v>
                </pt>
                <pt idx="477">
                  <v>44574</v>
                </pt>
              </numCache>
            </numRef>
          </cat>
          <val>
            <numRef>
              <f>'Paridad usd'!$Y$11:$Y$488</f>
              <numCache>
                <formatCode>0.00%</formatCode>
                <ptCount val="478"/>
                <pt idx="0">
                  <v>-0.02115899999999998</v>
                </pt>
                <pt idx="1">
                  <v>-0.01614399999999999</v>
                </pt>
                <pt idx="2">
                  <v>-0.013963</v>
                </pt>
                <pt idx="3">
                  <v>-0.01646300000000001</v>
                </pt>
                <pt idx="4">
                  <v>-0.01654600000000001</v>
                </pt>
                <pt idx="5">
                  <v>-0.008649999999999991</v>
                </pt>
                <pt idx="6">
                  <v>-0.006246000000000029</v>
                </pt>
                <pt idx="7">
                  <v>-0.01463400000000004</v>
                </pt>
                <pt idx="8">
                  <v>-0.002662999999999971</v>
                </pt>
                <pt idx="9">
                  <v>-0.002662999999999971</v>
                </pt>
                <pt idx="10">
                  <v>-0.006027000000000005</v>
                </pt>
                <pt idx="11">
                  <v>-0.0007390000000000452</v>
                </pt>
                <pt idx="12">
                  <v>-0.003912000000000027</v>
                </pt>
                <pt idx="13">
                  <v>-0.01098400000000005</v>
                </pt>
                <pt idx="14">
                  <v>-0.006366000000000038</v>
                </pt>
                <pt idx="15">
                  <v>-7.500000000004725e-05</v>
                </pt>
                <pt idx="16">
                  <v>-0.001568999999999987</v>
                </pt>
                <pt idx="17">
                  <v>-0.009535999999999989</v>
                </pt>
                <pt idx="18">
                  <v>-0.01322200000000001</v>
                </pt>
                <pt idx="19">
                  <v>-0.01640900000000001</v>
                </pt>
                <pt idx="20">
                  <v>-0.01500600000000002</v>
                </pt>
                <pt idx="21">
                  <v>-0.01549299999999998</v>
                </pt>
                <pt idx="22">
                  <v>-0.01787899999999998</v>
                </pt>
                <pt idx="23">
                  <v>-0.02537200000000001</v>
                </pt>
                <pt idx="24">
                  <v>-0.02596099999999996</v>
                </pt>
                <pt idx="25">
                  <v>-0.028447</v>
                </pt>
                <pt idx="26">
                  <v>-0.03692000000000001</v>
                </pt>
                <pt idx="27">
                  <v>-0.03040199999999998</v>
                </pt>
                <pt idx="28">
                  <v>-0.01465</v>
                </pt>
                <pt idx="29">
                  <v>-0.004561000000000037</v>
                </pt>
                <pt idx="30">
                  <v>-0.01033599999999996</v>
                </pt>
                <pt idx="31">
                  <v>-0.009361000000000008</v>
                </pt>
                <pt idx="32">
                  <v>-0.009359999999999979</v>
                </pt>
                <pt idx="33">
                  <v>-0.01456299999999999</v>
                </pt>
                <pt idx="34">
                  <v>-0.01932100000000003</v>
                </pt>
                <pt idx="35">
                  <v>-0.01782400000000001</v>
                </pt>
                <pt idx="36">
                  <v>-0.01212299999999999</v>
                </pt>
                <pt idx="37">
                  <v>-0.018405</v>
                </pt>
                <pt idx="38">
                  <v>-0.01809700000000003</v>
                </pt>
                <pt idx="39">
                  <v>-0.01878999999999997</v>
                </pt>
                <pt idx="40">
                  <v>-0.02538199999999999</v>
                </pt>
                <pt idx="41">
                  <v>-0.02528000000000002</v>
                </pt>
                <pt idx="42">
                  <v>-0.04026299999999999</v>
                </pt>
                <pt idx="43">
                  <v>-0.04177000000000003</v>
                </pt>
                <pt idx="44">
                  <v>-0.033777</v>
                </pt>
                <pt idx="45">
                  <v>-0.04676900000000001</v>
                </pt>
                <pt idx="46">
                  <v>-0.054144</v>
                </pt>
                <pt idx="47">
                  <v>-0.02797900000000003</v>
                </pt>
                <pt idx="48">
                  <v>-0.03477599999999997</v>
                </pt>
                <pt idx="49">
                  <v>-0.02927800000000003</v>
                </pt>
                <pt idx="50">
                  <v>-0.03406999999999999</v>
                </pt>
                <pt idx="51">
                  <v>-0.028553</v>
                </pt>
                <pt idx="52">
                  <v>-0.025951</v>
                </pt>
                <pt idx="53">
                  <v>-0.02554799999999996</v>
                </pt>
                <pt idx="54">
                  <v>-0.013046</v>
                </pt>
                <pt idx="55">
                  <v>-0.01277500000000004</v>
                </pt>
                <pt idx="56">
                  <v>-0.01273799999999997</v>
                </pt>
                <pt idx="57">
                  <v>-0.01644299999999999</v>
                </pt>
                <pt idx="58">
                  <v>-0.01414299999999996</v>
                </pt>
                <pt idx="59">
                  <v>-0.01014599999999999</v>
                </pt>
                <pt idx="60">
                  <v>-0.01544200000000001</v>
                </pt>
                <pt idx="61">
                  <v>-0.02124199999999998</v>
                </pt>
                <pt idx="62">
                  <v>-0.01614499999999996</v>
                </pt>
                <pt idx="63">
                  <v>-0.02943799999999996</v>
                </pt>
                <pt idx="64">
                  <v>-0.02830199999999999</v>
                </pt>
                <pt idx="65">
                  <v>-0.02132099999999998</v>
                </pt>
                <pt idx="66">
                  <v>-0.02391799999999999</v>
                </pt>
                <pt idx="67">
                  <v>-0.02631899999999998</v>
                </pt>
                <pt idx="68">
                  <v>-0.02352100000000001</v>
                </pt>
                <pt idx="69">
                  <v>-0.03431899999999999</v>
                </pt>
                <pt idx="70">
                  <v>-0.03045800000000004</v>
                </pt>
                <pt idx="71">
                  <v>-0.03350599999999998</v>
                </pt>
                <pt idx="72">
                  <v>-0.02760400000000002</v>
                </pt>
                <pt idx="73">
                  <v>-0.03259899999999999</v>
                </pt>
                <pt idx="74">
                  <v>-0.03259500000000004</v>
                </pt>
                <pt idx="75">
                  <v>-0.02848799999999996</v>
                </pt>
                <pt idx="76">
                  <v>-0.02459099999999997</v>
                </pt>
                <pt idx="77">
                  <v>-0.030088</v>
                </pt>
                <pt idx="78">
                  <v>-0.02818600000000004</v>
                </pt>
                <pt idx="79">
                  <v>-0.03588600000000003</v>
                </pt>
                <pt idx="80">
                  <v>-0.03137800000000002</v>
                </pt>
                <pt idx="81">
                  <v>-0.029478</v>
                </pt>
                <pt idx="82">
                  <v>-0.034078</v>
                </pt>
                <pt idx="83">
                  <v>-0.02538000000000001</v>
                </pt>
                <pt idx="84">
                  <v>-0.03207299999999996</v>
                </pt>
                <pt idx="85">
                  <v>-0.03015799999999996</v>
                </pt>
                <pt idx="86">
                  <v>-0.03665000000000002</v>
                </pt>
                <pt idx="87">
                  <v>-0.02664700000000003</v>
                </pt>
                <pt idx="88">
                  <v>-0.03274199999999999</v>
                </pt>
                <pt idx="89">
                  <v>-0.037325</v>
                </pt>
                <pt idx="90">
                  <v>-0.043516</v>
                </pt>
                <pt idx="91">
                  <v>-0.05110599999999998</v>
                </pt>
                <pt idx="92">
                  <v>-0.04289999999999999</v>
                </pt>
                <pt idx="93">
                  <v>-0.046099</v>
                </pt>
                <pt idx="94">
                  <v>-0.03870599999999996</v>
                </pt>
                <pt idx="95">
                  <v>-0.03670499999999999</v>
                </pt>
                <pt idx="96">
                  <v>-0.04639900000000002</v>
                </pt>
                <pt idx="97">
                  <v>-0.038107</v>
                </pt>
                <pt idx="98">
                  <v>-0.03729500000000002</v>
                </pt>
                <pt idx="99">
                  <v>-0.04818</v>
                </pt>
                <pt idx="100">
                  <v>-0.04056700000000002</v>
                </pt>
                <pt idx="101">
                  <v>-0.04227399999999998</v>
                </pt>
                <pt idx="102">
                  <v>-0.04307</v>
                </pt>
                <pt idx="103">
                  <v>-0.03706599999999999</v>
                </pt>
                <pt idx="104">
                  <v>-0.04225599999999996</v>
                </pt>
                <pt idx="105">
                  <v>-0.03575300000000003</v>
                </pt>
                <pt idx="106">
                  <v>-0.03554999999999997</v>
                </pt>
                <pt idx="107">
                  <v>-0.04464699999999999</v>
                </pt>
                <pt idx="108">
                  <v>-0.04134399999999999</v>
                </pt>
                <pt idx="109">
                  <v>-0.04283399999999998</v>
                </pt>
                <pt idx="110">
                  <v>-0.038941</v>
                </pt>
                <pt idx="111">
                  <v>-0.04722799999999999</v>
                </pt>
                <pt idx="112">
                  <v>-0.04642499999999999</v>
                </pt>
                <pt idx="113">
                  <v>-0.044043</v>
                </pt>
                <pt idx="114">
                  <v>-0.04441400000000001</v>
                </pt>
                <pt idx="115">
                  <v>-0.04031099999999999</v>
                </pt>
                <pt idx="116">
                  <v>-0.04180899999999999</v>
                </pt>
                <pt idx="117">
                  <v>-0.04760599999999998</v>
                </pt>
                <pt idx="118">
                  <v>-0.043603</v>
                </pt>
                <pt idx="119">
                  <v>-0.04748800000000003</v>
                </pt>
                <pt idx="120">
                  <v>-0.05058499999999999</v>
                </pt>
                <pt idx="121">
                  <v>-0.06690699999999999</v>
                </pt>
                <pt idx="122">
                  <v>-0.06341600000000003</v>
                </pt>
                <pt idx="123">
                  <v>-0.06281100000000001</v>
                </pt>
                <pt idx="124">
                  <v>-0.06778000000000001</v>
                </pt>
                <pt idx="125">
                  <v>-0.06207100000000004</v>
                </pt>
                <pt idx="126">
                  <v>-0.06266499999999997</v>
                </pt>
                <pt idx="127">
                  <v>-0.06574800000000003</v>
                </pt>
                <pt idx="128">
                  <v>-0.06774799999999997</v>
                </pt>
                <pt idx="129">
                  <v>-0.06991199999999997</v>
                </pt>
                <pt idx="130">
                  <v>-0.06980999999999998</v>
                </pt>
                <pt idx="131">
                  <v>-0.07039499999999999</v>
                </pt>
                <pt idx="132">
                  <v>-0.08323899999999998</v>
                </pt>
                <pt idx="133">
                  <v>-0.07994000000000001</v>
                </pt>
                <pt idx="134">
                  <v>-0.07783599999999999</v>
                </pt>
                <pt idx="135">
                  <v>-0.08243300000000001</v>
                </pt>
                <pt idx="136">
                  <v>-0.08982600000000002</v>
                </pt>
                <pt idx="137">
                  <v>-0.08891299999999999</v>
                </pt>
                <pt idx="138">
                  <v>-0.08776399999999998</v>
                </pt>
                <pt idx="139">
                  <v>-0.09011299999999997</v>
                </pt>
                <pt idx="140">
                  <v>-0.08510399999999999</v>
                </pt>
                <pt idx="141">
                  <v>-0.075993</v>
                </pt>
                <pt idx="142">
                  <v>-0.07638399999999998</v>
                </pt>
                <pt idx="143">
                  <v>-0.07138800000000001</v>
                </pt>
                <pt idx="144">
                  <v>-0.066686</v>
                </pt>
                <pt idx="145">
                  <v>-0.06898499999999999</v>
                </pt>
                <pt idx="146">
                  <v>-0.06938399999999997</v>
                </pt>
                <pt idx="147">
                  <v>-0.06087700000000001</v>
                </pt>
                <pt idx="148">
                  <v>-0.065664</v>
                </pt>
                <pt idx="149">
                  <v>-0.05567800000000001</v>
                </pt>
                <pt idx="150">
                  <v>-0.05437099999999997</v>
                </pt>
                <pt idx="151">
                  <v>-0.05516300000000002</v>
                </pt>
                <pt idx="152">
                  <v>-0.046734</v>
                </pt>
                <pt idx="153">
                  <v>-0.05048400000000003</v>
                </pt>
                <pt idx="154">
                  <v>-0.05877199999999999</v>
                </pt>
                <pt idx="155">
                  <v>-0.06215299999999999</v>
                </pt>
                <pt idx="156">
                  <v>-0.06634400000000001</v>
                </pt>
                <pt idx="157">
                  <v>-0.07263200000000003</v>
                </pt>
                <pt idx="158">
                  <v>-0.069631</v>
                </pt>
                <pt idx="159">
                  <v>-0.06473100000000001</v>
                </pt>
                <pt idx="160">
                  <v>-0.06362500000000001</v>
                </pt>
                <pt idx="161">
                  <v>-0.06292400000000001</v>
                </pt>
                <pt idx="162">
                  <v>-0.06012300000000004</v>
                </pt>
                <pt idx="163">
                  <v>-0.05622400000000002</v>
                </pt>
                <pt idx="164">
                  <v>-0.05221100000000004</v>
                </pt>
                <pt idx="165">
                  <v>-0.05640500000000001</v>
                </pt>
                <pt idx="166">
                  <v>-0.05442800000000003</v>
                </pt>
                <pt idx="167">
                  <v>-0.05410500000000001</v>
                </pt>
                <pt idx="168">
                  <v>-0.06149899999999997</v>
                </pt>
                <pt idx="169">
                  <v>-0.04941599999999999</v>
                </pt>
                <pt idx="170">
                  <v>-0.05498400000000001</v>
                </pt>
                <pt idx="171">
                  <v>-0.045512</v>
                </pt>
                <pt idx="172">
                  <v>-0.04323200000000002</v>
                </pt>
                <pt idx="173">
                  <v>-0.03704000000000002</v>
                </pt>
                <pt idx="174">
                  <v>-0.03873300000000002</v>
                </pt>
                <pt idx="175">
                  <v>-0.039238</v>
                </pt>
                <pt idx="176">
                  <v>-0.04083399999999998</v>
                </pt>
                <pt idx="177">
                  <v>-0.03833799999999998</v>
                </pt>
                <pt idx="178">
                  <v>-0.04751999999999995</v>
                </pt>
                <pt idx="179">
                  <v>-0.048206</v>
                </pt>
                <pt idx="180">
                  <v>-0.04680599999999996</v>
                </pt>
                <pt idx="181">
                  <v>-0.035715</v>
                </pt>
                <pt idx="182">
                  <v>-0.03720299999999999</v>
                </pt>
                <pt idx="183">
                  <v>-0.03620299999999999</v>
                </pt>
                <pt idx="184">
                  <v>-0.03898200000000002</v>
                </pt>
                <pt idx="185">
                  <v>-0.03168000000000001</v>
                </pt>
                <pt idx="186">
                  <v>-0.02918800000000002</v>
                </pt>
                <pt idx="187">
                  <v>-0.03376799999999996</v>
                </pt>
                <pt idx="188">
                  <v>-0.04016600000000001</v>
                </pt>
                <pt idx="189">
                  <v>-0.04016200000000003</v>
                </pt>
                <pt idx="190">
                  <v>-0.03916800000000004</v>
                </pt>
                <pt idx="191">
                  <v>-0.03916100000000003</v>
                </pt>
                <pt idx="192">
                  <v>-0.040661</v>
                </pt>
                <pt idx="193">
                  <v>-0.04045299999999999</v>
                </pt>
                <pt idx="194">
                  <v>-0.038854</v>
                </pt>
                <pt idx="195">
                  <v>-0.03713300000000003</v>
                </pt>
                <pt idx="196">
                  <v>-0.03984599999999999</v>
                </pt>
                <pt idx="197">
                  <v>-0.03685100000000002</v>
                </pt>
                <pt idx="198">
                  <v>-0.03569999999999995</v>
                </pt>
                <pt idx="199">
                  <v>-0.03715000000000002</v>
                </pt>
                <pt idx="200">
                  <v>-0.03315300000000004</v>
                </pt>
                <pt idx="201">
                  <v>-0.03353899999999999</v>
                </pt>
                <pt idx="202">
                  <v>-0.03023700000000001</v>
                </pt>
                <pt idx="203">
                  <v>-0.03314799999999996</v>
                </pt>
                <pt idx="204">
                  <v>-0.03383999999999998</v>
                </pt>
                <pt idx="205">
                  <v>-0.03164</v>
                </pt>
                <pt idx="206">
                  <v>-0.03537699999999999</v>
                </pt>
                <pt idx="207">
                  <v>-0.03511700000000001</v>
                </pt>
                <pt idx="208">
                  <v>-0.03908699999999998</v>
                </pt>
                <pt idx="209">
                  <v>-0.031412</v>
                </pt>
                <pt idx="210">
                  <v>-0.03210299999999999</v>
                </pt>
                <pt idx="211">
                  <v>-0.03481400000000001</v>
                </pt>
                <pt idx="212">
                  <v>-0.03461200000000003</v>
                </pt>
                <pt idx="213">
                  <v>-0.03460000000000002</v>
                </pt>
                <pt idx="214">
                  <v>-0.031613</v>
                </pt>
                <pt idx="215">
                  <v>-0.03209099999999998</v>
                </pt>
                <pt idx="216">
                  <v>-0.03528799999999999</v>
                </pt>
                <pt idx="217">
                  <v>-0.03708500000000003</v>
                </pt>
                <pt idx="218">
                  <v>-0.03298200000000001</v>
                </pt>
                <pt idx="219">
                  <v>-0.03696500000000003</v>
                </pt>
                <pt idx="220">
                  <v>-0.02707699999999996</v>
                </pt>
                <pt idx="221">
                  <v>-0.025974</v>
                </pt>
                <pt idx="222">
                  <v>-0.02456999999999998</v>
                </pt>
                <pt idx="223">
                  <v>-0.02006799999999997</v>
                </pt>
                <pt idx="224">
                  <v>-0.02705799999999997</v>
                </pt>
                <pt idx="225">
                  <v>-0.02455299999999999</v>
                </pt>
                <pt idx="226">
                  <v>-0.02505099999999999</v>
                </pt>
                <pt idx="227">
                  <v>-0.03044600000000003</v>
                </pt>
                <pt idx="228">
                  <v>-0.03364300000000003</v>
                </pt>
                <pt idx="229">
                  <v>-0.03243299999999999</v>
                </pt>
                <pt idx="230">
                  <v>-0.03683000000000003</v>
                </pt>
                <pt idx="231">
                  <v>-0.03752699999999998</v>
                </pt>
                <pt idx="232">
                  <v>-0.035524</v>
                </pt>
                <pt idx="233">
                  <v>-0.04131000000000001</v>
                </pt>
                <pt idx="234">
                  <v>-0.04751099999999997</v>
                </pt>
                <pt idx="235">
                  <v>-0.05090899999999998</v>
                </pt>
                <pt idx="236">
                  <v>-0.05480599999999997</v>
                </pt>
                <pt idx="237">
                  <v>-0.05900299999999997</v>
                </pt>
                <pt idx="238">
                  <v>-0.05748999999999999</v>
                </pt>
                <pt idx="239">
                  <v>-0.07595399999999999</v>
                </pt>
                <pt idx="240">
                  <v>-0.080817</v>
                </pt>
                <pt idx="241">
                  <v>-0.105813</v>
                </pt>
                <pt idx="242">
                  <v>-0.105582</v>
                </pt>
                <pt idx="243">
                  <v>-0.116765</v>
                </pt>
                <pt idx="244">
                  <v>-0.119588</v>
                </pt>
                <pt idx="245">
                  <v>-0.11214</v>
                </pt>
                <pt idx="246">
                  <v>-0.1029</v>
                </pt>
                <pt idx="247">
                  <v>-0.10195</v>
                </pt>
                <pt idx="248">
                  <v>-0.09808400000000003</v>
                </pt>
                <pt idx="249">
                  <v>-0.09229799999999999</v>
                </pt>
                <pt idx="250">
                  <v>-0.094579</v>
                </pt>
                <pt idx="251">
                  <v>-0.09217500000000001</v>
                </pt>
                <pt idx="252">
                  <v>-0.08983300000000002</v>
                </pt>
                <pt idx="253">
                  <v>-0.08973600000000001</v>
                </pt>
                <pt idx="254">
                  <v>-0.08748200000000003</v>
                </pt>
                <pt idx="255">
                  <v>-0.08552800000000002</v>
                </pt>
                <pt idx="256">
                  <v>-0.089141</v>
                </pt>
                <pt idx="257">
                  <v>-0.08748300000000003</v>
                </pt>
                <pt idx="258">
                  <v>-0.08508499999999999</v>
                </pt>
                <pt idx="259">
                  <v>-0.08407500000000001</v>
                </pt>
                <pt idx="260">
                  <v>-0.07738000000000003</v>
                </pt>
                <pt idx="261">
                  <v>-0.07914499999999997</v>
                </pt>
                <pt idx="262">
                  <v>-0.08163599999999999</v>
                </pt>
                <pt idx="263">
                  <v>-0.077651</v>
                </pt>
                <pt idx="264">
                  <v>-0.07668799999999998</v>
                </pt>
                <pt idx="265">
                  <v>-0.07764399999999999</v>
                </pt>
                <pt idx="266">
                  <v>-0.07697000000000001</v>
                </pt>
                <pt idx="267">
                  <v>-0.08487399999999998</v>
                </pt>
                <pt idx="268">
                  <v>-0.080928</v>
                </pt>
                <pt idx="269">
                  <v>-0.075484</v>
                </pt>
                <pt idx="270">
                  <v>-0.08029299999999998</v>
                </pt>
                <pt idx="271">
                  <v>-0.07781400000000002</v>
                </pt>
                <pt idx="272">
                  <v>-0.07962000000000002</v>
                </pt>
                <pt idx="273">
                  <v>-0.07018500000000003</v>
                </pt>
                <pt idx="274">
                  <v>-0.07477199999999998</v>
                </pt>
                <pt idx="275">
                  <v>-0.078986</v>
                </pt>
                <pt idx="276">
                  <v>-0.07602</v>
                </pt>
                <pt idx="277">
                  <v>-0.07353599999999999</v>
                </pt>
                <pt idx="278">
                  <v>-0.07431200000000002</v>
                </pt>
                <pt idx="279">
                  <v>-0.07399599999999998</v>
                </pt>
                <pt idx="280">
                  <v>-0.06959100000000001</v>
                </pt>
                <pt idx="281">
                  <v>-0.07197499999999998</v>
                </pt>
                <pt idx="282">
                  <v>-0.07156400000000002</v>
                </pt>
                <pt idx="283">
                  <v>-0.07237200000000002</v>
                </pt>
                <pt idx="284">
                  <v>-0.07024799999999998</v>
                </pt>
                <pt idx="285">
                  <v>-0.06661699999999998</v>
                </pt>
                <pt idx="286">
                  <v>-0.067828</v>
                </pt>
                <pt idx="287">
                  <v>-0.06449299999999999</v>
                </pt>
                <pt idx="288">
                  <v>-0.064418</v>
                </pt>
                <pt idx="289">
                  <v>-0.06698599999999999</v>
                </pt>
                <pt idx="290">
                  <v>-0.062025</v>
                </pt>
                <pt idx="291">
                  <v>-0.05912399999999998</v>
                </pt>
                <pt idx="292">
                  <v>-0.05914</v>
                </pt>
                <pt idx="293">
                  <v>-0.05705000000000002</v>
                </pt>
                <pt idx="294">
                  <v>-0.05779999999999999</v>
                </pt>
                <pt idx="295">
                  <v>-0.05801700000000001</v>
                </pt>
                <pt idx="296">
                  <v>-0.057584</v>
                </pt>
                <pt idx="297">
                  <v>-0.056953</v>
                </pt>
                <pt idx="298">
                  <v>-0.05490999999999999</v>
                </pt>
                <pt idx="299">
                  <v>-0.05885399999999999</v>
                </pt>
                <pt idx="300">
                  <v>-0.059142</v>
                </pt>
                <pt idx="301">
                  <v>-0.05743600000000001</v>
                </pt>
                <pt idx="302">
                  <v>-0.06525400000000001</v>
                </pt>
                <pt idx="303">
                  <v>-0.064058</v>
                </pt>
                <pt idx="304">
                  <v>-0.059615</v>
                </pt>
                <pt idx="305">
                  <v>-0.06148300000000001</v>
                </pt>
                <pt idx="306">
                  <v>-0.05934200000000001</v>
                </pt>
                <pt idx="307">
                  <v>-0.05914800000000001</v>
                </pt>
                <pt idx="308">
                  <v>-0.05990200000000001</v>
                </pt>
                <pt idx="309">
                  <v>-0.06571300000000002</v>
                </pt>
                <pt idx="310">
                  <v>-0.06108200000000003</v>
                </pt>
                <pt idx="311">
                  <v>-0.05547700000000003</v>
                </pt>
                <pt idx="312">
                  <v>-0.058397</v>
                </pt>
                <pt idx="313">
                  <v>-0.05730099999999999</v>
                </pt>
                <pt idx="314">
                  <v>-0.05348599999999998</v>
                </pt>
                <pt idx="315">
                  <v>-0.05274799999999999</v>
                </pt>
                <pt idx="316">
                  <v>-0.05309399999999997</v>
                </pt>
                <pt idx="317">
                  <v>-0.05710199999999999</v>
                </pt>
                <pt idx="318">
                  <v>-0.05962100000000001</v>
                </pt>
                <pt idx="319">
                  <v>-0.059001</v>
                </pt>
                <pt idx="320">
                  <v>-0.05729299999999998</v>
                </pt>
                <pt idx="321">
                  <v>-0.05672300000000002</v>
                </pt>
                <pt idx="322">
                  <v>-0.05754699999999999</v>
                </pt>
                <pt idx="323">
                  <v>-0.05588000000000001</v>
                </pt>
                <pt idx="324">
                  <v>-0.05947299999999997</v>
                </pt>
                <pt idx="325">
                  <v>-0.05867800000000001</v>
                </pt>
                <pt idx="326">
                  <v>-0.06155500000000003</v>
                </pt>
                <pt idx="327">
                  <v>-0.06109899999999999</v>
                </pt>
                <pt idx="328">
                  <v>-0.06303600000000001</v>
                </pt>
                <pt idx="329">
                  <v>-0.06077099999999996</v>
                </pt>
                <pt idx="330">
                  <v>-0.061055</v>
                </pt>
                <pt idx="331">
                  <v>-0.05641800000000002</v>
                </pt>
                <pt idx="332">
                  <v>-0.05790400000000001</v>
                </pt>
                <pt idx="333">
                  <v>-0.05497300000000002</v>
                </pt>
                <pt idx="334">
                  <v>-0.05652399999999999</v>
                </pt>
                <pt idx="335">
                  <v>-0.05667499999999998</v>
                </pt>
                <pt idx="336">
                  <v>-0.05510399999999999</v>
                </pt>
                <pt idx="337">
                  <v>-0.05902399999999997</v>
                </pt>
                <pt idx="338">
                  <v>-0.06111099999999997</v>
                </pt>
                <pt idx="339">
                  <v>-0.060693</v>
                </pt>
                <pt idx="340">
                  <v>-0.05823899999999999</v>
                </pt>
                <pt idx="341">
                  <v>-0.06217200000000001</v>
                </pt>
                <pt idx="342">
                  <v>-0.059889</v>
                </pt>
                <pt idx="343">
                  <v>-0.05824600000000002</v>
                </pt>
                <pt idx="344">
                  <v>-0.05697000000000002</v>
                </pt>
                <pt idx="345">
                  <v>-0.05710899999999999</v>
                </pt>
                <pt idx="346">
                  <v>-0.05909500000000001</v>
                </pt>
                <pt idx="347">
                  <v>-0.062031</v>
                </pt>
                <pt idx="348">
                  <v>-0.06223400000000004</v>
                </pt>
                <pt idx="349">
                  <v>-0.066418</v>
                </pt>
                <pt idx="350">
                  <v>-0.05931</v>
                </pt>
                <pt idx="351">
                  <v>-0.05976299999999998</v>
                </pt>
                <pt idx="352">
                  <v>-0.06054299999999999</v>
                </pt>
                <pt idx="353">
                  <v>-0.06298300000000001</v>
                </pt>
                <pt idx="354">
                  <v>-0.05843200000000001</v>
                </pt>
                <pt idx="355">
                  <v>-0.05679400000000001</v>
                </pt>
                <pt idx="356">
                  <v>-0.056704</v>
                </pt>
                <pt idx="357">
                  <v>-0.05905299999999999</v>
                </pt>
                <pt idx="358">
                  <v>-0.060861</v>
                </pt>
                <pt idx="359">
                  <v>-0.06123300000000001</v>
                </pt>
                <pt idx="360">
                  <v>-0.06265300000000001</v>
                </pt>
                <pt idx="361">
                  <v>-0.061033</v>
                </pt>
                <pt idx="362">
                  <v>-0.05130983689609731</v>
                </pt>
                <pt idx="363">
                  <v>-0.05051722845077181</v>
                </pt>
                <pt idx="364">
                  <v>-0.06131658051831781</v>
                </pt>
                <pt idx="365">
                  <v>-0.05912910307914712</v>
                </pt>
                <pt idx="366">
                  <v>-0.0618461910570019</v>
                </pt>
                <pt idx="367">
                  <v>-0.05954361220152771</v>
                </pt>
                <pt idx="368">
                  <v>-0.04735436660346257</v>
                </pt>
                <pt idx="369">
                  <v>-0.05812982068281167</v>
                </pt>
                <pt idx="370">
                  <v>-0.06571258341503802</v>
                </pt>
                <pt idx="371">
                  <v>-0.06431907154619448</v>
                </pt>
                <pt idx="372">
                  <v>-0.05893524979213238</v>
                </pt>
                <pt idx="373">
                  <v>-0.05804313849696563</v>
                </pt>
                <pt idx="374">
                  <v>-0.05634951587552531</v>
                </pt>
                <pt idx="375">
                  <v>-0.06053428771109701</v>
                </pt>
                <pt idx="376">
                  <v>-0.0535523483704633</v>
                </pt>
                <pt idx="377">
                  <v>-0.04964025331027802</v>
                </pt>
                <pt idx="378">
                  <v>-0.05514094872341652</v>
                </pt>
                <pt idx="379">
                  <v>-0.06024040847931642</v>
                </pt>
                <pt idx="380">
                  <v>-0.06025061120275371</v>
                </pt>
                <pt idx="381">
                  <v>-0.06266171460866399</v>
                </pt>
                <pt idx="382">
                  <v>-0.06036394714595983</v>
                </pt>
                <pt idx="383">
                  <v>-0.06315475381523883</v>
                </pt>
                <pt idx="384">
                  <v>-0.0623561023758204</v>
                </pt>
                <pt idx="385">
                  <v>-0.0583555938480747</v>
                </pt>
                <pt idx="386">
                  <v>-0.05945272446454614</v>
                </pt>
                <pt idx="387">
                  <v>-0.05915342645328914</v>
                </pt>
                <pt idx="388">
                  <v>-0.0586412111854645</v>
                </pt>
                <pt idx="389">
                  <v>-0.05494286715636953</v>
                </pt>
                <pt idx="390">
                  <v>-0.05353367774806189</v>
                </pt>
                <pt idx="391">
                  <v>-0.05413464545173868</v>
                </pt>
                <pt idx="392">
                  <v>-0.05602323052719471</v>
                </pt>
                <pt idx="393">
                  <v>-0.05482690007584873</v>
                </pt>
                <pt idx="394">
                  <v>-0.05322205868961405</v>
                </pt>
                <pt idx="395">
                  <v>-0.0532208503463642</v>
                </pt>
                <pt idx="396">
                  <v>-0.05581332869944261</v>
                </pt>
                <pt idx="397">
                  <v>-0.05661639754095138</v>
                </pt>
                <pt idx="398">
                  <v>-0.05402067046821118</v>
                </pt>
                <pt idx="399">
                  <v>-0.05440123775174377</v>
                </pt>
                <pt idx="400">
                  <v>-0.0550125534798655</v>
                </pt>
                <pt idx="401">
                  <v>-0.05380547673451325</v>
                </pt>
                <pt idx="402">
                  <v>-0.05151270525916524</v>
                </pt>
                <pt idx="403">
                  <v>-0.04701839009465042</v>
                </pt>
                <pt idx="404">
                  <v>-0.04881422329606888</v>
                </pt>
                <pt idx="405">
                  <v>-0.05190135122632367</v>
                </pt>
                <pt idx="406">
                  <v>-0.05169660034562112</v>
                </pt>
                <pt idx="407">
                  <v>-0.04849923911392351</v>
                </pt>
                <pt idx="408">
                  <v>-0.04680067177873193</v>
                </pt>
                <pt idx="409">
                  <v>-0.0478969415217107</v>
                </pt>
                <pt idx="410">
                  <v>-0.0463962378518194</v>
                </pt>
                <pt idx="411">
                  <v>-0.04578343280293357</v>
                </pt>
                <pt idx="412">
                  <v>-0.04988605411853336</v>
                </pt>
                <pt idx="413">
                  <v>-0.04829105913341869</v>
                </pt>
                <pt idx="414">
                  <v>-0.0411928695970637</v>
                </pt>
                <pt idx="415">
                  <v>-0.03959302683543087</v>
                </pt>
                <pt idx="416">
                  <v>-0.03777622808330411</v>
                </pt>
                <pt idx="417">
                  <v>-0.04146896820740731</v>
                </pt>
                <pt idx="418">
                  <v>-0.0423669297946988</v>
                </pt>
                <pt idx="419">
                  <v>-0.04065912252972942</v>
                </pt>
                <pt idx="420">
                  <v>-0.03486356005196667</v>
                </pt>
                <pt idx="421">
                  <v>-0.0345621762662579</v>
                </pt>
                <pt idx="422">
                  <v>-0.03885940109755193</v>
                </pt>
                <pt idx="423">
                  <v>-0.03975926670059637</v>
                </pt>
                <pt idx="424">
                  <v>-0.03824760602246396</v>
                </pt>
                <pt idx="425">
                  <v>-0.04214193024203372</v>
                </pt>
                <pt idx="426">
                  <v>-0.04293725114787372</v>
                </pt>
                <pt idx="427">
                  <v>-0.0420318582963593</v>
                </pt>
                <pt idx="428">
                  <v>-0.04842257657355953</v>
                </pt>
                <pt idx="429">
                  <v>-0.04071161817178148</v>
                </pt>
                <pt idx="430">
                  <v>-0.04669923927609498</v>
                </pt>
                <pt idx="431">
                  <v>-0.0466998381573121</v>
                </pt>
                <pt idx="432">
                  <v>-0.04669998041813012</v>
                </pt>
                <pt idx="433">
                  <v>-0.04699056380755912</v>
                </pt>
                <pt idx="434">
                  <v>-0.0440927616898325</v>
                </pt>
                <pt idx="435">
                  <v>-0.03999095000065228</v>
                </pt>
                <pt idx="436">
                  <v>-0.04168654780576303</v>
                </pt>
                <pt idx="437">
                  <v>-0.04298516963642512</v>
                </pt>
                <pt idx="438">
                  <v>-0.05007439026899302</v>
                </pt>
                <pt idx="439">
                  <v>-0.05197083625403581</v>
                </pt>
                <pt idx="440">
                  <v>-0.0451665195991639</v>
                </pt>
                <pt idx="441">
                  <v>-0.03985957358508163</v>
                </pt>
                <pt idx="442">
                  <v>-0.04905426900713022</v>
                </pt>
                <pt idx="443">
                  <v>-0.05594831821648788</v>
                </pt>
                <pt idx="444">
                  <v>-0.05495065192728871</v>
                </pt>
                <pt idx="445">
                  <v>-0.04924818646339968</v>
                </pt>
                <pt idx="446">
                  <v>-0.05553607206345329</v>
                </pt>
                <pt idx="447">
                  <v>-0.05213352595162002</v>
                </pt>
                <pt idx="448">
                  <v>-0.05603187251498398</v>
                </pt>
                <pt idx="449">
                  <v>-0.05802977229833217</v>
                </pt>
                <pt idx="450">
                  <v>-0.05122884178579667</v>
                </pt>
                <pt idx="451">
                  <v>-0.05111950335240434</v>
                </pt>
                <pt idx="452">
                  <v>-0.04721459613016921</v>
                </pt>
                <pt idx="453">
                  <v>-0.04531303844645901</v>
                </pt>
                <pt idx="454">
                  <v>-0.0430093313942459</v>
                </pt>
                <pt idx="455">
                  <v>-0.04160522027984415</v>
                </pt>
                <pt idx="456">
                  <v>-0.04309628756729195</v>
                </pt>
                <pt idx="457">
                  <v>-0.04309439004483118</v>
                </pt>
                <pt idx="458">
                  <v>-0.0429928532252592</v>
                </pt>
                <pt idx="459">
                  <v>-0.03409138996986205</v>
                </pt>
                <pt idx="460">
                  <v>-0.03308814670388482</v>
                </pt>
                <pt idx="461">
                  <v>-0.03757676257840309</v>
                </pt>
                <pt idx="462">
                  <v>-0.03807646443817841</v>
                </pt>
                <pt idx="463">
                  <v>-0.03657550222992006</v>
                </pt>
                <pt idx="464">
                  <v>-0.03707208199289452</v>
                </pt>
                <pt idx="465">
                  <v>-0.0498676911758254</v>
                </pt>
                <pt idx="466">
                  <v>-0.05165662933137277</v>
                </pt>
                <pt idx="467">
                  <v>-0.0403505194320587</v>
                </pt>
                <pt idx="468">
                  <v>-0.03734902323686179</v>
                </pt>
                <pt idx="469">
                  <v>-0.03724442025948183</v>
                </pt>
                <pt idx="470">
                  <v>-0.03944082300243368</v>
                </pt>
                <pt idx="471">
                  <v>-0.03999878623587011</v>
                </pt>
                <pt idx="472">
                  <v>-0.03969812924889665</v>
                </pt>
                <pt idx="473">
                  <v>-0.03566839494584506</v>
                </pt>
                <pt idx="474">
                  <v>-0.03767527183377878</v>
                </pt>
                <pt idx="475">
                  <v>-0.03736868652164921</v>
                </pt>
                <pt idx="476">
                  <v>-0.0399598244577074</v>
                </pt>
                <pt idx="477">
                  <v>-0.04031169368935189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9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7">
    <outlinePr summaryBelow="1" summaryRight="1"/>
    <pageSetUpPr/>
  </sheetPr>
  <dimension ref="A1:Y103"/>
  <sheetViews>
    <sheetView tabSelected="1" topLeftCell="F16" workbookViewId="0">
      <selection activeCell="L31" sqref="L31:L47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usd'!B11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usd'!F11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45482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45482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45482</v>
      </c>
      <c r="N10" t="inlineStr">
        <is>
          <t>USD</t>
        </is>
      </c>
      <c r="O10" s="2" t="n">
        <v>0.38</v>
      </c>
      <c r="P10" s="2" t="n">
        <v>4</v>
      </c>
      <c r="Q10" s="97" t="n">
        <v>4.38</v>
      </c>
      <c r="S10" s="3" t="n">
        <v>45482</v>
      </c>
      <c r="T10" t="inlineStr">
        <is>
          <t>USD</t>
        </is>
      </c>
      <c r="U10" s="2" t="n">
        <v>0.38</v>
      </c>
      <c r="V10" s="2" t="n">
        <v>4</v>
      </c>
      <c r="W10" s="97" t="n">
        <v>4.38</v>
      </c>
    </row>
    <row r="11" ht="15.75" customHeight="1" s="73" thickBot="1">
      <c r="A11" s="3" t="n">
        <v>45666</v>
      </c>
      <c r="B11" s="1" t="inlineStr">
        <is>
          <t>USD</t>
        </is>
      </c>
      <c r="C11" s="38" t="n">
        <v>0.5</v>
      </c>
      <c r="D11" s="2" t="n">
        <v>10</v>
      </c>
      <c r="E11" s="96" t="n">
        <v>10.5</v>
      </c>
      <c r="F11" s="21" t="n"/>
      <c r="G11" s="3" t="n">
        <v>45666</v>
      </c>
      <c r="H11" t="inlineStr">
        <is>
          <t>USD</t>
        </is>
      </c>
      <c r="I11" s="2" t="n">
        <v>0.5</v>
      </c>
      <c r="J11" s="2" t="n">
        <v>10</v>
      </c>
      <c r="K11" s="97" t="n">
        <v>10.5</v>
      </c>
      <c r="L11" s="21" t="n"/>
      <c r="M11" s="3" t="n">
        <v>45666</v>
      </c>
      <c r="N11" t="inlineStr">
        <is>
          <t>USD</t>
        </is>
      </c>
      <c r="O11" s="2" t="n">
        <v>0.36</v>
      </c>
      <c r="P11" s="2" t="n">
        <v>8</v>
      </c>
      <c r="Q11" s="97" t="n">
        <v>8.359999999999999</v>
      </c>
      <c r="S11" s="3" t="n">
        <v>45666</v>
      </c>
      <c r="T11" t="inlineStr">
        <is>
          <t>USD</t>
        </is>
      </c>
      <c r="U11" s="2" t="n">
        <v>0.36</v>
      </c>
      <c r="V11" s="2" t="n">
        <v>8</v>
      </c>
      <c r="W11" s="97" t="n">
        <v>8.359999999999999</v>
      </c>
    </row>
    <row r="12" ht="15.75" customHeight="1" s="73" thickBot="1">
      <c r="A12" s="3" t="n">
        <v>45847</v>
      </c>
      <c r="B12" s="1" t="inlineStr">
        <is>
          <t>USD</t>
        </is>
      </c>
      <c r="C12" s="38" t="n">
        <v>0.45</v>
      </c>
      <c r="D12" s="2" t="n">
        <v>10</v>
      </c>
      <c r="E12" s="96" t="n">
        <v>10.45</v>
      </c>
      <c r="F12" s="21" t="n"/>
      <c r="G12" s="3" t="n">
        <v>45847</v>
      </c>
      <c r="H12" t="inlineStr">
        <is>
          <t>USD</t>
        </is>
      </c>
      <c r="I12" s="2" t="n">
        <v>0.45</v>
      </c>
      <c r="J12" s="2" t="n">
        <v>10</v>
      </c>
      <c r="K12" s="97" t="n">
        <v>10.45</v>
      </c>
      <c r="L12" s="21" t="n"/>
      <c r="M12" s="3" t="n">
        <v>45847</v>
      </c>
      <c r="N12" t="inlineStr">
        <is>
          <t>USD</t>
        </is>
      </c>
      <c r="O12" s="2" t="n">
        <v>0.33</v>
      </c>
      <c r="P12" s="2" t="n">
        <v>8</v>
      </c>
      <c r="Q12" s="97" t="n">
        <v>8.33</v>
      </c>
      <c r="S12" s="3" t="n">
        <v>45847</v>
      </c>
      <c r="T12" t="inlineStr">
        <is>
          <t>USD</t>
        </is>
      </c>
      <c r="U12" s="2" t="n">
        <v>0.33</v>
      </c>
      <c r="V12" s="2" t="n">
        <v>8</v>
      </c>
      <c r="W12" s="97" t="n">
        <v>8.33</v>
      </c>
    </row>
    <row r="13" ht="15.75" customHeight="1" s="73" thickBot="1">
      <c r="A13" s="3" t="n">
        <v>46031</v>
      </c>
      <c r="B13" s="1" t="inlineStr">
        <is>
          <t>USD</t>
        </is>
      </c>
      <c r="C13" s="38" t="n">
        <v>0.4</v>
      </c>
      <c r="D13" s="2" t="n">
        <v>10</v>
      </c>
      <c r="E13" s="41" t="n">
        <v>10.4</v>
      </c>
      <c r="F13" s="21" t="n"/>
      <c r="G13" s="3" t="n">
        <v>46031</v>
      </c>
      <c r="H13" t="inlineStr">
        <is>
          <t>USD</t>
        </is>
      </c>
      <c r="I13" s="2" t="n">
        <v>0.4</v>
      </c>
      <c r="J13" s="2" t="n">
        <v>10</v>
      </c>
      <c r="K13" s="4" t="n">
        <v>10.4</v>
      </c>
      <c r="L13" s="21" t="n"/>
      <c r="M13" s="3" t="n">
        <v>46031</v>
      </c>
      <c r="N13" t="inlineStr">
        <is>
          <t>USD</t>
        </is>
      </c>
      <c r="O13" s="2" t="n">
        <v>0.3</v>
      </c>
      <c r="P13" s="2" t="n">
        <v>8</v>
      </c>
      <c r="Q13" s="4" t="n">
        <v>8.300000000000001</v>
      </c>
      <c r="S13" s="3" t="n">
        <v>46031</v>
      </c>
      <c r="T13" t="inlineStr">
        <is>
          <t>USD</t>
        </is>
      </c>
      <c r="U13" s="2" t="n">
        <v>0.3</v>
      </c>
      <c r="V13" s="2" t="n">
        <v>8</v>
      </c>
      <c r="W13" s="97" t="n">
        <v>8.300000000000001</v>
      </c>
    </row>
    <row r="14" ht="15.75" customHeight="1" s="73" thickBot="1">
      <c r="A14" s="3" t="n">
        <v>46212</v>
      </c>
      <c r="B14" s="1" t="inlineStr">
        <is>
          <t>USD</t>
        </is>
      </c>
      <c r="C14" s="38" t="n">
        <v>0.35</v>
      </c>
      <c r="D14" s="2" t="n">
        <v>10</v>
      </c>
      <c r="E14" s="41" t="n">
        <v>10.35</v>
      </c>
      <c r="F14" s="21" t="n"/>
      <c r="G14" s="3" t="n">
        <v>46212</v>
      </c>
      <c r="H14" t="inlineStr">
        <is>
          <t>USD</t>
        </is>
      </c>
      <c r="I14" s="2" t="n">
        <v>0.35</v>
      </c>
      <c r="J14" s="2" t="n">
        <v>10</v>
      </c>
      <c r="K14" s="4" t="n">
        <v>10.35</v>
      </c>
      <c r="L14" s="21" t="n"/>
      <c r="M14" s="3" t="n">
        <v>46212</v>
      </c>
      <c r="N14" t="inlineStr">
        <is>
          <t>USD</t>
        </is>
      </c>
      <c r="O14" s="2" t="n">
        <v>0.27</v>
      </c>
      <c r="P14" s="2" t="n">
        <v>8</v>
      </c>
      <c r="Q14" s="4" t="n">
        <v>8.27</v>
      </c>
      <c r="S14" s="3" t="n">
        <v>46212</v>
      </c>
      <c r="T14" t="inlineStr">
        <is>
          <t>USD</t>
        </is>
      </c>
      <c r="U14" s="2" t="n">
        <v>0.27</v>
      </c>
      <c r="V14" s="2" t="n">
        <v>8</v>
      </c>
      <c r="W14" s="4" t="n">
        <v>8.27</v>
      </c>
    </row>
    <row r="15" ht="15.75" customHeight="1" s="73" thickBot="1">
      <c r="A15" s="3" t="n">
        <v>46396</v>
      </c>
      <c r="B15" s="1" t="inlineStr">
        <is>
          <t>USD</t>
        </is>
      </c>
      <c r="C15" s="38" t="n">
        <v>0.3</v>
      </c>
      <c r="D15" s="2" t="n">
        <v>10</v>
      </c>
      <c r="E15" s="41" t="n">
        <v>10.3</v>
      </c>
      <c r="F15" s="21" t="n"/>
      <c r="G15" s="3" t="n">
        <v>46396</v>
      </c>
      <c r="H15" t="inlineStr">
        <is>
          <t>USD</t>
        </is>
      </c>
      <c r="I15" s="2" t="n">
        <v>0.3</v>
      </c>
      <c r="J15" s="2" t="n">
        <v>10</v>
      </c>
      <c r="K15" s="4" t="n">
        <v>10.3</v>
      </c>
      <c r="L15" s="21" t="n"/>
      <c r="M15" s="3" t="n">
        <v>46396</v>
      </c>
      <c r="N15" t="inlineStr">
        <is>
          <t>USD</t>
        </is>
      </c>
      <c r="O15" s="2" t="n">
        <v>0.24</v>
      </c>
      <c r="P15" s="2" t="n">
        <v>8</v>
      </c>
      <c r="Q15" s="4" t="n">
        <v>8.24</v>
      </c>
      <c r="S15" s="3" t="n">
        <v>46396</v>
      </c>
      <c r="T15" t="inlineStr">
        <is>
          <t>USD</t>
        </is>
      </c>
      <c r="U15" s="2" t="n">
        <v>0.24</v>
      </c>
      <c r="V15" s="2" t="n">
        <v>8</v>
      </c>
      <c r="W15" s="4" t="n">
        <v>8.24</v>
      </c>
    </row>
    <row r="16" ht="15.75" customHeight="1" s="73" thickBot="1">
      <c r="A16" s="3" t="n">
        <v>46577</v>
      </c>
      <c r="B16" s="1" t="inlineStr">
        <is>
          <t>USD</t>
        </is>
      </c>
      <c r="C16" s="38" t="n">
        <v>0.25</v>
      </c>
      <c r="D16" s="2" t="n">
        <v>10</v>
      </c>
      <c r="E16" s="41" t="n">
        <v>10.25</v>
      </c>
      <c r="F16" s="21" t="n"/>
      <c r="G16" s="3" t="n">
        <v>46577</v>
      </c>
      <c r="H16" t="inlineStr">
        <is>
          <t>USD</t>
        </is>
      </c>
      <c r="I16" s="2" t="n">
        <v>0.25</v>
      </c>
      <c r="J16" s="2" t="n">
        <v>10</v>
      </c>
      <c r="K16" s="4" t="n">
        <v>10.25</v>
      </c>
      <c r="L16" s="21" t="n"/>
      <c r="M16" s="3" t="n">
        <v>46577</v>
      </c>
      <c r="N16" t="inlineStr">
        <is>
          <t>USD</t>
        </is>
      </c>
      <c r="O16" s="2" t="n">
        <v>0.21</v>
      </c>
      <c r="P16" s="2" t="n">
        <v>8</v>
      </c>
      <c r="Q16" s="4" t="n">
        <v>8.210000000000001</v>
      </c>
      <c r="S16" s="3" t="n">
        <v>46577</v>
      </c>
      <c r="T16" t="inlineStr">
        <is>
          <t>USD</t>
        </is>
      </c>
      <c r="U16" s="2" t="n">
        <v>0.21</v>
      </c>
      <c r="V16" s="2" t="n">
        <v>8</v>
      </c>
      <c r="W16" s="4" t="n">
        <v>8.210000000000001</v>
      </c>
    </row>
    <row r="17" ht="15.75" customHeight="1" s="73" thickBot="1">
      <c r="A17" s="3" t="n">
        <v>46761</v>
      </c>
      <c r="B17" s="1" t="inlineStr">
        <is>
          <t>USD</t>
        </is>
      </c>
      <c r="C17" s="38" t="n">
        <v>0.2</v>
      </c>
      <c r="D17" s="2" t="n">
        <v>10</v>
      </c>
      <c r="E17" s="41" t="n">
        <v>10.2</v>
      </c>
      <c r="F17" s="21" t="n"/>
      <c r="G17" s="3" t="n">
        <v>46761</v>
      </c>
      <c r="H17" t="inlineStr">
        <is>
          <t>USD</t>
        </is>
      </c>
      <c r="I17" s="2" t="n">
        <v>0.2</v>
      </c>
      <c r="J17" s="2" t="n">
        <v>10</v>
      </c>
      <c r="K17" s="4" t="n">
        <v>10.2</v>
      </c>
      <c r="L17" s="21" t="n"/>
      <c r="M17" s="3" t="n">
        <v>46761</v>
      </c>
      <c r="N17" t="inlineStr">
        <is>
          <t>USD</t>
        </is>
      </c>
      <c r="O17" s="2" t="n">
        <v>0.42</v>
      </c>
      <c r="P17" s="2" t="n">
        <v>8</v>
      </c>
      <c r="Q17" s="4" t="n">
        <v>8.42</v>
      </c>
      <c r="S17" s="3" t="n">
        <v>46761</v>
      </c>
      <c r="T17" t="inlineStr">
        <is>
          <t>USD</t>
        </is>
      </c>
      <c r="U17" s="2" t="n">
        <v>0.42</v>
      </c>
      <c r="V17" s="2" t="n">
        <v>8</v>
      </c>
      <c r="W17" s="4" t="n">
        <v>8.42</v>
      </c>
    </row>
    <row r="18" ht="15.75" customHeight="1" s="73" thickBot="1">
      <c r="A18" s="3" t="n">
        <v>46943</v>
      </c>
      <c r="B18" s="1" t="inlineStr">
        <is>
          <t>USD</t>
        </is>
      </c>
      <c r="C18" s="38" t="n">
        <v>0.15</v>
      </c>
      <c r="D18" s="2" t="n">
        <v>10</v>
      </c>
      <c r="E18" s="41" t="n">
        <v>10.15</v>
      </c>
      <c r="F18" s="21" t="n"/>
      <c r="G18" s="3" t="n">
        <v>46943</v>
      </c>
      <c r="H18" t="inlineStr">
        <is>
          <t>USD</t>
        </is>
      </c>
      <c r="I18" s="2" t="n">
        <v>0.15</v>
      </c>
      <c r="J18" s="2" t="n">
        <v>10</v>
      </c>
      <c r="K18" s="4" t="n">
        <v>10.15</v>
      </c>
      <c r="L18" s="21" t="n"/>
      <c r="M18" s="3" t="n">
        <v>46943</v>
      </c>
      <c r="N18" t="inlineStr">
        <is>
          <t>USD</t>
        </is>
      </c>
      <c r="O18" s="2" t="n">
        <v>0.35</v>
      </c>
      <c r="P18" s="2" t="n">
        <v>8</v>
      </c>
      <c r="Q18" s="4" t="n">
        <v>8.35</v>
      </c>
      <c r="S18" s="3" t="n">
        <v>46943</v>
      </c>
      <c r="T18" t="inlineStr">
        <is>
          <t>USD</t>
        </is>
      </c>
      <c r="U18" s="2" t="n">
        <v>0.35</v>
      </c>
      <c r="V18" s="2" t="n">
        <v>8</v>
      </c>
      <c r="W18" s="4" t="n">
        <v>8.35</v>
      </c>
    </row>
    <row r="19" ht="15.75" customHeight="1" s="73" thickBot="1">
      <c r="A19" s="3" t="n">
        <v>47127</v>
      </c>
      <c r="B19" s="1" t="inlineStr">
        <is>
          <t>USD</t>
        </is>
      </c>
      <c r="C19" s="38" t="n">
        <v>0.1</v>
      </c>
      <c r="D19" s="2" t="n">
        <v>10</v>
      </c>
      <c r="E19" s="41" t="n">
        <v>10.1</v>
      </c>
      <c r="F19" s="21" t="n"/>
      <c r="G19" s="3" t="n">
        <v>47127</v>
      </c>
      <c r="H19" t="inlineStr">
        <is>
          <t>USD</t>
        </is>
      </c>
      <c r="I19" s="2" t="n">
        <v>0.1</v>
      </c>
      <c r="J19" s="2" t="n">
        <v>10</v>
      </c>
      <c r="K19" s="4" t="n">
        <v>10.1</v>
      </c>
      <c r="L19" s="21" t="n"/>
      <c r="M19" s="3" t="n">
        <v>47127</v>
      </c>
      <c r="N19" t="inlineStr">
        <is>
          <t>USD</t>
        </is>
      </c>
      <c r="O19" s="2" t="n">
        <v>0.28</v>
      </c>
      <c r="P19" s="2" t="n">
        <v>8</v>
      </c>
      <c r="Q19" s="4" t="n">
        <v>8.279999999999999</v>
      </c>
      <c r="S19" s="3" t="n">
        <v>47127</v>
      </c>
      <c r="T19" t="inlineStr">
        <is>
          <t>USD</t>
        </is>
      </c>
      <c r="U19" s="2" t="n">
        <v>0.28</v>
      </c>
      <c r="V19" s="2" t="n">
        <v>8</v>
      </c>
      <c r="W19" s="4" t="n">
        <v>8.279999999999999</v>
      </c>
    </row>
    <row r="20" ht="15.75" customHeight="1" s="73" thickBot="1">
      <c r="A20" s="3" t="n">
        <v>47308</v>
      </c>
      <c r="B20" s="1" t="inlineStr">
        <is>
          <t>USD</t>
        </is>
      </c>
      <c r="C20" s="38" t="n">
        <v>0.05</v>
      </c>
      <c r="D20" s="2" t="n">
        <v>10</v>
      </c>
      <c r="E20" s="41" t="n">
        <v>10.05</v>
      </c>
      <c r="F20" s="21" t="n"/>
      <c r="G20" s="3" t="n">
        <v>47308</v>
      </c>
      <c r="H20" t="inlineStr">
        <is>
          <t>USD</t>
        </is>
      </c>
      <c r="I20" s="2" t="n">
        <v>0.05</v>
      </c>
      <c r="J20" s="2" t="n">
        <v>10</v>
      </c>
      <c r="K20" s="4" t="n">
        <v>10.05</v>
      </c>
      <c r="L20" s="21" t="n"/>
      <c r="M20" s="3" t="n">
        <v>47308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47308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5" t="n"/>
      <c r="B21" s="6" t="n"/>
      <c r="C21" s="39">
        <f>SUM(C10:C20)</f>
        <v/>
      </c>
      <c r="D21" s="7">
        <f>SUM(D10:D20)</f>
        <v/>
      </c>
      <c r="E21" s="42">
        <f>SUM(E10:E20)</f>
        <v/>
      </c>
      <c r="F21" s="21" t="n"/>
      <c r="G21" s="9" t="n"/>
      <c r="H21" s="6" t="n"/>
      <c r="I21" s="7">
        <f>SUM(I10:I20)</f>
        <v/>
      </c>
      <c r="J21" s="7">
        <f>SUM(J10:J20)</f>
        <v/>
      </c>
      <c r="K21" s="8">
        <f>SUM(K10:K20)</f>
        <v/>
      </c>
      <c r="L21" s="21" t="n"/>
      <c r="M21" s="3" t="n">
        <v>47492</v>
      </c>
      <c r="N21" t="inlineStr">
        <is>
          <t>USD</t>
        </is>
      </c>
      <c r="O21" s="2" t="n">
        <v>0.14</v>
      </c>
      <c r="P21" s="2" t="n">
        <v>8</v>
      </c>
      <c r="Q21" s="4" t="n">
        <v>8.140000000000001</v>
      </c>
      <c r="S21" s="3" t="n">
        <v>47492</v>
      </c>
      <c r="T21" t="inlineStr">
        <is>
          <t>USD</t>
        </is>
      </c>
      <c r="U21" s="2" t="n">
        <v>0.14</v>
      </c>
      <c r="V21" s="2" t="n">
        <v>8</v>
      </c>
      <c r="W21" s="4" t="n">
        <v>8.140000000000001</v>
      </c>
    </row>
    <row r="22" ht="15.75" customHeight="1" s="73" thickBot="1">
      <c r="B22" s="21" t="n"/>
      <c r="F22" s="21" t="n"/>
      <c r="I22" s="21" t="n"/>
      <c r="J22" s="21" t="n"/>
      <c r="K22" s="21" t="n"/>
      <c r="L22" s="21" t="n"/>
      <c r="M22" s="3" t="n">
        <v>47673</v>
      </c>
      <c r="N22" t="inlineStr">
        <is>
          <t>USD</t>
        </is>
      </c>
      <c r="O22" s="2" t="n">
        <v>0.07000000000000001</v>
      </c>
      <c r="P22" s="2" t="n">
        <v>8</v>
      </c>
      <c r="Q22" s="4" t="n">
        <v>8.07</v>
      </c>
      <c r="S22" s="3" t="n">
        <v>47673</v>
      </c>
      <c r="T22" t="inlineStr">
        <is>
          <t>USD</t>
        </is>
      </c>
      <c r="U22" s="2" t="n">
        <v>0.07000000000000001</v>
      </c>
      <c r="V22" s="2" t="n">
        <v>8</v>
      </c>
      <c r="W22" s="4" t="n">
        <v>8.07</v>
      </c>
    </row>
    <row r="23" ht="15.75" customHeight="1" s="73" thickBot="1">
      <c r="B23" s="21" t="n"/>
      <c r="F23" s="114" t="n"/>
      <c r="G23" s="21" t="n"/>
      <c r="H23" s="21" t="n"/>
      <c r="I23" s="21" t="n"/>
      <c r="J23" s="21" t="n"/>
      <c r="K23" s="21" t="n"/>
      <c r="L23" s="21" t="n"/>
      <c r="M23" s="5" t="n"/>
      <c r="N23" s="10" t="n"/>
      <c r="O23" s="7">
        <f>SUM(O10:O22)</f>
        <v/>
      </c>
      <c r="P23" s="7">
        <f>SUM(P10:P22)</f>
        <v/>
      </c>
      <c r="Q23" s="8">
        <f>SUM(Q10:Q22)</f>
        <v/>
      </c>
      <c r="S23" s="5" t="n"/>
      <c r="T23" s="10" t="n"/>
      <c r="U23" s="7">
        <f>SUM(U10:U22)</f>
        <v/>
      </c>
      <c r="V23" s="7">
        <f>SUM(V10:V22)</f>
        <v/>
      </c>
      <c r="W23" s="8">
        <f>SUM(W10:W22)</f>
        <v/>
      </c>
    </row>
    <row r="24" ht="15.75" customHeight="1" s="73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O24" s="25" t="n"/>
      <c r="P24" s="25" t="n"/>
      <c r="Q24" s="25" t="n"/>
      <c r="U24" s="25" t="n"/>
      <c r="V24" s="25" t="n"/>
      <c r="W24" s="25" t="n"/>
    </row>
    <row r="25" ht="15.75" customHeight="1" s="73" thickBot="1">
      <c r="A25" s="20" t="inlineStr">
        <is>
          <t>AL35</t>
        </is>
      </c>
      <c r="B25" s="16" t="n"/>
      <c r="C25" s="17" t="inlineStr">
        <is>
          <t>Renta</t>
        </is>
      </c>
      <c r="D25" s="17" t="inlineStr">
        <is>
          <t>Amort</t>
        </is>
      </c>
      <c r="E25" s="18" t="inlineStr">
        <is>
          <t>R+A</t>
        </is>
      </c>
      <c r="F25" s="21" t="n"/>
      <c r="G25" s="20" t="inlineStr">
        <is>
          <t>AE38</t>
        </is>
      </c>
      <c r="H25" s="16" t="n"/>
      <c r="I25" s="17" t="inlineStr">
        <is>
          <t>Renta</t>
        </is>
      </c>
      <c r="J25" s="17" t="inlineStr">
        <is>
          <t>Amort</t>
        </is>
      </c>
      <c r="K25" s="18" t="inlineStr">
        <is>
          <t>R+A</t>
        </is>
      </c>
      <c r="L25" s="21" t="n"/>
      <c r="M25" s="20" t="inlineStr">
        <is>
          <t>AL41</t>
        </is>
      </c>
      <c r="N25" s="16" t="n"/>
      <c r="O25" s="17" t="inlineStr">
        <is>
          <t>Renta</t>
        </is>
      </c>
      <c r="P25" s="17" t="inlineStr">
        <is>
          <t>Amort</t>
        </is>
      </c>
      <c r="Q25" s="18" t="inlineStr">
        <is>
          <t>R+A</t>
        </is>
      </c>
      <c r="U25" s="25" t="n"/>
      <c r="V25" s="25" t="n"/>
      <c r="W25" s="25" t="n"/>
    </row>
    <row r="26" ht="15.75" customHeight="1" s="73">
      <c r="A26" s="30" t="inlineStr">
        <is>
          <t>TASA</t>
        </is>
      </c>
      <c r="B26" s="21" t="n">
        <v>1</v>
      </c>
      <c r="C26" s="26" t="n"/>
      <c r="D26" s="26" t="n"/>
      <c r="E26" s="27" t="n"/>
      <c r="F26" s="21" t="n"/>
      <c r="G26" s="30" t="inlineStr">
        <is>
          <t>TASA</t>
        </is>
      </c>
      <c r="H26" s="21" t="n">
        <v>0.125</v>
      </c>
      <c r="I26" s="26" t="n"/>
      <c r="J26" s="26" t="n"/>
      <c r="K26" s="27" t="n"/>
      <c r="L26" s="21" t="n"/>
      <c r="M26" s="30" t="inlineStr">
        <is>
          <t>TASA</t>
        </is>
      </c>
      <c r="N26" s="21" t="n">
        <v>1</v>
      </c>
      <c r="O26" s="26" t="n"/>
      <c r="P26" s="26" t="n"/>
      <c r="Q26" s="27" t="n"/>
      <c r="T26" s="25" t="n"/>
      <c r="U26" s="25" t="n"/>
      <c r="V26" s="25" t="n"/>
    </row>
    <row r="27" ht="15.75" customHeight="1" s="73">
      <c r="A27" s="30" t="inlineStr">
        <is>
          <t>Fecha inicio</t>
        </is>
      </c>
      <c r="B27" s="23" t="n">
        <v>44076</v>
      </c>
      <c r="C27" s="26" t="n"/>
      <c r="D27" s="26" t="n"/>
      <c r="E27" s="27" t="n"/>
      <c r="F27" s="21" t="n"/>
      <c r="G27" s="30" t="inlineStr">
        <is>
          <t>Fecha inicio</t>
        </is>
      </c>
      <c r="H27" s="23" t="n">
        <v>44076</v>
      </c>
      <c r="I27" s="26" t="n"/>
      <c r="J27" s="26" t="n"/>
      <c r="K27" s="27" t="n"/>
      <c r="L27" s="21" t="n"/>
      <c r="M27" s="30" t="inlineStr">
        <is>
          <t>Fecha inicio</t>
        </is>
      </c>
      <c r="N27" s="23" t="n">
        <v>44076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ultimo pago</t>
        </is>
      </c>
      <c r="B28" s="23" t="n">
        <v>44570</v>
      </c>
      <c r="C28" s="26" t="n"/>
      <c r="D28" s="26" t="n"/>
      <c r="E28" s="27" t="n"/>
      <c r="F28" s="21" t="n"/>
      <c r="G28" s="30" t="inlineStr">
        <is>
          <t>Fecha ultimo pago</t>
        </is>
      </c>
      <c r="H28" s="23" t="n">
        <v>44570</v>
      </c>
      <c r="I28" s="26" t="n"/>
      <c r="J28" s="26" t="n"/>
      <c r="K28" s="27" t="n"/>
      <c r="M28" s="30" t="inlineStr">
        <is>
          <t>Fecha ultimo pago</t>
        </is>
      </c>
      <c r="N28" s="23" t="n">
        <v>44570</v>
      </c>
      <c r="O28" s="26" t="n"/>
      <c r="P28" s="26" t="n"/>
      <c r="Q28" s="27" t="n"/>
      <c r="T28" s="25" t="n"/>
      <c r="U28" s="25" t="n"/>
      <c r="V28" s="25" t="n"/>
    </row>
    <row r="29" ht="19.5" customHeight="1" s="73">
      <c r="A29" s="30" t="inlineStr">
        <is>
          <t>Interes</t>
        </is>
      </c>
      <c r="B29" s="31" t="n">
        <v>0.00125</v>
      </c>
      <c r="C29" s="26" t="n"/>
      <c r="D29" s="26" t="n"/>
      <c r="E29" s="27" t="n"/>
      <c r="F29" s="21" t="n"/>
      <c r="G29" s="30" t="inlineStr">
        <is>
          <t>Interes</t>
        </is>
      </c>
      <c r="H29" s="31" t="n">
        <v>0.00125</v>
      </c>
      <c r="I29" s="26" t="n"/>
      <c r="J29" s="26" t="n"/>
      <c r="K29" s="27" t="n"/>
      <c r="M29" s="30" t="inlineStr">
        <is>
          <t>Interes</t>
        </is>
      </c>
      <c r="N29" s="31" t="n">
        <v>0.00125</v>
      </c>
      <c r="O29" s="26" t="n"/>
      <c r="P29" s="26" t="n"/>
      <c r="Q29" s="27" t="n"/>
      <c r="T29" s="25" t="n"/>
      <c r="U29" s="25" t="n"/>
      <c r="V29" s="25" t="n"/>
    </row>
    <row r="30" ht="18.75" customHeight="1" s="73">
      <c r="A30" s="30" t="inlineStr">
        <is>
          <t>VR</t>
        </is>
      </c>
      <c r="B30" s="21" t="n">
        <v>100</v>
      </c>
      <c r="C30" s="26" t="n"/>
      <c r="D30" s="26" t="n"/>
      <c r="E30" s="27" t="n"/>
      <c r="F30" s="21" t="n"/>
      <c r="G30" s="30" t="inlineStr">
        <is>
          <t>VR</t>
        </is>
      </c>
      <c r="H30" s="21" t="n">
        <v>100</v>
      </c>
      <c r="I30" s="26" t="n"/>
      <c r="J30" s="26" t="n"/>
      <c r="K30" s="27" t="n"/>
      <c r="M30" s="30" t="inlineStr">
        <is>
          <t>VR</t>
        </is>
      </c>
      <c r="N30" s="21" t="n">
        <v>100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 Corrido</t>
        </is>
      </c>
      <c r="B31" s="45">
        <f>B29*DAYS360(B28,TODAY())/360*100</f>
        <v/>
      </c>
      <c r="C31" s="26" t="n"/>
      <c r="D31" s="26" t="n"/>
      <c r="E31" s="27" t="n"/>
      <c r="F31" s="21" t="n">
        <v>161</v>
      </c>
      <c r="G31" s="30" t="inlineStr">
        <is>
          <t>Int Corrido</t>
        </is>
      </c>
      <c r="H31" s="45">
        <f>H29*DAYS360(H28,TODAY())/360*100</f>
        <v/>
      </c>
      <c r="I31" s="26" t="n"/>
      <c r="J31" s="26" t="n"/>
      <c r="K31" s="27" t="n"/>
      <c r="M31" s="30" t="inlineStr">
        <is>
          <t>Int Corrido</t>
        </is>
      </c>
      <c r="N31" s="45">
        <f>N29*DAYS360(N27,TODAY())/360*100</f>
        <v/>
      </c>
      <c r="O31" s="26" t="n"/>
      <c r="P31" s="26" t="n"/>
      <c r="Q31" s="27" t="n"/>
      <c r="T31" s="25" t="n"/>
      <c r="U31" s="25" t="n"/>
      <c r="V31" s="25" t="n"/>
    </row>
    <row r="32" ht="18.75" customHeight="1" s="73" thickBot="1">
      <c r="A32" s="30" t="inlineStr">
        <is>
          <t>Valor Tecnico</t>
        </is>
      </c>
      <c r="B32" s="45">
        <f>B30+B31</f>
        <v/>
      </c>
      <c r="C32" s="26" t="n"/>
      <c r="D32" s="26" t="n"/>
      <c r="E32" s="95" t="n">
        <v>-18.05</v>
      </c>
      <c r="F32" s="21" t="n"/>
      <c r="G32" s="30" t="inlineStr">
        <is>
          <t>Valor Tecnico</t>
        </is>
      </c>
      <c r="H32" s="45">
        <f>H30+H31</f>
        <v/>
      </c>
      <c r="I32" s="26" t="n"/>
      <c r="J32" s="26" t="n"/>
      <c r="K32" s="113">
        <f>-'Paridad usd'!L11</f>
        <v/>
      </c>
      <c r="M32" s="30" t="inlineStr">
        <is>
          <t>Valor Tecnico</t>
        </is>
      </c>
      <c r="N32" s="45">
        <f>N30+N31</f>
        <v/>
      </c>
      <c r="O32" s="26" t="n"/>
      <c r="P32" s="26" t="n"/>
      <c r="Q32" s="95" t="n">
        <v>-22.7</v>
      </c>
      <c r="T32" s="25" t="n"/>
      <c r="U32" s="25" t="n"/>
      <c r="V32" s="25" t="n"/>
    </row>
    <row r="33" ht="18.75" customHeight="1" s="73" thickBot="1">
      <c r="A33" s="3" t="n">
        <v>45482</v>
      </c>
      <c r="B33" s="1" t="inlineStr">
        <is>
          <t>USD</t>
        </is>
      </c>
      <c r="C33" s="2" t="n">
        <v>1.81</v>
      </c>
      <c r="D33" s="2" t="n">
        <v>0</v>
      </c>
      <c r="E33" s="97" t="n">
        <v>1.81</v>
      </c>
      <c r="F33" s="21" t="n"/>
      <c r="G33" s="3" t="n">
        <v>45482</v>
      </c>
      <c r="H33" s="1" t="inlineStr">
        <is>
          <t>USD</t>
        </is>
      </c>
      <c r="I33" s="2" t="n">
        <v>2.12</v>
      </c>
      <c r="J33" s="2" t="n">
        <v>0</v>
      </c>
      <c r="K33" s="97" t="n">
        <v>2.12</v>
      </c>
      <c r="M33" s="3" t="n">
        <v>45482</v>
      </c>
      <c r="N33" s="1" t="inlineStr">
        <is>
          <t>USD</t>
        </is>
      </c>
      <c r="O33" s="2" t="n">
        <v>1.75</v>
      </c>
      <c r="P33" s="2" t="n">
        <v>0</v>
      </c>
      <c r="Q33" s="97" t="n">
        <v>1.75</v>
      </c>
      <c r="T33" s="25" t="n"/>
      <c r="U33" s="25" t="n"/>
      <c r="V33" s="25" t="n"/>
    </row>
    <row r="34" ht="19.5" customHeight="1" s="73" thickBot="1">
      <c r="A34" s="3" t="n">
        <v>45666</v>
      </c>
      <c r="B34" s="1" t="inlineStr">
        <is>
          <t>USD</t>
        </is>
      </c>
      <c r="C34" s="2" t="n">
        <v>2.06</v>
      </c>
      <c r="D34" s="2" t="n">
        <v>0</v>
      </c>
      <c r="E34" s="97" t="n">
        <v>2.06</v>
      </c>
      <c r="F34" s="21" t="n"/>
      <c r="G34" s="3" t="n">
        <v>45666</v>
      </c>
      <c r="H34" s="1" t="inlineStr">
        <is>
          <t>USD</t>
        </is>
      </c>
      <c r="I34" s="2" t="n">
        <v>2.5</v>
      </c>
      <c r="J34" s="2" t="n">
        <v>0</v>
      </c>
      <c r="K34" s="97" t="n">
        <v>2.5</v>
      </c>
      <c r="M34" s="3" t="n">
        <v>45666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T34" s="25" t="n"/>
      <c r="U34" s="25" t="n"/>
      <c r="V34" s="25" t="n"/>
    </row>
    <row r="35" ht="15.75" customHeight="1" s="73" thickBot="1">
      <c r="A35" s="3" t="n">
        <v>45847</v>
      </c>
      <c r="B35" s="1" t="inlineStr">
        <is>
          <t>USD</t>
        </is>
      </c>
      <c r="C35" s="2" t="n">
        <v>2.06</v>
      </c>
      <c r="D35" s="2" t="n">
        <v>0</v>
      </c>
      <c r="E35" s="97" t="n">
        <v>2.06</v>
      </c>
      <c r="F35" s="21" t="n"/>
      <c r="G35" s="3" t="n">
        <v>45847</v>
      </c>
      <c r="H35" s="1" t="inlineStr">
        <is>
          <t>USD</t>
        </is>
      </c>
      <c r="I35" s="2" t="n">
        <v>2.5</v>
      </c>
      <c r="J35" s="2" t="n">
        <v>0</v>
      </c>
      <c r="K35" s="97" t="n">
        <v>2.5</v>
      </c>
      <c r="M35" s="3" t="n">
        <v>45847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T35" s="25" t="n"/>
      <c r="U35" s="25" t="n"/>
      <c r="V35" s="25" t="n"/>
    </row>
    <row r="36" ht="15.75" customHeight="1" s="73" thickBot="1">
      <c r="A36" s="3" t="n">
        <v>46031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46031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M36" s="3" t="n">
        <v>46031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46212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46212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M37" s="3" t="n">
        <v>46212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46396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46396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46396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46577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46577</v>
      </c>
      <c r="H39" s="1" t="inlineStr">
        <is>
          <t>USD</t>
        </is>
      </c>
      <c r="I39" s="2" t="n">
        <v>2.5</v>
      </c>
      <c r="J39" s="2" t="n">
        <v>4.55</v>
      </c>
      <c r="K39" s="97" t="n">
        <v>7.05</v>
      </c>
      <c r="M39" s="3" t="n">
        <v>46577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46761</v>
      </c>
      <c r="B40" s="1" t="inlineStr">
        <is>
          <t>USD</t>
        </is>
      </c>
      <c r="C40" s="2" t="n">
        <v>2.38</v>
      </c>
      <c r="D40" s="2" t="n">
        <v>0</v>
      </c>
      <c r="E40" s="97" t="n">
        <v>2.38</v>
      </c>
      <c r="F40" s="21" t="n"/>
      <c r="G40" s="3" t="n">
        <v>46761</v>
      </c>
      <c r="H40" s="1" t="inlineStr">
        <is>
          <t>USD</t>
        </is>
      </c>
      <c r="I40" s="2" t="n">
        <v>2.39</v>
      </c>
      <c r="J40" s="2" t="n">
        <v>4.55</v>
      </c>
      <c r="K40" s="4" t="n">
        <v>6.94</v>
      </c>
      <c r="M40" s="3" t="n">
        <v>46761</v>
      </c>
      <c r="N40" s="1" t="inlineStr">
        <is>
          <t>USD</t>
        </is>
      </c>
      <c r="O40" s="2" t="n">
        <v>1.75</v>
      </c>
      <c r="P40" s="2" t="n">
        <v>3.57</v>
      </c>
      <c r="Q40" s="97" t="n">
        <v>5.32</v>
      </c>
      <c r="T40" s="25" t="n"/>
      <c r="U40" s="25" t="n"/>
      <c r="V40" s="25" t="n"/>
    </row>
    <row r="41" ht="15.75" customHeight="1" s="73" thickBot="1">
      <c r="A41" s="3" t="n">
        <v>46943</v>
      </c>
      <c r="B41" s="1" t="inlineStr">
        <is>
          <t>USD</t>
        </is>
      </c>
      <c r="C41" s="2" t="n">
        <v>2.38</v>
      </c>
      <c r="D41" s="2" t="n">
        <v>0</v>
      </c>
      <c r="E41" s="4" t="n">
        <v>2.38</v>
      </c>
      <c r="F41" s="21" t="n"/>
      <c r="G41" s="3" t="n">
        <v>46943</v>
      </c>
      <c r="H41" s="1" t="inlineStr">
        <is>
          <t>USD</t>
        </is>
      </c>
      <c r="I41" s="2" t="n">
        <v>2.27</v>
      </c>
      <c r="J41" s="2" t="n">
        <v>4.55</v>
      </c>
      <c r="K41" s="4" t="n">
        <v>6.82</v>
      </c>
      <c r="M41" s="3" t="n">
        <v>46943</v>
      </c>
      <c r="N41" s="1" t="inlineStr">
        <is>
          <t>USD</t>
        </is>
      </c>
      <c r="O41" s="2" t="n">
        <v>1.69</v>
      </c>
      <c r="P41" s="2" t="n">
        <v>3.57</v>
      </c>
      <c r="Q41" s="4" t="n">
        <v>5.26</v>
      </c>
      <c r="T41" s="25" t="n"/>
      <c r="U41" s="25" t="n"/>
      <c r="V41" s="25" t="n"/>
    </row>
    <row r="42" ht="15.75" customHeight="1" s="73" thickBot="1">
      <c r="A42" s="3" t="n">
        <v>47127</v>
      </c>
      <c r="B42" s="1" t="inlineStr">
        <is>
          <t>USD</t>
        </is>
      </c>
      <c r="C42" s="2" t="n">
        <v>2.5</v>
      </c>
      <c r="D42" s="2" t="n">
        <v>0</v>
      </c>
      <c r="E42" s="4" t="n">
        <v>2.5</v>
      </c>
      <c r="F42" s="21" t="n"/>
      <c r="G42" s="3" t="n">
        <v>47127</v>
      </c>
      <c r="H42" s="1" t="inlineStr">
        <is>
          <t>USD</t>
        </is>
      </c>
      <c r="I42" s="2" t="n">
        <v>2.16</v>
      </c>
      <c r="J42" s="2" t="n">
        <v>4.55</v>
      </c>
      <c r="K42" s="4" t="n">
        <v>6.71</v>
      </c>
      <c r="M42" s="3" t="n">
        <v>47127</v>
      </c>
      <c r="N42" s="1" t="inlineStr">
        <is>
          <t>USD</t>
        </is>
      </c>
      <c r="O42" s="2" t="n">
        <v>1.63</v>
      </c>
      <c r="P42" s="2" t="n">
        <v>3.57</v>
      </c>
      <c r="Q42" s="4" t="n">
        <v>5.2</v>
      </c>
      <c r="T42" s="25" t="n"/>
      <c r="U42" s="25" t="n"/>
      <c r="V42" s="25" t="n"/>
    </row>
    <row r="43" ht="15.75" customHeight="1" s="73" thickBot="1">
      <c r="A43" s="3" t="n">
        <v>47308</v>
      </c>
      <c r="B43" s="1" t="inlineStr">
        <is>
          <t>USD</t>
        </is>
      </c>
      <c r="C43" s="2" t="n">
        <v>2.5</v>
      </c>
      <c r="D43" s="2" t="n">
        <v>0</v>
      </c>
      <c r="E43" s="4" t="n">
        <v>2.5</v>
      </c>
      <c r="F43" s="21" t="n"/>
      <c r="G43" s="3" t="n">
        <v>47308</v>
      </c>
      <c r="H43" s="1" t="inlineStr">
        <is>
          <t>USD</t>
        </is>
      </c>
      <c r="I43" s="2" t="n">
        <v>2.05</v>
      </c>
      <c r="J43" s="2" t="n">
        <v>4.55</v>
      </c>
      <c r="K43" s="4" t="n">
        <v>6.6</v>
      </c>
      <c r="M43" s="3" t="n">
        <v>47308</v>
      </c>
      <c r="N43" s="1" t="inlineStr">
        <is>
          <t>USD</t>
        </is>
      </c>
      <c r="O43" s="2" t="n">
        <v>1.56</v>
      </c>
      <c r="P43" s="2" t="n">
        <v>3.57</v>
      </c>
      <c r="Q43" s="4" t="n">
        <v>5.13</v>
      </c>
      <c r="T43" s="25" t="n"/>
      <c r="U43" s="25" t="n"/>
      <c r="V43" s="25" t="n"/>
    </row>
    <row r="44" ht="15.75" customHeight="1" s="73" thickBot="1">
      <c r="A44" s="3" t="n">
        <v>47492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47492</v>
      </c>
      <c r="H44" s="1" t="inlineStr">
        <is>
          <t>USD</t>
        </is>
      </c>
      <c r="I44" s="2" t="n">
        <v>1.93</v>
      </c>
      <c r="J44" s="2" t="n">
        <v>4.55</v>
      </c>
      <c r="K44" s="4" t="n">
        <v>6.48</v>
      </c>
      <c r="M44" s="3" t="n">
        <v>47492</v>
      </c>
      <c r="N44" s="1" t="inlineStr">
        <is>
          <t>USD</t>
        </is>
      </c>
      <c r="O44" s="2" t="n">
        <v>2.09</v>
      </c>
      <c r="P44" s="2" t="n">
        <v>3.57</v>
      </c>
      <c r="Q44" s="4" t="n">
        <v>5.66</v>
      </c>
      <c r="T44" s="25" t="n"/>
      <c r="U44" s="25" t="n"/>
      <c r="V44" s="25" t="n"/>
    </row>
    <row r="45" ht="15.75" customHeight="1" s="73" thickBot="1">
      <c r="A45" s="3" t="n">
        <v>47673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47673</v>
      </c>
      <c r="H45" s="1" t="inlineStr">
        <is>
          <t>USD</t>
        </is>
      </c>
      <c r="I45" s="2" t="n">
        <v>1.82</v>
      </c>
      <c r="J45" s="2" t="n">
        <v>4.55</v>
      </c>
      <c r="K45" s="4" t="n">
        <v>6.37</v>
      </c>
      <c r="M45" s="3" t="n">
        <v>47673</v>
      </c>
      <c r="N45" s="1" t="inlineStr">
        <is>
          <t>USD</t>
        </is>
      </c>
      <c r="O45" s="2" t="n">
        <v>2</v>
      </c>
      <c r="P45" s="2" t="n">
        <v>3.57</v>
      </c>
      <c r="Q45" s="4" t="n">
        <v>5.57</v>
      </c>
      <c r="T45" s="25" t="n"/>
      <c r="U45" s="25" t="n"/>
      <c r="V45" s="25" t="n"/>
    </row>
    <row r="46" ht="15.75" customHeight="1" s="73" thickBot="1">
      <c r="A46" s="3" t="n">
        <v>47857</v>
      </c>
      <c r="B46" s="1" t="inlineStr">
        <is>
          <t>USD</t>
        </is>
      </c>
      <c r="C46" s="2" t="n">
        <v>2.5</v>
      </c>
      <c r="D46" s="2" t="n">
        <v>10</v>
      </c>
      <c r="E46" s="4" t="n">
        <v>12.5</v>
      </c>
      <c r="F46" s="21" t="n"/>
      <c r="G46" s="3" t="n">
        <v>47857</v>
      </c>
      <c r="H46" s="1" t="inlineStr">
        <is>
          <t>USD</t>
        </is>
      </c>
      <c r="I46" s="2" t="n">
        <v>1.7</v>
      </c>
      <c r="J46" s="2" t="n">
        <v>4.55</v>
      </c>
      <c r="K46" s="4" t="n">
        <v>6.25</v>
      </c>
      <c r="M46" s="3" t="n">
        <v>47857</v>
      </c>
      <c r="N46" s="1" t="inlineStr">
        <is>
          <t>USD</t>
        </is>
      </c>
      <c r="O46" s="2" t="n">
        <v>1.92</v>
      </c>
      <c r="P46" s="2" t="n">
        <v>3.57</v>
      </c>
      <c r="Q46" s="4" t="n">
        <v>5.49</v>
      </c>
      <c r="T46" s="25" t="n"/>
      <c r="U46" s="25" t="n"/>
      <c r="V46" s="25" t="n"/>
    </row>
    <row r="47" ht="15.75" customHeight="1" s="73" thickBot="1">
      <c r="A47" s="3" t="n">
        <v>48038</v>
      </c>
      <c r="B47" s="1" t="inlineStr">
        <is>
          <t>USD</t>
        </is>
      </c>
      <c r="C47" s="2" t="n">
        <v>2.25</v>
      </c>
      <c r="D47" s="2" t="n">
        <v>10</v>
      </c>
      <c r="E47" s="4" t="n">
        <v>12.25</v>
      </c>
      <c r="F47" s="21" t="n"/>
      <c r="G47" s="3" t="n">
        <v>48038</v>
      </c>
      <c r="H47" s="1" t="inlineStr">
        <is>
          <t>USD</t>
        </is>
      </c>
      <c r="I47" s="2" t="n">
        <v>1.59</v>
      </c>
      <c r="J47" s="2" t="n">
        <v>4.55</v>
      </c>
      <c r="K47" s="4" t="n">
        <v>6.14</v>
      </c>
      <c r="M47" s="3" t="n">
        <v>48038</v>
      </c>
      <c r="N47" s="1" t="inlineStr">
        <is>
          <t>USD</t>
        </is>
      </c>
      <c r="O47" s="2" t="n">
        <v>1.83</v>
      </c>
      <c r="P47" s="2" t="n">
        <v>3.57</v>
      </c>
      <c r="Q47" s="4" t="n">
        <v>5.4</v>
      </c>
      <c r="T47" s="25" t="n"/>
      <c r="U47" s="25" t="n"/>
      <c r="V47" s="25" t="n"/>
    </row>
    <row r="48" ht="15.75" customHeight="1" s="73" thickBot="1">
      <c r="A48" s="3" t="n">
        <v>48222</v>
      </c>
      <c r="B48" s="1" t="inlineStr">
        <is>
          <t>USD</t>
        </is>
      </c>
      <c r="C48" s="2" t="n">
        <v>2</v>
      </c>
      <c r="D48" s="2" t="n">
        <v>10</v>
      </c>
      <c r="E48" s="4" t="n">
        <v>12</v>
      </c>
      <c r="F48" s="21" t="n"/>
      <c r="G48" s="3" t="n">
        <v>48222</v>
      </c>
      <c r="H48" s="1" t="inlineStr">
        <is>
          <t>USD</t>
        </is>
      </c>
      <c r="I48" s="2" t="n">
        <v>1.48</v>
      </c>
      <c r="J48" s="2" t="n">
        <v>4.55</v>
      </c>
      <c r="K48" s="4" t="n">
        <v>6.03</v>
      </c>
      <c r="M48" s="3" t="n">
        <v>48222</v>
      </c>
      <c r="N48" s="1" t="inlineStr">
        <is>
          <t>USD</t>
        </is>
      </c>
      <c r="O48" s="2" t="n">
        <v>1.74</v>
      </c>
      <c r="P48" s="2" t="n">
        <v>3.57</v>
      </c>
      <c r="Q48" s="4" t="n">
        <v>5.31</v>
      </c>
      <c r="T48" s="25" t="n"/>
      <c r="U48" s="25" t="n"/>
      <c r="V48" s="25" t="n"/>
    </row>
    <row r="49" ht="15.75" customHeight="1" s="73" thickBot="1">
      <c r="A49" s="3" t="n">
        <v>48404</v>
      </c>
      <c r="B49" s="1" t="inlineStr">
        <is>
          <t>USD</t>
        </is>
      </c>
      <c r="C49" s="2" t="n">
        <v>1.75</v>
      </c>
      <c r="D49" s="2" t="n">
        <v>10</v>
      </c>
      <c r="E49" s="4" t="n">
        <v>11.75</v>
      </c>
      <c r="F49" s="21" t="n"/>
      <c r="G49" s="3" t="n">
        <v>48404</v>
      </c>
      <c r="H49" s="1" t="inlineStr">
        <is>
          <t>USD</t>
        </is>
      </c>
      <c r="I49" s="2" t="n">
        <v>1.36</v>
      </c>
      <c r="J49" s="2" t="n">
        <v>4.55</v>
      </c>
      <c r="K49" s="4" t="n">
        <v>5.91</v>
      </c>
      <c r="M49" s="3" t="n">
        <v>48404</v>
      </c>
      <c r="N49" s="1" t="inlineStr">
        <is>
          <t>USD</t>
        </is>
      </c>
      <c r="O49" s="2" t="n">
        <v>1.65</v>
      </c>
      <c r="P49" s="2" t="n">
        <v>3.57</v>
      </c>
      <c r="Q49" s="4" t="n">
        <v>5.22</v>
      </c>
      <c r="T49" s="25" t="n"/>
      <c r="U49" s="25" t="n"/>
      <c r="V49" s="25" t="n"/>
    </row>
    <row r="50" ht="15.75" customHeight="1" s="73" thickBot="1">
      <c r="A50" s="3" t="n">
        <v>48588</v>
      </c>
      <c r="B50" s="1" t="inlineStr">
        <is>
          <t>USD</t>
        </is>
      </c>
      <c r="C50" s="2" t="n">
        <v>1.5</v>
      </c>
      <c r="D50" s="2" t="n">
        <v>10</v>
      </c>
      <c r="E50" s="4" t="n">
        <v>11.5</v>
      </c>
      <c r="F50" s="21" t="n"/>
      <c r="G50" s="3" t="n">
        <v>48588</v>
      </c>
      <c r="H50" s="1" t="inlineStr">
        <is>
          <t>USD</t>
        </is>
      </c>
      <c r="I50" s="2" t="n">
        <v>1.25</v>
      </c>
      <c r="J50" s="2" t="n">
        <v>4.55</v>
      </c>
      <c r="K50" s="4" t="n">
        <v>5.8</v>
      </c>
      <c r="L50" s="21" t="n"/>
      <c r="M50" s="3" t="n">
        <v>48588</v>
      </c>
      <c r="N50" s="1" t="inlineStr">
        <is>
          <t>USD</t>
        </is>
      </c>
      <c r="O50" s="2" t="n">
        <v>1.57</v>
      </c>
      <c r="P50" s="2" t="n">
        <v>3.57</v>
      </c>
      <c r="Q50" s="4" t="n">
        <v>5.14</v>
      </c>
      <c r="T50" s="25" t="n"/>
      <c r="U50" s="25" t="n"/>
      <c r="V50" s="25" t="n"/>
    </row>
    <row r="51" ht="15.75" customHeight="1" s="73" thickBot="1">
      <c r="A51" s="3" t="n">
        <v>48769</v>
      </c>
      <c r="B51" s="1" t="inlineStr">
        <is>
          <t>USD</t>
        </is>
      </c>
      <c r="C51" s="2" t="n">
        <v>1.25</v>
      </c>
      <c r="D51" s="2" t="n">
        <v>10</v>
      </c>
      <c r="E51" s="4" t="n">
        <v>11.25</v>
      </c>
      <c r="F51" s="21" t="n"/>
      <c r="G51" s="3" t="n">
        <v>48769</v>
      </c>
      <c r="H51" s="1" t="inlineStr">
        <is>
          <t>USD</t>
        </is>
      </c>
      <c r="I51" s="2" t="n">
        <v>1.14</v>
      </c>
      <c r="J51" s="2" t="n">
        <v>4.55</v>
      </c>
      <c r="K51" s="4" t="n">
        <v>5.69</v>
      </c>
      <c r="L51" s="21" t="n"/>
      <c r="M51" s="3" t="n">
        <v>48769</v>
      </c>
      <c r="N51" s="1" t="inlineStr">
        <is>
          <t>USD</t>
        </is>
      </c>
      <c r="O51" s="2" t="n">
        <v>1.48</v>
      </c>
      <c r="P51" s="2" t="n">
        <v>3.57</v>
      </c>
      <c r="Q51" s="4" t="n">
        <v>5.05</v>
      </c>
      <c r="T51" s="25" t="n"/>
      <c r="U51" s="25" t="n"/>
      <c r="V51" s="25" t="n"/>
    </row>
    <row r="52" ht="15.75" customHeight="1" s="73" thickBot="1">
      <c r="A52" s="3" t="n">
        <v>48953</v>
      </c>
      <c r="B52" s="1" t="inlineStr">
        <is>
          <t>USD</t>
        </is>
      </c>
      <c r="C52" s="2" t="n">
        <v>1</v>
      </c>
      <c r="D52" s="2" t="n">
        <v>10</v>
      </c>
      <c r="E52" s="4" t="n">
        <v>11</v>
      </c>
      <c r="F52" s="21" t="n"/>
      <c r="G52" s="3" t="n">
        <v>48953</v>
      </c>
      <c r="H52" s="1" t="inlineStr">
        <is>
          <t>USD</t>
        </is>
      </c>
      <c r="I52" s="2" t="n">
        <v>1.02</v>
      </c>
      <c r="J52" s="2" t="n">
        <v>4.55</v>
      </c>
      <c r="K52" s="4" t="n">
        <v>5.57</v>
      </c>
      <c r="L52" s="21" t="n"/>
      <c r="M52" s="3" t="n">
        <v>48953</v>
      </c>
      <c r="N52" s="1" t="inlineStr">
        <is>
          <t>USD</t>
        </is>
      </c>
      <c r="O52" s="2" t="n">
        <v>1.39</v>
      </c>
      <c r="P52" s="2" t="n">
        <v>3.57</v>
      </c>
      <c r="Q52" s="4" t="n">
        <v>4.96</v>
      </c>
      <c r="U52" s="25" t="n"/>
      <c r="V52" s="25" t="n"/>
      <c r="W52" s="25" t="n"/>
    </row>
    <row r="53" ht="15.75" customHeight="1" s="73" thickBot="1">
      <c r="A53" s="3" t="n">
        <v>49134</v>
      </c>
      <c r="B53" s="1" t="inlineStr">
        <is>
          <t>USD</t>
        </is>
      </c>
      <c r="C53" s="2" t="n">
        <v>0.75</v>
      </c>
      <c r="D53" s="2" t="n">
        <v>10</v>
      </c>
      <c r="E53" s="4" t="n">
        <v>10.75</v>
      </c>
      <c r="F53" s="21" t="n"/>
      <c r="G53" s="3" t="n">
        <v>49134</v>
      </c>
      <c r="H53" s="1" t="inlineStr">
        <is>
          <t>USD</t>
        </is>
      </c>
      <c r="I53" s="2" t="n">
        <v>0.91</v>
      </c>
      <c r="J53" s="2" t="n">
        <v>4.55</v>
      </c>
      <c r="K53" s="4" t="n">
        <v>5.46</v>
      </c>
      <c r="L53" s="21" t="n"/>
      <c r="M53" s="3" t="n">
        <v>49134</v>
      </c>
      <c r="N53" s="1" t="inlineStr">
        <is>
          <t>USD</t>
        </is>
      </c>
      <c r="O53" s="2" t="n">
        <v>1.31</v>
      </c>
      <c r="P53" s="2" t="n">
        <v>3.57</v>
      </c>
      <c r="Q53" s="4" t="n">
        <v>4.88</v>
      </c>
      <c r="U53" s="25" t="n"/>
      <c r="V53" s="25" t="n"/>
      <c r="W53" s="25" t="n"/>
    </row>
    <row r="54" ht="15.75" customHeight="1" s="73" thickBot="1">
      <c r="A54" s="3" t="n">
        <v>49318</v>
      </c>
      <c r="B54" s="1" t="inlineStr">
        <is>
          <t>USD</t>
        </is>
      </c>
      <c r="C54" s="2" t="n">
        <v>0.5</v>
      </c>
      <c r="D54" s="2" t="n">
        <v>10</v>
      </c>
      <c r="E54" s="4" t="n">
        <v>10.5</v>
      </c>
      <c r="F54" s="21" t="n"/>
      <c r="G54" s="3" t="n">
        <v>49318</v>
      </c>
      <c r="H54" s="1" t="inlineStr">
        <is>
          <t>USD</t>
        </is>
      </c>
      <c r="I54" s="2" t="n">
        <v>0.8</v>
      </c>
      <c r="J54" s="2" t="n">
        <v>4.55</v>
      </c>
      <c r="K54" s="4" t="n">
        <v>5.35</v>
      </c>
      <c r="L54" s="21" t="n"/>
      <c r="M54" s="3" t="n">
        <v>49318</v>
      </c>
      <c r="N54" s="1" t="inlineStr">
        <is>
          <t>USD</t>
        </is>
      </c>
      <c r="O54" s="2" t="n">
        <v>1.22</v>
      </c>
      <c r="P54" s="2" t="n">
        <v>3.57</v>
      </c>
      <c r="Q54" s="4" t="n">
        <v>4.79</v>
      </c>
      <c r="U54" s="25" t="n"/>
      <c r="V54" s="25" t="n"/>
      <c r="W54" s="25" t="n"/>
    </row>
    <row r="55" ht="15.75" customHeight="1" s="73" thickBot="1">
      <c r="A55" s="3" t="n">
        <v>49499</v>
      </c>
      <c r="B55" s="1" t="inlineStr">
        <is>
          <t>USD</t>
        </is>
      </c>
      <c r="C55" s="2" t="n">
        <v>0.25</v>
      </c>
      <c r="D55" s="2" t="n">
        <v>10</v>
      </c>
      <c r="E55" s="4" t="n">
        <v>10.25</v>
      </c>
      <c r="F55" s="21" t="n"/>
      <c r="G55" s="3" t="n">
        <v>49499</v>
      </c>
      <c r="H55" s="1" t="inlineStr">
        <is>
          <t>USD</t>
        </is>
      </c>
      <c r="I55" s="2" t="n">
        <v>0.68</v>
      </c>
      <c r="J55" s="2" t="n">
        <v>4.55</v>
      </c>
      <c r="K55" s="4" t="n">
        <v>5.23</v>
      </c>
      <c r="L55" s="21" t="n"/>
      <c r="M55" s="3" t="n">
        <v>49499</v>
      </c>
      <c r="N55" s="1" t="inlineStr">
        <is>
          <t>USD</t>
        </is>
      </c>
      <c r="O55" s="2" t="n">
        <v>1.13</v>
      </c>
      <c r="P55" s="2" t="n">
        <v>3.57</v>
      </c>
      <c r="Q55" s="4" t="n">
        <v>4.7</v>
      </c>
      <c r="U55" s="25" t="n"/>
      <c r="V55" s="25" t="n"/>
      <c r="W55" s="25" t="n"/>
    </row>
    <row r="56" ht="15.75" customHeight="1" s="73" thickBot="1">
      <c r="A56" s="5" t="n"/>
      <c r="B56" s="6" t="n"/>
      <c r="C56" s="7">
        <f>SUM(C33:C55)</f>
        <v/>
      </c>
      <c r="D56" s="7">
        <f>SUM(D33:D55)</f>
        <v/>
      </c>
      <c r="E56" s="8">
        <f>SUM(E33:E55)</f>
        <v/>
      </c>
      <c r="F56" s="21" t="n"/>
      <c r="G56" s="3" t="n">
        <v>49683</v>
      </c>
      <c r="H56" s="1" t="inlineStr">
        <is>
          <t>USD</t>
        </is>
      </c>
      <c r="I56" s="2" t="n">
        <v>0.57</v>
      </c>
      <c r="J56" s="2" t="n">
        <v>4.55</v>
      </c>
      <c r="K56" s="4" t="n">
        <v>5.12</v>
      </c>
      <c r="L56" s="21" t="n"/>
      <c r="M56" s="3" t="n">
        <v>49683</v>
      </c>
      <c r="N56" s="1" t="inlineStr">
        <is>
          <t>USD</t>
        </is>
      </c>
      <c r="O56" s="2" t="n">
        <v>1.04</v>
      </c>
      <c r="P56" s="2" t="n">
        <v>3.57</v>
      </c>
      <c r="Q56" s="4" t="n">
        <v>4.61</v>
      </c>
      <c r="U56" s="25" t="n"/>
      <c r="V56" s="25" t="n"/>
      <c r="W56" s="25" t="n"/>
    </row>
    <row r="57" ht="15.75" customHeight="1" s="73" thickBot="1">
      <c r="B57" s="21" t="n"/>
      <c r="F57" s="21" t="n"/>
      <c r="G57" s="3" t="n">
        <v>49865</v>
      </c>
      <c r="H57" s="1" t="inlineStr">
        <is>
          <t>USD</t>
        </is>
      </c>
      <c r="I57" s="2" t="n">
        <v>0.45</v>
      </c>
      <c r="J57" s="2" t="n">
        <v>4.55</v>
      </c>
      <c r="K57" s="4" t="n">
        <v>5</v>
      </c>
      <c r="L57" s="21" t="n"/>
      <c r="M57" s="3" t="n">
        <v>49865</v>
      </c>
      <c r="N57" s="1" t="inlineStr">
        <is>
          <t>USD</t>
        </is>
      </c>
      <c r="O57" s="2" t="n">
        <v>0.96</v>
      </c>
      <c r="P57" s="2" t="n">
        <v>3.57</v>
      </c>
      <c r="Q57" s="4" t="n">
        <v>4.53</v>
      </c>
      <c r="U57" s="25" t="n"/>
      <c r="V57" s="25" t="n"/>
      <c r="W57" s="25" t="n"/>
    </row>
    <row r="58" ht="15.75" customHeight="1" s="73" thickBot="1">
      <c r="B58" s="21" t="n"/>
      <c r="F58" s="21" t="n"/>
      <c r="G58" s="3" t="n">
        <v>50049</v>
      </c>
      <c r="H58" s="1" t="inlineStr">
        <is>
          <t>USD</t>
        </is>
      </c>
      <c r="I58" s="2" t="n">
        <v>0.34</v>
      </c>
      <c r="J58" s="2" t="n">
        <v>4.55</v>
      </c>
      <c r="K58" s="4" t="n">
        <v>4.89</v>
      </c>
      <c r="L58" s="21" t="n"/>
      <c r="M58" s="3" t="n">
        <v>50049</v>
      </c>
      <c r="N58" s="1" t="inlineStr">
        <is>
          <t>USD</t>
        </is>
      </c>
      <c r="O58" s="2" t="n">
        <v>0.87</v>
      </c>
      <c r="P58" s="2" t="n">
        <v>3.57</v>
      </c>
      <c r="Q58" s="4" t="n">
        <v>4.44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50230</v>
      </c>
      <c r="H59" s="1" t="inlineStr">
        <is>
          <t>USD</t>
        </is>
      </c>
      <c r="I59" s="2" t="n">
        <v>0.23</v>
      </c>
      <c r="J59" s="2" t="n">
        <v>4.55</v>
      </c>
      <c r="K59" s="4" t="n">
        <v>4.78</v>
      </c>
      <c r="L59" s="21" t="n"/>
      <c r="M59" s="3" t="n">
        <v>50230</v>
      </c>
      <c r="N59" s="1" t="inlineStr">
        <is>
          <t>USD</t>
        </is>
      </c>
      <c r="O59" s="2" t="n">
        <v>0.78</v>
      </c>
      <c r="P59" s="2" t="n">
        <v>3.57</v>
      </c>
      <c r="Q59" s="4" t="n">
        <v>4.35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50414</v>
      </c>
      <c r="H60" s="1" t="inlineStr">
        <is>
          <t>USD</t>
        </is>
      </c>
      <c r="I60" s="2" t="n">
        <v>0.11</v>
      </c>
      <c r="J60" s="2" t="n">
        <v>4.55</v>
      </c>
      <c r="K60" s="4" t="n">
        <v>4.66</v>
      </c>
      <c r="L60" s="21" t="n"/>
      <c r="M60" s="3" t="n">
        <v>50414</v>
      </c>
      <c r="N60" s="1" t="inlineStr">
        <is>
          <t>USD</t>
        </is>
      </c>
      <c r="O60" s="2" t="n">
        <v>0.7</v>
      </c>
      <c r="P60" s="2" t="n">
        <v>3.57</v>
      </c>
      <c r="Q60" s="4" t="n">
        <v>4.27</v>
      </c>
      <c r="U60" s="25" t="n"/>
      <c r="V60" s="25" t="n"/>
      <c r="W60" s="25" t="n"/>
    </row>
    <row r="61" ht="15.75" customHeight="1" s="73" thickBot="1">
      <c r="B61" s="21" t="n"/>
      <c r="F61" s="21" t="n"/>
      <c r="G61" s="5" t="n"/>
      <c r="H61" s="10" t="n"/>
      <c r="I61" s="7">
        <f>SUM(I33:I60)</f>
        <v/>
      </c>
      <c r="J61" s="7">
        <f>SUM(J33:J60)</f>
        <v/>
      </c>
      <c r="K61" s="8">
        <f>SUM(K33:K60)</f>
        <v/>
      </c>
      <c r="L61" s="21" t="n"/>
      <c r="M61" s="3" t="n">
        <v>50595</v>
      </c>
      <c r="N61" s="1" t="inlineStr">
        <is>
          <t>USD</t>
        </is>
      </c>
      <c r="O61" s="2" t="n">
        <v>0.61</v>
      </c>
      <c r="P61" s="2" t="n">
        <v>3.57</v>
      </c>
      <c r="Q61" s="4" t="n">
        <v>4.18</v>
      </c>
      <c r="U61" s="25" t="n"/>
      <c r="V61" s="25" t="n"/>
      <c r="W61" s="25" t="n"/>
    </row>
    <row r="62" ht="15.75" customHeight="1" s="73" thickBot="1">
      <c r="B62" s="21" t="n"/>
      <c r="F62" s="21" t="n"/>
      <c r="L62" s="21" t="n"/>
      <c r="M62" s="3" t="n">
        <v>50779</v>
      </c>
      <c r="N62" s="1" t="inlineStr">
        <is>
          <t>USD</t>
        </is>
      </c>
      <c r="O62" s="2" t="n">
        <v>0.52</v>
      </c>
      <c r="P62" s="2" t="n">
        <v>3.57</v>
      </c>
      <c r="Q62" s="4" t="n">
        <v>4.09</v>
      </c>
      <c r="U62" s="25" t="n"/>
      <c r="V62" s="25" t="n"/>
      <c r="W62" s="25" t="n"/>
    </row>
    <row r="63" ht="15.75" customHeight="1" s="73" thickBot="1">
      <c r="B63" s="21" t="n"/>
      <c r="F63" s="21" t="n"/>
      <c r="L63" s="21" t="n"/>
      <c r="M63" s="3" t="n">
        <v>50960</v>
      </c>
      <c r="N63" s="1" t="inlineStr">
        <is>
          <t>USD</t>
        </is>
      </c>
      <c r="O63" s="2" t="n">
        <v>0.44</v>
      </c>
      <c r="P63" s="2" t="n">
        <v>3.57</v>
      </c>
      <c r="Q63" s="4" t="n">
        <v>4.01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51144</v>
      </c>
      <c r="N64" s="1" t="inlineStr">
        <is>
          <t>USD</t>
        </is>
      </c>
      <c r="O64" s="2" t="n">
        <v>0.35</v>
      </c>
      <c r="P64" s="2" t="n">
        <v>3.57</v>
      </c>
      <c r="Q64" s="4" t="n">
        <v>3.92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51326</v>
      </c>
      <c r="N65" s="1" t="inlineStr">
        <is>
          <t>USD</t>
        </is>
      </c>
      <c r="O65" s="2" t="n">
        <v>0.26</v>
      </c>
      <c r="P65" s="2" t="n">
        <v>3.57</v>
      </c>
      <c r="Q65" s="4" t="n">
        <v>3.83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51510</v>
      </c>
      <c r="N66" s="1" t="inlineStr">
        <is>
          <t>USD</t>
        </is>
      </c>
      <c r="O66" s="2" t="n">
        <v>0.17</v>
      </c>
      <c r="P66" s="2" t="n">
        <v>3.57</v>
      </c>
      <c r="Q66" s="4" t="n">
        <v>3.74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51691</v>
      </c>
      <c r="N67" s="1" t="inlineStr">
        <is>
          <t>USD</t>
        </is>
      </c>
      <c r="O67" s="2" t="n">
        <v>0.09</v>
      </c>
      <c r="P67" s="2" t="n">
        <v>3.57</v>
      </c>
      <c r="Q67" s="4" t="n">
        <v>3.66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5" t="n"/>
      <c r="N68" s="10" t="n"/>
      <c r="O68" s="7">
        <f>SUM(O33:O67)</f>
        <v/>
      </c>
      <c r="P68" s="7">
        <f>SUM(P33:P67)</f>
        <v/>
      </c>
      <c r="Q68" s="8">
        <f>SUM(Q33:Q67)</f>
        <v/>
      </c>
    </row>
    <row r="69" ht="15.75" customHeight="1" s="73">
      <c r="B69" s="21" t="n"/>
      <c r="F69" s="21" t="n"/>
      <c r="L69" s="21" t="n"/>
    </row>
    <row r="70" ht="15.75" customHeight="1" s="73">
      <c r="B70" s="21" t="n"/>
    </row>
    <row r="71" ht="15.75" customHeight="1" s="73">
      <c r="B71" s="21" t="n"/>
    </row>
    <row r="72" ht="15.75" customHeight="1" s="73">
      <c r="B72" s="21" t="n"/>
      <c r="M72" s="21" t="n"/>
    </row>
    <row r="73" ht="15.75" customHeight="1" s="73">
      <c r="A73" s="22" t="n"/>
      <c r="B73" s="112" t="n"/>
      <c r="D73" s="21" t="n"/>
      <c r="E73" s="21" t="n"/>
      <c r="G73" s="21" t="n"/>
      <c r="H73" s="21" t="n"/>
      <c r="I73" s="21" t="n"/>
      <c r="J73" s="21" t="n"/>
      <c r="K73" s="21" t="n"/>
    </row>
    <row r="74" ht="15.75" customHeight="1" s="73">
      <c r="A74" s="22" t="n"/>
      <c r="B74" s="112" t="n"/>
      <c r="D74" s="21" t="n"/>
      <c r="E74" s="21" t="n"/>
      <c r="G74" s="21" t="n"/>
      <c r="H74" s="21" t="n"/>
      <c r="I74" s="21" t="n"/>
      <c r="J74" s="21" t="n"/>
      <c r="K74" s="21" t="n"/>
    </row>
    <row r="75" ht="15.75" customHeight="1" s="73">
      <c r="A75" s="22" t="n"/>
      <c r="B75" s="112" t="n"/>
      <c r="D75" s="21" t="n"/>
      <c r="E75" s="21" t="n"/>
      <c r="F75" s="21" t="n"/>
      <c r="G75" s="21" t="n"/>
      <c r="H75" s="21" t="n"/>
      <c r="I75" s="21" t="n"/>
      <c r="J75" s="21" t="n"/>
      <c r="K75" s="21" t="n"/>
      <c r="L75" s="21" t="n"/>
    </row>
    <row r="76" ht="15.75" customHeight="1" s="73">
      <c r="A76" s="22" t="n"/>
      <c r="B76" s="112" t="n"/>
      <c r="D76" s="21" t="n"/>
      <c r="E76" s="21" t="n"/>
      <c r="F76" s="21" t="n"/>
      <c r="G76" s="21" t="n"/>
      <c r="H76" s="21" t="n"/>
      <c r="I76" s="21" t="n"/>
      <c r="J76" s="21" t="n"/>
      <c r="K76" s="21" t="n"/>
      <c r="L76" s="21" t="n"/>
    </row>
    <row r="77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>
      <c r="A78" s="23" t="n"/>
      <c r="B78" s="21" t="n"/>
      <c r="C78" s="21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B79" s="21" t="n"/>
      <c r="C79" s="21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B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L96" s="21" t="n"/>
    </row>
    <row r="97">
      <c r="B97" s="21" t="n"/>
      <c r="F97" s="21" t="n"/>
      <c r="L97" s="21" t="n"/>
    </row>
    <row r="98">
      <c r="B98" s="21" t="n"/>
    </row>
    <row r="99">
      <c r="B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F7" workbookViewId="0">
      <selection activeCell="L34" sqref="L34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usd'!B11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usd'!F11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45300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7" t="n">
        <v>0.38</v>
      </c>
      <c r="R10">
        <f>O10/-Q9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7" t="n">
        <v>0.38</v>
      </c>
    </row>
    <row r="11" ht="15.75" customHeight="1" s="73" thickBot="1">
      <c r="A11" s="3" t="n">
        <v>45482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7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7" t="n">
        <v>4.38</v>
      </c>
    </row>
    <row r="12" ht="15.75" customHeight="1" s="73" thickBot="1">
      <c r="A12" s="3" t="n">
        <v>45666</v>
      </c>
      <c r="B12" s="1" t="inlineStr">
        <is>
          <t>USD</t>
        </is>
      </c>
      <c r="C12" s="38" t="n">
        <v>0.5</v>
      </c>
      <c r="D12" s="2" t="n">
        <v>10</v>
      </c>
      <c r="E12" s="96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7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7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7" t="n">
        <v>8.359999999999999</v>
      </c>
    </row>
    <row r="13" ht="15.75" customHeight="1" s="73" thickBot="1">
      <c r="A13" s="3" t="n">
        <v>45847</v>
      </c>
      <c r="B13" s="1" t="inlineStr">
        <is>
          <t>USD</t>
        </is>
      </c>
      <c r="C13" s="38" t="n">
        <v>0.45</v>
      </c>
      <c r="D13" s="2" t="n">
        <v>10</v>
      </c>
      <c r="E13" s="96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7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7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7" t="n">
        <v>8.33</v>
      </c>
    </row>
    <row r="14" ht="15.75" customHeight="1" s="73" thickBot="1">
      <c r="A14" s="3" t="n">
        <v>46031</v>
      </c>
      <c r="B14" s="1" t="inlineStr">
        <is>
          <t>USD</t>
        </is>
      </c>
      <c r="C14" s="38" t="n">
        <v>0.4</v>
      </c>
      <c r="D14" s="2" t="n">
        <v>10</v>
      </c>
      <c r="E14" s="41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7" t="n">
        <v>8.300000000000001</v>
      </c>
    </row>
    <row r="15" ht="15.75" customHeight="1" s="73" thickBot="1">
      <c r="A15" s="3" t="n">
        <v>46212</v>
      </c>
      <c r="B15" s="1" t="inlineStr">
        <is>
          <t>USD</t>
        </is>
      </c>
      <c r="C15" s="38" t="n">
        <v>0.35</v>
      </c>
      <c r="D15" s="2" t="n">
        <v>10</v>
      </c>
      <c r="E15" s="41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3" thickBot="1">
      <c r="A16" s="3" t="n">
        <v>46396</v>
      </c>
      <c r="B16" s="1" t="inlineStr">
        <is>
          <t>USD</t>
        </is>
      </c>
      <c r="C16" s="38" t="n">
        <v>0.3</v>
      </c>
      <c r="D16" s="2" t="n">
        <v>10</v>
      </c>
      <c r="E16" s="41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3" thickBot="1">
      <c r="A17" s="3" t="n">
        <v>46577</v>
      </c>
      <c r="B17" s="1" t="inlineStr">
        <is>
          <t>USD</t>
        </is>
      </c>
      <c r="C17" s="38" t="n">
        <v>0.25</v>
      </c>
      <c r="D17" s="2" t="n">
        <v>10</v>
      </c>
      <c r="E17" s="41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3" thickBot="1">
      <c r="A18" s="3" t="n">
        <v>46761</v>
      </c>
      <c r="B18" s="1" t="inlineStr">
        <is>
          <t>USD</t>
        </is>
      </c>
      <c r="C18" s="38" t="n">
        <v>0.2</v>
      </c>
      <c r="D18" s="2" t="n">
        <v>10</v>
      </c>
      <c r="E18" s="41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3" thickBot="1">
      <c r="A19" s="3" t="n">
        <v>46943</v>
      </c>
      <c r="B19" s="1" t="inlineStr">
        <is>
          <t>USD</t>
        </is>
      </c>
      <c r="C19" s="38" t="n">
        <v>0.15</v>
      </c>
      <c r="D19" s="2" t="n">
        <v>10</v>
      </c>
      <c r="E19" s="41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3" thickBot="1">
      <c r="A20" s="3" t="n">
        <v>47127</v>
      </c>
      <c r="B20" s="1" t="inlineStr">
        <is>
          <t>USD</t>
        </is>
      </c>
      <c r="C20" s="38" t="n">
        <v>0.1</v>
      </c>
      <c r="D20" s="2" t="n">
        <v>10</v>
      </c>
      <c r="E20" s="41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3" thickBot="1">
      <c r="A21" s="3" t="n">
        <v>47308</v>
      </c>
      <c r="B21" s="1" t="inlineStr">
        <is>
          <t>USD</t>
        </is>
      </c>
      <c r="C21" s="38" t="n">
        <v>0.05</v>
      </c>
      <c r="D21" s="2" t="n">
        <v>10</v>
      </c>
      <c r="E21" s="41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5" t="n"/>
      <c r="B22" s="6" t="n"/>
      <c r="C22" s="39">
        <f>SUM(C10:C21)</f>
        <v/>
      </c>
      <c r="D22" s="7">
        <f>SUM(D10:D21)</f>
        <v/>
      </c>
      <c r="E22" s="42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3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3" thickBot="1">
      <c r="B24" s="21" t="n"/>
      <c r="F24" s="114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3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5" t="n"/>
      <c r="P25" s="25" t="n"/>
      <c r="Q25" s="25" t="n"/>
      <c r="U25" s="25" t="n"/>
      <c r="V25" s="25" t="n"/>
      <c r="W25" s="25" t="n"/>
    </row>
    <row r="26" ht="15.75" customHeight="1" s="73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5" t="n"/>
      <c r="V26" s="25" t="n"/>
      <c r="W26" s="25" t="n"/>
    </row>
    <row r="27" ht="15.75" customHeight="1" s="73">
      <c r="A27" s="30" t="inlineStr">
        <is>
          <t>TASA</t>
        </is>
      </c>
      <c r="B27" s="21" t="n">
        <v>1</v>
      </c>
      <c r="C27" s="26" t="n"/>
      <c r="D27" s="26" t="n"/>
      <c r="E27" s="27" t="n"/>
      <c r="F27" s="21" t="n"/>
      <c r="G27" s="30" t="inlineStr">
        <is>
          <t>TASA</t>
        </is>
      </c>
      <c r="H27" s="21" t="n">
        <v>0.125</v>
      </c>
      <c r="I27" s="26" t="n"/>
      <c r="J27" s="26" t="n"/>
      <c r="K27" s="27" t="n"/>
      <c r="L27" s="21" t="n"/>
      <c r="M27" s="30" t="inlineStr">
        <is>
          <t>TASA</t>
        </is>
      </c>
      <c r="N27" s="21" t="n">
        <v>1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inicio</t>
        </is>
      </c>
      <c r="B28" s="23" t="n">
        <v>44076</v>
      </c>
      <c r="C28" s="26" t="n"/>
      <c r="D28" s="26" t="n"/>
      <c r="E28" s="27" t="n"/>
      <c r="F28" s="21" t="n"/>
      <c r="G28" s="30" t="inlineStr">
        <is>
          <t>Fecha inicio</t>
        </is>
      </c>
      <c r="H28" s="23" t="n">
        <v>44076</v>
      </c>
      <c r="I28" s="26" t="n"/>
      <c r="J28" s="26" t="n"/>
      <c r="K28" s="27" t="n"/>
      <c r="L28" s="21" t="n"/>
      <c r="M28" s="30" t="inlineStr">
        <is>
          <t>Fecha inicio</t>
        </is>
      </c>
      <c r="N28" s="23" t="n">
        <v>44076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ultimo pago</t>
        </is>
      </c>
      <c r="B29" s="23" t="n">
        <v>44570</v>
      </c>
      <c r="C29" s="26" t="n"/>
      <c r="D29" s="26" t="n"/>
      <c r="E29" s="27" t="n"/>
      <c r="F29" s="21" t="n"/>
      <c r="G29" s="30" t="inlineStr">
        <is>
          <t>Fecha ultimo pago</t>
        </is>
      </c>
      <c r="H29" s="23" t="n">
        <v>44570</v>
      </c>
      <c r="I29" s="26" t="n"/>
      <c r="J29" s="26" t="n"/>
      <c r="K29" s="27" t="n"/>
      <c r="M29" s="30" t="inlineStr">
        <is>
          <t>Fecha ultimo pago</t>
        </is>
      </c>
      <c r="N29" s="23" t="n">
        <v>44570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Interes</t>
        </is>
      </c>
      <c r="B30" s="31" t="n">
        <v>0.00125</v>
      </c>
      <c r="C30" s="26" t="n"/>
      <c r="D30" s="26" t="n"/>
      <c r="E30" s="27" t="n"/>
      <c r="F30" s="21" t="n"/>
      <c r="G30" s="30" t="inlineStr">
        <is>
          <t>Interes</t>
        </is>
      </c>
      <c r="H30" s="31" t="n">
        <v>0.00125</v>
      </c>
      <c r="I30" s="26" t="n"/>
      <c r="J30" s="26" t="n"/>
      <c r="K30" s="27" t="n"/>
      <c r="M30" s="30" t="inlineStr">
        <is>
          <t>Interes</t>
        </is>
      </c>
      <c r="N30" s="31" t="n">
        <v>0.00125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VR</t>
        </is>
      </c>
      <c r="B31" s="21" t="n">
        <v>100</v>
      </c>
      <c r="C31" s="26" t="n"/>
      <c r="D31" s="26" t="n"/>
      <c r="E31" s="27" t="n"/>
      <c r="F31" s="21" t="n"/>
      <c r="G31" s="30" t="inlineStr">
        <is>
          <t>VR</t>
        </is>
      </c>
      <c r="H31" s="21" t="n">
        <v>100</v>
      </c>
      <c r="I31" s="26" t="n"/>
      <c r="J31" s="26" t="n"/>
      <c r="K31" s="27" t="n"/>
      <c r="M31" s="30" t="inlineStr">
        <is>
          <t>VR</t>
        </is>
      </c>
      <c r="N31" s="21" t="n">
        <v>100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 Corrido</t>
        </is>
      </c>
      <c r="B32" s="45">
        <f>B30*DAYS360(B29,TODAY())/360*100</f>
        <v/>
      </c>
      <c r="C32" s="26" t="n"/>
      <c r="D32" s="26" t="n"/>
      <c r="E32" s="27" t="n"/>
      <c r="F32" s="21" t="n">
        <v>161</v>
      </c>
      <c r="G32" s="30" t="inlineStr">
        <is>
          <t>Int Corrido</t>
        </is>
      </c>
      <c r="H32" s="45">
        <f>H30*DAYS360(H29,TODAY())/360*100</f>
        <v/>
      </c>
      <c r="I32" s="26" t="n"/>
      <c r="J32" s="26" t="n"/>
      <c r="K32" s="27" t="n"/>
      <c r="L32" t="n">
        <v>143</v>
      </c>
      <c r="M32" s="30" t="inlineStr">
        <is>
          <t>Int Corrido</t>
        </is>
      </c>
      <c r="N32" s="45">
        <f>N30*DAYS360(N28,TODAY())/360*100</f>
        <v/>
      </c>
      <c r="O32" s="26" t="n"/>
      <c r="P32" s="26" t="n"/>
      <c r="Q32" s="27" t="n"/>
      <c r="T32" s="25" t="n"/>
      <c r="U32" s="25" t="n"/>
      <c r="V32" s="25" t="n"/>
    </row>
    <row r="33" ht="18.75" customHeight="1" s="73" thickBot="1">
      <c r="A33" s="30" t="inlineStr">
        <is>
          <t>Valor Tecnico</t>
        </is>
      </c>
      <c r="B33" s="45">
        <f>B31+B32</f>
        <v/>
      </c>
      <c r="C33" s="26" t="n"/>
      <c r="D33" s="26" t="n"/>
      <c r="E33" s="95" t="n">
        <v>-18.05</v>
      </c>
      <c r="F33" s="21" t="n"/>
      <c r="G33" s="30" t="inlineStr">
        <is>
          <t>Valor Tecnico</t>
        </is>
      </c>
      <c r="H33" s="45">
        <f>H31+H32</f>
        <v/>
      </c>
      <c r="I33" s="26" t="n"/>
      <c r="J33" s="26" t="n"/>
      <c r="K33" s="113">
        <f>-'Paridad usd'!L11</f>
        <v/>
      </c>
      <c r="L33" t="n">
        <v>143</v>
      </c>
      <c r="M33" s="30" t="inlineStr">
        <is>
          <t>Valor Tecnico</t>
        </is>
      </c>
      <c r="N33" s="45">
        <f>N31+N32</f>
        <v/>
      </c>
      <c r="O33" s="26" t="n"/>
      <c r="P33" s="26" t="n"/>
      <c r="Q33" s="95" t="n">
        <v>-22.7</v>
      </c>
      <c r="T33" s="25" t="n"/>
      <c r="U33" s="25" t="n"/>
      <c r="V33" s="25" t="n"/>
    </row>
    <row r="34" ht="18.75" customHeight="1" s="73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7" t="n">
        <v>1.81</v>
      </c>
      <c r="F34" s="21">
        <f>F32*C34/100</f>
        <v/>
      </c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7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7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7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R34*#REF!/100</f>
        <v/>
      </c>
      <c r="T35" s="25" t="n"/>
      <c r="U35" s="25" t="n"/>
      <c r="V35" s="25" t="n"/>
    </row>
    <row r="36" ht="19.5" customHeight="1" s="73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7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7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7" t="n">
        <v>5.32</v>
      </c>
      <c r="T42" s="25" t="n"/>
      <c r="U42" s="25" t="n"/>
      <c r="V42" s="25" t="n"/>
    </row>
    <row r="43" ht="15.75" customHeight="1" s="73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5" t="n"/>
      <c r="U43" s="25" t="n"/>
      <c r="V43" s="25" t="n"/>
    </row>
    <row r="44" ht="15.75" customHeight="1" s="73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5" t="n"/>
      <c r="U44" s="25" t="n"/>
      <c r="V44" s="25" t="n"/>
    </row>
    <row r="45" ht="15.75" customHeight="1" s="73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5" t="n"/>
      <c r="U45" s="25" t="n"/>
      <c r="V45" s="25" t="n"/>
    </row>
    <row r="46" ht="15.75" customHeight="1" s="73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5" t="n"/>
      <c r="U46" s="25" t="n"/>
      <c r="V46" s="25" t="n"/>
    </row>
    <row r="47" ht="15.75" customHeight="1" s="73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5" t="n"/>
      <c r="U47" s="25" t="n"/>
      <c r="V47" s="25" t="n"/>
    </row>
    <row r="48" ht="15.75" customHeight="1" s="73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5" t="n"/>
      <c r="U48" s="25" t="n"/>
      <c r="V48" s="25" t="n"/>
    </row>
    <row r="49" ht="15.75" customHeight="1" s="73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5" t="n"/>
      <c r="U49" s="25" t="n"/>
      <c r="V49" s="25" t="n"/>
    </row>
    <row r="50" ht="15.75" customHeight="1" s="73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5" t="n"/>
      <c r="U50" s="25" t="n"/>
      <c r="V50" s="25" t="n"/>
    </row>
    <row r="51" ht="15.75" customHeight="1" s="73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5" t="n"/>
      <c r="U51" s="25" t="n"/>
      <c r="V51" s="25" t="n"/>
    </row>
    <row r="52" ht="15.75" customHeight="1" s="73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5" t="n"/>
      <c r="U52" s="25" t="n"/>
      <c r="V52" s="25" t="n"/>
    </row>
    <row r="53" ht="15.75" customHeight="1" s="73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5" t="n"/>
      <c r="U53" s="25" t="n"/>
      <c r="V53" s="25" t="n"/>
    </row>
    <row r="54" ht="15.75" customHeight="1" s="73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5" t="n"/>
      <c r="V54" s="25" t="n"/>
      <c r="W54" s="25" t="n"/>
    </row>
    <row r="55" ht="15.75" customHeight="1" s="73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5" t="n"/>
      <c r="V55" s="25" t="n"/>
      <c r="W55" s="25" t="n"/>
    </row>
    <row r="56" ht="15.75" customHeight="1" s="73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5" t="n"/>
      <c r="V56" s="25" t="n"/>
      <c r="W56" s="25" t="n"/>
    </row>
    <row r="57" ht="15.75" customHeight="1" s="73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5" t="n"/>
      <c r="V57" s="25" t="n"/>
      <c r="W57" s="25" t="n"/>
    </row>
    <row r="58" ht="15.75" customHeight="1" s="73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5" t="n"/>
      <c r="V62" s="25" t="n"/>
      <c r="W62" s="25" t="n"/>
    </row>
    <row r="63" ht="15.75" customHeight="1" s="73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3">
      <c r="B71" s="21" t="n"/>
      <c r="F71" s="21" t="n"/>
      <c r="L71" s="21" t="n"/>
    </row>
    <row r="72" ht="15.75" customHeight="1" s="73">
      <c r="B72" s="21" t="n"/>
    </row>
    <row r="73" ht="15.75" customHeight="1" s="73">
      <c r="B73" s="21" t="n"/>
    </row>
    <row r="74" ht="15.75" customHeight="1" s="73">
      <c r="B74" s="21" t="n"/>
      <c r="M74" s="21" t="n"/>
    </row>
    <row r="75" ht="15.75" customHeight="1" s="73">
      <c r="A75" s="22" t="n"/>
      <c r="B75" s="112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3">
      <c r="A76" s="22" t="n"/>
      <c r="B76" s="112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3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3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workbookViewId="0">
      <selection activeCell="F32" sqref="F32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>
        <v>31721</v>
      </c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R9" t="n">
        <v>20197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45116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45300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7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7" t="n">
        <v>0.38</v>
      </c>
    </row>
    <row r="12" ht="15.75" customHeight="1" s="73" thickBot="1">
      <c r="A12" s="3" t="n">
        <v>45482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7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7" t="n">
        <v>4.38</v>
      </c>
    </row>
    <row r="13" ht="15.75" customHeight="1" s="73" thickBot="1">
      <c r="A13" s="3" t="n">
        <v>45666</v>
      </c>
      <c r="B13" s="1" t="inlineStr">
        <is>
          <t>USD</t>
        </is>
      </c>
      <c r="C13" s="38" t="n">
        <v>0.5</v>
      </c>
      <c r="D13" s="2" t="n">
        <v>10</v>
      </c>
      <c r="E13" s="96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7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7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7" t="n">
        <v>8.359999999999999</v>
      </c>
    </row>
    <row r="14" ht="15.75" customHeight="1" s="73" thickBot="1">
      <c r="A14" s="3" t="n">
        <v>45847</v>
      </c>
      <c r="B14" s="1" t="inlineStr">
        <is>
          <t>USD</t>
        </is>
      </c>
      <c r="C14" s="38" t="n">
        <v>0.45</v>
      </c>
      <c r="D14" s="2" t="n">
        <v>10</v>
      </c>
      <c r="E14" s="96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7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7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7" t="n">
        <v>8.33</v>
      </c>
    </row>
    <row r="15" ht="15.75" customHeight="1" s="73" thickBot="1">
      <c r="A15" s="3" t="n">
        <v>46031</v>
      </c>
      <c r="B15" s="1" t="inlineStr">
        <is>
          <t>USD</t>
        </is>
      </c>
      <c r="C15" s="38" t="n">
        <v>0.4</v>
      </c>
      <c r="D15" s="2" t="n">
        <v>10</v>
      </c>
      <c r="E15" s="41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7" t="n">
        <v>8.300000000000001</v>
      </c>
    </row>
    <row r="16" ht="15.75" customHeight="1" s="73" thickBot="1">
      <c r="A16" s="3" t="n">
        <v>46212</v>
      </c>
      <c r="B16" s="1" t="inlineStr">
        <is>
          <t>USD</t>
        </is>
      </c>
      <c r="C16" s="38" t="n">
        <v>0.35</v>
      </c>
      <c r="D16" s="2" t="n">
        <v>10</v>
      </c>
      <c r="E16" s="41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3" thickBot="1">
      <c r="A17" s="3" t="n">
        <v>46396</v>
      </c>
      <c r="B17" s="1" t="inlineStr">
        <is>
          <t>USD</t>
        </is>
      </c>
      <c r="C17" s="38" t="n">
        <v>0.3</v>
      </c>
      <c r="D17" s="2" t="n">
        <v>10</v>
      </c>
      <c r="E17" s="41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3" thickBot="1">
      <c r="A18" s="3" t="n">
        <v>46577</v>
      </c>
      <c r="B18" s="1" t="inlineStr">
        <is>
          <t>USD</t>
        </is>
      </c>
      <c r="C18" s="38" t="n">
        <v>0.25</v>
      </c>
      <c r="D18" s="2" t="n">
        <v>10</v>
      </c>
      <c r="E18" s="41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3" thickBot="1">
      <c r="A19" s="3" t="n">
        <v>46761</v>
      </c>
      <c r="B19" s="1" t="inlineStr">
        <is>
          <t>USD</t>
        </is>
      </c>
      <c r="C19" s="38" t="n">
        <v>0.2</v>
      </c>
      <c r="D19" s="2" t="n">
        <v>10</v>
      </c>
      <c r="E19" s="41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3" thickBot="1">
      <c r="A20" s="3" t="n">
        <v>46943</v>
      </c>
      <c r="B20" s="1" t="inlineStr">
        <is>
          <t>USD</t>
        </is>
      </c>
      <c r="C20" s="38" t="n">
        <v>0.15</v>
      </c>
      <c r="D20" s="2" t="n">
        <v>10</v>
      </c>
      <c r="E20" s="41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3" thickBot="1">
      <c r="A21" s="3" t="n">
        <v>47127</v>
      </c>
      <c r="B21" s="1" t="inlineStr">
        <is>
          <t>USD</t>
        </is>
      </c>
      <c r="C21" s="38" t="n">
        <v>0.1</v>
      </c>
      <c r="D21" s="2" t="n">
        <v>10</v>
      </c>
      <c r="E21" s="41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3" thickBot="1">
      <c r="A22" s="3" t="n">
        <v>47308</v>
      </c>
      <c r="B22" s="1" t="inlineStr">
        <is>
          <t>USD</t>
        </is>
      </c>
      <c r="C22" s="38" t="n">
        <v>0.05</v>
      </c>
      <c r="D22" s="2" t="n">
        <v>10</v>
      </c>
      <c r="E22" s="41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5" t="n"/>
      <c r="B23" s="6" t="n"/>
      <c r="C23" s="39">
        <f>SUM(C10:C22)</f>
        <v/>
      </c>
      <c r="D23" s="7">
        <f>SUM(D10:D22)</f>
        <v/>
      </c>
      <c r="E23" s="42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3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3" thickBot="1">
      <c r="B25" s="21" t="n"/>
      <c r="D25" s="112" t="n"/>
      <c r="F25" s="21">
        <f>L25/(F30/100)</f>
        <v/>
      </c>
      <c r="G25" s="21" t="n"/>
      <c r="H25" s="21" t="n"/>
      <c r="I25" s="21" t="n"/>
      <c r="J25" s="21" t="n">
        <v>1000</v>
      </c>
      <c r="K25" s="21" t="n"/>
      <c r="L25" s="21">
        <f>J25*(L30/100)</f>
        <v/>
      </c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5" t="n"/>
      <c r="P26" s="25" t="n"/>
      <c r="Q26" s="25" t="n"/>
      <c r="U26" s="25" t="n"/>
      <c r="V26" s="25" t="n"/>
      <c r="W26" s="25" t="n"/>
    </row>
    <row r="27" ht="15.75" customHeight="1" s="73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5" t="n"/>
      <c r="V27" s="25" t="n"/>
      <c r="W27" s="25" t="n"/>
    </row>
    <row r="28" ht="15.75" customHeight="1" s="73">
      <c r="A28" s="30" t="inlineStr">
        <is>
          <t>TASA</t>
        </is>
      </c>
      <c r="B28" s="21" t="n">
        <v>1</v>
      </c>
      <c r="C28" s="26" t="n"/>
      <c r="D28" s="26" t="n"/>
      <c r="E28" s="27" t="n"/>
      <c r="F28" s="21" t="n"/>
      <c r="G28" s="30" t="inlineStr">
        <is>
          <t>TASA</t>
        </is>
      </c>
      <c r="H28" s="21" t="n">
        <v>0.125</v>
      </c>
      <c r="I28" s="26" t="n"/>
      <c r="J28" s="26" t="n"/>
      <c r="K28" s="27" t="n"/>
      <c r="L28" s="21" t="n"/>
      <c r="M28" s="30" t="inlineStr">
        <is>
          <t>TASA</t>
        </is>
      </c>
      <c r="N28" s="21" t="n">
        <v>1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inicio</t>
        </is>
      </c>
      <c r="B29" s="23" t="n">
        <v>44076</v>
      </c>
      <c r="C29" s="26" t="n"/>
      <c r="D29" s="26" t="n"/>
      <c r="E29" s="27" t="n"/>
      <c r="F29" s="21" t="n"/>
      <c r="G29" s="30" t="inlineStr">
        <is>
          <t>Fecha inicio</t>
        </is>
      </c>
      <c r="H29" s="23" t="n">
        <v>44076</v>
      </c>
      <c r="I29" s="26" t="n"/>
      <c r="J29" s="26" t="n"/>
      <c r="K29" s="27" t="n"/>
      <c r="M29" s="30" t="inlineStr">
        <is>
          <t>Fecha inicio</t>
        </is>
      </c>
      <c r="N29" s="23" t="n">
        <v>44076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Fecha ultimo pago</t>
        </is>
      </c>
      <c r="B30" s="23" t="n">
        <v>44570</v>
      </c>
      <c r="C30" s="26" t="n"/>
      <c r="D30" s="26" t="n"/>
      <c r="E30" s="27" t="n"/>
      <c r="F30" s="21">
        <f>'Paridad usd'!J11</f>
        <v/>
      </c>
      <c r="G30" s="30" t="inlineStr">
        <is>
          <t>Fecha ultimo pago</t>
        </is>
      </c>
      <c r="H30" s="23" t="n">
        <v>44570</v>
      </c>
      <c r="I30" s="26" t="n"/>
      <c r="J30" s="26" t="n"/>
      <c r="K30" s="27" t="n"/>
      <c r="L30" s="21">
        <f>'Paridad usd'!L11</f>
        <v/>
      </c>
      <c r="M30" s="30" t="inlineStr">
        <is>
          <t>Fecha ultimo pago</t>
        </is>
      </c>
      <c r="N30" s="23" t="n">
        <v>44570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Interes</t>
        </is>
      </c>
      <c r="B31" s="31" t="n">
        <v>0.00125</v>
      </c>
      <c r="C31" s="26" t="n"/>
      <c r="D31" s="26" t="n"/>
      <c r="E31" s="27" t="n"/>
      <c r="F31" s="21" t="n"/>
      <c r="G31" s="30" t="inlineStr">
        <is>
          <t>Interes</t>
        </is>
      </c>
      <c r="H31" s="31" t="n">
        <v>0.00125</v>
      </c>
      <c r="I31" s="26" t="n"/>
      <c r="J31" s="26" t="n"/>
      <c r="K31" s="27" t="n"/>
      <c r="M31" s="30" t="inlineStr">
        <is>
          <t>Interes</t>
        </is>
      </c>
      <c r="N31" s="31" t="n">
        <v>0.00125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VR</t>
        </is>
      </c>
      <c r="B32" s="21" t="n">
        <v>100</v>
      </c>
      <c r="C32" s="26" t="n"/>
      <c r="D32" s="26" t="n"/>
      <c r="E32" s="27" t="n"/>
      <c r="F32" s="21" t="n"/>
      <c r="G32" s="30" t="inlineStr">
        <is>
          <t>VR</t>
        </is>
      </c>
      <c r="H32" s="21" t="n">
        <v>100</v>
      </c>
      <c r="I32" s="26" t="n"/>
      <c r="J32" s="26" t="n"/>
      <c r="K32" s="27" t="n"/>
      <c r="M32" s="30" t="inlineStr">
        <is>
          <t>VR</t>
        </is>
      </c>
      <c r="N32" s="21" t="n">
        <v>100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 Corrido</t>
        </is>
      </c>
      <c r="B33" s="45">
        <f>B31*DAYS360(B30,TODAY())/360*100</f>
        <v/>
      </c>
      <c r="C33" s="26" t="n"/>
      <c r="D33" s="26" t="n"/>
      <c r="E33" s="27" t="n"/>
      <c r="F33" s="21" t="n"/>
      <c r="G33" s="30" t="inlineStr">
        <is>
          <t>Int Corrido</t>
        </is>
      </c>
      <c r="H33" s="45">
        <f>H31*DAYS360(H30,TODAY())/360*100</f>
        <v/>
      </c>
      <c r="I33" s="26" t="n"/>
      <c r="J33" s="26" t="n"/>
      <c r="K33" s="27" t="n"/>
      <c r="M33" s="30" t="inlineStr">
        <is>
          <t>Int Corrido</t>
        </is>
      </c>
      <c r="N33" s="45">
        <f>N31*DAYS360(N29,TODAY())/360*100</f>
        <v/>
      </c>
      <c r="O33" s="26" t="n"/>
      <c r="P33" s="26" t="n"/>
      <c r="Q33" s="27" t="n"/>
      <c r="T33" s="25" t="n"/>
      <c r="U33" s="25" t="n"/>
      <c r="V33" s="25" t="n"/>
    </row>
    <row r="34" ht="18.75" customHeight="1" s="73" thickBot="1">
      <c r="A34" s="30" t="inlineStr">
        <is>
          <t>Valor Tecnico</t>
        </is>
      </c>
      <c r="B34" s="45">
        <f>B32+B33</f>
        <v/>
      </c>
      <c r="C34" s="26" t="n"/>
      <c r="D34" s="26" t="n"/>
      <c r="E34" s="95" t="n">
        <v>-18.05</v>
      </c>
      <c r="F34" s="21" t="n"/>
      <c r="G34" s="30" t="inlineStr">
        <is>
          <t>Valor Tecnico</t>
        </is>
      </c>
      <c r="H34" s="45">
        <f>H32+H33</f>
        <v/>
      </c>
      <c r="I34" s="26" t="n"/>
      <c r="J34" s="26" t="n"/>
      <c r="K34" s="95" t="n">
        <v>-23.1</v>
      </c>
      <c r="M34" s="30" t="inlineStr">
        <is>
          <t>Valor Tecnico</t>
        </is>
      </c>
      <c r="N34" s="45">
        <f>N32+N33</f>
        <v/>
      </c>
      <c r="O34" s="26" t="n"/>
      <c r="P34" s="26" t="n"/>
      <c r="Q34" s="95" t="n">
        <v>-22.7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7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7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R34*O35/100</f>
        <v/>
      </c>
      <c r="T35" s="25" t="n"/>
      <c r="U35" s="25" t="n"/>
      <c r="V35" s="25" t="n"/>
    </row>
    <row r="36" ht="19.5" customHeight="1" s="73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7" t="n">
        <v>1.81</v>
      </c>
      <c r="F36" s="21">
        <f>F25*C36/100</f>
        <v/>
      </c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7" t="n">
        <v>2.12</v>
      </c>
      <c r="L36">
        <f>J25*I36/100</f>
        <v/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7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7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7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7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7" t="n">
        <v>5.32</v>
      </c>
      <c r="T44" s="25" t="n"/>
      <c r="U44" s="25" t="n"/>
      <c r="V44" s="25" t="n"/>
    </row>
    <row r="45" ht="15.75" customHeight="1" s="73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5" t="n"/>
      <c r="U45" s="25" t="n"/>
      <c r="V45" s="25" t="n"/>
    </row>
    <row r="46" ht="15.75" customHeight="1" s="73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5" t="n"/>
      <c r="U46" s="25" t="n"/>
      <c r="V46" s="25" t="n"/>
    </row>
    <row r="47" ht="15.75" customHeight="1" s="73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5" t="n"/>
      <c r="U47" s="25" t="n"/>
      <c r="V47" s="25" t="n"/>
    </row>
    <row r="48" ht="15.75" customHeight="1" s="73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5" t="n"/>
      <c r="U48" s="25" t="n"/>
      <c r="V48" s="25" t="n"/>
    </row>
    <row r="49" ht="15.75" customHeight="1" s="73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5" t="n"/>
      <c r="U49" s="25" t="n"/>
      <c r="V49" s="25" t="n"/>
    </row>
    <row r="50" ht="15.75" customHeight="1" s="73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5" t="n"/>
      <c r="U50" s="25" t="n"/>
      <c r="V50" s="25" t="n"/>
    </row>
    <row r="51" ht="15.75" customHeight="1" s="73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5" t="n"/>
      <c r="U51" s="25" t="n"/>
      <c r="V51" s="25" t="n"/>
    </row>
    <row r="52" ht="15.75" customHeight="1" s="73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5" t="n"/>
      <c r="U52" s="25" t="n"/>
      <c r="V52" s="25" t="n"/>
    </row>
    <row r="53" ht="15.75" customHeight="1" s="73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5" t="n"/>
      <c r="U53" s="25" t="n"/>
      <c r="V53" s="25" t="n"/>
    </row>
    <row r="54" ht="15.75" customHeight="1" s="73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5" t="n"/>
      <c r="U54" s="25" t="n"/>
      <c r="V54" s="25" t="n"/>
    </row>
    <row r="55" ht="15.75" customHeight="1" s="73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5" t="n"/>
      <c r="V55" s="25" t="n"/>
      <c r="W55" s="25" t="n"/>
    </row>
    <row r="56" ht="15.75" customHeight="1" s="73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5" t="n"/>
      <c r="V56" s="25" t="n"/>
      <c r="W56" s="25" t="n"/>
    </row>
    <row r="57" ht="15.75" customHeight="1" s="73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5" t="n"/>
      <c r="V57" s="25" t="n"/>
      <c r="W57" s="25" t="n"/>
    </row>
    <row r="58" ht="15.75" customHeight="1" s="73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5" t="n"/>
      <c r="V58" s="25" t="n"/>
      <c r="W58" s="25" t="n"/>
    </row>
    <row r="59" ht="15.75" customHeight="1" s="73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5" t="n"/>
      <c r="V59" s="25" t="n"/>
      <c r="W59" s="25" t="n"/>
    </row>
    <row r="60" ht="15.75" customHeight="1" s="73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5" t="n"/>
      <c r="V64" s="25" t="n"/>
      <c r="W64" s="25" t="n"/>
    </row>
    <row r="65" ht="15.75" customHeight="1" s="73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3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3">
      <c r="B73" s="21" t="n"/>
    </row>
    <row r="74" ht="15.75" customHeight="1" s="73">
      <c r="B74" s="21" t="n"/>
    </row>
    <row r="75" ht="15.75" customHeight="1" s="73">
      <c r="B75" s="21" t="n"/>
    </row>
    <row r="76" ht="15.75" customHeight="1" s="73">
      <c r="B76" s="21" t="n"/>
      <c r="M76" s="21" t="n"/>
    </row>
    <row r="77" ht="15.75" customHeight="1" s="73">
      <c r="A77" s="22" t="n"/>
      <c r="B77" s="112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3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44935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45116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7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7" t="n">
        <v>0.25</v>
      </c>
    </row>
    <row r="12" ht="15.75" customHeight="1" s="73" thickBot="1">
      <c r="A12" s="3" t="n">
        <v>45300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7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7" t="n">
        <v>0.38</v>
      </c>
    </row>
    <row r="13" ht="15.75" customHeight="1" s="73" thickBot="1">
      <c r="A13" s="3" t="n">
        <v>45482</v>
      </c>
      <c r="B13" s="1" t="inlineStr">
        <is>
          <t>USD</t>
        </is>
      </c>
      <c r="C13" s="38" t="n">
        <v>0.5</v>
      </c>
      <c r="D13" s="2" t="n">
        <v>0</v>
      </c>
      <c r="E13" s="96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7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7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7" t="n">
        <v>4.38</v>
      </c>
    </row>
    <row r="14" ht="15.75" customHeight="1" s="73" thickBot="1">
      <c r="A14" s="3" t="n">
        <v>45666</v>
      </c>
      <c r="B14" s="1" t="inlineStr">
        <is>
          <t>USD</t>
        </is>
      </c>
      <c r="C14" s="38" t="n">
        <v>0.5</v>
      </c>
      <c r="D14" s="2" t="n">
        <v>10</v>
      </c>
      <c r="E14" s="96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7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7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7" t="n">
        <v>8.359999999999999</v>
      </c>
    </row>
    <row r="15" ht="15.75" customHeight="1" s="73" thickBot="1">
      <c r="A15" s="3" t="n">
        <v>45847</v>
      </c>
      <c r="B15" s="1" t="inlineStr">
        <is>
          <t>USD</t>
        </is>
      </c>
      <c r="C15" s="38" t="n">
        <v>0.45</v>
      </c>
      <c r="D15" s="2" t="n">
        <v>10</v>
      </c>
      <c r="E15" s="96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7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7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7" t="n">
        <v>8.33</v>
      </c>
    </row>
    <row r="16" ht="15.75" customHeight="1" s="73" thickBot="1">
      <c r="A16" s="3" t="n">
        <v>46031</v>
      </c>
      <c r="B16" s="1" t="inlineStr">
        <is>
          <t>USD</t>
        </is>
      </c>
      <c r="C16" s="38" t="n">
        <v>0.4</v>
      </c>
      <c r="D16" s="2" t="n">
        <v>10</v>
      </c>
      <c r="E16" s="41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7" t="n">
        <v>8.300000000000001</v>
      </c>
    </row>
    <row r="17" ht="15.75" customHeight="1" s="73" thickBot="1">
      <c r="A17" s="3" t="n">
        <v>46212</v>
      </c>
      <c r="B17" s="1" t="inlineStr">
        <is>
          <t>USD</t>
        </is>
      </c>
      <c r="C17" s="38" t="n">
        <v>0.35</v>
      </c>
      <c r="D17" s="2" t="n">
        <v>10</v>
      </c>
      <c r="E17" s="41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3" thickBot="1">
      <c r="A18" s="3" t="n">
        <v>46396</v>
      </c>
      <c r="B18" s="1" t="inlineStr">
        <is>
          <t>USD</t>
        </is>
      </c>
      <c r="C18" s="38" t="n">
        <v>0.3</v>
      </c>
      <c r="D18" s="2" t="n">
        <v>10</v>
      </c>
      <c r="E18" s="41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3" thickBot="1">
      <c r="A19" s="3" t="n">
        <v>46577</v>
      </c>
      <c r="B19" s="1" t="inlineStr">
        <is>
          <t>USD</t>
        </is>
      </c>
      <c r="C19" s="38" t="n">
        <v>0.25</v>
      </c>
      <c r="D19" s="2" t="n">
        <v>10</v>
      </c>
      <c r="E19" s="41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3" thickBot="1">
      <c r="A20" s="3" t="n">
        <v>46761</v>
      </c>
      <c r="B20" s="1" t="inlineStr">
        <is>
          <t>USD</t>
        </is>
      </c>
      <c r="C20" s="38" t="n">
        <v>0.2</v>
      </c>
      <c r="D20" s="2" t="n">
        <v>10</v>
      </c>
      <c r="E20" s="41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3" thickBot="1">
      <c r="A21" s="3" t="n">
        <v>46943</v>
      </c>
      <c r="B21" s="1" t="inlineStr">
        <is>
          <t>USD</t>
        </is>
      </c>
      <c r="C21" s="38" t="n">
        <v>0.15</v>
      </c>
      <c r="D21" s="2" t="n">
        <v>10</v>
      </c>
      <c r="E21" s="41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3" thickBot="1">
      <c r="A22" s="3" t="n">
        <v>47127</v>
      </c>
      <c r="B22" s="1" t="inlineStr">
        <is>
          <t>USD</t>
        </is>
      </c>
      <c r="C22" s="38" t="n">
        <v>0.1</v>
      </c>
      <c r="D22" s="2" t="n">
        <v>10</v>
      </c>
      <c r="E22" s="41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3" thickBot="1">
      <c r="A23" s="3" t="n">
        <v>47308</v>
      </c>
      <c r="B23" s="1" t="inlineStr">
        <is>
          <t>USD</t>
        </is>
      </c>
      <c r="C23" s="38" t="n">
        <v>0.05</v>
      </c>
      <c r="D23" s="2" t="n">
        <v>10</v>
      </c>
      <c r="E23" s="41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3" thickBot="1">
      <c r="A24" s="5" t="n"/>
      <c r="B24" s="6" t="n"/>
      <c r="C24" s="39">
        <f>SUM(C10:C23)</f>
        <v/>
      </c>
      <c r="D24" s="7">
        <f>SUM(D10:D23)</f>
        <v/>
      </c>
      <c r="E24" s="42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3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5" t="n"/>
      <c r="P27" s="25" t="n"/>
      <c r="Q27" s="25" t="n"/>
      <c r="U27" s="25" t="n"/>
      <c r="V27" s="25" t="n"/>
      <c r="W27" s="25" t="n"/>
    </row>
    <row r="28" ht="15.75" customHeight="1" s="73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5" t="n"/>
      <c r="V28" s="25" t="n"/>
      <c r="W28" s="25" t="n"/>
    </row>
    <row r="29" ht="15.75" customHeight="1" s="73">
      <c r="A29" s="30" t="inlineStr">
        <is>
          <t>TASA</t>
        </is>
      </c>
      <c r="B29" s="21" t="n">
        <v>1</v>
      </c>
      <c r="C29" s="26" t="n"/>
      <c r="D29" s="26" t="n"/>
      <c r="E29" s="27" t="n"/>
      <c r="F29" s="21" t="n"/>
      <c r="G29" s="30" t="inlineStr">
        <is>
          <t>TASA</t>
        </is>
      </c>
      <c r="H29" s="21" t="n">
        <v>0.125</v>
      </c>
      <c r="I29" s="26" t="n"/>
      <c r="J29" s="26" t="n"/>
      <c r="K29" s="27" t="n"/>
      <c r="L29" s="21" t="n"/>
      <c r="M29" s="30" t="inlineStr">
        <is>
          <t>TASA</t>
        </is>
      </c>
      <c r="N29" s="21" t="n">
        <v>1</v>
      </c>
      <c r="O29" s="26" t="n"/>
      <c r="P29" s="26" t="n"/>
      <c r="Q29" s="27" t="n"/>
      <c r="T29" s="25" t="n"/>
      <c r="U29" s="25" t="n"/>
      <c r="V29" s="25" t="n"/>
    </row>
    <row r="30" ht="15.75" customHeight="1" s="73">
      <c r="A30" s="30" t="inlineStr">
        <is>
          <t>Fecha inicio</t>
        </is>
      </c>
      <c r="B30" s="23" t="n">
        <v>44076</v>
      </c>
      <c r="C30" s="26" t="n"/>
      <c r="D30" s="26" t="n"/>
      <c r="E30" s="27" t="n"/>
      <c r="F30" s="21" t="n"/>
      <c r="G30" s="30" t="inlineStr">
        <is>
          <t>Fecha inicio</t>
        </is>
      </c>
      <c r="H30" s="23" t="n">
        <v>44076</v>
      </c>
      <c r="I30" s="26" t="n"/>
      <c r="J30" s="26" t="n"/>
      <c r="K30" s="27" t="n"/>
      <c r="M30" s="30" t="inlineStr">
        <is>
          <t>Fecha inicio</t>
        </is>
      </c>
      <c r="N30" s="23" t="n">
        <v>44076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ultimo pago</t>
        </is>
      </c>
      <c r="B31" s="23" t="n">
        <v>44570</v>
      </c>
      <c r="C31" s="26" t="n"/>
      <c r="D31" s="26" t="n"/>
      <c r="E31" s="27" t="n"/>
      <c r="F31" s="21" t="n"/>
      <c r="G31" s="30" t="inlineStr">
        <is>
          <t>Fecha ultimo pago</t>
        </is>
      </c>
      <c r="H31" s="23" t="n">
        <v>44570</v>
      </c>
      <c r="I31" s="26" t="n"/>
      <c r="J31" s="26" t="n"/>
      <c r="K31" s="27" t="n"/>
      <c r="M31" s="30" t="inlineStr">
        <is>
          <t>Fecha ultimo pago</t>
        </is>
      </c>
      <c r="N31" s="23" t="n">
        <v>44570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Interes</t>
        </is>
      </c>
      <c r="B32" s="31" t="n">
        <v>0.00125</v>
      </c>
      <c r="C32" s="26" t="n"/>
      <c r="D32" s="26" t="n"/>
      <c r="E32" s="27" t="n"/>
      <c r="F32" s="21" t="n"/>
      <c r="G32" s="30" t="inlineStr">
        <is>
          <t>Interes</t>
        </is>
      </c>
      <c r="H32" s="31" t="n">
        <v>0.00125</v>
      </c>
      <c r="I32" s="26" t="n"/>
      <c r="J32" s="26" t="n"/>
      <c r="K32" s="27" t="n"/>
      <c r="M32" s="30" t="inlineStr">
        <is>
          <t>Interes</t>
        </is>
      </c>
      <c r="N32" s="31" t="n">
        <v>0.00125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VR</t>
        </is>
      </c>
      <c r="B33" s="21" t="n">
        <v>100</v>
      </c>
      <c r="C33" s="26" t="n"/>
      <c r="D33" s="26" t="n"/>
      <c r="E33" s="27" t="n"/>
      <c r="F33" s="21" t="n"/>
      <c r="G33" s="30" t="inlineStr">
        <is>
          <t>VR</t>
        </is>
      </c>
      <c r="H33" s="21" t="n">
        <v>100</v>
      </c>
      <c r="I33" s="26" t="n"/>
      <c r="J33" s="26" t="n"/>
      <c r="K33" s="27" t="n"/>
      <c r="M33" s="30" t="inlineStr">
        <is>
          <t>VR</t>
        </is>
      </c>
      <c r="N33" s="21" t="n">
        <v>100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 Corrido</t>
        </is>
      </c>
      <c r="B34" s="45">
        <f>B32*DAYS360(B31,TODAY())/360*100</f>
        <v/>
      </c>
      <c r="C34" s="26" t="n"/>
      <c r="D34" s="26" t="n"/>
      <c r="E34" s="27" t="n"/>
      <c r="F34" s="21" t="n"/>
      <c r="G34" s="30" t="inlineStr">
        <is>
          <t>Int Corrido</t>
        </is>
      </c>
      <c r="H34" s="45">
        <f>H32*DAYS360(H31,TODAY())/360*100</f>
        <v/>
      </c>
      <c r="I34" s="26" t="n"/>
      <c r="J34" s="26" t="n"/>
      <c r="K34" s="27" t="n"/>
      <c r="M34" s="30" t="inlineStr">
        <is>
          <t>Int Corrido</t>
        </is>
      </c>
      <c r="N34" s="45">
        <f>N32*DAYS360(N30,TODAY())/360*100</f>
        <v/>
      </c>
      <c r="O34" s="26" t="n"/>
      <c r="P34" s="26" t="n"/>
      <c r="Q34" s="27" t="n"/>
      <c r="T34" s="25" t="n"/>
      <c r="U34" s="25" t="n"/>
      <c r="V34" s="25" t="n"/>
    </row>
    <row r="35" ht="18.75" customHeight="1" s="73" thickBot="1">
      <c r="A35" s="30" t="inlineStr">
        <is>
          <t>Valor Tecnico</t>
        </is>
      </c>
      <c r="B35" s="45">
        <f>B33+B34</f>
        <v/>
      </c>
      <c r="C35" s="26" t="n"/>
      <c r="D35" s="26" t="n"/>
      <c r="E35" s="95" t="n">
        <v>-18.05</v>
      </c>
      <c r="F35" s="21" t="n"/>
      <c r="G35" s="30" t="inlineStr">
        <is>
          <t>Valor Tecnico</t>
        </is>
      </c>
      <c r="H35" s="45">
        <f>H33+H34</f>
        <v/>
      </c>
      <c r="I35" s="26" t="n"/>
      <c r="J35" s="26" t="n"/>
      <c r="K35" s="95" t="n">
        <v>-23.1</v>
      </c>
      <c r="M35" s="30" t="inlineStr">
        <is>
          <t>Valor Tecnico</t>
        </is>
      </c>
      <c r="N35" s="45">
        <f>N33+N34</f>
        <v/>
      </c>
      <c r="O35" s="26" t="n"/>
      <c r="P35" s="26" t="n"/>
      <c r="Q35" s="95" t="n">
        <v>-22.7</v>
      </c>
      <c r="T35" s="25" t="n"/>
      <c r="U35" s="25" t="n"/>
      <c r="V35" s="25" t="n"/>
    </row>
    <row r="36" ht="18.75" customHeight="1" s="73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7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7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8.75" customHeight="1" s="73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7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7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9.5" customHeight="1" s="73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7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7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7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7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7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7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7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7" t="n">
        <v>1.75</v>
      </c>
      <c r="T44" s="25" t="n"/>
      <c r="U44" s="25" t="n"/>
      <c r="V44" s="25" t="n"/>
    </row>
    <row r="45" ht="15.75" customHeight="1" s="73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7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7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7" t="n">
        <v>1.75</v>
      </c>
      <c r="T45" s="25" t="n"/>
      <c r="U45" s="25" t="n"/>
      <c r="V45" s="25" t="n"/>
    </row>
    <row r="46" ht="15.75" customHeight="1" s="73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7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7" t="n">
        <v>5.32</v>
      </c>
      <c r="T46" s="25" t="n"/>
      <c r="U46" s="25" t="n"/>
      <c r="V46" s="25" t="n"/>
    </row>
    <row r="47" ht="15.75" customHeight="1" s="73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5" t="n"/>
      <c r="U47" s="25" t="n"/>
      <c r="V47" s="25" t="n"/>
    </row>
    <row r="48" ht="15.75" customHeight="1" s="73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5" t="n"/>
      <c r="U48" s="25" t="n"/>
      <c r="V48" s="25" t="n"/>
    </row>
    <row r="49" ht="15.75" customHeight="1" s="73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5" t="n"/>
      <c r="U49" s="25" t="n"/>
      <c r="V49" s="25" t="n"/>
    </row>
    <row r="50" ht="15.75" customHeight="1" s="73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5" t="n"/>
      <c r="U50" s="25" t="n"/>
      <c r="V50" s="25" t="n"/>
    </row>
    <row r="51" ht="15.75" customHeight="1" s="73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5" t="n"/>
      <c r="U51" s="25" t="n"/>
      <c r="V51" s="25" t="n"/>
    </row>
    <row r="52" ht="15.75" customHeight="1" s="73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5" t="n"/>
      <c r="U52" s="25" t="n"/>
      <c r="V52" s="25" t="n"/>
    </row>
    <row r="53" ht="15.75" customHeight="1" s="73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5" t="n"/>
      <c r="U53" s="25" t="n"/>
      <c r="V53" s="25" t="n"/>
    </row>
    <row r="54" ht="15.75" customHeight="1" s="73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5" t="n"/>
      <c r="U54" s="25" t="n"/>
      <c r="V54" s="25" t="n"/>
    </row>
    <row r="55" ht="15.75" customHeight="1" s="73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5" t="n"/>
      <c r="U55" s="25" t="n"/>
      <c r="V55" s="25" t="n"/>
    </row>
    <row r="56" ht="15.75" customHeight="1" s="73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5" t="n"/>
      <c r="U56" s="25" t="n"/>
      <c r="V56" s="25" t="n"/>
    </row>
    <row r="57" ht="15.75" customHeight="1" s="73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5" t="n"/>
      <c r="V57" s="25" t="n"/>
      <c r="W57" s="25" t="n"/>
    </row>
    <row r="58" ht="15.75" customHeight="1" s="73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5" t="n"/>
      <c r="V58" s="25" t="n"/>
      <c r="W58" s="25" t="n"/>
    </row>
    <row r="59" ht="15.75" customHeight="1" s="73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5" t="n"/>
      <c r="V59" s="25" t="n"/>
      <c r="W59" s="25" t="n"/>
    </row>
    <row r="60" ht="15.75" customHeight="1" s="73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5" t="n"/>
      <c r="V60" s="25" t="n"/>
      <c r="W60" s="25" t="n"/>
    </row>
    <row r="61" ht="15.75" customHeight="1" s="73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5" t="n"/>
      <c r="V61" s="25" t="n"/>
      <c r="W61" s="25" t="n"/>
    </row>
    <row r="62" ht="15.75" customHeight="1" s="73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5" t="n"/>
      <c r="V66" s="25" t="n"/>
      <c r="W66" s="25" t="n"/>
    </row>
    <row r="67" ht="15.75" customHeight="1" s="73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3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3">
      <c r="B75" s="21" t="n"/>
    </row>
    <row r="76" ht="15.75" customHeight="1" s="73">
      <c r="B76" s="21" t="n"/>
    </row>
    <row r="77" ht="15.75" customHeight="1" s="73">
      <c r="B77" s="21" t="n"/>
    </row>
    <row r="78" ht="15.75" customHeight="1" s="73">
      <c r="B78" s="21" t="n"/>
      <c r="M78" s="21" t="n"/>
    </row>
    <row r="79" ht="15.75" customHeight="1" s="73">
      <c r="A79" s="22" t="n"/>
      <c r="B79" s="112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3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3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44751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44935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45116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45300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3" thickBot="1">
      <c r="A14" s="3" t="n">
        <v>45482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3" thickBot="1">
      <c r="A15" s="3" t="n">
        <v>45666</v>
      </c>
      <c r="B15" s="1" t="inlineStr">
        <is>
          <t>USD</t>
        </is>
      </c>
      <c r="C15" s="38" t="n">
        <v>0.5</v>
      </c>
      <c r="D15" s="2" t="n">
        <v>10</v>
      </c>
      <c r="E15" s="41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3" thickBot="1">
      <c r="A16" s="3" t="n">
        <v>45847</v>
      </c>
      <c r="B16" s="1" t="inlineStr">
        <is>
          <t>USD</t>
        </is>
      </c>
      <c r="C16" s="38" t="n">
        <v>0.45</v>
      </c>
      <c r="D16" s="2" t="n">
        <v>10</v>
      </c>
      <c r="E16" s="41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3" thickBot="1">
      <c r="A17" s="3" t="n">
        <v>46031</v>
      </c>
      <c r="B17" s="1" t="inlineStr">
        <is>
          <t>USD</t>
        </is>
      </c>
      <c r="C17" s="38" t="n">
        <v>0.4</v>
      </c>
      <c r="D17" s="2" t="n">
        <v>10</v>
      </c>
      <c r="E17" s="41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3" thickBot="1">
      <c r="A18" s="3" t="n">
        <v>46212</v>
      </c>
      <c r="B18" s="1" t="inlineStr">
        <is>
          <t>USD</t>
        </is>
      </c>
      <c r="C18" s="38" t="n">
        <v>0.35</v>
      </c>
      <c r="D18" s="2" t="n">
        <v>10</v>
      </c>
      <c r="E18" s="41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3" thickBot="1">
      <c r="A19" s="3" t="n">
        <v>46396</v>
      </c>
      <c r="B19" s="1" t="inlineStr">
        <is>
          <t>USD</t>
        </is>
      </c>
      <c r="C19" s="38" t="n">
        <v>0.3</v>
      </c>
      <c r="D19" s="2" t="n">
        <v>10</v>
      </c>
      <c r="E19" s="41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3" thickBot="1">
      <c r="A20" s="3" t="n">
        <v>46577</v>
      </c>
      <c r="B20" s="1" t="inlineStr">
        <is>
          <t>USD</t>
        </is>
      </c>
      <c r="C20" s="38" t="n">
        <v>0.25</v>
      </c>
      <c r="D20" s="2" t="n">
        <v>10</v>
      </c>
      <c r="E20" s="41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3" t="n">
        <v>46761</v>
      </c>
      <c r="B21" s="1" t="inlineStr">
        <is>
          <t>USD</t>
        </is>
      </c>
      <c r="C21" s="38" t="n">
        <v>0.2</v>
      </c>
      <c r="D21" s="2" t="n">
        <v>10</v>
      </c>
      <c r="E21" s="41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3" thickBot="1">
      <c r="A22" s="3" t="n">
        <v>46943</v>
      </c>
      <c r="B22" s="1" t="inlineStr">
        <is>
          <t>USD</t>
        </is>
      </c>
      <c r="C22" s="38" t="n">
        <v>0.15</v>
      </c>
      <c r="D22" s="2" t="n">
        <v>10</v>
      </c>
      <c r="E22" s="41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3" thickBot="1">
      <c r="A23" s="3" t="n">
        <v>47127</v>
      </c>
      <c r="B23" s="1" t="inlineStr">
        <is>
          <t>USD</t>
        </is>
      </c>
      <c r="C23" s="38" t="n">
        <v>0.1</v>
      </c>
      <c r="D23" s="2" t="n">
        <v>10</v>
      </c>
      <c r="E23" s="41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3" thickBot="1">
      <c r="A24" s="3" t="n">
        <v>47308</v>
      </c>
      <c r="B24" s="1" t="inlineStr">
        <is>
          <t>USD</t>
        </is>
      </c>
      <c r="C24" s="38" t="n">
        <v>0.05</v>
      </c>
      <c r="D24" s="2" t="n">
        <v>10</v>
      </c>
      <c r="E24" s="41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3" thickBot="1">
      <c r="A25" s="5" t="n"/>
      <c r="B25" s="6" t="n"/>
      <c r="C25" s="39">
        <f>SUM(C10:C24)</f>
        <v/>
      </c>
      <c r="D25" s="7">
        <f>SUM(D10:D24)</f>
        <v/>
      </c>
      <c r="E25" s="42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3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5" t="n"/>
      <c r="P28" s="25" t="n"/>
      <c r="Q28" s="25" t="n"/>
      <c r="U28" s="25" t="n"/>
      <c r="V28" s="25" t="n"/>
      <c r="W28" s="25" t="n"/>
    </row>
    <row r="29" ht="15.75" customHeight="1" s="73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5" t="n"/>
      <c r="V29" s="25" t="n"/>
      <c r="W29" s="25" t="n"/>
    </row>
    <row r="30" ht="15.75" customHeight="1" s="73">
      <c r="A30" s="30" t="inlineStr">
        <is>
          <t>TASA</t>
        </is>
      </c>
      <c r="B30" s="21" t="n">
        <v>1</v>
      </c>
      <c r="C30" s="26" t="n"/>
      <c r="D30" s="26" t="n"/>
      <c r="E30" s="27" t="n"/>
      <c r="F30" s="21" t="n"/>
      <c r="G30" s="30" t="inlineStr">
        <is>
          <t>TASA</t>
        </is>
      </c>
      <c r="H30" s="21" t="n">
        <v>0.125</v>
      </c>
      <c r="I30" s="26" t="n"/>
      <c r="J30" s="26" t="n"/>
      <c r="K30" s="27" t="n"/>
      <c r="L30" s="21" t="n"/>
      <c r="M30" s="30" t="inlineStr">
        <is>
          <t>TASA</t>
        </is>
      </c>
      <c r="N30" s="21" t="n">
        <v>1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inicio</t>
        </is>
      </c>
      <c r="B31" s="23" t="n">
        <v>44076</v>
      </c>
      <c r="C31" s="26" t="n"/>
      <c r="D31" s="26" t="n"/>
      <c r="E31" s="27" t="n"/>
      <c r="F31" s="21" t="n"/>
      <c r="G31" s="30" t="inlineStr">
        <is>
          <t>Fecha inicio</t>
        </is>
      </c>
      <c r="H31" s="23" t="n">
        <v>44076</v>
      </c>
      <c r="I31" s="26" t="n"/>
      <c r="J31" s="26" t="n"/>
      <c r="K31" s="27" t="n"/>
      <c r="M31" s="30" t="inlineStr">
        <is>
          <t>Fecha inicio</t>
        </is>
      </c>
      <c r="N31" s="23" t="n">
        <v>44076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ultimo pago</t>
        </is>
      </c>
      <c r="B32" s="23" t="n">
        <v>44570</v>
      </c>
      <c r="C32" s="26" t="n"/>
      <c r="D32" s="26" t="n"/>
      <c r="E32" s="27" t="n"/>
      <c r="F32" s="21" t="n"/>
      <c r="G32" s="30" t="inlineStr">
        <is>
          <t>Fecha ultimo pago</t>
        </is>
      </c>
      <c r="H32" s="23" t="n">
        <v>44570</v>
      </c>
      <c r="I32" s="26" t="n"/>
      <c r="J32" s="26" t="n"/>
      <c r="K32" s="27" t="n"/>
      <c r="M32" s="30" t="inlineStr">
        <is>
          <t>Fecha ultimo pago</t>
        </is>
      </c>
      <c r="N32" s="23" t="n">
        <v>44570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Interes</t>
        </is>
      </c>
      <c r="B33" s="31" t="n">
        <v>0.00125</v>
      </c>
      <c r="C33" s="26" t="n"/>
      <c r="D33" s="26" t="n"/>
      <c r="E33" s="27" t="n"/>
      <c r="F33" s="21" t="n"/>
      <c r="G33" s="30" t="inlineStr">
        <is>
          <t>Interes</t>
        </is>
      </c>
      <c r="H33" s="31" t="n">
        <v>0.00125</v>
      </c>
      <c r="I33" s="26" t="n"/>
      <c r="J33" s="26" t="n"/>
      <c r="K33" s="27" t="n"/>
      <c r="M33" s="30" t="inlineStr">
        <is>
          <t>Interes</t>
        </is>
      </c>
      <c r="N33" s="31" t="n">
        <v>0.00125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VR</t>
        </is>
      </c>
      <c r="B34" s="21" t="n">
        <v>100</v>
      </c>
      <c r="C34" s="26" t="n"/>
      <c r="D34" s="26" t="n"/>
      <c r="E34" s="27" t="n"/>
      <c r="F34" s="21" t="n"/>
      <c r="G34" s="30" t="inlineStr">
        <is>
          <t>VR</t>
        </is>
      </c>
      <c r="H34" s="21" t="n">
        <v>100</v>
      </c>
      <c r="I34" s="26" t="n"/>
      <c r="J34" s="26" t="n"/>
      <c r="K34" s="27" t="n"/>
      <c r="M34" s="30" t="inlineStr">
        <is>
          <t>VR</t>
        </is>
      </c>
      <c r="N34" s="21" t="n">
        <v>100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 Corrido</t>
        </is>
      </c>
      <c r="B35" s="45">
        <f>B33*DAYS360(B32,TODAY())/360*100</f>
        <v/>
      </c>
      <c r="C35" s="26" t="n"/>
      <c r="D35" s="26" t="n"/>
      <c r="E35" s="27" t="n"/>
      <c r="F35" s="21" t="n"/>
      <c r="G35" s="30" t="inlineStr">
        <is>
          <t>Int Corrido</t>
        </is>
      </c>
      <c r="H35" s="45">
        <f>H33*DAYS360(H32,TODAY())/360*100</f>
        <v/>
      </c>
      <c r="I35" s="26" t="n"/>
      <c r="J35" s="26" t="n"/>
      <c r="K35" s="27" t="n"/>
      <c r="M35" s="30" t="inlineStr">
        <is>
          <t>Int Corrido</t>
        </is>
      </c>
      <c r="N35" s="45">
        <f>N33*DAYS360(N31,TODAY())/360*100</f>
        <v/>
      </c>
      <c r="O35" s="26" t="n"/>
      <c r="P35" s="26" t="n"/>
      <c r="Q35" s="27" t="n"/>
      <c r="T35" s="25" t="n"/>
      <c r="U35" s="25" t="n"/>
      <c r="V35" s="25" t="n"/>
    </row>
    <row r="36" ht="18.75" customHeight="1" s="73" thickBot="1">
      <c r="A36" s="30" t="inlineStr">
        <is>
          <t>Valor Tecnico</t>
        </is>
      </c>
      <c r="B36" s="45">
        <f>B34+B35</f>
        <v/>
      </c>
      <c r="C36" s="26" t="n"/>
      <c r="D36" s="26" t="n"/>
      <c r="E36" s="27" t="n"/>
      <c r="F36" s="21" t="n"/>
      <c r="G36" s="30" t="inlineStr">
        <is>
          <t>Valor Tecnico</t>
        </is>
      </c>
      <c r="H36" s="45">
        <f>H34+H35</f>
        <v/>
      </c>
      <c r="I36" s="26" t="n"/>
      <c r="J36" s="26" t="n"/>
      <c r="K36" s="27" t="n"/>
      <c r="M36" s="30" t="inlineStr">
        <is>
          <t>Valor Tecnico</t>
        </is>
      </c>
      <c r="N36" s="45">
        <f>N34+N35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5" t="n"/>
      <c r="U37" s="25" t="n"/>
      <c r="V37" s="25" t="n"/>
    </row>
    <row r="38" ht="19.5" customHeight="1" s="73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5" t="n"/>
      <c r="U38" s="25" t="n"/>
      <c r="V38" s="25" t="n"/>
    </row>
    <row r="39" ht="15.75" customHeight="1" s="73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5" t="n"/>
      <c r="U39" s="25" t="n"/>
      <c r="V39" s="25" t="n"/>
    </row>
    <row r="40" ht="15.75" customHeight="1" s="73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5" t="n"/>
      <c r="U48" s="25" t="n"/>
      <c r="V48" s="25" t="n"/>
    </row>
    <row r="49" ht="15.75" customHeight="1" s="73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5" t="n"/>
      <c r="U49" s="25" t="n"/>
      <c r="V49" s="25" t="n"/>
    </row>
    <row r="50" ht="15.75" customHeight="1" s="73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5" t="n"/>
      <c r="U50" s="25" t="n"/>
      <c r="V50" s="25" t="n"/>
    </row>
    <row r="51" ht="15.75" customHeight="1" s="73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5" t="n"/>
      <c r="U51" s="25" t="n"/>
      <c r="V51" s="25" t="n"/>
    </row>
    <row r="52" ht="15.75" customHeight="1" s="73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5" t="n"/>
      <c r="U52" s="25" t="n"/>
      <c r="V52" s="25" t="n"/>
    </row>
    <row r="53" ht="15.75" customHeight="1" s="73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5" t="n"/>
      <c r="U53" s="25" t="n"/>
      <c r="V53" s="25" t="n"/>
    </row>
    <row r="54" ht="15.75" customHeight="1" s="73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5" t="n"/>
      <c r="U54" s="25" t="n"/>
      <c r="V54" s="25" t="n"/>
    </row>
    <row r="55" ht="15.75" customHeight="1" s="73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5" t="n"/>
      <c r="U55" s="25" t="n"/>
      <c r="V55" s="25" t="n"/>
    </row>
    <row r="56" ht="15.75" customHeight="1" s="73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5" t="n"/>
      <c r="U56" s="25" t="n"/>
      <c r="V56" s="25" t="n"/>
    </row>
    <row r="57" ht="15.75" customHeight="1" s="73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5" t="n"/>
      <c r="U57" s="25" t="n"/>
      <c r="V57" s="25" t="n"/>
    </row>
    <row r="58" ht="15.75" customHeight="1" s="73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5" t="n"/>
      <c r="V58" s="25" t="n"/>
      <c r="W58" s="25" t="n"/>
    </row>
    <row r="59" ht="15.75" customHeight="1" s="73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5" t="n"/>
      <c r="V59" s="25" t="n"/>
      <c r="W59" s="25" t="n"/>
    </row>
    <row r="60" ht="15.75" customHeight="1" s="73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5" t="n"/>
      <c r="V60" s="25" t="n"/>
      <c r="W60" s="25" t="n"/>
    </row>
    <row r="61" ht="15.75" customHeight="1" s="73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5" t="n"/>
      <c r="V61" s="25" t="n"/>
      <c r="W61" s="25" t="n"/>
    </row>
    <row r="62" ht="15.75" customHeight="1" s="73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5" t="n"/>
      <c r="V62" s="25" t="n"/>
      <c r="W62" s="25" t="n"/>
    </row>
    <row r="63" ht="15.75" customHeight="1" s="73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5" t="n"/>
      <c r="V63" s="25" t="n"/>
      <c r="W63" s="25" t="n"/>
    </row>
    <row r="64" ht="15.75" customHeight="1" s="73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5" t="n"/>
      <c r="V68" s="25" t="n"/>
      <c r="W68" s="25" t="n"/>
    </row>
    <row r="69" ht="15.75" customHeight="1" s="73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3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3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3">
      <c r="B77" s="21" t="n"/>
    </row>
    <row r="78" ht="15.75" customHeight="1" s="73">
      <c r="B78" s="21" t="n"/>
    </row>
    <row r="79" ht="15.75" customHeight="1" s="73">
      <c r="B79" s="21" t="n"/>
    </row>
    <row r="80" ht="15.75" customHeight="1" s="73">
      <c r="B80" s="21" t="n"/>
      <c r="M80" s="21" t="n"/>
    </row>
    <row r="81">
      <c r="A81" s="22" t="n"/>
      <c r="B81" s="112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3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44570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44751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44935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45116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45300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3" thickBot="1">
      <c r="A15" s="3" t="n">
        <v>45482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3" thickBot="1">
      <c r="A16" s="3" t="n">
        <v>45666</v>
      </c>
      <c r="B16" s="1" t="inlineStr">
        <is>
          <t>USD</t>
        </is>
      </c>
      <c r="C16" s="38" t="n">
        <v>0.5</v>
      </c>
      <c r="D16" s="2" t="n">
        <v>10</v>
      </c>
      <c r="E16" s="41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3" thickBot="1">
      <c r="A17" s="3" t="n">
        <v>45847</v>
      </c>
      <c r="B17" s="1" t="inlineStr">
        <is>
          <t>USD</t>
        </is>
      </c>
      <c r="C17" s="38" t="n">
        <v>0.45</v>
      </c>
      <c r="D17" s="2" t="n">
        <v>10</v>
      </c>
      <c r="E17" s="41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3" thickBot="1">
      <c r="A18" s="3" t="n">
        <v>46031</v>
      </c>
      <c r="B18" s="1" t="inlineStr">
        <is>
          <t>USD</t>
        </is>
      </c>
      <c r="C18" s="38" t="n">
        <v>0.4</v>
      </c>
      <c r="D18" s="2" t="n">
        <v>10</v>
      </c>
      <c r="E18" s="41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3" thickBot="1">
      <c r="A19" s="3" t="n">
        <v>46212</v>
      </c>
      <c r="B19" s="1" t="inlineStr">
        <is>
          <t>USD</t>
        </is>
      </c>
      <c r="C19" s="38" t="n">
        <v>0.35</v>
      </c>
      <c r="D19" s="2" t="n">
        <v>10</v>
      </c>
      <c r="E19" s="41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3" thickBot="1">
      <c r="A20" s="3" t="n">
        <v>46396</v>
      </c>
      <c r="B20" s="1" t="inlineStr">
        <is>
          <t>USD</t>
        </is>
      </c>
      <c r="C20" s="38" t="n">
        <v>0.3</v>
      </c>
      <c r="D20" s="2" t="n">
        <v>10</v>
      </c>
      <c r="E20" s="41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3" thickBot="1">
      <c r="A21" s="3" t="n">
        <v>46577</v>
      </c>
      <c r="B21" s="1" t="inlineStr">
        <is>
          <t>USD</t>
        </is>
      </c>
      <c r="C21" s="38" t="n">
        <v>0.25</v>
      </c>
      <c r="D21" s="2" t="n">
        <v>10</v>
      </c>
      <c r="E21" s="41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3" t="n">
        <v>46761</v>
      </c>
      <c r="B22" s="1" t="inlineStr">
        <is>
          <t>USD</t>
        </is>
      </c>
      <c r="C22" s="38" t="n">
        <v>0.2</v>
      </c>
      <c r="D22" s="2" t="n">
        <v>10</v>
      </c>
      <c r="E22" s="41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3" thickBot="1">
      <c r="A23" s="3" t="n">
        <v>46943</v>
      </c>
      <c r="B23" s="1" t="inlineStr">
        <is>
          <t>USD</t>
        </is>
      </c>
      <c r="C23" s="38" t="n">
        <v>0.15</v>
      </c>
      <c r="D23" s="2" t="n">
        <v>10</v>
      </c>
      <c r="E23" s="41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3" thickBot="1">
      <c r="A24" s="3" t="n">
        <v>47127</v>
      </c>
      <c r="B24" s="1" t="inlineStr">
        <is>
          <t>USD</t>
        </is>
      </c>
      <c r="C24" s="38" t="n">
        <v>0.1</v>
      </c>
      <c r="D24" s="2" t="n">
        <v>10</v>
      </c>
      <c r="E24" s="41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3" thickBot="1">
      <c r="A25" s="3" t="n">
        <v>47308</v>
      </c>
      <c r="B25" s="1" t="inlineStr">
        <is>
          <t>USD</t>
        </is>
      </c>
      <c r="C25" s="38" t="n">
        <v>0.05</v>
      </c>
      <c r="D25" s="2" t="n">
        <v>10</v>
      </c>
      <c r="E25" s="41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3" thickBot="1">
      <c r="A26" s="5" t="n"/>
      <c r="B26" s="6" t="n"/>
      <c r="C26" s="39">
        <f>SUM(C10:C25)</f>
        <v/>
      </c>
      <c r="D26" s="7">
        <f>SUM(D10:D25)</f>
        <v/>
      </c>
      <c r="E26" s="42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3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5" t="n"/>
      <c r="P29" s="25" t="n"/>
      <c r="Q29" s="25" t="n"/>
      <c r="U29" s="25" t="n"/>
      <c r="V29" s="25" t="n"/>
      <c r="W29" s="25" t="n"/>
    </row>
    <row r="30" ht="15.75" customHeight="1" s="73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5" t="n"/>
      <c r="V30" s="25" t="n"/>
      <c r="W30" s="25" t="n"/>
    </row>
    <row r="31" ht="19.5" customHeight="1" s="73">
      <c r="A31" s="30" t="inlineStr">
        <is>
          <t>TASA</t>
        </is>
      </c>
      <c r="B31" s="21" t="n">
        <v>1</v>
      </c>
      <c r="C31" s="26" t="n"/>
      <c r="D31" s="26" t="n"/>
      <c r="E31" s="27" t="n"/>
      <c r="F31" s="21" t="n"/>
      <c r="G31" s="30" t="inlineStr">
        <is>
          <t>TASA</t>
        </is>
      </c>
      <c r="H31" s="21" t="n">
        <v>0.125</v>
      </c>
      <c r="I31" s="26" t="n"/>
      <c r="J31" s="26" t="n"/>
      <c r="K31" s="27" t="n"/>
      <c r="L31" s="21" t="n"/>
      <c r="M31" s="30" t="inlineStr">
        <is>
          <t>TASA</t>
        </is>
      </c>
      <c r="N31" s="21" t="n">
        <v>1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inicio</t>
        </is>
      </c>
      <c r="B32" s="23" t="n">
        <v>44076</v>
      </c>
      <c r="C32" s="26" t="n"/>
      <c r="D32" s="26" t="n"/>
      <c r="E32" s="27" t="n"/>
      <c r="F32" s="21" t="n"/>
      <c r="G32" s="30" t="inlineStr">
        <is>
          <t>Fecha inicio</t>
        </is>
      </c>
      <c r="H32" s="23" t="n">
        <v>44076</v>
      </c>
      <c r="I32" s="26" t="n"/>
      <c r="J32" s="26" t="n"/>
      <c r="K32" s="27" t="n"/>
      <c r="M32" s="30" t="inlineStr">
        <is>
          <t>Fecha inicio</t>
        </is>
      </c>
      <c r="N32" s="23" t="n">
        <v>44076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ultimo pago</t>
        </is>
      </c>
      <c r="B33" s="23" t="n">
        <v>44078</v>
      </c>
      <c r="C33" s="26" t="n"/>
      <c r="D33" s="26" t="n"/>
      <c r="E33" s="27" t="n"/>
      <c r="F33" s="21" t="n"/>
      <c r="G33" s="30" t="inlineStr">
        <is>
          <t>Fecha ultimo pago</t>
        </is>
      </c>
      <c r="H33" s="23" t="n">
        <v>44078</v>
      </c>
      <c r="I33" s="26" t="n"/>
      <c r="J33" s="26" t="n"/>
      <c r="K33" s="27" t="n"/>
      <c r="M33" s="30" t="inlineStr">
        <is>
          <t>Fecha ultimo pago</t>
        </is>
      </c>
      <c r="N33" s="23" t="n">
        <v>44078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Interes</t>
        </is>
      </c>
      <c r="B34" s="31" t="n">
        <v>0.00125</v>
      </c>
      <c r="C34" s="26" t="n"/>
      <c r="D34" s="26" t="n"/>
      <c r="E34" s="27" t="n"/>
      <c r="F34" s="21" t="n"/>
      <c r="G34" s="30" t="inlineStr">
        <is>
          <t>Interes</t>
        </is>
      </c>
      <c r="H34" s="31" t="n">
        <v>0.00125</v>
      </c>
      <c r="I34" s="26" t="n"/>
      <c r="J34" s="26" t="n"/>
      <c r="K34" s="27" t="n"/>
      <c r="M34" s="30" t="inlineStr">
        <is>
          <t>Interes</t>
        </is>
      </c>
      <c r="N34" s="31" t="n">
        <v>0.00125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VR</t>
        </is>
      </c>
      <c r="B35" s="21" t="n">
        <v>100</v>
      </c>
      <c r="C35" s="26" t="n"/>
      <c r="D35" s="26" t="n"/>
      <c r="E35" s="27" t="n"/>
      <c r="F35" s="21" t="n"/>
      <c r="G35" s="30" t="inlineStr">
        <is>
          <t>VR</t>
        </is>
      </c>
      <c r="H35" s="21" t="n">
        <v>100</v>
      </c>
      <c r="I35" s="26" t="n"/>
      <c r="J35" s="26" t="n"/>
      <c r="K35" s="27" t="n"/>
      <c r="M35" s="30" t="inlineStr">
        <is>
          <t>VR</t>
        </is>
      </c>
      <c r="N35" s="21" t="n">
        <v>100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Int Corrido</t>
        </is>
      </c>
      <c r="B36" s="45">
        <f>B34*DAYS360(B33,TODAY())/360*100</f>
        <v/>
      </c>
      <c r="C36" s="26" t="n"/>
      <c r="D36" s="26" t="n"/>
      <c r="E36" s="27" t="n"/>
      <c r="F36" s="21" t="n"/>
      <c r="G36" s="30" t="inlineStr">
        <is>
          <t>Int Corrido</t>
        </is>
      </c>
      <c r="H36" s="45">
        <f>H34*DAYS360(H33,TODAY())/360*100</f>
        <v/>
      </c>
      <c r="I36" s="26" t="n"/>
      <c r="J36" s="26" t="n"/>
      <c r="K36" s="27" t="n"/>
      <c r="M36" s="30" t="inlineStr">
        <is>
          <t>Int Corrido</t>
        </is>
      </c>
      <c r="N36" s="45">
        <f>N34*DAYS360(N32,TODAY())/360*100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0" t="inlineStr">
        <is>
          <t>Valor Tecnico</t>
        </is>
      </c>
      <c r="B37" s="45">
        <f>B35+B36</f>
        <v/>
      </c>
      <c r="C37" s="26" t="n"/>
      <c r="D37" s="26" t="n"/>
      <c r="E37" s="27" t="n"/>
      <c r="F37" s="21" t="n"/>
      <c r="G37" s="30" t="inlineStr">
        <is>
          <t>Valor Tecnico</t>
        </is>
      </c>
      <c r="H37" s="45">
        <f>H35+H36</f>
        <v/>
      </c>
      <c r="I37" s="26" t="n"/>
      <c r="J37" s="26" t="n"/>
      <c r="K37" s="27" t="n"/>
      <c r="M37" s="30" t="inlineStr">
        <is>
          <t>Valor Tecnico</t>
        </is>
      </c>
      <c r="N37" s="45">
        <f>N35+N36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5" t="n"/>
      <c r="U38" s="25" t="n"/>
      <c r="V38" s="25" t="n"/>
    </row>
    <row r="39" ht="15.75" customHeight="1" s="73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5" t="n"/>
      <c r="U39" s="25" t="n"/>
      <c r="V39" s="25" t="n"/>
    </row>
    <row r="40" ht="15.75" customHeight="1" s="73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5" t="n"/>
      <c r="U50" s="25" t="n"/>
      <c r="V50" s="25" t="n"/>
    </row>
    <row r="51" ht="15.75" customHeight="1" s="73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5" t="n"/>
      <c r="U51" s="25" t="n"/>
      <c r="V51" s="25" t="n"/>
    </row>
    <row r="52" ht="15.75" customHeight="1" s="73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5" t="n"/>
      <c r="U52" s="25" t="n"/>
      <c r="V52" s="25" t="n"/>
    </row>
    <row r="53" ht="15.75" customHeight="1" s="73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5" t="n"/>
      <c r="U53" s="25" t="n"/>
      <c r="V53" s="25" t="n"/>
    </row>
    <row r="54" ht="15.75" customHeight="1" s="73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5" t="n"/>
      <c r="U54" s="25" t="n"/>
      <c r="V54" s="25" t="n"/>
    </row>
    <row r="55" ht="15.75" customHeight="1" s="73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5" t="n"/>
      <c r="U55" s="25" t="n"/>
      <c r="V55" s="25" t="n"/>
    </row>
    <row r="56" ht="15.75" customHeight="1" s="73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5" t="n"/>
      <c r="U56" s="25" t="n"/>
      <c r="V56" s="25" t="n"/>
    </row>
    <row r="57" ht="15.75" customHeight="1" s="73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5" t="n"/>
      <c r="U57" s="25" t="n"/>
      <c r="V57" s="25" t="n"/>
    </row>
    <row r="58" ht="15.75" customHeight="1" s="73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5" t="n"/>
      <c r="U58" s="25" t="n"/>
      <c r="V58" s="25" t="n"/>
    </row>
    <row r="59" ht="15.75" customHeight="1" s="73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5" t="n"/>
      <c r="V59" s="25" t="n"/>
      <c r="W59" s="25" t="n"/>
    </row>
    <row r="60" ht="15.75" customHeight="1" s="73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5" t="n"/>
      <c r="V60" s="25" t="n"/>
      <c r="W60" s="25" t="n"/>
    </row>
    <row r="61" ht="15.75" customHeight="1" s="73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5" t="n"/>
      <c r="V61" s="25" t="n"/>
      <c r="W61" s="25" t="n"/>
    </row>
    <row r="62" ht="15.75" customHeight="1" s="73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5" t="n"/>
      <c r="V62" s="25" t="n"/>
      <c r="W62" s="25" t="n"/>
    </row>
    <row r="63" ht="15.75" customHeight="1" s="73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5" t="n"/>
      <c r="V63" s="25" t="n"/>
      <c r="W63" s="25" t="n"/>
    </row>
    <row r="64" ht="15.75" customHeight="1" s="73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5" t="n"/>
      <c r="V64" s="25" t="n"/>
      <c r="W64" s="25" t="n"/>
    </row>
    <row r="65" ht="15.75" customHeight="1" s="73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5" t="n"/>
      <c r="V65" s="25" t="n"/>
      <c r="W65" s="25" t="n"/>
    </row>
    <row r="66" ht="15.75" customHeight="1" s="73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5" t="n"/>
      <c r="V70" s="25" t="n"/>
      <c r="W70" s="25" t="n"/>
    </row>
    <row r="71" ht="15.75" customHeight="1" s="73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3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3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3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3">
      <c r="B79" s="21" t="n"/>
    </row>
    <row r="80" ht="15.75" customHeight="1" s="73">
      <c r="B80" s="21" t="n"/>
    </row>
    <row r="81">
      <c r="B81" s="21" t="n"/>
    </row>
    <row r="82">
      <c r="B82" s="21" t="n"/>
      <c r="M82" s="21" t="n"/>
    </row>
    <row r="83">
      <c r="A83" s="22" t="n"/>
      <c r="B83" s="112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3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>
        <v>44386</v>
      </c>
      <c r="B10" s="12" t="inlineStr">
        <is>
          <t>USD</t>
        </is>
      </c>
      <c r="C10" s="37" t="n">
        <v>0.8472</v>
      </c>
      <c r="D10" s="13" t="n">
        <v>0</v>
      </c>
      <c r="E10" s="40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1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1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1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1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1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44078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44078</v>
      </c>
      <c r="I34" s="26" t="n"/>
      <c r="J34" s="26" t="n"/>
      <c r="K34" s="27" t="n"/>
      <c r="M34" s="30" t="inlineStr">
        <is>
          <t>Fecha ultimo pago</t>
        </is>
      </c>
      <c r="N34" s="23" t="n">
        <v>44078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0.00125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27" t="n"/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27" t="n"/>
      <c r="M38" s="30" t="inlineStr">
        <is>
          <t>Valor Tecnico</t>
        </is>
      </c>
      <c r="N38" s="45">
        <f>N36+N37</f>
        <v/>
      </c>
      <c r="O38" s="26" t="n"/>
      <c r="P38" s="26" t="n"/>
      <c r="Q38" s="27" t="n"/>
      <c r="T38" s="25" t="n"/>
      <c r="U38" s="25" t="n"/>
      <c r="V38" s="25" t="n"/>
    </row>
    <row r="39" ht="15.75" customHeight="1" s="73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H3" workbookViewId="0">
      <selection activeCell="T6" sqref="T6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45300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45300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45300</v>
      </c>
      <c r="O5" s="26" t="n"/>
      <c r="P5" s="26" t="n"/>
      <c r="Q5" s="27" t="n"/>
      <c r="S5" s="30" t="inlineStr">
        <is>
          <t>Fecha ultimo pago</t>
        </is>
      </c>
      <c r="T5" s="23" t="n">
        <v>45300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9.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40">
        <f>-'Paridad usd'!B52</f>
        <v/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49">
        <f>-'Paridad usd'!D52</f>
        <v/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49">
        <f>-'Paridad usd'!F52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/>
      <c r="B10" s="12" t="n"/>
      <c r="C10" s="37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8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0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8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0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8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0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8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0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8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0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8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0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8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0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8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0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8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0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8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0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45300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45300</v>
      </c>
      <c r="I34" s="26" t="n"/>
      <c r="J34" s="26" t="n"/>
      <c r="K34" s="27" t="n"/>
      <c r="M34" s="30" t="inlineStr">
        <is>
          <t>Fecha ultimo pago</t>
        </is>
      </c>
      <c r="N34" s="23" t="n">
        <v>45300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0.01125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49">
        <f>-'Paridad usd'!J52</f>
        <v/>
      </c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49">
        <f>-'Paridad usd'!L52</f>
        <v/>
      </c>
      <c r="M38" s="30" t="inlineStr">
        <is>
          <t>Valor Tecnico</t>
        </is>
      </c>
      <c r="N38" s="45">
        <f>N36+N37</f>
        <v/>
      </c>
      <c r="O38" s="26" t="n"/>
      <c r="P38" s="26" t="n"/>
      <c r="Q38" s="49">
        <f>-'Paridad usd'!N52</f>
        <v/>
      </c>
      <c r="T38" s="25" t="n"/>
      <c r="U38" s="25" t="n"/>
      <c r="V38" s="25" t="n"/>
    </row>
    <row r="39" ht="15.75" customHeight="1" s="73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0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0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0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0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0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0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0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0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0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0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0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0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0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0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0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0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0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0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0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0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0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0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0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0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0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0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0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0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0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0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0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0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0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0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0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0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0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0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0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0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0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0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0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0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0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0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9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3" min="1" max="1"/>
    <col width="15.140625" bestFit="1" customWidth="1" style="73" min="2" max="2"/>
  </cols>
  <sheetData>
    <row r="1">
      <c r="A1" s="34" t="inlineStr">
        <is>
          <t>Etiquetas de fila</t>
        </is>
      </c>
    </row>
    <row r="2">
      <c r="A2" s="35" t="n">
        <v>44098</v>
      </c>
    </row>
    <row r="3">
      <c r="A3" s="35" t="n">
        <v>44099</v>
      </c>
    </row>
    <row r="4">
      <c r="A4" s="35" t="n">
        <v>44102</v>
      </c>
    </row>
    <row r="5">
      <c r="A5" s="35" t="n">
        <v>44103</v>
      </c>
    </row>
    <row r="6">
      <c r="A6" s="35" t="n">
        <v>44104</v>
      </c>
    </row>
    <row r="7">
      <c r="A7" s="35" t="n">
        <v>44105</v>
      </c>
    </row>
    <row r="8">
      <c r="A8" s="35" t="n">
        <v>44106</v>
      </c>
    </row>
    <row r="9">
      <c r="A9" s="35" t="n">
        <v>44109</v>
      </c>
    </row>
    <row r="10">
      <c r="A10" s="35" t="n">
        <v>44110</v>
      </c>
    </row>
    <row r="11">
      <c r="A11" s="35" t="n">
        <v>44111</v>
      </c>
    </row>
    <row r="12">
      <c r="A12" s="35" t="n">
        <v>44112</v>
      </c>
    </row>
    <row r="13">
      <c r="A13" s="35" t="n">
        <v>44113</v>
      </c>
    </row>
    <row r="14">
      <c r="A14" s="35" t="n">
        <v>44117</v>
      </c>
    </row>
    <row r="15">
      <c r="A15" s="35" t="n">
        <v>44118</v>
      </c>
    </row>
    <row r="16">
      <c r="A16" s="35" t="n">
        <v>44119</v>
      </c>
    </row>
    <row r="17">
      <c r="A17" s="35" t="n">
        <v>44120</v>
      </c>
    </row>
    <row r="18">
      <c r="A18" s="35" t="n">
        <v>44123</v>
      </c>
    </row>
    <row r="19">
      <c r="A19" s="35" t="n">
        <v>44124</v>
      </c>
    </row>
    <row r="20">
      <c r="A20" s="35" t="n">
        <v>44125</v>
      </c>
    </row>
    <row r="21">
      <c r="A21" s="35" t="n">
        <v>44126</v>
      </c>
    </row>
    <row r="22">
      <c r="A22" s="35" t="n">
        <v>44127</v>
      </c>
    </row>
    <row r="23">
      <c r="A23" s="35" t="n">
        <v>44130</v>
      </c>
    </row>
    <row r="24">
      <c r="A24" s="35" t="n">
        <v>44131</v>
      </c>
    </row>
    <row r="25">
      <c r="A25" s="35" t="n">
        <v>44132</v>
      </c>
    </row>
    <row r="26">
      <c r="A26" s="35" t="n">
        <v>44133</v>
      </c>
    </row>
    <row r="27">
      <c r="A27" s="35" t="n">
        <v>44134</v>
      </c>
    </row>
    <row r="28">
      <c r="A28" s="35" t="n">
        <v>44137</v>
      </c>
    </row>
    <row r="29">
      <c r="A29" s="35" t="n">
        <v>44138</v>
      </c>
    </row>
    <row r="30">
      <c r="A30" s="35" t="n">
        <v>44139</v>
      </c>
    </row>
    <row r="31">
      <c r="A31" s="35" t="n">
        <v>44140</v>
      </c>
    </row>
    <row r="32">
      <c r="A32" s="35" t="n">
        <v>44141</v>
      </c>
    </row>
    <row r="33">
      <c r="A33" s="35" t="n">
        <v>44144</v>
      </c>
    </row>
    <row r="34">
      <c r="A34" s="35" t="n">
        <v>44145</v>
      </c>
    </row>
    <row r="35">
      <c r="A35" s="35" t="n">
        <v>44146</v>
      </c>
    </row>
    <row r="36">
      <c r="A36" s="35" t="n">
        <v>44147</v>
      </c>
    </row>
    <row r="37">
      <c r="A37" s="35" t="n">
        <v>44148</v>
      </c>
    </row>
    <row r="38">
      <c r="A38" s="35" t="n">
        <v>44151</v>
      </c>
    </row>
    <row r="39">
      <c r="A39" s="35" t="n">
        <v>44152</v>
      </c>
    </row>
    <row r="40">
      <c r="A40" s="35" t="n">
        <v>44153</v>
      </c>
    </row>
    <row r="41">
      <c r="A41" s="35" t="n">
        <v>44154</v>
      </c>
    </row>
    <row r="42">
      <c r="A42" s="35" t="n">
        <v>44155</v>
      </c>
    </row>
    <row r="43">
      <c r="A43" s="35" t="n">
        <v>44159</v>
      </c>
    </row>
    <row r="44">
      <c r="A44" s="35" t="n">
        <v>44160</v>
      </c>
    </row>
    <row r="45">
      <c r="A45" s="35" t="n">
        <v>44161</v>
      </c>
    </row>
    <row r="46">
      <c r="A46" s="35" t="n">
        <v>44162</v>
      </c>
    </row>
    <row r="47">
      <c r="A47" s="35" t="n">
        <v>44165</v>
      </c>
    </row>
    <row r="48">
      <c r="A48" s="35" t="n">
        <v>44166</v>
      </c>
    </row>
    <row r="49">
      <c r="A49" s="35" t="n">
        <v>44167</v>
      </c>
    </row>
    <row r="50">
      <c r="A50" s="35" t="n">
        <v>44168</v>
      </c>
    </row>
    <row r="51">
      <c r="A51" s="35" t="n">
        <v>44169</v>
      </c>
    </row>
    <row r="52">
      <c r="A52" s="35" t="n">
        <v>44174</v>
      </c>
    </row>
    <row r="53">
      <c r="A53" s="35" t="n">
        <v>44175</v>
      </c>
    </row>
    <row r="54">
      <c r="A54" s="35" t="n">
        <v>44176</v>
      </c>
    </row>
    <row r="55">
      <c r="A55" s="35" t="n">
        <v>44179</v>
      </c>
    </row>
    <row r="56">
      <c r="A56" s="35" t="n">
        <v>44180</v>
      </c>
    </row>
    <row r="57">
      <c r="A57" s="35" t="n">
        <v>44181</v>
      </c>
    </row>
    <row r="58">
      <c r="A58" s="35" t="n">
        <v>44182</v>
      </c>
    </row>
    <row r="59">
      <c r="A59" s="35" t="n">
        <v>44183</v>
      </c>
    </row>
    <row r="60">
      <c r="A60" s="35" t="n">
        <v>44186</v>
      </c>
    </row>
    <row r="61">
      <c r="A61" s="35" t="n">
        <v>44187</v>
      </c>
    </row>
    <row r="62">
      <c r="A62" s="35" t="n">
        <v>44188</v>
      </c>
    </row>
    <row r="63">
      <c r="A63" s="35" t="n">
        <v>44193</v>
      </c>
    </row>
    <row r="64">
      <c r="A64" s="35" t="n">
        <v>44194</v>
      </c>
    </row>
    <row r="65">
      <c r="A65" s="35" t="n">
        <v>44195</v>
      </c>
    </row>
    <row r="66">
      <c r="A66" s="35" t="n">
        <v>44200</v>
      </c>
    </row>
    <row r="67">
      <c r="A67" s="35" t="n">
        <v>44201</v>
      </c>
    </row>
    <row r="68">
      <c r="A68" s="35" t="n">
        <v>44202</v>
      </c>
    </row>
    <row r="69">
      <c r="A69" s="35" t="n">
        <v>44203</v>
      </c>
    </row>
    <row r="70">
      <c r="A70" s="35" t="n">
        <v>44204</v>
      </c>
    </row>
    <row r="71">
      <c r="A71" s="35" t="n">
        <v>44207</v>
      </c>
    </row>
    <row r="72">
      <c r="A72" s="35" t="n">
        <v>44208</v>
      </c>
    </row>
    <row r="73">
      <c r="A73" s="35" t="n">
        <v>44209</v>
      </c>
    </row>
    <row r="74">
      <c r="A74" s="35" t="n">
        <v>44210</v>
      </c>
    </row>
    <row r="75">
      <c r="A75" s="35" t="n">
        <v>44211</v>
      </c>
    </row>
    <row r="76">
      <c r="A76" s="35" t="n">
        <v>44214</v>
      </c>
    </row>
    <row r="77">
      <c r="A77" s="35" t="n">
        <v>44215</v>
      </c>
    </row>
    <row r="78">
      <c r="A78" s="35" t="n">
        <v>44216</v>
      </c>
    </row>
    <row r="79">
      <c r="A79" s="35" t="n">
        <v>44217</v>
      </c>
    </row>
    <row r="80">
      <c r="A80" s="35" t="n">
        <v>44218</v>
      </c>
    </row>
    <row r="81">
      <c r="A81" s="35" t="n">
        <v>44221</v>
      </c>
    </row>
    <row r="82">
      <c r="A82" s="35" t="n">
        <v>44222</v>
      </c>
    </row>
    <row r="83">
      <c r="A83" s="35" t="n">
        <v>44223</v>
      </c>
    </row>
    <row r="84">
      <c r="A84" s="35" t="n">
        <v>44224</v>
      </c>
    </row>
    <row r="85">
      <c r="A85" s="35" t="n">
        <v>44225</v>
      </c>
    </row>
    <row r="86">
      <c r="A86" s="35" t="n">
        <v>44228</v>
      </c>
    </row>
    <row r="87">
      <c r="A87" s="35" t="n">
        <v>44229</v>
      </c>
    </row>
    <row r="88">
      <c r="A88" s="35" t="n">
        <v>44230</v>
      </c>
    </row>
    <row r="89">
      <c r="A89" s="35" t="n">
        <v>44231</v>
      </c>
    </row>
    <row r="90">
      <c r="A90" s="35" t="n">
        <v>44232</v>
      </c>
    </row>
    <row r="91">
      <c r="A91" s="35" t="n">
        <v>44235</v>
      </c>
    </row>
    <row r="92">
      <c r="A92" s="35" t="n">
        <v>44236</v>
      </c>
    </row>
    <row r="93">
      <c r="A93" s="35" t="n">
        <v>44237</v>
      </c>
    </row>
    <row r="94">
      <c r="A94" s="35" t="n">
        <v>44238</v>
      </c>
    </row>
    <row r="95">
      <c r="A95" s="35" t="n">
        <v>44239</v>
      </c>
    </row>
    <row r="96">
      <c r="A96" s="35" t="n">
        <v>44244</v>
      </c>
    </row>
    <row r="97">
      <c r="A97" s="35" t="n">
        <v>44245</v>
      </c>
    </row>
    <row r="98">
      <c r="A98" s="35" t="n">
        <v>44246</v>
      </c>
    </row>
    <row r="99">
      <c r="A99" s="35" t="n">
        <v>44249</v>
      </c>
    </row>
    <row r="100">
      <c r="A100" s="35" t="n">
        <v>44250</v>
      </c>
    </row>
    <row r="101">
      <c r="A101" s="35" t="n">
        <v>44251</v>
      </c>
    </row>
    <row r="102">
      <c r="A102" s="35" t="n">
        <v>44252</v>
      </c>
    </row>
    <row r="103">
      <c r="A103" s="35" t="n">
        <v>44253</v>
      </c>
    </row>
    <row r="104">
      <c r="A104" s="35" t="n">
        <v>44256</v>
      </c>
    </row>
    <row r="105">
      <c r="A105" s="35" t="n">
        <v>44257</v>
      </c>
    </row>
    <row r="106">
      <c r="A106" s="35" t="n">
        <v>44258</v>
      </c>
    </row>
    <row r="107">
      <c r="A107" s="35" t="n">
        <v>44259</v>
      </c>
    </row>
    <row r="108">
      <c r="A108" s="35" t="n">
        <v>44260</v>
      </c>
    </row>
    <row r="109">
      <c r="A109" s="35" t="n">
        <v>44263</v>
      </c>
    </row>
    <row r="110">
      <c r="A110" s="35" t="n">
        <v>44264</v>
      </c>
    </row>
    <row r="111">
      <c r="A111" s="35" t="n">
        <v>44265</v>
      </c>
    </row>
    <row r="112">
      <c r="A112" s="35" t="n">
        <v>44266</v>
      </c>
    </row>
    <row r="113">
      <c r="A113" s="35" t="n">
        <v>44267</v>
      </c>
    </row>
    <row r="114">
      <c r="A114" s="35" t="n">
        <v>44270</v>
      </c>
    </row>
    <row r="115">
      <c r="A115" s="35" t="n">
        <v>44271</v>
      </c>
    </row>
    <row r="116">
      <c r="A116" s="35" t="n">
        <v>44272</v>
      </c>
    </row>
    <row r="117">
      <c r="A117" s="35" t="n">
        <v>44273</v>
      </c>
    </row>
    <row r="118">
      <c r="A118" s="35" t="n">
        <v>44274</v>
      </c>
    </row>
    <row r="119">
      <c r="A119" s="35" t="n">
        <v>44277</v>
      </c>
    </row>
    <row r="120">
      <c r="A120" s="35" t="n">
        <v>44278</v>
      </c>
    </row>
    <row r="121">
      <c r="A121" s="35" t="n">
        <v>44280</v>
      </c>
    </row>
    <row r="122">
      <c r="A122" s="35" t="n">
        <v>44281</v>
      </c>
    </row>
    <row r="123">
      <c r="A123" s="35" t="n">
        <v>44284</v>
      </c>
    </row>
    <row r="124">
      <c r="A124" s="35" t="n">
        <v>44285</v>
      </c>
    </row>
    <row r="125">
      <c r="A125" s="35" t="n">
        <v>44286</v>
      </c>
    </row>
    <row r="126">
      <c r="A126" s="35" t="n">
        <v>44291</v>
      </c>
    </row>
    <row r="127">
      <c r="A127" s="35" t="n">
        <v>44292</v>
      </c>
    </row>
    <row r="128">
      <c r="A128" s="35" t="n">
        <v>44293</v>
      </c>
    </row>
    <row r="129">
      <c r="A129" s="35" t="n">
        <v>44294</v>
      </c>
    </row>
    <row r="130">
      <c r="A130" s="35" t="n">
        <v>44295</v>
      </c>
    </row>
    <row r="131">
      <c r="A131" s="35" t="n">
        <v>44298</v>
      </c>
    </row>
    <row r="132">
      <c r="A132" s="35" t="n">
        <v>44299</v>
      </c>
    </row>
    <row r="133">
      <c r="A133" s="35" t="n">
        <v>44300</v>
      </c>
    </row>
    <row r="134">
      <c r="A134" s="35" t="n">
        <v>44301</v>
      </c>
    </row>
    <row r="135">
      <c r="A135" s="35" t="n">
        <v>44302</v>
      </c>
    </row>
    <row r="136">
      <c r="A136" s="35" t="n">
        <v>44305</v>
      </c>
    </row>
    <row r="137">
      <c r="A137" s="35" t="n">
        <v>44306</v>
      </c>
    </row>
    <row r="138">
      <c r="A138" s="35" t="n">
        <v>44307</v>
      </c>
    </row>
    <row r="139">
      <c r="A139" s="35" t="n">
        <v>44308</v>
      </c>
    </row>
    <row r="140">
      <c r="A140" s="35" t="n">
        <v>44309</v>
      </c>
    </row>
    <row r="141">
      <c r="A141" s="35" t="n">
        <v>44312</v>
      </c>
    </row>
    <row r="142">
      <c r="A142" s="35" t="n">
        <v>44313</v>
      </c>
    </row>
    <row r="143">
      <c r="A143" s="35" t="n">
        <v>44314</v>
      </c>
    </row>
    <row r="144">
      <c r="A144" s="35" t="n">
        <v>44315</v>
      </c>
    </row>
    <row r="145">
      <c r="A145" s="35" t="n">
        <v>44316</v>
      </c>
    </row>
    <row r="146">
      <c r="A146" s="35" t="n">
        <v>44319</v>
      </c>
    </row>
    <row r="147">
      <c r="A147" s="35" t="n">
        <v>44320</v>
      </c>
    </row>
    <row r="148">
      <c r="A148" s="35" t="n">
        <v>44321</v>
      </c>
    </row>
    <row r="149">
      <c r="A149" s="35" t="n">
        <v>44322</v>
      </c>
    </row>
    <row r="150">
      <c r="A150" s="35" t="n">
        <v>44323</v>
      </c>
    </row>
    <row r="151">
      <c r="A151" s="35" t="n">
        <v>44326</v>
      </c>
    </row>
    <row r="152">
      <c r="A152" s="35" t="n">
        <v>44327</v>
      </c>
    </row>
    <row r="153">
      <c r="A153" s="35" t="n">
        <v>44328</v>
      </c>
    </row>
    <row r="154">
      <c r="A154" s="35" t="n">
        <v>44329</v>
      </c>
    </row>
    <row r="155">
      <c r="A155" s="35" t="n">
        <v>44330</v>
      </c>
    </row>
    <row r="156">
      <c r="A156" s="35" t="n">
        <v>44333</v>
      </c>
    </row>
    <row r="157">
      <c r="A157" s="35" t="n">
        <v>44334</v>
      </c>
    </row>
    <row r="158">
      <c r="A158" s="35" t="n">
        <v>44335</v>
      </c>
    </row>
    <row r="159">
      <c r="A159" s="35" t="n">
        <v>44336</v>
      </c>
    </row>
    <row r="160">
      <c r="A160" s="35" t="n">
        <v>44337</v>
      </c>
    </row>
    <row r="161">
      <c r="A161" s="35" t="n">
        <v>44342</v>
      </c>
    </row>
    <row r="162">
      <c r="A162" s="35" t="n">
        <v>44343</v>
      </c>
    </row>
    <row r="163">
      <c r="A163" s="35" t="n">
        <v>44344</v>
      </c>
    </row>
    <row r="164">
      <c r="A164" s="35" t="n">
        <v>44347</v>
      </c>
    </row>
    <row r="165">
      <c r="A165" s="35" t="n">
        <v>44348</v>
      </c>
    </row>
    <row r="166">
      <c r="A166" s="35" t="n">
        <v>44349</v>
      </c>
    </row>
    <row r="167">
      <c r="A167" s="35" t="n">
        <v>44350</v>
      </c>
    </row>
    <row r="168">
      <c r="A168" s="35" t="n">
        <v>44351</v>
      </c>
    </row>
    <row r="169">
      <c r="A169" s="35" t="n">
        <v>44354</v>
      </c>
    </row>
    <row r="170">
      <c r="A170" s="35" t="n">
        <v>44355</v>
      </c>
    </row>
    <row r="171">
      <c r="A171" s="35" t="n">
        <v>44356</v>
      </c>
    </row>
    <row r="172">
      <c r="A172" s="35" t="n">
        <v>44357</v>
      </c>
    </row>
    <row r="173">
      <c r="A173" s="35" t="n">
        <v>44358</v>
      </c>
    </row>
    <row r="174">
      <c r="A174" s="35" t="n">
        <v>44361</v>
      </c>
    </row>
    <row r="175">
      <c r="A175" s="35" t="n">
        <v>44362</v>
      </c>
    </row>
    <row r="176">
      <c r="A176" s="35" t="n">
        <v>44363</v>
      </c>
    </row>
    <row r="177">
      <c r="A177" s="35" t="n">
        <v>44364</v>
      </c>
    </row>
    <row r="178">
      <c r="A178" s="35" t="n">
        <v>44365</v>
      </c>
    </row>
    <row r="179">
      <c r="A179" s="35" t="n">
        <v>44369</v>
      </c>
    </row>
    <row r="180">
      <c r="A180" s="35" t="n">
        <v>44370</v>
      </c>
    </row>
    <row r="181">
      <c r="A181" s="35" t="n">
        <v>44371</v>
      </c>
    </row>
    <row r="182">
      <c r="A182" s="35" t="n">
        <v>44372</v>
      </c>
    </row>
    <row r="183">
      <c r="A183" s="35" t="n">
        <v>44375</v>
      </c>
    </row>
    <row r="184">
      <c r="A184" s="35" t="n">
        <v>44376</v>
      </c>
    </row>
    <row r="185">
      <c r="A185" s="35" t="n">
        <v>44377</v>
      </c>
    </row>
    <row r="186">
      <c r="A186" s="35" t="n">
        <v>44378</v>
      </c>
    </row>
    <row r="187">
      <c r="A187" s="35" t="n">
        <v>44379</v>
      </c>
    </row>
    <row r="188">
      <c r="A188" s="35" t="n">
        <v>44382</v>
      </c>
    </row>
    <row r="189">
      <c r="A189" s="35" t="n">
        <v>44383</v>
      </c>
    </row>
    <row r="190">
      <c r="A190" s="35" t="n">
        <v>44384</v>
      </c>
    </row>
    <row r="191">
      <c r="A191" s="35" t="n">
        <v>44385</v>
      </c>
    </row>
    <row r="192">
      <c r="A192" s="35" t="n">
        <v>44389</v>
      </c>
    </row>
    <row r="193">
      <c r="A193" s="35" t="n">
        <v>44390</v>
      </c>
    </row>
    <row r="194">
      <c r="A194" s="35" t="n">
        <v>44391</v>
      </c>
    </row>
    <row r="195">
      <c r="A195" s="35" t="n">
        <v>44392</v>
      </c>
    </row>
    <row r="196">
      <c r="A196" s="35" t="n">
        <v>44393</v>
      </c>
    </row>
    <row r="197">
      <c r="A197" s="43" t="inlineStr">
        <is>
          <t>24/09/2021</t>
        </is>
      </c>
    </row>
    <row r="198">
      <c r="A198" s="43" t="inlineStr">
        <is>
          <t>23/09/2021</t>
        </is>
      </c>
    </row>
    <row r="199">
      <c r="A199" s="43" t="inlineStr">
        <is>
          <t>22/09/2021</t>
        </is>
      </c>
    </row>
    <row r="200">
      <c r="A200" s="43" t="inlineStr">
        <is>
          <t>21/09/2021</t>
        </is>
      </c>
    </row>
    <row r="201">
      <c r="A201" s="43" t="inlineStr">
        <is>
          <t>20/09/2021</t>
        </is>
      </c>
    </row>
    <row r="202">
      <c r="A202" s="43" t="inlineStr">
        <is>
          <t>17/09/2021</t>
        </is>
      </c>
    </row>
    <row r="203">
      <c r="A203" s="43" t="inlineStr">
        <is>
          <t>16/09/2021</t>
        </is>
      </c>
    </row>
    <row r="204">
      <c r="A204" s="35" t="n">
        <v>44454</v>
      </c>
    </row>
    <row r="205">
      <c r="A205" s="35" t="n">
        <v>44453</v>
      </c>
    </row>
    <row r="206">
      <c r="A206" s="35" t="n">
        <v>44452</v>
      </c>
    </row>
    <row r="207">
      <c r="A207" s="35" t="n">
        <v>44449</v>
      </c>
    </row>
    <row r="208">
      <c r="A208" s="35" t="n">
        <v>44448</v>
      </c>
    </row>
    <row r="209">
      <c r="A209" s="35" t="n">
        <v>44447</v>
      </c>
    </row>
    <row r="210">
      <c r="A210" s="35" t="n">
        <v>44446</v>
      </c>
    </row>
    <row r="211">
      <c r="A211" s="35" t="n">
        <v>44445</v>
      </c>
    </row>
    <row r="212">
      <c r="A212" s="35" t="n">
        <v>44442</v>
      </c>
    </row>
    <row r="213">
      <c r="A213" s="35" t="n">
        <v>44441</v>
      </c>
    </row>
    <row r="214">
      <c r="A214" s="35" t="n">
        <v>44440</v>
      </c>
    </row>
    <row r="215">
      <c r="A215" s="35" t="n">
        <v>44439</v>
      </c>
    </row>
    <row r="216">
      <c r="A216" s="35" t="n">
        <v>44438</v>
      </c>
    </row>
    <row r="217">
      <c r="A217" s="35" t="n">
        <v>44435</v>
      </c>
    </row>
    <row r="218">
      <c r="A218" s="35" t="n">
        <v>44434</v>
      </c>
    </row>
    <row r="219">
      <c r="A219" s="35" t="n">
        <v>44433</v>
      </c>
    </row>
    <row r="220">
      <c r="A220" s="35" t="n">
        <v>44432</v>
      </c>
    </row>
    <row r="221">
      <c r="A221" s="35" t="n">
        <v>44431</v>
      </c>
    </row>
    <row r="222">
      <c r="A222" s="35" t="n">
        <v>44428</v>
      </c>
    </row>
    <row r="223">
      <c r="A223" s="35" t="n">
        <v>44427</v>
      </c>
    </row>
    <row r="224">
      <c r="A224" s="35" t="n">
        <v>44426</v>
      </c>
    </row>
    <row r="225">
      <c r="A225" s="35" t="n">
        <v>44425</v>
      </c>
    </row>
    <row r="226">
      <c r="A226" s="35" t="n">
        <v>44421</v>
      </c>
    </row>
    <row r="227">
      <c r="A227" s="35" t="n">
        <v>44420</v>
      </c>
    </row>
    <row r="228">
      <c r="A228" s="35" t="n">
        <v>44419</v>
      </c>
    </row>
    <row r="229">
      <c r="A229" s="35" t="n">
        <v>44418</v>
      </c>
    </row>
    <row r="230">
      <c r="A230" s="35" t="n">
        <v>44417</v>
      </c>
    </row>
    <row r="231">
      <c r="A231" s="35" t="n">
        <v>44413</v>
      </c>
    </row>
    <row r="232">
      <c r="A232" s="35" t="n">
        <v>44412</v>
      </c>
    </row>
    <row r="233">
      <c r="A233" s="35" t="n">
        <v>44411</v>
      </c>
    </row>
    <row r="234">
      <c r="A234" s="35" t="n">
        <v>44410</v>
      </c>
    </row>
    <row r="235">
      <c r="A235" s="35" t="n">
        <v>44409</v>
      </c>
    </row>
    <row r="236">
      <c r="A236" s="35" t="n">
        <v>44407</v>
      </c>
    </row>
    <row r="237">
      <c r="A237" s="35" t="n">
        <v>44406</v>
      </c>
    </row>
    <row r="238">
      <c r="A238" s="35" t="n">
        <v>44405</v>
      </c>
    </row>
    <row r="239">
      <c r="A239" s="35" t="n">
        <v>44404</v>
      </c>
    </row>
    <row r="240">
      <c r="A240" s="35" t="n">
        <v>44403</v>
      </c>
    </row>
    <row r="241">
      <c r="A241" s="35" t="n">
        <v>44400</v>
      </c>
    </row>
    <row r="242">
      <c r="A242" s="35" t="n">
        <v>44399</v>
      </c>
    </row>
    <row r="243">
      <c r="A243" s="35" t="n">
        <v>44398</v>
      </c>
    </row>
    <row r="244">
      <c r="A244" s="35" t="n">
        <v>44397</v>
      </c>
    </row>
    <row r="245">
      <c r="A245" s="35" t="n">
        <v>44396</v>
      </c>
    </row>
    <row r="246">
      <c r="A246" s="43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10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3" min="1" max="1"/>
    <col width="12.140625" customWidth="1" style="73" min="2" max="2"/>
    <col width="13.5703125" customWidth="1" style="73" min="3" max="3"/>
    <col width="12.140625" customWidth="1" style="73" min="4" max="6"/>
    <col width="13.5703125" customWidth="1" style="73" min="7" max="7"/>
    <col width="12.140625" customWidth="1" style="73" min="8" max="8"/>
  </cols>
  <sheetData>
    <row r="1">
      <c r="B1" s="34" t="inlineStr">
        <is>
          <t>Valores</t>
        </is>
      </c>
    </row>
    <row r="2">
      <c r="A2" s="34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5" t="n">
        <v>44088</v>
      </c>
      <c r="B3" s="24" t="n">
        <v>0.5222639633169438</v>
      </c>
      <c r="C3" s="24" t="n">
        <v>0.5419244793105353</v>
      </c>
      <c r="D3" s="24" t="n">
        <v>0.4925026225394409</v>
      </c>
      <c r="E3" s="24" t="n">
        <v>0.5208261120739457</v>
      </c>
      <c r="F3" s="24" t="n">
        <v>0.4403493976729677</v>
      </c>
      <c r="G3" s="24" t="n">
        <v>0.4999794528991959</v>
      </c>
      <c r="H3" s="24" t="n">
        <v>0.4495288920841427</v>
      </c>
    </row>
    <row r="4">
      <c r="A4" s="35" t="n">
        <v>44089</v>
      </c>
      <c r="B4" s="24" t="n">
        <v>0.5182167223710742</v>
      </c>
      <c r="C4" s="24" t="n">
        <v>0.5419095102615805</v>
      </c>
      <c r="D4" s="24" t="n">
        <v>0.4839922798188568</v>
      </c>
      <c r="E4" s="24" t="n">
        <v>0.512886675928091</v>
      </c>
      <c r="F4" s="24" t="n">
        <v>0.4314388264776159</v>
      </c>
      <c r="G4" s="24" t="n">
        <v>0.4999777407170229</v>
      </c>
      <c r="H4" s="24" t="n">
        <v>0.4496158326046307</v>
      </c>
    </row>
    <row r="5">
      <c r="A5" s="35" t="n">
        <v>44090</v>
      </c>
      <c r="B5" s="24" t="n">
        <v>0.4924939233233897</v>
      </c>
      <c r="C5" s="24" t="n">
        <v>0.5141697050049718</v>
      </c>
      <c r="D5" s="24" t="n">
        <v>0.4519581493568823</v>
      </c>
      <c r="E5" s="24" t="n">
        <v>0.4815525968309859</v>
      </c>
      <c r="F5" s="24" t="n">
        <v>0.4104160381756849</v>
      </c>
      <c r="G5" s="24" t="n">
        <v>0.4809769394618066</v>
      </c>
      <c r="H5" s="24" t="n">
        <v>0.422857853844665</v>
      </c>
    </row>
    <row r="6">
      <c r="A6" s="35" t="n">
        <v>44091</v>
      </c>
      <c r="B6" s="24" t="n">
        <v>0.4890526170418451</v>
      </c>
      <c r="C6" s="24" t="n">
        <v>0.4840118768125949</v>
      </c>
      <c r="D6" s="24" t="n">
        <v>0.4429474983287911</v>
      </c>
      <c r="E6" s="24" t="n">
        <v>0.470902964032735</v>
      </c>
      <c r="F6" s="24" t="n">
        <v>0.400404518263314</v>
      </c>
      <c r="G6" s="24" t="n">
        <v>0.4624762426587675</v>
      </c>
      <c r="H6" s="24" t="n">
        <v>0.4213309371165909</v>
      </c>
    </row>
    <row r="7">
      <c r="A7" s="35" t="n">
        <v>44092</v>
      </c>
      <c r="B7" s="24" t="n">
        <v>0.4874261172181407</v>
      </c>
      <c r="C7" s="24" t="n">
        <v>0.4884342374192123</v>
      </c>
      <c r="D7" s="24" t="n">
        <v>0.4429459798564308</v>
      </c>
      <c r="E7" s="24" t="n">
        <v>0.472904574588067</v>
      </c>
      <c r="F7" s="24" t="n">
        <v>0.4004031456329318</v>
      </c>
      <c r="G7" s="24" t="n">
        <v>0.4688743082570818</v>
      </c>
      <c r="H7" s="24" t="n">
        <v>0.4198041153742475</v>
      </c>
    </row>
    <row r="8">
      <c r="A8" s="35" t="n">
        <v>44095</v>
      </c>
      <c r="B8" s="24" t="n">
        <v>0.4778093844071916</v>
      </c>
      <c r="C8" s="24" t="n">
        <v>0.4737772377033334</v>
      </c>
      <c r="D8" s="24" t="n">
        <v>0.4339324463763545</v>
      </c>
      <c r="E8" s="24" t="n">
        <v>0.4630458402673672</v>
      </c>
      <c r="F8" s="24" t="n">
        <v>0.3863850618253122</v>
      </c>
      <c r="G8" s="24" t="n">
        <v>0.4574702331012708</v>
      </c>
      <c r="H8" s="24" t="n">
        <v>0.4060418617670131</v>
      </c>
    </row>
    <row r="9">
      <c r="A9" s="35" t="n">
        <v>44096</v>
      </c>
      <c r="B9" s="24" t="n">
        <v>0.4687241093620547</v>
      </c>
      <c r="C9" s="24" t="n">
        <v>0.4737641535487435</v>
      </c>
      <c r="D9" s="24" t="n">
        <v>0.4269239998628775</v>
      </c>
      <c r="E9" s="24" t="n">
        <v>0.4557103562095998</v>
      </c>
      <c r="F9" s="24" t="n">
        <v>0.3778752871002022</v>
      </c>
      <c r="G9" s="24" t="n">
        <v>0.4532689541812204</v>
      </c>
      <c r="H9" s="24" t="n">
        <v>0.3884723038114655</v>
      </c>
    </row>
    <row r="10">
      <c r="A10" s="35" t="n">
        <v>44097</v>
      </c>
      <c r="B10" s="24" t="n">
        <v>0.4797989561183066</v>
      </c>
      <c r="C10" s="24" t="n">
        <v>0.4747590511170639</v>
      </c>
      <c r="D10" s="24" t="n">
        <v>0.4304260038188481</v>
      </c>
      <c r="E10" s="24" t="n">
        <v>0.4673501946060431</v>
      </c>
      <c r="F10" s="24" t="n">
        <v>0.3858819173771301</v>
      </c>
      <c r="G10" s="24" t="n">
        <v>0.4629667044493375</v>
      </c>
      <c r="H10" s="24" t="n">
        <v>0.4010725676315399</v>
      </c>
    </row>
    <row r="11">
      <c r="A11" s="35" t="n">
        <v>44098</v>
      </c>
      <c r="B11" s="24" t="n">
        <v>0.4794833204462609</v>
      </c>
      <c r="C11" s="24" t="n">
        <v>0.4818016127250635</v>
      </c>
      <c r="D11" s="24" t="n">
        <v>0.4344284774023695</v>
      </c>
      <c r="E11" s="24" t="n">
        <v>0.4618219826163494</v>
      </c>
      <c r="F11" s="24" t="n">
        <v>0.3948894800351032</v>
      </c>
      <c r="G11" s="24" t="n">
        <v>0.4569655710871099</v>
      </c>
      <c r="H11" s="24" t="n">
        <v>0.4227526536930561</v>
      </c>
    </row>
    <row r="12">
      <c r="A12" s="35" t="n">
        <v>44099</v>
      </c>
      <c r="B12" s="24" t="n">
        <v>0.4680805235688841</v>
      </c>
      <c r="C12" s="24" t="n">
        <v>0.4838041587275288</v>
      </c>
      <c r="D12" s="24" t="n">
        <v>0.4293219705669614</v>
      </c>
      <c r="E12" s="24" t="n">
        <v>0.4537840551208175</v>
      </c>
      <c r="F12" s="24" t="n">
        <v>0.4003935374837597</v>
      </c>
      <c r="G12" s="24" t="n">
        <v>0.4528643291795509</v>
      </c>
      <c r="H12" s="24" t="n">
        <v>0.4187038080002211</v>
      </c>
    </row>
    <row r="13">
      <c r="A13" s="35" t="n">
        <v>44102</v>
      </c>
      <c r="B13" s="24" t="n">
        <v>0.4665299867461895</v>
      </c>
      <c r="C13" s="24" t="n">
        <v>0.48678760768721</v>
      </c>
      <c r="D13" s="24" t="n">
        <v>0.4247130771023873</v>
      </c>
      <c r="E13" s="24" t="n">
        <v>0.4507536168106056</v>
      </c>
      <c r="F13" s="24" t="n">
        <v>0.3953845520986164</v>
      </c>
      <c r="G13" s="24" t="n">
        <v>0.4484600686240267</v>
      </c>
      <c r="H13" s="24" t="n">
        <v>0.4136205967302829</v>
      </c>
    </row>
    <row r="14">
      <c r="A14" s="35" t="n">
        <v>44103</v>
      </c>
      <c r="B14" s="24" t="n">
        <v>0.4635944445978408</v>
      </c>
      <c r="C14" s="24" t="n">
        <v>0.4787116547477704</v>
      </c>
      <c r="D14" s="24" t="n">
        <v>0.4184055094492264</v>
      </c>
      <c r="E14" s="24" t="n">
        <v>0.4484384669334543</v>
      </c>
      <c r="F14" s="24" t="n">
        <v>0.3907787341841579</v>
      </c>
      <c r="G14" s="24" t="n">
        <v>0.4446588842812479</v>
      </c>
      <c r="H14" s="24" t="n">
        <v>0.4025109430546582</v>
      </c>
    </row>
    <row r="15">
      <c r="A15" s="35" t="n">
        <v>44104</v>
      </c>
      <c r="B15" s="24" t="n">
        <v>0.4621707438290353</v>
      </c>
      <c r="C15" s="24" t="n">
        <v>0.4827295819758131</v>
      </c>
      <c r="D15" s="24" t="n">
        <v>0.4244098752905203</v>
      </c>
      <c r="E15" s="24" t="n">
        <v>0.4477295855221541</v>
      </c>
      <c r="F15" s="24" t="n">
        <v>0.3905772012697194</v>
      </c>
      <c r="G15" s="24" t="n">
        <v>0.4470571315079376</v>
      </c>
      <c r="H15" s="24" t="n">
        <v>0.4109720792366529</v>
      </c>
    </row>
    <row r="16">
      <c r="A16" s="35" t="n">
        <v>44105</v>
      </c>
      <c r="B16" s="24" t="n">
        <v>0.4660882409784919</v>
      </c>
      <c r="C16" s="24" t="n">
        <v>0.486948839007151</v>
      </c>
      <c r="D16" s="24" t="n">
        <v>0.4294132367106702</v>
      </c>
      <c r="E16" s="24" t="n">
        <v>0.448727292729548</v>
      </c>
      <c r="F16" s="24" t="n">
        <v>0.3983833757828595</v>
      </c>
      <c r="G16" s="24" t="n">
        <v>0.4439559084885405</v>
      </c>
      <c r="H16" s="24" t="n">
        <v>0.4115645435984951</v>
      </c>
    </row>
    <row r="17">
      <c r="A17" s="35" t="n">
        <v>44106</v>
      </c>
      <c r="B17" s="24" t="n">
        <v>0.4580135284373275</v>
      </c>
      <c r="C17" s="24" t="n">
        <v>0.4768580894533407</v>
      </c>
      <c r="D17" s="24" t="n">
        <v>0.421904566022213</v>
      </c>
      <c r="E17" s="24" t="n">
        <v>0.4447057205720572</v>
      </c>
      <c r="F17" s="24" t="n">
        <v>0.4003839297956945</v>
      </c>
      <c r="G17" s="24" t="n">
        <v>0.4398548094373866</v>
      </c>
      <c r="H17" s="24" t="n">
        <v>0.4039864584772695</v>
      </c>
    </row>
    <row r="18">
      <c r="A18" s="35" t="n">
        <v>44109</v>
      </c>
      <c r="B18" s="24" t="n">
        <v>0.4573710073710074</v>
      </c>
      <c r="C18" s="24" t="n">
        <v>0.4835698313226403</v>
      </c>
      <c r="D18" s="24" t="n">
        <v>0.416895479615937</v>
      </c>
      <c r="E18" s="24" t="n">
        <v>0.4456911843570809</v>
      </c>
      <c r="F18" s="24" t="n">
        <v>0.400379812356242</v>
      </c>
      <c r="G18" s="24" t="n">
        <v>0.4344509010967939</v>
      </c>
      <c r="H18" s="24" t="n">
        <v>0.398401420345622</v>
      </c>
    </row>
    <row r="19">
      <c r="A19" s="35" t="n">
        <v>44110</v>
      </c>
      <c r="B19" s="24" t="n">
        <v>0.4564515238515901</v>
      </c>
      <c r="C19" s="24" t="n">
        <v>0.4796267667844523</v>
      </c>
      <c r="D19" s="24" t="n">
        <v>0.4143916852915769</v>
      </c>
      <c r="E19" s="24" t="n">
        <v>0.4461869534129036</v>
      </c>
      <c r="F19" s="24" t="n">
        <v>0.4002783452852697</v>
      </c>
      <c r="G19" s="24" t="n">
        <v>0.4399487730880651</v>
      </c>
      <c r="H19" s="24" t="n">
        <v>0.4030285027425082</v>
      </c>
    </row>
    <row r="20">
      <c r="A20" s="35" t="n">
        <v>44111</v>
      </c>
      <c r="B20" s="24" t="n">
        <v>0.4578495514147688</v>
      </c>
      <c r="C20" s="24" t="n">
        <v>0.4806211180124224</v>
      </c>
      <c r="D20" s="24" t="n">
        <v>0.4163921501414003</v>
      </c>
      <c r="E20" s="24" t="n">
        <v>0.4496940529391543</v>
      </c>
      <c r="F20" s="24" t="n">
        <v>0.399376124775045</v>
      </c>
      <c r="G20" s="24" t="n">
        <v>0.4449466673515161</v>
      </c>
      <c r="H20" s="24" t="n">
        <v>0.4044279423193161</v>
      </c>
    </row>
    <row r="21">
      <c r="A21" s="35" t="n">
        <v>44112</v>
      </c>
      <c r="B21" s="24" t="n">
        <v>0.456627836360625</v>
      </c>
      <c r="C21" s="24" t="n">
        <v>0.4911872688124552</v>
      </c>
      <c r="D21" s="24" t="n">
        <v>0.414789220021527</v>
      </c>
      <c r="E21" s="24" t="n">
        <v>0.4486841019717845</v>
      </c>
      <c r="F21" s="24" t="n">
        <v>0.3953709988139555</v>
      </c>
      <c r="G21" s="24" t="n">
        <v>0.447944773931981</v>
      </c>
      <c r="H21" s="24" t="n">
        <v>0.4021966332106074</v>
      </c>
    </row>
    <row r="22">
      <c r="A22" s="35" t="n">
        <v>44113</v>
      </c>
      <c r="B22" s="24" t="n">
        <v>0.4597385927623044</v>
      </c>
      <c r="C22" s="24" t="n">
        <v>0.4896624064923952</v>
      </c>
      <c r="D22" s="24" t="n">
        <v>0.4159889211488824</v>
      </c>
      <c r="E22" s="24" t="n">
        <v>0.44897905867147</v>
      </c>
      <c r="F22" s="24" t="n">
        <v>0.3953696435365942</v>
      </c>
      <c r="G22" s="24" t="n">
        <v>0.4501429613370909</v>
      </c>
      <c r="H22" s="24" t="n">
        <v>0.4033943144886942</v>
      </c>
    </row>
    <row r="23">
      <c r="A23" s="35" t="n">
        <v>44117</v>
      </c>
      <c r="B23" s="24" t="n">
        <v>0.4578744721371202</v>
      </c>
      <c r="C23" s="24" t="n">
        <v>0.4875934972813337</v>
      </c>
      <c r="D23" s="24" t="n">
        <v>0.4159832174160443</v>
      </c>
      <c r="E23" s="24" t="n">
        <v>0.4490547359447828</v>
      </c>
      <c r="F23" s="24" t="n">
        <v>0.3928619173142381</v>
      </c>
      <c r="G23" s="24" t="n">
        <v>0.4500368098999798</v>
      </c>
      <c r="H23" s="24" t="n">
        <v>0.4003190839114715</v>
      </c>
    </row>
    <row r="24">
      <c r="A24" s="35" t="n">
        <v>44118</v>
      </c>
      <c r="B24" s="24" t="n">
        <v>0.4523211525723118</v>
      </c>
      <c r="C24" s="24" t="n">
        <v>0.4875800397438728</v>
      </c>
      <c r="D24" s="24" t="n">
        <v>0.411177381980722</v>
      </c>
      <c r="E24" s="24" t="n">
        <v>0.4461378760380575</v>
      </c>
      <c r="F24" s="24" t="n">
        <v>0.3823509248214115</v>
      </c>
      <c r="G24" s="24" t="n">
        <v>0.4549345642065182</v>
      </c>
      <c r="H24" s="24" t="n">
        <v>0.3970799895023275</v>
      </c>
    </row>
    <row r="25">
      <c r="A25" s="35" t="n">
        <v>44119</v>
      </c>
      <c r="B25" s="24" t="n">
        <v>0.448883614384677</v>
      </c>
      <c r="C25" s="24" t="n">
        <v>0.4680236248723539</v>
      </c>
      <c r="D25" s="24" t="n">
        <v>0.4042696575293162</v>
      </c>
      <c r="E25" s="24" t="n">
        <v>0.4456299066448517</v>
      </c>
      <c r="F25" s="24" t="n">
        <v>0.3653340554548166</v>
      </c>
      <c r="G25" s="24" t="n">
        <v>0.4449344788267481</v>
      </c>
      <c r="H25" s="24" t="n">
        <v>0.3831531403985539</v>
      </c>
    </row>
    <row r="26">
      <c r="A26" s="35" t="n">
        <v>44120</v>
      </c>
      <c r="B26" s="24" t="n">
        <v>0.4462521388750897</v>
      </c>
      <c r="C26" s="24" t="n">
        <v>0.4734503504995308</v>
      </c>
      <c r="D26" s="24" t="n">
        <v>0.3983628922237381</v>
      </c>
      <c r="E26" s="24" t="n">
        <v>0.4435160997607721</v>
      </c>
      <c r="F26" s="24" t="n">
        <v>0.3583264206434629</v>
      </c>
      <c r="G26" s="24" t="n">
        <v>0.4429332566325622</v>
      </c>
      <c r="H26" s="24" t="n">
        <v>0.3798139541307846</v>
      </c>
    </row>
    <row r="27">
      <c r="A27" s="35" t="n">
        <v>44123</v>
      </c>
      <c r="B27" s="24" t="n">
        <v>0.4382578579904517</v>
      </c>
      <c r="C27" s="24" t="n">
        <v>0.4542732566161658</v>
      </c>
      <c r="D27" s="24" t="n">
        <v>0.3888502315441648</v>
      </c>
      <c r="E27" s="24" t="n">
        <v>0.4350674347306048</v>
      </c>
      <c r="F27" s="24" t="n">
        <v>0.3583227358888313</v>
      </c>
      <c r="G27" s="24" t="n">
        <v>0.4379295113457765</v>
      </c>
      <c r="H27" s="24" t="n">
        <v>0.3624379818598019</v>
      </c>
    </row>
    <row r="28">
      <c r="A28" s="35" t="n">
        <v>44124</v>
      </c>
      <c r="B28" s="24" t="n">
        <v>0.4200149014846294</v>
      </c>
      <c r="C28" s="24" t="n">
        <v>0.4482173409128539</v>
      </c>
      <c r="D28" s="24" t="n">
        <v>0.3783394689755877</v>
      </c>
      <c r="E28" s="24" t="n">
        <v>0.4152904946520389</v>
      </c>
      <c r="F28" s="24" t="n">
        <v>0.3483125269933982</v>
      </c>
      <c r="G28" s="24" t="n">
        <v>0.4169314633210979</v>
      </c>
      <c r="H28" s="24" t="n">
        <v>0.3633340468578452</v>
      </c>
    </row>
    <row r="29">
      <c r="A29" s="35" t="n">
        <v>44125</v>
      </c>
      <c r="B29" s="24" t="n">
        <v>0.4147658599850989</v>
      </c>
      <c r="C29" s="24" t="n">
        <v>0.4461905681724109</v>
      </c>
      <c r="D29" s="24" t="n">
        <v>0.3678287784629412</v>
      </c>
      <c r="E29" s="24" t="n">
        <v>0.4044460330771663</v>
      </c>
      <c r="F29" s="24" t="n">
        <v>0.3398037286752886</v>
      </c>
      <c r="G29" s="24" t="n">
        <v>0.4054319651839246</v>
      </c>
      <c r="H29" s="24" t="n">
        <v>0.3477978670883236</v>
      </c>
    </row>
    <row r="30">
      <c r="A30" s="35" t="n">
        <v>44126</v>
      </c>
      <c r="B30" s="24" t="n">
        <v>0.4240204194260486</v>
      </c>
      <c r="C30" s="24" t="n">
        <v>0.4834437086092715</v>
      </c>
      <c r="D30" s="24" t="n">
        <v>0.3777363405772263</v>
      </c>
      <c r="E30" s="24" t="n">
        <v>0.4024333241682705</v>
      </c>
      <c r="F30" s="24" t="n">
        <v>0.3463083567560156</v>
      </c>
      <c r="G30" s="24" t="n">
        <v>0.4149289505221709</v>
      </c>
      <c r="H30" s="24" t="n">
        <v>0.3528274528757854</v>
      </c>
    </row>
    <row r="31">
      <c r="A31" s="35" t="n">
        <v>44127</v>
      </c>
      <c r="B31" s="24" t="n">
        <v>0.4397202063960707</v>
      </c>
      <c r="C31" s="24" t="n">
        <v>0.4935018349383295</v>
      </c>
      <c r="D31" s="24" t="n">
        <v>0.3731309620519571</v>
      </c>
      <c r="E31" s="24" t="n">
        <v>0.4029295720432768</v>
      </c>
      <c r="F31" s="24" t="n">
        <v>0.3418031747337535</v>
      </c>
      <c r="G31" s="24" t="n">
        <v>0.4249257835104143</v>
      </c>
      <c r="H31" s="24" t="n">
        <v>0.3573527025674132</v>
      </c>
    </row>
    <row r="32">
      <c r="A32" s="35" t="n">
        <v>44130</v>
      </c>
      <c r="B32" s="24" t="n">
        <v>0.4084648493543759</v>
      </c>
      <c r="C32" s="24" t="n">
        <v>0.4733197218850017</v>
      </c>
      <c r="D32" s="24" t="n">
        <v>0.3603158933859822</v>
      </c>
      <c r="E32" s="24" t="n">
        <v>0.3836453865610909</v>
      </c>
      <c r="F32" s="24" t="n">
        <v>0.3342930788636613</v>
      </c>
      <c r="G32" s="24" t="n">
        <v>0.4049251165880283</v>
      </c>
      <c r="H32" s="24" t="n">
        <v>0.3447199823263007</v>
      </c>
    </row>
    <row r="33">
      <c r="A33" s="35" t="n">
        <v>44131</v>
      </c>
      <c r="B33" s="24" t="n">
        <v>0.4330252448613602</v>
      </c>
      <c r="C33" s="24" t="n">
        <v>0.4531659539246793</v>
      </c>
      <c r="D33" s="24" t="n">
        <v>0.3663199026547156</v>
      </c>
      <c r="E33" s="24" t="n">
        <v>0.3935748161385662</v>
      </c>
      <c r="F33" s="24" t="n">
        <v>0.3402971773295172</v>
      </c>
      <c r="G33" s="24" t="n">
        <v>0.4049237301193269</v>
      </c>
      <c r="H33" s="24" t="n">
        <v>0.3547884917415993</v>
      </c>
    </row>
    <row r="34">
      <c r="A34" s="35" t="n">
        <v>44132</v>
      </c>
      <c r="B34" s="24" t="n">
        <v>0.4450973900568339</v>
      </c>
      <c r="C34" s="24" t="n">
        <v>0.4833636815096838</v>
      </c>
      <c r="D34" s="24" t="n">
        <v>0.3613142939406196</v>
      </c>
      <c r="E34" s="24" t="n">
        <v>0.3893547411541528</v>
      </c>
      <c r="F34" s="24" t="n">
        <v>0.3381941826109012</v>
      </c>
      <c r="G34" s="24" t="n">
        <v>0.40492234366012</v>
      </c>
      <c r="H34" s="24" t="n">
        <v>0.3527616891140918</v>
      </c>
    </row>
    <row r="35">
      <c r="A35" s="35" t="n">
        <v>44133</v>
      </c>
      <c r="B35" s="24" t="n">
        <v>0.4576723590917869</v>
      </c>
      <c r="C35" s="24" t="n">
        <v>0.4702596076916711</v>
      </c>
      <c r="D35" s="24" t="n">
        <v>0.3612129687708872</v>
      </c>
      <c r="E35" s="24" t="n">
        <v>0.3887473022942527</v>
      </c>
      <c r="F35" s="24" t="n">
        <v>0.3367918093416556</v>
      </c>
      <c r="G35" s="24" t="n">
        <v>0.3957227527503193</v>
      </c>
      <c r="H35" s="24" t="n">
        <v>0.352851516793627</v>
      </c>
    </row>
    <row r="36">
      <c r="A36" s="35" t="n">
        <v>44134</v>
      </c>
      <c r="B36" s="24" t="n">
        <v>0.4521214963584197</v>
      </c>
      <c r="C36" s="24" t="n">
        <v>0.4682327300816597</v>
      </c>
      <c r="D36" s="24" t="n">
        <v>0.3601107805366275</v>
      </c>
      <c r="E36" s="24" t="n">
        <v>0.3818180568537967</v>
      </c>
      <c r="F36" s="24" t="n">
        <v>0.3352893593100895</v>
      </c>
      <c r="G36" s="24" t="n">
        <v>0.3984208616096803</v>
      </c>
      <c r="H36" s="24" t="n">
        <v>0.3537476012314829</v>
      </c>
    </row>
    <row r="37">
      <c r="A37" s="35" t="n">
        <v>44137</v>
      </c>
      <c r="B37" s="24" t="n">
        <v>0.4401023420043585</v>
      </c>
      <c r="C37" s="24" t="n">
        <v>0.4513792722959367</v>
      </c>
      <c r="D37" s="24" t="n">
        <v>0.3628093819729838</v>
      </c>
      <c r="E37" s="24" t="n">
        <v>0.38772250553257</v>
      </c>
      <c r="F37" s="24" t="n">
        <v>0.3362867650839243</v>
      </c>
      <c r="G37" s="24" t="n">
        <v>0.4046154741646437</v>
      </c>
      <c r="H37" s="24" t="n">
        <v>0.3533115451116273</v>
      </c>
    </row>
    <row r="38">
      <c r="A38" s="35" t="n">
        <v>44138</v>
      </c>
      <c r="B38" s="24" t="n">
        <v>0.4510647688403398</v>
      </c>
      <c r="C38" s="24" t="n">
        <v>0.4506620324395895</v>
      </c>
      <c r="D38" s="24" t="n">
        <v>0.3688132386410376</v>
      </c>
      <c r="E38" s="24" t="n">
        <v>0.385108313173521</v>
      </c>
      <c r="F38" s="24" t="n">
        <v>0.3404891825934355</v>
      </c>
      <c r="G38" s="24" t="n">
        <v>0.411412645260253</v>
      </c>
      <c r="H38" s="24" t="n">
        <v>0.3577344634328152</v>
      </c>
    </row>
    <row r="39">
      <c r="A39" s="35" t="n">
        <v>44139</v>
      </c>
      <c r="B39" s="24" t="n">
        <v>0.4520591399332469</v>
      </c>
      <c r="C39" s="24" t="n">
        <v>0.4575966126941219</v>
      </c>
      <c r="D39" s="24" t="n">
        <v>0.3728153609388764</v>
      </c>
      <c r="E39" s="24" t="n">
        <v>0.3852033593116435</v>
      </c>
      <c r="F39" s="24" t="n">
        <v>0.3402878462260885</v>
      </c>
      <c r="G39" s="24" t="n">
        <v>0.4091117327425932</v>
      </c>
      <c r="H39" s="24" t="n">
        <v>0.3587310242013687</v>
      </c>
    </row>
    <row r="40">
      <c r="A40" s="35" t="n">
        <v>44140</v>
      </c>
      <c r="B40" s="24" t="n">
        <v>0.4580873834611353</v>
      </c>
      <c r="C40" s="24" t="n">
        <v>0.4681552380426988</v>
      </c>
      <c r="D40" s="24" t="n">
        <v>0.3743153478615546</v>
      </c>
      <c r="E40" s="24" t="n">
        <v>0.381184539681667</v>
      </c>
      <c r="F40" s="24" t="n">
        <v>0.346391823248353</v>
      </c>
      <c r="G40" s="24" t="n">
        <v>0.4064109236331763</v>
      </c>
      <c r="H40" s="24" t="n">
        <v>0.3652695437322714</v>
      </c>
    </row>
    <row r="41">
      <c r="A41" s="35" t="n">
        <v>44141</v>
      </c>
      <c r="B41" s="24" t="n">
        <v>0.4571686663908426</v>
      </c>
      <c r="C41" s="24" t="n">
        <v>0.4590815059991725</v>
      </c>
      <c r="D41" s="24" t="n">
        <v>0.3741138969340714</v>
      </c>
      <c r="E41" s="24" t="n">
        <v>0.381279637138341</v>
      </c>
      <c r="F41" s="24" t="n">
        <v>0.3461904680296825</v>
      </c>
      <c r="G41" s="24" t="n">
        <v>0.4049098659544964</v>
      </c>
      <c r="H41" s="24" t="n">
        <v>0.3607239600407184</v>
      </c>
    </row>
    <row r="42">
      <c r="A42" s="35" t="n">
        <v>44144</v>
      </c>
      <c r="B42" s="24" t="n">
        <v>0.4600501958188538</v>
      </c>
      <c r="C42" s="24" t="n">
        <v>0.4630702189861548</v>
      </c>
      <c r="D42" s="24" t="n">
        <v>0.379314363273672</v>
      </c>
      <c r="E42" s="24" t="n">
        <v>0.3847755573270293</v>
      </c>
      <c r="F42" s="24" t="n">
        <v>0.3477882354554117</v>
      </c>
      <c r="G42" s="24" t="n">
        <v>0.4163030527137516</v>
      </c>
      <c r="H42" s="24" t="n">
        <v>0.3752993216526005</v>
      </c>
    </row>
    <row r="43">
      <c r="A43" s="35" t="n">
        <v>44145</v>
      </c>
      <c r="B43" s="24" t="n">
        <v>0.4545009514879064</v>
      </c>
      <c r="C43" s="24" t="n">
        <v>0.4679900162718222</v>
      </c>
      <c r="D43" s="24" t="n">
        <v>0.3853180193241683</v>
      </c>
      <c r="E43" s="24" t="n">
        <v>0.3852719251226652</v>
      </c>
      <c r="F43" s="24" t="n">
        <v>0.3522907605249538</v>
      </c>
      <c r="G43" s="24" t="n">
        <v>0.4149019580989424</v>
      </c>
      <c r="H43" s="24" t="n">
        <v>0.3737764421335192</v>
      </c>
    </row>
    <row r="44">
      <c r="A44" s="35" t="n">
        <v>44146</v>
      </c>
      <c r="B44" s="24" t="n">
        <v>0.4509652509652509</v>
      </c>
      <c r="C44" s="24" t="n">
        <v>0.4650579150579151</v>
      </c>
      <c r="D44" s="24" t="n">
        <v>0.3848162873594735</v>
      </c>
      <c r="E44" s="24" t="n">
        <v>0.3932930181418362</v>
      </c>
      <c r="F44" s="24" t="n">
        <v>0.3541911159857417</v>
      </c>
      <c r="G44" s="24" t="n">
        <v>0.4188995788680795</v>
      </c>
      <c r="H44" s="24" t="n">
        <v>0.3757797405465084</v>
      </c>
    </row>
    <row r="45">
      <c r="A45" s="35" t="n">
        <v>44147</v>
      </c>
      <c r="B45" s="24" t="n">
        <v>0.4429000854912992</v>
      </c>
      <c r="C45" s="24" t="n">
        <v>0.4655483853175588</v>
      </c>
      <c r="D45" s="24" t="n">
        <v>0.3903194738158973</v>
      </c>
      <c r="E45" s="24" t="n">
        <v>0.3959964816316433</v>
      </c>
      <c r="F45" s="24" t="n">
        <v>0.3567920318342753</v>
      </c>
      <c r="G45" s="24" t="n">
        <v>0.4223972938086972</v>
      </c>
      <c r="H45" s="24" t="n">
        <v>0.3687161246028104</v>
      </c>
    </row>
    <row r="46">
      <c r="A46" s="35" t="n">
        <v>44148</v>
      </c>
      <c r="B46" s="24" t="n">
        <v>0.4529535050466053</v>
      </c>
      <c r="C46" s="24" t="n">
        <v>0.4655355468534554</v>
      </c>
      <c r="D46" s="24" t="n">
        <v>0.3970236014285616</v>
      </c>
      <c r="E46" s="24" t="n">
        <v>0.4003051043126907</v>
      </c>
      <c r="F46" s="24" t="n">
        <v>0.3591927667071106</v>
      </c>
      <c r="G46" s="24" t="n">
        <v>0.424895231312827</v>
      </c>
      <c r="H46" s="24" t="n">
        <v>0.3710216726811059</v>
      </c>
    </row>
    <row r="47">
      <c r="A47" s="35" t="n">
        <v>44151</v>
      </c>
      <c r="B47" s="24" t="n">
        <v>0.4529160347442437</v>
      </c>
      <c r="C47" s="24" t="n">
        <v>0.463081483524059</v>
      </c>
      <c r="D47" s="24" t="n">
        <v>0.3983205662091066</v>
      </c>
      <c r="E47" s="24" t="n">
        <v>0.4039002267573696</v>
      </c>
      <c r="F47" s="24" t="n">
        <v>0.3620914091820472</v>
      </c>
      <c r="G47" s="24" t="n">
        <v>0.4282899940083883</v>
      </c>
      <c r="H47" s="24" t="n">
        <v>0.3752177587664074</v>
      </c>
    </row>
    <row r="48">
      <c r="A48" s="35" t="n">
        <v>44152</v>
      </c>
      <c r="B48" s="24" t="n">
        <v>0.4433422489383996</v>
      </c>
      <c r="C48" s="24" t="n">
        <v>0.4599487122925054</v>
      </c>
      <c r="D48" s="24" t="n">
        <v>0.3968179979846864</v>
      </c>
      <c r="E48" s="24" t="n">
        <v>0.4030921034549103</v>
      </c>
      <c r="F48" s="24" t="n">
        <v>0.3582871205006752</v>
      </c>
      <c r="G48" s="24" t="n">
        <v>0.4167915200153384</v>
      </c>
      <c r="H48" s="24" t="n">
        <v>0.3747024774572775</v>
      </c>
    </row>
    <row r="49">
      <c r="A49" s="35" t="n">
        <v>44153</v>
      </c>
      <c r="B49" s="24" t="n">
        <v>0.4377946893870461</v>
      </c>
      <c r="C49" s="24" t="n">
        <v>0.4478589351200816</v>
      </c>
      <c r="D49" s="24" t="n">
        <v>0.3943146414776174</v>
      </c>
      <c r="E49" s="24" t="n">
        <v>0.3986724751604436</v>
      </c>
      <c r="F49" s="24" t="n">
        <v>0.3567846946364736</v>
      </c>
      <c r="G49" s="24" t="n">
        <v>0.4139908311849272</v>
      </c>
      <c r="H49" s="24" t="n">
        <v>0.3777125452306461</v>
      </c>
    </row>
    <row r="50">
      <c r="A50" s="35" t="n">
        <v>44154</v>
      </c>
      <c r="B50" s="24" t="n">
        <v>0.4257058564023381</v>
      </c>
      <c r="C50" s="24" t="n">
        <v>0.4478465865225543</v>
      </c>
      <c r="D50" s="24" t="n">
        <v>0.3903101094019906</v>
      </c>
      <c r="E50" s="24" t="n">
        <v>0.3955571130167106</v>
      </c>
      <c r="F50" s="24" t="n">
        <v>0.3527802911902608</v>
      </c>
      <c r="G50" s="24" t="n">
        <v>0.4088907757516828</v>
      </c>
      <c r="H50" s="24" t="n">
        <v>0.3715568862275449</v>
      </c>
    </row>
    <row r="51">
      <c r="A51" s="35" t="n">
        <v>44155</v>
      </c>
      <c r="B51" s="24" t="n">
        <v>0.4246877498690342</v>
      </c>
      <c r="C51" s="24" t="n">
        <v>0.4429030301359287</v>
      </c>
      <c r="D51" s="24" t="n">
        <v>0.3882071090485967</v>
      </c>
      <c r="E51" s="24" t="n">
        <v>0.3917396143962401</v>
      </c>
      <c r="F51" s="24" t="n">
        <v>0.3522786862209488</v>
      </c>
      <c r="G51" s="24" t="n">
        <v>0.4083895110569401</v>
      </c>
      <c r="H51" s="24" t="n">
        <v>0.3701353127231211</v>
      </c>
    </row>
    <row r="52">
      <c r="A52" s="35" t="n">
        <v>44159</v>
      </c>
      <c r="B52" s="24" t="n">
        <v>0.4291690789292311</v>
      </c>
      <c r="C52" s="24" t="n">
        <v>0.4458729633611778</v>
      </c>
      <c r="D52" s="24" t="n">
        <v>0.3807960297902822</v>
      </c>
      <c r="E52" s="24" t="n">
        <v>0.3897118436782873</v>
      </c>
      <c r="F52" s="24" t="n">
        <v>0.350272300726935</v>
      </c>
      <c r="G52" s="24" t="n">
        <v>0.4118829236894992</v>
      </c>
      <c r="H52" s="24" t="n">
        <v>0.3643491966050139</v>
      </c>
    </row>
    <row r="53">
      <c r="A53" s="35" t="n">
        <v>44160</v>
      </c>
      <c r="B53" s="24" t="n">
        <v>0.4366033522633291</v>
      </c>
      <c r="C53" s="24" t="n">
        <v>0.4528036610244252</v>
      </c>
      <c r="D53" s="24" t="n">
        <v>0.3802943373981232</v>
      </c>
      <c r="E53" s="24" t="n">
        <v>0.3932173578475829</v>
      </c>
      <c r="F53" s="24" t="n">
        <v>0.3542656992744558</v>
      </c>
      <c r="G53" s="24" t="n">
        <v>0.4158803631831939</v>
      </c>
      <c r="H53" s="24" t="n">
        <v>0.366553320044419</v>
      </c>
    </row>
    <row r="54">
      <c r="A54" s="35" t="n">
        <v>44161</v>
      </c>
      <c r="B54" s="24" t="n">
        <v>0.4346795313576844</v>
      </c>
      <c r="C54" s="24" t="n">
        <v>0.4537973811164714</v>
      </c>
      <c r="D54" s="24" t="n">
        <v>0.3753892554194156</v>
      </c>
      <c r="E54" s="24" t="n">
        <v>0.3912057712126417</v>
      </c>
      <c r="F54" s="24" t="n">
        <v>0.3492691286093736</v>
      </c>
      <c r="G54" s="24" t="n">
        <v>0.4118801033945598</v>
      </c>
      <c r="H54" s="24" t="n">
        <v>0.3595937580825934</v>
      </c>
    </row>
    <row r="55">
      <c r="A55" s="35" t="n">
        <v>44162</v>
      </c>
      <c r="B55" s="24" t="n">
        <v>0.4323533465652222</v>
      </c>
      <c r="C55" s="24" t="n">
        <v>0.4537848715404124</v>
      </c>
      <c r="D55" s="24" t="n">
        <v>0.3752878920815969</v>
      </c>
      <c r="E55" s="24" t="n">
        <v>0.3913007035286358</v>
      </c>
      <c r="F55" s="24" t="n">
        <v>0.3502686992761571</v>
      </c>
      <c r="G55" s="24" t="n">
        <v>0.4147778394034634</v>
      </c>
      <c r="H55" s="24" t="n">
        <v>0.3648187486206135</v>
      </c>
    </row>
    <row r="56">
      <c r="A56" s="35" t="n">
        <v>44165</v>
      </c>
      <c r="B56" s="24" t="n">
        <v>0.4245706882769646</v>
      </c>
      <c r="C56" s="24" t="n">
        <v>0.4442900851732407</v>
      </c>
      <c r="D56" s="24" t="n">
        <v>0.3717813824846887</v>
      </c>
      <c r="E56" s="24" t="n">
        <v>0.3872724274859506</v>
      </c>
      <c r="F56" s="24" t="n">
        <v>0.3502650978994376</v>
      </c>
      <c r="G56" s="24" t="n">
        <v>0.406875986428794</v>
      </c>
      <c r="H56" s="24" t="n">
        <v>0.3623683239601257</v>
      </c>
    </row>
    <row r="57">
      <c r="A57" s="35" t="n">
        <v>44166</v>
      </c>
      <c r="B57" s="24" t="n">
        <v>0.421138368246968</v>
      </c>
      <c r="C57" s="24" t="n">
        <v>0.4448814773980154</v>
      </c>
      <c r="D57" s="24" t="n">
        <v>0.3697786003153061</v>
      </c>
      <c r="E57" s="24" t="n">
        <v>0.3859631766968947</v>
      </c>
      <c r="F57" s="24" t="n">
        <v>0.3462608814860512</v>
      </c>
      <c r="G57" s="24" t="n">
        <v>0.4066746550720668</v>
      </c>
      <c r="H57" s="24" t="n">
        <v>0.3560140679953107</v>
      </c>
    </row>
    <row r="58">
      <c r="A58" s="35" t="n">
        <v>44167</v>
      </c>
      <c r="B58" s="24" t="n">
        <v>0.4201207243460764</v>
      </c>
      <c r="C58" s="24" t="n">
        <v>0.4426559356136821</v>
      </c>
      <c r="D58" s="24" t="n">
        <v>0.3800850637978483</v>
      </c>
      <c r="E58" s="24" t="n">
        <v>0.3876629889669007</v>
      </c>
      <c r="F58" s="24" t="n">
        <v>0.3472604453340005</v>
      </c>
      <c r="G58" s="24" t="n">
        <v>0.405973480867264</v>
      </c>
      <c r="H58" s="24" t="n">
        <v>0.358419330480745</v>
      </c>
    </row>
    <row r="59">
      <c r="A59" s="35" t="n">
        <v>44168</v>
      </c>
      <c r="B59" s="24" t="n">
        <v>0.4205115484262169</v>
      </c>
      <c r="C59" s="24" t="n">
        <v>0.4426437351854914</v>
      </c>
      <c r="D59" s="24" t="n">
        <v>0.3741793530786683</v>
      </c>
      <c r="E59" s="24" t="n">
        <v>0.3895633535764338</v>
      </c>
      <c r="F59" s="24" t="n">
        <v>0.3472592551973734</v>
      </c>
      <c r="G59" s="24" t="n">
        <v>0.404872437451214</v>
      </c>
      <c r="H59" s="24" t="n">
        <v>0.3592136202842386</v>
      </c>
    </row>
    <row r="60">
      <c r="A60" s="35" t="n">
        <v>44169</v>
      </c>
      <c r="B60" s="24" t="n">
        <v>0.4200975663533886</v>
      </c>
      <c r="C60" s="24" t="n">
        <v>0.4396135931427942</v>
      </c>
      <c r="D60" s="24" t="n">
        <v>0.3715761370607609</v>
      </c>
      <c r="E60" s="24" t="n">
        <v>0.3871508456645096</v>
      </c>
      <c r="F60" s="24" t="n">
        <v>0.3449563545511561</v>
      </c>
      <c r="G60" s="24" t="n">
        <v>0.3992728343370091</v>
      </c>
      <c r="H60" s="24" t="n">
        <v>0.3553768871941443</v>
      </c>
    </row>
    <row r="61">
      <c r="A61" s="35" t="n">
        <v>44174</v>
      </c>
      <c r="B61" s="24" t="n">
        <v>0.4194361772486773</v>
      </c>
      <c r="C61" s="24" t="n">
        <v>0.437541335978836</v>
      </c>
      <c r="D61" s="24" t="n">
        <v>0.3715697698328924</v>
      </c>
      <c r="E61" s="24" t="n">
        <v>0.3923393966038358</v>
      </c>
      <c r="F61" s="24" t="n">
        <v>0.3449504434726582</v>
      </c>
      <c r="G61" s="24" t="n">
        <v>0.3998657984648988</v>
      </c>
      <c r="H61" s="24" t="n">
        <v>0.3512954510982723</v>
      </c>
    </row>
    <row r="62">
      <c r="A62" s="35" t="n">
        <v>44175</v>
      </c>
      <c r="B62" s="24" t="n">
        <v>0.4236490396538896</v>
      </c>
      <c r="C62" s="24" t="n">
        <v>0.437529278844829</v>
      </c>
      <c r="D62" s="24" t="n">
        <v>0.3737700872891028</v>
      </c>
      <c r="E62" s="24" t="n">
        <v>0.3978499498550606</v>
      </c>
      <c r="F62" s="24" t="n">
        <v>0.34775128603203</v>
      </c>
      <c r="G62" s="24" t="n">
        <v>0.4058623959684902</v>
      </c>
      <c r="H62" s="24" t="n">
        <v>0.3574244831972313</v>
      </c>
    </row>
    <row r="63">
      <c r="A63" s="35" t="n">
        <v>44176</v>
      </c>
      <c r="B63" s="24" t="n">
        <v>0.4216257922292643</v>
      </c>
      <c r="C63" s="24" t="n">
        <v>0.4394282171397079</v>
      </c>
      <c r="D63" s="24" t="n">
        <v>0.3734685904246204</v>
      </c>
      <c r="E63" s="24" t="n">
        <v>0.3996496771534552</v>
      </c>
      <c r="F63" s="24" t="n">
        <v>0.3494513177285034</v>
      </c>
      <c r="G63" s="24" t="n">
        <v>0.4077603560424512</v>
      </c>
      <c r="H63" s="24" t="n">
        <v>0.3583192582124022</v>
      </c>
    </row>
    <row r="64">
      <c r="A64" s="35" t="n">
        <v>44179</v>
      </c>
      <c r="B64" s="24" t="n">
        <v>0.4234012068442951</v>
      </c>
      <c r="C64" s="24" t="n">
        <v>0.4455266855867522</v>
      </c>
      <c r="D64" s="24" t="n">
        <v>0.3744654601035666</v>
      </c>
      <c r="E64" s="24" t="n">
        <v>0.404446856153751</v>
      </c>
      <c r="F64" s="24" t="n">
        <v>0.3482468736398748</v>
      </c>
      <c r="G64" s="24" t="n">
        <v>0.4148536646319962</v>
      </c>
      <c r="H64" s="24" t="n">
        <v>0.3582859132065197</v>
      </c>
    </row>
    <row r="65">
      <c r="A65" s="35" t="n">
        <v>44180</v>
      </c>
      <c r="B65" s="24" t="n">
        <v>0.4198696754284455</v>
      </c>
      <c r="C65" s="24" t="n">
        <v>0.4414917066181738</v>
      </c>
      <c r="D65" s="24" t="n">
        <v>0.3702612116767308</v>
      </c>
      <c r="E65" s="24" t="n">
        <v>0.4014328103964613</v>
      </c>
      <c r="F65" s="24" t="n">
        <v>0.3482456801716279</v>
      </c>
      <c r="G65" s="24" t="n">
        <v>0.4064552351217374</v>
      </c>
      <c r="H65" s="24" t="n">
        <v>0.3532428501513031</v>
      </c>
    </row>
    <row r="66">
      <c r="A66" s="35" t="n">
        <v>44181</v>
      </c>
      <c r="B66" s="24" t="n">
        <v>0.4178468108554897</v>
      </c>
      <c r="C66" s="24" t="n">
        <v>0.4372558203609312</v>
      </c>
      <c r="D66" s="24" t="n">
        <v>0.3730619099025</v>
      </c>
      <c r="E66" s="24" t="n">
        <v>0.3989202555120544</v>
      </c>
      <c r="F66" s="24" t="n">
        <v>0.3482444867115612</v>
      </c>
      <c r="G66" s="24" t="n">
        <v>0.4078533404084148</v>
      </c>
      <c r="H66" s="24" t="n">
        <v>0.3532318932984095</v>
      </c>
    </row>
    <row r="67">
      <c r="A67" s="35" t="n">
        <v>44182</v>
      </c>
      <c r="B67" s="24" t="n">
        <v>0.4180364227463081</v>
      </c>
      <c r="C67" s="24" t="n">
        <v>0.437143211373154</v>
      </c>
      <c r="D67" s="24" t="n">
        <v>0.3792649659351053</v>
      </c>
      <c r="E67" s="24" t="n">
        <v>0.399516456948184</v>
      </c>
      <c r="F67" s="24" t="n">
        <v>0.3507450410560802</v>
      </c>
      <c r="G67" s="24" t="n">
        <v>0.4099511821051262</v>
      </c>
      <c r="H67" s="24" t="n">
        <v>0.3607683930466908</v>
      </c>
    </row>
    <row r="68">
      <c r="A68" s="35" t="n">
        <v>44183</v>
      </c>
      <c r="B68" s="24" t="n">
        <v>0.4198349725872662</v>
      </c>
      <c r="C68" s="24" t="n">
        <v>0.4374328456897264</v>
      </c>
      <c r="D68" s="24" t="n">
        <v>0.3828661706597394</v>
      </c>
      <c r="E68" s="24" t="n">
        <v>0.4033215654491256</v>
      </c>
      <c r="F68" s="24" t="n">
        <v>0.3552469696398524</v>
      </c>
      <c r="G68" s="24" t="n">
        <v>0.4138483500908913</v>
      </c>
      <c r="H68" s="24" t="n">
        <v>0.3640779810664672</v>
      </c>
    </row>
    <row r="69">
      <c r="A69" s="35" t="n">
        <v>44186</v>
      </c>
      <c r="B69" s="24" t="n">
        <v>0.4244256198347108</v>
      </c>
      <c r="C69" s="24" t="n">
        <v>0.4462451790633609</v>
      </c>
      <c r="D69" s="24" t="n">
        <v>0.3863646333104866</v>
      </c>
      <c r="E69" s="24" t="n">
        <v>0.4085192307692308</v>
      </c>
      <c r="F69" s="24" t="n">
        <v>0.355743660041124</v>
      </c>
      <c r="G69" s="24" t="n">
        <v>0.4113450412515833</v>
      </c>
      <c r="H69" s="24" t="n">
        <v>0.3722949689869056</v>
      </c>
    </row>
    <row r="70">
      <c r="A70" s="35" t="n">
        <v>44187</v>
      </c>
      <c r="B70" s="24" t="n">
        <v>0.425318861739346</v>
      </c>
      <c r="C70" s="24" t="n">
        <v>0.4374851932453651</v>
      </c>
      <c r="D70" s="24" t="n">
        <v>0.3867635820302192</v>
      </c>
      <c r="E70" s="24" t="n">
        <v>0.4082127992747352</v>
      </c>
      <c r="F70" s="24" t="n">
        <v>0.3597451687965429</v>
      </c>
      <c r="G70" s="24" t="n">
        <v>0.412343253078453</v>
      </c>
      <c r="H70" s="24" t="n">
        <v>0.3672525662539756</v>
      </c>
    </row>
    <row r="71">
      <c r="A71" s="35" t="n">
        <v>44188</v>
      </c>
      <c r="B71" s="24" t="n">
        <v>0.4250055093383285</v>
      </c>
      <c r="C71" s="24" t="n">
        <v>0.4423998677758801</v>
      </c>
      <c r="D71" s="24" t="n">
        <v>0.386061781619043</v>
      </c>
      <c r="E71" s="24" t="n">
        <v>0.4073047443751545</v>
      </c>
      <c r="F71" s="24" t="n">
        <v>0.3572422396008252</v>
      </c>
      <c r="G71" s="24" t="n">
        <v>0.4128416497781672</v>
      </c>
      <c r="H71" s="24" t="n">
        <v>0.3652288968981938</v>
      </c>
    </row>
    <row r="72">
      <c r="A72" s="35" t="n">
        <v>44193</v>
      </c>
      <c r="B72" s="24" t="n">
        <v>0.4246453851874294</v>
      </c>
      <c r="C72" s="24" t="n">
        <v>0.4423389429035723</v>
      </c>
      <c r="D72" s="24" t="n">
        <v>0.3902579444632925</v>
      </c>
      <c r="E72" s="24" t="n">
        <v>0.4100841952010109</v>
      </c>
      <c r="F72" s="24" t="n">
        <v>0.3572361183933216</v>
      </c>
      <c r="G72" s="24" t="n">
        <v>0.4187322203089858</v>
      </c>
      <c r="H72" s="24" t="n">
        <v>0.3696992038254962</v>
      </c>
    </row>
    <row r="73">
      <c r="A73" s="35" t="n">
        <v>44194</v>
      </c>
      <c r="B73" s="24" t="n">
        <v>0.4257395064448606</v>
      </c>
      <c r="C73" s="24" t="n">
        <v>0.4501680070507877</v>
      </c>
      <c r="D73" s="24" t="n">
        <v>0.3882552911503454</v>
      </c>
      <c r="E73" s="24" t="n">
        <v>0.410379353917152</v>
      </c>
      <c r="F73" s="24" t="n">
        <v>0.3577352231604343</v>
      </c>
      <c r="G73" s="24" t="n">
        <v>0.4117336144982507</v>
      </c>
      <c r="H73" s="24" t="n">
        <v>0.3681788115973983</v>
      </c>
    </row>
    <row r="74">
      <c r="A74" s="35" t="n">
        <v>44195</v>
      </c>
      <c r="B74" s="24" t="n">
        <v>0.4257277809909389</v>
      </c>
      <c r="C74" s="24" t="n">
        <v>0.4513619212867333</v>
      </c>
      <c r="D74" s="24" t="n">
        <v>0.3822500334122663</v>
      </c>
      <c r="E74" s="24" t="n">
        <v>0.4104739798651265</v>
      </c>
      <c r="F74" s="24" t="n">
        <v>0.359234979044512</v>
      </c>
      <c r="G74" s="24" t="n">
        <v>0.4157305755531137</v>
      </c>
      <c r="H74" s="24" t="n">
        <v>0.3671614745711914</v>
      </c>
    </row>
    <row r="75">
      <c r="A75" s="35" t="n">
        <v>44200</v>
      </c>
      <c r="B75" s="24" t="n">
        <v>0.4157184556920196</v>
      </c>
      <c r="C75" s="24" t="n">
        <v>0.433308090543592</v>
      </c>
      <c r="D75" s="24" t="n">
        <v>0.3725373011575867</v>
      </c>
      <c r="E75" s="24" t="n">
        <v>0.4065358310215068</v>
      </c>
      <c r="F75" s="24" t="n">
        <v>0.3482218125244162</v>
      </c>
      <c r="G75" s="24" t="n">
        <v>0.404828086702907</v>
      </c>
      <c r="H75" s="24" t="n">
        <v>0.3630815014845381</v>
      </c>
    </row>
    <row r="76">
      <c r="A76" s="35" t="n">
        <v>44201</v>
      </c>
      <c r="B76" s="24" t="n">
        <v>0.4146014043783561</v>
      </c>
      <c r="C76" s="24" t="n">
        <v>0.4301803662398458</v>
      </c>
      <c r="D76" s="24" t="n">
        <v>0.3692339324572075</v>
      </c>
      <c r="E76" s="24" t="n">
        <v>0.4035226258325895</v>
      </c>
      <c r="F76" s="24" t="n">
        <v>0.3452187173380395</v>
      </c>
      <c r="G76" s="24" t="n">
        <v>0.4025276850663244</v>
      </c>
      <c r="H76" s="24" t="n">
        <v>0.3584438665679301</v>
      </c>
    </row>
    <row r="77">
      <c r="A77" s="35" t="n">
        <v>44202</v>
      </c>
      <c r="B77" s="24" t="n">
        <v>0.4171026544773653</v>
      </c>
      <c r="C77" s="24" t="n">
        <v>0.4407217204537945</v>
      </c>
      <c r="D77" s="24" t="n">
        <v>0.3740356937248129</v>
      </c>
      <c r="E77" s="24" t="n">
        <v>0.4020132937815865</v>
      </c>
      <c r="F77" s="24" t="n">
        <v>0.3462181648710146</v>
      </c>
      <c r="G77" s="24" t="n">
        <v>0.409323374160465</v>
      </c>
      <c r="H77" s="24" t="n">
        <v>0.3595390295649299</v>
      </c>
    </row>
    <row r="78">
      <c r="A78" s="35" t="n">
        <v>44203</v>
      </c>
      <c r="B78" s="24" t="n">
        <v>0.41437756422612</v>
      </c>
      <c r="C78" s="24" t="n">
        <v>0.4321667538618278</v>
      </c>
      <c r="D78" s="24" t="n">
        <v>0.3713327187929422</v>
      </c>
      <c r="E78" s="24" t="n">
        <v>0.3964939505884614</v>
      </c>
      <c r="F78" s="24" t="n">
        <v>0.348718546212181</v>
      </c>
      <c r="G78" s="24" t="n">
        <v>0.4058234945759892</v>
      </c>
      <c r="H78" s="24" t="n">
        <v>0.3530915816265029</v>
      </c>
    </row>
    <row r="79">
      <c r="A79" s="35" t="n">
        <v>44204</v>
      </c>
      <c r="B79" s="24" t="n">
        <v>0.4105471116250895</v>
      </c>
      <c r="C79" s="24" t="n">
        <v>0.4321548543421995</v>
      </c>
      <c r="D79" s="24" t="n">
        <v>0.3702307602683865</v>
      </c>
      <c r="E79" s="24" t="n">
        <v>0.3959872558982669</v>
      </c>
      <c r="F79" s="24" t="n">
        <v>0.3462157920347614</v>
      </c>
      <c r="G79" s="24" t="n">
        <v>0.4044227188081937</v>
      </c>
      <c r="H79" s="24" t="n">
        <v>0.3519744319160221</v>
      </c>
    </row>
    <row r="80">
      <c r="A80" s="35" t="n">
        <v>44207</v>
      </c>
      <c r="B80" s="24" t="n">
        <v>0.4097092591063022</v>
      </c>
      <c r="C80" s="24" t="n">
        <v>0.433124087993172</v>
      </c>
      <c r="D80" s="24" t="n">
        <v>0.3641232125172623</v>
      </c>
      <c r="E80" s="24" t="n">
        <v>0.3913596352700457</v>
      </c>
      <c r="F80" s="24" t="n">
        <v>0.3452116194516501</v>
      </c>
      <c r="G80" s="24" t="n">
        <v>0.4025194176585162</v>
      </c>
      <c r="H80" s="24" t="n">
        <v>0.3519417057808664</v>
      </c>
    </row>
    <row r="81">
      <c r="A81" s="35" t="n">
        <v>44208</v>
      </c>
      <c r="B81" s="24" t="n">
        <v>0.4115068002863279</v>
      </c>
      <c r="C81" s="24" t="n">
        <v>0.4322077528770442</v>
      </c>
      <c r="D81" s="24" t="n">
        <v>0.363721720774993</v>
      </c>
      <c r="E81" s="24" t="n">
        <v>0.3913542610749499</v>
      </c>
      <c r="F81" s="24" t="n">
        <v>0.3472116564206948</v>
      </c>
      <c r="G81" s="24" t="n">
        <v>0.4033176783098052</v>
      </c>
      <c r="H81" s="24" t="n">
        <v>0.3499197652876397</v>
      </c>
    </row>
    <row r="82">
      <c r="A82" s="35" t="n">
        <v>44209</v>
      </c>
      <c r="B82" s="24" t="n">
        <v>0.4073754921124356</v>
      </c>
      <c r="C82" s="24" t="n">
        <v>0.4240563830080115</v>
      </c>
      <c r="D82" s="24" t="n">
        <v>0.3624196859054975</v>
      </c>
      <c r="E82" s="24" t="n">
        <v>0.3907474286969776</v>
      </c>
      <c r="F82" s="24" t="n">
        <v>0.3427077372242763</v>
      </c>
      <c r="G82" s="24" t="n">
        <v>0.3934208049073538</v>
      </c>
      <c r="H82" s="24" t="n">
        <v>0.34588697930835</v>
      </c>
    </row>
    <row r="83">
      <c r="A83" s="35" t="n">
        <v>44210</v>
      </c>
      <c r="B83" s="24" t="n">
        <v>0.4042492566897918</v>
      </c>
      <c r="C83" s="24" t="n">
        <v>0.4186185442131923</v>
      </c>
      <c r="D83" s="24" t="n">
        <v>0.3571152475464663</v>
      </c>
      <c r="E83" s="24" t="n">
        <v>0.3884365044490827</v>
      </c>
      <c r="F83" s="24" t="n">
        <v>0.3382038488952245</v>
      </c>
      <c r="G83" s="24" t="n">
        <v>0.3898211094908501</v>
      </c>
      <c r="H83" s="24" t="n">
        <v>0.3457757148366482</v>
      </c>
    </row>
    <row r="84">
      <c r="A84" s="35" t="n">
        <v>44211</v>
      </c>
      <c r="B84" s="24" t="n">
        <v>0.4027309015829318</v>
      </c>
      <c r="C84" s="24" t="n">
        <v>0.4220233998623538</v>
      </c>
      <c r="D84" s="24" t="n">
        <v>0.3572140837830892</v>
      </c>
      <c r="E84" s="24" t="n">
        <v>0.3878297288019224</v>
      </c>
      <c r="F84" s="24" t="n">
        <v>0.3367017904566093</v>
      </c>
      <c r="G84" s="24" t="n">
        <v>0.3907193592003697</v>
      </c>
      <c r="H84" s="24" t="n">
        <v>0.3443574072479986</v>
      </c>
    </row>
    <row r="85">
      <c r="A85" s="35" t="n">
        <v>44214</v>
      </c>
      <c r="B85" s="24" t="n">
        <v>0.4028985906188065</v>
      </c>
      <c r="C85" s="24" t="n">
        <v>0.4219885487778022</v>
      </c>
      <c r="D85" s="24" t="n">
        <v>0.3582110010005893</v>
      </c>
      <c r="E85" s="24" t="n">
        <v>0.3889163508540671</v>
      </c>
      <c r="F85" s="24" t="n">
        <v>0.3381992132351933</v>
      </c>
      <c r="G85" s="24" t="n">
        <v>0.3966125598176204</v>
      </c>
      <c r="H85" s="24" t="n">
        <v>0.3443253962789032</v>
      </c>
    </row>
    <row r="86">
      <c r="A86" s="35" t="n">
        <v>44215</v>
      </c>
      <c r="B86" s="24" t="n">
        <v>0.4038922073274794</v>
      </c>
      <c r="C86" s="24" t="n">
        <v>0.4330287098461285</v>
      </c>
      <c r="D86" s="24" t="n">
        <v>0.358710066511553</v>
      </c>
      <c r="E86" s="24" t="n">
        <v>0.3888107759271718</v>
      </c>
      <c r="F86" s="24" t="n">
        <v>0.3386983473198346</v>
      </c>
      <c r="G86" s="24" t="n">
        <v>0.3993099175392536</v>
      </c>
      <c r="H86" s="24" t="n">
        <v>0.3458226749890691</v>
      </c>
    </row>
    <row r="87">
      <c r="A87" s="35" t="n">
        <v>44216</v>
      </c>
      <c r="B87" s="24" t="n">
        <v>0.4015703275529865</v>
      </c>
      <c r="C87" s="24" t="n">
        <v>0.4307060280759702</v>
      </c>
      <c r="D87" s="24" t="n">
        <v>0.3638118082445259</v>
      </c>
      <c r="E87" s="24" t="n">
        <v>0.3883042702183166</v>
      </c>
      <c r="F87" s="24" t="n">
        <v>0.33889730322448</v>
      </c>
      <c r="G87" s="24" t="n">
        <v>0.4010077360169781</v>
      </c>
      <c r="H87" s="24" t="n">
        <v>0.3427961579509072</v>
      </c>
    </row>
    <row r="88">
      <c r="A88" s="35" t="n">
        <v>44217</v>
      </c>
      <c r="B88" s="24" t="n">
        <v>0.400856018276403</v>
      </c>
      <c r="C88" s="24" t="n">
        <v>0.4325025460350664</v>
      </c>
      <c r="D88" s="24" t="n">
        <v>0.360308534734144</v>
      </c>
      <c r="E88" s="24" t="n">
        <v>0.3877977784185305</v>
      </c>
      <c r="F88" s="24" t="n">
        <v>0.3341934201644102</v>
      </c>
      <c r="G88" s="24" t="n">
        <v>0.3988074251816759</v>
      </c>
      <c r="H88" s="24" t="n">
        <v>0.3387645922768944</v>
      </c>
    </row>
    <row r="89">
      <c r="A89" s="35" t="n">
        <v>44218</v>
      </c>
      <c r="B89" s="24" t="n">
        <v>0.4018496091599691</v>
      </c>
      <c r="C89" s="24" t="n">
        <v>0.4370114499614665</v>
      </c>
      <c r="D89" s="24" t="n">
        <v>0.3622083938704461</v>
      </c>
      <c r="E89" s="24" t="n">
        <v>0.3877924538664323</v>
      </c>
      <c r="F89" s="24" t="n">
        <v>0.3371940020285644</v>
      </c>
      <c r="G89" s="24" t="n">
        <v>0.4048031436767052</v>
      </c>
      <c r="H89" s="24" t="n">
        <v>0.3421717936713393</v>
      </c>
    </row>
    <row r="90">
      <c r="A90" s="35" t="n">
        <v>44221</v>
      </c>
      <c r="B90" s="24" t="n">
        <v>0.4007114352552635</v>
      </c>
      <c r="C90" s="24" t="n">
        <v>0.435669464703454</v>
      </c>
      <c r="D90" s="24" t="n">
        <v>0.3652063666112701</v>
      </c>
      <c r="E90" s="24" t="n">
        <v>0.3867742156930048</v>
      </c>
      <c r="F90" s="24" t="n">
        <v>0.3361899703599637</v>
      </c>
      <c r="G90" s="24" t="n">
        <v>0.4037994831333755</v>
      </c>
      <c r="H90" s="24" t="n">
        <v>0.3437481713508769</v>
      </c>
    </row>
    <row r="91">
      <c r="A91" s="35" t="n">
        <v>44222</v>
      </c>
      <c r="B91" s="24" t="n">
        <v>0.4002986019374725</v>
      </c>
      <c r="C91" s="24" t="n">
        <v>0.4334475451343021</v>
      </c>
      <c r="D91" s="24" t="n">
        <v>0.3640044408503406</v>
      </c>
      <c r="E91" s="24" t="n">
        <v>0.3866686803229172</v>
      </c>
      <c r="F91" s="24" t="n">
        <v>0.3361888183774449</v>
      </c>
      <c r="G91" s="24" t="n">
        <v>0.4037981009495252</v>
      </c>
      <c r="H91" s="24" t="n">
        <v>0.3422299018325508</v>
      </c>
    </row>
    <row r="92">
      <c r="A92" s="35" t="n">
        <v>44223</v>
      </c>
      <c r="B92" s="24" t="n">
        <v>0.4001871370779096</v>
      </c>
      <c r="C92" s="24" t="n">
        <v>0.4319288879103944</v>
      </c>
      <c r="D92" s="24" t="n">
        <v>0.3669048133033166</v>
      </c>
      <c r="E92" s="24" t="n">
        <v>0.3851600148276288</v>
      </c>
      <c r="F92" s="24" t="n">
        <v>0.339089286142607</v>
      </c>
      <c r="G92" s="24" t="n">
        <v>0.4027972219464858</v>
      </c>
      <c r="H92" s="24" t="n">
        <v>0.3417167757191094</v>
      </c>
    </row>
    <row r="93">
      <c r="A93" s="35" t="n">
        <v>44224</v>
      </c>
      <c r="B93" s="24" t="n">
        <v>0.396258737409874</v>
      </c>
      <c r="C93" s="24" t="n">
        <v>0.4319170014860477</v>
      </c>
      <c r="D93" s="24" t="n">
        <v>0.3677040001644748</v>
      </c>
      <c r="E93" s="24" t="n">
        <v>0.383551168346193</v>
      </c>
      <c r="F93" s="24" t="n">
        <v>0.3371870695385796</v>
      </c>
      <c r="G93" s="24" t="n">
        <v>0.4001971603433876</v>
      </c>
      <c r="H93" s="24" t="n">
        <v>0.3407011722917857</v>
      </c>
    </row>
    <row r="94">
      <c r="A94" s="35" t="n">
        <v>44225</v>
      </c>
      <c r="B94" s="24" t="n">
        <v>0.3972522634084592</v>
      </c>
      <c r="C94" s="24" t="n">
        <v>0.4319051157158975</v>
      </c>
      <c r="D94" s="24" t="n">
        <v>0.3672024643724794</v>
      </c>
      <c r="E94" s="24" t="n">
        <v>0.3822430291464737</v>
      </c>
      <c r="F94" s="24" t="n">
        <v>0.3350847556358129</v>
      </c>
      <c r="G94" s="24" t="n">
        <v>0.4001957905041605</v>
      </c>
      <c r="H94" s="24" t="n">
        <v>0.3379771537526975</v>
      </c>
    </row>
    <row r="95">
      <c r="A95" s="35" t="n">
        <v>44228</v>
      </c>
      <c r="B95" s="24" t="n">
        <v>0.3995294700346707</v>
      </c>
      <c r="C95" s="24" t="n">
        <v>0.4318694623300864</v>
      </c>
      <c r="D95" s="24" t="n">
        <v>0.3676989603963788</v>
      </c>
      <c r="E95" s="24" t="n">
        <v>0.3817262019164768</v>
      </c>
      <c r="F95" s="24" t="n">
        <v>0.3361819066481178</v>
      </c>
      <c r="G95" s="24" t="n">
        <v>0.4037898080451272</v>
      </c>
      <c r="H95" s="24" t="n">
        <v>0.3396540687870382</v>
      </c>
    </row>
    <row r="96">
      <c r="A96" s="35" t="n">
        <v>44229</v>
      </c>
      <c r="B96" s="24" t="n">
        <v>0.4002215007016482</v>
      </c>
      <c r="C96" s="24" t="n">
        <v>0.4293467792972512</v>
      </c>
      <c r="D96" s="24" t="n">
        <v>0.3666971625154621</v>
      </c>
      <c r="E96" s="24" t="n">
        <v>0.3805183751355655</v>
      </c>
      <c r="F96" s="24" t="n">
        <v>0.3356804857406208</v>
      </c>
      <c r="G96" s="24" t="n">
        <v>0.399190834939227</v>
      </c>
      <c r="H96" s="24" t="n">
        <v>0.3396435490920103</v>
      </c>
    </row>
    <row r="97">
      <c r="A97" s="35" t="n">
        <v>44230</v>
      </c>
      <c r="B97" s="24" t="n">
        <v>0.3976997578692494</v>
      </c>
      <c r="C97" s="24" t="n">
        <v>0.4243135042923178</v>
      </c>
      <c r="D97" s="24" t="n">
        <v>0.3656953714998423</v>
      </c>
      <c r="E97" s="24" t="n">
        <v>0.3786090824227116</v>
      </c>
      <c r="F97" s="24" t="n">
        <v>0.3336782664711284</v>
      </c>
      <c r="G97" s="24" t="n">
        <v>0.3958912080615018</v>
      </c>
      <c r="H97" s="24" t="n">
        <v>0.3406378614984377</v>
      </c>
    </row>
    <row r="98">
      <c r="A98" s="35" t="n">
        <v>44231</v>
      </c>
      <c r="B98" s="24" t="n">
        <v>0.3964836978951712</v>
      </c>
      <c r="C98" s="24" t="n">
        <v>0.4293231531159719</v>
      </c>
      <c r="D98" s="24" t="n">
        <v>0.3629926844729223</v>
      </c>
      <c r="E98" s="24" t="n">
        <v>0.3772009060333585</v>
      </c>
      <c r="F98" s="24" t="n">
        <v>0.3370789288834826</v>
      </c>
      <c r="G98" s="24" t="n">
        <v>0.3969892693946706</v>
      </c>
      <c r="H98" s="24" t="n">
        <v>0.3426369126477521</v>
      </c>
    </row>
    <row r="99">
      <c r="A99" s="35" t="n">
        <v>44232</v>
      </c>
      <c r="B99" s="24" t="n">
        <v>0.3964727893028118</v>
      </c>
      <c r="C99" s="24" t="n">
        <v>0.437043966323667</v>
      </c>
      <c r="D99" s="24" t="n">
        <v>0.3601899631997698</v>
      </c>
      <c r="E99" s="24" t="n">
        <v>0.3769953051643192</v>
      </c>
      <c r="F99" s="24" t="n">
        <v>0.3376780904997841</v>
      </c>
      <c r="G99" s="24" t="n">
        <v>0.3995865222689248</v>
      </c>
      <c r="H99" s="24" t="n">
        <v>0.3427267784759165</v>
      </c>
    </row>
    <row r="100">
      <c r="A100" s="35" t="n">
        <v>44235</v>
      </c>
      <c r="B100" s="24" t="n">
        <v>0.3971429750474565</v>
      </c>
      <c r="C100" s="24" t="n">
        <v>0.4329912789897934</v>
      </c>
      <c r="D100" s="24" t="n">
        <v>0.3601862607033089</v>
      </c>
      <c r="E100" s="24" t="n">
        <v>0.3772804019272742</v>
      </c>
      <c r="F100" s="24" t="n">
        <v>0.3371743607139309</v>
      </c>
      <c r="G100" s="24" t="n">
        <v>0.3995824191621685</v>
      </c>
      <c r="H100" s="24" t="n">
        <v>0.3426949398054644</v>
      </c>
    </row>
    <row r="101">
      <c r="A101" s="35" t="n">
        <v>44236</v>
      </c>
      <c r="B101" s="24" t="n">
        <v>0.3963287482806052</v>
      </c>
      <c r="C101" s="24" t="n">
        <v>0.4297661623108666</v>
      </c>
      <c r="D101" s="24" t="n">
        <v>0.3581839986294329</v>
      </c>
      <c r="E101" s="24" t="n">
        <v>0.3759725463280714</v>
      </c>
      <c r="F101" s="24" t="n">
        <v>0.3369731026212095</v>
      </c>
      <c r="G101" s="24" t="n">
        <v>0.3986815443592552</v>
      </c>
      <c r="H101" s="24" t="n">
        <v>0.339670393944607</v>
      </c>
    </row>
    <row r="102">
      <c r="A102" s="35" t="n">
        <v>44237</v>
      </c>
      <c r="B102" s="24" t="n">
        <v>0.3957153860966686</v>
      </c>
      <c r="C102" s="24" t="n">
        <v>0.4297543396330225</v>
      </c>
      <c r="D102" s="24" t="n">
        <v>0.3551812397421972</v>
      </c>
      <c r="E102" s="24" t="n">
        <v>0.3752659537961044</v>
      </c>
      <c r="F102" s="24" t="n">
        <v>0.3344706716783564</v>
      </c>
      <c r="G102" s="24" t="n">
        <v>0.3963814472157475</v>
      </c>
      <c r="H102" s="24" t="n">
        <v>0.34046356727299</v>
      </c>
    </row>
    <row r="103">
      <c r="A103" s="35" t="n">
        <v>44238</v>
      </c>
      <c r="B103" s="24" t="n">
        <v>0.3925918794014084</v>
      </c>
      <c r="C103" s="24" t="n">
        <v>0.4272323393485915</v>
      </c>
      <c r="D103" s="24" t="n">
        <v>0.3551800227512575</v>
      </c>
      <c r="E103" s="24" t="n">
        <v>0.3708518640531488</v>
      </c>
      <c r="F103" s="24" t="n">
        <v>0.3352699313350602</v>
      </c>
      <c r="G103" s="24" t="n">
        <v>0.395580534087253</v>
      </c>
      <c r="H103" s="24" t="n">
        <v>0.3395489011518296</v>
      </c>
    </row>
    <row r="104">
      <c r="A104" s="35" t="n">
        <v>44239</v>
      </c>
      <c r="B104" s="24" t="n">
        <v>0.3915770362831128</v>
      </c>
      <c r="C104" s="24" t="n">
        <v>0.4337468709597558</v>
      </c>
      <c r="D104" s="24" t="n">
        <v>0.3531777984122144</v>
      </c>
      <c r="E104" s="24" t="n">
        <v>0.3652354741740217</v>
      </c>
      <c r="F104" s="24" t="n">
        <v>0.3341682285260045</v>
      </c>
      <c r="G104" s="24" t="n">
        <v>0.3977779527181744</v>
      </c>
      <c r="H104" s="24" t="n">
        <v>0.3370270093609057</v>
      </c>
    </row>
    <row r="105">
      <c r="A105" s="35" t="n">
        <v>44244</v>
      </c>
      <c r="B105" s="24" t="n">
        <v>0.3884110787172012</v>
      </c>
      <c r="C105" s="24" t="n">
        <v>0.4256559766763848</v>
      </c>
      <c r="D105" s="24" t="n">
        <v>0.3470687800231619</v>
      </c>
      <c r="E105" s="24" t="n">
        <v>0.3621043673995992</v>
      </c>
      <c r="F105" s="24" t="n">
        <v>0.3286598277244414</v>
      </c>
      <c r="G105" s="24" t="n">
        <v>0.3920744229347498</v>
      </c>
      <c r="H105" s="24" t="n">
        <v>0.3304462682562723</v>
      </c>
    </row>
    <row r="106">
      <c r="A106" s="35" t="n">
        <v>44245</v>
      </c>
      <c r="B106" s="24" t="n">
        <v>0.3910104788360516</v>
      </c>
      <c r="C106" s="24" t="n">
        <v>0.4236365136554911</v>
      </c>
      <c r="D106" s="24" t="n">
        <v>0.3479680256562244</v>
      </c>
      <c r="E106" s="24" t="n">
        <v>0.3682112024595451</v>
      </c>
      <c r="F106" s="24" t="n">
        <v>0.3287587499443224</v>
      </c>
      <c r="G106" s="24" t="n">
        <v>0.3902741221690186</v>
      </c>
      <c r="H106" s="24" t="n">
        <v>0.3315408401580843</v>
      </c>
    </row>
    <row r="107">
      <c r="A107" s="35" t="n">
        <v>44246</v>
      </c>
      <c r="B107" s="24" t="n">
        <v>0.3869843234323432</v>
      </c>
      <c r="C107" s="24" t="n">
        <v>0.4237252475247525</v>
      </c>
      <c r="D107" s="24" t="n">
        <v>0.3481669293496882</v>
      </c>
      <c r="E107" s="24" t="n">
        <v>0.3625953884161405</v>
      </c>
      <c r="F107" s="24" t="n">
        <v>0.3301582950729802</v>
      </c>
      <c r="G107" s="24" t="n">
        <v>0.3857754047301229</v>
      </c>
      <c r="H107" s="24" t="n">
        <v>0.3264084749260507</v>
      </c>
    </row>
    <row r="108">
      <c r="A108" s="35" t="n">
        <v>44249</v>
      </c>
      <c r="B108" s="24" t="n">
        <v>0.3839410939691444</v>
      </c>
      <c r="C108" s="24" t="n">
        <v>0.4255974479553392</v>
      </c>
      <c r="D108" s="24" t="n">
        <v>0.3441614730198758</v>
      </c>
      <c r="E108" s="24" t="n">
        <v>0.3641834676035848</v>
      </c>
      <c r="F108" s="24" t="n">
        <v>0.3275536810078701</v>
      </c>
      <c r="G108" s="24" t="n">
        <v>0.3839725094379015</v>
      </c>
      <c r="H108" s="24" t="n">
        <v>0.3238675640633222</v>
      </c>
    </row>
    <row r="109">
      <c r="A109" s="35" t="n">
        <v>44250</v>
      </c>
      <c r="B109" s="24" t="n">
        <v>0.3783095919040809</v>
      </c>
      <c r="C109" s="24" t="n">
        <v>0.4195633043669563</v>
      </c>
      <c r="D109" s="24" t="n">
        <v>0.3411588959241291</v>
      </c>
      <c r="E109" s="24" t="n">
        <v>0.358167270531401</v>
      </c>
      <c r="F109" s="24" t="n">
        <v>0.327552558725982</v>
      </c>
      <c r="G109" s="24" t="n">
        <v>0.3776749471205514</v>
      </c>
      <c r="H109" s="24" t="n">
        <v>0.3224516466283325</v>
      </c>
    </row>
    <row r="110">
      <c r="A110" s="35" t="n">
        <v>44251</v>
      </c>
      <c r="B110" s="24" t="n">
        <v>0.3804069847380723</v>
      </c>
      <c r="C110" s="24" t="n">
        <v>0.4165406297263853</v>
      </c>
      <c r="D110" s="24" t="n">
        <v>0.3431586521165607</v>
      </c>
      <c r="E110" s="24" t="n">
        <v>0.3614684690866671</v>
      </c>
      <c r="F110" s="24" t="n">
        <v>0.3311531016051942</v>
      </c>
      <c r="G110" s="24" t="n">
        <v>0.3808717378283563</v>
      </c>
      <c r="H110" s="24" t="n">
        <v>0.3263579620681947</v>
      </c>
    </row>
    <row r="111">
      <c r="A111" s="35" t="n">
        <v>44252</v>
      </c>
      <c r="B111" s="24" t="n">
        <v>0.3805972611780234</v>
      </c>
      <c r="C111" s="24" t="n">
        <v>0.4215475994060386</v>
      </c>
      <c r="D111" s="24" t="n">
        <v>0.346158853720543</v>
      </c>
      <c r="E111" s="24" t="n">
        <v>0.3653706804270853</v>
      </c>
      <c r="F111" s="24" t="n">
        <v>0.3321524261133534</v>
      </c>
      <c r="G111" s="24" t="n">
        <v>0.3798710366354526</v>
      </c>
      <c r="H111" s="24" t="n">
        <v>0.3303644504357036</v>
      </c>
    </row>
    <row r="112">
      <c r="A112" s="35" t="n">
        <v>44253</v>
      </c>
      <c r="B112" s="24" t="n">
        <v>0.3818915500316221</v>
      </c>
      <c r="C112" s="24" t="n">
        <v>0.4165177221107048</v>
      </c>
      <c r="D112" s="24" t="n">
        <v>0.3486588069223311</v>
      </c>
      <c r="E112" s="24" t="n">
        <v>0.3684713244678661</v>
      </c>
      <c r="F112" s="24" t="n">
        <v>0.3311508323996889</v>
      </c>
      <c r="G112" s="24" t="n">
        <v>0.376072038524593</v>
      </c>
      <c r="H112" s="24" t="n">
        <v>0.3313583422454376</v>
      </c>
    </row>
    <row r="113">
      <c r="A113" s="35" t="n">
        <v>44256</v>
      </c>
      <c r="B113" s="24" t="n">
        <v>0.3832650536156172</v>
      </c>
      <c r="C113" s="24" t="n">
        <v>0.4164833654110531</v>
      </c>
      <c r="D113" s="24" t="n">
        <v>0.3506561140233665</v>
      </c>
      <c r="E113" s="24" t="n">
        <v>0.3684561547962125</v>
      </c>
      <c r="F113" s="24" t="n">
        <v>0.332147874053517</v>
      </c>
      <c r="G113" s="24" t="n">
        <v>0.3776671914573208</v>
      </c>
      <c r="H113" s="24" t="n">
        <v>0.3314279819826015</v>
      </c>
    </row>
    <row r="114">
      <c r="A114" s="35" t="n">
        <v>44257</v>
      </c>
      <c r="B114" s="24" t="n">
        <v>0.3782367820516345</v>
      </c>
      <c r="C114" s="24" t="n">
        <v>0.411454180528443</v>
      </c>
      <c r="D114" s="24" t="n">
        <v>0.344652260759034</v>
      </c>
      <c r="E114" s="24" t="n">
        <v>0.3635424242840087</v>
      </c>
      <c r="F114" s="24" t="n">
        <v>0.3226425372853076</v>
      </c>
      <c r="G114" s="24" t="n">
        <v>0.3693710405536295</v>
      </c>
      <c r="H114" s="24" t="n">
        <v>0.3233857907639622</v>
      </c>
    </row>
    <row r="115">
      <c r="A115" s="35" t="n">
        <v>44258</v>
      </c>
      <c r="B115" s="24" t="n">
        <v>0.3763196964698119</v>
      </c>
      <c r="C115" s="24" t="n">
        <v>0.4089340701638623</v>
      </c>
      <c r="D115" s="24" t="n">
        <v>0.3356471329898037</v>
      </c>
      <c r="E115" s="24" t="n">
        <v>0.3628362059501592</v>
      </c>
      <c r="F115" s="24" t="n">
        <v>0.3205405109088916</v>
      </c>
      <c r="G115" s="24" t="n">
        <v>0.3697695272124908</v>
      </c>
      <c r="H115" s="24" t="n">
        <v>0.3197615249202332</v>
      </c>
    </row>
    <row r="116">
      <c r="A116" s="35" t="n">
        <v>44259</v>
      </c>
      <c r="B116" s="24" t="n">
        <v>0.3793198251450251</v>
      </c>
      <c r="C116" s="24" t="n">
        <v>0.405410606768757</v>
      </c>
      <c r="D116" s="24" t="n">
        <v>0.3381470708150462</v>
      </c>
      <c r="E116" s="24" t="n">
        <v>0.364434015341759</v>
      </c>
      <c r="F116" s="24" t="n">
        <v>0.3231405440037276</v>
      </c>
      <c r="G116" s="24" t="n">
        <v>0.3695683869355849</v>
      </c>
      <c r="H116" s="24" t="n">
        <v>0.3268795318661748</v>
      </c>
    </row>
    <row r="117">
      <c r="A117" s="35" t="n">
        <v>44260</v>
      </c>
      <c r="B117" s="24" t="n">
        <v>0.3763993511849123</v>
      </c>
      <c r="C117" s="24" t="n">
        <v>0.3863336449112003</v>
      </c>
      <c r="D117" s="24" t="n">
        <v>0.335144617197832</v>
      </c>
      <c r="E117" s="24" t="n">
        <v>0.3581181216894915</v>
      </c>
      <c r="F117" s="24" t="n">
        <v>0.3227392642030465</v>
      </c>
      <c r="G117" s="24" t="n">
        <v>0.3605727897489253</v>
      </c>
      <c r="H117" s="24" t="n">
        <v>0.3177339393397647</v>
      </c>
    </row>
    <row r="118">
      <c r="A118" s="35" t="n">
        <v>44263</v>
      </c>
      <c r="B118" s="24" t="n">
        <v>0.3701473458504</v>
      </c>
      <c r="C118" s="24" t="n">
        <v>0.3993457404403881</v>
      </c>
      <c r="D118" s="24" t="n">
        <v>0.3306392761334397</v>
      </c>
      <c r="E118" s="24" t="n">
        <v>0.357602535779464</v>
      </c>
      <c r="F118" s="24" t="n">
        <v>0.3201348513243593</v>
      </c>
      <c r="G118" s="24" t="n">
        <v>0.3605690876048558</v>
      </c>
      <c r="H118" s="24" t="n">
        <v>0.3177044480272815</v>
      </c>
    </row>
    <row r="119">
      <c r="A119" s="35" t="n">
        <v>44264</v>
      </c>
      <c r="B119" s="24" t="n">
        <v>0.3637157072956183</v>
      </c>
      <c r="C119" s="24" t="n">
        <v>0.3842844576392325</v>
      </c>
      <c r="D119" s="24" t="n">
        <v>0.3261362624110073</v>
      </c>
      <c r="E119" s="24" t="n">
        <v>0.3519882543428744</v>
      </c>
      <c r="F119" s="24" t="n">
        <v>0.3199336709173011</v>
      </c>
      <c r="G119" s="24" t="n">
        <v>0.3523731296288691</v>
      </c>
      <c r="H119" s="24" t="n">
        <v>0.3063519673292037</v>
      </c>
    </row>
    <row r="120">
      <c r="A120" s="35" t="n">
        <v>44265</v>
      </c>
      <c r="B120" s="24" t="n">
        <v>0.3511641331537426</v>
      </c>
      <c r="C120" s="24" t="n">
        <v>0.3712306550482421</v>
      </c>
      <c r="D120" s="24" t="n">
        <v>0.3211330722662473</v>
      </c>
      <c r="E120" s="24" t="n">
        <v>0.3356563619149549</v>
      </c>
      <c r="F120" s="24" t="n">
        <v>0.3143302532898907</v>
      </c>
      <c r="G120" s="24" t="n">
        <v>0.3436775511740688</v>
      </c>
      <c r="H120" s="24" t="n">
        <v>0.2991155370542881</v>
      </c>
    </row>
    <row r="121">
      <c r="A121" s="35" t="n">
        <v>44266</v>
      </c>
      <c r="B121" s="24" t="n">
        <v>0.3506528312259484</v>
      </c>
      <c r="C121" s="24" t="n">
        <v>0.3732270478284772</v>
      </c>
      <c r="D121" s="24" t="n">
        <v>0.3206317664793751</v>
      </c>
      <c r="E121" s="24" t="n">
        <v>0.3356517563117453</v>
      </c>
      <c r="F121" s="24" t="n">
        <v>0.3151295052761409</v>
      </c>
      <c r="G121" s="24" t="n">
        <v>0.3462746842807762</v>
      </c>
      <c r="H121" s="24" t="n">
        <v>0.303723360373986</v>
      </c>
    </row>
    <row r="122">
      <c r="A122" s="35" t="n">
        <v>44267</v>
      </c>
      <c r="B122" s="24" t="n">
        <v>0.3562615101289134</v>
      </c>
      <c r="C122" s="24" t="n">
        <v>0.3792364146120227</v>
      </c>
      <c r="D122" s="24" t="n">
        <v>0.3276335218804924</v>
      </c>
      <c r="E122" s="24" t="n">
        <v>0.3444615194632346</v>
      </c>
      <c r="F122" s="24" t="n">
        <v>0.3251325026294963</v>
      </c>
      <c r="G122" s="24" t="n">
        <v>0.3528691848824912</v>
      </c>
      <c r="H122" s="24" t="n">
        <v>0.3061227997208941</v>
      </c>
    </row>
    <row r="123">
      <c r="A123" s="35" t="n">
        <v>44270</v>
      </c>
      <c r="B123" s="24" t="n">
        <v>0.3659630606860158</v>
      </c>
      <c r="C123" s="24" t="n">
        <v>0.388233839050132</v>
      </c>
      <c r="D123" s="24" t="n">
        <v>0.3366337312082882</v>
      </c>
      <c r="E123" s="24" t="n">
        <v>0.3501564129301356</v>
      </c>
      <c r="F123" s="24" t="n">
        <v>0.3346329363719834</v>
      </c>
      <c r="G123" s="24" t="n">
        <v>0.3592613126895146</v>
      </c>
      <c r="H123" s="24" t="n">
        <v>0.3106105390505781</v>
      </c>
    </row>
    <row r="124">
      <c r="A124" s="35" t="n">
        <v>44271</v>
      </c>
      <c r="B124" s="24" t="n">
        <v>0.3676583757042737</v>
      </c>
      <c r="C124" s="24" t="n">
        <v>0.4011639411845541</v>
      </c>
      <c r="D124" s="24" t="n">
        <v>0.3426349418435343</v>
      </c>
      <c r="E124" s="24" t="n">
        <v>0.3545585511422103</v>
      </c>
      <c r="F124" s="24" t="n">
        <v>0.3350319475135756</v>
      </c>
      <c r="G124" s="24" t="n">
        <v>0.3627577473947193</v>
      </c>
      <c r="H124" s="24" t="n">
        <v>0.3140130256216384</v>
      </c>
    </row>
    <row r="125">
      <c r="A125" s="35" t="n">
        <v>44272</v>
      </c>
      <c r="B125" s="24" t="n">
        <v>0.3695542241521464</v>
      </c>
      <c r="C125" s="24" t="n">
        <v>0.3997485296542627</v>
      </c>
      <c r="D125" s="24" t="n">
        <v>0.3406329868510308</v>
      </c>
      <c r="E125" s="24" t="n">
        <v>0.3585599429245671</v>
      </c>
      <c r="F125" s="24" t="n">
        <v>0.3376318151607134</v>
      </c>
      <c r="G125" s="24" t="n">
        <v>0.3685526153677668</v>
      </c>
      <c r="H125" s="24" t="n">
        <v>0.3177163595372782</v>
      </c>
    </row>
    <row r="126">
      <c r="A126" s="35" t="n">
        <v>44273</v>
      </c>
      <c r="B126" s="24" t="n">
        <v>0.368340341330695</v>
      </c>
      <c r="C126" s="24" t="n">
        <v>0.3991356803253909</v>
      </c>
      <c r="D126" s="24" t="n">
        <v>0.3393313165711389</v>
      </c>
      <c r="E126" s="24" t="n">
        <v>0.3587553335985841</v>
      </c>
      <c r="F126" s="24" t="n">
        <v>0.3396314327119742</v>
      </c>
      <c r="G126" s="24" t="n">
        <v>0.3658531743994634</v>
      </c>
      <c r="H126" s="24" t="n">
        <v>0.3171044356543166</v>
      </c>
    </row>
    <row r="127">
      <c r="A127" s="35" t="n">
        <v>44274</v>
      </c>
      <c r="B127" s="24" t="n">
        <v>0.3711388369792239</v>
      </c>
      <c r="C127" s="24" t="n">
        <v>0.3972188633615478</v>
      </c>
      <c r="D127" s="24" t="n">
        <v>0.3446321876884285</v>
      </c>
      <c r="E127" s="24" t="n">
        <v>0.3597519481944902</v>
      </c>
      <c r="F127" s="24" t="n">
        <v>0.3426314202707888</v>
      </c>
      <c r="G127" s="24" t="n">
        <v>0.3692496184094347</v>
      </c>
      <c r="H127" s="24" t="n">
        <v>0.3227140265024468</v>
      </c>
    </row>
    <row r="128">
      <c r="A128" s="35" t="n">
        <v>44277</v>
      </c>
      <c r="B128" s="24" t="n">
        <v>0.3766247149020362</v>
      </c>
      <c r="C128" s="24" t="n">
        <v>0.4011980984309307</v>
      </c>
      <c r="D128" s="24" t="n">
        <v>0.3531318197546344</v>
      </c>
      <c r="E128" s="24" t="n">
        <v>0.3646444691388511</v>
      </c>
      <c r="F128" s="24" t="n">
        <v>0.3486301393328332</v>
      </c>
      <c r="G128" s="24" t="n">
        <v>0.3752417000626281</v>
      </c>
      <c r="H128" s="24" t="n">
        <v>0.3286039743109556</v>
      </c>
    </row>
    <row r="129">
      <c r="A129" s="35" t="n">
        <v>44278</v>
      </c>
      <c r="B129" s="24" t="n">
        <v>0.3736054627390635</v>
      </c>
      <c r="C129" s="24" t="n">
        <v>0.4011870740822159</v>
      </c>
      <c r="D129" s="24" t="n">
        <v>0.3533306839515986</v>
      </c>
      <c r="E129" s="24" t="n">
        <v>0.3605333918674203</v>
      </c>
      <c r="F129" s="24" t="n">
        <v>0.3526304249516944</v>
      </c>
      <c r="G129" s="24" t="n">
        <v>0.3705436649988706</v>
      </c>
      <c r="H129" s="24" t="n">
        <v>0.3284934782907487</v>
      </c>
    </row>
    <row r="130">
      <c r="A130" s="35" t="n">
        <v>44280</v>
      </c>
      <c r="B130" s="24" t="n">
        <v>0.3650601747540803</v>
      </c>
      <c r="C130" s="24" t="n">
        <v>0.3892303676430181</v>
      </c>
      <c r="D130" s="24" t="n">
        <v>0.3481263746428498</v>
      </c>
      <c r="E130" s="24" t="n">
        <v>0.3538137569621642</v>
      </c>
      <c r="F130" s="24" t="n">
        <v>0.3461256483517989</v>
      </c>
      <c r="G130" s="24" t="n">
        <v>0.3627465743110977</v>
      </c>
      <c r="H130" s="24" t="n">
        <v>0.3161328449798314</v>
      </c>
    </row>
    <row r="131">
      <c r="A131" s="35" t="n">
        <v>44281</v>
      </c>
      <c r="B131" s="24" t="n">
        <v>0.3660530292622613</v>
      </c>
      <c r="C131" s="24" t="n">
        <v>0.3921280395658744</v>
      </c>
      <c r="D131" s="24" t="n">
        <v>0.3475249661693418</v>
      </c>
      <c r="E131" s="24" t="n">
        <v>0.3537087591741546</v>
      </c>
      <c r="F131" s="24" t="n">
        <v>0.3436235632676133</v>
      </c>
      <c r="G131" s="24" t="n">
        <v>0.3618459643058812</v>
      </c>
      <c r="H131" s="24" t="n">
        <v>0.3130130044149731</v>
      </c>
    </row>
    <row r="132">
      <c r="A132" s="35" t="n">
        <v>44284</v>
      </c>
      <c r="B132" s="24" t="n">
        <v>0.3628138908731249</v>
      </c>
      <c r="C132" s="24" t="n">
        <v>0.382167976262432</v>
      </c>
      <c r="D132" s="24" t="n">
        <v>0.3432198918800403</v>
      </c>
      <c r="E132" s="24" t="n">
        <v>0.3471851079590661</v>
      </c>
      <c r="F132" s="24" t="n">
        <v>0.3381181097506663</v>
      </c>
      <c r="G132" s="24" t="n">
        <v>0.3562462355582325</v>
      </c>
      <c r="H132" s="24" t="n">
        <v>0.3090716705258312</v>
      </c>
    </row>
    <row r="133">
      <c r="A133" s="35" t="n">
        <v>44285</v>
      </c>
      <c r="B133" s="24" t="n">
        <v>0.3589933789389818</v>
      </c>
      <c r="C133" s="24" t="n">
        <v>0.3820571993736092</v>
      </c>
      <c r="D133" s="24" t="n">
        <v>0.3401176434314609</v>
      </c>
      <c r="E133" s="24" t="n">
        <v>0.3433750805909546</v>
      </c>
      <c r="F133" s="24" t="n">
        <v>0.3391172974213683</v>
      </c>
      <c r="G133" s="24" t="n">
        <v>0.3506490217618212</v>
      </c>
      <c r="H133" s="24" t="n">
        <v>0.3078583673146885</v>
      </c>
    </row>
    <row r="134">
      <c r="A134" s="35" t="n">
        <v>44286</v>
      </c>
      <c r="B134" s="24" t="n">
        <v>0.360989010989011</v>
      </c>
      <c r="C134" s="24" t="n">
        <v>0.3895673076923077</v>
      </c>
      <c r="D134" s="24" t="n">
        <v>0.3391161356628982</v>
      </c>
      <c r="E134" s="24" t="n">
        <v>0.3409670781893004</v>
      </c>
      <c r="F134" s="24" t="n">
        <v>0.3356149366221308</v>
      </c>
      <c r="G134" s="24" t="n">
        <v>0.3498483967010027</v>
      </c>
      <c r="H134" s="24" t="n">
        <v>0.3058426657506012</v>
      </c>
    </row>
    <row r="135">
      <c r="A135" s="35" t="n">
        <v>44291</v>
      </c>
      <c r="B135" s="24" t="n">
        <v>0.3625436066474385</v>
      </c>
      <c r="C135" s="24" t="n">
        <v>0.389413542095866</v>
      </c>
      <c r="D135" s="24" t="n">
        <v>0.3391103269899454</v>
      </c>
      <c r="E135" s="24" t="n">
        <v>0.3489541183732254</v>
      </c>
      <c r="F135" s="24" t="n">
        <v>0.3326082115756839</v>
      </c>
      <c r="G135" s="24" t="n">
        <v>0.3532399089711343</v>
      </c>
      <c r="H135" s="24" t="n">
        <v>0.3068986243967782</v>
      </c>
    </row>
    <row r="136">
      <c r="A136" s="35" t="n">
        <v>44292</v>
      </c>
      <c r="B136" s="24" t="n">
        <v>0.3599269351205845</v>
      </c>
      <c r="C136" s="24" t="n">
        <v>0.3879992308960062</v>
      </c>
      <c r="D136" s="24" t="n">
        <v>0.3371085212362884</v>
      </c>
      <c r="E136" s="24" t="n">
        <v>0.3467464954873399</v>
      </c>
      <c r="F136" s="24" t="n">
        <v>0.3301062670859797</v>
      </c>
      <c r="G136" s="24" t="n">
        <v>0.3537383305500041</v>
      </c>
      <c r="H136" s="24" t="n">
        <v>0.3058862320284111</v>
      </c>
    </row>
    <row r="137">
      <c r="A137" s="35" t="n">
        <v>44293</v>
      </c>
      <c r="B137" s="24" t="n">
        <v>0.3588142390199687</v>
      </c>
      <c r="C137" s="24" t="n">
        <v>0.3799681379954404</v>
      </c>
      <c r="D137" s="24" t="n">
        <v>0.3243032883760924</v>
      </c>
      <c r="E137" s="24" t="n">
        <v>0.3461409741177116</v>
      </c>
      <c r="F137" s="24" t="n">
        <v>0.3321057734141353</v>
      </c>
      <c r="G137" s="24" t="n">
        <v>0.352637936875678</v>
      </c>
      <c r="H137" s="24" t="n">
        <v>0.304472752375817</v>
      </c>
    </row>
    <row r="138">
      <c r="A138" s="35" t="n">
        <v>44294</v>
      </c>
      <c r="B138" s="24" t="n">
        <v>0.3597066578773896</v>
      </c>
      <c r="C138" s="24" t="n">
        <v>0.3760478466271149</v>
      </c>
      <c r="D138" s="24" t="n">
        <v>0.3332049823917125</v>
      </c>
      <c r="E138" s="24" t="n">
        <v>0.344333955121523</v>
      </c>
      <c r="F138" s="24" t="n">
        <v>0.331104320539348</v>
      </c>
      <c r="G138" s="24" t="n">
        <v>0.3535360586959052</v>
      </c>
      <c r="H138" s="24" t="n">
        <v>0.3048644787273501</v>
      </c>
    </row>
    <row r="139">
      <c r="A139" s="35" t="n">
        <v>44295</v>
      </c>
      <c r="B139" s="24" t="n">
        <v>0.3570902798758548</v>
      </c>
      <c r="C139" s="24" t="n">
        <v>0.3786440165893049</v>
      </c>
      <c r="D139" s="24" t="n">
        <v>0.3311031862669531</v>
      </c>
      <c r="E139" s="24" t="n">
        <v>0.3422266112551263</v>
      </c>
      <c r="F139" s="24" t="n">
        <v>0.3314032797892494</v>
      </c>
      <c r="G139" s="24" t="n">
        <v>0.3512365725705721</v>
      </c>
      <c r="H139" s="24" t="n">
        <v>0.3027491491546495</v>
      </c>
    </row>
    <row r="140">
      <c r="A140" s="35" t="n">
        <v>44298</v>
      </c>
      <c r="B140" s="24" t="n">
        <v>0.3633760848072064</v>
      </c>
      <c r="C140" s="24" t="n">
        <v>0.3869328792705701</v>
      </c>
      <c r="D140" s="24" t="n">
        <v>0.3371015922606813</v>
      </c>
      <c r="E140" s="24" t="n">
        <v>0.3469182027649769</v>
      </c>
      <c r="F140" s="24" t="n">
        <v>0.3351009893392529</v>
      </c>
      <c r="G140" s="24" t="n">
        <v>0.3589271170548419</v>
      </c>
      <c r="H140" s="24" t="n">
        <v>0.3068322298837944</v>
      </c>
    </row>
    <row r="141">
      <c r="A141" s="35" t="n">
        <v>44299</v>
      </c>
      <c r="B141" s="24" t="n">
        <v>0.364869689396644</v>
      </c>
      <c r="C141" s="24" t="n">
        <v>0.3999533133770906</v>
      </c>
      <c r="D141" s="24" t="n">
        <v>0.3385008547067106</v>
      </c>
      <c r="E141" s="24" t="n">
        <v>0.3486154732352256</v>
      </c>
      <c r="F141" s="24" t="n">
        <v>0.3350998413910994</v>
      </c>
      <c r="G141" s="24" t="n">
        <v>0.3636223021459639</v>
      </c>
      <c r="H141" s="24" t="n">
        <v>0.30932946909006</v>
      </c>
    </row>
    <row r="142">
      <c r="A142" s="35" t="n">
        <v>44300</v>
      </c>
      <c r="B142" s="24" t="n">
        <v>0.3645589608392376</v>
      </c>
      <c r="C142" s="24" t="n">
        <v>0.3929257977700885</v>
      </c>
      <c r="D142" s="24" t="n">
        <v>0.3365991353617846</v>
      </c>
      <c r="E142" s="24" t="n">
        <v>0.3461077433689004</v>
      </c>
      <c r="F142" s="24" t="n">
        <v>0.3348986345293476</v>
      </c>
      <c r="G142" s="24" t="n">
        <v>0.3607232807709155</v>
      </c>
      <c r="H142" s="24" t="n">
        <v>0.3080164545747976</v>
      </c>
    </row>
    <row r="143">
      <c r="A143" s="35" t="n">
        <v>44301</v>
      </c>
      <c r="B143" s="24" t="n">
        <v>0.3618426472607442</v>
      </c>
      <c r="C143" s="24" t="n">
        <v>0.3909103391459564</v>
      </c>
      <c r="D143" s="24" t="n">
        <v>0.3350975455183872</v>
      </c>
      <c r="E143" s="24" t="n">
        <v>0.3428992662689433</v>
      </c>
      <c r="F143" s="24" t="n">
        <v>0.3310963807957796</v>
      </c>
      <c r="G143" s="24" t="n">
        <v>0.3595229703139703</v>
      </c>
      <c r="H143" s="24" t="n">
        <v>0.3086085120263705</v>
      </c>
    </row>
    <row r="144">
      <c r="A144" s="35" t="n">
        <v>44302</v>
      </c>
      <c r="B144" s="24" t="n">
        <v>0.3628350175746925</v>
      </c>
      <c r="C144" s="24" t="n">
        <v>0.3899975285588752</v>
      </c>
      <c r="D144" s="24" t="n">
        <v>0.3360966853478398</v>
      </c>
      <c r="E144" s="24" t="n">
        <v>0.3423939876021724</v>
      </c>
      <c r="F144" s="24" t="n">
        <v>0.3315953904547884</v>
      </c>
      <c r="G144" s="24" t="n">
        <v>0.3637184918521966</v>
      </c>
      <c r="H144" s="24" t="n">
        <v>0.3108046861051215</v>
      </c>
    </row>
    <row r="145">
      <c r="A145" s="35" t="n">
        <v>44305</v>
      </c>
      <c r="B145" s="24" t="n">
        <v>0.362805129190807</v>
      </c>
      <c r="C145" s="24" t="n">
        <v>0.3939742991295753</v>
      </c>
      <c r="D145" s="24" t="n">
        <v>0.3350929538673399</v>
      </c>
      <c r="E145" s="24" t="n">
        <v>0.3440817893827397</v>
      </c>
      <c r="F145" s="24" t="n">
        <v>0.3315919827075319</v>
      </c>
      <c r="G145" s="24" t="n">
        <v>0.3646140526778657</v>
      </c>
      <c r="H145" s="24" t="n">
        <v>0.3087708697398643</v>
      </c>
    </row>
    <row r="146">
      <c r="A146" s="35" t="n">
        <v>44306</v>
      </c>
      <c r="B146" s="24" t="n">
        <v>0.3622940691927512</v>
      </c>
      <c r="C146" s="24" t="n">
        <v>0.3943643602416255</v>
      </c>
      <c r="D146" s="24" t="n">
        <v>0.336592217045766</v>
      </c>
      <c r="E146" s="24" t="n">
        <v>0.3429758639605047</v>
      </c>
      <c r="F146" s="24" t="n">
        <v>0.330090435735818</v>
      </c>
      <c r="G146" s="24" t="n">
        <v>0.3617150874311331</v>
      </c>
      <c r="H146" s="24" t="n">
        <v>0.3093628124141719</v>
      </c>
    </row>
    <row r="147">
      <c r="A147" s="35" t="n">
        <v>44307</v>
      </c>
      <c r="B147" s="24" t="n">
        <v>0.3647895444935614</v>
      </c>
      <c r="C147" s="24" t="n">
        <v>0.3908459405288158</v>
      </c>
      <c r="D147" s="24" t="n">
        <v>0.3380914699524871</v>
      </c>
      <c r="E147" s="24" t="n">
        <v>0.3438721355987987</v>
      </c>
      <c r="F147" s="24" t="n">
        <v>0.3300893049831975</v>
      </c>
      <c r="G147" s="24" t="n">
        <v>0.3660104506366539</v>
      </c>
      <c r="H147" s="24" t="n">
        <v>0.3102554507722571</v>
      </c>
    </row>
    <row r="148">
      <c r="A148" s="35" t="n">
        <v>44308</v>
      </c>
      <c r="B148" s="24" t="n">
        <v>0.3667838119817693</v>
      </c>
      <c r="C148" s="24" t="n">
        <v>0.3988523419911043</v>
      </c>
      <c r="D148" s="24" t="n">
        <v>0.342091380574263</v>
      </c>
      <c r="E148" s="24" t="n">
        <v>0.3440676339102054</v>
      </c>
      <c r="F148" s="24" t="n">
        <v>0.3345893766143011</v>
      </c>
      <c r="G148" s="24" t="n">
        <v>0.3667086424484656</v>
      </c>
      <c r="H148" s="24" t="n">
        <v>0.3123509258559963</v>
      </c>
    </row>
    <row r="149">
      <c r="A149" s="35" t="n">
        <v>44309</v>
      </c>
      <c r="B149" s="24" t="n">
        <v>0.3662726848419954</v>
      </c>
      <c r="C149" s="24" t="n">
        <v>0.3983403344040853</v>
      </c>
      <c r="D149" s="24" t="n">
        <v>0.3387893382844106</v>
      </c>
      <c r="E149" s="24" t="n">
        <v>0.3425613318157508</v>
      </c>
      <c r="F149" s="24" t="n">
        <v>0.3280865159648263</v>
      </c>
      <c r="G149" s="24" t="n">
        <v>0.3663077065218507</v>
      </c>
      <c r="H149" s="24" t="n">
        <v>0.315749364072954</v>
      </c>
    </row>
    <row r="150">
      <c r="A150" s="35" t="n">
        <v>44312</v>
      </c>
      <c r="B150" s="24" t="n">
        <v>0.3691484104760336</v>
      </c>
      <c r="C150" s="24" t="n">
        <v>0.3958024488003075</v>
      </c>
      <c r="D150" s="24" t="n">
        <v>0.3375855525030316</v>
      </c>
      <c r="E150" s="24" t="n">
        <v>0.3490538353947837</v>
      </c>
      <c r="F150" s="24" t="n">
        <v>0.3280831443585018</v>
      </c>
      <c r="G150" s="24" t="n">
        <v>0.368202411749408</v>
      </c>
      <c r="H150" s="24" t="n">
        <v>0.3157201013269992</v>
      </c>
    </row>
    <row r="151">
      <c r="A151" s="35" t="n">
        <v>44313</v>
      </c>
      <c r="B151" s="24" t="n">
        <v>0.3705410821643286</v>
      </c>
      <c r="C151" s="24" t="n">
        <v>0.3947895791583166</v>
      </c>
      <c r="D151" s="24" t="n">
        <v>0.3390847711927982</v>
      </c>
      <c r="E151" s="24" t="n">
        <v>0.3528528528528528</v>
      </c>
      <c r="F151" s="24" t="n">
        <v>0.3295823955988997</v>
      </c>
      <c r="G151" s="24" t="n">
        <v>0.3710987999466187</v>
      </c>
      <c r="H151" s="24" t="n">
        <v>0.3212227511901778</v>
      </c>
    </row>
    <row r="152">
      <c r="A152" s="35" t="n">
        <v>44314</v>
      </c>
      <c r="B152" s="24" t="n">
        <v>0.3732362468430878</v>
      </c>
      <c r="C152" s="24" t="n">
        <v>0.3932757768749314</v>
      </c>
      <c r="D152" s="24" t="n">
        <v>0.3430845962018031</v>
      </c>
      <c r="E152" s="24" t="n">
        <v>0.3538490017551558</v>
      </c>
      <c r="F152" s="24" t="n">
        <v>0.3315817598859992</v>
      </c>
      <c r="G152" s="24" t="n">
        <v>0.3692989960237889</v>
      </c>
      <c r="H152" s="24" t="n">
        <v>0.3227161646393366</v>
      </c>
    </row>
    <row r="153">
      <c r="A153" s="35" t="n">
        <v>44315</v>
      </c>
      <c r="B153" s="24" t="n">
        <v>0.3687172307776771</v>
      </c>
      <c r="C153" s="24" t="n">
        <v>0.3977737516813528</v>
      </c>
      <c r="D153" s="24" t="n">
        <v>0.3390824481295109</v>
      </c>
      <c r="E153" s="24" t="n">
        <v>0.3526429815299812</v>
      </c>
      <c r="F153" s="24" t="n">
        <v>0.3275796512165629</v>
      </c>
      <c r="G153" s="24" t="n">
        <v>0.3671994497654317</v>
      </c>
      <c r="H153" s="24" t="n">
        <v>0.3181963268934415</v>
      </c>
    </row>
    <row r="154">
      <c r="A154" s="35" t="n">
        <v>44316</v>
      </c>
      <c r="B154" s="24" t="n">
        <v>0.3692080702717541</v>
      </c>
      <c r="C154" s="24" t="n">
        <v>0.3907493823771617</v>
      </c>
      <c r="D154" s="24" t="n">
        <v>0.3406816702634193</v>
      </c>
      <c r="E154" s="24" t="n">
        <v>0.3519374742904154</v>
      </c>
      <c r="F154" s="24" t="n">
        <v>0.3295790086664612</v>
      </c>
      <c r="G154" s="24" t="n">
        <v>0.3717944155488639</v>
      </c>
      <c r="H154" s="24" t="n">
        <v>0.3206919037649724</v>
      </c>
    </row>
    <row r="155">
      <c r="A155" s="35" t="n">
        <v>44319</v>
      </c>
      <c r="B155" s="24" t="n">
        <v>0.368376197403453</v>
      </c>
      <c r="C155" s="24" t="n">
        <v>0.3963275052836714</v>
      </c>
      <c r="D155" s="24" t="n">
        <v>0.3365772283366389</v>
      </c>
      <c r="E155" s="24" t="n">
        <v>0.3521231815501899</v>
      </c>
      <c r="F155" s="24" t="n">
        <v>0.3255747037847725</v>
      </c>
      <c r="G155" s="24" t="n">
        <v>0.3703917630191313</v>
      </c>
      <c r="H155" s="24" t="n">
        <v>0.3206621893842421</v>
      </c>
    </row>
    <row r="156">
      <c r="A156" s="35" t="n">
        <v>44320</v>
      </c>
      <c r="B156" s="24" t="n">
        <v>0.3681657243234341</v>
      </c>
      <c r="C156" s="24" t="n">
        <v>0.3667631882307735</v>
      </c>
      <c r="D156" s="24" t="n">
        <v>0.336576075414306</v>
      </c>
      <c r="E156" s="24" t="n">
        <v>0.3515178106233032</v>
      </c>
      <c r="F156" s="24" t="n">
        <v>0.328374221570629</v>
      </c>
      <c r="G156" s="24" t="n">
        <v>0.3701906625970079</v>
      </c>
      <c r="H156" s="24" t="n">
        <v>0.3207524896536104</v>
      </c>
    </row>
    <row r="157">
      <c r="A157" s="35" t="n">
        <v>44321</v>
      </c>
      <c r="B157" s="24" t="n">
        <v>0.3666529435981886</v>
      </c>
      <c r="C157" s="24" t="n">
        <v>0.3881912995745849</v>
      </c>
      <c r="D157" s="24" t="n">
        <v>0.3387754123349375</v>
      </c>
      <c r="E157" s="24" t="n">
        <v>0.3507122780558031</v>
      </c>
      <c r="F157" s="24" t="n">
        <v>0.3280730299552982</v>
      </c>
      <c r="G157" s="24" t="n">
        <v>0.3678913240602919</v>
      </c>
      <c r="H157" s="24" t="n">
        <v>0.318638367963214</v>
      </c>
    </row>
    <row r="158">
      <c r="A158" s="35" t="n">
        <v>44322</v>
      </c>
      <c r="B158" s="24" t="n">
        <v>0.3660418267647382</v>
      </c>
      <c r="C158" s="24" t="n">
        <v>0.392688549785926</v>
      </c>
      <c r="D158" s="24" t="n">
        <v>0.3352734845993643</v>
      </c>
      <c r="E158" s="24" t="n">
        <v>0.3480051003619612</v>
      </c>
      <c r="F158" s="24" t="n">
        <v>0.3249712265702072</v>
      </c>
      <c r="G158" s="24" t="n">
        <v>0.3649925063131745</v>
      </c>
      <c r="H158" s="24" t="n">
        <v>0.3162237839024926</v>
      </c>
    </row>
    <row r="159">
      <c r="A159" s="35" t="n">
        <v>44323</v>
      </c>
      <c r="B159" s="24" t="n">
        <v>0.3636276312539451</v>
      </c>
      <c r="C159" s="24" t="n">
        <v>0.3886708565469166</v>
      </c>
      <c r="D159" s="24" t="n">
        <v>0.3345721850947294</v>
      </c>
      <c r="E159" s="24" t="n">
        <v>0.3432962693831663</v>
      </c>
      <c r="F159" s="24" t="n">
        <v>0.3230697033949105</v>
      </c>
      <c r="G159" s="24" t="n">
        <v>0.3628930322638043</v>
      </c>
      <c r="H159" s="24" t="n">
        <v>0.3141099326431804</v>
      </c>
    </row>
    <row r="160">
      <c r="A160" s="35" t="n">
        <v>44326</v>
      </c>
      <c r="B160" s="24" t="n">
        <v>0.3645993413830955</v>
      </c>
      <c r="C160" s="24" t="n">
        <v>0.3956503841931943</v>
      </c>
      <c r="D160" s="24" t="n">
        <v>0.3354689319723231</v>
      </c>
      <c r="E160" s="24" t="n">
        <v>0.3442829723060049</v>
      </c>
      <c r="F160" s="24" t="n">
        <v>0.3225662807426183</v>
      </c>
      <c r="G160" s="24" t="n">
        <v>0.3644879384088965</v>
      </c>
      <c r="H160" s="24" t="n">
        <v>0.314581760790503</v>
      </c>
    </row>
    <row r="161">
      <c r="A161" s="35" t="n">
        <v>44327</v>
      </c>
      <c r="B161" s="24" t="n">
        <v>0.3604826980598776</v>
      </c>
      <c r="C161" s="24" t="n">
        <v>0.3888285173293817</v>
      </c>
      <c r="D161" s="24" t="n">
        <v>0.3315669947009841</v>
      </c>
      <c r="E161" s="24" t="n">
        <v>0.338473560823131</v>
      </c>
      <c r="F161" s="24" t="n">
        <v>0.3200646706012516</v>
      </c>
      <c r="G161" s="24" t="n">
        <v>0.3586916725691272</v>
      </c>
      <c r="H161" s="24" t="n">
        <v>0.310664942069311</v>
      </c>
    </row>
    <row r="162">
      <c r="A162" s="35" t="n">
        <v>44328</v>
      </c>
      <c r="B162" s="24" t="n">
        <v>0.3636778991273805</v>
      </c>
      <c r="C162" s="24" t="n">
        <v>0.3925237363481697</v>
      </c>
      <c r="D162" s="24" t="n">
        <v>0.3340663556459845</v>
      </c>
      <c r="E162" s="24" t="n">
        <v>0.3413712264538949</v>
      </c>
      <c r="F162" s="24" t="n">
        <v>0.3225640709455988</v>
      </c>
      <c r="G162" s="24" t="n">
        <v>0.3636861338844559</v>
      </c>
      <c r="H162" s="24" t="n">
        <v>0.3137609013373222</v>
      </c>
    </row>
    <row r="163">
      <c r="A163" s="35" t="n">
        <v>44329</v>
      </c>
      <c r="B163" s="24" t="n">
        <v>0.3650701094860467</v>
      </c>
      <c r="C163" s="24" t="n">
        <v>0.387705457838268</v>
      </c>
      <c r="D163" s="24" t="n">
        <v>0.3353654651764215</v>
      </c>
      <c r="E163" s="24" t="n">
        <v>0.3424674060567841</v>
      </c>
      <c r="F163" s="24" t="n">
        <v>0.3221628879610061</v>
      </c>
      <c r="G163" s="24" t="n">
        <v>0.3641844566180673</v>
      </c>
      <c r="H163" s="24" t="n">
        <v>0.3125491016752033</v>
      </c>
    </row>
    <row r="164">
      <c r="A164" s="35" t="n">
        <v>44330</v>
      </c>
      <c r="B164" s="24" t="n">
        <v>0.3747749972560641</v>
      </c>
      <c r="C164" s="24" t="n">
        <v>0.3956069586214466</v>
      </c>
      <c r="D164" s="24" t="n">
        <v>0.3450661770750555</v>
      </c>
      <c r="E164" s="24" t="n">
        <v>0.3511693902171529</v>
      </c>
      <c r="F164" s="24" t="n">
        <v>0.330563395719727</v>
      </c>
      <c r="G164" s="24" t="n">
        <v>0.3741745194248839</v>
      </c>
      <c r="H164" s="24" t="n">
        <v>0.3250610643027692</v>
      </c>
    </row>
    <row r="165">
      <c r="A165" s="35" t="n">
        <v>44333</v>
      </c>
      <c r="B165" s="24" t="n">
        <v>0.381053310286169</v>
      </c>
      <c r="C165" s="24" t="n">
        <v>0.4075918456937471</v>
      </c>
      <c r="D165" s="24" t="n">
        <v>0.3520639020096114</v>
      </c>
      <c r="E165" s="24" t="n">
        <v>0.3572593800978793</v>
      </c>
      <c r="F165" s="24" t="n">
        <v>0.3379613422984309</v>
      </c>
      <c r="G165" s="24" t="n">
        <v>0.3834625004704764</v>
      </c>
      <c r="H165" s="24" t="n">
        <v>0.3295383211616236</v>
      </c>
    </row>
    <row r="166">
      <c r="A166" s="35" t="n">
        <v>44334</v>
      </c>
      <c r="B166" s="24" t="n">
        <v>0.3805421422300264</v>
      </c>
      <c r="C166" s="24" t="n">
        <v>0.4030742427568042</v>
      </c>
      <c r="D166" s="24" t="n">
        <v>0.3550632304382972</v>
      </c>
      <c r="E166" s="24" t="n">
        <v>0.357254482645172</v>
      </c>
      <c r="F166" s="24" t="n">
        <v>0.3350596681600833</v>
      </c>
      <c r="G166" s="24" t="n">
        <v>0.3834611884020284</v>
      </c>
      <c r="H166" s="24" t="n">
        <v>0.3295281478534089</v>
      </c>
    </row>
    <row r="167">
      <c r="A167" s="35" t="n">
        <v>44335</v>
      </c>
      <c r="B167" s="24" t="n">
        <v>0.3750240061455733</v>
      </c>
      <c r="C167" s="24" t="n">
        <v>0.4015610853521359</v>
      </c>
      <c r="D167" s="24" t="n">
        <v>0.3515614028477577</v>
      </c>
      <c r="E167" s="24" t="n">
        <v>0.3509451808797928</v>
      </c>
      <c r="F167" s="24" t="n">
        <v>0.3360586951830628</v>
      </c>
      <c r="G167" s="24" t="n">
        <v>0.3786641301037778</v>
      </c>
      <c r="H167" s="24" t="n">
        <v>0.3295179751733032</v>
      </c>
    </row>
    <row r="168">
      <c r="A168" s="35" t="n">
        <v>44336</v>
      </c>
      <c r="B168" s="24" t="n">
        <v>0.3734115226337448</v>
      </c>
      <c r="C168" s="24" t="n">
        <v>0.4035528120713305</v>
      </c>
      <c r="D168" s="24" t="n">
        <v>0.3525603699263573</v>
      </c>
      <c r="E168" s="24" t="n">
        <v>0.3480383824537355</v>
      </c>
      <c r="F168" s="24" t="n">
        <v>0.3300565165268025</v>
      </c>
      <c r="G168" s="24" t="n">
        <v>0.3795620338055157</v>
      </c>
      <c r="H168" s="24" t="n">
        <v>0.3285062596467158</v>
      </c>
    </row>
    <row r="169">
      <c r="A169" s="35" t="n">
        <v>44337</v>
      </c>
      <c r="B169" s="24" t="n">
        <v>0.36979643905517</v>
      </c>
      <c r="C169" s="24" t="n">
        <v>0.403541740967326</v>
      </c>
      <c r="D169" s="24" t="n">
        <v>0.3507588602196944</v>
      </c>
      <c r="E169" s="24" t="n">
        <v>0.3442310592041233</v>
      </c>
      <c r="F169" s="24" t="n">
        <v>0.3336559902175365</v>
      </c>
      <c r="G169" s="24" t="n">
        <v>0.3746651109795696</v>
      </c>
      <c r="H169" s="24" t="n">
        <v>0.3229878000679108</v>
      </c>
    </row>
    <row r="170">
      <c r="A170" s="35" t="n">
        <v>44342</v>
      </c>
      <c r="B170" s="24" t="n">
        <v>0.3781558591178407</v>
      </c>
      <c r="C170" s="24" t="n">
        <v>0.4064900153609831</v>
      </c>
      <c r="D170" s="24" t="n">
        <v>0.3665552343503816</v>
      </c>
      <c r="E170" s="24" t="n">
        <v>0.3547138000986896</v>
      </c>
      <c r="F170" s="24" t="n">
        <v>0.3470522955513845</v>
      </c>
      <c r="G170" s="24" t="n">
        <v>0.3871473246973647</v>
      </c>
      <c r="H170" s="24" t="n">
        <v>0.3349542530280792</v>
      </c>
    </row>
    <row r="171">
      <c r="A171" s="35" t="n">
        <v>44343</v>
      </c>
      <c r="B171" s="24" t="n">
        <v>0.3814493787201361</v>
      </c>
      <c r="C171" s="24" t="n">
        <v>0.4104835833996215</v>
      </c>
      <c r="D171" s="24" t="n">
        <v>0.3665539788393496</v>
      </c>
      <c r="E171" s="24" t="n">
        <v>0.3568101758570116</v>
      </c>
      <c r="F171" s="24" t="n">
        <v>0.352551916891871</v>
      </c>
      <c r="G171" s="24" t="n">
        <v>0.3867463654808788</v>
      </c>
      <c r="H171" s="24" t="n">
        <v>0.3384485602493716</v>
      </c>
    </row>
    <row r="172">
      <c r="A172" s="35" t="n">
        <v>44344</v>
      </c>
      <c r="B172" s="24" t="n">
        <v>0.3768336167644961</v>
      </c>
      <c r="C172" s="24" t="n">
        <v>0.4005609194141204</v>
      </c>
      <c r="D172" s="24" t="n">
        <v>0.3632522486111016</v>
      </c>
      <c r="E172" s="24" t="n">
        <v>0.3537035006442062</v>
      </c>
      <c r="F172" s="24" t="n">
        <v>0.3460497742826023</v>
      </c>
      <c r="G172" s="24" t="n">
        <v>0.3851465093681142</v>
      </c>
      <c r="H172" s="24" t="n">
        <v>0.3354342264986866</v>
      </c>
    </row>
    <row r="173">
      <c r="A173" s="35" t="n">
        <v>44347</v>
      </c>
      <c r="B173" s="24" t="n">
        <v>0.3764021831546036</v>
      </c>
      <c r="C173" s="24" t="n">
        <v>0.4054332026000384</v>
      </c>
      <c r="D173" s="24" t="n">
        <v>0.3625484225632876</v>
      </c>
      <c r="E173" s="24" t="n">
        <v>0.3531886898480009</v>
      </c>
      <c r="F173" s="24" t="n">
        <v>0.3440459513428163</v>
      </c>
      <c r="G173" s="24" t="n">
        <v>0.3854422778859346</v>
      </c>
      <c r="H173" s="24" t="n">
        <v>0.3344019694907234</v>
      </c>
    </row>
    <row r="174">
      <c r="A174" s="35" t="n">
        <v>44348</v>
      </c>
      <c r="B174" s="24" t="n">
        <v>0.3788944654709012</v>
      </c>
      <c r="C174" s="24" t="n">
        <v>0.4084252098074708</v>
      </c>
      <c r="D174" s="24" t="n">
        <v>0.3680478966440838</v>
      </c>
      <c r="E174" s="24" t="n">
        <v>0.3561854115841123</v>
      </c>
      <c r="F174" s="24" t="n">
        <v>0.3490454237195251</v>
      </c>
      <c r="G174" s="24" t="n">
        <v>0.3876389116986916</v>
      </c>
      <c r="H174" s="24" t="n">
        <v>0.3374952855741999</v>
      </c>
    </row>
    <row r="175">
      <c r="A175" s="35" t="n">
        <v>44349</v>
      </c>
      <c r="B175" s="24" t="n">
        <v>0.3838891479033541</v>
      </c>
      <c r="C175" s="24" t="n">
        <v>0.4194251707210048</v>
      </c>
      <c r="D175" s="24" t="n">
        <v>0.3760476498734429</v>
      </c>
      <c r="E175" s="24" t="n">
        <v>0.36318407960199</v>
      </c>
      <c r="F175" s="24" t="n">
        <v>0.3536448111575782</v>
      </c>
      <c r="G175" s="24" t="n">
        <v>0.3947309535947556</v>
      </c>
      <c r="H175" s="24" t="n">
        <v>0.3423904658394676</v>
      </c>
    </row>
    <row r="176">
      <c r="A176" s="35" t="n">
        <v>44350</v>
      </c>
      <c r="B176" s="24" t="n">
        <v>0.3823771390960948</v>
      </c>
      <c r="C176" s="24" t="n">
        <v>0.4184126810004388</v>
      </c>
      <c r="D176" s="24" t="n">
        <v>0.3696455727418449</v>
      </c>
      <c r="E176" s="24" t="n">
        <v>0.3606778685379091</v>
      </c>
      <c r="F176" s="24" t="n">
        <v>0.3450425394911701</v>
      </c>
      <c r="G176" s="24" t="n">
        <v>0.3882356966408234</v>
      </c>
      <c r="H176" s="24" t="n">
        <v>0.3330695703451775</v>
      </c>
    </row>
    <row r="177">
      <c r="A177" s="35" t="n">
        <v>44351</v>
      </c>
      <c r="B177" s="24" t="n">
        <v>0.3808652132181544</v>
      </c>
      <c r="C177" s="24" t="n">
        <v>0.4177005347593583</v>
      </c>
      <c r="D177" s="24" t="n">
        <v>0.3701443666192865</v>
      </c>
      <c r="E177" s="24" t="n">
        <v>0.3586719660111012</v>
      </c>
      <c r="F177" s="24" t="n">
        <v>0.3461414895621051</v>
      </c>
      <c r="G177" s="24" t="n">
        <v>0.3908319219912753</v>
      </c>
      <c r="H177" s="24" t="n">
        <v>0.3357622092325625</v>
      </c>
    </row>
    <row r="178">
      <c r="A178" s="35" t="n">
        <v>44354</v>
      </c>
      <c r="B178" s="24" t="n">
        <v>0.3820349347373039</v>
      </c>
      <c r="C178" s="24" t="n">
        <v>0.423871613469343</v>
      </c>
      <c r="D178" s="24" t="n">
        <v>0.3730408811924594</v>
      </c>
      <c r="E178" s="24" t="n">
        <v>0.3651600701677448</v>
      </c>
      <c r="F178" s="24" t="n">
        <v>0.3535387439719421</v>
      </c>
      <c r="G178" s="24" t="n">
        <v>0.3949240107021398</v>
      </c>
      <c r="H178" s="24" t="n">
        <v>0.3383336989907854</v>
      </c>
    </row>
    <row r="179">
      <c r="A179" s="35" t="n">
        <v>44355</v>
      </c>
      <c r="B179" s="24" t="n">
        <v>0.3878293893443747</v>
      </c>
      <c r="C179" s="24" t="n">
        <v>0.42536126573254</v>
      </c>
      <c r="D179" s="24" t="n">
        <v>0.3755398689586908</v>
      </c>
      <c r="E179" s="24" t="n">
        <v>0.3703572750071948</v>
      </c>
      <c r="F179" s="24" t="n">
        <v>0.3590381170603728</v>
      </c>
      <c r="G179" s="24" t="n">
        <v>0.3992185548739389</v>
      </c>
      <c r="H179" s="24" t="n">
        <v>0.3412260344644369</v>
      </c>
    </row>
    <row r="180">
      <c r="A180" s="35" t="n">
        <v>44356</v>
      </c>
      <c r="B180" s="24" t="n">
        <v>0.3933232794077324</v>
      </c>
      <c r="C180" s="24" t="n">
        <v>0.4403619413216342</v>
      </c>
      <c r="D180" s="24" t="n">
        <v>0.3815391992327979</v>
      </c>
      <c r="E180" s="24" t="n">
        <v>0.3766547896395779</v>
      </c>
      <c r="F180" s="24" t="n">
        <v>0.364037401102853</v>
      </c>
      <c r="G180" s="24" t="n">
        <v>0.4043123032708362</v>
      </c>
      <c r="H180" s="24" t="n">
        <v>0.3477215233263634</v>
      </c>
    </row>
    <row r="181">
      <c r="A181" s="35" t="n">
        <v>44357</v>
      </c>
      <c r="B181" s="24" t="n">
        <v>0.3953140851635546</v>
      </c>
      <c r="C181" s="24" t="n">
        <v>0.4403498670176305</v>
      </c>
      <c r="D181" s="24" t="n">
        <v>0.3833380712468019</v>
      </c>
      <c r="E181" s="24" t="n">
        <v>0.3798508996724726</v>
      </c>
      <c r="F181" s="24" t="n">
        <v>0.3700367502251936</v>
      </c>
      <c r="G181" s="24" t="n">
        <v>0.4042110161112081</v>
      </c>
      <c r="H181" s="24" t="n">
        <v>0.3508135696632949</v>
      </c>
    </row>
    <row r="182">
      <c r="A182" s="35" t="n">
        <v>44358</v>
      </c>
      <c r="B182" s="24" t="n">
        <v>0.399306317174819</v>
      </c>
      <c r="C182" s="24" t="n">
        <v>0.4493447027856986</v>
      </c>
      <c r="D182" s="24" t="n">
        <v>0.3866370747879934</v>
      </c>
      <c r="E182" s="24" t="n">
        <v>0.3831469604779915</v>
      </c>
      <c r="F182" s="24" t="n">
        <v>0.377036154151768</v>
      </c>
      <c r="G182" s="24" t="n">
        <v>0.405608282412191</v>
      </c>
      <c r="H182" s="24" t="n">
        <v>0.3518036113358103</v>
      </c>
    </row>
    <row r="183">
      <c r="A183" s="35" t="n">
        <v>44361</v>
      </c>
      <c r="B183" s="24" t="n">
        <v>0.3987731322823852</v>
      </c>
      <c r="C183" s="24" t="n">
        <v>0.4528101439342015</v>
      </c>
      <c r="D183" s="24" t="n">
        <v>0.3870331363986643</v>
      </c>
      <c r="E183" s="24" t="n">
        <v>0.3831312093182597</v>
      </c>
      <c r="F183" s="24" t="n">
        <v>0.3800325370322802</v>
      </c>
      <c r="G183" s="24" t="n">
        <v>0.4058039242520143</v>
      </c>
      <c r="H183" s="24" t="n">
        <v>0.3511705937794534</v>
      </c>
    </row>
    <row r="184">
      <c r="A184" s="35" t="n">
        <v>44362</v>
      </c>
      <c r="B184" s="24" t="n">
        <v>0.3972612128522864</v>
      </c>
      <c r="C184" s="24" t="n">
        <v>0.4402895054282268</v>
      </c>
      <c r="D184" s="24" t="n">
        <v>0.3825314409403512</v>
      </c>
      <c r="E184" s="24" t="n">
        <v>0.3807251699188774</v>
      </c>
      <c r="F184" s="24" t="n">
        <v>0.3828314655999123</v>
      </c>
      <c r="G184" s="24" t="n">
        <v>0.4029053735040337</v>
      </c>
      <c r="H184" s="24" t="n">
        <v>0.3475570970306802</v>
      </c>
    </row>
    <row r="185">
      <c r="A185" s="35" t="n">
        <v>44363</v>
      </c>
      <c r="B185" s="24" t="n">
        <v>0.3951489979987389</v>
      </c>
      <c r="C185" s="24" t="n">
        <v>0.4352742824245415</v>
      </c>
      <c r="D185" s="24" t="n">
        <v>0.3854303592406251</v>
      </c>
      <c r="E185" s="24" t="n">
        <v>0.379719637694068</v>
      </c>
      <c r="F185" s="24" t="n">
        <v>0.3720293036780294</v>
      </c>
      <c r="G185" s="24" t="n">
        <v>0.4004064498250007</v>
      </c>
      <c r="H185" s="24" t="n">
        <v>0.3446443197746347</v>
      </c>
    </row>
    <row r="186">
      <c r="A186" s="35" t="n">
        <v>44364</v>
      </c>
      <c r="B186" s="24" t="n">
        <v>0.3934371401940896</v>
      </c>
      <c r="C186" s="24" t="n">
        <v>0.4312599374965733</v>
      </c>
      <c r="D186" s="24" t="n">
        <v>0.3798286172245854</v>
      </c>
      <c r="E186" s="24" t="n">
        <v>0.3754131382060347</v>
      </c>
      <c r="F186" s="24" t="n">
        <v>0.3700278788127873</v>
      </c>
      <c r="G186" s="24" t="n">
        <v>0.3964090212393256</v>
      </c>
      <c r="H186" s="24" t="n">
        <v>0.3416316543409572</v>
      </c>
    </row>
    <row r="187">
      <c r="A187" s="35" t="n">
        <v>44365</v>
      </c>
      <c r="B187" s="24" t="n">
        <v>0.3923257216480715</v>
      </c>
      <c r="C187" s="24" t="n">
        <v>0.4322486910277146</v>
      </c>
      <c r="D187" s="24" t="n">
        <v>0.3790272588097089</v>
      </c>
      <c r="E187" s="24" t="n">
        <v>0.3731073322462626</v>
      </c>
      <c r="F187" s="24" t="n">
        <v>0.3690265395799013</v>
      </c>
      <c r="G187" s="24" t="n">
        <v>0.3967073683922419</v>
      </c>
      <c r="H187" s="24" t="n">
        <v>0.3383189804359671</v>
      </c>
    </row>
    <row r="188">
      <c r="A188" s="35" t="n">
        <v>44369</v>
      </c>
      <c r="B188" s="24" t="n">
        <v>0.3861798645944687</v>
      </c>
      <c r="C188" s="24" t="n">
        <v>0.4216964065455143</v>
      </c>
      <c r="D188" s="24" t="n">
        <v>0.3732217286622851</v>
      </c>
      <c r="E188" s="24" t="n">
        <v>0.3665853691955661</v>
      </c>
      <c r="F188" s="24" t="n">
        <v>0.3620210765695263</v>
      </c>
      <c r="G188" s="24" t="n">
        <v>0.3871115627127574</v>
      </c>
      <c r="H188" s="24" t="n">
        <v>0.3336748364725353</v>
      </c>
    </row>
    <row r="189">
      <c r="A189" s="35" t="n">
        <v>44370</v>
      </c>
      <c r="B189" s="24" t="n">
        <v>0.3856690604100427</v>
      </c>
      <c r="C189" s="24" t="n">
        <v>0.4161824361363886</v>
      </c>
      <c r="D189" s="24" t="n">
        <v>0.3735204668748973</v>
      </c>
      <c r="E189" s="24" t="n">
        <v>0.3654801052285432</v>
      </c>
      <c r="F189" s="24" t="n">
        <v>0.3600197271083347</v>
      </c>
      <c r="G189" s="24" t="n">
        <v>0.3888085283994882</v>
      </c>
      <c r="H189" s="24" t="n">
        <v>0.3331643002028397</v>
      </c>
    </row>
    <row r="190">
      <c r="A190" s="35" t="n">
        <v>44371</v>
      </c>
      <c r="B190" s="24" t="n">
        <v>0.3817568863916678</v>
      </c>
      <c r="C190" s="24" t="n">
        <v>0.4071673290393313</v>
      </c>
      <c r="D190" s="24" t="n">
        <v>0.3711190643354967</v>
      </c>
      <c r="E190" s="24" t="n">
        <v>0.3600739878057135</v>
      </c>
      <c r="F190" s="24" t="n">
        <v>0.3575183656694693</v>
      </c>
      <c r="G190" s="24" t="n">
        <v>0.3841119417027319</v>
      </c>
      <c r="H190" s="24" t="n">
        <v>0.3296524077912734</v>
      </c>
    </row>
    <row r="191">
      <c r="A191" s="35" t="n">
        <v>44372</v>
      </c>
      <c r="B191" s="24" t="n">
        <v>0.3746436989530231</v>
      </c>
      <c r="C191" s="24" t="n">
        <v>0.4001534835279285</v>
      </c>
      <c r="D191" s="24" t="n">
        <v>0.3620173569965683</v>
      </c>
      <c r="E191" s="24" t="n">
        <v>0.3499671169813389</v>
      </c>
      <c r="F191" s="24" t="n">
        <v>0.3475166617577555</v>
      </c>
      <c r="G191" s="24" t="n">
        <v>0.3747201467006048</v>
      </c>
      <c r="H191" s="24" t="n">
        <v>0.3207384008167908</v>
      </c>
    </row>
    <row r="192">
      <c r="A192" s="35" t="n">
        <v>44375</v>
      </c>
      <c r="B192" s="24" t="n">
        <v>0.3725122639699636</v>
      </c>
      <c r="C192" s="24" t="n">
        <v>0.4051220915892461</v>
      </c>
      <c r="D192" s="24" t="n">
        <v>0.3600135621547387</v>
      </c>
      <c r="E192" s="24" t="n">
        <v>0.3485525216128458</v>
      </c>
      <c r="F192" s="24" t="n">
        <v>0.3450129970649579</v>
      </c>
      <c r="G192" s="24" t="n">
        <v>0.3749160961891762</v>
      </c>
      <c r="H192" s="24" t="n">
        <v>0.320108529946797</v>
      </c>
    </row>
    <row r="193">
      <c r="A193" s="35" t="n">
        <v>44376</v>
      </c>
      <c r="B193" s="24" t="n">
        <v>0.3673006303096739</v>
      </c>
      <c r="C193" s="24" t="n">
        <v>0.3951082488352973</v>
      </c>
      <c r="D193" s="24" t="n">
        <v>0.3535121065789925</v>
      </c>
      <c r="E193" s="24" t="n">
        <v>0.3415467872311275</v>
      </c>
      <c r="F193" s="24" t="n">
        <v>0.3410116784821398</v>
      </c>
      <c r="G193" s="24" t="n">
        <v>0.373616147793363</v>
      </c>
      <c r="H193" s="24" t="n">
        <v>0.3140968106608201</v>
      </c>
    </row>
    <row r="194">
      <c r="A194" s="35" t="n">
        <v>44377</v>
      </c>
      <c r="B194" s="24" t="n">
        <v>0.3636896769066345</v>
      </c>
      <c r="C194" s="24" t="n">
        <v>0.3955975446000383</v>
      </c>
      <c r="D194" s="24" t="n">
        <v>0.3501107910860266</v>
      </c>
      <c r="E194" s="24" t="n">
        <v>0.3393418366647943</v>
      </c>
      <c r="F194" s="24" t="n">
        <v>0.3390104489521937</v>
      </c>
      <c r="G194" s="24" t="n">
        <v>0.375512913058799</v>
      </c>
      <c r="H194" s="24" t="n">
        <v>0.3130868494342609</v>
      </c>
    </row>
    <row r="195">
      <c r="A195" s="35" t="n">
        <v>44378</v>
      </c>
      <c r="B195" s="24" t="n">
        <v>0.3625794694727612</v>
      </c>
      <c r="C195" s="24" t="n">
        <v>0.400087690452702</v>
      </c>
      <c r="D195" s="24" t="n">
        <v>0.3525096577988438</v>
      </c>
      <c r="E195" s="24" t="n">
        <v>0.3380370451556335</v>
      </c>
      <c r="F195" s="24" t="n">
        <v>0.3435094112167457</v>
      </c>
      <c r="G195" s="24" t="n">
        <v>0.3750121449733494</v>
      </c>
      <c r="H195" s="24" t="n">
        <v>0.3135773204351758</v>
      </c>
    </row>
    <row r="196">
      <c r="A196" s="35" t="n">
        <v>44379</v>
      </c>
      <c r="B196" s="24" t="n">
        <v>0.3650700134272326</v>
      </c>
      <c r="C196" s="24" t="n">
        <v>0.3970761515907161</v>
      </c>
      <c r="D196" s="24" t="n">
        <v>0.357308565616299</v>
      </c>
      <c r="E196" s="24" t="n">
        <v>0.3406326634060801</v>
      </c>
      <c r="F196" s="24" t="n">
        <v>0.3475083306791601</v>
      </c>
      <c r="G196" s="24" t="n">
        <v>0.371814179122349</v>
      </c>
      <c r="H196" s="24" t="n">
        <v>0.3175685164949972</v>
      </c>
    </row>
    <row r="197">
      <c r="A197" s="35" t="n">
        <v>44382</v>
      </c>
      <c r="B197" s="24" t="n">
        <v>0.3640398947829899</v>
      </c>
      <c r="C197" s="24" t="n">
        <v>0.3955433472161333</v>
      </c>
      <c r="D197" s="24" t="n">
        <v>0.3566048849984246</v>
      </c>
      <c r="E197" s="24" t="n">
        <v>0.3380185215628254</v>
      </c>
      <c r="F197" s="24" t="n">
        <v>0.3490047808874094</v>
      </c>
      <c r="G197" s="24" t="n">
        <v>0.3741079553618469</v>
      </c>
      <c r="H197" s="24" t="n">
        <v>0.3150388404049814</v>
      </c>
    </row>
    <row r="198">
      <c r="A198" s="35" t="n">
        <v>44383</v>
      </c>
      <c r="B198" s="24" t="n">
        <v>0.3630298380688823</v>
      </c>
      <c r="C198" s="24" t="n">
        <v>0.3980327150176727</v>
      </c>
      <c r="D198" s="24" t="n">
        <v>0.354003637023668</v>
      </c>
      <c r="E198" s="24" t="n">
        <v>0.3377138786525474</v>
      </c>
      <c r="F198" s="24" t="n">
        <v>0.3460035548310428</v>
      </c>
      <c r="G198" s="24" t="n">
        <v>0.3698111916580855</v>
      </c>
      <c r="H198" s="24" t="n">
        <v>0.3108287410137239</v>
      </c>
    </row>
    <row r="199">
      <c r="A199" s="35" t="n">
        <v>44384</v>
      </c>
      <c r="B199" s="24" t="n">
        <v>0.3560195079182421</v>
      </c>
      <c r="C199" s="24" t="n">
        <v>0.3890213162365061</v>
      </c>
      <c r="D199" s="24" t="n">
        <v>0.3570024452222276</v>
      </c>
      <c r="E199" s="24" t="n">
        <v>0.3376092495684813</v>
      </c>
      <c r="F199" s="24" t="n">
        <v>0.3470023767286077</v>
      </c>
      <c r="G199" s="24" t="n">
        <v>0.3697100318841769</v>
      </c>
      <c r="H199" s="24" t="n">
        <v>0.3126192710509552</v>
      </c>
    </row>
    <row r="200">
      <c r="A200" s="35" t="n">
        <v>44385</v>
      </c>
      <c r="B200" s="24" t="n">
        <v>0.3554097372530754</v>
      </c>
      <c r="C200" s="24" t="n">
        <v>0.3904106961834571</v>
      </c>
      <c r="D200" s="24" t="n">
        <v>0.356601221237059</v>
      </c>
      <c r="E200" s="24" t="n">
        <v>0.3386046384197044</v>
      </c>
      <c r="F200" s="24" t="n">
        <v>0.3505012003465765</v>
      </c>
      <c r="G200" s="24" t="n">
        <v>0.3681104584532122</v>
      </c>
      <c r="H200" s="24" t="n">
        <v>0.3150097092033659</v>
      </c>
    </row>
    <row r="201">
      <c r="A201" s="35" t="n">
        <v>44389</v>
      </c>
      <c r="B201" s="24" t="n">
        <v>0.357970577760732</v>
      </c>
      <c r="C201" s="24" t="n">
        <v>0.3914678245623647</v>
      </c>
      <c r="D201" s="24" t="n">
        <v>0.3595963055174091</v>
      </c>
      <c r="E201" s="24" t="n">
        <v>0.3428859087982686</v>
      </c>
      <c r="F201" s="24" t="n">
        <v>0.3524963784618651</v>
      </c>
      <c r="G201" s="24" t="n">
        <v>0.37060274431859</v>
      </c>
      <c r="H201" s="24" t="n">
        <v>0.3189705061518284</v>
      </c>
    </row>
    <row r="202">
      <c r="A202" s="35" t="n">
        <v>44390</v>
      </c>
      <c r="B202" s="24" t="n">
        <v>0.3604604974797282</v>
      </c>
      <c r="C202" s="24" t="n">
        <v>0.3930569252684638</v>
      </c>
      <c r="D202" s="24" t="n">
        <v>0.3649950000684922</v>
      </c>
      <c r="E202" s="24" t="n">
        <v>0.3474809599474001</v>
      </c>
      <c r="F202" s="24" t="n">
        <v>0.3599950685607046</v>
      </c>
      <c r="G202" s="24" t="n">
        <v>0.3736981465136804</v>
      </c>
      <c r="H202" s="24" t="n">
        <v>0.3274596282650084</v>
      </c>
    </row>
    <row r="203">
      <c r="A203" s="35" t="n">
        <v>44391</v>
      </c>
      <c r="B203" s="24" t="n">
        <v>0.3639501438159156</v>
      </c>
      <c r="C203" s="24" t="n">
        <v>0.3949458978222161</v>
      </c>
      <c r="D203" s="24" t="n">
        <v>0.3681936953134364</v>
      </c>
      <c r="E203" s="24" t="n">
        <v>0.3508759673994932</v>
      </c>
      <c r="F203" s="24" t="n">
        <v>0.3627937877776066</v>
      </c>
      <c r="G203" s="24" t="n">
        <v>0.3765937430511606</v>
      </c>
      <c r="H203" s="24" t="n">
        <v>0.3259497680152031</v>
      </c>
    </row>
    <row r="204">
      <c r="A204" s="35" t="n">
        <v>44392</v>
      </c>
      <c r="B204" s="24" t="n">
        <v>0.3636402235249</v>
      </c>
      <c r="C204" s="24" t="n">
        <v>0.3949350791650688</v>
      </c>
      <c r="D204" s="24" t="n">
        <v>0.3699923974164914</v>
      </c>
      <c r="E204" s="24" t="n">
        <v>0.352870996904364</v>
      </c>
      <c r="F204" s="24" t="n">
        <v>0.3634925309753909</v>
      </c>
      <c r="G204" s="24" t="n">
        <v>0.3750940762736217</v>
      </c>
      <c r="H204" s="24" t="n">
        <v>0.3271395015990193</v>
      </c>
    </row>
    <row r="205">
      <c r="A205" s="35" t="n">
        <v>44393</v>
      </c>
      <c r="B205" s="24" t="n">
        <v>0.3639302051661325</v>
      </c>
      <c r="C205" s="24" t="n">
        <v>0.3970238584381078</v>
      </c>
      <c r="D205" s="24" t="n">
        <v>0.3719910824055588</v>
      </c>
      <c r="E205" s="24" t="n">
        <v>0.3556658950511595</v>
      </c>
      <c r="F205" s="24" t="n">
        <v>0.3674911902796851</v>
      </c>
      <c r="G205" s="24" t="n">
        <v>0.3774901904439358</v>
      </c>
      <c r="H205" s="24" t="n">
        <v>0.3264295717019958</v>
      </c>
    </row>
    <row r="206">
      <c r="A206" s="35" t="n">
        <v>44396</v>
      </c>
      <c r="B206" s="24" t="n">
        <v>0.3658997534921939</v>
      </c>
      <c r="C206" s="24" t="n">
        <v>0.3988907148726376</v>
      </c>
      <c r="D206" s="24" t="n">
        <v>0.3764871066059381</v>
      </c>
      <c r="E206" s="24" t="n">
        <v>0.3583509108341323</v>
      </c>
      <c r="F206" s="24" t="n">
        <v>0.365987466182665</v>
      </c>
      <c r="G206" s="24" t="n">
        <v>0.379883689107827</v>
      </c>
      <c r="H206" s="24" t="n">
        <v>0.3292985038857886</v>
      </c>
    </row>
    <row r="207">
      <c r="A207" s="35" t="n">
        <v>44397</v>
      </c>
      <c r="B207" s="24" t="n">
        <v>0.3698885267453644</v>
      </c>
      <c r="C207" s="24" t="n">
        <v>0.4088767768617677</v>
      </c>
      <c r="D207" s="24" t="n">
        <v>0.3819856101311253</v>
      </c>
      <c r="E207" s="24" t="n">
        <v>0.3618454753393324</v>
      </c>
      <c r="F207" s="24" t="n">
        <v>0.3759858361500081</v>
      </c>
      <c r="G207" s="24" t="n">
        <v>0.3818801933490922</v>
      </c>
      <c r="H207" s="24" t="n">
        <v>0.3310877476472018</v>
      </c>
    </row>
    <row r="208">
      <c r="A208" s="35" t="n">
        <v>44398</v>
      </c>
      <c r="B208" s="24" t="n">
        <v>0.3718777388255916</v>
      </c>
      <c r="C208" s="24" t="n">
        <v>0.4003683720420683</v>
      </c>
      <c r="D208" s="24" t="n">
        <v>0.3814843225620865</v>
      </c>
      <c r="E208" s="24" t="n">
        <v>0.3631403057031721</v>
      </c>
      <c r="F208" s="24" t="n">
        <v>0.3784844458446913</v>
      </c>
      <c r="G208" s="24" t="n">
        <v>0.3834771245407462</v>
      </c>
      <c r="H208" s="24" t="n">
        <v>0.3324770290440522</v>
      </c>
    </row>
    <row r="209">
      <c r="A209" s="35" t="n">
        <v>44399</v>
      </c>
      <c r="B209" s="24" t="n">
        <v>0.3718675540218553</v>
      </c>
      <c r="C209" s="24" t="n">
        <v>0.4058554487442829</v>
      </c>
      <c r="D209" s="24" t="n">
        <v>0.3854828380928246</v>
      </c>
      <c r="E209" s="24" t="n">
        <v>0.3629353676742498</v>
      </c>
      <c r="F209" s="24" t="n">
        <v>0.3820829894559489</v>
      </c>
      <c r="G209" s="24" t="n">
        <v>0.3853737133239601</v>
      </c>
      <c r="H209" s="24" t="n">
        <v>0.3328666253590171</v>
      </c>
    </row>
    <row r="210">
      <c r="A210" s="35" t="n">
        <v>44400</v>
      </c>
      <c r="B210" s="24" t="n">
        <v>0.3698581366051378</v>
      </c>
      <c r="C210" s="24" t="n">
        <v>0.4053445253875226</v>
      </c>
      <c r="D210" s="24" t="n">
        <v>0.3858814988322478</v>
      </c>
      <c r="E210" s="24" t="n">
        <v>0.3627304352589915</v>
      </c>
      <c r="F210" s="24" t="n">
        <v>0.3849815419808639</v>
      </c>
      <c r="G210" s="24" t="n">
        <v>0.3890682940846458</v>
      </c>
      <c r="H210" s="24" t="n">
        <v>0.3332561976681295</v>
      </c>
    </row>
    <row r="211">
      <c r="A211" s="35" t="n">
        <v>44403</v>
      </c>
      <c r="B211" s="24" t="n">
        <v>0.3704274721362653</v>
      </c>
      <c r="C211" s="24" t="n">
        <v>0.4053112249089465</v>
      </c>
      <c r="D211" s="24" t="n">
        <v>0.3844776160292038</v>
      </c>
      <c r="E211" s="24" t="n">
        <v>0.3621156716928934</v>
      </c>
      <c r="F211" s="24" t="n">
        <v>0.3829777033528869</v>
      </c>
      <c r="G211" s="24" t="n">
        <v>0.3855682164151789</v>
      </c>
      <c r="H211" s="24" t="n">
        <v>0.3348245611032575</v>
      </c>
    </row>
    <row r="212">
      <c r="A212" s="35" t="n">
        <v>44404</v>
      </c>
      <c r="B212" s="24" t="n">
        <v>0.3703173777315296</v>
      </c>
      <c r="C212" s="24" t="n">
        <v>0.4028013582342954</v>
      </c>
      <c r="D212" s="24" t="n">
        <v>0.3839763302262189</v>
      </c>
      <c r="E212" s="24" t="n">
        <v>0.3611109589416308</v>
      </c>
      <c r="F212" s="24" t="n">
        <v>0.3829763918662548</v>
      </c>
      <c r="G212" s="24" t="n">
        <v>0.3857666730521879</v>
      </c>
      <c r="H212" s="24" t="n">
        <v>0.334314524133871</v>
      </c>
    </row>
    <row r="213">
      <c r="A213" s="35" t="n">
        <v>44405</v>
      </c>
      <c r="B213" s="24" t="n">
        <v>0.3696076015224951</v>
      </c>
      <c r="C213" s="24" t="n">
        <v>0.4027903283222432</v>
      </c>
      <c r="D213" s="24" t="n">
        <v>0.3844749827922156</v>
      </c>
      <c r="E213" s="24" t="n">
        <v>0.3600062997302072</v>
      </c>
      <c r="F213" s="24" t="n">
        <v>0.3799752755813834</v>
      </c>
      <c r="G213" s="24" t="n">
        <v>0.3864645656092964</v>
      </c>
      <c r="H213" s="24" t="n">
        <v>0.3369027042382715</v>
      </c>
    </row>
    <row r="214">
      <c r="A214" s="35" t="n">
        <v>44406</v>
      </c>
      <c r="B214" s="24" t="n">
        <v>0.3683981380065717</v>
      </c>
      <c r="C214" s="24" t="n">
        <v>0.4097754654983571</v>
      </c>
      <c r="D214" s="24" t="n">
        <v>0.3844736661872475</v>
      </c>
      <c r="E214" s="24" t="n">
        <v>0.3590016433853738</v>
      </c>
      <c r="F214" s="24" t="n">
        <v>0.3814738716526265</v>
      </c>
      <c r="G214" s="24" t="n">
        <v>0.3863633564806896</v>
      </c>
      <c r="H214" s="24" t="n">
        <v>0.3347936203710042</v>
      </c>
    </row>
    <row r="215">
      <c r="A215" s="35" t="n">
        <v>44407</v>
      </c>
      <c r="B215" s="24" t="n">
        <v>0.3677883957175324</v>
      </c>
      <c r="C215" s="24" t="n">
        <v>0.4087648202404096</v>
      </c>
      <c r="D215" s="24" t="n">
        <v>0.3847723280175055</v>
      </c>
      <c r="E215" s="24" t="n">
        <v>0.3585968420043549</v>
      </c>
      <c r="F215" s="24" t="n">
        <v>0.380972601285524</v>
      </c>
      <c r="G215" s="24" t="n">
        <v>0.387760449627306</v>
      </c>
      <c r="H215" s="24" t="n">
        <v>0.3355827905910215</v>
      </c>
    </row>
    <row r="216">
      <c r="A216" s="35" t="n">
        <v>44409</v>
      </c>
      <c r="B216" s="24" t="n">
        <v>0.3672685704898283</v>
      </c>
      <c r="C216" s="24" t="n">
        <v>0.4047449552336884</v>
      </c>
      <c r="D216" s="24" t="n">
        <v>0.3829698345678251</v>
      </c>
      <c r="E216" s="24" t="n">
        <v>0.3576873040001096</v>
      </c>
      <c r="F216" s="24" t="n">
        <v>0.3804700314701239</v>
      </c>
      <c r="G216" s="24" t="n">
        <v>0.3895557463577495</v>
      </c>
      <c r="H216" s="24" t="n">
        <v>0.3357619769546931</v>
      </c>
    </row>
    <row r="217">
      <c r="A217" s="35" t="n">
        <v>44410</v>
      </c>
      <c r="B217" s="24" t="n">
        <v>0.366259172051254</v>
      </c>
      <c r="C217" s="24" t="n">
        <v>0.3998370934180265</v>
      </c>
      <c r="D217" s="24" t="n">
        <v>0.3822685806646029</v>
      </c>
      <c r="E217" s="24" t="n">
        <v>0.3557830302366345</v>
      </c>
      <c r="F217" s="24" t="n">
        <v>0.3789688518751883</v>
      </c>
      <c r="G217" s="24" t="n">
        <v>0.3891548707984703</v>
      </c>
      <c r="H217" s="24" t="n">
        <v>0.3367508965970378</v>
      </c>
    </row>
    <row r="218">
      <c r="A218" s="35" t="n">
        <v>44411</v>
      </c>
      <c r="B218" s="24" t="n">
        <v>0.364050650239562</v>
      </c>
      <c r="C218" s="24" t="n">
        <v>0.4047227926078029</v>
      </c>
      <c r="D218" s="24" t="n">
        <v>0.3814673401249893</v>
      </c>
      <c r="E218" s="24" t="n">
        <v>0.3539787743923314</v>
      </c>
      <c r="F218" s="24" t="n">
        <v>0.3759678109750877</v>
      </c>
      <c r="G218" s="24" t="n">
        <v>0.3874554877110165</v>
      </c>
      <c r="H218" s="24" t="n">
        <v>0.3340426041577552</v>
      </c>
    </row>
    <row r="219">
      <c r="A219" s="35" t="n">
        <v>44412</v>
      </c>
      <c r="B219" s="24" t="n">
        <v>0.3627416087170782</v>
      </c>
      <c r="C219" s="24" t="n">
        <v>0.4097081530964244</v>
      </c>
      <c r="D219" s="24" t="n">
        <v>0.3769664344955587</v>
      </c>
      <c r="E219" s="24" t="n">
        <v>0.3517747103771259</v>
      </c>
      <c r="F219" s="24" t="n">
        <v>0.3714669241779842</v>
      </c>
      <c r="G219" s="24" t="n">
        <v>0.3865551967598927</v>
      </c>
      <c r="H219" s="24" t="n">
        <v>0.3299355995537823</v>
      </c>
    </row>
    <row r="220">
      <c r="A220" s="35" t="n">
        <v>44413</v>
      </c>
      <c r="B220" s="24" t="n">
        <v>0.3622320475264872</v>
      </c>
      <c r="C220" s="24" t="n">
        <v>0.4037013715881403</v>
      </c>
      <c r="D220" s="24" t="n">
        <v>0.3739654210055919</v>
      </c>
      <c r="E220" s="24" t="n">
        <v>0.34957070672491</v>
      </c>
      <c r="F220" s="24" t="n">
        <v>0.3699657908344092</v>
      </c>
      <c r="G220" s="24" t="n">
        <v>0.3835573328042636</v>
      </c>
      <c r="H220" s="24" t="n">
        <v>0.327227683811075</v>
      </c>
    </row>
    <row r="221">
      <c r="A221" s="35" t="n">
        <v>44417</v>
      </c>
      <c r="B221" s="24" t="n">
        <v>0.360893487722756</v>
      </c>
      <c r="C221" s="24" t="n">
        <v>0.400160137965016</v>
      </c>
      <c r="D221" s="24" t="n">
        <v>0.3739602987354082</v>
      </c>
      <c r="E221" s="24" t="n">
        <v>0.3508510084758527</v>
      </c>
      <c r="F221" s="24" t="n">
        <v>0.3707606384253727</v>
      </c>
      <c r="G221" s="24" t="n">
        <v>0.3828529012352013</v>
      </c>
      <c r="H221" s="24" t="n">
        <v>0.326687856465911</v>
      </c>
    </row>
    <row r="222">
      <c r="A222" s="35" t="n">
        <v>44418</v>
      </c>
      <c r="B222" s="24" t="n">
        <v>0.3646802803022008</v>
      </c>
      <c r="C222" s="24" t="n">
        <v>0.4046452425270995</v>
      </c>
      <c r="D222" s="24" t="n">
        <v>0.3773586456278764</v>
      </c>
      <c r="E222" s="24" t="n">
        <v>0.353345108993318</v>
      </c>
      <c r="F222" s="24" t="n">
        <v>0.3749589086127548</v>
      </c>
      <c r="G222" s="24" t="n">
        <v>0.3864473801232802</v>
      </c>
      <c r="H222" s="24" t="n">
        <v>0.3287757280490475</v>
      </c>
    </row>
    <row r="223">
      <c r="A223" s="35" t="n">
        <v>44419</v>
      </c>
      <c r="B223" s="24" t="n">
        <v>0.3661689431472915</v>
      </c>
      <c r="C223" s="24" t="n">
        <v>0.4046341663701311</v>
      </c>
      <c r="D223" s="24" t="n">
        <v>0.3780572743491318</v>
      </c>
      <c r="E223" s="24" t="n">
        <v>0.3551394575055112</v>
      </c>
      <c r="F223" s="24" t="n">
        <v>0.3754575681515445</v>
      </c>
      <c r="G223" s="24" t="n">
        <v>0.3865459408981916</v>
      </c>
      <c r="H223" s="24" t="n">
        <v>0.3299643855393658</v>
      </c>
    </row>
    <row r="224">
      <c r="A224" s="35" t="n">
        <v>44420</v>
      </c>
      <c r="B224" s="24" t="n">
        <v>0.3698554770898342</v>
      </c>
      <c r="C224" s="24" t="n">
        <v>0.4066212295396069</v>
      </c>
      <c r="D224" s="24" t="n">
        <v>0.3839552928768568</v>
      </c>
      <c r="E224" s="24" t="n">
        <v>0.3566338965413369</v>
      </c>
      <c r="F224" s="24" t="n">
        <v>0.378955875000856</v>
      </c>
      <c r="G224" s="24" t="n">
        <v>0.3909394412062502</v>
      </c>
      <c r="H224" s="24" t="n">
        <v>0.3376461653199044</v>
      </c>
    </row>
    <row r="225">
      <c r="A225" s="35" t="n">
        <v>44421</v>
      </c>
      <c r="B225" s="24" t="n">
        <v>0.3611536882441495</v>
      </c>
      <c r="C225" s="24" t="n">
        <v>0.4056110578896948</v>
      </c>
      <c r="D225" s="24" t="n">
        <v>0.3774547571352749</v>
      </c>
      <c r="E225" s="24" t="n">
        <v>0.3510316971315123</v>
      </c>
      <c r="F225" s="24" t="n">
        <v>0.3739551766055438</v>
      </c>
      <c r="G225" s="24" t="n">
        <v>0.387542116335152</v>
      </c>
      <c r="H225" s="24" t="n">
        <v>0.3321416964575886</v>
      </c>
    </row>
    <row r="226">
      <c r="A226" s="35" t="n">
        <v>44425</v>
      </c>
      <c r="B226" s="24" t="n">
        <v>0.3605147924135855</v>
      </c>
      <c r="C226" s="24" t="n">
        <v>0.3976750868934563</v>
      </c>
      <c r="D226" s="24" t="n">
        <v>0.3774495872126668</v>
      </c>
      <c r="E226" s="24" t="n">
        <v>0.3525116718465477</v>
      </c>
      <c r="F226" s="24" t="n">
        <v>0.3639513900540681</v>
      </c>
      <c r="G226" s="24" t="n">
        <v>0.3835415889912399</v>
      </c>
      <c r="H226" s="24" t="n">
        <v>0.3266074000088934</v>
      </c>
    </row>
    <row r="227">
      <c r="A227" s="35" t="n">
        <v>44426</v>
      </c>
      <c r="B227" s="24" t="n">
        <v>0.3596059113300493</v>
      </c>
      <c r="C227" s="24" t="n">
        <v>0.3995621237000547</v>
      </c>
      <c r="D227" s="24" t="n">
        <v>0.376448431721682</v>
      </c>
      <c r="E227" s="24" t="n">
        <v>0.350907721796276</v>
      </c>
      <c r="F227" s="24" t="n">
        <v>0.366549787700315</v>
      </c>
      <c r="G227" s="24" t="n">
        <v>0.3820420728578758</v>
      </c>
      <c r="H227" s="24" t="n">
        <v>0.3313914352168559</v>
      </c>
    </row>
    <row r="228">
      <c r="A228" s="35" t="n">
        <v>44427</v>
      </c>
      <c r="B228" s="24" t="n">
        <v>0.3610943871267891</v>
      </c>
      <c r="C228" s="24" t="n">
        <v>0.3995511890752853</v>
      </c>
      <c r="D228" s="24" t="n">
        <v>0.3724477042607031</v>
      </c>
      <c r="E228" s="24" t="n">
        <v>0.3524020755466108</v>
      </c>
      <c r="F228" s="24" t="n">
        <v>0.3669484764125586</v>
      </c>
      <c r="G228" s="24" t="n">
        <v>0.3786448481448669</v>
      </c>
      <c r="H228" s="24" t="n">
        <v>0.3315809815678133</v>
      </c>
    </row>
    <row r="229">
      <c r="A229" s="35" t="n">
        <v>44428</v>
      </c>
      <c r="B229" s="24" t="n">
        <v>0.3616838158830935</v>
      </c>
      <c r="C229" s="24" t="n">
        <v>0.3895517486727601</v>
      </c>
      <c r="D229" s="24" t="n">
        <v>0.3719465008457688</v>
      </c>
      <c r="E229" s="24" t="n">
        <v>0.3524971933955807</v>
      </c>
      <c r="F229" s="24" t="n">
        <v>0.3659473637353531</v>
      </c>
      <c r="G229" s="24" t="n">
        <v>0.3794425897548162</v>
      </c>
      <c r="H229" s="24" t="n">
        <v>0.326577239053554</v>
      </c>
    </row>
    <row r="230">
      <c r="A230" s="35" t="n">
        <v>44431</v>
      </c>
      <c r="B230" s="24" t="n">
        <v>0.3640511697906691</v>
      </c>
      <c r="C230" s="24" t="n">
        <v>0.399507456560405</v>
      </c>
      <c r="D230" s="24" t="n">
        <v>0.3739423718947422</v>
      </c>
      <c r="E230" s="24" t="n">
        <v>0.3523827777397495</v>
      </c>
      <c r="F230" s="24" t="n">
        <v>0.369942988238114</v>
      </c>
      <c r="G230" s="24" t="n">
        <v>0.3870294675993227</v>
      </c>
      <c r="H230" s="24" t="n">
        <v>0.3285443135377302</v>
      </c>
    </row>
    <row r="231">
      <c r="A231" s="35" t="n">
        <v>44432</v>
      </c>
      <c r="B231" s="24" t="n">
        <v>0.3665380616209709</v>
      </c>
      <c r="C231" s="24" t="n">
        <v>0.4094839380506758</v>
      </c>
      <c r="D231" s="24" t="n">
        <v>0.3774405401888744</v>
      </c>
      <c r="E231" s="24" t="n">
        <v>0.3536771349560551</v>
      </c>
      <c r="F231" s="24" t="n">
        <v>0.371441485245475</v>
      </c>
      <c r="G231" s="24" t="n">
        <v>0.3954179151445498</v>
      </c>
      <c r="H231" s="24" t="n">
        <v>0.3375214593008543</v>
      </c>
    </row>
    <row r="232">
      <c r="A232" s="35" t="n">
        <v>44433</v>
      </c>
      <c r="B232" s="24" t="n">
        <v>0.3665280323966399</v>
      </c>
      <c r="C232" s="24" t="n">
        <v>0.4134675896790434</v>
      </c>
      <c r="D232" s="24" t="n">
        <v>0.3766393765387078</v>
      </c>
      <c r="E232" s="24" t="n">
        <v>0.3534724218653743</v>
      </c>
      <c r="F232" s="24" t="n">
        <v>0.3714402133903105</v>
      </c>
      <c r="G232" s="24" t="n">
        <v>0.3944177837370065</v>
      </c>
      <c r="H232" s="24" t="n">
        <v>0.3345154108944919</v>
      </c>
    </row>
    <row r="233">
      <c r="A233" s="35" t="n">
        <v>44434</v>
      </c>
      <c r="B233" s="24" t="n">
        <v>0.365319579730765</v>
      </c>
      <c r="C233" s="24" t="n">
        <v>0.4164523366531684</v>
      </c>
      <c r="D233" s="24" t="n">
        <v>0.3749383662959513</v>
      </c>
      <c r="E233" s="24" t="n">
        <v>0.3539672544080605</v>
      </c>
      <c r="F233" s="24" t="n">
        <v>0.3709390237221279</v>
      </c>
      <c r="G233" s="24" t="n">
        <v>0.3925187612447752</v>
      </c>
      <c r="H233" s="24" t="n">
        <v>0.3394977293866608</v>
      </c>
    </row>
    <row r="234">
      <c r="A234" s="35" t="n">
        <v>44435</v>
      </c>
      <c r="B234" s="24" t="n">
        <v>0.3665079755944075</v>
      </c>
      <c r="C234" s="24" t="n">
        <v>0.4204355796328217</v>
      </c>
      <c r="D234" s="24" t="n">
        <v>0.377936579135693</v>
      </c>
      <c r="E234" s="24" t="n">
        <v>0.3560610001505839</v>
      </c>
      <c r="F234" s="24" t="n">
        <v>0.3737372838119631</v>
      </c>
      <c r="G234" s="24" t="n">
        <v>0.3955137348260187</v>
      </c>
      <c r="H234" s="24" t="n">
        <v>0.3407853207997511</v>
      </c>
    </row>
    <row r="235">
      <c r="A235" s="35" t="n">
        <v>44438</v>
      </c>
      <c r="B235" s="24" t="n">
        <v>0.37206992777413</v>
      </c>
      <c r="C235" s="24" t="n">
        <v>0.4243953819216459</v>
      </c>
      <c r="D235" s="24" t="n">
        <v>0.3839316286140824</v>
      </c>
      <c r="E235" s="24" t="n">
        <v>0.3598436730000547</v>
      </c>
      <c r="F235" s="24" t="n">
        <v>0.3819319847150508</v>
      </c>
      <c r="G235" s="24" t="n">
        <v>0.4015022472140702</v>
      </c>
      <c r="H235" s="24" t="n">
        <v>0.3494399387283395</v>
      </c>
    </row>
    <row r="236">
      <c r="A236" s="35" t="n">
        <v>44439</v>
      </c>
      <c r="B236" s="24" t="n">
        <v>0.3751552540147183</v>
      </c>
      <c r="C236" s="24" t="n">
        <v>0.4203895713074167</v>
      </c>
      <c r="D236" s="24" t="n">
        <v>0.3844302232813908</v>
      </c>
      <c r="E236" s="24" t="n">
        <v>0.3628365707089374</v>
      </c>
      <c r="F236" s="24" t="n">
        <v>0.383930314018346</v>
      </c>
      <c r="G236" s="24" t="n">
        <v>0.4026993839849776</v>
      </c>
      <c r="H236" s="24" t="n">
        <v>0.3494291858847021</v>
      </c>
    </row>
    <row r="237">
      <c r="A237" s="35" t="n">
        <v>44440</v>
      </c>
      <c r="B237" s="24" t="n">
        <v>0.3788395250861739</v>
      </c>
      <c r="C237" s="24" t="n">
        <v>0.424372161733326</v>
      </c>
      <c r="D237" s="24" t="n">
        <v>0.3869284447396715</v>
      </c>
      <c r="E237" s="24" t="n">
        <v>0.3685273906972925</v>
      </c>
      <c r="F237" s="24" t="n">
        <v>0.3859286296369849</v>
      </c>
      <c r="G237" s="24" t="n">
        <v>0.4062935245105416</v>
      </c>
      <c r="H237" s="24" t="n">
        <v>0.3554084639948579</v>
      </c>
    </row>
    <row r="238">
      <c r="A238" s="35" t="n">
        <v>44441</v>
      </c>
      <c r="B238" s="24" t="n">
        <v>0.3834222404595815</v>
      </c>
      <c r="C238" s="24" t="n">
        <v>0.4333470113527561</v>
      </c>
      <c r="D238" s="24" t="n">
        <v>0.3939258016469501</v>
      </c>
      <c r="E238" s="24" t="n">
        <v>0.3743179796044077</v>
      </c>
      <c r="F238" s="24" t="n">
        <v>0.3919261782883361</v>
      </c>
      <c r="G238" s="24" t="n">
        <v>0.4089887640449438</v>
      </c>
      <c r="H238" s="24" t="n">
        <v>0.3573941434896323</v>
      </c>
    </row>
    <row r="239">
      <c r="A239" s="35" t="n">
        <v>44442</v>
      </c>
      <c r="B239" s="24" t="n">
        <v>0.3844102199365357</v>
      </c>
      <c r="C239" s="24" t="n">
        <v>0.421852773826458</v>
      </c>
      <c r="D239" s="24" t="n">
        <v>0.3924247404607336</v>
      </c>
      <c r="E239" s="24" t="n">
        <v>0.375911629434954</v>
      </c>
      <c r="F239" s="24" t="n">
        <v>0.3924247404607336</v>
      </c>
      <c r="G239" s="24" t="n">
        <v>0.408687740708564</v>
      </c>
      <c r="H239" s="24" t="n">
        <v>0.3563848699504965</v>
      </c>
    </row>
    <row r="240">
      <c r="A240" s="35" t="n">
        <v>44445</v>
      </c>
      <c r="B240" s="24" t="n">
        <v>0.3853770617358243</v>
      </c>
      <c r="C240" s="24" t="n">
        <v>0.4268100878032769</v>
      </c>
      <c r="D240" s="24" t="n">
        <v>0.3959200024652553</v>
      </c>
      <c r="E240" s="24" t="n">
        <v>0.377295062894373</v>
      </c>
      <c r="F240" s="24" t="n">
        <v>0.3934205075001969</v>
      </c>
      <c r="G240" s="24" t="n">
        <v>0.4133776152738491</v>
      </c>
      <c r="H240" s="24" t="n">
        <v>0.3588474383911449</v>
      </c>
    </row>
    <row r="241">
      <c r="A241" s="35" t="n">
        <v>44446</v>
      </c>
      <c r="B241" s="24" t="n">
        <v>0.3893599562363239</v>
      </c>
      <c r="C241" s="24" t="n">
        <v>0.4292943107221007</v>
      </c>
      <c r="D241" s="24" t="n">
        <v>0.3969184414161474</v>
      </c>
      <c r="E241" s="24" t="n">
        <v>0.3781891595948536</v>
      </c>
      <c r="F241" s="24" t="n">
        <v>0.3939190577278641</v>
      </c>
      <c r="G241" s="24" t="n">
        <v>0.4116783527721722</v>
      </c>
      <c r="H241" s="24" t="n">
        <v>0.3628290148355781</v>
      </c>
    </row>
    <row r="242">
      <c r="A242" s="35" t="n">
        <v>44447</v>
      </c>
      <c r="B242" s="24" t="n">
        <v>0.3873526435272558</v>
      </c>
      <c r="C242" s="24" t="n">
        <v>0.4242909110801127</v>
      </c>
      <c r="D242" s="24" t="n">
        <v>0.3914182311229503</v>
      </c>
      <c r="E242" s="24" t="n">
        <v>0.3775844841981358</v>
      </c>
      <c r="F242" s="24" t="n">
        <v>0.3904184399834281</v>
      </c>
      <c r="G242" s="24" t="n">
        <v>0.4029879844444216</v>
      </c>
      <c r="H242" s="24" t="n">
        <v>0.3580268604575643</v>
      </c>
    </row>
    <row r="243">
      <c r="A243" s="35" t="n">
        <v>44448</v>
      </c>
      <c r="B243" s="24" t="n">
        <v>0.3863437448717248</v>
      </c>
      <c r="C243" s="24" t="n">
        <v>0.416792024506318</v>
      </c>
      <c r="D243" s="24" t="n">
        <v>0.3889174216433497</v>
      </c>
      <c r="E243" s="24" t="n">
        <v>0.3770797404943746</v>
      </c>
      <c r="F243" s="24" t="n">
        <v>0.3879176339270429</v>
      </c>
      <c r="G243" s="24" t="n">
        <v>0.4004897869837057</v>
      </c>
      <c r="H243" s="24" t="n">
        <v>0.3553209961785356</v>
      </c>
    </row>
    <row r="244">
      <c r="A244" s="35" t="n">
        <v>44449</v>
      </c>
      <c r="B244" s="24" t="n">
        <v>0.3883297322429778</v>
      </c>
      <c r="C244" s="24" t="n">
        <v>0.4167806252222192</v>
      </c>
      <c r="D244" s="24" t="n">
        <v>0.3859167371423289</v>
      </c>
      <c r="E244" s="24" t="n">
        <v>0.376475096834239</v>
      </c>
      <c r="F244" s="24" t="n">
        <v>0.3894159821682309</v>
      </c>
      <c r="G244" s="24" t="n">
        <v>0.3944960717986955</v>
      </c>
      <c r="H244" s="24" t="n">
        <v>0.3444311901205536</v>
      </c>
    </row>
    <row r="245">
      <c r="A245" s="35" t="n">
        <v>44452</v>
      </c>
      <c r="B245" s="24" t="n">
        <v>0.395285237652464</v>
      </c>
      <c r="C245" s="24" t="n">
        <v>0.4332166493463873</v>
      </c>
      <c r="D245" s="24" t="n">
        <v>0.3964104003889531</v>
      </c>
      <c r="E245" s="24" t="n">
        <v>0.3839528645334355</v>
      </c>
      <c r="F245" s="24" t="n">
        <v>0.3949107393534338</v>
      </c>
      <c r="G245" s="24" t="n">
        <v>0.4151654034530878</v>
      </c>
      <c r="H245" s="24" t="n">
        <v>0.3553770754014094</v>
      </c>
    </row>
    <row r="246">
      <c r="A246" s="35" t="n">
        <v>44453</v>
      </c>
      <c r="B246" s="24" t="n">
        <v>0.3927790083955479</v>
      </c>
      <c r="C246" s="24" t="n">
        <v>0.4292121311565072</v>
      </c>
      <c r="D246" s="24" t="n">
        <v>0.3939096166290611</v>
      </c>
      <c r="E246" s="24" t="n">
        <v>0.3823490768746493</v>
      </c>
      <c r="F246" s="24" t="n">
        <v>0.3939096166290611</v>
      </c>
      <c r="G246" s="24" t="n">
        <v>0.4104700438132959</v>
      </c>
      <c r="H246" s="24" t="n">
        <v>0.3554659384900359</v>
      </c>
    </row>
    <row r="247">
      <c r="A247" s="35" t="n">
        <v>44454</v>
      </c>
      <c r="B247" s="24" t="n">
        <v>0.3972598993655655</v>
      </c>
      <c r="C247" s="24" t="n">
        <v>0.4341910960402538</v>
      </c>
      <c r="D247" s="24" t="n">
        <v>0.3944081515263569</v>
      </c>
      <c r="E247" s="24" t="n">
        <v>0.3812448677943833</v>
      </c>
      <c r="F247" s="24" t="n">
        <v>0.3929085007600969</v>
      </c>
      <c r="G247" s="24" t="n">
        <v>0.4135646320858614</v>
      </c>
      <c r="H247" s="24" t="n">
        <v>0.3552554235643104</v>
      </c>
    </row>
    <row r="248">
      <c r="A248" s="35" t="n">
        <v>44455</v>
      </c>
      <c r="B248" s="24" t="n">
        <v>0.4012414886926085</v>
      </c>
      <c r="C248" s="24" t="n">
        <v>0.4291886570592578</v>
      </c>
      <c r="D248" s="24" t="n">
        <v>0.3949066830098367</v>
      </c>
      <c r="E248" s="24" t="n">
        <v>0.3814394613310707</v>
      </c>
      <c r="F248" s="24" t="n">
        <v>0.3924072736236985</v>
      </c>
      <c r="G248" s="24" t="n">
        <v>0.4123647731198205</v>
      </c>
      <c r="H248" s="24" t="n">
        <v>0.3572402527501444</v>
      </c>
    </row>
    <row r="249">
      <c r="A249" s="35" t="n">
        <v>44456</v>
      </c>
      <c r="B249" s="24" t="n">
        <v>0.4002324309543342</v>
      </c>
      <c r="C249" s="24" t="n">
        <v>0.4341673502871206</v>
      </c>
      <c r="D249" s="24" t="n">
        <v>0.3919060499195399</v>
      </c>
      <c r="E249" s="24" t="n">
        <v>0.3806350075270289</v>
      </c>
      <c r="F249" s="24" t="n">
        <v>0.3914061697538261</v>
      </c>
      <c r="G249" s="24" t="n">
        <v>0.4079690813325125</v>
      </c>
      <c r="H249" s="24" t="n">
        <v>0.3572292656255339</v>
      </c>
    </row>
    <row r="250">
      <c r="A250" s="35" t="n">
        <v>44459</v>
      </c>
      <c r="B250" s="24" t="n">
        <v>0.3992015968063872</v>
      </c>
      <c r="C250" s="24" t="n">
        <v>0.4341317365269461</v>
      </c>
      <c r="D250" s="24" t="n">
        <v>0.3861034741314671</v>
      </c>
      <c r="E250" s="24" t="n">
        <v>0.3784215784215784</v>
      </c>
      <c r="F250" s="24" t="n">
        <v>0.3849037740564859</v>
      </c>
      <c r="G250" s="24" t="n">
        <v>0.3998755057578587</v>
      </c>
      <c r="H250" s="24" t="n">
        <v>0.3507109004739337</v>
      </c>
    </row>
    <row r="251">
      <c r="A251" s="35" t="n">
        <v>44460</v>
      </c>
      <c r="B251" s="24" t="n">
        <v>0.3971947284956526</v>
      </c>
      <c r="C251" s="24" t="n">
        <v>0.4111664023623339</v>
      </c>
      <c r="D251" s="24" t="n">
        <v>0.3873018481617673</v>
      </c>
      <c r="E251" s="24" t="n">
        <v>0.3772176150203903</v>
      </c>
      <c r="F251" s="24" t="n">
        <v>0.3849024562268466</v>
      </c>
      <c r="G251" s="24" t="n">
        <v>0.3958793914851702</v>
      </c>
      <c r="H251" s="24" t="n">
        <v>0.3492035289374236</v>
      </c>
    </row>
    <row r="252">
      <c r="A252" s="35" t="n">
        <v>44461</v>
      </c>
      <c r="B252" s="24" t="n">
        <v>0.395187969924812</v>
      </c>
      <c r="C252" s="24" t="n">
        <v>0.414149008885851</v>
      </c>
      <c r="D252" s="24" t="n">
        <v>0.3835014979029359</v>
      </c>
      <c r="E252" s="24" t="n">
        <v>0.3765131713992473</v>
      </c>
      <c r="F252" s="24" t="n">
        <v>0.3819019087563126</v>
      </c>
      <c r="G252" s="24" t="n">
        <v>0.3934811977358619</v>
      </c>
      <c r="H252" s="24" t="n">
        <v>0.3417100879815495</v>
      </c>
    </row>
    <row r="253">
      <c r="A253" s="35" t="n">
        <v>44462</v>
      </c>
      <c r="B253" s="24" t="n">
        <v>0.3921833989501312</v>
      </c>
      <c r="C253" s="24" t="n">
        <v>0.4132395559930008</v>
      </c>
      <c r="D253" s="24" t="n">
        <v>0.3799011216258782</v>
      </c>
      <c r="E253" s="24" t="n">
        <v>0.3760085390552302</v>
      </c>
      <c r="F253" s="24" t="n">
        <v>0.3789013818321258</v>
      </c>
      <c r="G253" s="24" t="n">
        <v>0.3904838124944423</v>
      </c>
      <c r="H253" s="24" t="n">
        <v>0.3446925694605786</v>
      </c>
    </row>
    <row r="254">
      <c r="A254" s="35" t="n">
        <v>44463</v>
      </c>
      <c r="B254" s="24" t="n">
        <v>0.3847882549142904</v>
      </c>
      <c r="C254" s="24" t="n">
        <v>0.4081389944500642</v>
      </c>
      <c r="D254" s="24" t="n">
        <v>0.3734015345268543</v>
      </c>
      <c r="E254" s="24" t="n">
        <v>0.3732063439933221</v>
      </c>
      <c r="F254" s="24" t="n">
        <v>0.3793999527521852</v>
      </c>
      <c r="G254" s="24" t="n">
        <v>0.3854890949324012</v>
      </c>
      <c r="H254" s="24" t="n">
        <v>0.3435845749642116</v>
      </c>
    </row>
    <row r="255">
      <c r="A255" s="35" t="n">
        <v>44466</v>
      </c>
      <c r="B255" s="24" t="n">
        <v>0.3836591033351558</v>
      </c>
      <c r="C255" s="24" t="n">
        <v>0.4061098961180973</v>
      </c>
      <c r="D255" s="24" t="n">
        <v>0.3778964667214462</v>
      </c>
      <c r="E255" s="24" t="n">
        <v>0.3715927750410509</v>
      </c>
      <c r="F255" s="24" t="n">
        <v>0.3738975623116954</v>
      </c>
      <c r="G255" s="24" t="n">
        <v>0.390478470535928</v>
      </c>
      <c r="H255" s="24" t="n">
        <v>0.3401612462421427</v>
      </c>
    </row>
    <row r="256">
      <c r="A256" s="35" t="n">
        <v>44467</v>
      </c>
      <c r="B256" s="24" t="n">
        <v>0.3836486154014379</v>
      </c>
      <c r="C256" s="24" t="n">
        <v>0.4110877231349608</v>
      </c>
      <c r="D256" s="24" t="n">
        <v>0.3788948955940304</v>
      </c>
      <c r="E256" s="24" t="n">
        <v>0.3707885770583325</v>
      </c>
      <c r="F256" s="24" t="n">
        <v>0.3788948955940304</v>
      </c>
      <c r="G256" s="24" t="n">
        <v>0.3949711174420553</v>
      </c>
      <c r="H256" s="24" t="n">
        <v>0.3441408264982287</v>
      </c>
    </row>
    <row r="257">
      <c r="A257" s="35" t="n">
        <v>44468</v>
      </c>
      <c r="B257" s="24" t="n">
        <v>0.3881280411131157</v>
      </c>
      <c r="C257" s="24" t="n">
        <v>0.416564157235799</v>
      </c>
      <c r="D257" s="24" t="n">
        <v>0.3818927561438227</v>
      </c>
      <c r="E257" s="24" t="n">
        <v>0.3718822692318218</v>
      </c>
      <c r="F257" s="24" t="n">
        <v>0.3778938791161386</v>
      </c>
      <c r="G257" s="24" t="n">
        <v>0.4009617226189499</v>
      </c>
      <c r="H257" s="24" t="n">
        <v>0.3466239435946136</v>
      </c>
    </row>
    <row r="258">
      <c r="A258" s="35" t="n">
        <v>44469</v>
      </c>
      <c r="B258" s="24" t="n">
        <v>0.3891151627805265</v>
      </c>
      <c r="C258" s="24" t="n">
        <v>0.4130607112593281</v>
      </c>
      <c r="D258" s="24" t="n">
        <v>0.3798920169951692</v>
      </c>
      <c r="E258" s="24" t="n">
        <v>0.3707784300042417</v>
      </c>
      <c r="F258" s="24" t="n">
        <v>0.3748934378241801</v>
      </c>
      <c r="G258" s="24" t="n">
        <v>0.3994623674301369</v>
      </c>
      <c r="H258" s="24" t="n">
        <v>0.344119666469682</v>
      </c>
    </row>
    <row r="259">
      <c r="A259" s="35" t="n">
        <v>44470</v>
      </c>
      <c r="B259" s="24" t="n">
        <v>0.3811228952547562</v>
      </c>
      <c r="C259" s="24" t="n">
        <v>0.4198338071287995</v>
      </c>
      <c r="D259" s="24" t="n">
        <v>0.3798907163692636</v>
      </c>
      <c r="E259" s="24" t="n">
        <v>0.3693749657927863</v>
      </c>
      <c r="F259" s="24" t="n">
        <v>0.3708933046657811</v>
      </c>
      <c r="G259" s="24" t="n">
        <v>0.3993611360014228</v>
      </c>
      <c r="H259" s="24" t="n">
        <v>0.3431116697864433</v>
      </c>
    </row>
    <row r="260">
      <c r="A260" s="35" t="n">
        <v>44473</v>
      </c>
      <c r="B260" s="24" t="n">
        <v>0.3805928335201028</v>
      </c>
      <c r="C260" s="24" t="n">
        <v>0.4140131740782245</v>
      </c>
      <c r="D260" s="24" t="n">
        <v>0.3778874102579026</v>
      </c>
      <c r="E260" s="24" t="n">
        <v>0.3682611134675113</v>
      </c>
      <c r="F260" s="24" t="n">
        <v>0.3708894952531266</v>
      </c>
      <c r="G260" s="24" t="n">
        <v>0.3968604329045784</v>
      </c>
      <c r="H260" s="24" t="n">
        <v>0.3427808308542504</v>
      </c>
    </row>
    <row r="261">
      <c r="A261" s="35" t="n">
        <v>44474</v>
      </c>
      <c r="B261" s="24" t="n">
        <v>0.3840740133377064</v>
      </c>
      <c r="C261" s="24" t="n">
        <v>0.4159970482125288</v>
      </c>
      <c r="D261" s="24" t="n">
        <v>0.3798855139546986</v>
      </c>
      <c r="E261" s="24" t="n">
        <v>0.3664582421190893</v>
      </c>
      <c r="F261" s="24" t="n">
        <v>0.3736873818849114</v>
      </c>
      <c r="G261" s="24" t="n">
        <v>0.3994555366315775</v>
      </c>
      <c r="H261" s="24" t="n">
        <v>0.3435681302767836</v>
      </c>
    </row>
    <row r="262">
      <c r="A262" s="35" t="n">
        <v>44475</v>
      </c>
      <c r="B262" s="24" t="n">
        <v>0.379075678482604</v>
      </c>
      <c r="C262" s="24" t="n">
        <v>0.4159856787559102</v>
      </c>
      <c r="D262" s="24" t="n">
        <v>0.3733861939340407</v>
      </c>
      <c r="E262" s="24" t="n">
        <v>0.3633570031058025</v>
      </c>
      <c r="F262" s="24" t="n">
        <v>0.3688875650914618</v>
      </c>
      <c r="G262" s="24" t="n">
        <v>0.3944609933686504</v>
      </c>
      <c r="H262" s="24" t="n">
        <v>0.3300945010433708</v>
      </c>
    </row>
    <row r="263">
      <c r="A263" s="35" t="n">
        <v>44476</v>
      </c>
      <c r="B263" s="24" t="n">
        <v>0.3735788466794207</v>
      </c>
      <c r="C263" s="24" t="n">
        <v>0.4089915277398196</v>
      </c>
      <c r="D263" s="24" t="n">
        <v>0.3723852237324112</v>
      </c>
      <c r="E263" s="24" t="n">
        <v>0.3634519086058284</v>
      </c>
      <c r="F263" s="24" t="n">
        <v>0.3678866102913485</v>
      </c>
      <c r="G263" s="24" t="n">
        <v>0.3909644322845417</v>
      </c>
      <c r="H263" s="24" t="n">
        <v>0.3390594583518323</v>
      </c>
    </row>
    <row r="264">
      <c r="A264" s="35" t="n">
        <v>44481</v>
      </c>
      <c r="B264" s="24" t="n">
        <v>0.3755226123787402</v>
      </c>
      <c r="C264" s="24" t="n">
        <v>0.4039486268615931</v>
      </c>
      <c r="D264" s="24" t="n">
        <v>0.3838751091254557</v>
      </c>
      <c r="E264" s="24" t="n">
        <v>0.3612299062863397</v>
      </c>
      <c r="F264" s="24" t="n">
        <v>0.3687800201989079</v>
      </c>
      <c r="G264" s="24" t="n">
        <v>0.3868634257280142</v>
      </c>
      <c r="H264" s="24" t="n">
        <v>0.335019036724659</v>
      </c>
    </row>
    <row r="265">
      <c r="A265" s="35" t="n">
        <v>44482</v>
      </c>
      <c r="B265" s="24" t="n">
        <v>0.3690294021204503</v>
      </c>
      <c r="C265" s="24" t="n">
        <v>0.4045360148650126</v>
      </c>
      <c r="D265" s="24" t="n">
        <v>0.3748767528483786</v>
      </c>
      <c r="E265" s="24" t="n">
        <v>0.3606257524351538</v>
      </c>
      <c r="F265" s="24" t="n">
        <v>0.3658797107800175</v>
      </c>
      <c r="G265" s="24" t="n">
        <v>0.3805708501193546</v>
      </c>
      <c r="H265" s="24" t="n">
        <v>0.3370028409090909</v>
      </c>
    </row>
    <row r="266">
      <c r="A266" s="35" t="n">
        <v>44483</v>
      </c>
      <c r="B266" s="24" t="n">
        <v>0.3730087165614668</v>
      </c>
      <c r="C266" s="24" t="n">
        <v>0.4039265513566686</v>
      </c>
      <c r="D266" s="24" t="n">
        <v>0.3698771298575473</v>
      </c>
      <c r="E266" s="24" t="n">
        <v>0.3602213497133945</v>
      </c>
      <c r="F266" s="24" t="n">
        <v>0.3708767977760812</v>
      </c>
      <c r="G266" s="24" t="n">
        <v>0.3814682959026289</v>
      </c>
      <c r="H266" s="24" t="n">
        <v>0.3240312353818891</v>
      </c>
    </row>
    <row r="267">
      <c r="A267" s="35" t="n">
        <v>44484</v>
      </c>
      <c r="B267" s="24" t="n">
        <v>0.3739958467675829</v>
      </c>
      <c r="C267" s="24" t="n">
        <v>0.4050125689928412</v>
      </c>
      <c r="D267" s="24" t="n">
        <v>0.3698758635800314</v>
      </c>
      <c r="E267" s="24" t="n">
        <v>0.3592177624558812</v>
      </c>
      <c r="F267" s="24" t="n">
        <v>0.3718751925723559</v>
      </c>
      <c r="G267" s="24" t="n">
        <v>0.3769732702251649</v>
      </c>
      <c r="H267" s="24" t="n">
        <v>0.3334926694026946</v>
      </c>
    </row>
    <row r="268">
      <c r="A268" s="35" t="n">
        <v>44487</v>
      </c>
      <c r="B268" s="24" t="n">
        <v>0.3691784377476026</v>
      </c>
      <c r="C268" s="24" t="n">
        <v>0.3939100024589492</v>
      </c>
      <c r="D268" s="24" t="n">
        <v>0.3728710274870678</v>
      </c>
      <c r="E268" s="24" t="n">
        <v>0.358004678458571</v>
      </c>
      <c r="F268" s="24" t="n">
        <v>0.3638741394243772</v>
      </c>
      <c r="G268" s="24" t="n">
        <v>0.3734743221014257</v>
      </c>
      <c r="H268" s="24" t="n">
        <v>0.3299727901839821</v>
      </c>
    </row>
    <row r="269">
      <c r="A269" s="43" t="inlineStr">
        <is>
          <t>(en blanco)</t>
        </is>
      </c>
      <c r="B269" s="24" t="n"/>
      <c r="C269" s="24" t="n"/>
      <c r="D269" s="24" t="n"/>
      <c r="E269" s="24" t="n"/>
      <c r="F269" s="24" t="n"/>
      <c r="G269" s="24" t="n"/>
      <c r="H269" s="24" t="n"/>
    </row>
    <row r="270">
      <c r="A270" s="35" t="n">
        <v>44517</v>
      </c>
      <c r="B270" s="24" t="n">
        <v>0.3462572684338402</v>
      </c>
      <c r="C270" s="24" t="n">
        <v>0.3910963391662799</v>
      </c>
      <c r="D270" s="24" t="n">
        <v>0.3588390140039913</v>
      </c>
      <c r="E270" s="24" t="n">
        <v>0.3251165716317294</v>
      </c>
      <c r="F270" s="24" t="n">
        <v>0.3538412561487825</v>
      </c>
      <c r="G270" s="24" t="n">
        <v>0.3633512400791954</v>
      </c>
      <c r="H270" s="24" t="n">
        <v>0.3107453125906016</v>
      </c>
    </row>
    <row r="271">
      <c r="A271" s="35" t="n">
        <v>44516</v>
      </c>
      <c r="B271" s="24" t="n">
        <v>0.3686868686868687</v>
      </c>
      <c r="C271" s="24" t="n">
        <v>0.3911070161070161</v>
      </c>
      <c r="D271" s="24" t="n">
        <v>0.3608393523431349</v>
      </c>
      <c r="E271" s="24" t="n">
        <v>0.3279160399288938</v>
      </c>
      <c r="F271" s="24" t="n">
        <v>0.3593400198541745</v>
      </c>
      <c r="G271" s="24" t="n">
        <v>0.3694433046094925</v>
      </c>
      <c r="H271" s="24" t="n">
        <v>0.320714943548112</v>
      </c>
    </row>
    <row r="272">
      <c r="A272" s="35" t="n">
        <v>44515</v>
      </c>
      <c r="B272" s="24" t="n">
        <v>0.3806546725272326</v>
      </c>
      <c r="C272" s="24" t="n">
        <v>0.3866335417292309</v>
      </c>
      <c r="D272" s="24" t="n">
        <v>0.3763337429697154</v>
      </c>
      <c r="E272" s="24" t="n">
        <v>0.3512792462634522</v>
      </c>
      <c r="F272" s="24" t="n">
        <v>0.3648388212057002</v>
      </c>
      <c r="G272" s="24" t="n">
        <v>0.3749363115042795</v>
      </c>
      <c r="H272" s="24" t="n">
        <v>0.3356653852320057</v>
      </c>
    </row>
    <row r="273">
      <c r="A273" s="35" t="n">
        <v>44512</v>
      </c>
      <c r="B273" s="24" t="n">
        <v>0.385469338721127</v>
      </c>
      <c r="C273" s="24" t="n">
        <v>0.383675531043521</v>
      </c>
      <c r="D273" s="24" t="n">
        <v>0.3809356236692386</v>
      </c>
      <c r="E273" s="24" t="n">
        <v>0.3575828022864644</v>
      </c>
      <c r="F273" s="24" t="n">
        <v>0.3714397212161875</v>
      </c>
      <c r="G273" s="24" t="n">
        <v>0.3719446306200331</v>
      </c>
      <c r="H273" s="24" t="n">
        <v>0.3386846971009845</v>
      </c>
    </row>
    <row r="274">
      <c r="A274" s="35" t="n">
        <v>44511</v>
      </c>
      <c r="B274" s="24" t="n">
        <v>0.3796996587030717</v>
      </c>
      <c r="C274" s="24" t="n">
        <v>0.3886689419795222</v>
      </c>
      <c r="D274" s="24" t="n">
        <v>0.3853350449293966</v>
      </c>
      <c r="E274" s="24" t="n">
        <v>0.3583863247863248</v>
      </c>
      <c r="F274" s="24" t="n">
        <v>0.3648438168592212</v>
      </c>
      <c r="G274" s="24" t="n">
        <v>0.3719459025082497</v>
      </c>
      <c r="H274" s="24" t="n">
        <v>0.3396912579957356</v>
      </c>
    </row>
    <row r="275">
      <c r="A275" s="35" t="n">
        <v>44510</v>
      </c>
      <c r="B275" s="24" t="n">
        <v>0.381005624726955</v>
      </c>
      <c r="C275" s="24" t="n">
        <v>0.3886795543905636</v>
      </c>
      <c r="D275" s="24" t="n">
        <v>0.3858361517711657</v>
      </c>
      <c r="E275" s="24" t="n">
        <v>0.3580917345878234</v>
      </c>
      <c r="F275" s="24" t="n">
        <v>0.369842943407594</v>
      </c>
      <c r="G275" s="24" t="n">
        <v>0.3654568210262829</v>
      </c>
      <c r="H275" s="24" t="n">
        <v>0.3416940733361536</v>
      </c>
    </row>
    <row r="276">
      <c r="A276" s="35" t="n">
        <v>44509</v>
      </c>
      <c r="B276" s="24" t="n">
        <v>0.3801190508696721</v>
      </c>
      <c r="C276" s="24" t="n">
        <v>0.3727439041039783</v>
      </c>
      <c r="D276" s="24" t="n">
        <v>0.386837051515971</v>
      </c>
      <c r="E276" s="24" t="n">
        <v>0.3584959588638321</v>
      </c>
      <c r="F276" s="24" t="n">
        <v>0.3741423989210024</v>
      </c>
      <c r="G276" s="24" t="n">
        <v>0.3659573303970482</v>
      </c>
      <c r="H276" s="24" t="n">
        <v>0.3440955009604001</v>
      </c>
    </row>
    <row r="277">
      <c r="A277" s="35" t="n">
        <v>44508</v>
      </c>
      <c r="B277" s="24" t="n">
        <v>0.3787340942602807</v>
      </c>
      <c r="C277" s="24" t="n">
        <v>0.3782357599257277</v>
      </c>
      <c r="D277" s="24" t="n">
        <v>0.3853390021977119</v>
      </c>
      <c r="E277" s="24" t="n">
        <v>0.3592995268181943</v>
      </c>
      <c r="F277" s="24" t="n">
        <v>0.3748433873518598</v>
      </c>
      <c r="G277" s="24" t="n">
        <v>0.3689541500246211</v>
      </c>
      <c r="H277" s="24" t="n">
        <v>0.3486888344512757</v>
      </c>
    </row>
    <row r="278">
      <c r="A278" s="35" t="n">
        <v>44505</v>
      </c>
      <c r="B278" s="24" t="n">
        <v>0.3808582976050684</v>
      </c>
      <c r="C278" s="24" t="n">
        <v>0.3727846200060078</v>
      </c>
      <c r="D278" s="24" t="n">
        <v>0.3851430410209538</v>
      </c>
      <c r="E278" s="24" t="n">
        <v>0.3579165469987281</v>
      </c>
      <c r="F278" s="24" t="n">
        <v>0.3748472369137235</v>
      </c>
      <c r="G278" s="24" t="n">
        <v>0.3627670306296571</v>
      </c>
      <c r="H278" s="24" t="n">
        <v>0.3432410576276739</v>
      </c>
    </row>
    <row r="279">
      <c r="A279" s="35" t="n">
        <v>44504</v>
      </c>
      <c r="B279" s="24" t="n">
        <v>0.374289966683052</v>
      </c>
      <c r="C279" s="24" t="n">
        <v>0.376781910535802</v>
      </c>
      <c r="D279" s="24" t="n">
        <v>0.3838448846014282</v>
      </c>
      <c r="E279" s="24" t="n">
        <v>0.3564238627971225</v>
      </c>
      <c r="F279" s="24" t="n">
        <v>0.3721496107737284</v>
      </c>
      <c r="G279" s="24" t="n">
        <v>0.365763880339776</v>
      </c>
      <c r="H279" s="24" t="n">
        <v>0.3397642819608138</v>
      </c>
    </row>
    <row r="280">
      <c r="A280" s="35" t="n">
        <v>44503</v>
      </c>
      <c r="B280" s="24" t="n">
        <v>0.3698145670043969</v>
      </c>
      <c r="C280" s="24" t="n">
        <v>0.37729060272551</v>
      </c>
      <c r="D280" s="24" t="n">
        <v>0.3788482012344369</v>
      </c>
      <c r="E280" s="24" t="n">
        <v>0.3552306577129806</v>
      </c>
      <c r="F280" s="24" t="n">
        <v>0.3613552104122663</v>
      </c>
      <c r="G280" s="24" t="n">
        <v>0.3564787109261457</v>
      </c>
      <c r="H280" s="24" t="n">
        <v>0.3357890893456133</v>
      </c>
    </row>
    <row r="281">
      <c r="A281" s="35" t="n">
        <v>44502</v>
      </c>
      <c r="B281" s="24" t="n">
        <v>0.3701237164081276</v>
      </c>
      <c r="C281" s="24" t="n">
        <v>0.3738119947563907</v>
      </c>
      <c r="D281" s="24" t="n">
        <v>0.3803489024907913</v>
      </c>
      <c r="E281" s="24" t="n">
        <v>0.3563337709940368</v>
      </c>
      <c r="F281" s="24" t="n">
        <v>0.3598570430924701</v>
      </c>
      <c r="G281" s="24" t="n">
        <v>0.3572787645421406</v>
      </c>
      <c r="H281" s="24" t="n">
        <v>0.333806527347429</v>
      </c>
    </row>
    <row r="282">
      <c r="A282" s="35" t="n">
        <v>44501</v>
      </c>
      <c r="B282" s="24" t="n">
        <v>0.3604642905912877</v>
      </c>
      <c r="C282" s="24" t="n">
        <v>0.379803359278984</v>
      </c>
      <c r="D282" s="24" t="n">
        <v>0.3788507950635879</v>
      </c>
      <c r="E282" s="24" t="n">
        <v>0.3560391164603706</v>
      </c>
      <c r="F282" s="24" t="n">
        <v>0.368854731869298</v>
      </c>
      <c r="G282" s="24" t="n">
        <v>0.3589775156022912</v>
      </c>
      <c r="H282" s="24" t="n">
        <v>0.3338167795655809</v>
      </c>
    </row>
    <row r="283">
      <c r="A283" s="35" t="n">
        <v>44498</v>
      </c>
      <c r="B283" s="24" t="n">
        <v>0.3648803670927565</v>
      </c>
      <c r="C283" s="24" t="n">
        <v>0.3808314213918934</v>
      </c>
      <c r="D283" s="24" t="n">
        <v>0.3768554527030728</v>
      </c>
      <c r="E283" s="24" t="n">
        <v>0.3564531130320605</v>
      </c>
      <c r="F283" s="24" t="n">
        <v>0.3658596702634606</v>
      </c>
      <c r="G283" s="24" t="n">
        <v>0.3652721067498341</v>
      </c>
      <c r="H283" s="24" t="n">
        <v>0.3373354993720308</v>
      </c>
    </row>
    <row r="284">
      <c r="A284" s="35" t="n">
        <v>44497</v>
      </c>
      <c r="B284" s="24" t="n">
        <v>0.3688782060036601</v>
      </c>
      <c r="C284" s="24" t="n">
        <v>0.3848296959930076</v>
      </c>
      <c r="D284" s="24" t="n">
        <v>0.3738578827911307</v>
      </c>
      <c r="E284" s="24" t="n">
        <v>0.3576561666507092</v>
      </c>
      <c r="F284" s="24" t="n">
        <v>0.3628620627090386</v>
      </c>
      <c r="G284" s="24" t="n">
        <v>0.3694673091193861</v>
      </c>
      <c r="H284" s="24" t="n">
        <v>0.3353526803845747</v>
      </c>
    </row>
    <row r="285">
      <c r="A285" s="35" t="n">
        <v>44496</v>
      </c>
      <c r="B285" s="24" t="n">
        <v>0.3681903851406719</v>
      </c>
      <c r="C285" s="24" t="n">
        <v>0.3888281890193936</v>
      </c>
      <c r="D285" s="24" t="n">
        <v>0.3728595392146793</v>
      </c>
      <c r="E285" s="24" t="n">
        <v>0.358160306387635</v>
      </c>
      <c r="F285" s="24" t="n">
        <v>0.3611639450891788</v>
      </c>
      <c r="G285" s="24" t="n">
        <v>0.3695684289720265</v>
      </c>
      <c r="H285" s="24" t="n">
        <v>0.3333697395815557</v>
      </c>
    </row>
    <row r="286">
      <c r="A286" s="35" t="n">
        <v>44495</v>
      </c>
      <c r="B286" s="24" t="n">
        <v>0.3700947854352755</v>
      </c>
      <c r="C286" s="24" t="n">
        <v>0.3888388101286569</v>
      </c>
      <c r="D286" s="24" t="n">
        <v>0.3723610022286201</v>
      </c>
      <c r="E286" s="24" t="n">
        <v>0.3582650562858198</v>
      </c>
      <c r="F286" s="24" t="n">
        <v>0.3583662263059337</v>
      </c>
      <c r="G286" s="24" t="n">
        <v>0.3724655374650758</v>
      </c>
      <c r="H286" s="24" t="n">
        <v>0.3348749577617661</v>
      </c>
    </row>
    <row r="287">
      <c r="A287" s="35" t="n">
        <v>44494</v>
      </c>
      <c r="B287" s="24" t="n">
        <v>0.3679113854895105</v>
      </c>
      <c r="C287" s="24" t="n">
        <v>0.3868553321678321</v>
      </c>
      <c r="D287" s="24" t="n">
        <v>0.3698632012817177</v>
      </c>
      <c r="E287" s="24" t="n">
        <v>0.3581701045029271</v>
      </c>
      <c r="F287" s="24" t="n">
        <v>0.3570679337779177</v>
      </c>
      <c r="G287" s="24" t="n">
        <v>0.3739646670177623</v>
      </c>
      <c r="H287" s="24" t="n">
        <v>0.3289051513455211</v>
      </c>
    </row>
    <row r="288">
      <c r="A288" s="35" t="n">
        <v>44491</v>
      </c>
      <c r="B288" s="24" t="n">
        <v>0.3670441196557848</v>
      </c>
      <c r="C288" s="24" t="n">
        <v>0.3888813003688021</v>
      </c>
      <c r="D288" s="24" t="n">
        <v>0.3673678985296383</v>
      </c>
      <c r="E288" s="24" t="n">
        <v>0.3576855208262089</v>
      </c>
      <c r="F288" s="24" t="n">
        <v>0.3559719963711679</v>
      </c>
      <c r="G288" s="24" t="n">
        <v>0.3764649556281313</v>
      </c>
      <c r="H288" s="24" t="n">
        <v>0.3309290139787333</v>
      </c>
    </row>
    <row r="289">
      <c r="A289" s="35" t="n">
        <v>44490</v>
      </c>
      <c r="B289" s="24" t="n">
        <v>0.3677521582340728</v>
      </c>
      <c r="C289" s="24" t="n">
        <v>0.3888919243798492</v>
      </c>
      <c r="D289" s="24" t="n">
        <v>0.3673691561909457</v>
      </c>
      <c r="E289" s="24" t="n">
        <v>0.3579899868680236</v>
      </c>
      <c r="F289" s="24" t="n">
        <v>0.3558732506230658</v>
      </c>
      <c r="G289" s="24" t="n">
        <v>0.37596695096678</v>
      </c>
      <c r="H289" s="24" t="n">
        <v>0.3309391812546085</v>
      </c>
    </row>
    <row r="290">
      <c r="A290" s="35" t="n">
        <v>44489</v>
      </c>
      <c r="B290" s="24" t="n">
        <v>0.3719503865803349</v>
      </c>
      <c r="C290" s="24" t="n">
        <v>0.3938884790864137</v>
      </c>
      <c r="D290" s="24" t="n">
        <v>0.3673704138608642</v>
      </c>
      <c r="E290" s="24" t="n">
        <v>0.3578950248279825</v>
      </c>
      <c r="F290" s="24" t="n">
        <v>0.3578737637066377</v>
      </c>
      <c r="G290" s="24" t="n">
        <v>0.3769668243203961</v>
      </c>
      <c r="H290" s="24" t="n">
        <v>0.3309493491552503</v>
      </c>
    </row>
    <row r="291">
      <c r="A291" s="35" t="n">
        <v>44488</v>
      </c>
      <c r="B291" s="24" t="n">
        <v>0.3695672367630184</v>
      </c>
      <c r="C291" s="24" t="n">
        <v>0.3938992404786624</v>
      </c>
      <c r="D291" s="24" t="n">
        <v>0.3698707985566685</v>
      </c>
      <c r="E291" s="24" t="n">
        <v>0.3577001997209379</v>
      </c>
      <c r="F291" s="24" t="n">
        <v>0.3599742555682604</v>
      </c>
      <c r="G291" s="24" t="n">
        <v>0.372973749367331</v>
      </c>
      <c r="H291" s="24" t="n">
        <v>0.3339501157320479</v>
      </c>
    </row>
    <row r="292">
      <c r="A292" s="43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>
  <sheetPr codeName="Hoja8">
    <outlinePr summaryBelow="1" summaryRight="1"/>
    <pageSetUpPr/>
  </sheetPr>
  <dimension ref="A1:Z829"/>
  <sheetViews>
    <sheetView zoomScaleNormal="100" workbookViewId="0">
      <pane ySplit="1" topLeftCell="A242" activePane="bottomLeft" state="frozen"/>
      <selection pane="bottomLeft" activeCell="P9" sqref="P9"/>
    </sheetView>
  </sheetViews>
  <sheetFormatPr baseColWidth="10" defaultRowHeight="15" outlineLevelCol="0"/>
  <cols>
    <col width="14.7109375" bestFit="1" customWidth="1" style="73" min="1" max="1"/>
    <col width="11.5703125" bestFit="1" customWidth="1" style="73" min="3" max="3"/>
    <col width="8.28515625" bestFit="1" customWidth="1" style="73" min="4" max="4"/>
    <col width="11.5703125" bestFit="1" customWidth="1" style="73" min="5" max="5"/>
    <col width="11.5703125" bestFit="1" customWidth="1" style="73" min="7" max="7"/>
    <col width="11.85546875" bestFit="1" customWidth="1" style="73" min="13" max="13"/>
    <col width="7.85546875" bestFit="1" customWidth="1" style="73" min="16" max="16"/>
    <col width="8.85546875" customWidth="1" style="73" min="17" max="17"/>
    <col width="7.85546875" bestFit="1" customWidth="1" style="73" min="18" max="19"/>
    <col width="9.140625" bestFit="1" customWidth="1" style="73" min="20" max="20"/>
    <col width="11.85546875" bestFit="1" customWidth="1" style="73" min="26" max="26"/>
  </cols>
  <sheetData>
    <row r="1" ht="19.5" customHeight="1" s="73" thickBot="1">
      <c r="A1" s="32" t="inlineStr">
        <is>
          <t>Fecha</t>
        </is>
      </c>
      <c r="B1" s="32" t="inlineStr">
        <is>
          <t>AL29D</t>
        </is>
      </c>
      <c r="C1" s="33" t="inlineStr">
        <is>
          <t>P29</t>
        </is>
      </c>
      <c r="D1" s="32" t="inlineStr">
        <is>
          <t>GD29d</t>
        </is>
      </c>
      <c r="E1" s="36" t="inlineStr">
        <is>
          <t>PG29</t>
        </is>
      </c>
      <c r="F1" s="32" t="inlineStr">
        <is>
          <t>AL30D</t>
        </is>
      </c>
      <c r="G1" s="33" t="inlineStr">
        <is>
          <t>P30</t>
        </is>
      </c>
      <c r="H1" s="32" t="inlineStr">
        <is>
          <t>GD30D</t>
        </is>
      </c>
      <c r="I1" s="33" t="inlineStr">
        <is>
          <t>PG30</t>
        </is>
      </c>
      <c r="J1" s="36" t="inlineStr">
        <is>
          <t>AL35D</t>
        </is>
      </c>
      <c r="K1" s="33" t="inlineStr">
        <is>
          <t>P35</t>
        </is>
      </c>
      <c r="L1" s="32" t="inlineStr">
        <is>
          <t>AE38D</t>
        </is>
      </c>
      <c r="M1" s="33" t="inlineStr">
        <is>
          <t>P38</t>
        </is>
      </c>
      <c r="N1" s="36" t="inlineStr">
        <is>
          <t>AL41D</t>
        </is>
      </c>
      <c r="O1" s="33" t="inlineStr">
        <is>
          <t>P41</t>
        </is>
      </c>
      <c r="P1" s="32" t="inlineStr">
        <is>
          <t>29-30</t>
        </is>
      </c>
      <c r="Q1" s="32" t="inlineStr">
        <is>
          <t>g29-29</t>
        </is>
      </c>
      <c r="R1" s="32" t="inlineStr">
        <is>
          <t>29-38</t>
        </is>
      </c>
      <c r="S1" s="36" t="inlineStr">
        <is>
          <t>29-41</t>
        </is>
      </c>
      <c r="T1" s="32" t="inlineStr">
        <is>
          <t>g29-41</t>
        </is>
      </c>
      <c r="U1" s="32" t="inlineStr">
        <is>
          <t>30-41</t>
        </is>
      </c>
      <c r="V1" s="32" t="inlineStr">
        <is>
          <t>30-35</t>
        </is>
      </c>
      <c r="W1" s="32" t="inlineStr">
        <is>
          <t>29-35</t>
        </is>
      </c>
      <c r="X1" s="32" t="inlineStr">
        <is>
          <t>g30-30</t>
        </is>
      </c>
      <c r="Y1" s="71" t="inlineStr">
        <is>
          <t>30-38</t>
        </is>
      </c>
    </row>
    <row r="2" customFormat="1" s="66">
      <c r="A2" s="62" t="n">
        <v>45321</v>
      </c>
      <c r="B2" s="63" t="n">
        <v>41.01</v>
      </c>
      <c r="C2" s="84">
        <f>myParidad('Flujo de Fondos'!$H$5,$A2,B2,'Flujo de Fondos'!$H$7,'Flujo de Fondos'!$H$6)</f>
        <v/>
      </c>
      <c r="D2" s="63" t="n">
        <v>43.103</v>
      </c>
      <c r="E2" s="84">
        <f>myParidad('Flujo de Fondos'!$H$5,$A2,D2,'Flujo de Fondos'!$H$7,'Flujo de Fondos'!$H$6)</f>
        <v/>
      </c>
      <c r="F2" s="63" t="n">
        <v>39.51</v>
      </c>
      <c r="G2" s="80">
        <f>myParidad('Flujo de Fondos'!$N$5,$A2,F2,'Flujo de Fondos'!$N$7,'Flujo de Fondos'!$N$6)</f>
        <v/>
      </c>
      <c r="H2" s="65" t="n">
        <v>42.956</v>
      </c>
      <c r="I2" s="80">
        <f>myParidad('Flujo de Fondos'!$T$5,$A2,H2,'Flujo de Fondos'!$T$7,'Flujo de Fondos'!$T$6)</f>
        <v/>
      </c>
      <c r="J2" s="65" t="n">
        <v>35</v>
      </c>
      <c r="K2" s="80">
        <f>myParidad('Flujo de Fondos'!$B$34,$A2,J2,'Flujo de Fondos'!$B$36,'Flujo de Fondos'!$B$35)</f>
        <v/>
      </c>
      <c r="L2" s="63" t="n">
        <v>37.25</v>
      </c>
      <c r="M2" s="80">
        <f>myParidad('Flujo de Fondos'!$H$34,'Paridad usd'!$A2,'Paridad usd'!L2,'Flujo de Fondos'!$H$36,'Flujo de Fondos'!$H$35)</f>
        <v/>
      </c>
      <c r="N2" s="65" t="n">
        <v>34.35</v>
      </c>
      <c r="O2" s="80">
        <f>myParidad('Flujo de Fondos'!$N$34,$A2,N2,'Flujo de Fondos'!$N$36,'Flujo de Fondos'!$N$35)</f>
        <v/>
      </c>
      <c r="P2" s="64" t="inlineStr"/>
      <c r="Q2" s="64" t="inlineStr"/>
      <c r="R2" s="64" t="inlineStr"/>
      <c r="S2" s="64" t="inlineStr"/>
      <c r="T2" s="64" t="inlineStr"/>
      <c r="U2" s="64" t="inlineStr"/>
      <c r="V2" s="64" t="inlineStr"/>
      <c r="W2" s="64" t="inlineStr"/>
      <c r="X2" s="64" t="inlineStr"/>
      <c r="Y2" s="72" t="inlineStr"/>
    </row>
    <row r="3" customFormat="1" s="66">
      <c r="A3" s="62" t="n">
        <v>45320</v>
      </c>
      <c r="B3" s="63" t="n">
        <v>41.479</v>
      </c>
      <c r="C3" s="84">
        <f>myParidad('Flujo de Fondos'!$H$5,$A3,B3,'Flujo de Fondos'!$H$7,'Flujo de Fondos'!$H$6)</f>
        <v/>
      </c>
      <c r="D3" s="63" t="n">
        <v>43.8</v>
      </c>
      <c r="E3" s="84">
        <f>myParidad('Flujo de Fondos'!$H$5,$A3,D3,'Flujo de Fondos'!$H$7,'Flujo de Fondos'!$H$6)</f>
        <v/>
      </c>
      <c r="F3" s="63" t="n">
        <v>40</v>
      </c>
      <c r="G3" s="80">
        <f>myParidad('Flujo de Fondos'!$N$5,$A3,F3,'Flujo de Fondos'!$N$7,'Flujo de Fondos'!$N$6)</f>
        <v/>
      </c>
      <c r="H3" s="65" t="n">
        <v>43.16</v>
      </c>
      <c r="I3" s="80">
        <f>myParidad('Flujo de Fondos'!$T$5,$A3,H3,'Flujo de Fondos'!$T$7,'Flujo de Fondos'!$T$6)</f>
        <v/>
      </c>
      <c r="J3" s="65" t="n">
        <v>35.5</v>
      </c>
      <c r="K3" s="80">
        <f>myParidad('Flujo de Fondos'!$B$34,$A3,J3,'Flujo de Fondos'!$B$36,'Flujo de Fondos'!$B$35)</f>
        <v/>
      </c>
      <c r="L3" s="63" t="n">
        <v>37.27</v>
      </c>
      <c r="M3" s="80">
        <f>myParidad('Flujo de Fondos'!$H$34,'Paridad usd'!$A3,'Paridad usd'!L3,'Flujo de Fondos'!$H$36,'Flujo de Fondos'!$H$35)</f>
        <v/>
      </c>
      <c r="N3" s="65" t="n">
        <v>34.26</v>
      </c>
      <c r="O3" s="80">
        <f>myParidad('Flujo de Fondos'!$N$34,$A3,N3,'Flujo de Fondos'!$N$36,'Flujo de Fondos'!$N$35)</f>
        <v/>
      </c>
      <c r="P3" s="64" t="inlineStr"/>
      <c r="Q3" s="64" t="inlineStr"/>
      <c r="R3" s="64" t="inlineStr"/>
      <c r="S3" s="64" t="inlineStr"/>
      <c r="T3" s="64" t="inlineStr"/>
      <c r="U3" s="64" t="inlineStr"/>
      <c r="V3" s="64" t="inlineStr"/>
      <c r="W3" s="64" t="inlineStr"/>
      <c r="X3" s="64" t="inlineStr"/>
      <c r="Y3" s="72" t="inlineStr"/>
    </row>
    <row r="4" customFormat="1" s="66">
      <c r="A4" s="62" t="n">
        <v>45317</v>
      </c>
      <c r="B4" s="63" t="n">
        <v>41.9</v>
      </c>
      <c r="C4" s="84">
        <f>myParidad('Flujo de Fondos'!$H$5,$A4,B4,'Flujo de Fondos'!$H$7,'Flujo de Fondos'!$H$6)</f>
        <v/>
      </c>
      <c r="D4" s="63" t="n">
        <v>45.4</v>
      </c>
      <c r="E4" s="84">
        <f>myParidad('Flujo de Fondos'!$H$5,$A4,D4,'Flujo de Fondos'!$H$7,'Flujo de Fondos'!$H$6)</f>
        <v/>
      </c>
      <c r="F4" s="63" t="n">
        <v>40.05</v>
      </c>
      <c r="G4" s="80">
        <f>myParidad('Flujo de Fondos'!$N$5,$A4,F4,'Flujo de Fondos'!$N$7,'Flujo de Fondos'!$N$6)</f>
        <v/>
      </c>
      <c r="H4" s="65" t="n">
        <v>43.501</v>
      </c>
      <c r="I4" s="80">
        <f>myParidad('Flujo de Fondos'!$T$5,$A4,H4,'Flujo de Fondos'!$T$7,'Flujo de Fondos'!$T$6)</f>
        <v/>
      </c>
      <c r="J4" s="65" t="n">
        <v>35.8</v>
      </c>
      <c r="K4" s="80">
        <f>myParidad('Flujo de Fondos'!$B$34,$A4,J4,'Flujo de Fondos'!$B$36,'Flujo de Fondos'!$B$35)</f>
        <v/>
      </c>
      <c r="L4" s="63" t="n">
        <v>37.97</v>
      </c>
      <c r="M4" s="80">
        <f>myParidad('Flujo de Fondos'!$H$34,'Paridad usd'!$A4,'Paridad usd'!L4,'Flujo de Fondos'!$H$36,'Flujo de Fondos'!$H$35)</f>
        <v/>
      </c>
      <c r="N4" s="65" t="n">
        <v>35.64</v>
      </c>
      <c r="O4" s="80">
        <f>myParidad('Flujo de Fondos'!$N$34,$A4,N4,'Flujo de Fondos'!$N$36,'Flujo de Fondos'!$N$35)</f>
        <v/>
      </c>
      <c r="P4" s="64" t="inlineStr"/>
      <c r="Q4" s="64" t="inlineStr"/>
      <c r="R4" s="64" t="inlineStr"/>
      <c r="S4" s="64" t="inlineStr"/>
      <c r="T4" s="64" t="inlineStr"/>
      <c r="U4" s="64" t="inlineStr"/>
      <c r="V4" s="64" t="inlineStr"/>
      <c r="W4" s="64" t="inlineStr"/>
      <c r="X4" s="64" t="inlineStr"/>
      <c r="Y4" s="72" t="inlineStr"/>
    </row>
    <row r="5" customFormat="1" s="66">
      <c r="A5" s="62" t="n">
        <v>45316</v>
      </c>
      <c r="B5" s="63" t="n">
        <v>41.99</v>
      </c>
      <c r="C5" s="84">
        <f>myParidad('Flujo de Fondos'!$H$5,$A5,B5,'Flujo de Fondos'!$H$7,'Flujo de Fondos'!$H$6)</f>
        <v/>
      </c>
      <c r="D5" s="63" t="n">
        <v>43.35</v>
      </c>
      <c r="E5" s="84">
        <f>myParidad('Flujo de Fondos'!$H$5,$A5,D5,'Flujo de Fondos'!$H$7,'Flujo de Fondos'!$H$6)</f>
        <v/>
      </c>
      <c r="F5" s="63" t="n">
        <v>40.5</v>
      </c>
      <c r="G5" s="80">
        <f>myParidad('Flujo de Fondos'!$N$5,$A5,F5,'Flujo de Fondos'!$N$7,'Flujo de Fondos'!$N$6)</f>
        <v/>
      </c>
      <c r="H5" s="65" t="n">
        <v>44</v>
      </c>
      <c r="I5" s="80">
        <f>myParidad('Flujo de Fondos'!$T$5,$A5,H5,'Flujo de Fondos'!$T$7,'Flujo de Fondos'!$T$6)</f>
        <v/>
      </c>
      <c r="J5" s="65" t="n">
        <v>35.51</v>
      </c>
      <c r="K5" s="80">
        <f>myParidad('Flujo de Fondos'!$B$34,$A5,J5,'Flujo de Fondos'!$B$36,'Flujo de Fondos'!$B$35)</f>
        <v/>
      </c>
      <c r="L5" s="63" t="n">
        <v>38.19</v>
      </c>
      <c r="M5" s="80">
        <f>myParidad('Flujo de Fondos'!$H$34,'Paridad usd'!$A5,'Paridad usd'!L5,'Flujo de Fondos'!$H$36,'Flujo de Fondos'!$H$35)</f>
        <v/>
      </c>
      <c r="N5" s="65" t="n">
        <v>35</v>
      </c>
      <c r="O5" s="80">
        <f>myParidad('Flujo de Fondos'!$N$34,$A5,N5,'Flujo de Fondos'!$N$36,'Flujo de Fondos'!$N$35)</f>
        <v/>
      </c>
      <c r="P5" s="64" t="inlineStr"/>
      <c r="Q5" s="64" t="inlineStr"/>
      <c r="R5" s="64" t="inlineStr"/>
      <c r="S5" s="64" t="inlineStr"/>
      <c r="T5" s="64" t="inlineStr"/>
      <c r="U5" s="64" t="inlineStr"/>
      <c r="V5" s="64" t="inlineStr"/>
      <c r="W5" s="64" t="inlineStr"/>
      <c r="X5" s="64" t="inlineStr"/>
      <c r="Y5" s="72" t="inlineStr"/>
    </row>
    <row r="6" customFormat="1" s="66">
      <c r="A6" s="62" t="n">
        <v>45315</v>
      </c>
      <c r="B6" s="63" t="n">
        <v>41.4</v>
      </c>
      <c r="C6" s="84">
        <f>myParidad('Flujo de Fondos'!$H$5,$A6,B6,'Flujo de Fondos'!$H$7,'Flujo de Fondos'!$H$6)</f>
        <v/>
      </c>
      <c r="D6" s="63" t="n">
        <v>44.4</v>
      </c>
      <c r="E6" s="84">
        <f>myParidad('Flujo de Fondos'!$H$5,$A6,D6,'Flujo de Fondos'!$H$7,'Flujo de Fondos'!$H$6)</f>
        <v/>
      </c>
      <c r="F6" s="63" t="n">
        <v>39.6</v>
      </c>
      <c r="G6" s="80">
        <f>myParidad('Flujo de Fondos'!$N$5,$A6,F6,'Flujo de Fondos'!$N$7,'Flujo de Fondos'!$N$6)</f>
        <v/>
      </c>
      <c r="H6" s="65" t="n">
        <v>43.4</v>
      </c>
      <c r="I6" s="80">
        <f>myParidad('Flujo de Fondos'!$T$5,$A6,H6,'Flujo de Fondos'!$T$7,'Flujo de Fondos'!$T$6)</f>
        <v/>
      </c>
      <c r="J6" s="65" t="n">
        <v>35.8</v>
      </c>
      <c r="K6" s="80">
        <f>myParidad('Flujo de Fondos'!$B$34,$A6,J6,'Flujo de Fondos'!$B$36,'Flujo de Fondos'!$B$35)</f>
        <v/>
      </c>
      <c r="L6" s="63" t="n">
        <v>37.95</v>
      </c>
      <c r="M6" s="80">
        <f>myParidad('Flujo de Fondos'!$H$34,'Paridad usd'!$A6,'Paridad usd'!L6,'Flujo de Fondos'!$H$36,'Flujo de Fondos'!$H$35)</f>
        <v/>
      </c>
      <c r="N6" s="65" t="n">
        <v>35.15</v>
      </c>
      <c r="O6" s="80">
        <f>myParidad('Flujo de Fondos'!$N$34,$A6,N6,'Flujo de Fondos'!$N$36,'Flujo de Fondos'!$N$35)</f>
        <v/>
      </c>
      <c r="P6" s="64" t="inlineStr"/>
      <c r="Q6" s="64" t="inlineStr"/>
      <c r="R6" s="64" t="inlineStr"/>
      <c r="S6" s="64" t="inlineStr"/>
      <c r="T6" s="64" t="inlineStr"/>
      <c r="U6" s="64" t="inlineStr"/>
      <c r="V6" s="64" t="inlineStr"/>
      <c r="W6" s="64" t="inlineStr"/>
      <c r="X6" s="64" t="inlineStr"/>
      <c r="Y6" s="72" t="inlineStr"/>
    </row>
    <row r="7" customFormat="1" s="66">
      <c r="A7" s="62" t="n">
        <v>45314</v>
      </c>
      <c r="B7" s="63" t="n">
        <v>39.9</v>
      </c>
      <c r="C7" s="84">
        <f>myParidad('Flujo de Fondos'!$H$5,$A7,B7,'Flujo de Fondos'!$H$7,'Flujo de Fondos'!$H$6)</f>
        <v/>
      </c>
      <c r="D7" s="63" t="n">
        <v>44.4</v>
      </c>
      <c r="E7" s="84">
        <f>myParidad('Flujo de Fondos'!$H$5,$A7,D7,'Flujo de Fondos'!$H$7,'Flujo de Fondos'!$H$6)</f>
        <v/>
      </c>
      <c r="F7" s="63" t="n">
        <v>39.201</v>
      </c>
      <c r="G7" s="80">
        <f>myParidad('Flujo de Fondos'!$N$5,$A7,F7,'Flujo de Fondos'!$N$7,'Flujo de Fondos'!$N$6)</f>
        <v/>
      </c>
      <c r="H7" s="65" t="n">
        <v>43.03</v>
      </c>
      <c r="I7" s="80">
        <f>myParidad('Flujo de Fondos'!$T$5,$A7,H7,'Flujo de Fondos'!$T$7,'Flujo de Fondos'!$T$6)</f>
        <v/>
      </c>
      <c r="J7" s="65" t="n">
        <v>35.5</v>
      </c>
      <c r="K7" s="80">
        <f>myParidad('Flujo de Fondos'!$B$34,$A7,J7,'Flujo de Fondos'!$B$36,'Flujo de Fondos'!$B$35)</f>
        <v/>
      </c>
      <c r="L7" s="63" t="n">
        <v>37.5</v>
      </c>
      <c r="M7" s="80">
        <f>myParidad('Flujo de Fondos'!$H$34,'Paridad usd'!$A7,'Paridad usd'!L7,'Flujo de Fondos'!$H$36,'Flujo de Fondos'!$H$35)</f>
        <v/>
      </c>
      <c r="N7" s="65" t="n">
        <v>35</v>
      </c>
      <c r="O7" s="80">
        <f>myParidad('Flujo de Fondos'!$N$34,$A7,N7,'Flujo de Fondos'!$N$36,'Flujo de Fondos'!$N$35)</f>
        <v/>
      </c>
      <c r="P7" s="64" t="inlineStr"/>
      <c r="Q7" s="64" t="inlineStr"/>
      <c r="R7" s="64" t="inlineStr"/>
      <c r="S7" s="64" t="inlineStr"/>
      <c r="T7" s="64" t="inlineStr"/>
      <c r="U7" s="64" t="inlineStr"/>
      <c r="V7" s="64" t="inlineStr"/>
      <c r="W7" s="64" t="inlineStr"/>
      <c r="X7" s="64" t="inlineStr"/>
      <c r="Y7" s="72" t="inlineStr"/>
    </row>
    <row r="8" customFormat="1" s="66">
      <c r="A8" s="62" t="n">
        <v>45313</v>
      </c>
      <c r="B8" s="63" t="n">
        <v>39.7</v>
      </c>
      <c r="C8" s="84">
        <f>myParidad('Flujo de Fondos'!$H$5,$A8,B8,'Flujo de Fondos'!$H$7,'Flujo de Fondos'!$H$6)</f>
        <v/>
      </c>
      <c r="D8" s="63" t="n">
        <v>43</v>
      </c>
      <c r="E8" s="84">
        <f>myParidad('Flujo de Fondos'!$H$5,$A8,D8,'Flujo de Fondos'!$H$7,'Flujo de Fondos'!$H$6)</f>
        <v/>
      </c>
      <c r="F8" s="63" t="n">
        <v>39.05</v>
      </c>
      <c r="G8" s="80">
        <f>myParidad('Flujo de Fondos'!$N$5,$A8,F8,'Flujo de Fondos'!$N$7,'Flujo de Fondos'!$N$6)</f>
        <v/>
      </c>
      <c r="H8" s="65" t="n">
        <v>42.5</v>
      </c>
      <c r="I8" s="80">
        <f>myParidad('Flujo de Fondos'!$T$5,$A8,H8,'Flujo de Fondos'!$T$7,'Flujo de Fondos'!$T$6)</f>
        <v/>
      </c>
      <c r="J8" s="65" t="n">
        <v>35.45</v>
      </c>
      <c r="K8" s="80">
        <f>myParidad('Flujo de Fondos'!$B$34,$A8,J8,'Flujo de Fondos'!$B$36,'Flujo de Fondos'!$B$35)</f>
        <v/>
      </c>
      <c r="L8" s="63" t="n">
        <v>37.1</v>
      </c>
      <c r="M8" s="80">
        <f>myParidad('Flujo de Fondos'!$H$34,'Paridad usd'!$A8,'Paridad usd'!L8,'Flujo de Fondos'!$H$36,'Flujo de Fondos'!$H$35)</f>
        <v/>
      </c>
      <c r="N8" s="65" t="n">
        <v>34.25</v>
      </c>
      <c r="O8" s="80">
        <f>myParidad('Flujo de Fondos'!$N$34,$A8,N8,'Flujo de Fondos'!$N$36,'Flujo de Fondos'!$N$35)</f>
        <v/>
      </c>
      <c r="P8" s="64" t="inlineStr"/>
      <c r="Q8" s="64" t="inlineStr"/>
      <c r="R8" s="64" t="inlineStr"/>
      <c r="S8" s="64" t="inlineStr"/>
      <c r="T8" s="64" t="inlineStr"/>
      <c r="U8" s="64" t="inlineStr"/>
      <c r="V8" s="64" t="inlineStr"/>
      <c r="W8" s="64" t="inlineStr"/>
      <c r="X8" s="64" t="inlineStr"/>
      <c r="Y8" s="72" t="inlineStr"/>
    </row>
    <row r="9" customFormat="1" s="66">
      <c r="A9" s="62" t="n">
        <v>45310</v>
      </c>
      <c r="B9" s="63" t="n">
        <v>38.65</v>
      </c>
      <c r="C9" s="84">
        <f>myParidad('Flujo de Fondos'!$H$5,$A9,B9,'Flujo de Fondos'!$H$7,'Flujo de Fondos'!$H$6)</f>
        <v/>
      </c>
      <c r="D9" s="63" t="n">
        <v>42</v>
      </c>
      <c r="E9" s="84">
        <f>myParidad('Flujo de Fondos'!$H$5,$A9,D9,'Flujo de Fondos'!$H$7,'Flujo de Fondos'!$H$6)</f>
        <v/>
      </c>
      <c r="F9" s="63" t="n">
        <v>37.4</v>
      </c>
      <c r="G9" s="80">
        <f>myParidad('Flujo de Fondos'!$N$5,$A9,F9,'Flujo de Fondos'!$N$7,'Flujo de Fondos'!$N$6)</f>
        <v/>
      </c>
      <c r="H9" s="65" t="n">
        <v>41.145</v>
      </c>
      <c r="I9" s="80">
        <f>myParidad('Flujo de Fondos'!$T$5,$A9,H9,'Flujo de Fondos'!$T$7,'Flujo de Fondos'!$T$6)</f>
        <v/>
      </c>
      <c r="J9" s="65" t="n">
        <v>34</v>
      </c>
      <c r="K9" s="80">
        <f>myParidad('Flujo de Fondos'!$B$34,$A9,J9,'Flujo de Fondos'!$B$36,'Flujo de Fondos'!$B$35)</f>
        <v/>
      </c>
      <c r="L9" s="63" t="n">
        <v>36.65</v>
      </c>
      <c r="M9" s="80">
        <f>myParidad('Flujo de Fondos'!$H$34,'Paridad usd'!$A9,'Paridad usd'!L9,'Flujo de Fondos'!$H$36,'Flujo de Fondos'!$H$35)</f>
        <v/>
      </c>
      <c r="N9" s="65" t="n">
        <v>33.6</v>
      </c>
      <c r="O9" s="80">
        <f>myParidad('Flujo de Fondos'!$N$34,$A9,N9,'Flujo de Fondos'!$N$36,'Flujo de Fondos'!$N$35)</f>
        <v/>
      </c>
      <c r="P9" s="64" t="inlineStr"/>
      <c r="Q9" s="64" t="inlineStr"/>
      <c r="R9" s="64" t="inlineStr"/>
      <c r="S9" s="64" t="inlineStr"/>
      <c r="T9" s="64" t="inlineStr"/>
      <c r="U9" s="64" t="inlineStr"/>
      <c r="V9" s="64" t="inlineStr"/>
      <c r="W9" s="64" t="inlineStr"/>
      <c r="X9" s="64" t="inlineStr"/>
      <c r="Y9" s="72" t="inlineStr"/>
    </row>
    <row r="10" customFormat="1" s="66">
      <c r="A10" s="62" t="n">
        <v>45309</v>
      </c>
      <c r="B10" s="63" t="n">
        <v>38.75</v>
      </c>
      <c r="C10" s="84">
        <f>myParidad('Flujo de Fondos'!$H$5,$A10,B10,'Flujo de Fondos'!$H$7,'Flujo de Fondos'!$H$6)</f>
        <v/>
      </c>
      <c r="D10" s="63" t="n">
        <v>41.8</v>
      </c>
      <c r="E10" s="84">
        <f>myParidad('Flujo de Fondos'!$H$5,$A10,D10,'Flujo de Fondos'!$H$7,'Flujo de Fondos'!$H$6)</f>
        <v/>
      </c>
      <c r="F10" s="63" t="n">
        <v>37.699</v>
      </c>
      <c r="G10" s="80">
        <f>myParidad('Flujo de Fondos'!$N$5,$A10,F10,'Flujo de Fondos'!$N$7,'Flujo de Fondos'!$N$6)</f>
        <v/>
      </c>
      <c r="H10" s="65" t="n">
        <v>41.4</v>
      </c>
      <c r="I10" s="80">
        <f>myParidad('Flujo de Fondos'!$T$5,$A10,H10,'Flujo de Fondos'!$T$7,'Flujo de Fondos'!$T$6)</f>
        <v/>
      </c>
      <c r="J10" s="65" t="n">
        <v>34.45</v>
      </c>
      <c r="K10" s="80">
        <f>myParidad('Flujo de Fondos'!$B$34,$A10,J10,'Flujo de Fondos'!$B$36,'Flujo de Fondos'!$B$35)</f>
        <v/>
      </c>
      <c r="L10" s="63" t="n">
        <v>36.6</v>
      </c>
      <c r="M10" s="80">
        <f>myParidad('Flujo de Fondos'!$H$34,'Paridad usd'!$A10,'Paridad usd'!L10,'Flujo de Fondos'!$H$36,'Flujo de Fondos'!$H$35)</f>
        <v/>
      </c>
      <c r="N10" s="65" t="n">
        <v>33.599</v>
      </c>
      <c r="O10" s="80">
        <f>myParidad('Flujo de Fondos'!$N$34,$A10,N10,'Flujo de Fondos'!$N$36,'Flujo de Fondos'!$N$35)</f>
        <v/>
      </c>
      <c r="P10" s="64" t="inlineStr"/>
      <c r="Q10" s="64" t="inlineStr"/>
      <c r="R10" s="64" t="inlineStr"/>
      <c r="S10" s="64" t="inlineStr"/>
      <c r="T10" s="64" t="inlineStr"/>
      <c r="U10" s="64" t="inlineStr"/>
      <c r="V10" s="64" t="inlineStr"/>
      <c r="W10" s="64" t="inlineStr"/>
      <c r="X10" s="64" t="inlineStr"/>
      <c r="Y10" s="72" t="inlineStr"/>
    </row>
    <row r="11" customFormat="1" s="66">
      <c r="A11" s="62" t="n">
        <v>45308</v>
      </c>
      <c r="B11" s="63" t="n">
        <v>38.2</v>
      </c>
      <c r="C11" s="84">
        <f>myParidad('Flujo de Fondos'!$H$5,$A11,B11,'Flujo de Fondos'!$H$7,'Flujo de Fondos'!$H$6)</f>
        <v/>
      </c>
      <c r="D11" s="63" t="n">
        <v>41.5</v>
      </c>
      <c r="E11" s="84">
        <f>myParidad('Flujo de Fondos'!$H$5,$A11,D11,'Flujo de Fondos'!$H$7,'Flujo de Fondos'!$H$6)</f>
        <v/>
      </c>
      <c r="F11" s="63" t="n">
        <v>37.381</v>
      </c>
      <c r="G11" s="80">
        <f>myParidad('Flujo de Fondos'!$N$5,$A11,F11,'Flujo de Fondos'!$N$7,'Flujo de Fondos'!$N$6)</f>
        <v/>
      </c>
      <c r="H11" s="65" t="n">
        <v>41.13</v>
      </c>
      <c r="I11" s="80">
        <f>myParidad('Flujo de Fondos'!$T$5,$A11,H11,'Flujo de Fondos'!$T$7,'Flujo de Fondos'!$T$6)</f>
        <v/>
      </c>
      <c r="J11" s="65" t="n">
        <v>34.07</v>
      </c>
      <c r="K11" s="80">
        <f>myParidad('Flujo de Fondos'!$B$34,$A11,J11,'Flujo de Fondos'!$B$36,'Flujo de Fondos'!$B$35)</f>
        <v/>
      </c>
      <c r="L11" s="63" t="n">
        <v>36.2</v>
      </c>
      <c r="M11" s="80">
        <f>myParidad('Flujo de Fondos'!$H$34,'Paridad usd'!$A11,'Paridad usd'!L11,'Flujo de Fondos'!$H$36,'Flujo de Fondos'!$H$35)</f>
        <v/>
      </c>
      <c r="N11" s="65" t="n">
        <v>33.69</v>
      </c>
      <c r="O11" s="80">
        <f>myParidad('Flujo de Fondos'!$N$34,$A11,N11,'Flujo de Fondos'!$N$36,'Flujo de Fondos'!$N$35)</f>
        <v/>
      </c>
      <c r="P11" s="64" t="inlineStr"/>
      <c r="Q11" s="64" t="inlineStr"/>
      <c r="R11" s="64" t="inlineStr"/>
      <c r="S11" s="64" t="inlineStr"/>
      <c r="T11" s="64" t="inlineStr"/>
      <c r="U11" s="64" t="inlineStr"/>
      <c r="V11" s="64" t="inlineStr"/>
      <c r="W11" s="64" t="inlineStr"/>
      <c r="X11" s="64" t="inlineStr"/>
      <c r="Y11" s="72" t="inlineStr"/>
    </row>
    <row r="12" customFormat="1" s="66">
      <c r="A12" s="62" t="n">
        <v>45307</v>
      </c>
      <c r="B12" s="63" t="n">
        <v>38.4</v>
      </c>
      <c r="C12" s="84">
        <f>myParidad('Flujo de Fondos'!$H$5,$A12,B12,'Flujo de Fondos'!$H$7,'Flujo de Fondos'!$H$6)</f>
        <v/>
      </c>
      <c r="D12" s="63" t="n">
        <v>41.8</v>
      </c>
      <c r="E12" s="84">
        <f>myParidad('Flujo de Fondos'!$H$5,$A12,D12,'Flujo de Fondos'!$H$7,'Flujo de Fondos'!$H$6)</f>
        <v/>
      </c>
      <c r="F12" s="63" t="n">
        <v>37.4</v>
      </c>
      <c r="G12" s="80">
        <f>myParidad('Flujo de Fondos'!$N$5,$A12,F12,'Flujo de Fondos'!$N$7,'Flujo de Fondos'!$N$6)</f>
        <v/>
      </c>
      <c r="H12" s="65" t="n">
        <v>41.9</v>
      </c>
      <c r="I12" s="80">
        <f>myParidad('Flujo de Fondos'!$T$5,$A12,H12,'Flujo de Fondos'!$T$7,'Flujo de Fondos'!$T$6)</f>
        <v/>
      </c>
      <c r="J12" s="65" t="n">
        <v>34</v>
      </c>
      <c r="K12" s="80">
        <f>myParidad('Flujo de Fondos'!$B$34,$A12,J12,'Flujo de Fondos'!$B$36,'Flujo de Fondos'!$B$35)</f>
        <v/>
      </c>
      <c r="L12" s="63" t="n">
        <v>36.54</v>
      </c>
      <c r="M12" s="80">
        <f>myParidad('Flujo de Fondos'!$H$34,'Paridad usd'!$A12,'Paridad usd'!L12,'Flujo de Fondos'!$H$36,'Flujo de Fondos'!$H$35)</f>
        <v/>
      </c>
      <c r="N12" s="65" t="n">
        <v>34</v>
      </c>
      <c r="O12" s="80">
        <f>myParidad('Flujo de Fondos'!$N$34,$A12,N12,'Flujo de Fondos'!$N$36,'Flujo de Fondos'!$N$35)</f>
        <v/>
      </c>
      <c r="P12" s="64" t="inlineStr"/>
      <c r="Q12" s="64" t="inlineStr"/>
      <c r="R12" s="64" t="inlineStr"/>
      <c r="S12" s="64" t="inlineStr"/>
      <c r="T12" s="64" t="inlineStr"/>
      <c r="U12" s="64" t="inlineStr"/>
      <c r="V12" s="64" t="inlineStr"/>
      <c r="W12" s="64" t="inlineStr"/>
      <c r="X12" s="64" t="inlineStr"/>
      <c r="Y12" s="72" t="inlineStr"/>
    </row>
    <row r="13" customFormat="1" s="66">
      <c r="A13" s="62" t="n">
        <v>45306</v>
      </c>
      <c r="B13" s="63" t="n">
        <v>38.4</v>
      </c>
      <c r="C13" s="84">
        <f>myParidad('Flujo de Fondos'!$H$5,$A13,B13,'Flujo de Fondos'!$H$7,'Flujo de Fondos'!$H$6)</f>
        <v/>
      </c>
      <c r="D13" s="63" t="n">
        <v>41.9</v>
      </c>
      <c r="E13" s="84">
        <f>myParidad('Flujo de Fondos'!$H$5,$A13,D13,'Flujo de Fondos'!$H$7,'Flujo de Fondos'!$H$6)</f>
        <v/>
      </c>
      <c r="F13" s="63" t="n">
        <v>37.8</v>
      </c>
      <c r="G13" s="80">
        <f>myParidad('Flujo de Fondos'!$N$5,$A13,F13,'Flujo de Fondos'!$N$7,'Flujo de Fondos'!$N$6)</f>
        <v/>
      </c>
      <c r="H13" s="65" t="n">
        <v>41.9</v>
      </c>
      <c r="I13" s="80">
        <f>myParidad('Flujo de Fondos'!$T$5,$A13,H13,'Flujo de Fondos'!$T$7,'Flujo de Fondos'!$T$6)</f>
        <v/>
      </c>
      <c r="J13" s="65" t="n">
        <v>34.19</v>
      </c>
      <c r="K13" s="80">
        <f>myParidad('Flujo de Fondos'!$B$34,$A13,J13,'Flujo de Fondos'!$B$36,'Flujo de Fondos'!$B$35)</f>
        <v/>
      </c>
      <c r="L13" s="63" t="n">
        <v>36.75</v>
      </c>
      <c r="M13" s="80">
        <f>myParidad('Flujo de Fondos'!$H$34,'Paridad usd'!$A13,'Paridad usd'!L13,'Flujo de Fondos'!$H$36,'Flujo de Fondos'!$H$35)</f>
        <v/>
      </c>
      <c r="N13" s="65" t="n">
        <v>34.569</v>
      </c>
      <c r="O13" s="80">
        <f>myParidad('Flujo de Fondos'!$N$34,$A13,N13,'Flujo de Fondos'!$N$36,'Flujo de Fondos'!$N$35)</f>
        <v/>
      </c>
      <c r="P13" s="64" t="inlineStr"/>
      <c r="Q13" s="64" t="inlineStr"/>
      <c r="R13" s="64" t="inlineStr"/>
      <c r="S13" s="64" t="inlineStr"/>
      <c r="T13" s="64" t="inlineStr"/>
      <c r="U13" s="64" t="inlineStr"/>
      <c r="V13" s="64" t="inlineStr"/>
      <c r="W13" s="64" t="inlineStr"/>
      <c r="X13" s="64" t="inlineStr"/>
      <c r="Y13" s="72" t="inlineStr"/>
    </row>
    <row r="14" customFormat="1" s="66">
      <c r="A14" s="62" t="n">
        <v>44938</v>
      </c>
      <c r="B14" s="63" t="n">
        <v>38.1</v>
      </c>
      <c r="C14" s="84">
        <f>myParidad('Flujo de Fondos'!$H$5,$A14,B14,'Flujo de Fondos'!$H$7,'Flujo de Fondos'!$H$6)</f>
        <v/>
      </c>
      <c r="D14" s="63" t="n">
        <v>41.1</v>
      </c>
      <c r="E14" s="84">
        <f>myParidad('Flujo de Fondos'!$H$5,$A14,D14,'Flujo de Fondos'!$H$7,'Flujo de Fondos'!$H$6)</f>
        <v/>
      </c>
      <c r="F14" s="63" t="n">
        <v>37.6</v>
      </c>
      <c r="G14" s="80">
        <f>myParidad('Flujo de Fondos'!$N$5,$A14,F14,'Flujo de Fondos'!$N$7,'Flujo de Fondos'!$N$6)</f>
        <v/>
      </c>
      <c r="H14" s="65" t="n">
        <v>41.69</v>
      </c>
      <c r="I14" s="80">
        <f>myParidad('Flujo de Fondos'!$T$5,$A14,H14,'Flujo de Fondos'!$T$7,'Flujo de Fondos'!$T$6)</f>
        <v/>
      </c>
      <c r="J14" s="65" t="n">
        <v>34.29</v>
      </c>
      <c r="K14" s="80">
        <f>myParidad('Flujo de Fondos'!$B$34,$A14,J14,'Flujo de Fondos'!$B$36,'Flujo de Fondos'!$B$35)</f>
        <v/>
      </c>
      <c r="L14" s="63" t="n">
        <v>37</v>
      </c>
      <c r="M14" s="80">
        <f>myParidad('Flujo de Fondos'!$H$34,'Paridad usd'!$A14,'Paridad usd'!L14,'Flujo de Fondos'!$H$36,'Flujo de Fondos'!$H$35)</f>
        <v/>
      </c>
      <c r="N14" s="65" t="n">
        <v>34.5</v>
      </c>
      <c r="O14" s="80">
        <f>myParidad('Flujo de Fondos'!$N$34,$A14,N14,'Flujo de Fondos'!$N$36,'Flujo de Fondos'!$N$35)</f>
        <v/>
      </c>
      <c r="P14" s="64" t="n"/>
      <c r="Q14" s="64" t="n"/>
      <c r="R14" s="64" t="n"/>
      <c r="S14" s="64" t="n"/>
      <c r="T14" s="64" t="n"/>
      <c r="U14" s="64" t="n"/>
      <c r="V14" s="64" t="n"/>
      <c r="W14" s="64" t="n"/>
      <c r="X14" s="64" t="n"/>
      <c r="Y14" s="72" t="n"/>
    </row>
    <row r="15" customFormat="1" s="66">
      <c r="A15" s="62" t="n">
        <v>44937</v>
      </c>
      <c r="B15" s="63" t="n">
        <v>37.81</v>
      </c>
      <c r="C15" s="84">
        <f>myParidad('Flujo de Fondos'!$H$5,$A15,B15,'Flujo de Fondos'!$H$7,'Flujo de Fondos'!$H$6)</f>
        <v/>
      </c>
      <c r="D15" s="63" t="n">
        <v>41</v>
      </c>
      <c r="E15" s="84">
        <f>myParidad('Flujo de Fondos'!$H$5,$A15,D15,'Flujo de Fondos'!$H$7,'Flujo de Fondos'!$H$6)</f>
        <v/>
      </c>
      <c r="F15" s="63" t="n">
        <v>37.74</v>
      </c>
      <c r="G15" s="80">
        <f>myParidad('Flujo de Fondos'!$N$5,$A15,F15,'Flujo de Fondos'!$N$7,'Flujo de Fondos'!$N$6)</f>
        <v/>
      </c>
      <c r="H15" s="65" t="n">
        <v>41.2</v>
      </c>
      <c r="I15" s="80">
        <f>myParidad('Flujo de Fondos'!$T$5,$A15,H15,'Flujo de Fondos'!$T$7,'Flujo de Fondos'!$T$6)</f>
        <v/>
      </c>
      <c r="J15" s="65" t="n">
        <v>34.01</v>
      </c>
      <c r="K15" s="80">
        <f>myParidad('Flujo de Fondos'!$B$34,$A15,J15,'Flujo de Fondos'!$B$36,'Flujo de Fondos'!$B$35)</f>
        <v/>
      </c>
      <c r="L15" s="63" t="n">
        <v>37.05</v>
      </c>
      <c r="M15" s="80">
        <f>myParidad('Flujo de Fondos'!$H$34,'Paridad usd'!$A15,'Paridad usd'!L15,'Flujo de Fondos'!$H$36,'Flujo de Fondos'!$H$35)</f>
        <v/>
      </c>
      <c r="N15" s="65" t="n">
        <v>35.5</v>
      </c>
      <c r="O15" s="80">
        <f>myParidad('Flujo de Fondos'!$N$34,$A15,N15,'Flujo de Fondos'!$N$36,'Flujo de Fondos'!$N$35)</f>
        <v/>
      </c>
      <c r="P15" s="64" t="n"/>
      <c r="Q15" s="64" t="n"/>
      <c r="R15" s="64" t="n"/>
      <c r="S15" s="64" t="n"/>
      <c r="T15" s="64" t="n"/>
      <c r="U15" s="64" t="n"/>
      <c r="V15" s="64" t="n"/>
      <c r="W15" s="64" t="n"/>
      <c r="X15" s="64" t="n"/>
      <c r="Y15" s="72" t="n"/>
    </row>
    <row r="16" customFormat="1" s="66">
      <c r="A16" s="62" t="n">
        <v>45301</v>
      </c>
      <c r="B16" s="63" t="n">
        <v>37</v>
      </c>
      <c r="C16" s="84">
        <f>myParidad('Flujo de Fondos'!$H$5,$A16,B16,'Flujo de Fondos'!$H$7,'Flujo de Fondos'!$H$6)</f>
        <v/>
      </c>
      <c r="D16" s="63" t="n">
        <v>40.5</v>
      </c>
      <c r="E16" s="84">
        <f>myParidad('Flujo de Fondos'!$H$5,$A16,D16,'Flujo de Fondos'!$H$7,'Flujo de Fondos'!$H$6)</f>
        <v/>
      </c>
      <c r="F16" s="63" t="n">
        <v>37.1</v>
      </c>
      <c r="G16" s="80">
        <f>myParidad('Flujo de Fondos'!$N$5,$A16,F16,'Flujo de Fondos'!$N$7,'Flujo de Fondos'!$N$6)</f>
        <v/>
      </c>
      <c r="H16" s="65" t="n">
        <v>40.28</v>
      </c>
      <c r="I16" s="80">
        <f>myParidad('Flujo de Fondos'!$T$5,$A16,H16,'Flujo de Fondos'!$T$7,'Flujo de Fondos'!$T$6)</f>
        <v/>
      </c>
      <c r="J16" s="65" t="n">
        <v>32.92</v>
      </c>
      <c r="K16" s="80">
        <f>myParidad('Flujo de Fondos'!$B$34,$A16,J16,'Flujo de Fondos'!$B$36,'Flujo de Fondos'!$B$35)</f>
        <v/>
      </c>
      <c r="L16" s="63" t="n">
        <v>36.3</v>
      </c>
      <c r="M16" s="80">
        <f>myParidad('Flujo de Fondos'!$H$34,'Paridad usd'!$A16,'Paridad usd'!L16,'Flujo de Fondos'!$H$36,'Flujo de Fondos'!$H$35)</f>
        <v/>
      </c>
      <c r="N16" s="65" t="n">
        <v>34.2</v>
      </c>
      <c r="O16" s="80">
        <f>myParidad('Flujo de Fondos'!$N$34,$A16,N16,'Flujo de Fondos'!$N$36,'Flujo de Fondos'!$N$35)</f>
        <v/>
      </c>
      <c r="P16" s="64" t="n"/>
      <c r="Q16" s="64" t="n"/>
      <c r="R16" s="64" t="n"/>
      <c r="S16" s="64" t="n"/>
      <c r="T16" s="64" t="n"/>
      <c r="U16" s="64" t="n"/>
      <c r="V16" s="64" t="n"/>
      <c r="W16" s="64" t="n"/>
      <c r="X16" s="64" t="n"/>
      <c r="Y16" s="72" t="n"/>
    </row>
    <row r="17" customFormat="1" s="66">
      <c r="A17" s="62" t="n">
        <v>45300</v>
      </c>
      <c r="B17" s="63" t="n">
        <v>35.65</v>
      </c>
      <c r="C17" s="84">
        <f>myParidad('Flujo de Fondos'!$H$5,$A17,B17,'Flujo de Fondos'!$H$7,'Flujo de Fondos'!$H$6)</f>
        <v/>
      </c>
      <c r="D17" s="63" t="n">
        <v>39.01</v>
      </c>
      <c r="E17" s="84">
        <f>myParidad('Flujo de Fondos'!$H$5,$A17,D17,'Flujo de Fondos'!$H$7,'Flujo de Fondos'!$H$6)</f>
        <v/>
      </c>
      <c r="F17" s="63" t="n">
        <v>35.5</v>
      </c>
      <c r="G17" s="80">
        <f>myParidad('Flujo de Fondos'!$N$5,$A17,F17,'Flujo de Fondos'!$N$7,'Flujo de Fondos'!$N$6)</f>
        <v/>
      </c>
      <c r="H17" s="65" t="n">
        <v>38.65</v>
      </c>
      <c r="I17" s="80">
        <f>myParidad('Flujo de Fondos'!$T$5,$A17,H17,'Flujo de Fondos'!$T$7,'Flujo de Fondos'!$T$6)</f>
        <v/>
      </c>
      <c r="J17" s="65" t="n">
        <v>31.61</v>
      </c>
      <c r="K17" s="80">
        <f>myParidad('Flujo de Fondos'!$B$34,$A17,J17,'Flujo de Fondos'!$B$36,'Flujo de Fondos'!$B$35)</f>
        <v/>
      </c>
      <c r="L17" s="63" t="n">
        <v>35.21</v>
      </c>
      <c r="M17" s="80">
        <f>myParidad('Flujo de Fondos'!$H$34,'Paridad usd'!$A17,'Paridad usd'!L17,'Flujo de Fondos'!$H$36,'Flujo de Fondos'!$H$35)</f>
        <v/>
      </c>
      <c r="N17" s="65" t="n">
        <v>32.4</v>
      </c>
      <c r="O17" s="80">
        <f>myParidad('Flujo de Fondos'!$N$34,$A17,N17,'Flujo de Fondos'!$N$36,'Flujo de Fondos'!$N$35)</f>
        <v/>
      </c>
      <c r="P17" s="64" t="n"/>
      <c r="Q17" s="64" t="n"/>
      <c r="R17" s="64" t="n"/>
      <c r="S17" s="64" t="n"/>
      <c r="T17" s="64" t="n"/>
      <c r="U17" s="64" t="n"/>
      <c r="V17" s="64" t="n"/>
      <c r="W17" s="64" t="n"/>
      <c r="X17" s="64" t="n"/>
      <c r="Y17" s="72" t="n"/>
    </row>
    <row r="18" customFormat="1" s="66">
      <c r="A18" s="115" t="n">
        <v>45299</v>
      </c>
      <c r="B18" s="116" t="n">
        <v>36.93</v>
      </c>
      <c r="C18" s="117" t="n">
        <v>0.367458</v>
      </c>
      <c r="D18" s="116" t="n">
        <v>39</v>
      </c>
      <c r="E18" s="118" t="n">
        <v>0.388054</v>
      </c>
      <c r="F18" s="116" t="n">
        <v>36.4</v>
      </c>
      <c r="G18" s="117" t="n">
        <v>0.36309</v>
      </c>
      <c r="H18" s="119" t="n">
        <v>39.95</v>
      </c>
      <c r="I18" s="117" t="n">
        <v>0.39925</v>
      </c>
      <c r="J18" s="119" t="n">
        <v>33</v>
      </c>
      <c r="K18" s="117" t="n">
        <v>0.328149</v>
      </c>
      <c r="L18" s="116" t="n">
        <v>36.6</v>
      </c>
      <c r="M18" s="117" t="n">
        <v>0.365771</v>
      </c>
      <c r="N18" s="119" t="n">
        <v>33.5</v>
      </c>
      <c r="O18" s="117" t="n">
        <v>0.33479</v>
      </c>
      <c r="P18" s="120" t="n"/>
      <c r="Q18" s="120" t="n"/>
      <c r="R18" s="120" t="n"/>
      <c r="S18" s="120" t="n"/>
      <c r="T18" s="120" t="n"/>
      <c r="U18" s="120" t="n"/>
      <c r="V18" s="120" t="n"/>
      <c r="W18" s="120" t="n"/>
      <c r="X18" s="120" t="n"/>
      <c r="Y18" s="121" t="n"/>
    </row>
    <row r="19" customFormat="1" s="66">
      <c r="A19" s="115" t="n">
        <v>45296</v>
      </c>
      <c r="B19" s="116" t="n">
        <v>37.69</v>
      </c>
      <c r="C19" s="117" t="n">
        <v>0.37505</v>
      </c>
      <c r="D19" s="116" t="n">
        <v>39.85</v>
      </c>
      <c r="E19" s="118" t="n">
        <v>0.396544</v>
      </c>
      <c r="F19" s="116" t="n">
        <v>37.29</v>
      </c>
      <c r="G19" s="117" t="n">
        <v>0.371983</v>
      </c>
      <c r="H19" s="119" t="n">
        <v>40.6</v>
      </c>
      <c r="I19" s="117" t="n">
        <v>0.40575</v>
      </c>
      <c r="J19" s="119" t="n">
        <v>33.1</v>
      </c>
      <c r="K19" s="117" t="n">
        <v>0.329174</v>
      </c>
      <c r="L19" s="116" t="n">
        <v>37.25</v>
      </c>
      <c r="M19" s="117" t="n">
        <v>0.372271</v>
      </c>
      <c r="N19" s="119" t="n">
        <v>34.7</v>
      </c>
      <c r="O19" s="117" t="n">
        <v>0.346786</v>
      </c>
      <c r="P19" s="120" t="n"/>
      <c r="Q19" s="120" t="n"/>
      <c r="R19" s="120" t="n"/>
      <c r="S19" s="120" t="n"/>
      <c r="T19" s="120" t="n"/>
      <c r="U19" s="120" t="n"/>
      <c r="V19" s="120" t="n"/>
      <c r="W19" s="120" t="n"/>
      <c r="X19" s="120" t="n"/>
      <c r="Y19" s="121" t="n"/>
    </row>
    <row r="20" customFormat="1" s="66">
      <c r="A20" s="115" t="n">
        <v>45295</v>
      </c>
      <c r="B20" s="116" t="n">
        <v>38.14</v>
      </c>
      <c r="C20" s="117" t="n">
        <v>0.379539</v>
      </c>
      <c r="D20" s="116" t="n">
        <v>40.25</v>
      </c>
      <c r="E20" s="118" t="n">
        <v>0.400536</v>
      </c>
      <c r="F20" s="116" t="n">
        <v>37.9</v>
      </c>
      <c r="G20" s="117" t="n">
        <v>0.378073</v>
      </c>
      <c r="H20" s="119" t="n">
        <v>40.65</v>
      </c>
      <c r="I20" s="117" t="n">
        <v>0.406251</v>
      </c>
      <c r="J20" s="119" t="n">
        <v>35.7</v>
      </c>
      <c r="K20" s="117" t="n">
        <v>0.355041</v>
      </c>
      <c r="L20" s="116" t="n">
        <v>40.39</v>
      </c>
      <c r="M20" s="117" t="n">
        <v>0.403653</v>
      </c>
      <c r="N20" s="119" t="n">
        <v>36.25</v>
      </c>
      <c r="O20" s="117" t="n">
        <v>0.362278</v>
      </c>
      <c r="P20" s="120" t="n"/>
      <c r="Q20" s="120" t="n"/>
      <c r="R20" s="120" t="n"/>
      <c r="S20" s="120" t="n"/>
      <c r="T20" s="120" t="n"/>
      <c r="U20" s="120" t="n"/>
      <c r="V20" s="120" t="n"/>
      <c r="W20" s="120" t="n"/>
      <c r="X20" s="120" t="n"/>
      <c r="Y20" s="121" t="n"/>
    </row>
    <row r="21" customFormat="1" s="66">
      <c r="A21" s="115" t="n">
        <v>45294</v>
      </c>
      <c r="B21" s="116" t="n">
        <v>37.88</v>
      </c>
      <c r="C21" s="117" t="n">
        <v>0.376962</v>
      </c>
      <c r="D21" s="116" t="n">
        <v>40.4</v>
      </c>
      <c r="E21" s="118" t="n">
        <v>0.402039</v>
      </c>
      <c r="F21" s="116" t="n">
        <v>38.2</v>
      </c>
      <c r="G21" s="117" t="n">
        <v>0.381071</v>
      </c>
      <c r="H21" s="119" t="n">
        <v>40.2</v>
      </c>
      <c r="I21" s="117" t="n">
        <v>0.401755</v>
      </c>
      <c r="J21" s="119" t="n">
        <v>35.75</v>
      </c>
      <c r="K21" s="117" t="n">
        <v>0.355549</v>
      </c>
      <c r="L21" s="116" t="n">
        <v>39.9</v>
      </c>
      <c r="M21" s="117" t="n">
        <v>0.398757</v>
      </c>
      <c r="N21" s="119" t="n">
        <v>36.3</v>
      </c>
      <c r="O21" s="117" t="n">
        <v>0.362779</v>
      </c>
      <c r="P21" s="120" t="n"/>
      <c r="Q21" s="120" t="n"/>
      <c r="R21" s="120" t="n"/>
      <c r="S21" s="120" t="n"/>
      <c r="T21" s="120" t="n"/>
      <c r="U21" s="120" t="n"/>
      <c r="V21" s="120" t="n"/>
      <c r="W21" s="120" t="n"/>
      <c r="X21" s="120" t="n"/>
      <c r="Y21" s="121" t="n"/>
    </row>
    <row r="22" customFormat="1" s="66">
      <c r="A22" s="115" t="n">
        <v>45293</v>
      </c>
      <c r="B22" s="116" t="n">
        <v>38.31</v>
      </c>
      <c r="C22" s="117" t="n">
        <v>0.381251</v>
      </c>
      <c r="D22" s="116" t="n">
        <v>39.77</v>
      </c>
      <c r="E22" s="118" t="n">
        <v>0.395781</v>
      </c>
      <c r="F22" s="116" t="n">
        <v>38.45</v>
      </c>
      <c r="G22" s="117" t="n">
        <v>0.38357</v>
      </c>
      <c r="H22" s="119" t="n">
        <v>40.35</v>
      </c>
      <c r="I22" s="117" t="n">
        <v>0.403256</v>
      </c>
      <c r="J22" s="119" t="n">
        <v>36.38</v>
      </c>
      <c r="K22" s="117" t="n">
        <v>0.361826</v>
      </c>
      <c r="L22" s="116" t="n">
        <v>39.61</v>
      </c>
      <c r="M22" s="117" t="n">
        <v>0.39586</v>
      </c>
      <c r="N22" s="119" t="n">
        <v>35.5</v>
      </c>
      <c r="O22" s="117" t="n">
        <v>0.354785</v>
      </c>
      <c r="P22" s="120" t="n"/>
      <c r="Q22" s="120" t="n"/>
      <c r="R22" s="120" t="n"/>
      <c r="S22" s="120" t="n"/>
      <c r="T22" s="120" t="n"/>
      <c r="U22" s="120" t="n"/>
      <c r="V22" s="120" t="n"/>
      <c r="W22" s="120" t="n"/>
      <c r="X22" s="120" t="n"/>
      <c r="Y22" s="121" t="n"/>
    </row>
    <row r="23" customFormat="1" s="66">
      <c r="A23" s="115" t="n">
        <v>45289</v>
      </c>
      <c r="B23" s="116" t="n">
        <v>38.09</v>
      </c>
      <c r="C23" s="117" t="n">
        <v>0.379103</v>
      </c>
      <c r="D23" s="116" t="n">
        <v>40.896</v>
      </c>
      <c r="E23" s="118" t="n">
        <v>0.407031</v>
      </c>
      <c r="F23" s="116" t="n">
        <v>37.85</v>
      </c>
      <c r="G23" s="117" t="n">
        <v>0.377605</v>
      </c>
      <c r="H23" s="119" t="n">
        <v>40.1</v>
      </c>
      <c r="I23" s="117" t="n">
        <v>0.400763</v>
      </c>
      <c r="J23" s="119" t="n">
        <v>35.5</v>
      </c>
      <c r="K23" s="117" t="n">
        <v>0.353117</v>
      </c>
      <c r="L23" s="116" t="n">
        <v>39.9</v>
      </c>
      <c r="M23" s="117" t="n">
        <v>0.398764</v>
      </c>
      <c r="N23" s="119" t="n">
        <v>36.3</v>
      </c>
      <c r="O23" s="117" t="n">
        <v>0.362785</v>
      </c>
      <c r="P23" s="120">
        <f>C23-G23</f>
        <v/>
      </c>
      <c r="Q23" s="120">
        <f>E23-C23</f>
        <v/>
      </c>
      <c r="R23" s="120">
        <f>C23-M23</f>
        <v/>
      </c>
      <c r="S23" s="120">
        <f>C23-O23</f>
        <v/>
      </c>
      <c r="T23" s="120">
        <f>E23-O23</f>
        <v/>
      </c>
      <c r="U23" s="120">
        <f>G23-O23</f>
        <v/>
      </c>
      <c r="V23" s="120">
        <f>G23-K23</f>
        <v/>
      </c>
      <c r="W23" s="120">
        <f>C23-K23</f>
        <v/>
      </c>
      <c r="X23" s="120">
        <f>I23-G23</f>
        <v/>
      </c>
      <c r="Y23" s="121">
        <f>G23-M23</f>
        <v/>
      </c>
    </row>
    <row r="24" customFormat="1" s="66">
      <c r="A24" s="115" t="n">
        <v>45288</v>
      </c>
      <c r="B24" s="116" t="n">
        <v>38.319</v>
      </c>
      <c r="C24" s="117" t="n">
        <v>0.381393</v>
      </c>
      <c r="D24" s="116" t="n">
        <v>39.601</v>
      </c>
      <c r="E24" s="118" t="n">
        <v>0.394153</v>
      </c>
      <c r="F24" s="116" t="n">
        <v>37.6</v>
      </c>
      <c r="G24" s="117" t="n">
        <v>0.375116</v>
      </c>
      <c r="H24" s="119" t="n">
        <v>39.99</v>
      </c>
      <c r="I24" s="117" t="n">
        <v>0.399665</v>
      </c>
      <c r="J24" s="119" t="n">
        <v>34.99</v>
      </c>
      <c r="K24" s="117" t="n">
        <v>0.348055</v>
      </c>
      <c r="L24" s="116" t="n">
        <v>39.149</v>
      </c>
      <c r="M24" s="117" t="n">
        <v>0.39126</v>
      </c>
      <c r="N24" s="119" t="n">
        <v>35.75</v>
      </c>
      <c r="O24" s="117" t="n">
        <v>0.35729</v>
      </c>
      <c r="P24" s="120">
        <f>C24-G24</f>
        <v/>
      </c>
      <c r="Q24" s="120">
        <f>E24-C24</f>
        <v/>
      </c>
      <c r="R24" s="120">
        <f>C24-M24</f>
        <v/>
      </c>
      <c r="S24" s="120">
        <f>C24-O24</f>
        <v/>
      </c>
      <c r="T24" s="120">
        <f>E24-O24</f>
        <v/>
      </c>
      <c r="U24" s="120">
        <f>G24-O24</f>
        <v/>
      </c>
      <c r="V24" s="120">
        <f>G24-K24</f>
        <v/>
      </c>
      <c r="W24" s="120">
        <f>C24-K24</f>
        <v/>
      </c>
      <c r="X24" s="120">
        <f>I24-G24</f>
        <v/>
      </c>
      <c r="Y24" s="121">
        <f>G24-M24</f>
        <v/>
      </c>
    </row>
    <row r="25" customFormat="1" s="66">
      <c r="A25" s="115" t="n">
        <v>45287</v>
      </c>
      <c r="B25" s="116" t="n">
        <v>38.5</v>
      </c>
      <c r="C25" s="117" t="n">
        <v>0.383205</v>
      </c>
      <c r="D25" s="116" t="n">
        <v>40.58</v>
      </c>
      <c r="E25" s="118" t="n">
        <v>0.403908</v>
      </c>
      <c r="F25" s="116" t="n">
        <v>38.3</v>
      </c>
      <c r="G25" s="117" t="n">
        <v>0.382105</v>
      </c>
      <c r="H25" s="119" t="n">
        <v>40.8</v>
      </c>
      <c r="I25" s="117" t="n">
        <v>0.407761</v>
      </c>
      <c r="J25" s="119" t="n">
        <v>35.6</v>
      </c>
      <c r="K25" s="117" t="n">
        <v>0.354134</v>
      </c>
      <c r="L25" s="116" t="n">
        <v>39.63</v>
      </c>
      <c r="M25" s="117" t="n">
        <v>0.396068</v>
      </c>
      <c r="N25" s="119" t="n">
        <v>36.76</v>
      </c>
      <c r="O25" s="117" t="n">
        <v>0.367385</v>
      </c>
      <c r="P25" s="120">
        <f>C25-G25</f>
        <v/>
      </c>
      <c r="Q25" s="120">
        <f>E25-C25</f>
        <v/>
      </c>
      <c r="R25" s="120">
        <f>C25-M25</f>
        <v/>
      </c>
      <c r="S25" s="120">
        <f>C25-O25</f>
        <v/>
      </c>
      <c r="T25" s="120">
        <f>E25-O25</f>
        <v/>
      </c>
      <c r="U25" s="120">
        <f>G25-O25</f>
        <v/>
      </c>
      <c r="V25" s="120">
        <f>G25-K25</f>
        <v/>
      </c>
      <c r="W25" s="120">
        <f>C25-K25</f>
        <v/>
      </c>
      <c r="X25" s="120">
        <f>I25-G25</f>
        <v/>
      </c>
      <c r="Y25" s="121">
        <f>G25-M25</f>
        <v/>
      </c>
    </row>
    <row r="26" customFormat="1" s="66">
      <c r="A26" s="115" t="n">
        <v>45286</v>
      </c>
      <c r="B26" s="116" t="n">
        <v>38.79</v>
      </c>
      <c r="C26" s="117" t="n">
        <v>0.386102</v>
      </c>
      <c r="D26" s="116" t="n">
        <v>41</v>
      </c>
      <c r="E26" s="118" t="n">
        <v>0.408099</v>
      </c>
      <c r="F26" s="116" t="n">
        <v>38.62</v>
      </c>
      <c r="G26" s="117" t="n">
        <v>0.385303</v>
      </c>
      <c r="H26" s="119" t="n">
        <v>41.279</v>
      </c>
      <c r="I26" s="117" t="n">
        <v>0.41255</v>
      </c>
      <c r="J26" s="119" t="n">
        <v>36.38</v>
      </c>
      <c r="K26" s="117" t="n">
        <v>0.361904</v>
      </c>
      <c r="L26" s="116" t="n">
        <v>40.2</v>
      </c>
      <c r="M26" s="117" t="n">
        <v>0.401766</v>
      </c>
      <c r="N26" s="119" t="n">
        <v>37.25</v>
      </c>
      <c r="O26" s="117" t="n">
        <v>0.372283</v>
      </c>
      <c r="P26" s="120">
        <f>C26-G26</f>
        <v/>
      </c>
      <c r="Q26" s="120">
        <f>E26-C26</f>
        <v/>
      </c>
      <c r="R26" s="120">
        <f>C26-M26</f>
        <v/>
      </c>
      <c r="S26" s="120">
        <f>C26-O26</f>
        <v/>
      </c>
      <c r="T26" s="120">
        <f>E26-O26</f>
        <v/>
      </c>
      <c r="U26" s="120">
        <f>G26-O26</f>
        <v/>
      </c>
      <c r="V26" s="120">
        <f>G26-K26</f>
        <v/>
      </c>
      <c r="W26" s="120">
        <f>C26-K26</f>
        <v/>
      </c>
      <c r="X26" s="120">
        <f>I26-G26</f>
        <v/>
      </c>
      <c r="Y26" s="121">
        <f>G26-M26</f>
        <v/>
      </c>
    </row>
    <row r="27" customFormat="1" s="66">
      <c r="A27" s="115" t="n">
        <v>45282</v>
      </c>
      <c r="B27" s="116" t="n">
        <v>38.91</v>
      </c>
      <c r="C27" s="117" t="n">
        <v>0.387338</v>
      </c>
      <c r="D27" s="116" t="n">
        <v>41</v>
      </c>
      <c r="E27" s="118" t="n">
        <v>0.408144</v>
      </c>
      <c r="F27" s="116" t="n">
        <v>38.51</v>
      </c>
      <c r="G27" s="117" t="n">
        <v>0.384226</v>
      </c>
      <c r="H27" s="119" t="n">
        <v>41.289</v>
      </c>
      <c r="I27" s="117" t="n">
        <v>0.412655</v>
      </c>
      <c r="J27" s="119" t="n">
        <v>36.44</v>
      </c>
      <c r="K27" s="117" t="n">
        <v>0.362545</v>
      </c>
      <c r="L27" s="116" t="n">
        <v>40.1</v>
      </c>
      <c r="M27" s="117" t="n">
        <v>0.400772</v>
      </c>
      <c r="N27" s="119" t="n">
        <v>36.501</v>
      </c>
      <c r="O27" s="117" t="n">
        <v>0.364803</v>
      </c>
      <c r="P27" s="120">
        <f>C27-G27</f>
        <v/>
      </c>
      <c r="Q27" s="120">
        <f>E27-C27</f>
        <v/>
      </c>
      <c r="R27" s="120">
        <f>C27-M27</f>
        <v/>
      </c>
      <c r="S27" s="120">
        <f>C27-O27</f>
        <v/>
      </c>
      <c r="T27" s="120">
        <f>E27-O27</f>
        <v/>
      </c>
      <c r="U27" s="120">
        <f>G27-O27</f>
        <v/>
      </c>
      <c r="V27" s="120">
        <f>G27-K27</f>
        <v/>
      </c>
      <c r="W27" s="120">
        <f>C27-K27</f>
        <v/>
      </c>
      <c r="X27" s="120">
        <f>I27-G27</f>
        <v/>
      </c>
      <c r="Y27" s="121">
        <f>G27-M27</f>
        <v/>
      </c>
    </row>
    <row r="28" customFormat="1" s="66">
      <c r="A28" s="115" t="n">
        <v>45281</v>
      </c>
      <c r="B28" s="116" t="n">
        <v>38.85</v>
      </c>
      <c r="C28" s="117" t="n">
        <v>0.386752</v>
      </c>
      <c r="D28" s="116" t="n">
        <v>40.9</v>
      </c>
      <c r="E28" s="118" t="n">
        <v>0.407159</v>
      </c>
      <c r="F28" s="116" t="n">
        <v>38.7</v>
      </c>
      <c r="G28" s="117" t="n">
        <v>0.386127</v>
      </c>
      <c r="H28" s="119" t="n">
        <v>40.9</v>
      </c>
      <c r="I28" s="117" t="n">
        <v>0.408769</v>
      </c>
      <c r="J28" s="119" t="n">
        <v>35.4</v>
      </c>
      <c r="K28" s="117" t="n">
        <v>0.352209</v>
      </c>
      <c r="L28" s="116" t="n">
        <v>39.5</v>
      </c>
      <c r="M28" s="117" t="n">
        <v>0.394777</v>
      </c>
      <c r="N28" s="119" t="n">
        <v>36.2</v>
      </c>
      <c r="O28" s="117" t="n">
        <v>0.361796</v>
      </c>
      <c r="P28" s="120">
        <f>C28-G28</f>
        <v/>
      </c>
      <c r="Q28" s="120">
        <f>E28-C28</f>
        <v/>
      </c>
      <c r="R28" s="120">
        <f>C28-M28</f>
        <v/>
      </c>
      <c r="S28" s="120">
        <f>C28-O28</f>
        <v/>
      </c>
      <c r="T28" s="120">
        <f>E28-O28</f>
        <v/>
      </c>
      <c r="U28" s="120">
        <f>G28-O28</f>
        <v/>
      </c>
      <c r="V28" s="120">
        <f>G28-K28</f>
        <v/>
      </c>
      <c r="W28" s="120">
        <f>C28-K28</f>
        <v/>
      </c>
      <c r="X28" s="120">
        <f>I28-G28</f>
        <v/>
      </c>
      <c r="Y28" s="121">
        <f>G28-M28</f>
        <v/>
      </c>
    </row>
    <row r="29" customFormat="1" s="66">
      <c r="A29" s="115" t="n">
        <v>45280</v>
      </c>
      <c r="B29" s="116" t="n">
        <v>38.605</v>
      </c>
      <c r="C29" s="117" t="n">
        <v>0.384323</v>
      </c>
      <c r="D29" s="116" t="n">
        <v>40.251</v>
      </c>
      <c r="E29" s="118" t="n">
        <v>0.40071</v>
      </c>
      <c r="F29" s="116" t="n">
        <v>38.64</v>
      </c>
      <c r="G29" s="117" t="n">
        <v>0.385534</v>
      </c>
      <c r="H29" s="119" t="n">
        <v>40.9</v>
      </c>
      <c r="I29" s="117" t="n">
        <v>0.40877</v>
      </c>
      <c r="J29" s="119" t="n">
        <v>35.2</v>
      </c>
      <c r="K29" s="117" t="n">
        <v>0.35023</v>
      </c>
      <c r="L29" s="116" t="n">
        <v>39.2</v>
      </c>
      <c r="M29" s="117" t="n">
        <v>0.39178</v>
      </c>
      <c r="N29" s="119" t="n">
        <v>35.49</v>
      </c>
      <c r="O29" s="117" t="n">
        <v>0.354701</v>
      </c>
      <c r="P29" s="120">
        <f>C29-G29</f>
        <v/>
      </c>
      <c r="Q29" s="120">
        <f>E29-C29</f>
        <v/>
      </c>
      <c r="R29" s="120">
        <f>C29-M29</f>
        <v/>
      </c>
      <c r="S29" s="120">
        <f>C29-O29</f>
        <v/>
      </c>
      <c r="T29" s="120">
        <f>E29-O29</f>
        <v/>
      </c>
      <c r="U29" s="120">
        <f>G29-O29</f>
        <v/>
      </c>
      <c r="V29" s="120">
        <f>G29-K29</f>
        <v/>
      </c>
      <c r="W29" s="120">
        <f>C29-K29</f>
        <v/>
      </c>
      <c r="X29" s="120">
        <f>I29-G29</f>
        <v/>
      </c>
      <c r="Y29" s="121">
        <f>G29-M29</f>
        <v/>
      </c>
    </row>
    <row r="30" customFormat="1" s="66">
      <c r="A30" s="115" t="n">
        <v>45279</v>
      </c>
      <c r="B30" s="116" t="n">
        <v>39.4</v>
      </c>
      <c r="C30" s="117" t="n">
        <v>0.392248</v>
      </c>
      <c r="D30" s="116" t="n">
        <v>40.51</v>
      </c>
      <c r="E30" s="118" t="n">
        <v>0.403299</v>
      </c>
      <c r="F30" s="116" t="n">
        <v>38.4</v>
      </c>
      <c r="G30" s="117" t="n">
        <v>0.383144</v>
      </c>
      <c r="H30" s="119" t="n">
        <v>40.92</v>
      </c>
      <c r="I30" s="117" t="n">
        <v>0.408972</v>
      </c>
      <c r="J30" s="119" t="n">
        <v>35.5</v>
      </c>
      <c r="K30" s="117" t="n">
        <v>0.353225</v>
      </c>
      <c r="L30" s="116" t="n">
        <v>39.8</v>
      </c>
      <c r="M30" s="117" t="n">
        <v>0.397778</v>
      </c>
      <c r="N30" s="119" t="n">
        <v>35.85</v>
      </c>
      <c r="O30" s="117" t="n">
        <v>0.3583</v>
      </c>
      <c r="P30" s="120">
        <f>C30-G30</f>
        <v/>
      </c>
      <c r="Q30" s="120">
        <f>E30-C30</f>
        <v/>
      </c>
      <c r="R30" s="120">
        <f>C30-M30</f>
        <v/>
      </c>
      <c r="S30" s="120">
        <f>C30-O30</f>
        <v/>
      </c>
      <c r="T30" s="120">
        <f>E30-O30</f>
        <v/>
      </c>
      <c r="U30" s="120">
        <f>G30-O30</f>
        <v/>
      </c>
      <c r="V30" s="120">
        <f>G30-K30</f>
        <v/>
      </c>
      <c r="W30" s="120">
        <f>C30-K30</f>
        <v/>
      </c>
      <c r="X30" s="120">
        <f>I30-G30</f>
        <v/>
      </c>
      <c r="Y30" s="121">
        <f>G30-M30</f>
        <v/>
      </c>
    </row>
    <row r="31" customFormat="1" s="66">
      <c r="A31" s="115" t="n">
        <v>45278</v>
      </c>
      <c r="B31" s="116" t="n">
        <v>39.9</v>
      </c>
      <c r="C31" s="117" t="n">
        <v>0.397237</v>
      </c>
      <c r="D31" s="116" t="n">
        <v>41.5</v>
      </c>
      <c r="E31" s="118" t="n">
        <v>0.413166</v>
      </c>
      <c r="F31" s="116" t="n">
        <v>40</v>
      </c>
      <c r="G31" s="117" t="n">
        <v>0.399114</v>
      </c>
      <c r="H31" s="119" t="n">
        <v>41.403</v>
      </c>
      <c r="I31" s="117" t="n">
        <v>0.4138</v>
      </c>
      <c r="J31" s="119" t="n">
        <v>36.3</v>
      </c>
      <c r="K31" s="117" t="n">
        <v>0.361196</v>
      </c>
      <c r="L31" s="116" t="n">
        <v>40.2</v>
      </c>
      <c r="M31" s="117" t="n">
        <v>0.401777</v>
      </c>
      <c r="N31" s="119" t="n">
        <v>36.301</v>
      </c>
      <c r="O31" s="117" t="n">
        <v>0.362809</v>
      </c>
      <c r="P31" s="120">
        <f>C31-G31</f>
        <v/>
      </c>
      <c r="Q31" s="120">
        <f>E31-C31</f>
        <v/>
      </c>
      <c r="R31" s="120">
        <f>C31-M31</f>
        <v/>
      </c>
      <c r="S31" s="120">
        <f>C31-O31</f>
        <v/>
      </c>
      <c r="T31" s="120">
        <f>E31-O31</f>
        <v/>
      </c>
      <c r="U31" s="120">
        <f>G31-O31</f>
        <v/>
      </c>
      <c r="V31" s="120">
        <f>G31-K31</f>
        <v/>
      </c>
      <c r="W31" s="120">
        <f>C31-K31</f>
        <v/>
      </c>
      <c r="X31" s="120">
        <f>I31-G31</f>
        <v/>
      </c>
      <c r="Y31" s="121">
        <f>G31-M31</f>
        <v/>
      </c>
    </row>
    <row r="32" customFormat="1" s="66">
      <c r="A32" s="115" t="n">
        <v>45278</v>
      </c>
      <c r="B32" s="116" t="n">
        <v>39.9</v>
      </c>
      <c r="C32" s="117" t="n">
        <v>0.397237</v>
      </c>
      <c r="D32" s="116" t="n">
        <v>41.5</v>
      </c>
      <c r="E32" s="118" t="n">
        <v>0.413166</v>
      </c>
      <c r="F32" s="116" t="n">
        <v>40</v>
      </c>
      <c r="G32" s="117" t="n">
        <v>0.399114</v>
      </c>
      <c r="H32" s="119" t="n">
        <v>41.403</v>
      </c>
      <c r="I32" s="117" t="n">
        <v>0.4138</v>
      </c>
      <c r="J32" s="119" t="n">
        <v>36.3</v>
      </c>
      <c r="K32" s="117" t="n">
        <v>0.361196</v>
      </c>
      <c r="L32" s="116" t="n">
        <v>40.2</v>
      </c>
      <c r="M32" s="117" t="n">
        <v>0.401777</v>
      </c>
      <c r="N32" s="119" t="n">
        <v>36.301</v>
      </c>
      <c r="O32" s="117" t="n">
        <v>0.362809</v>
      </c>
      <c r="P32" s="120">
        <f>C32-G32</f>
        <v/>
      </c>
      <c r="Q32" s="120">
        <f>E32-C32</f>
        <v/>
      </c>
      <c r="R32" s="120">
        <f>C32-M32</f>
        <v/>
      </c>
      <c r="S32" s="120">
        <f>C32-O32</f>
        <v/>
      </c>
      <c r="T32" s="120">
        <f>E32-O32</f>
        <v/>
      </c>
      <c r="U32" s="120">
        <f>G32-O32</f>
        <v/>
      </c>
      <c r="V32" s="120">
        <f>G32-K32</f>
        <v/>
      </c>
      <c r="W32" s="120">
        <f>C32-K32</f>
        <v/>
      </c>
      <c r="X32" s="120">
        <f>I32-G32</f>
        <v/>
      </c>
      <c r="Y32" s="121">
        <f>G32-M32</f>
        <v/>
      </c>
    </row>
    <row r="33" customFormat="1" s="66">
      <c r="A33" s="115" t="n">
        <v>45275</v>
      </c>
      <c r="B33" s="116" t="n">
        <v>39.497</v>
      </c>
      <c r="C33" s="117" t="n">
        <v>0.393257</v>
      </c>
      <c r="D33" s="116" t="n">
        <v>41.4</v>
      </c>
      <c r="E33" s="118" t="n">
        <v>0.412204</v>
      </c>
      <c r="F33" s="116" t="n">
        <v>38.65</v>
      </c>
      <c r="G33" s="117" t="n">
        <v>0.38566</v>
      </c>
      <c r="H33" s="119" t="n">
        <v>41.46</v>
      </c>
      <c r="I33" s="117" t="n">
        <v>0.414374</v>
      </c>
      <c r="J33" s="119" t="n">
        <v>35.8</v>
      </c>
      <c r="K33" s="117" t="n">
        <v>0.356254</v>
      </c>
      <c r="L33" s="116" t="n">
        <v>39.19</v>
      </c>
      <c r="M33" s="117" t="n">
        <v>0.391687</v>
      </c>
      <c r="N33" s="119" t="n">
        <v>36.75</v>
      </c>
      <c r="O33" s="117" t="n">
        <v>0.3673</v>
      </c>
      <c r="P33" s="120">
        <f>C33-G33</f>
        <v/>
      </c>
      <c r="Q33" s="120">
        <f>E33-C33</f>
        <v/>
      </c>
      <c r="R33" s="120">
        <f>C33-M33</f>
        <v/>
      </c>
      <c r="S33" s="120">
        <f>C33-O33</f>
        <v/>
      </c>
      <c r="T33" s="120">
        <f>E33-O33</f>
        <v/>
      </c>
      <c r="U33" s="120">
        <f>G33-O33</f>
        <v/>
      </c>
      <c r="V33" s="120">
        <f>G33-K33</f>
        <v/>
      </c>
      <c r="W33" s="120">
        <f>C33-K33</f>
        <v/>
      </c>
      <c r="X33" s="120">
        <f>I33-G33</f>
        <v/>
      </c>
      <c r="Y33" s="121">
        <f>G33-M33</f>
        <v/>
      </c>
    </row>
    <row r="34" customFormat="1" s="66">
      <c r="A34" s="115" t="n">
        <v>45274</v>
      </c>
      <c r="B34" s="116" t="n">
        <v>39.5</v>
      </c>
      <c r="C34" s="117" t="n">
        <v>0.393298</v>
      </c>
      <c r="D34" s="116" t="n">
        <v>41.44</v>
      </c>
      <c r="E34" s="118" t="n">
        <v>0.412614</v>
      </c>
      <c r="F34" s="116" t="n">
        <v>39.49</v>
      </c>
      <c r="G34" s="117" t="n">
        <v>0.394047</v>
      </c>
      <c r="H34" s="119" t="n">
        <v>42.78</v>
      </c>
      <c r="I34" s="117" t="n">
        <v>0.427569</v>
      </c>
      <c r="J34" s="119" t="n">
        <v>36.14</v>
      </c>
      <c r="K34" s="117" t="n">
        <v>0.359649</v>
      </c>
      <c r="L34" s="116" t="n">
        <v>39.5</v>
      </c>
      <c r="M34" s="117" t="n">
        <v>0.394786</v>
      </c>
      <c r="N34" s="119" t="n">
        <v>36.9</v>
      </c>
      <c r="O34" s="117" t="n">
        <v>0.3688</v>
      </c>
      <c r="P34" s="120">
        <f>C34-G34</f>
        <v/>
      </c>
      <c r="Q34" s="120">
        <f>E34-C34</f>
        <v/>
      </c>
      <c r="R34" s="120">
        <f>C34-M34</f>
        <v/>
      </c>
      <c r="S34" s="120">
        <f>C34-O34</f>
        <v/>
      </c>
      <c r="T34" s="120">
        <f>E34-O34</f>
        <v/>
      </c>
      <c r="U34" s="120">
        <f>G34-O34</f>
        <v/>
      </c>
      <c r="V34" s="120">
        <f>G34-K34</f>
        <v/>
      </c>
      <c r="W34" s="120">
        <f>C34-K34</f>
        <v/>
      </c>
      <c r="X34" s="120">
        <f>I34-G34</f>
        <v/>
      </c>
      <c r="Y34" s="121">
        <f>G34-M34</f>
        <v/>
      </c>
    </row>
    <row r="35" customFormat="1" s="66">
      <c r="A35" s="115" t="n">
        <v>45273</v>
      </c>
      <c r="B35" s="116" t="n">
        <v>39</v>
      </c>
      <c r="C35" s="117" t="n">
        <v>0.38833</v>
      </c>
      <c r="D35" s="116" t="n">
        <v>40.8</v>
      </c>
      <c r="E35" s="118" t="n">
        <v>0.406253</v>
      </c>
      <c r="F35" s="116" t="n">
        <v>38.15</v>
      </c>
      <c r="G35" s="117" t="n">
        <v>0.380681</v>
      </c>
      <c r="H35" s="119" t="n">
        <v>41.54</v>
      </c>
      <c r="I35" s="117" t="n">
        <v>0.415177</v>
      </c>
      <c r="J35" s="119" t="n">
        <v>35.8</v>
      </c>
      <c r="K35" s="117" t="n">
        <v>0.356276</v>
      </c>
      <c r="L35" s="116" t="n">
        <v>38.48</v>
      </c>
      <c r="M35" s="117" t="n">
        <v>0.384593</v>
      </c>
      <c r="N35" s="119" t="n">
        <v>36</v>
      </c>
      <c r="O35" s="117" t="n">
        <v>0.359807</v>
      </c>
      <c r="P35" s="120">
        <f>C35-G35</f>
        <v/>
      </c>
      <c r="Q35" s="120">
        <f>E35-C35</f>
        <v/>
      </c>
      <c r="R35" s="120">
        <f>C35-M35</f>
        <v/>
      </c>
      <c r="S35" s="120">
        <f>C35-O35</f>
        <v/>
      </c>
      <c r="T35" s="120">
        <f>E35-O35</f>
        <v/>
      </c>
      <c r="U35" s="120">
        <f>G35-O35</f>
        <v/>
      </c>
      <c r="V35" s="120">
        <f>G35-K35</f>
        <v/>
      </c>
      <c r="W35" s="120">
        <f>C35-K35</f>
        <v/>
      </c>
      <c r="X35" s="120">
        <f>I35-G35</f>
        <v/>
      </c>
      <c r="Y35" s="121">
        <f>G35-M35</f>
        <v/>
      </c>
    </row>
    <row r="36" customFormat="1" s="66">
      <c r="A36" s="115" t="n">
        <v>45272</v>
      </c>
      <c r="B36" s="116" t="n">
        <v>38.5</v>
      </c>
      <c r="C36" s="117" t="n">
        <v>0.383362</v>
      </c>
      <c r="D36" s="116" t="n">
        <v>39.55</v>
      </c>
      <c r="E36" s="118" t="n">
        <v>0.393817</v>
      </c>
      <c r="F36" s="116" t="n">
        <v>36.86</v>
      </c>
      <c r="G36" s="117" t="n">
        <v>0.367814</v>
      </c>
      <c r="H36" s="119" t="n">
        <v>41.45</v>
      </c>
      <c r="I36" s="117" t="n">
        <v>0.414279</v>
      </c>
      <c r="J36" s="119" t="n">
        <v>35.1</v>
      </c>
      <c r="K36" s="117" t="n">
        <v>0.34932</v>
      </c>
      <c r="L36" s="116" t="n">
        <v>37.9</v>
      </c>
      <c r="M36" s="117" t="n">
        <v>0.378798</v>
      </c>
      <c r="N36" s="119" t="n">
        <v>35.75</v>
      </c>
      <c r="O36" s="117" t="n">
        <v>0.357309</v>
      </c>
      <c r="P36" s="120">
        <f>C36-G36</f>
        <v/>
      </c>
      <c r="Q36" s="120">
        <f>E36-C36</f>
        <v/>
      </c>
      <c r="R36" s="120">
        <f>C36-M36</f>
        <v/>
      </c>
      <c r="S36" s="120">
        <f>C36-O36</f>
        <v/>
      </c>
      <c r="T36" s="120">
        <f>E36-O36</f>
        <v/>
      </c>
      <c r="U36" s="120">
        <f>G36-O36</f>
        <v/>
      </c>
      <c r="V36" s="120">
        <f>G36-K36</f>
        <v/>
      </c>
      <c r="W36" s="120">
        <f>C36-K36</f>
        <v/>
      </c>
      <c r="X36" s="120">
        <f>I36-G36</f>
        <v/>
      </c>
      <c r="Y36" s="121">
        <f>G36-M36</f>
        <v/>
      </c>
    </row>
    <row r="37" customFormat="1" s="66">
      <c r="A37" s="115" t="n">
        <v>45271</v>
      </c>
      <c r="B37" s="116" t="n">
        <v>38</v>
      </c>
      <c r="C37" s="117" t="n">
        <v>0.378393</v>
      </c>
      <c r="D37" s="116" t="n">
        <v>38.9</v>
      </c>
      <c r="E37" s="118" t="n">
        <v>0.387355</v>
      </c>
      <c r="F37" s="116" t="n">
        <v>36.42</v>
      </c>
      <c r="G37" s="117" t="n">
        <v>0.363428</v>
      </c>
      <c r="H37" s="119" t="n">
        <v>40.16</v>
      </c>
      <c r="I37" s="117" t="n">
        <v>0.401387</v>
      </c>
      <c r="J37" s="119" t="n">
        <v>34.9</v>
      </c>
      <c r="K37" s="117" t="n">
        <v>0.347341</v>
      </c>
      <c r="L37" s="116" t="n">
        <v>36.999</v>
      </c>
      <c r="M37" s="117" t="n">
        <v>0.369794</v>
      </c>
      <c r="N37" s="119" t="n">
        <v>34.5</v>
      </c>
      <c r="O37" s="117" t="n">
        <v>0.344817</v>
      </c>
      <c r="P37" s="120">
        <f>C37-G37</f>
        <v/>
      </c>
      <c r="Q37" s="120">
        <f>E37-C37</f>
        <v/>
      </c>
      <c r="R37" s="120">
        <f>C37-M37</f>
        <v/>
      </c>
      <c r="S37" s="120">
        <f>C37-O37</f>
        <v/>
      </c>
      <c r="T37" s="120">
        <f>E37-O37</f>
        <v/>
      </c>
      <c r="U37" s="120">
        <f>G37-O37</f>
        <v/>
      </c>
      <c r="V37" s="120">
        <f>G37-K37</f>
        <v/>
      </c>
      <c r="W37" s="120">
        <f>C37-K37</f>
        <v/>
      </c>
      <c r="X37" s="120">
        <f>I37-G37</f>
        <v/>
      </c>
      <c r="Y37" s="121">
        <f>G37-M37</f>
        <v/>
      </c>
    </row>
    <row r="38" customFormat="1" s="66">
      <c r="A38" s="115" t="n">
        <v>45267</v>
      </c>
      <c r="B38" s="116" t="n">
        <v>37.37</v>
      </c>
      <c r="C38" s="117" t="n">
        <v>0.37216</v>
      </c>
      <c r="D38" s="116" t="n">
        <v>39.11</v>
      </c>
      <c r="E38" s="118" t="n">
        <v>0.389489</v>
      </c>
      <c r="F38" s="116" t="n">
        <v>37.15</v>
      </c>
      <c r="G38" s="117" t="n">
        <v>0.370733</v>
      </c>
      <c r="H38" s="119" t="n">
        <v>40.39</v>
      </c>
      <c r="I38" s="117" t="n">
        <v>0.403691</v>
      </c>
      <c r="J38" s="119" t="n">
        <v>35</v>
      </c>
      <c r="K38" s="117" t="n">
        <v>0.348379</v>
      </c>
      <c r="L38" s="116" t="n">
        <v>37.1</v>
      </c>
      <c r="M38" s="117" t="n">
        <v>0.370808</v>
      </c>
      <c r="N38" s="119" t="n">
        <v>34</v>
      </c>
      <c r="O38" s="117" t="n">
        <v>0.339824</v>
      </c>
      <c r="P38" s="120">
        <f>C38-G38</f>
        <v/>
      </c>
      <c r="Q38" s="120">
        <f>E38-C38</f>
        <v/>
      </c>
      <c r="R38" s="120">
        <f>C38-M38</f>
        <v/>
      </c>
      <c r="S38" s="120">
        <f>C38-O38</f>
        <v/>
      </c>
      <c r="T38" s="120">
        <f>E38-O38</f>
        <v/>
      </c>
      <c r="U38" s="120">
        <f>G38-O38</f>
        <v/>
      </c>
      <c r="V38" s="120">
        <f>G38-K38</f>
        <v/>
      </c>
      <c r="W38" s="120">
        <f>C38-K38</f>
        <v/>
      </c>
      <c r="X38" s="120">
        <f>I38-G38</f>
        <v/>
      </c>
      <c r="Y38" s="121">
        <f>G38-M38</f>
        <v/>
      </c>
    </row>
    <row r="39" customFormat="1" s="66">
      <c r="A39" s="115" t="n">
        <v>45266</v>
      </c>
      <c r="B39" s="116" t="n">
        <v>36.9</v>
      </c>
      <c r="C39" s="117" t="n">
        <v>0.36749</v>
      </c>
      <c r="D39" s="116" t="n">
        <v>38.63</v>
      </c>
      <c r="E39" s="118" t="n">
        <v>0.384719</v>
      </c>
      <c r="F39" s="116" t="n">
        <v>37</v>
      </c>
      <c r="G39" s="117" t="n">
        <v>0.369241</v>
      </c>
      <c r="H39" s="119" t="n">
        <v>40.4</v>
      </c>
      <c r="I39" s="117" t="n">
        <v>0.403793</v>
      </c>
      <c r="J39" s="119" t="n">
        <v>34.42</v>
      </c>
      <c r="K39" s="117" t="n">
        <v>0.342616</v>
      </c>
      <c r="L39" s="116" t="n">
        <v>37.1</v>
      </c>
      <c r="M39" s="117" t="n">
        <v>0.37081</v>
      </c>
      <c r="N39" s="119" t="n">
        <v>33.601</v>
      </c>
      <c r="O39" s="117" t="n">
        <v>0.335837</v>
      </c>
      <c r="P39" s="120">
        <f>C39-G39</f>
        <v/>
      </c>
      <c r="Q39" s="120">
        <f>E39-C39</f>
        <v/>
      </c>
      <c r="R39" s="120">
        <f>C39-M39</f>
        <v/>
      </c>
      <c r="S39" s="120">
        <f>C39-O39</f>
        <v/>
      </c>
      <c r="T39" s="120">
        <f>E39-O39</f>
        <v/>
      </c>
      <c r="U39" s="120">
        <f>G39-O39</f>
        <v/>
      </c>
      <c r="V39" s="120">
        <f>G39-K39</f>
        <v/>
      </c>
      <c r="W39" s="120">
        <f>C39-K39</f>
        <v/>
      </c>
      <c r="X39" s="120">
        <f>I39-G39</f>
        <v/>
      </c>
      <c r="Y39" s="121">
        <f>G39-M39</f>
        <v/>
      </c>
    </row>
    <row r="40" customFormat="1" s="66">
      <c r="A40" s="115" t="n">
        <v>45265</v>
      </c>
      <c r="B40" s="116" t="n">
        <v>35.7</v>
      </c>
      <c r="C40" s="117" t="n">
        <v>0.355549</v>
      </c>
      <c r="D40" s="116" t="n">
        <v>38.35</v>
      </c>
      <c r="E40" s="118" t="n">
        <v>0.381941</v>
      </c>
      <c r="F40" s="116" t="n">
        <v>35.4</v>
      </c>
      <c r="G40" s="117" t="n">
        <v>0.353279</v>
      </c>
      <c r="H40" s="119" t="n">
        <v>39.53</v>
      </c>
      <c r="I40" s="117" t="n">
        <v>0.395098</v>
      </c>
      <c r="J40" s="119" t="n">
        <v>33.55</v>
      </c>
      <c r="K40" s="117" t="n">
        <v>0.333966</v>
      </c>
      <c r="L40" s="116" t="n">
        <v>36.3</v>
      </c>
      <c r="M40" s="117" t="n">
        <v>0.362815</v>
      </c>
      <c r="N40" s="119" t="n">
        <v>33.68</v>
      </c>
      <c r="O40" s="117" t="n">
        <v>0.336628</v>
      </c>
      <c r="P40" s="120">
        <f>C40-G40</f>
        <v/>
      </c>
      <c r="Q40" s="120">
        <f>E40-C40</f>
        <v/>
      </c>
      <c r="R40" s="120">
        <f>C40-M40</f>
        <v/>
      </c>
      <c r="S40" s="120">
        <f>C40-O40</f>
        <v/>
      </c>
      <c r="T40" s="120">
        <f>E40-O40</f>
        <v/>
      </c>
      <c r="U40" s="120">
        <f>G40-O40</f>
        <v/>
      </c>
      <c r="V40" s="120">
        <f>G40-K40</f>
        <v/>
      </c>
      <c r="W40" s="120">
        <f>C40-K40</f>
        <v/>
      </c>
      <c r="X40" s="120">
        <f>I40-G40</f>
        <v/>
      </c>
      <c r="Y40" s="121">
        <f>G40-M40</f>
        <v/>
      </c>
    </row>
    <row r="41" customFormat="1" s="66">
      <c r="A41" s="115" t="n">
        <v>45264</v>
      </c>
      <c r="B41" s="116" t="n">
        <v>35.15</v>
      </c>
      <c r="C41" s="117" t="n">
        <v>0.35008</v>
      </c>
      <c r="D41" s="116" t="n">
        <v>38</v>
      </c>
      <c r="E41" s="118" t="n">
        <v>0.378465</v>
      </c>
      <c r="F41" s="116" t="n">
        <v>34.83</v>
      </c>
      <c r="G41" s="117" t="n">
        <v>0.347595</v>
      </c>
      <c r="H41" s="119" t="n">
        <v>38.56</v>
      </c>
      <c r="I41" s="117" t="n">
        <v>0.385405</v>
      </c>
      <c r="J41" s="119" t="n">
        <v>32.6</v>
      </c>
      <c r="K41" s="117" t="n">
        <v>0.32452</v>
      </c>
      <c r="L41" s="116" t="n">
        <v>36.1</v>
      </c>
      <c r="M41" s="117" t="n">
        <v>0.360817</v>
      </c>
      <c r="N41" s="119" t="n">
        <v>32.99</v>
      </c>
      <c r="O41" s="117" t="n">
        <v>0.329733</v>
      </c>
      <c r="P41" s="120">
        <f>C41-G41</f>
        <v/>
      </c>
      <c r="Q41" s="120">
        <f>E41-C41</f>
        <v/>
      </c>
      <c r="R41" s="120">
        <f>C41-M41</f>
        <v/>
      </c>
      <c r="S41" s="120">
        <f>C41-O41</f>
        <v/>
      </c>
      <c r="T41" s="120">
        <f>E41-O41</f>
        <v/>
      </c>
      <c r="U41" s="120">
        <f>G41-O41</f>
        <v/>
      </c>
      <c r="V41" s="120">
        <f>G41-K41</f>
        <v/>
      </c>
      <c r="W41" s="120">
        <f>C41-K41</f>
        <v/>
      </c>
      <c r="X41" s="120">
        <f>I41-G41</f>
        <v/>
      </c>
      <c r="Y41" s="121">
        <f>G41-M41</f>
        <v/>
      </c>
    </row>
    <row r="42" customFormat="1" s="66">
      <c r="A42" s="115" t="n">
        <v>45261</v>
      </c>
      <c r="B42" s="116" t="n">
        <v>35.37</v>
      </c>
      <c r="C42" s="117" t="n">
        <v>0.3523</v>
      </c>
      <c r="D42" s="116" t="n">
        <v>36.6</v>
      </c>
      <c r="E42" s="118" t="n">
        <v>0.364552</v>
      </c>
      <c r="F42" s="116" t="n">
        <v>34.8</v>
      </c>
      <c r="G42" s="117" t="n">
        <v>0.34731</v>
      </c>
      <c r="H42" s="119" t="n">
        <v>38.89</v>
      </c>
      <c r="I42" s="117" t="n">
        <v>0.388707</v>
      </c>
      <c r="J42" s="119" t="n">
        <v>32.7</v>
      </c>
      <c r="K42" s="117" t="n">
        <v>0.325545</v>
      </c>
      <c r="L42" s="116" t="n">
        <v>36.39</v>
      </c>
      <c r="M42" s="117" t="n">
        <v>0.363719</v>
      </c>
      <c r="N42" s="119" t="n">
        <v>32.85</v>
      </c>
      <c r="O42" s="117" t="n">
        <v>0.328337</v>
      </c>
      <c r="P42" s="120">
        <f>C42-G42</f>
        <v/>
      </c>
      <c r="Q42" s="120">
        <f>E42-C42</f>
        <v/>
      </c>
      <c r="R42" s="120">
        <f>C42-M42</f>
        <v/>
      </c>
      <c r="S42" s="120">
        <f>C42-O42</f>
        <v/>
      </c>
      <c r="T42" s="120">
        <f>E42-O42</f>
        <v/>
      </c>
      <c r="U42" s="120">
        <f>G42-O42</f>
        <v/>
      </c>
      <c r="V42" s="120">
        <f>G42-K42</f>
        <v/>
      </c>
      <c r="W42" s="120">
        <f>C42-K42</f>
        <v/>
      </c>
      <c r="X42" s="120">
        <f>I42-G42</f>
        <v/>
      </c>
      <c r="Y42" s="121">
        <f>G42-M42</f>
        <v/>
      </c>
    </row>
    <row r="43" customFormat="1" s="66">
      <c r="A43" s="115" t="n">
        <v>45260</v>
      </c>
      <c r="B43" s="116" t="n">
        <v>35.3</v>
      </c>
      <c r="C43" s="117" t="n">
        <v>0.351613</v>
      </c>
      <c r="D43" s="116" t="n">
        <v>36.5</v>
      </c>
      <c r="E43" s="118" t="n">
        <v>0.363566</v>
      </c>
      <c r="F43" s="116" t="n">
        <v>34.8</v>
      </c>
      <c r="G43" s="117" t="n">
        <v>0.347315</v>
      </c>
      <c r="H43" s="119" t="n">
        <v>38.25</v>
      </c>
      <c r="I43" s="117" t="n">
        <v>0.382311</v>
      </c>
      <c r="J43" s="119" t="n">
        <v>32.99</v>
      </c>
      <c r="K43" s="117" t="n">
        <v>0.328442</v>
      </c>
      <c r="L43" s="116" t="n">
        <v>36.25</v>
      </c>
      <c r="M43" s="117" t="n">
        <v>0.362321</v>
      </c>
      <c r="N43" s="119" t="n">
        <v>33.01</v>
      </c>
      <c r="O43" s="117" t="n">
        <v>0.329937</v>
      </c>
      <c r="P43" s="120">
        <f>C43-G43</f>
        <v/>
      </c>
      <c r="Q43" s="120">
        <f>E43-C43</f>
        <v/>
      </c>
      <c r="R43" s="120">
        <f>C43-M43</f>
        <v/>
      </c>
      <c r="S43" s="120">
        <f>C43-O43</f>
        <v/>
      </c>
      <c r="T43" s="120">
        <f>E43-O43</f>
        <v/>
      </c>
      <c r="U43" s="120">
        <f>G43-O43</f>
        <v/>
      </c>
      <c r="V43" s="120">
        <f>G43-K43</f>
        <v/>
      </c>
      <c r="W43" s="120">
        <f>C43-K43</f>
        <v/>
      </c>
      <c r="X43" s="120">
        <f>I43-G43</f>
        <v/>
      </c>
      <c r="Y43" s="121">
        <f>G43-M43</f>
        <v/>
      </c>
      <c r="Z43" s="79" t="n"/>
    </row>
    <row r="44" customFormat="1" s="66">
      <c r="A44" s="115" t="n">
        <v>45259</v>
      </c>
      <c r="B44" s="116" t="n">
        <v>34.231</v>
      </c>
      <c r="C44" s="117" t="n">
        <v>0.340974</v>
      </c>
      <c r="D44" s="116" t="n">
        <v>37.1</v>
      </c>
      <c r="E44" s="118" t="n">
        <v>0.369552</v>
      </c>
      <c r="F44" s="116" t="n">
        <v>34.1</v>
      </c>
      <c r="G44" s="117" t="n">
        <v>0.340333</v>
      </c>
      <c r="H44" s="119" t="n">
        <v>37.105</v>
      </c>
      <c r="I44" s="117" t="n">
        <v>0.370868</v>
      </c>
      <c r="J44" s="119" t="n">
        <v>32.5</v>
      </c>
      <c r="K44" s="117" t="n">
        <v>0.323574</v>
      </c>
      <c r="L44" s="116" t="n">
        <v>35.6</v>
      </c>
      <c r="M44" s="117" t="n">
        <v>0.355826</v>
      </c>
      <c r="N44" s="119" t="n">
        <v>33.39</v>
      </c>
      <c r="O44" s="117" t="n">
        <v>0.333737</v>
      </c>
      <c r="P44" s="120">
        <f>C44-G44</f>
        <v/>
      </c>
      <c r="Q44" s="120">
        <f>E44-C44</f>
        <v/>
      </c>
      <c r="R44" s="120">
        <f>C44-M44</f>
        <v/>
      </c>
      <c r="S44" s="120">
        <f>C44-O44</f>
        <v/>
      </c>
      <c r="T44" s="120">
        <f>E44-O44</f>
        <v/>
      </c>
      <c r="U44" s="120">
        <f>G44-O44</f>
        <v/>
      </c>
      <c r="V44" s="120">
        <f>G44-K44</f>
        <v/>
      </c>
      <c r="W44" s="120">
        <f>C44-K44</f>
        <v/>
      </c>
      <c r="X44" s="120">
        <f>I44-G44</f>
        <v/>
      </c>
      <c r="Y44" s="121">
        <f>G44-M44</f>
        <v/>
      </c>
      <c r="Z44" s="79" t="n"/>
    </row>
    <row r="45" customFormat="1" s="66">
      <c r="A45" s="115" t="n">
        <v>45258</v>
      </c>
      <c r="B45" s="116" t="n">
        <v>33.5</v>
      </c>
      <c r="C45" s="117" t="n">
        <v>0.333702</v>
      </c>
      <c r="D45" s="116" t="n">
        <v>36</v>
      </c>
      <c r="E45" s="118" t="n">
        <v>0.358605</v>
      </c>
      <c r="F45" s="116" t="n">
        <v>33.55</v>
      </c>
      <c r="G45" s="117" t="n">
        <v>0.334849</v>
      </c>
      <c r="H45" s="119" t="n">
        <v>36.5</v>
      </c>
      <c r="I45" s="117" t="n">
        <v>0.364823</v>
      </c>
      <c r="J45" s="119" t="n">
        <v>32.3</v>
      </c>
      <c r="K45" s="117" t="n">
        <v>0.321592</v>
      </c>
      <c r="L45" s="116" t="n">
        <v>35.29</v>
      </c>
      <c r="M45" s="117" t="n">
        <v>0.352728</v>
      </c>
      <c r="N45" s="119" t="n">
        <v>32.94</v>
      </c>
      <c r="O45" s="117" t="n">
        <v>0.32924</v>
      </c>
      <c r="P45" s="120">
        <f>C45-G45</f>
        <v/>
      </c>
      <c r="Q45" s="120">
        <f>E45-C45</f>
        <v/>
      </c>
      <c r="R45" s="120">
        <f>C45-M45</f>
        <v/>
      </c>
      <c r="S45" s="120">
        <f>C45-O45</f>
        <v/>
      </c>
      <c r="T45" s="120">
        <f>E45-O45</f>
        <v/>
      </c>
      <c r="U45" s="120">
        <f>G45-O45</f>
        <v/>
      </c>
      <c r="V45" s="120">
        <f>G45-K45</f>
        <v/>
      </c>
      <c r="W45" s="120">
        <f>C45-K45</f>
        <v/>
      </c>
      <c r="X45" s="120">
        <f>I45-G45</f>
        <v/>
      </c>
      <c r="Y45" s="121">
        <f>G45-M45</f>
        <v/>
      </c>
      <c r="Z45" s="79" t="n"/>
    </row>
    <row r="46" customFormat="1" s="66">
      <c r="A46" s="115" t="n">
        <v>45257</v>
      </c>
      <c r="B46" s="116" t="n">
        <v>34.49</v>
      </c>
      <c r="C46" s="117" t="n">
        <v>0.343573</v>
      </c>
      <c r="D46" s="116" t="n">
        <v>36.11</v>
      </c>
      <c r="E46" s="118" t="n">
        <v>0.35971</v>
      </c>
      <c r="F46" s="116" t="n">
        <v>33.51</v>
      </c>
      <c r="G46" s="117" t="n">
        <v>0.334454</v>
      </c>
      <c r="H46" s="119" t="n">
        <v>37.8</v>
      </c>
      <c r="I46" s="117" t="n">
        <v>0.377818</v>
      </c>
      <c r="J46" s="119" t="n">
        <v>33</v>
      </c>
      <c r="K46" s="117" t="n">
        <v>0.328572</v>
      </c>
      <c r="L46" s="116" t="n">
        <v>36</v>
      </c>
      <c r="M46" s="117" t="n">
        <v>0.359826</v>
      </c>
      <c r="N46" s="119" t="n">
        <v>32.52</v>
      </c>
      <c r="O46" s="117" t="n">
        <v>0.325043</v>
      </c>
      <c r="P46" s="120">
        <f>C46-G46</f>
        <v/>
      </c>
      <c r="Q46" s="120">
        <f>E46-C46</f>
        <v/>
      </c>
      <c r="R46" s="120">
        <f>C46-M46</f>
        <v/>
      </c>
      <c r="S46" s="120">
        <f>C46-O46</f>
        <v/>
      </c>
      <c r="T46" s="120">
        <f>E46-O46</f>
        <v/>
      </c>
      <c r="U46" s="120">
        <f>G46-O46</f>
        <v/>
      </c>
      <c r="V46" s="120">
        <f>G46-K46</f>
        <v/>
      </c>
      <c r="W46" s="120">
        <f>C46-K46</f>
        <v/>
      </c>
      <c r="X46" s="120">
        <f>I46-G46</f>
        <v/>
      </c>
      <c r="Y46" s="121">
        <f>G46-M46</f>
        <v/>
      </c>
      <c r="Z46" s="79" t="n"/>
    </row>
    <row r="47" customFormat="1" s="66">
      <c r="A47" s="115" t="n">
        <v>45254</v>
      </c>
      <c r="B47" s="116" t="n">
        <v>33.7</v>
      </c>
      <c r="C47" s="117" t="n">
        <v>0.335731</v>
      </c>
      <c r="D47" s="116" t="n">
        <v>37.15</v>
      </c>
      <c r="E47" s="118" t="n">
        <v>0.370101</v>
      </c>
      <c r="F47" s="116" t="n">
        <v>33.45</v>
      </c>
      <c r="G47" s="117" t="n">
        <v>0.333869</v>
      </c>
      <c r="H47" s="119" t="n">
        <v>36.7</v>
      </c>
      <c r="I47" s="117" t="n">
        <v>0.366827</v>
      </c>
      <c r="J47" s="119" t="n">
        <v>32.7</v>
      </c>
      <c r="K47" s="117" t="n">
        <v>0.325615</v>
      </c>
      <c r="L47" s="116" t="n">
        <v>36</v>
      </c>
      <c r="M47" s="117" t="n">
        <v>0.35983</v>
      </c>
      <c r="N47" s="119" t="n">
        <v>33.19</v>
      </c>
      <c r="O47" s="117" t="n">
        <v>0.331743</v>
      </c>
      <c r="P47" s="120">
        <f>C47-G47</f>
        <v/>
      </c>
      <c r="Q47" s="120">
        <f>E47-C47</f>
        <v/>
      </c>
      <c r="R47" s="120">
        <f>C47-M47</f>
        <v/>
      </c>
      <c r="S47" s="120">
        <f>C47-O47</f>
        <v/>
      </c>
      <c r="T47" s="120">
        <f>E47-O47</f>
        <v/>
      </c>
      <c r="U47" s="120">
        <f>G47-O47</f>
        <v/>
      </c>
      <c r="V47" s="120">
        <f>G47-K47</f>
        <v/>
      </c>
      <c r="W47" s="120">
        <f>C47-K47</f>
        <v/>
      </c>
      <c r="X47" s="120">
        <f>I47-G47</f>
        <v/>
      </c>
      <c r="Y47" s="121">
        <f>G47-M47</f>
        <v/>
      </c>
      <c r="Z47" s="79" t="n"/>
    </row>
    <row r="48" customFormat="1" s="66">
      <c r="A48" s="115" t="n">
        <v>45253</v>
      </c>
      <c r="B48" s="116" t="n">
        <v>33.01</v>
      </c>
      <c r="C48" s="117" t="n">
        <v>0.328866</v>
      </c>
      <c r="D48" s="116" t="n">
        <v>35.5</v>
      </c>
      <c r="E48" s="118" t="n">
        <v>0.353673</v>
      </c>
      <c r="F48" s="116" t="n">
        <v>32.7</v>
      </c>
      <c r="G48" s="117" t="n">
        <v>0.326387</v>
      </c>
      <c r="H48" s="119" t="n">
        <v>36.288</v>
      </c>
      <c r="I48" s="117" t="n">
        <v>0.36271</v>
      </c>
      <c r="J48" s="119" t="n">
        <v>32.499</v>
      </c>
      <c r="K48" s="117" t="n">
        <v>0.323623</v>
      </c>
      <c r="L48" s="116" t="n">
        <v>35.5</v>
      </c>
      <c r="M48" s="117" t="n">
        <v>0.354834</v>
      </c>
      <c r="N48" s="119" t="n">
        <v>32.7</v>
      </c>
      <c r="O48" s="117" t="n">
        <v>0.326847</v>
      </c>
      <c r="P48" s="120">
        <f>C48-G48</f>
        <v/>
      </c>
      <c r="Q48" s="120">
        <f>E48-C48</f>
        <v/>
      </c>
      <c r="R48" s="120">
        <f>C48-M48</f>
        <v/>
      </c>
      <c r="S48" s="120">
        <f>C48-O48</f>
        <v/>
      </c>
      <c r="T48" s="120">
        <f>E48-O48</f>
        <v/>
      </c>
      <c r="U48" s="120">
        <f>G48-O48</f>
        <v/>
      </c>
      <c r="V48" s="120">
        <f>G48-K48</f>
        <v/>
      </c>
      <c r="W48" s="120">
        <f>C48-K48</f>
        <v/>
      </c>
      <c r="X48" s="120">
        <f>I48-G48</f>
        <v/>
      </c>
      <c r="Y48" s="121">
        <f>G48-M48</f>
        <v/>
      </c>
      <c r="Z48" s="79" t="n"/>
    </row>
    <row r="49" customFormat="1" s="66">
      <c r="A49" s="115" t="n">
        <v>45252</v>
      </c>
      <c r="B49" s="116" t="n">
        <v>31.99</v>
      </c>
      <c r="C49" s="117" t="n">
        <v>0.318712</v>
      </c>
      <c r="D49" s="116" t="n">
        <v>33.47</v>
      </c>
      <c r="E49" s="118" t="n">
        <v>0.333458</v>
      </c>
      <c r="F49" s="116" t="n">
        <v>31.35</v>
      </c>
      <c r="G49" s="117" t="n">
        <v>0.312917</v>
      </c>
      <c r="H49" s="119" t="n">
        <v>35.499</v>
      </c>
      <c r="I49" s="117" t="n">
        <v>0.354825</v>
      </c>
      <c r="J49" s="119" t="n">
        <v>31</v>
      </c>
      <c r="K49" s="117" t="n">
        <v>0.308706</v>
      </c>
      <c r="L49" s="116" t="n">
        <v>35</v>
      </c>
      <c r="M49" s="117" t="n">
        <v>0.349837</v>
      </c>
      <c r="N49" s="119" t="n">
        <v>31.2</v>
      </c>
      <c r="O49" s="117" t="n">
        <v>0.311855</v>
      </c>
      <c r="P49" s="120">
        <f>C49-G49</f>
        <v/>
      </c>
      <c r="Q49" s="120">
        <f>E49-C49</f>
        <v/>
      </c>
      <c r="R49" s="120">
        <f>C49-M49</f>
        <v/>
      </c>
      <c r="S49" s="120">
        <f>C49-O49</f>
        <v/>
      </c>
      <c r="T49" s="120">
        <f>E49-O49</f>
        <v/>
      </c>
      <c r="U49" s="120">
        <f>G49-O49</f>
        <v/>
      </c>
      <c r="V49" s="120">
        <f>G49-K49</f>
        <v/>
      </c>
      <c r="W49" s="120">
        <f>C49-K49</f>
        <v/>
      </c>
      <c r="X49" s="120">
        <f>I49-G49</f>
        <v/>
      </c>
      <c r="Y49" s="121">
        <f>G49-M49</f>
        <v/>
      </c>
      <c r="Z49" s="79" t="n"/>
    </row>
    <row r="50" customFormat="1" s="66">
      <c r="A50" s="115" t="n">
        <v>45251</v>
      </c>
      <c r="B50" s="116" t="n">
        <v>30</v>
      </c>
      <c r="C50" s="117" t="n">
        <v>0.298894</v>
      </c>
      <c r="D50" s="116" t="n">
        <v>32.5</v>
      </c>
      <c r="E50" s="118" t="n">
        <v>0.323802</v>
      </c>
      <c r="F50" s="116" t="n">
        <v>30</v>
      </c>
      <c r="G50" s="117" t="n">
        <v>0.299446</v>
      </c>
      <c r="H50" s="119" t="n">
        <v>34.285</v>
      </c>
      <c r="I50" s="117" t="n">
        <v>0.342692</v>
      </c>
      <c r="J50" s="119" t="n">
        <v>29</v>
      </c>
      <c r="K50" s="117" t="n">
        <v>0.288798</v>
      </c>
      <c r="L50" s="116" t="n">
        <v>33</v>
      </c>
      <c r="M50" s="117" t="n">
        <v>0.329848</v>
      </c>
      <c r="N50" s="119" t="n">
        <v>29.1</v>
      </c>
      <c r="O50" s="117" t="n">
        <v>0.290866</v>
      </c>
      <c r="P50" s="120">
        <f>C50-G50</f>
        <v/>
      </c>
      <c r="Q50" s="120">
        <f>E50-C50</f>
        <v/>
      </c>
      <c r="R50" s="120">
        <f>C50-M50</f>
        <v/>
      </c>
      <c r="S50" s="120">
        <f>C50-O50</f>
        <v/>
      </c>
      <c r="T50" s="120">
        <f>E50-O50</f>
        <v/>
      </c>
      <c r="U50" s="120">
        <f>G50-O50</f>
        <v/>
      </c>
      <c r="V50" s="120">
        <f>G50-K50</f>
        <v/>
      </c>
      <c r="W50" s="120">
        <f>C50-K50</f>
        <v/>
      </c>
      <c r="X50" s="120">
        <f>I50-G50</f>
        <v/>
      </c>
      <c r="Y50" s="121">
        <f>G50-M50</f>
        <v/>
      </c>
      <c r="Z50" s="79" t="n"/>
    </row>
    <row r="51" customFormat="1" s="66">
      <c r="A51" s="115" t="n">
        <v>45247</v>
      </c>
      <c r="B51" s="116" t="n">
        <v>26.1</v>
      </c>
      <c r="C51" s="117" t="n">
        <v>0.260067</v>
      </c>
      <c r="D51" s="116" t="n">
        <v>30</v>
      </c>
      <c r="E51" s="118" t="n">
        <v>0.298927</v>
      </c>
      <c r="F51" s="116" t="n">
        <v>26.6</v>
      </c>
      <c r="G51" s="117" t="n">
        <v>0.265524</v>
      </c>
      <c r="H51" s="119" t="n">
        <v>31.4</v>
      </c>
      <c r="I51" s="117" t="n">
        <v>0.313859</v>
      </c>
      <c r="J51" s="119" t="n">
        <v>25.2</v>
      </c>
      <c r="K51" s="117" t="n">
        <v>0.250987</v>
      </c>
      <c r="L51" s="116" t="n">
        <v>28.03</v>
      </c>
      <c r="M51" s="117" t="n">
        <v>0.280174</v>
      </c>
      <c r="N51" s="119" t="n">
        <v>25.001</v>
      </c>
      <c r="O51" s="117" t="n">
        <v>0.249898</v>
      </c>
      <c r="P51" s="120">
        <f>C51-G51</f>
        <v/>
      </c>
      <c r="Q51" s="120">
        <f>E51-C51</f>
        <v/>
      </c>
      <c r="R51" s="120">
        <f>C51-M51</f>
        <v/>
      </c>
      <c r="S51" s="120">
        <f>C51-O51</f>
        <v/>
      </c>
      <c r="T51" s="120">
        <f>E51-O51</f>
        <v/>
      </c>
      <c r="U51" s="120">
        <f>G51-O51</f>
        <v/>
      </c>
      <c r="V51" s="120">
        <f>G51-K51</f>
        <v/>
      </c>
      <c r="W51" s="120">
        <f>C51-K51</f>
        <v/>
      </c>
      <c r="X51" s="120">
        <f>I51-G51</f>
        <v/>
      </c>
      <c r="Y51" s="121">
        <f>G51-M51</f>
        <v/>
      </c>
      <c r="Z51" s="79" t="n"/>
    </row>
    <row r="52">
      <c r="A52" s="115" t="n">
        <v>45246</v>
      </c>
      <c r="B52" s="116" t="n">
        <v>26.9</v>
      </c>
      <c r="C52" s="117" t="n">
        <v>0.268045</v>
      </c>
      <c r="D52" s="116" t="n">
        <v>29.3</v>
      </c>
      <c r="E52" s="118" t="n">
        <v>0.29196</v>
      </c>
      <c r="F52" s="116" t="n">
        <v>27.2</v>
      </c>
      <c r="G52" s="117" t="n">
        <v>0.271516</v>
      </c>
      <c r="H52" s="119" t="n">
        <v>31.5</v>
      </c>
      <c r="I52" s="117" t="n">
        <v>0.31486</v>
      </c>
      <c r="J52" s="119" t="n">
        <v>26</v>
      </c>
      <c r="K52" s="117" t="n">
        <v>0.258962</v>
      </c>
      <c r="L52" s="116" t="n">
        <v>27.62</v>
      </c>
      <c r="M52" s="117" t="n">
        <v>0.276077</v>
      </c>
      <c r="N52" s="119" t="n">
        <v>25.7</v>
      </c>
      <c r="O52" s="117" t="n">
        <v>0.256886</v>
      </c>
      <c r="P52" s="120">
        <f>C52-G52</f>
        <v/>
      </c>
      <c r="Q52" s="120">
        <f>E52-C52</f>
        <v/>
      </c>
      <c r="R52" s="120">
        <f>C52-M52</f>
        <v/>
      </c>
      <c r="S52" s="120">
        <f>C52-O52</f>
        <v/>
      </c>
      <c r="T52" s="120">
        <f>E52-O52</f>
        <v/>
      </c>
      <c r="U52" s="120">
        <f>G52-O52</f>
        <v/>
      </c>
      <c r="V52" s="120">
        <f>G52-K52</f>
        <v/>
      </c>
      <c r="W52" s="120">
        <f>C52-K52</f>
        <v/>
      </c>
      <c r="X52" s="120">
        <f>I52-G52</f>
        <v/>
      </c>
      <c r="Y52" s="121">
        <f>G52-M52</f>
        <v/>
      </c>
      <c r="Z52" s="79" t="n"/>
    </row>
    <row r="53">
      <c r="A53" s="115" t="n">
        <v>45245</v>
      </c>
      <c r="B53" s="116" t="n">
        <v>25.91</v>
      </c>
      <c r="C53" s="117" t="n">
        <v>0.258188</v>
      </c>
      <c r="D53" s="116" t="n">
        <v>29.62</v>
      </c>
      <c r="E53" s="118" t="n">
        <v>0.295157</v>
      </c>
      <c r="F53" s="116" t="n">
        <v>26.5</v>
      </c>
      <c r="G53" s="117" t="n">
        <v>0.264533</v>
      </c>
      <c r="H53" s="119" t="n">
        <v>30.26</v>
      </c>
      <c r="I53" s="117" t="n">
        <v>0.302466</v>
      </c>
      <c r="J53" s="119" t="n">
        <v>25.95</v>
      </c>
      <c r="K53" s="117" t="n">
        <v>0.258472</v>
      </c>
      <c r="L53" s="116" t="n">
        <v>27.499</v>
      </c>
      <c r="M53" s="117" t="n">
        <v>0.274869</v>
      </c>
      <c r="N53" s="119" t="n">
        <v>25.12</v>
      </c>
      <c r="O53" s="117" t="n">
        <v>0.251089</v>
      </c>
      <c r="P53" s="120">
        <f>C53-G53</f>
        <v/>
      </c>
      <c r="Q53" s="120">
        <f>E53-C53</f>
        <v/>
      </c>
      <c r="R53" s="120">
        <f>C53-M53</f>
        <v/>
      </c>
      <c r="S53" s="120">
        <f>C53-O53</f>
        <v/>
      </c>
      <c r="T53" s="120">
        <f>E53-O53</f>
        <v/>
      </c>
      <c r="U53" s="120">
        <f>G53-O53</f>
        <v/>
      </c>
      <c r="V53" s="120">
        <f>G53-K53</f>
        <v/>
      </c>
      <c r="W53" s="120">
        <f>C53-K53</f>
        <v/>
      </c>
      <c r="X53" s="120">
        <f>I53-G53</f>
        <v/>
      </c>
      <c r="Y53" s="121">
        <f>G53-M53</f>
        <v/>
      </c>
      <c r="Z53" s="79" t="n"/>
    </row>
    <row r="54">
      <c r="A54" s="115" t="n">
        <v>45244</v>
      </c>
      <c r="B54" s="116" t="n">
        <v>26</v>
      </c>
      <c r="C54" s="117" t="n">
        <v>0.259091</v>
      </c>
      <c r="D54" s="116" t="n">
        <v>28.65</v>
      </c>
      <c r="E54" s="118" t="n">
        <v>0.285499</v>
      </c>
      <c r="F54" s="116" t="n">
        <v>26.3</v>
      </c>
      <c r="G54" s="117" t="n">
        <v>0.26254</v>
      </c>
      <c r="H54" s="119" t="n">
        <v>30.4</v>
      </c>
      <c r="I54" s="117" t="n">
        <v>0.303867</v>
      </c>
      <c r="J54" s="119" t="n">
        <v>25.95</v>
      </c>
      <c r="K54" s="117" t="n">
        <v>0.25848</v>
      </c>
      <c r="L54" s="116" t="n">
        <v>27.202</v>
      </c>
      <c r="M54" s="117" t="n">
        <v>0.271901</v>
      </c>
      <c r="N54" s="119" t="n">
        <v>27.5</v>
      </c>
      <c r="O54" s="117" t="n">
        <v>0.27488</v>
      </c>
      <c r="P54" s="120">
        <f>C54-G54</f>
        <v/>
      </c>
      <c r="Q54" s="120">
        <f>E54-C54</f>
        <v/>
      </c>
      <c r="R54" s="120">
        <f>C54-M54</f>
        <v/>
      </c>
      <c r="S54" s="120">
        <f>C54-O54</f>
        <v/>
      </c>
      <c r="T54" s="120">
        <f>E54-O54</f>
        <v/>
      </c>
      <c r="U54" s="120">
        <f>G54-O54</f>
        <v/>
      </c>
      <c r="V54" s="120">
        <f>G54-K54</f>
        <v/>
      </c>
      <c r="W54" s="120">
        <f>C54-K54</f>
        <v/>
      </c>
      <c r="X54" s="120">
        <f>I54-G54</f>
        <v/>
      </c>
      <c r="Y54" s="121">
        <f>G54-M54</f>
        <v/>
      </c>
      <c r="Z54" s="79" t="n"/>
    </row>
    <row r="55">
      <c r="A55" s="115" t="n">
        <v>45243</v>
      </c>
      <c r="B55" s="116" t="n">
        <v>26.25</v>
      </c>
      <c r="C55" s="117" t="n">
        <v>0.26159</v>
      </c>
      <c r="D55" s="116" t="n">
        <v>29.65</v>
      </c>
      <c r="E55" s="118" t="n">
        <v>0.295472</v>
      </c>
      <c r="F55" s="116" t="n">
        <v>26.449</v>
      </c>
      <c r="G55" s="117" t="n">
        <v>0.264031</v>
      </c>
      <c r="H55" s="119" t="n">
        <v>30.3</v>
      </c>
      <c r="I55" s="117" t="n">
        <v>0.302868</v>
      </c>
      <c r="J55" s="119" t="n">
        <v>24.95</v>
      </c>
      <c r="K55" s="117" t="n">
        <v>0.248527</v>
      </c>
      <c r="L55" s="116" t="n">
        <v>27.351</v>
      </c>
      <c r="M55" s="117" t="n">
        <v>0.273391</v>
      </c>
      <c r="N55" s="119" t="n">
        <v>25.6</v>
      </c>
      <c r="O55" s="117" t="n">
        <v>0.255889</v>
      </c>
      <c r="P55" s="120">
        <f>C55-G55</f>
        <v/>
      </c>
      <c r="Q55" s="120">
        <f>E55-C55</f>
        <v/>
      </c>
      <c r="R55" s="120">
        <f>C55-M55</f>
        <v/>
      </c>
      <c r="S55" s="120">
        <f>C55-O55</f>
        <v/>
      </c>
      <c r="T55" s="120">
        <f>E55-O55</f>
        <v/>
      </c>
      <c r="U55" s="120">
        <f>G55-O55</f>
        <v/>
      </c>
      <c r="V55" s="120">
        <f>G55-K55</f>
        <v/>
      </c>
      <c r="W55" s="120">
        <f>C55-K55</f>
        <v/>
      </c>
      <c r="X55" s="120">
        <f>I55-G55</f>
        <v/>
      </c>
      <c r="Y55" s="121">
        <f>G55-M55</f>
        <v/>
      </c>
      <c r="Z55" s="79" t="n"/>
    </row>
    <row r="56">
      <c r="A56" s="115" t="n">
        <v>45240</v>
      </c>
      <c r="B56" s="116" t="n">
        <v>26.49</v>
      </c>
      <c r="C56" s="117" t="n">
        <v>0.264003</v>
      </c>
      <c r="D56" s="116" t="n">
        <v>32.415</v>
      </c>
      <c r="E56" s="118" t="n">
        <v>0.323053</v>
      </c>
      <c r="F56" s="116" t="n">
        <v>26.65</v>
      </c>
      <c r="G56" s="117" t="n">
        <v>0.266048</v>
      </c>
      <c r="H56" s="119" t="n">
        <v>30.65</v>
      </c>
      <c r="I56" s="117" t="n">
        <v>0.30637</v>
      </c>
      <c r="J56" s="119" t="n">
        <v>25.35</v>
      </c>
      <c r="K56" s="117" t="n">
        <v>0.252535</v>
      </c>
      <c r="L56" s="116" t="n">
        <v>28.073</v>
      </c>
      <c r="M56" s="117" t="n">
        <v>0.280611</v>
      </c>
      <c r="N56" s="119" t="n">
        <v>25.6</v>
      </c>
      <c r="O56" s="117" t="n">
        <v>0.255891</v>
      </c>
      <c r="P56" s="120">
        <f>C56-G56</f>
        <v/>
      </c>
      <c r="Q56" s="120">
        <f>E56-C56</f>
        <v/>
      </c>
      <c r="R56" s="120">
        <f>C56-M56</f>
        <v/>
      </c>
      <c r="S56" s="120">
        <f>C56-O56</f>
        <v/>
      </c>
      <c r="T56" s="120">
        <f>E56-O56</f>
        <v/>
      </c>
      <c r="U56" s="120">
        <f>G56-O56</f>
        <v/>
      </c>
      <c r="V56" s="120">
        <f>G56-K56</f>
        <v/>
      </c>
      <c r="W56" s="120">
        <f>C56-K56</f>
        <v/>
      </c>
      <c r="X56" s="120">
        <f>I56-G56</f>
        <v/>
      </c>
      <c r="Y56" s="121">
        <f>G56-M56</f>
        <v/>
      </c>
      <c r="Z56" s="79" t="n"/>
    </row>
    <row r="57">
      <c r="A57" s="115" t="n">
        <v>45239</v>
      </c>
      <c r="B57" s="116" t="n">
        <v>26.8</v>
      </c>
      <c r="C57" s="117" t="n">
        <v>0.2671</v>
      </c>
      <c r="D57" s="116" t="n">
        <v>31.2</v>
      </c>
      <c r="E57" s="118" t="n">
        <v>0.310952</v>
      </c>
      <c r="F57" s="116" t="n">
        <v>26.1</v>
      </c>
      <c r="G57" s="117" t="n">
        <v>0.260561</v>
      </c>
      <c r="H57" s="119" t="n">
        <v>30.1</v>
      </c>
      <c r="I57" s="117" t="n">
        <v>0.300873</v>
      </c>
      <c r="J57" s="119" t="n">
        <v>25.5</v>
      </c>
      <c r="K57" s="117" t="n">
        <v>0.254037</v>
      </c>
      <c r="L57" s="116" t="n">
        <v>28</v>
      </c>
      <c r="M57" s="117" t="n">
        <v>0.279882</v>
      </c>
      <c r="N57" s="119" t="n">
        <v>25.3</v>
      </c>
      <c r="O57" s="117" t="n">
        <v>0.252893</v>
      </c>
      <c r="P57" s="120">
        <f>C57-G57</f>
        <v/>
      </c>
      <c r="Q57" s="120">
        <f>E57-C57</f>
        <v/>
      </c>
      <c r="R57" s="120">
        <f>C57-M57</f>
        <v/>
      </c>
      <c r="S57" s="120">
        <f>C57-O57</f>
        <v/>
      </c>
      <c r="T57" s="120">
        <f>E57-O57</f>
        <v/>
      </c>
      <c r="U57" s="120">
        <f>G57-O57</f>
        <v/>
      </c>
      <c r="V57" s="120">
        <f>G57-K57</f>
        <v/>
      </c>
      <c r="W57" s="120">
        <f>C57-K57</f>
        <v/>
      </c>
      <c r="X57" s="120">
        <f>I57-G57</f>
        <v/>
      </c>
      <c r="Y57" s="121">
        <f>G57-M57</f>
        <v/>
      </c>
      <c r="Z57" s="79" t="n"/>
    </row>
    <row r="58">
      <c r="A58" s="115" t="n">
        <v>45238</v>
      </c>
      <c r="B58" s="116" t="n">
        <v>27</v>
      </c>
      <c r="C58" s="117" t="n">
        <v>0.269101</v>
      </c>
      <c r="D58" s="116" t="n">
        <v>30</v>
      </c>
      <c r="E58" s="118" t="n">
        <v>0.299001</v>
      </c>
      <c r="F58" s="116" t="n">
        <v>26.5</v>
      </c>
      <c r="G58" s="117" t="n">
        <v>0.264558</v>
      </c>
      <c r="H58" s="119" t="n">
        <v>30.8</v>
      </c>
      <c r="I58" s="117" t="n">
        <v>0.307871</v>
      </c>
      <c r="J58" s="119" t="n">
        <v>25.6</v>
      </c>
      <c r="K58" s="117" t="n">
        <v>0.255041</v>
      </c>
      <c r="L58" s="116" t="n">
        <v>28.25</v>
      </c>
      <c r="M58" s="117" t="n">
        <v>0.282382</v>
      </c>
      <c r="N58" s="119" t="n">
        <v>25.12</v>
      </c>
      <c r="O58" s="117" t="n">
        <v>0.251095</v>
      </c>
      <c r="P58" s="120">
        <f>C58-G58</f>
        <v/>
      </c>
      <c r="Q58" s="120">
        <f>E58-C58</f>
        <v/>
      </c>
      <c r="R58" s="120">
        <f>C58-M58</f>
        <v/>
      </c>
      <c r="S58" s="120">
        <f>C58-O58</f>
        <v/>
      </c>
      <c r="T58" s="120">
        <f>E58-O58</f>
        <v/>
      </c>
      <c r="U58" s="120">
        <f>G58-O58</f>
        <v/>
      </c>
      <c r="V58" s="120">
        <f>G58-K58</f>
        <v/>
      </c>
      <c r="W58" s="120">
        <f>C58-K58</f>
        <v/>
      </c>
      <c r="X58" s="120">
        <f>I58-G58</f>
        <v/>
      </c>
      <c r="Y58" s="121">
        <f>G58-M58</f>
        <v/>
      </c>
      <c r="Z58" s="79" t="n"/>
    </row>
    <row r="59">
      <c r="A59" s="115" t="n">
        <v>45237</v>
      </c>
      <c r="B59" s="116" t="n">
        <v>27.59</v>
      </c>
      <c r="C59" s="117" t="n">
        <v>0.274988</v>
      </c>
      <c r="D59" s="116" t="n">
        <v>30.49</v>
      </c>
      <c r="E59" s="118" t="n">
        <v>0.303893</v>
      </c>
      <c r="F59" s="116" t="n">
        <v>26.39</v>
      </c>
      <c r="G59" s="117" t="n">
        <v>0.263463</v>
      </c>
      <c r="H59" s="119" t="n">
        <v>30.49</v>
      </c>
      <c r="I59" s="117" t="n">
        <v>0.304774</v>
      </c>
      <c r="J59" s="119" t="n">
        <v>25.6</v>
      </c>
      <c r="K59" s="117" t="n">
        <v>0.255049</v>
      </c>
      <c r="L59" s="116" t="n">
        <v>27.57</v>
      </c>
      <c r="M59" s="117" t="n">
        <v>0.275586</v>
      </c>
      <c r="N59" s="119" t="n">
        <v>25.67</v>
      </c>
      <c r="O59" s="117" t="n">
        <v>0.256594</v>
      </c>
      <c r="P59" s="120">
        <f>C59-G59</f>
        <v/>
      </c>
      <c r="Q59" s="120">
        <f>E59-C59</f>
        <v/>
      </c>
      <c r="R59" s="120">
        <f>C59-M59</f>
        <v/>
      </c>
      <c r="S59" s="120">
        <f>C59-O59</f>
        <v/>
      </c>
      <c r="T59" s="120">
        <f>E59-O59</f>
        <v/>
      </c>
      <c r="U59" s="120">
        <f>G59-O59</f>
        <v/>
      </c>
      <c r="V59" s="120">
        <f>G59-K59</f>
        <v/>
      </c>
      <c r="W59" s="120">
        <f>C59-K59</f>
        <v/>
      </c>
      <c r="X59" s="120">
        <f>I59-G59</f>
        <v/>
      </c>
      <c r="Y59" s="121">
        <f>G59-M59</f>
        <v/>
      </c>
      <c r="Z59" s="79" t="n"/>
    </row>
    <row r="60">
      <c r="A60" s="115" t="n">
        <v>45233</v>
      </c>
      <c r="B60" s="116" t="n">
        <v>26.94</v>
      </c>
      <c r="C60" s="117" t="n">
        <v>0.268539</v>
      </c>
      <c r="D60" s="116" t="n">
        <v>29</v>
      </c>
      <c r="E60" s="118" t="n">
        <v>0.289073</v>
      </c>
      <c r="F60" s="116" t="n">
        <v>26.06</v>
      </c>
      <c r="G60" s="117" t="n">
        <v>0.260183</v>
      </c>
      <c r="H60" s="119" t="n">
        <v>30.45</v>
      </c>
      <c r="I60" s="117" t="n">
        <v>0.304378</v>
      </c>
      <c r="J60" s="119" t="n">
        <v>25.539</v>
      </c>
      <c r="K60" s="117" t="n">
        <v>0.254472</v>
      </c>
      <c r="L60" s="116" t="n">
        <v>27.87</v>
      </c>
      <c r="M60" s="117" t="n">
        <v>0.278588</v>
      </c>
      <c r="N60" s="119" t="n">
        <v>25.98</v>
      </c>
      <c r="O60" s="117" t="n">
        <v>0.259696</v>
      </c>
      <c r="P60" s="120">
        <f>C60-G60</f>
        <v/>
      </c>
      <c r="Q60" s="120">
        <f>E60-C60</f>
        <v/>
      </c>
      <c r="R60" s="120">
        <f>C60-M60</f>
        <v/>
      </c>
      <c r="S60" s="120">
        <f>C60-O60</f>
        <v/>
      </c>
      <c r="T60" s="120">
        <f>E60-O60</f>
        <v/>
      </c>
      <c r="U60" s="120">
        <f>G60-O60</f>
        <v/>
      </c>
      <c r="V60" s="120">
        <f>G60-K60</f>
        <v/>
      </c>
      <c r="W60" s="120">
        <f>C60-K60</f>
        <v/>
      </c>
      <c r="X60" s="120">
        <f>I60-G60</f>
        <v/>
      </c>
      <c r="Y60" s="121">
        <f>G60-M60</f>
        <v/>
      </c>
      <c r="Z60" s="79" t="n"/>
    </row>
    <row r="61">
      <c r="A61" s="115" t="n">
        <v>45232</v>
      </c>
      <c r="B61" s="116" t="n">
        <v>26.31</v>
      </c>
      <c r="C61" s="117" t="n">
        <v>0.262266</v>
      </c>
      <c r="D61" s="116" t="n">
        <v>29</v>
      </c>
      <c r="E61" s="118" t="n">
        <v>0.289081</v>
      </c>
      <c r="F61" s="116" t="n">
        <v>25.52</v>
      </c>
      <c r="G61" s="117" t="n">
        <v>0.254795</v>
      </c>
      <c r="H61" s="119" t="n">
        <v>29.7</v>
      </c>
      <c r="I61" s="117" t="n">
        <v>0.296882</v>
      </c>
      <c r="J61" s="119" t="n">
        <v>25</v>
      </c>
      <c r="K61" s="117" t="n">
        <v>0.249109</v>
      </c>
      <c r="L61" s="116" t="n">
        <v>27.3</v>
      </c>
      <c r="M61" s="117" t="n">
        <v>0.272892</v>
      </c>
      <c r="N61" s="119" t="n">
        <v>24.95</v>
      </c>
      <c r="O61" s="117" t="n">
        <v>0.249401</v>
      </c>
      <c r="P61" s="120">
        <f>C61-G61</f>
        <v/>
      </c>
      <c r="Q61" s="120">
        <f>E61-C61</f>
        <v/>
      </c>
      <c r="R61" s="120">
        <f>C61-M61</f>
        <v/>
      </c>
      <c r="S61" s="120">
        <f>C61-O61</f>
        <v/>
      </c>
      <c r="T61" s="120">
        <f>E61-O61</f>
        <v/>
      </c>
      <c r="U61" s="120">
        <f>G61-O61</f>
        <v/>
      </c>
      <c r="V61" s="120">
        <f>G61-K61</f>
        <v/>
      </c>
      <c r="W61" s="120">
        <f>C61-K61</f>
        <v/>
      </c>
      <c r="X61" s="120">
        <f>I61-G61</f>
        <v/>
      </c>
      <c r="Y61" s="121">
        <f>G61-M61</f>
        <v/>
      </c>
      <c r="Z61" s="79" t="n"/>
    </row>
    <row r="62">
      <c r="A62" s="115" t="n">
        <v>45231</v>
      </c>
      <c r="B62" s="116" t="n">
        <v>26.05</v>
      </c>
      <c r="C62" s="117" t="n">
        <v>0.259682</v>
      </c>
      <c r="D62" s="116" t="n">
        <v>27.451</v>
      </c>
      <c r="E62" s="118" t="n">
        <v>0.273648</v>
      </c>
      <c r="F62" s="116" t="n">
        <v>25.25</v>
      </c>
      <c r="G62" s="117" t="n">
        <v>0.252103</v>
      </c>
      <c r="H62" s="119" t="n">
        <v>29.99</v>
      </c>
      <c r="I62" s="117" t="n">
        <v>0.299782</v>
      </c>
      <c r="J62" s="119" t="n">
        <v>24.49</v>
      </c>
      <c r="K62" s="117" t="n">
        <v>0.244035</v>
      </c>
      <c r="L62" s="116" t="n">
        <v>27.1</v>
      </c>
      <c r="M62" s="117" t="n">
        <v>0.270893</v>
      </c>
      <c r="N62" s="119" t="n">
        <v>24.7</v>
      </c>
      <c r="O62" s="117" t="n">
        <v>0.246903</v>
      </c>
      <c r="P62" s="120">
        <f>C62-G62</f>
        <v/>
      </c>
      <c r="Q62" s="120">
        <f>E62-C62</f>
        <v/>
      </c>
      <c r="R62" s="120">
        <f>C62-M62</f>
        <v/>
      </c>
      <c r="S62" s="120">
        <f>C62-O62</f>
        <v/>
      </c>
      <c r="T62" s="120">
        <f>E62-O62</f>
        <v/>
      </c>
      <c r="U62" s="120">
        <f>G62-O62</f>
        <v/>
      </c>
      <c r="V62" s="120">
        <f>G62-K62</f>
        <v/>
      </c>
      <c r="W62" s="120">
        <f>C62-K62</f>
        <v/>
      </c>
      <c r="X62" s="120">
        <f>I62-G62</f>
        <v/>
      </c>
      <c r="Y62" s="121">
        <f>G62-M62</f>
        <v/>
      </c>
      <c r="Z62" s="24" t="n"/>
    </row>
    <row r="63">
      <c r="A63" s="115" t="n">
        <v>45230</v>
      </c>
      <c r="B63" s="116" t="n">
        <v>25.89</v>
      </c>
      <c r="C63" s="117" t="n">
        <v>0.258094</v>
      </c>
      <c r="D63" s="116" t="n">
        <v>27.137</v>
      </c>
      <c r="E63" s="118" t="n">
        <v>0.270525</v>
      </c>
      <c r="F63" s="116" t="n">
        <v>24.95</v>
      </c>
      <c r="G63" s="117" t="n">
        <v>0.249111</v>
      </c>
      <c r="H63" s="119" t="n">
        <v>28.61</v>
      </c>
      <c r="I63" s="117" t="n">
        <v>0.285988</v>
      </c>
      <c r="J63" s="119" t="n">
        <v>24.16</v>
      </c>
      <c r="K63" s="117" t="n">
        <v>0.240754</v>
      </c>
      <c r="L63" s="116" t="n">
        <v>27.46</v>
      </c>
      <c r="M63" s="117" t="n">
        <v>0.274493</v>
      </c>
      <c r="N63" s="119" t="n">
        <v>24.091</v>
      </c>
      <c r="O63" s="117" t="n">
        <v>0.240816</v>
      </c>
      <c r="P63" s="120">
        <f>C63-G63</f>
        <v/>
      </c>
      <c r="Q63" s="120">
        <f>E63-C63</f>
        <v/>
      </c>
      <c r="R63" s="120">
        <f>C63-M63</f>
        <v/>
      </c>
      <c r="S63" s="120">
        <f>C63-O63</f>
        <v/>
      </c>
      <c r="T63" s="120">
        <f>E63-O63</f>
        <v/>
      </c>
      <c r="U63" s="120">
        <f>G63-O63</f>
        <v/>
      </c>
      <c r="V63" s="120">
        <f>G63-K63</f>
        <v/>
      </c>
      <c r="W63" s="120">
        <f>C63-K63</f>
        <v/>
      </c>
      <c r="X63" s="120">
        <f>I63-G63</f>
        <v/>
      </c>
      <c r="Y63" s="121">
        <f>G63-M63</f>
        <v/>
      </c>
      <c r="Z63" s="79" t="n"/>
    </row>
    <row r="64">
      <c r="A64" s="115" t="n">
        <v>45229</v>
      </c>
      <c r="B64" s="116" t="n">
        <v>25.89</v>
      </c>
      <c r="C64" s="117" t="n">
        <v>0.258101</v>
      </c>
      <c r="D64" s="116" t="n">
        <v>27.3</v>
      </c>
      <c r="E64" s="118" t="n">
        <v>0.272157</v>
      </c>
      <c r="F64" s="116" t="n">
        <v>25</v>
      </c>
      <c r="G64" s="117" t="n">
        <v>0.249614</v>
      </c>
      <c r="H64" s="119" t="n">
        <v>28.27</v>
      </c>
      <c r="I64" s="117" t="n">
        <v>0.282591</v>
      </c>
      <c r="J64" s="119" t="n">
        <v>24.65</v>
      </c>
      <c r="K64" s="117" t="n">
        <v>0.245644</v>
      </c>
      <c r="L64" s="116" t="n">
        <v>27.5</v>
      </c>
      <c r="M64" s="117" t="n">
        <v>0.274894</v>
      </c>
      <c r="N64" s="119" t="n">
        <v>24.5</v>
      </c>
      <c r="O64" s="117" t="n">
        <v>0.244905</v>
      </c>
      <c r="P64" s="120">
        <f>C64-G64</f>
        <v/>
      </c>
      <c r="Q64" s="120">
        <f>E64-C64</f>
        <v/>
      </c>
      <c r="R64" s="120">
        <f>C64-M64</f>
        <v/>
      </c>
      <c r="S64" s="120">
        <f>C64-O64</f>
        <v/>
      </c>
      <c r="T64" s="120">
        <f>E64-O64</f>
        <v/>
      </c>
      <c r="U64" s="120">
        <f>G64-O64</f>
        <v/>
      </c>
      <c r="V64" s="120">
        <f>G64-K64</f>
        <v/>
      </c>
      <c r="W64" s="120">
        <f>C64-K64</f>
        <v/>
      </c>
      <c r="X64" s="120">
        <f>I64-G64</f>
        <v/>
      </c>
      <c r="Y64" s="121">
        <f>G64-M64</f>
        <v/>
      </c>
      <c r="Z64" s="24" t="n"/>
    </row>
    <row r="65">
      <c r="A65" s="115" t="n">
        <v>45226</v>
      </c>
      <c r="B65" s="116" t="n">
        <v>26.57</v>
      </c>
      <c r="C65" s="117" t="n">
        <v>0.264902</v>
      </c>
      <c r="D65" s="116" t="n">
        <v>27.7</v>
      </c>
      <c r="E65" s="118" t="n">
        <v>0.276168</v>
      </c>
      <c r="F65" s="116" t="n">
        <v>24.65</v>
      </c>
      <c r="G65" s="117" t="n">
        <v>0.246129</v>
      </c>
      <c r="H65" s="119" t="n">
        <v>29.26</v>
      </c>
      <c r="I65" s="117" t="n">
        <v>0.29249</v>
      </c>
      <c r="J65" s="119" t="n">
        <v>25.65</v>
      </c>
      <c r="K65" s="117" t="n">
        <v>0.255633</v>
      </c>
      <c r="L65" s="116" t="n">
        <v>28.65</v>
      </c>
      <c r="M65" s="117" t="n">
        <v>0.286392</v>
      </c>
      <c r="N65" s="119" t="n">
        <v>25.4</v>
      </c>
      <c r="O65" s="117" t="n">
        <v>0.253904</v>
      </c>
      <c r="P65" s="120">
        <f>C65-G65</f>
        <v/>
      </c>
      <c r="Q65" s="120">
        <f>E65-C65</f>
        <v/>
      </c>
      <c r="R65" s="120">
        <f>C65-M65</f>
        <v/>
      </c>
      <c r="S65" s="120">
        <f>C65-O65</f>
        <v/>
      </c>
      <c r="T65" s="120">
        <f>E65-O65</f>
        <v/>
      </c>
      <c r="U65" s="120">
        <f>G65-O65</f>
        <v/>
      </c>
      <c r="V65" s="120">
        <f>G65-K65</f>
        <v/>
      </c>
      <c r="W65" s="120">
        <f>C65-K65</f>
        <v/>
      </c>
      <c r="X65" s="120">
        <f>I65-G65</f>
        <v/>
      </c>
      <c r="Y65" s="121">
        <f>G65-M65</f>
        <v/>
      </c>
      <c r="Z65" s="79" t="n"/>
    </row>
    <row r="66">
      <c r="A66" s="115" t="n">
        <v>45225</v>
      </c>
      <c r="B66" s="116" t="n">
        <v>27.43</v>
      </c>
      <c r="C66" s="117" t="n">
        <v>0.273483</v>
      </c>
      <c r="D66" s="116" t="n">
        <v>30.45</v>
      </c>
      <c r="E66" s="118" t="n">
        <v>0.303593</v>
      </c>
      <c r="F66" s="116" t="n">
        <v>25.55</v>
      </c>
      <c r="G66" s="117" t="n">
        <v>0.255119</v>
      </c>
      <c r="H66" s="119" t="n">
        <v>29.38</v>
      </c>
      <c r="I66" s="117" t="n">
        <v>0.29369</v>
      </c>
      <c r="J66" s="119" t="n">
        <v>25.26</v>
      </c>
      <c r="K66" s="117" t="n">
        <v>0.251754</v>
      </c>
      <c r="L66" s="116" t="n">
        <v>29.7</v>
      </c>
      <c r="M66" s="117" t="n">
        <v>0.296889</v>
      </c>
      <c r="N66" s="119" t="n">
        <v>25.8</v>
      </c>
      <c r="O66" s="117" t="n">
        <v>0.257904</v>
      </c>
      <c r="P66" s="120">
        <f>C66-G66</f>
        <v/>
      </c>
      <c r="Q66" s="120">
        <f>E66-C66</f>
        <v/>
      </c>
      <c r="R66" s="120">
        <f>C66-M66</f>
        <v/>
      </c>
      <c r="S66" s="120">
        <f>C66-O66</f>
        <v/>
      </c>
      <c r="T66" s="120">
        <f>E66-O66</f>
        <v/>
      </c>
      <c r="U66" s="120">
        <f>G66-O66</f>
        <v/>
      </c>
      <c r="V66" s="120">
        <f>G66-K66</f>
        <v/>
      </c>
      <c r="W66" s="120">
        <f>C66-K66</f>
        <v/>
      </c>
      <c r="X66" s="120">
        <f>I66-G66</f>
        <v/>
      </c>
      <c r="Y66" s="121">
        <f>G66-M66</f>
        <v/>
      </c>
      <c r="Z66" s="24" t="n"/>
    </row>
    <row r="67">
      <c r="A67" s="115" t="n">
        <v>45224</v>
      </c>
      <c r="B67" s="116" t="n">
        <v>27.04</v>
      </c>
      <c r="C67" s="117" t="n">
        <v>0.269602</v>
      </c>
      <c r="D67" s="116" t="n">
        <v>28.5</v>
      </c>
      <c r="E67" s="118" t="n">
        <v>0.284159</v>
      </c>
      <c r="F67" s="116" t="n">
        <v>26.15</v>
      </c>
      <c r="G67" s="117" t="n">
        <v>0.261114</v>
      </c>
      <c r="H67" s="119" t="n">
        <v>30.15</v>
      </c>
      <c r="I67" s="117" t="n">
        <v>0.301389</v>
      </c>
      <c r="J67" s="119" t="n">
        <v>26.38</v>
      </c>
      <c r="K67" s="117" t="n">
        <v>0.262925</v>
      </c>
      <c r="L67" s="116" t="n">
        <v>29.5</v>
      </c>
      <c r="M67" s="117" t="n">
        <v>0.294891</v>
      </c>
      <c r="N67" s="119" t="n">
        <v>25.75</v>
      </c>
      <c r="O67" s="117" t="n">
        <v>0.257405</v>
      </c>
      <c r="P67" s="120">
        <f>C67-G67</f>
        <v/>
      </c>
      <c r="Q67" s="120">
        <f>E67-C67</f>
        <v/>
      </c>
      <c r="R67" s="120">
        <f>C67-M67</f>
        <v/>
      </c>
      <c r="S67" s="120">
        <f>C67-O67</f>
        <v/>
      </c>
      <c r="T67" s="120">
        <f>E67-O67</f>
        <v/>
      </c>
      <c r="U67" s="120">
        <f>G67-O67</f>
        <v/>
      </c>
      <c r="V67" s="120">
        <f>G67-K67</f>
        <v/>
      </c>
      <c r="W67" s="120">
        <f>C67-K67</f>
        <v/>
      </c>
      <c r="X67" s="120">
        <f>I67-G67</f>
        <v/>
      </c>
      <c r="Y67" s="121">
        <f>G67-M67</f>
        <v/>
      </c>
      <c r="Z67" s="79" t="n"/>
    </row>
    <row r="68">
      <c r="A68" s="115" t="n">
        <v>45223</v>
      </c>
      <c r="B68" s="116" t="n">
        <v>27.19</v>
      </c>
      <c r="C68" s="117" t="n">
        <v>0.271105</v>
      </c>
      <c r="D68" s="116" t="n">
        <v>29</v>
      </c>
      <c r="E68" s="118" t="n">
        <v>0.289152</v>
      </c>
      <c r="F68" s="116" t="n">
        <v>26</v>
      </c>
      <c r="G68" s="117" t="n">
        <v>0.259619</v>
      </c>
      <c r="H68" s="119" t="n">
        <v>30.4</v>
      </c>
      <c r="I68" s="117" t="n">
        <v>0.303889</v>
      </c>
      <c r="J68" s="119" t="n">
        <v>25.25</v>
      </c>
      <c r="K68" s="117" t="n">
        <v>0.25167</v>
      </c>
      <c r="L68" s="116" t="n">
        <v>30.65</v>
      </c>
      <c r="M68" s="117" t="n">
        <v>0.306388</v>
      </c>
      <c r="N68" s="119" t="n">
        <v>25.51</v>
      </c>
      <c r="O68" s="117" t="n">
        <v>0.255007</v>
      </c>
      <c r="P68" s="120">
        <f>C68-G68</f>
        <v/>
      </c>
      <c r="Q68" s="120">
        <f>E68-C68</f>
        <v/>
      </c>
      <c r="R68" s="120">
        <f>C68-M68</f>
        <v/>
      </c>
      <c r="S68" s="120">
        <f>C68-O68</f>
        <v/>
      </c>
      <c r="T68" s="120">
        <f>E68-O68</f>
        <v/>
      </c>
      <c r="U68" s="120">
        <f>G68-O68</f>
        <v/>
      </c>
      <c r="V68" s="120">
        <f>G68-K68</f>
        <v/>
      </c>
      <c r="W68" s="120">
        <f>C68-K68</f>
        <v/>
      </c>
      <c r="X68" s="120">
        <f>I68-G68</f>
        <v/>
      </c>
      <c r="Y68" s="121">
        <f>G68-M68</f>
        <v/>
      </c>
    </row>
    <row r="69">
      <c r="A69" s="115" t="n">
        <v>45222</v>
      </c>
      <c r="B69" s="116" t="n">
        <v>26.31</v>
      </c>
      <c r="C69" s="117" t="n">
        <v>0.262338</v>
      </c>
      <c r="D69" s="116" t="n">
        <v>31</v>
      </c>
      <c r="E69" s="118" t="n">
        <v>0.309102</v>
      </c>
      <c r="F69" s="116" t="n">
        <v>24.3</v>
      </c>
      <c r="G69" s="117" t="n">
        <v>0.242648</v>
      </c>
      <c r="H69" s="119" t="n">
        <v>29.8</v>
      </c>
      <c r="I69" s="117" t="n">
        <v>0.297892</v>
      </c>
      <c r="J69" s="119" t="n">
        <v>25.19</v>
      </c>
      <c r="K69" s="117" t="n">
        <v>0.25108</v>
      </c>
      <c r="L69" s="116" t="n">
        <v>29.69</v>
      </c>
      <c r="M69" s="117" t="n">
        <v>0.296792</v>
      </c>
      <c r="N69" s="119" t="n">
        <v>26</v>
      </c>
      <c r="O69" s="117" t="n">
        <v>0.259906</v>
      </c>
      <c r="P69" s="120">
        <f>C69-G69</f>
        <v/>
      </c>
      <c r="Q69" s="120">
        <f>E69-C69</f>
        <v/>
      </c>
      <c r="R69" s="120">
        <f>C69-M69</f>
        <v/>
      </c>
      <c r="S69" s="120">
        <f>C69-O69</f>
        <v/>
      </c>
      <c r="T69" s="120">
        <f>E69-O69</f>
        <v/>
      </c>
      <c r="U69" s="120">
        <f>G69-O69</f>
        <v/>
      </c>
      <c r="V69" s="120">
        <f>G69-K69</f>
        <v/>
      </c>
      <c r="W69" s="120">
        <f>C69-K69</f>
        <v/>
      </c>
      <c r="X69" s="120">
        <f>I69-G69</f>
        <v/>
      </c>
      <c r="Y69" s="121">
        <f>G69-M69</f>
        <v/>
      </c>
    </row>
    <row r="70">
      <c r="A70" s="115" t="n">
        <v>45219</v>
      </c>
      <c r="B70" s="116" t="n">
        <v>27.7</v>
      </c>
      <c r="C70" s="117" t="n">
        <v>0.276221</v>
      </c>
      <c r="D70" s="116" t="n">
        <v>30.9</v>
      </c>
      <c r="E70" s="118" t="n">
        <v>0.30813</v>
      </c>
      <c r="F70" s="116" t="n">
        <v>28.23</v>
      </c>
      <c r="G70" s="117" t="n">
        <v>0.281902</v>
      </c>
      <c r="H70" s="119" t="n">
        <v>33.85</v>
      </c>
      <c r="I70" s="117" t="n">
        <v>0.338381</v>
      </c>
      <c r="J70" s="119" t="n">
        <v>26.91</v>
      </c>
      <c r="K70" s="117" t="n">
        <v>0.268248</v>
      </c>
      <c r="L70" s="116" t="n">
        <v>30.999</v>
      </c>
      <c r="M70" s="117" t="n">
        <v>0.309881</v>
      </c>
      <c r="N70" s="119" t="n">
        <v>27</v>
      </c>
      <c r="O70" s="117" t="n">
        <v>0.269905</v>
      </c>
      <c r="P70" s="120">
        <f>C70-G70</f>
        <v/>
      </c>
      <c r="Q70" s="120">
        <f>E70-C70</f>
        <v/>
      </c>
      <c r="R70" s="120">
        <f>C70-M70</f>
        <v/>
      </c>
      <c r="S70" s="120">
        <f>C70-O70</f>
        <v/>
      </c>
      <c r="T70" s="120">
        <f>E70-O70</f>
        <v/>
      </c>
      <c r="U70" s="120">
        <f>G70-O70</f>
        <v/>
      </c>
      <c r="V70" s="120">
        <f>G70-K70</f>
        <v/>
      </c>
      <c r="W70" s="120">
        <f>C70-K70</f>
        <v/>
      </c>
      <c r="X70" s="120">
        <f>I70-G70</f>
        <v/>
      </c>
      <c r="Y70" s="121">
        <f>G70-M70</f>
        <v/>
      </c>
    </row>
    <row r="71">
      <c r="A71" s="115" t="n">
        <v>45218</v>
      </c>
      <c r="B71" s="116" t="n">
        <v>27.49</v>
      </c>
      <c r="C71" s="117" t="n">
        <v>0.274134</v>
      </c>
      <c r="D71" s="116" t="n">
        <v>29.02</v>
      </c>
      <c r="E71" s="118" t="n">
        <v>0.289391</v>
      </c>
      <c r="F71" s="116" t="n">
        <v>27.55</v>
      </c>
      <c r="G71" s="117" t="n">
        <v>0.275116</v>
      </c>
      <c r="H71" s="119" t="n">
        <v>32.2</v>
      </c>
      <c r="I71" s="117" t="n">
        <v>0.321888</v>
      </c>
      <c r="J71" s="119" t="n">
        <v>26.6</v>
      </c>
      <c r="K71" s="117" t="n">
        <v>0.265166</v>
      </c>
      <c r="L71" s="116" t="n">
        <v>31</v>
      </c>
      <c r="M71" s="117" t="n">
        <v>0.309892</v>
      </c>
      <c r="N71" s="119" t="n">
        <v>26.7</v>
      </c>
      <c r="O71" s="117" t="n">
        <v>0.266907</v>
      </c>
      <c r="P71" s="120">
        <f>C71-G71</f>
        <v/>
      </c>
      <c r="Q71" s="120">
        <f>E71-C71</f>
        <v/>
      </c>
      <c r="R71" s="120">
        <f>C71-M71</f>
        <v/>
      </c>
      <c r="S71" s="120">
        <f>C71-O71</f>
        <v/>
      </c>
      <c r="T71" s="120">
        <f>E71-O71</f>
        <v/>
      </c>
      <c r="U71" s="120">
        <f>G71-O71</f>
        <v/>
      </c>
      <c r="V71" s="120">
        <f>G71-K71</f>
        <v/>
      </c>
      <c r="W71" s="120">
        <f>C71-K71</f>
        <v/>
      </c>
      <c r="X71" s="120">
        <f>I71-G71</f>
        <v/>
      </c>
      <c r="Y71" s="121">
        <f>G71-M71</f>
        <v/>
      </c>
    </row>
    <row r="72">
      <c r="A72" s="115" t="n">
        <v>45217</v>
      </c>
      <c r="B72" s="116" t="n">
        <v>27.72</v>
      </c>
      <c r="C72" s="117" t="n">
        <v>0.276435</v>
      </c>
      <c r="D72" s="116" t="n">
        <v>29.7</v>
      </c>
      <c r="E72" s="118" t="n">
        <v>0.29618</v>
      </c>
      <c r="F72" s="116" t="n">
        <v>27.8</v>
      </c>
      <c r="G72" s="117" t="n">
        <v>0.277616</v>
      </c>
      <c r="H72" s="119" t="n">
        <v>32.1</v>
      </c>
      <c r="I72" s="117" t="n">
        <v>0.320889</v>
      </c>
      <c r="J72" s="119" t="n">
        <v>26.8</v>
      </c>
      <c r="K72" s="117" t="n">
        <v>0.267168</v>
      </c>
      <c r="L72" s="116" t="n">
        <v>30.7</v>
      </c>
      <c r="M72" s="117" t="n">
        <v>0.306894</v>
      </c>
      <c r="N72" s="119" t="n">
        <v>26.15</v>
      </c>
      <c r="O72" s="117" t="n">
        <v>0.26141</v>
      </c>
      <c r="P72" s="120">
        <f>C72-G72</f>
        <v/>
      </c>
      <c r="Q72" s="120">
        <f>E72-C72</f>
        <v/>
      </c>
      <c r="R72" s="120">
        <f>C72-M72</f>
        <v/>
      </c>
      <c r="S72" s="120">
        <f>C72-O72</f>
        <v/>
      </c>
      <c r="T72" s="120">
        <f>E72-O72</f>
        <v/>
      </c>
      <c r="U72" s="120">
        <f>G72-O72</f>
        <v/>
      </c>
      <c r="V72" s="120">
        <f>G72-K72</f>
        <v/>
      </c>
      <c r="W72" s="120">
        <f>C72-K72</f>
        <v/>
      </c>
      <c r="X72" s="120">
        <f>I72-G72</f>
        <v/>
      </c>
      <c r="Y72" s="121">
        <f>G72-M72</f>
        <v/>
      </c>
    </row>
    <row r="73">
      <c r="A73" s="115" t="n">
        <v>45216</v>
      </c>
      <c r="B73" s="116" t="n">
        <v>27.48</v>
      </c>
      <c r="C73" s="117" t="n">
        <v>0.274049</v>
      </c>
      <c r="D73" s="116" t="n">
        <v>29</v>
      </c>
      <c r="E73" s="118" t="n">
        <v>0.289208</v>
      </c>
      <c r="F73" s="116" t="n">
        <v>27.42</v>
      </c>
      <c r="G73" s="117" t="n">
        <v>0.273825</v>
      </c>
      <c r="H73" s="119" t="n">
        <v>32.67</v>
      </c>
      <c r="I73" s="117" t="n">
        <v>0.326588</v>
      </c>
      <c r="J73" s="119" t="n">
        <v>26.99</v>
      </c>
      <c r="K73" s="117" t="n">
        <v>0.269071</v>
      </c>
      <c r="L73" s="116" t="n">
        <v>30.8</v>
      </c>
      <c r="M73" s="117" t="n">
        <v>0.307895</v>
      </c>
      <c r="N73" s="119" t="n">
        <v>26</v>
      </c>
      <c r="O73" s="117" t="n">
        <v>0.259911</v>
      </c>
      <c r="P73" s="120">
        <f>C73-G73</f>
        <v/>
      </c>
      <c r="Q73" s="120">
        <f>E73-C73</f>
        <v/>
      </c>
      <c r="R73" s="120">
        <f>C73-M73</f>
        <v/>
      </c>
      <c r="S73" s="120">
        <f>C73-O73</f>
        <v/>
      </c>
      <c r="T73" s="120">
        <f>E73-O73</f>
        <v/>
      </c>
      <c r="U73" s="120">
        <f>G73-O73</f>
        <v/>
      </c>
      <c r="V73" s="120">
        <f>G73-K73</f>
        <v/>
      </c>
      <c r="W73" s="120">
        <f>C73-K73</f>
        <v/>
      </c>
      <c r="X73" s="120">
        <f>I73-G73</f>
        <v/>
      </c>
      <c r="Y73" s="121">
        <f>G73-M73</f>
        <v/>
      </c>
    </row>
    <row r="74">
      <c r="A74" s="115" t="n">
        <v>45211</v>
      </c>
      <c r="B74" s="116" t="n">
        <v>26.94</v>
      </c>
      <c r="C74" s="117" t="n">
        <v>0.268701</v>
      </c>
      <c r="D74" s="116" t="n">
        <v>29.5</v>
      </c>
      <c r="E74" s="118" t="n">
        <v>0.294234</v>
      </c>
      <c r="F74" s="116" t="n">
        <v>26.82</v>
      </c>
      <c r="G74" s="117" t="n">
        <v>0.267851</v>
      </c>
      <c r="H74" s="119" t="n">
        <v>31.52</v>
      </c>
      <c r="I74" s="117" t="n">
        <v>0.315097</v>
      </c>
      <c r="J74" s="119" t="n">
        <v>26.26</v>
      </c>
      <c r="K74" s="117" t="n">
        <v>0.261833</v>
      </c>
      <c r="L74" s="116" t="n">
        <v>29.65</v>
      </c>
      <c r="M74" s="117" t="n">
        <v>0.296404</v>
      </c>
      <c r="N74" s="119" t="n">
        <v>27.1</v>
      </c>
      <c r="O74" s="117" t="n">
        <v>0.270912</v>
      </c>
      <c r="P74" s="120">
        <f>C74-G74</f>
        <v/>
      </c>
      <c r="Q74" s="120">
        <f>E74-C74</f>
        <v/>
      </c>
      <c r="R74" s="120">
        <f>C74-M74</f>
        <v/>
      </c>
      <c r="S74" s="120">
        <f>C74-O74</f>
        <v/>
      </c>
      <c r="T74" s="120">
        <f>E74-O74</f>
        <v/>
      </c>
      <c r="U74" s="120">
        <f>G74-O74</f>
        <v/>
      </c>
      <c r="V74" s="120">
        <f>G74-K74</f>
        <v/>
      </c>
      <c r="W74" s="120">
        <f>C74-K74</f>
        <v/>
      </c>
      <c r="X74" s="120">
        <f>I74-G74</f>
        <v/>
      </c>
      <c r="Y74" s="121">
        <f>G74-M74</f>
        <v/>
      </c>
    </row>
    <row r="75">
      <c r="A75" s="115" t="n">
        <v>45210</v>
      </c>
      <c r="B75" s="116" t="n">
        <v>26.7</v>
      </c>
      <c r="C75" s="117" t="n">
        <v>0.266314</v>
      </c>
      <c r="D75" s="116" t="n">
        <v>29.55</v>
      </c>
      <c r="E75" s="118" t="n">
        <v>0.294741</v>
      </c>
      <c r="F75" s="116" t="n">
        <v>26.92</v>
      </c>
      <c r="G75" s="117" t="n">
        <v>0.268854</v>
      </c>
      <c r="H75" s="119" t="n">
        <v>31.495</v>
      </c>
      <c r="I75" s="117" t="n">
        <v>0.314849</v>
      </c>
      <c r="J75" s="119" t="n">
        <v>25.4</v>
      </c>
      <c r="K75" s="117" t="n">
        <v>0.253266</v>
      </c>
      <c r="L75" s="116" t="n">
        <v>29.49</v>
      </c>
      <c r="M75" s="117" t="n">
        <v>0.294805</v>
      </c>
      <c r="N75" s="119" t="n">
        <v>26.8</v>
      </c>
      <c r="O75" s="117" t="n">
        <v>0.267914</v>
      </c>
      <c r="P75" s="120">
        <f>C75-G75</f>
        <v/>
      </c>
      <c r="Q75" s="120">
        <f>E75-C75</f>
        <v/>
      </c>
      <c r="R75" s="120">
        <f>C75-M75</f>
        <v/>
      </c>
      <c r="S75" s="120">
        <f>C75-O75</f>
        <v/>
      </c>
      <c r="T75" s="120">
        <f>E75-O75</f>
        <v/>
      </c>
      <c r="U75" s="120">
        <f>G75-O75</f>
        <v/>
      </c>
      <c r="V75" s="120">
        <f>G75-K75</f>
        <v/>
      </c>
      <c r="W75" s="120">
        <f>C75-K75</f>
        <v/>
      </c>
      <c r="X75" s="120">
        <f>I75-G75</f>
        <v/>
      </c>
      <c r="Y75" s="121">
        <f>G75-M75</f>
        <v/>
      </c>
      <c r="Z75" s="24" t="n"/>
    </row>
    <row r="76">
      <c r="A76" s="115" t="n">
        <v>45209</v>
      </c>
      <c r="B76" s="116" t="n">
        <v>26.945</v>
      </c>
      <c r="C76" s="117" t="n">
        <v>0.268765</v>
      </c>
      <c r="D76" s="116" t="n">
        <v>29.5</v>
      </c>
      <c r="E76" s="118" t="n">
        <v>0.29425</v>
      </c>
      <c r="F76" s="116" t="n">
        <v>26.82</v>
      </c>
      <c r="G76" s="117" t="n">
        <v>0.267859</v>
      </c>
      <c r="H76" s="119" t="n">
        <v>31.51</v>
      </c>
      <c r="I76" s="117" t="n">
        <v>0.315</v>
      </c>
      <c r="J76" s="119" t="n">
        <v>26.751</v>
      </c>
      <c r="K76" s="117" t="n">
        <v>0.266745</v>
      </c>
      <c r="L76" s="116" t="n">
        <v>29.35</v>
      </c>
      <c r="M76" s="117" t="n">
        <v>0.293407</v>
      </c>
      <c r="N76" s="119" t="n">
        <v>26.2</v>
      </c>
      <c r="O76" s="117" t="n">
        <v>0.261917</v>
      </c>
      <c r="P76" s="120">
        <f>C76-G76</f>
        <v/>
      </c>
      <c r="Q76" s="120">
        <f>E76-C76</f>
        <v/>
      </c>
      <c r="R76" s="120">
        <f>C76-M76</f>
        <v/>
      </c>
      <c r="S76" s="120">
        <f>C76-O76</f>
        <v/>
      </c>
      <c r="T76" s="120">
        <f>E76-O76</f>
        <v/>
      </c>
      <c r="U76" s="120">
        <f>G76-O76</f>
        <v/>
      </c>
      <c r="V76" s="120">
        <f>G76-K76</f>
        <v/>
      </c>
      <c r="W76" s="120">
        <f>C76-K76</f>
        <v/>
      </c>
      <c r="X76" s="120">
        <f>I76-G76</f>
        <v/>
      </c>
      <c r="Y76" s="121">
        <f>G76-M76</f>
        <v/>
      </c>
    </row>
    <row r="77">
      <c r="A77" s="115" t="n">
        <v>45208</v>
      </c>
      <c r="B77" s="116" t="n">
        <v>26.78</v>
      </c>
      <c r="C77" s="117" t="n">
        <v>0.267127</v>
      </c>
      <c r="D77" s="116" t="n">
        <v>29</v>
      </c>
      <c r="E77" s="118" t="n">
        <v>0.289271</v>
      </c>
      <c r="F77" s="116" t="n">
        <v>26.42</v>
      </c>
      <c r="G77" s="117" t="n">
        <v>0.263867</v>
      </c>
      <c r="H77" s="119" t="n">
        <v>29.92</v>
      </c>
      <c r="I77" s="117" t="n">
        <v>0.299106</v>
      </c>
      <c r="J77" s="119" t="n">
        <v>25.3</v>
      </c>
      <c r="K77" s="117" t="n">
        <v>0.252285</v>
      </c>
      <c r="L77" s="116" t="n">
        <v>27.7</v>
      </c>
      <c r="M77" s="117" t="n">
        <v>0.276913</v>
      </c>
      <c r="N77" s="119" t="n">
        <v>26</v>
      </c>
      <c r="O77" s="117" t="n">
        <v>0.259918</v>
      </c>
      <c r="P77" s="120">
        <f>C77-G77</f>
        <v/>
      </c>
      <c r="Q77" s="120">
        <f>E77-C77</f>
        <v/>
      </c>
      <c r="R77" s="120">
        <f>C77-M77</f>
        <v/>
      </c>
      <c r="S77" s="120">
        <f>C77-O77</f>
        <v/>
      </c>
      <c r="T77" s="120">
        <f>E77-O77</f>
        <v/>
      </c>
      <c r="U77" s="120">
        <f>G77-O77</f>
        <v/>
      </c>
      <c r="V77" s="120">
        <f>G77-K77</f>
        <v/>
      </c>
      <c r="W77" s="120">
        <f>C77-K77</f>
        <v/>
      </c>
      <c r="X77" s="120">
        <f>I77-G77</f>
        <v/>
      </c>
      <c r="Y77" s="121">
        <f>G77-M77</f>
        <v/>
      </c>
    </row>
    <row r="78">
      <c r="A78" s="115" t="n">
        <v>45205</v>
      </c>
      <c r="B78" s="116" t="n">
        <v>25.62</v>
      </c>
      <c r="C78" s="117" t="n">
        <v>0.255577</v>
      </c>
      <c r="D78" s="116" t="n">
        <v>29</v>
      </c>
      <c r="E78" s="118" t="n">
        <v>0.289295</v>
      </c>
      <c r="F78" s="116" t="n">
        <v>26.146</v>
      </c>
      <c r="G78" s="117" t="n">
        <v>0.261142</v>
      </c>
      <c r="H78" s="119" t="n">
        <v>29.54</v>
      </c>
      <c r="I78" s="117" t="n">
        <v>0.29531</v>
      </c>
      <c r="J78" s="119" t="n">
        <v>24.5</v>
      </c>
      <c r="K78" s="117" t="n">
        <v>0.24433</v>
      </c>
      <c r="L78" s="116" t="n">
        <v>27.4</v>
      </c>
      <c r="M78" s="117" t="n">
        <v>0.273917</v>
      </c>
      <c r="N78" s="119" t="n">
        <v>26.3</v>
      </c>
      <c r="O78" s="117" t="n">
        <v>0.26292</v>
      </c>
      <c r="P78" s="120">
        <f>C78-G78</f>
        <v/>
      </c>
      <c r="Q78" s="120">
        <f>E78-C78</f>
        <v/>
      </c>
      <c r="R78" s="120">
        <f>C78-M78</f>
        <v/>
      </c>
      <c r="S78" s="120">
        <f>C78-O78</f>
        <v/>
      </c>
      <c r="T78" s="120">
        <f>E78-O78</f>
        <v/>
      </c>
      <c r="U78" s="120">
        <f>G78-O78</f>
        <v/>
      </c>
      <c r="V78" s="120">
        <f>G78-K78</f>
        <v/>
      </c>
      <c r="W78" s="120">
        <f>C78-K78</f>
        <v/>
      </c>
      <c r="X78" s="120">
        <f>I78-G78</f>
        <v/>
      </c>
      <c r="Y78" s="121">
        <f>G78-M78</f>
        <v/>
      </c>
    </row>
    <row r="79">
      <c r="A79" s="115" t="n">
        <v>45204</v>
      </c>
      <c r="B79" s="116" t="n">
        <v>26.78</v>
      </c>
      <c r="C79" s="117" t="n">
        <v>0.267156</v>
      </c>
      <c r="D79" s="116" t="n">
        <v>29</v>
      </c>
      <c r="E79" s="118" t="n">
        <v>0.289303</v>
      </c>
      <c r="F79" s="116" t="n">
        <v>26.75</v>
      </c>
      <c r="G79" s="117" t="n">
        <v>0.267178</v>
      </c>
      <c r="H79" s="119" t="n">
        <v>30.58</v>
      </c>
      <c r="I79" s="117" t="n">
        <v>0.305708</v>
      </c>
      <c r="J79" s="119" t="n">
        <v>26.26</v>
      </c>
      <c r="K79" s="117" t="n">
        <v>0.26189</v>
      </c>
      <c r="L79" s="116" t="n">
        <v>28</v>
      </c>
      <c r="M79" s="117" t="n">
        <v>0.279916</v>
      </c>
      <c r="N79" s="119" t="n">
        <v>26.5</v>
      </c>
      <c r="O79" s="117" t="n">
        <v>0.26492</v>
      </c>
      <c r="P79" s="120">
        <f>C79-G79</f>
        <v/>
      </c>
      <c r="Q79" s="120">
        <f>E79-C79</f>
        <v/>
      </c>
      <c r="R79" s="120">
        <f>C79-M79</f>
        <v/>
      </c>
      <c r="S79" s="120">
        <f>C79-O79</f>
        <v/>
      </c>
      <c r="T79" s="120">
        <f>E79-O79</f>
        <v/>
      </c>
      <c r="U79" s="120">
        <f>G79-O79</f>
        <v/>
      </c>
      <c r="V79" s="120">
        <f>G79-K79</f>
        <v/>
      </c>
      <c r="W79" s="120">
        <f>C79-K79</f>
        <v/>
      </c>
      <c r="X79" s="120">
        <f>I79-G79</f>
        <v/>
      </c>
      <c r="Y79" s="121">
        <f>G79-M79</f>
        <v/>
      </c>
    </row>
    <row r="80">
      <c r="A80" s="115" t="n">
        <v>45203</v>
      </c>
      <c r="B80" s="116" t="n">
        <v>27.9</v>
      </c>
      <c r="C80" s="117" t="n">
        <v>0.278337</v>
      </c>
      <c r="D80" s="116" t="n">
        <v>30</v>
      </c>
      <c r="E80" s="118" t="n">
        <v>0.299287</v>
      </c>
      <c r="F80" s="116" t="n">
        <v>27.73</v>
      </c>
      <c r="G80" s="117" t="n">
        <v>0.27697</v>
      </c>
      <c r="H80" s="119" t="n">
        <v>32.26</v>
      </c>
      <c r="I80" s="117" t="n">
        <v>0.322504</v>
      </c>
      <c r="J80" s="119" t="n">
        <v>27.35</v>
      </c>
      <c r="K80" s="117" t="n">
        <v>0.272769</v>
      </c>
      <c r="L80" s="116" t="n">
        <v>29.35</v>
      </c>
      <c r="M80" s="117" t="n">
        <v>0.293413</v>
      </c>
      <c r="N80" s="119" t="n">
        <v>26.81</v>
      </c>
      <c r="O80" s="117" t="n">
        <v>0.26802</v>
      </c>
      <c r="P80" s="120">
        <f>C80-G80</f>
        <v/>
      </c>
      <c r="Q80" s="120">
        <f>E80-C80</f>
        <v/>
      </c>
      <c r="R80" s="120">
        <f>C80-M80</f>
        <v/>
      </c>
      <c r="S80" s="120">
        <f>C80-O80</f>
        <v/>
      </c>
      <c r="T80" s="120">
        <f>E80-O80</f>
        <v/>
      </c>
      <c r="U80" s="120">
        <f>G80-O80</f>
        <v/>
      </c>
      <c r="V80" s="120">
        <f>G80-K80</f>
        <v/>
      </c>
      <c r="W80" s="120">
        <f>C80-K80</f>
        <v/>
      </c>
      <c r="X80" s="120">
        <f>I80-G80</f>
        <v/>
      </c>
      <c r="Y80" s="121">
        <f>G80-M80</f>
        <v/>
      </c>
      <c r="Z80" s="79" t="n"/>
    </row>
    <row r="81">
      <c r="A81" s="115" t="n">
        <v>45202</v>
      </c>
      <c r="B81" s="116" t="n">
        <v>28.1</v>
      </c>
      <c r="C81" s="117" t="n">
        <v>0.280339</v>
      </c>
      <c r="D81" s="116" t="n">
        <v>30.9</v>
      </c>
      <c r="E81" s="118" t="n">
        <v>0.308274</v>
      </c>
      <c r="F81" s="116" t="n">
        <v>28.01</v>
      </c>
      <c r="G81" s="117" t="n">
        <v>0.27977</v>
      </c>
      <c r="H81" s="119" t="n">
        <v>32.68</v>
      </c>
      <c r="I81" s="117" t="n">
        <v>0.326704</v>
      </c>
      <c r="J81" s="119" t="n">
        <v>27.2</v>
      </c>
      <c r="K81" s="117" t="n">
        <v>0.271281</v>
      </c>
      <c r="L81" s="116" t="n">
        <v>29.4</v>
      </c>
      <c r="M81" s="117" t="n">
        <v>0.293913</v>
      </c>
      <c r="N81" s="119" t="n">
        <v>27.5</v>
      </c>
      <c r="O81" s="117" t="n">
        <v>0.274919</v>
      </c>
      <c r="P81" s="120">
        <f>C81-G81</f>
        <v/>
      </c>
      <c r="Q81" s="120">
        <f>E81-C81</f>
        <v/>
      </c>
      <c r="R81" s="120">
        <f>C81-M81</f>
        <v/>
      </c>
      <c r="S81" s="120">
        <f>C81-O81</f>
        <v/>
      </c>
      <c r="T81" s="120">
        <f>E81-O81</f>
        <v/>
      </c>
      <c r="U81" s="120">
        <f>G81-O81</f>
        <v/>
      </c>
      <c r="V81" s="120">
        <f>G81-K81</f>
        <v/>
      </c>
      <c r="W81" s="120">
        <f>C81-K81</f>
        <v/>
      </c>
      <c r="X81" s="120">
        <f>I81-G81</f>
        <v/>
      </c>
      <c r="Y81" s="121">
        <f>G81-M81</f>
        <v/>
      </c>
      <c r="Z81" s="79" t="n"/>
    </row>
    <row r="82">
      <c r="A82" s="115" t="n">
        <v>45201</v>
      </c>
      <c r="B82" s="116" t="n">
        <v>28.01</v>
      </c>
      <c r="C82" s="117" t="n">
        <v>0.279449</v>
      </c>
      <c r="D82" s="116" t="n">
        <v>31.001</v>
      </c>
      <c r="E82" s="118" t="n">
        <v>0.30929</v>
      </c>
      <c r="F82" s="116" t="n">
        <v>28.51</v>
      </c>
      <c r="G82" s="117" t="n">
        <v>0.284768</v>
      </c>
      <c r="H82" s="119" t="n">
        <v>33.16</v>
      </c>
      <c r="I82" s="117" t="n">
        <v>0.331504</v>
      </c>
      <c r="J82" s="119" t="n">
        <v>28.499</v>
      </c>
      <c r="K82" s="117" t="n">
        <v>0.284245</v>
      </c>
      <c r="L82" s="116" t="n">
        <v>29.5</v>
      </c>
      <c r="M82" s="117" t="n">
        <v>0.294914</v>
      </c>
      <c r="N82" s="119" t="n">
        <v>28.3</v>
      </c>
      <c r="O82" s="117" t="n">
        <v>0.282918</v>
      </c>
      <c r="P82" s="120">
        <f>C82-G82</f>
        <v/>
      </c>
      <c r="Q82" s="120">
        <f>E82-C82</f>
        <v/>
      </c>
      <c r="R82" s="120">
        <f>C82-M82</f>
        <v/>
      </c>
      <c r="S82" s="120">
        <f>C82-O82</f>
        <v/>
      </c>
      <c r="T82" s="120">
        <f>E82-O82</f>
        <v/>
      </c>
      <c r="U82" s="120">
        <f>G82-O82</f>
        <v/>
      </c>
      <c r="V82" s="120">
        <f>G82-K82</f>
        <v/>
      </c>
      <c r="W82" s="120">
        <f>C82-K82</f>
        <v/>
      </c>
      <c r="X82" s="120">
        <f>I82-G82</f>
        <v/>
      </c>
      <c r="Y82" s="121">
        <f>G82-M82</f>
        <v/>
      </c>
      <c r="Z82" s="79" t="n"/>
    </row>
    <row r="83">
      <c r="A83" s="115" t="n">
        <v>45198</v>
      </c>
      <c r="B83" s="116" t="n">
        <v>29.2</v>
      </c>
      <c r="C83" s="117" t="n">
        <v>0.291345</v>
      </c>
      <c r="D83" s="116" t="n">
        <v>32</v>
      </c>
      <c r="E83" s="118" t="n">
        <v>0.319283</v>
      </c>
      <c r="F83" s="116" t="n">
        <v>29.23</v>
      </c>
      <c r="G83" s="117" t="n">
        <v>0.291972</v>
      </c>
      <c r="H83" s="119" t="n">
        <v>33.51</v>
      </c>
      <c r="I83" s="117" t="n">
        <v>0.335006</v>
      </c>
      <c r="J83" s="119" t="n">
        <v>28.5</v>
      </c>
      <c r="K83" s="117" t="n">
        <v>0.284282</v>
      </c>
      <c r="L83" s="116" t="n">
        <v>30.75</v>
      </c>
      <c r="M83" s="117" t="n">
        <v>0.307414</v>
      </c>
      <c r="N83" s="119" t="n">
        <v>28.25</v>
      </c>
      <c r="O83" s="117" t="n">
        <v>0.282421</v>
      </c>
      <c r="P83" s="120">
        <f>C83-G83</f>
        <v/>
      </c>
      <c r="Q83" s="120">
        <f>E83-C83</f>
        <v/>
      </c>
      <c r="R83" s="120">
        <f>C83-M83</f>
        <v/>
      </c>
      <c r="S83" s="120">
        <f>C83-O83</f>
        <v/>
      </c>
      <c r="T83" s="120">
        <f>E83-O83</f>
        <v/>
      </c>
      <c r="U83" s="120">
        <f>G83-O83</f>
        <v/>
      </c>
      <c r="V83" s="120">
        <f>G83-K83</f>
        <v/>
      </c>
      <c r="W83" s="120">
        <f>C83-K83</f>
        <v/>
      </c>
      <c r="X83" s="120">
        <f>I83-G83</f>
        <v/>
      </c>
      <c r="Y83" s="121">
        <f>G83-M83</f>
        <v/>
      </c>
      <c r="Z83" s="79" t="n"/>
    </row>
    <row r="84">
      <c r="A84" s="115" t="n">
        <v>45197</v>
      </c>
      <c r="B84" s="116" t="n">
        <v>30.33</v>
      </c>
      <c r="C84" s="117" t="n">
        <v>0.302628</v>
      </c>
      <c r="D84" s="116" t="n">
        <v>32.95</v>
      </c>
      <c r="E84" s="118" t="n">
        <v>0.32877</v>
      </c>
      <c r="F84" s="116" t="n">
        <v>29.9</v>
      </c>
      <c r="G84" s="117" t="n">
        <v>0.298669</v>
      </c>
      <c r="H84" s="119" t="n">
        <v>34.25</v>
      </c>
      <c r="I84" s="117" t="n">
        <v>0.342405</v>
      </c>
      <c r="J84" s="119" t="n">
        <v>29.5</v>
      </c>
      <c r="K84" s="117" t="n">
        <v>0.294265</v>
      </c>
      <c r="L84" s="116" t="n">
        <v>32</v>
      </c>
      <c r="M84" s="117" t="n">
        <v>0.319911</v>
      </c>
      <c r="N84" s="119" t="n">
        <v>29.65</v>
      </c>
      <c r="O84" s="117" t="n">
        <v>0.296418</v>
      </c>
      <c r="P84" s="120">
        <f>C84-G84</f>
        <v/>
      </c>
      <c r="Q84" s="120">
        <f>E84-C84</f>
        <v/>
      </c>
      <c r="R84" s="120">
        <f>C84-M84</f>
        <v/>
      </c>
      <c r="S84" s="120">
        <f>C84-O84</f>
        <v/>
      </c>
      <c r="T84" s="120">
        <f>E84-O84</f>
        <v/>
      </c>
      <c r="U84" s="120">
        <f>G84-O84</f>
        <v/>
      </c>
      <c r="V84" s="120">
        <f>G84-K84</f>
        <v/>
      </c>
      <c r="W84" s="120">
        <f>C84-K84</f>
        <v/>
      </c>
      <c r="X84" s="120">
        <f>I84-G84</f>
        <v/>
      </c>
      <c r="Y84" s="121">
        <f>G84-M84</f>
        <v/>
      </c>
      <c r="Z84" s="79" t="n"/>
    </row>
    <row r="85">
      <c r="A85" s="115" t="n">
        <v>45196</v>
      </c>
      <c r="B85" s="116" t="n">
        <v>30.4</v>
      </c>
      <c r="C85" s="117" t="n">
        <v>0.303335</v>
      </c>
      <c r="D85" s="116" t="n">
        <v>33</v>
      </c>
      <c r="E85" s="118" t="n">
        <v>0.329278</v>
      </c>
      <c r="F85" s="116" t="n">
        <v>30.46</v>
      </c>
      <c r="G85" s="117" t="n">
        <v>0.304267</v>
      </c>
      <c r="H85" s="119" t="n">
        <v>34.79</v>
      </c>
      <c r="I85" s="117" t="n">
        <v>0.347805</v>
      </c>
      <c r="J85" s="119" t="n">
        <v>29.5</v>
      </c>
      <c r="K85" s="117" t="n">
        <v>0.294274</v>
      </c>
      <c r="L85" s="116" t="n">
        <v>32.05</v>
      </c>
      <c r="M85" s="117" t="n">
        <v>0.320412</v>
      </c>
      <c r="N85" s="119" t="n">
        <v>29.5</v>
      </c>
      <c r="O85" s="117" t="n">
        <v>0.294919</v>
      </c>
      <c r="P85" s="120">
        <f>C85-G85</f>
        <v/>
      </c>
      <c r="Q85" s="120">
        <f>E85-C85</f>
        <v/>
      </c>
      <c r="R85" s="120">
        <f>C85-M85</f>
        <v/>
      </c>
      <c r="S85" s="120">
        <f>C85-O85</f>
        <v/>
      </c>
      <c r="T85" s="120">
        <f>E85-O85</f>
        <v/>
      </c>
      <c r="U85" s="120">
        <f>G85-O85</f>
        <v/>
      </c>
      <c r="V85" s="120">
        <f>G85-K85</f>
        <v/>
      </c>
      <c r="W85" s="120">
        <f>C85-K85</f>
        <v/>
      </c>
      <c r="X85" s="120">
        <f>I85-G85</f>
        <v/>
      </c>
      <c r="Y85" s="121">
        <f>G85-M85</f>
        <v/>
      </c>
      <c r="Z85" s="79" t="n"/>
    </row>
    <row r="86">
      <c r="A86" s="115" t="n">
        <v>45195</v>
      </c>
      <c r="B86" s="116" t="n">
        <v>30.29</v>
      </c>
      <c r="C86" s="117" t="n">
        <v>0.302246</v>
      </c>
      <c r="D86" s="116" t="n">
        <v>32.7</v>
      </c>
      <c r="E86" s="118" t="n">
        <v>0.326294</v>
      </c>
      <c r="F86" s="116" t="n">
        <v>30.38</v>
      </c>
      <c r="G86" s="117" t="n">
        <v>0.303472</v>
      </c>
      <c r="H86" s="119" t="n">
        <v>34.6</v>
      </c>
      <c r="I86" s="117" t="n">
        <v>0.345906</v>
      </c>
      <c r="J86" s="119" t="n">
        <v>29.9</v>
      </c>
      <c r="K86" s="117" t="n">
        <v>0.298274</v>
      </c>
      <c r="L86" s="116" t="n">
        <v>33.3</v>
      </c>
      <c r="M86" s="117" t="n">
        <v>0.33291</v>
      </c>
      <c r="N86" s="119" t="n">
        <v>29.5</v>
      </c>
      <c r="O86" s="117" t="n">
        <v>0.29492</v>
      </c>
      <c r="P86" s="120">
        <f>C86-G86</f>
        <v/>
      </c>
      <c r="Q86" s="120">
        <f>E86-C86</f>
        <v/>
      </c>
      <c r="R86" s="120">
        <f>C86-M86</f>
        <v/>
      </c>
      <c r="S86" s="120">
        <f>C86-O86</f>
        <v/>
      </c>
      <c r="T86" s="120">
        <f>E86-O86</f>
        <v/>
      </c>
      <c r="U86" s="120">
        <f>G86-O86</f>
        <v/>
      </c>
      <c r="V86" s="120">
        <f>G86-K86</f>
        <v/>
      </c>
      <c r="W86" s="120">
        <f>C86-K86</f>
        <v/>
      </c>
      <c r="X86" s="120">
        <f>I86-G86</f>
        <v/>
      </c>
      <c r="Y86" s="121">
        <f>G86-M86</f>
        <v/>
      </c>
      <c r="Z86" s="79" t="n"/>
    </row>
    <row r="87">
      <c r="A87" s="115" t="n">
        <v>45194</v>
      </c>
      <c r="B87" s="116" t="n">
        <v>30.67</v>
      </c>
      <c r="C87" s="117" t="n">
        <v>0.306046</v>
      </c>
      <c r="D87" s="116" t="n">
        <v>32.5</v>
      </c>
      <c r="E87" s="118" t="n">
        <v>0.324307</v>
      </c>
      <c r="F87" s="116" t="n">
        <v>29.893</v>
      </c>
      <c r="G87" s="117" t="n">
        <v>0.298611</v>
      </c>
      <c r="H87" s="119" t="n">
        <v>34.43</v>
      </c>
      <c r="I87" s="117" t="n">
        <v>0.344208</v>
      </c>
      <c r="J87" s="119" t="n">
        <v>29.07</v>
      </c>
      <c r="K87" s="117" t="n">
        <v>0.290003</v>
      </c>
      <c r="L87" s="116" t="n">
        <v>32.7</v>
      </c>
      <c r="M87" s="117" t="n">
        <v>0.326913</v>
      </c>
      <c r="N87" s="119" t="n">
        <v>29.55</v>
      </c>
      <c r="O87" s="117" t="n">
        <v>0.295421</v>
      </c>
      <c r="P87" s="120">
        <f>C87-G87</f>
        <v/>
      </c>
      <c r="Q87" s="120">
        <f>E87-C87</f>
        <v/>
      </c>
      <c r="R87" s="120">
        <f>C87-M87</f>
        <v/>
      </c>
      <c r="S87" s="120">
        <f>C87-O87</f>
        <v/>
      </c>
      <c r="T87" s="120">
        <f>E87-O87</f>
        <v/>
      </c>
      <c r="U87" s="120">
        <f>G87-O87</f>
        <v/>
      </c>
      <c r="V87" s="120">
        <f>G87-K87</f>
        <v/>
      </c>
      <c r="W87" s="120">
        <f>C87-K87</f>
        <v/>
      </c>
      <c r="X87" s="120">
        <f>I87-G87</f>
        <v/>
      </c>
      <c r="Y87" s="121">
        <f>G87-M87</f>
        <v/>
      </c>
      <c r="Z87" s="79" t="n"/>
    </row>
    <row r="88">
      <c r="A88" s="115" t="n">
        <v>45191</v>
      </c>
      <c r="B88" s="116" t="n">
        <v>29.5</v>
      </c>
      <c r="C88" s="117" t="n">
        <v>0.294395</v>
      </c>
      <c r="D88" s="116" t="n">
        <v>32.9</v>
      </c>
      <c r="E88" s="118" t="n">
        <v>0.328325</v>
      </c>
      <c r="F88" s="116" t="n">
        <v>29.39</v>
      </c>
      <c r="G88" s="117" t="n">
        <v>0.293598</v>
      </c>
      <c r="H88" s="119" t="n">
        <v>34.16</v>
      </c>
      <c r="I88" s="117" t="n">
        <v>0.341512</v>
      </c>
      <c r="J88" s="119" t="n">
        <v>29.5</v>
      </c>
      <c r="K88" s="117" t="n">
        <v>0.29432</v>
      </c>
      <c r="L88" s="116" t="n">
        <v>31.5</v>
      </c>
      <c r="M88" s="117" t="n">
        <v>0.314919</v>
      </c>
      <c r="N88" s="119" t="n">
        <v>29.4</v>
      </c>
      <c r="O88" s="117" t="n">
        <v>0.293925</v>
      </c>
      <c r="P88" s="120">
        <f>C88-G88</f>
        <v/>
      </c>
      <c r="Q88" s="120">
        <f>E88-C88</f>
        <v/>
      </c>
      <c r="R88" s="120">
        <f>C88-M88</f>
        <v/>
      </c>
      <c r="S88" s="120">
        <f>C88-O88</f>
        <v/>
      </c>
      <c r="T88" s="120">
        <f>E88-O88</f>
        <v/>
      </c>
      <c r="U88" s="120">
        <f>G88-O88</f>
        <v/>
      </c>
      <c r="V88" s="120">
        <f>G88-K88</f>
        <v/>
      </c>
      <c r="W88" s="120">
        <f>C88-K88</f>
        <v/>
      </c>
      <c r="X88" s="120">
        <f>I88-G88</f>
        <v/>
      </c>
      <c r="Y88" s="121">
        <f>G88-M88</f>
        <v/>
      </c>
      <c r="Z88" s="79" t="n"/>
    </row>
    <row r="89">
      <c r="A89" s="115" t="n">
        <v>45190</v>
      </c>
      <c r="B89" s="116" t="n">
        <v>29.84</v>
      </c>
      <c r="C89" s="117" t="n">
        <v>0.297796</v>
      </c>
      <c r="D89" s="116" t="n">
        <v>32.61</v>
      </c>
      <c r="E89" s="118" t="n">
        <v>0.32544</v>
      </c>
      <c r="F89" s="116" t="n">
        <v>29.4</v>
      </c>
      <c r="G89" s="117" t="n">
        <v>0.293702</v>
      </c>
      <c r="H89" s="119" t="n">
        <v>33.84</v>
      </c>
      <c r="I89" s="117" t="n">
        <v>0.338314</v>
      </c>
      <c r="J89" s="119" t="n">
        <v>28.92</v>
      </c>
      <c r="K89" s="117" t="n">
        <v>0.288542</v>
      </c>
      <c r="L89" s="116" t="n">
        <v>31.77</v>
      </c>
      <c r="M89" s="117" t="n">
        <v>0.31762</v>
      </c>
      <c r="N89" s="119" t="n">
        <v>29.1</v>
      </c>
      <c r="O89" s="117" t="n">
        <v>0.290926</v>
      </c>
      <c r="P89" s="120">
        <f>C89-G89</f>
        <v/>
      </c>
      <c r="Q89" s="120">
        <f>E89-C89</f>
        <v/>
      </c>
      <c r="R89" s="120">
        <f>C89-M89</f>
        <v/>
      </c>
      <c r="S89" s="120">
        <f>C89-O89</f>
        <v/>
      </c>
      <c r="T89" s="120">
        <f>E89-O89</f>
        <v/>
      </c>
      <c r="U89" s="120">
        <f>G89-O89</f>
        <v/>
      </c>
      <c r="V89" s="120">
        <f>G89-K89</f>
        <v/>
      </c>
      <c r="W89" s="120">
        <f>C89-K89</f>
        <v/>
      </c>
      <c r="X89" s="120">
        <f>I89-G89</f>
        <v/>
      </c>
      <c r="Y89" s="121">
        <f>G89-M89</f>
        <v/>
      </c>
      <c r="Z89" s="79" t="n"/>
    </row>
    <row r="90">
      <c r="A90" s="115" t="n">
        <v>45189</v>
      </c>
      <c r="B90" s="116" t="n">
        <v>30.79</v>
      </c>
      <c r="C90" s="117" t="n">
        <v>0.307285</v>
      </c>
      <c r="D90" s="116" t="n">
        <v>33.002</v>
      </c>
      <c r="E90" s="118" t="n">
        <v>0.329361</v>
      </c>
      <c r="F90" s="116" t="n">
        <v>30.14</v>
      </c>
      <c r="G90" s="117" t="n">
        <v>0.301099</v>
      </c>
      <c r="H90" s="119" t="n">
        <v>34.87</v>
      </c>
      <c r="I90" s="117" t="n">
        <v>0.348613</v>
      </c>
      <c r="J90" s="119" t="n">
        <v>30.2</v>
      </c>
      <c r="K90" s="117" t="n">
        <v>0.301322</v>
      </c>
      <c r="L90" s="116" t="n">
        <v>32.75</v>
      </c>
      <c r="M90" s="117" t="n">
        <v>0.327418</v>
      </c>
      <c r="N90" s="119" t="n">
        <v>30</v>
      </c>
      <c r="O90" s="117" t="n">
        <v>0.299925</v>
      </c>
      <c r="P90" s="120">
        <f>C90-G90</f>
        <v/>
      </c>
      <c r="Q90" s="120">
        <f>E90-C90</f>
        <v/>
      </c>
      <c r="R90" s="120">
        <f>C90-M90</f>
        <v/>
      </c>
      <c r="S90" s="120">
        <f>C90-O90</f>
        <v/>
      </c>
      <c r="T90" s="120">
        <f>E90-O90</f>
        <v/>
      </c>
      <c r="U90" s="120">
        <f>G90-O90</f>
        <v/>
      </c>
      <c r="V90" s="120">
        <f>G90-K90</f>
        <v/>
      </c>
      <c r="W90" s="120">
        <f>C90-K90</f>
        <v/>
      </c>
      <c r="X90" s="120">
        <f>I90-G90</f>
        <v/>
      </c>
      <c r="Y90" s="121">
        <f>G90-M90</f>
        <v/>
      </c>
      <c r="Z90" s="79" t="n"/>
    </row>
    <row r="91">
      <c r="A91" s="115" t="n">
        <v>45188</v>
      </c>
      <c r="B91" s="116" t="n">
        <v>31.23</v>
      </c>
      <c r="C91" s="117" t="n">
        <v>0.311685</v>
      </c>
      <c r="D91" s="116" t="n">
        <v>33.51</v>
      </c>
      <c r="E91" s="118" t="n">
        <v>0.33444</v>
      </c>
      <c r="F91" s="116" t="n">
        <v>30.68</v>
      </c>
      <c r="G91" s="117" t="n">
        <v>0.306498</v>
      </c>
      <c r="H91" s="119" t="n">
        <v>35.51</v>
      </c>
      <c r="I91" s="117" t="n">
        <v>0.355012</v>
      </c>
      <c r="J91" s="119" t="n">
        <v>30.65</v>
      </c>
      <c r="K91" s="117" t="n">
        <v>0.305821</v>
      </c>
      <c r="L91" s="116" t="n">
        <v>33.01</v>
      </c>
      <c r="M91" s="117" t="n">
        <v>0.330019</v>
      </c>
      <c r="N91" s="119" t="n">
        <v>30.95</v>
      </c>
      <c r="O91" s="117" t="n">
        <v>0.309424</v>
      </c>
      <c r="P91" s="120">
        <f>C91-G91</f>
        <v/>
      </c>
      <c r="Q91" s="120">
        <f>E91-C91</f>
        <v/>
      </c>
      <c r="R91" s="120">
        <f>C91-M91</f>
        <v/>
      </c>
      <c r="S91" s="120">
        <f>C91-O91</f>
        <v/>
      </c>
      <c r="T91" s="120">
        <f>E91-O91</f>
        <v/>
      </c>
      <c r="U91" s="120">
        <f>G91-O91</f>
        <v/>
      </c>
      <c r="V91" s="120">
        <f>G91-K91</f>
        <v/>
      </c>
      <c r="W91" s="120">
        <f>C91-K91</f>
        <v/>
      </c>
      <c r="X91" s="120">
        <f>I91-G91</f>
        <v/>
      </c>
      <c r="Y91" s="121">
        <f>G91-M91</f>
        <v/>
      </c>
      <c r="Z91" s="79" t="n"/>
    </row>
    <row r="92">
      <c r="A92" s="115" t="n">
        <v>45187</v>
      </c>
      <c r="B92" s="116" t="n">
        <v>31.26</v>
      </c>
      <c r="C92" s="117" t="n">
        <v>0.311993</v>
      </c>
      <c r="D92" s="116" t="n">
        <v>34.011</v>
      </c>
      <c r="E92" s="118" t="n">
        <v>0.33945</v>
      </c>
      <c r="F92" s="116" t="n">
        <v>31.19</v>
      </c>
      <c r="G92" s="117" t="n">
        <v>0.311597</v>
      </c>
      <c r="H92" s="119" t="n">
        <v>35.99</v>
      </c>
      <c r="I92" s="117" t="n">
        <v>0.359813</v>
      </c>
      <c r="J92" s="119" t="n">
        <v>30.82</v>
      </c>
      <c r="K92" s="117" t="n">
        <v>0.307527</v>
      </c>
      <c r="L92" s="116" t="n">
        <v>34.6</v>
      </c>
      <c r="M92" s="117" t="n">
        <v>0.345916</v>
      </c>
      <c r="N92" s="119" t="n">
        <v>30.91</v>
      </c>
      <c r="O92" s="117" t="n">
        <v>0.309025</v>
      </c>
      <c r="P92" s="120">
        <f>C92-G92</f>
        <v/>
      </c>
      <c r="Q92" s="120">
        <f>E92-C92</f>
        <v/>
      </c>
      <c r="R92" s="120">
        <f>C92-M92</f>
        <v/>
      </c>
      <c r="S92" s="120">
        <f>C92-O92</f>
        <v/>
      </c>
      <c r="T92" s="120">
        <f>E92-O92</f>
        <v/>
      </c>
      <c r="U92" s="120">
        <f>G92-O92</f>
        <v/>
      </c>
      <c r="V92" s="120">
        <f>G92-K92</f>
        <v/>
      </c>
      <c r="W92" s="120">
        <f>C92-K92</f>
        <v/>
      </c>
      <c r="X92" s="120">
        <f>I92-G92</f>
        <v/>
      </c>
      <c r="Y92" s="121">
        <f>G92-M92</f>
        <v/>
      </c>
      <c r="Z92" s="79" t="n"/>
    </row>
    <row r="93">
      <c r="A93" s="115" t="n">
        <v>45184</v>
      </c>
      <c r="B93" s="116" t="n">
        <v>31</v>
      </c>
      <c r="C93" s="117" t="n">
        <v>0.309424</v>
      </c>
      <c r="D93" s="116" t="n">
        <v>34.57</v>
      </c>
      <c r="E93" s="118" t="n">
        <v>0.345057</v>
      </c>
      <c r="F93" s="116" t="n">
        <v>30.825</v>
      </c>
      <c r="G93" s="117" t="n">
        <v>0.307963</v>
      </c>
      <c r="H93" s="119" t="n">
        <v>35.93</v>
      </c>
      <c r="I93" s="117" t="n">
        <v>0.359216</v>
      </c>
      <c r="J93" s="119" t="n">
        <v>31.1</v>
      </c>
      <c r="K93" s="117" t="n">
        <v>0.31035</v>
      </c>
      <c r="L93" s="116" t="n">
        <v>33.85</v>
      </c>
      <c r="M93" s="117" t="n">
        <v>0.338421</v>
      </c>
      <c r="N93" s="119" t="n">
        <v>31.59</v>
      </c>
      <c r="O93" s="117" t="n">
        <v>0.315826</v>
      </c>
      <c r="P93" s="120">
        <f>C93-G93</f>
        <v/>
      </c>
      <c r="Q93" s="120">
        <f>E93-C93</f>
        <v/>
      </c>
      <c r="R93" s="120">
        <f>C93-M93</f>
        <v/>
      </c>
      <c r="S93" s="120">
        <f>C93-O93</f>
        <v/>
      </c>
      <c r="T93" s="120">
        <f>E93-O93</f>
        <v/>
      </c>
      <c r="U93" s="120">
        <f>G93-O93</f>
        <v/>
      </c>
      <c r="V93" s="120">
        <f>G93-K93</f>
        <v/>
      </c>
      <c r="W93" s="120">
        <f>C93-K93</f>
        <v/>
      </c>
      <c r="X93" s="120">
        <f>I93-G93</f>
        <v/>
      </c>
      <c r="Y93" s="121">
        <f>G93-M93</f>
        <v/>
      </c>
      <c r="Z93" s="79" t="n"/>
    </row>
    <row r="94">
      <c r="A94" s="115" t="n">
        <v>45183</v>
      </c>
      <c r="B94" s="116" t="n">
        <v>34.8</v>
      </c>
      <c r="C94" s="117" t="n">
        <v>0.347362</v>
      </c>
      <c r="D94" s="116" t="n">
        <v>31.72</v>
      </c>
      <c r="E94" s="118" t="n">
        <v>0.316619</v>
      </c>
      <c r="F94" s="116" t="n">
        <v>31.07</v>
      </c>
      <c r="G94" s="117" t="n">
        <v>0.310415</v>
      </c>
      <c r="H94" s="119" t="n">
        <v>36.25</v>
      </c>
      <c r="I94" s="117" t="n">
        <v>0.362417</v>
      </c>
      <c r="J94" s="119" t="n">
        <v>31.72</v>
      </c>
      <c r="K94" s="117" t="n">
        <v>0.316546</v>
      </c>
      <c r="L94" s="116" t="n">
        <v>34.4</v>
      </c>
      <c r="M94" s="117" t="n">
        <v>0.343921</v>
      </c>
      <c r="N94" s="119" t="n">
        <v>31</v>
      </c>
      <c r="O94" s="117" t="n">
        <v>0.309929</v>
      </c>
      <c r="P94" s="120">
        <f>C94-G94</f>
        <v/>
      </c>
      <c r="Q94" s="120">
        <f>E94-C94</f>
        <v/>
      </c>
      <c r="R94" s="120">
        <f>C94-M94</f>
        <v/>
      </c>
      <c r="S94" s="120">
        <f>C94-O94</f>
        <v/>
      </c>
      <c r="T94" s="120">
        <f>E94-O94</f>
        <v/>
      </c>
      <c r="U94" s="120">
        <f>G94-O94</f>
        <v/>
      </c>
      <c r="V94" s="120">
        <f>G94-K94</f>
        <v/>
      </c>
      <c r="W94" s="120">
        <f>C94-K94</f>
        <v/>
      </c>
      <c r="X94" s="120">
        <f>I94-G94</f>
        <v/>
      </c>
      <c r="Y94" s="121">
        <f>G94-M94</f>
        <v/>
      </c>
      <c r="Z94" s="79" t="n"/>
    </row>
    <row r="95">
      <c r="A95" s="115" t="n">
        <v>45182</v>
      </c>
      <c r="B95" s="116" t="n">
        <v>31.5</v>
      </c>
      <c r="C95" s="117" t="n">
        <v>0.314431</v>
      </c>
      <c r="D95" s="116" t="n">
        <v>34.101</v>
      </c>
      <c r="E95" s="118" t="n">
        <v>0.340394</v>
      </c>
      <c r="F95" s="116" t="n">
        <v>31.05</v>
      </c>
      <c r="G95" s="117" t="n">
        <v>0.31022</v>
      </c>
      <c r="H95" s="119" t="n">
        <v>36.27</v>
      </c>
      <c r="I95" s="117" t="n">
        <v>0.362618</v>
      </c>
      <c r="J95" s="119" t="n">
        <v>31.73</v>
      </c>
      <c r="K95" s="117" t="n">
        <v>0.316656</v>
      </c>
      <c r="L95" s="116" t="n">
        <v>33.79</v>
      </c>
      <c r="M95" s="117" t="n">
        <v>0.337824</v>
      </c>
      <c r="N95" s="119" t="n">
        <v>31</v>
      </c>
      <c r="O95" s="117" t="n">
        <v>0.30993</v>
      </c>
      <c r="P95" s="120">
        <f>C95-G95</f>
        <v/>
      </c>
      <c r="Q95" s="120">
        <f>E95-C95</f>
        <v/>
      </c>
      <c r="R95" s="120">
        <f>C95-M95</f>
        <v/>
      </c>
      <c r="S95" s="120">
        <f>C95-O95</f>
        <v/>
      </c>
      <c r="T95" s="120">
        <f>E95-O95</f>
        <v/>
      </c>
      <c r="U95" s="120">
        <f>G95-O95</f>
        <v/>
      </c>
      <c r="V95" s="120">
        <f>G95-K95</f>
        <v/>
      </c>
      <c r="W95" s="120">
        <f>C95-K95</f>
        <v/>
      </c>
      <c r="X95" s="120">
        <f>I95-G95</f>
        <v/>
      </c>
      <c r="Y95" s="121">
        <f>G95-M95</f>
        <v/>
      </c>
      <c r="Z95" s="79" t="n"/>
    </row>
    <row r="96">
      <c r="A96" s="115" t="n">
        <v>45181</v>
      </c>
      <c r="B96" s="116" t="n">
        <v>31.98</v>
      </c>
      <c r="C96" s="117" t="n">
        <v>0.319232</v>
      </c>
      <c r="D96" s="116" t="n">
        <v>33.4</v>
      </c>
      <c r="E96" s="118" t="n">
        <v>0.333406</v>
      </c>
      <c r="F96" s="116" t="n">
        <v>30.96</v>
      </c>
      <c r="G96" s="117" t="n">
        <v>0.309325</v>
      </c>
      <c r="H96" s="119" t="n">
        <v>36.07</v>
      </c>
      <c r="I96" s="117" t="n">
        <v>0.36062</v>
      </c>
      <c r="J96" s="119" t="n">
        <v>30.8</v>
      </c>
      <c r="K96" s="117" t="n">
        <v>0.307384</v>
      </c>
      <c r="L96" s="116" t="n">
        <v>34.2</v>
      </c>
      <c r="M96" s="117" t="n">
        <v>0.341924</v>
      </c>
      <c r="N96" s="119" t="n">
        <v>31.48</v>
      </c>
      <c r="O96" s="117" t="n">
        <v>0.31473</v>
      </c>
      <c r="P96" s="120">
        <f>C96-G96</f>
        <v/>
      </c>
      <c r="Q96" s="120">
        <f>E96-C96</f>
        <v/>
      </c>
      <c r="R96" s="120">
        <f>C96-M96</f>
        <v/>
      </c>
      <c r="S96" s="120">
        <f>C96-O96</f>
        <v/>
      </c>
      <c r="T96" s="120">
        <f>E96-O96</f>
        <v/>
      </c>
      <c r="U96" s="120">
        <f>G96-O96</f>
        <v/>
      </c>
      <c r="V96" s="120">
        <f>G96-K96</f>
        <v/>
      </c>
      <c r="W96" s="120">
        <f>C96-K96</f>
        <v/>
      </c>
      <c r="X96" s="120">
        <f>I96-G96</f>
        <v/>
      </c>
      <c r="Y96" s="121">
        <f>G96-M96</f>
        <v/>
      </c>
      <c r="Z96" s="79" t="n"/>
    </row>
    <row r="97">
      <c r="A97" s="115" t="n">
        <v>45180</v>
      </c>
      <c r="B97" s="116" t="n">
        <v>31.29</v>
      </c>
      <c r="C97" s="117" t="n">
        <v>0.312352</v>
      </c>
      <c r="D97" s="116" t="n">
        <v>34.25</v>
      </c>
      <c r="E97" s="118" t="n">
        <v>0.341901</v>
      </c>
      <c r="F97" s="116" t="n">
        <v>30.75</v>
      </c>
      <c r="G97" s="117" t="n">
        <v>0.307231</v>
      </c>
      <c r="H97" s="119" t="n">
        <v>36.06</v>
      </c>
      <c r="I97" s="117" t="n">
        <v>0.360521</v>
      </c>
      <c r="J97" s="119" t="n">
        <v>30.75</v>
      </c>
      <c r="K97" s="117" t="n">
        <v>0.306895</v>
      </c>
      <c r="L97" s="116" t="n">
        <v>33.99</v>
      </c>
      <c r="M97" s="117" t="n">
        <v>0.339826</v>
      </c>
      <c r="N97" s="119" t="n">
        <v>30.89</v>
      </c>
      <c r="O97" s="117" t="n">
        <v>0.308832</v>
      </c>
      <c r="P97" s="120">
        <f>C97-G97</f>
        <v/>
      </c>
      <c r="Q97" s="120">
        <f>E97-C97</f>
        <v/>
      </c>
      <c r="R97" s="120">
        <f>C97-M97</f>
        <v/>
      </c>
      <c r="S97" s="120">
        <f>C97-O97</f>
        <v/>
      </c>
      <c r="T97" s="120">
        <f>E97-O97</f>
        <v/>
      </c>
      <c r="U97" s="120">
        <f>G97-O97</f>
        <v/>
      </c>
      <c r="V97" s="120">
        <f>G97-K97</f>
        <v/>
      </c>
      <c r="W97" s="120">
        <f>C97-K97</f>
        <v/>
      </c>
      <c r="X97" s="120">
        <f>I97-G97</f>
        <v/>
      </c>
      <c r="Y97" s="121">
        <f>G97-M97</f>
        <v/>
      </c>
      <c r="Z97" s="79" t="n"/>
    </row>
    <row r="98">
      <c r="A98" s="115" t="n">
        <v>45177</v>
      </c>
      <c r="B98" s="116" t="n">
        <v>31.51</v>
      </c>
      <c r="C98" s="117" t="n">
        <v>0.314574</v>
      </c>
      <c r="D98" s="116" t="n">
        <v>34.69</v>
      </c>
      <c r="E98" s="118" t="n">
        <v>0.346321</v>
      </c>
      <c r="F98" s="116" t="n">
        <v>30.97</v>
      </c>
      <c r="G98" s="117" t="n">
        <v>0.309441</v>
      </c>
      <c r="H98" s="119" t="n">
        <v>36.37</v>
      </c>
      <c r="I98" s="117" t="n">
        <v>0.363624</v>
      </c>
      <c r="J98" s="119" t="n">
        <v>31.7</v>
      </c>
      <c r="K98" s="117" t="n">
        <v>0.316405</v>
      </c>
      <c r="L98" s="116" t="n">
        <v>33.8</v>
      </c>
      <c r="M98" s="117" t="n">
        <v>0.337929</v>
      </c>
      <c r="N98" s="119" t="n">
        <v>30.6</v>
      </c>
      <c r="O98" s="117" t="n">
        <v>0.305936</v>
      </c>
      <c r="P98" s="120">
        <f>C98-G98</f>
        <v/>
      </c>
      <c r="Q98" s="120">
        <f>E98-C98</f>
        <v/>
      </c>
      <c r="R98" s="120">
        <f>C98-M98</f>
        <v/>
      </c>
      <c r="S98" s="120">
        <f>C98-O98</f>
        <v/>
      </c>
      <c r="T98" s="120">
        <f>E98-O98</f>
        <v/>
      </c>
      <c r="U98" s="120">
        <f>G98-O98</f>
        <v/>
      </c>
      <c r="V98" s="120">
        <f>G98-K98</f>
        <v/>
      </c>
      <c r="W98" s="120">
        <f>C98-K98</f>
        <v/>
      </c>
      <c r="X98" s="120">
        <f>I98-G98</f>
        <v/>
      </c>
      <c r="Y98" s="121">
        <f>G98-M98</f>
        <v/>
      </c>
      <c r="Z98" s="79" t="n"/>
    </row>
    <row r="99">
      <c r="A99" s="115" t="n">
        <v>45176</v>
      </c>
      <c r="B99" s="116" t="n">
        <v>31.8</v>
      </c>
      <c r="C99" s="117" t="n">
        <v>0.317478</v>
      </c>
      <c r="D99" s="116" t="n">
        <v>35.15</v>
      </c>
      <c r="E99" s="118" t="n">
        <v>0.350923</v>
      </c>
      <c r="F99" s="116" t="n">
        <v>31.84</v>
      </c>
      <c r="G99" s="117" t="n">
        <v>0.318139</v>
      </c>
      <c r="H99" s="119" t="n">
        <v>37.12</v>
      </c>
      <c r="I99" s="117" t="n">
        <v>0.371124</v>
      </c>
      <c r="J99" s="119" t="n">
        <v>31.9</v>
      </c>
      <c r="K99" s="117" t="n">
        <v>0.318411</v>
      </c>
      <c r="L99" s="116" t="n">
        <v>34.28</v>
      </c>
      <c r="M99" s="117" t="n">
        <v>0.34273</v>
      </c>
      <c r="N99" s="119" t="n">
        <v>31.5</v>
      </c>
      <c r="O99" s="117" t="n">
        <v>0.314935</v>
      </c>
      <c r="P99" s="120">
        <f>C99-G99</f>
        <v/>
      </c>
      <c r="Q99" s="120">
        <f>E99-C99</f>
        <v/>
      </c>
      <c r="R99" s="120">
        <f>C99-M99</f>
        <v/>
      </c>
      <c r="S99" s="120">
        <f>C99-O99</f>
        <v/>
      </c>
      <c r="T99" s="120">
        <f>E99-O99</f>
        <v/>
      </c>
      <c r="U99" s="120">
        <f>G99-O99</f>
        <v/>
      </c>
      <c r="V99" s="120">
        <f>G99-K99</f>
        <v/>
      </c>
      <c r="W99" s="120">
        <f>C99-K99</f>
        <v/>
      </c>
      <c r="X99" s="120">
        <f>I99-G99</f>
        <v/>
      </c>
      <c r="Y99" s="121">
        <f>G99-M99</f>
        <v/>
      </c>
      <c r="Z99" s="79" t="n"/>
    </row>
    <row r="100">
      <c r="A100" s="115" t="n">
        <v>45175</v>
      </c>
      <c r="B100" s="116" t="n">
        <v>32.795</v>
      </c>
      <c r="C100" s="117" t="n">
        <v>0.327421</v>
      </c>
      <c r="D100" s="116" t="n">
        <v>34.57</v>
      </c>
      <c r="E100" s="118" t="n">
        <v>0.345142</v>
      </c>
      <c r="F100" s="116" t="n">
        <v>32.01</v>
      </c>
      <c r="G100" s="117" t="n">
        <v>0.319841</v>
      </c>
      <c r="H100" s="119" t="n">
        <v>37.24</v>
      </c>
      <c r="I100" s="117" t="n">
        <v>0.372325</v>
      </c>
      <c r="J100" s="119" t="n">
        <v>32.95</v>
      </c>
      <c r="K100" s="117" t="n">
        <v>0.328902</v>
      </c>
      <c r="L100" s="116" t="n">
        <v>35</v>
      </c>
      <c r="M100" s="117" t="n">
        <v>0.349929</v>
      </c>
      <c r="N100" s="119" t="n">
        <v>32</v>
      </c>
      <c r="O100" s="117" t="n">
        <v>0.319935</v>
      </c>
      <c r="P100" s="120">
        <f>C100-G100</f>
        <v/>
      </c>
      <c r="Q100" s="120">
        <f>E100-C100</f>
        <v/>
      </c>
      <c r="R100" s="120">
        <f>C100-M100</f>
        <v/>
      </c>
      <c r="S100" s="120">
        <f>C100-O100</f>
        <v/>
      </c>
      <c r="T100" s="120">
        <f>E100-O100</f>
        <v/>
      </c>
      <c r="U100" s="120">
        <f>G100-O100</f>
        <v/>
      </c>
      <c r="V100" s="120">
        <f>G100-K100</f>
        <v/>
      </c>
      <c r="W100" s="120">
        <f>C100-K100</f>
        <v/>
      </c>
      <c r="X100" s="120">
        <f>I100-G100</f>
        <v/>
      </c>
      <c r="Y100" s="121">
        <f>G100-M100</f>
        <v/>
      </c>
      <c r="Z100" s="79" t="n"/>
    </row>
    <row r="101">
      <c r="A101" s="115" t="n">
        <v>45174</v>
      </c>
      <c r="B101" s="116" t="n">
        <v>32.52</v>
      </c>
      <c r="C101" s="117" t="n">
        <v>0.324684</v>
      </c>
      <c r="D101" s="116" t="n">
        <v>36.5</v>
      </c>
      <c r="E101" s="118" t="n">
        <v>0.364421</v>
      </c>
      <c r="F101" s="116" t="n">
        <v>32.2</v>
      </c>
      <c r="G101" s="117" t="n">
        <v>0.321744</v>
      </c>
      <c r="H101" s="119" t="n">
        <v>37.75</v>
      </c>
      <c r="I101" s="117" t="n">
        <v>0.377425</v>
      </c>
      <c r="J101" s="119" t="n">
        <v>33.5</v>
      </c>
      <c r="K101" s="117" t="n">
        <v>0.334402</v>
      </c>
      <c r="L101" s="116" t="n">
        <v>35</v>
      </c>
      <c r="M101" s="117" t="n">
        <v>0.34993</v>
      </c>
      <c r="N101" s="119" t="n">
        <v>32.15</v>
      </c>
      <c r="O101" s="117" t="n">
        <v>0.321436</v>
      </c>
      <c r="P101" s="120">
        <f>C101-G101</f>
        <v/>
      </c>
      <c r="Q101" s="120">
        <f>E101-C101</f>
        <v/>
      </c>
      <c r="R101" s="120">
        <f>C101-M101</f>
        <v/>
      </c>
      <c r="S101" s="120">
        <f>C101-O101</f>
        <v/>
      </c>
      <c r="T101" s="120">
        <f>E101-O101</f>
        <v/>
      </c>
      <c r="U101" s="120">
        <f>G101-O101</f>
        <v/>
      </c>
      <c r="V101" s="120">
        <f>G101-K101</f>
        <v/>
      </c>
      <c r="W101" s="120">
        <f>C101-K101</f>
        <v/>
      </c>
      <c r="X101" s="120">
        <f>I101-G101</f>
        <v/>
      </c>
      <c r="Y101" s="121">
        <f>G101-M101</f>
        <v/>
      </c>
      <c r="Z101" s="79" t="n"/>
    </row>
    <row r="102">
      <c r="A102" s="115" t="n">
        <v>45173</v>
      </c>
      <c r="B102" s="116" t="n">
        <v>34</v>
      </c>
      <c r="C102" s="117" t="n">
        <v>0.33947</v>
      </c>
      <c r="D102" s="116" t="n">
        <v>37</v>
      </c>
      <c r="E102" s="118" t="n">
        <v>0.369423</v>
      </c>
      <c r="F102" s="116" t="n">
        <v>32.93</v>
      </c>
      <c r="G102" s="117" t="n">
        <v>0.329043</v>
      </c>
      <c r="H102" s="119" t="n">
        <v>38.61</v>
      </c>
      <c r="I102" s="117" t="n">
        <v>0.386025</v>
      </c>
      <c r="J102" s="119" t="n">
        <v>33.3</v>
      </c>
      <c r="K102" s="117" t="n">
        <v>0.332416</v>
      </c>
      <c r="L102" s="116" t="n">
        <v>36.5</v>
      </c>
      <c r="M102" s="117" t="n">
        <v>0.364929</v>
      </c>
      <c r="N102" s="119" t="n">
        <v>33</v>
      </c>
      <c r="O102" s="117" t="n">
        <v>0.329936</v>
      </c>
      <c r="P102" s="120">
        <f>C102-G102</f>
        <v/>
      </c>
      <c r="Q102" s="120">
        <f>E102-C102</f>
        <v/>
      </c>
      <c r="R102" s="120">
        <f>C102-M102</f>
        <v/>
      </c>
      <c r="S102" s="120">
        <f>C102-O102</f>
        <v/>
      </c>
      <c r="T102" s="120">
        <f>E102-O102</f>
        <v/>
      </c>
      <c r="U102" s="120">
        <f>G102-O102</f>
        <v/>
      </c>
      <c r="V102" s="120">
        <f>G102-K102</f>
        <v/>
      </c>
      <c r="W102" s="120">
        <f>C102-K102</f>
        <v/>
      </c>
      <c r="X102" s="120">
        <f>I102-G102</f>
        <v/>
      </c>
      <c r="Y102" s="121">
        <f>G102-M102</f>
        <v/>
      </c>
      <c r="Z102" s="79" t="n"/>
    </row>
    <row r="103">
      <c r="A103" s="115" t="n">
        <v>45170</v>
      </c>
      <c r="B103" s="116" t="n">
        <v>34.29</v>
      </c>
      <c r="C103" s="117" t="n">
        <v>0.342393</v>
      </c>
      <c r="D103" s="116" t="n">
        <v>37</v>
      </c>
      <c r="E103" s="118" t="n">
        <v>0.369453</v>
      </c>
      <c r="F103" s="116" t="n">
        <v>33.17</v>
      </c>
      <c r="G103" s="117" t="n">
        <v>0.331455</v>
      </c>
      <c r="H103" s="119" t="n">
        <v>38.71</v>
      </c>
      <c r="I103" s="117" t="n">
        <v>0.387028</v>
      </c>
      <c r="J103" s="119" t="n">
        <v>33.5</v>
      </c>
      <c r="K103" s="117" t="n">
        <v>0.334443</v>
      </c>
      <c r="L103" s="116" t="n">
        <v>36.29</v>
      </c>
      <c r="M103" s="117" t="n">
        <v>0.362833</v>
      </c>
      <c r="N103" s="119" t="n">
        <v>33.25</v>
      </c>
      <c r="O103" s="117" t="n">
        <v>0.332439</v>
      </c>
      <c r="P103" s="120">
        <f>C103-G103</f>
        <v/>
      </c>
      <c r="Q103" s="120">
        <f>E103-C103</f>
        <v/>
      </c>
      <c r="R103" s="120">
        <f>C103-M103</f>
        <v/>
      </c>
      <c r="S103" s="120">
        <f>C103-O103</f>
        <v/>
      </c>
      <c r="T103" s="120">
        <f>E103-O103</f>
        <v/>
      </c>
      <c r="U103" s="120">
        <f>G103-O103</f>
        <v/>
      </c>
      <c r="V103" s="120">
        <f>G103-K103</f>
        <v/>
      </c>
      <c r="W103" s="120">
        <f>C103-K103</f>
        <v/>
      </c>
      <c r="X103" s="120">
        <f>I103-G103</f>
        <v/>
      </c>
      <c r="Y103" s="121">
        <f>G103-M103</f>
        <v/>
      </c>
      <c r="Z103" s="79" t="n"/>
    </row>
    <row r="104">
      <c r="A104" s="115" t="n">
        <v>45169</v>
      </c>
      <c r="B104" s="116" t="n">
        <v>34</v>
      </c>
      <c r="C104" s="117" t="n">
        <v>0.339507</v>
      </c>
      <c r="D104" s="116" t="n">
        <v>37</v>
      </c>
      <c r="E104" s="118" t="n">
        <v>0.369464</v>
      </c>
      <c r="F104" s="116" t="n">
        <v>33.67</v>
      </c>
      <c r="G104" s="117" t="n">
        <v>0.336456</v>
      </c>
      <c r="H104" s="119" t="n">
        <v>39.22</v>
      </c>
      <c r="I104" s="117" t="n">
        <v>0.392129</v>
      </c>
      <c r="J104" s="119" t="n">
        <v>33.5</v>
      </c>
      <c r="K104" s="117" t="n">
        <v>0.334454</v>
      </c>
      <c r="L104" s="116" t="n">
        <v>36.6</v>
      </c>
      <c r="M104" s="117" t="n">
        <v>0.365934</v>
      </c>
      <c r="N104" s="119" t="n">
        <v>33.59</v>
      </c>
      <c r="O104" s="117" t="n">
        <v>0.335839</v>
      </c>
      <c r="P104" s="120">
        <f>C104-G104</f>
        <v/>
      </c>
      <c r="Q104" s="120">
        <f>E104-C104</f>
        <v/>
      </c>
      <c r="R104" s="120">
        <f>C104-M104</f>
        <v/>
      </c>
      <c r="S104" s="120">
        <f>C104-O104</f>
        <v/>
      </c>
      <c r="T104" s="120">
        <f>E104-O104</f>
        <v/>
      </c>
      <c r="U104" s="120">
        <f>G104-O104</f>
        <v/>
      </c>
      <c r="V104" s="120">
        <f>G104-K104</f>
        <v/>
      </c>
      <c r="W104" s="120">
        <f>C104-K104</f>
        <v/>
      </c>
      <c r="X104" s="120">
        <f>I104-G104</f>
        <v/>
      </c>
      <c r="Y104" s="121">
        <f>G104-M104</f>
        <v/>
      </c>
      <c r="Z104" s="79" t="n"/>
    </row>
    <row r="105">
      <c r="A105" s="115" t="n">
        <v>45168</v>
      </c>
      <c r="B105" s="116" t="n">
        <v>34</v>
      </c>
      <c r="C105" s="117" t="n">
        <v>0.339516</v>
      </c>
      <c r="D105" s="116" t="n">
        <v>38.5</v>
      </c>
      <c r="E105" s="118" t="n">
        <v>0.384452</v>
      </c>
      <c r="F105" s="116" t="n">
        <v>34.41</v>
      </c>
      <c r="G105" s="117" t="n">
        <v>0.343855</v>
      </c>
      <c r="H105" s="119" t="n">
        <v>40.33</v>
      </c>
      <c r="I105" s="117" t="n">
        <v>0.403228</v>
      </c>
      <c r="J105" s="119" t="n">
        <v>34.5</v>
      </c>
      <c r="K105" s="117" t="n">
        <v>0.344448</v>
      </c>
      <c r="L105" s="116" t="n">
        <v>37.8</v>
      </c>
      <c r="M105" s="117" t="n">
        <v>0.377933</v>
      </c>
      <c r="N105" s="119" t="n">
        <v>34.431</v>
      </c>
      <c r="O105" s="117" t="n">
        <v>0.344249</v>
      </c>
      <c r="P105" s="120">
        <f>C105-G105</f>
        <v/>
      </c>
      <c r="Q105" s="120">
        <f>E105-C105</f>
        <v/>
      </c>
      <c r="R105" s="120">
        <f>C105-M105</f>
        <v/>
      </c>
      <c r="S105" s="120">
        <f>C105-O105</f>
        <v/>
      </c>
      <c r="T105" s="120">
        <f>E105-O105</f>
        <v/>
      </c>
      <c r="U105" s="120">
        <f>G105-O105</f>
        <v/>
      </c>
      <c r="V105" s="120">
        <f>G105-K105</f>
        <v/>
      </c>
      <c r="W105" s="120">
        <f>C105-K105</f>
        <v/>
      </c>
      <c r="X105" s="120">
        <f>I105-G105</f>
        <v/>
      </c>
      <c r="Y105" s="121">
        <f>G105-M105</f>
        <v/>
      </c>
      <c r="Z105" s="79" t="n"/>
    </row>
    <row r="106">
      <c r="A106" s="115" t="n">
        <v>45167</v>
      </c>
      <c r="B106" s="116" t="n">
        <v>35.79</v>
      </c>
      <c r="C106" s="117" t="n">
        <v>0.357401</v>
      </c>
      <c r="D106" s="116" t="n">
        <v>39.2</v>
      </c>
      <c r="E106" s="118" t="n">
        <v>0.391453</v>
      </c>
      <c r="F106" s="116" t="n">
        <v>35.28</v>
      </c>
      <c r="G106" s="117" t="n">
        <v>0.352554</v>
      </c>
      <c r="H106" s="119" t="n">
        <v>41.16</v>
      </c>
      <c r="I106" s="117" t="n">
        <v>0.411528</v>
      </c>
      <c r="J106" s="119" t="n">
        <v>35.6</v>
      </c>
      <c r="K106" s="117" t="n">
        <v>0.355441</v>
      </c>
      <c r="L106" s="116" t="n">
        <v>37.8</v>
      </c>
      <c r="M106" s="117" t="n">
        <v>0.377934</v>
      </c>
      <c r="N106" s="119" t="n">
        <v>35.2</v>
      </c>
      <c r="O106" s="117" t="n">
        <v>0.351939</v>
      </c>
      <c r="P106" s="120">
        <f>C106-G106</f>
        <v/>
      </c>
      <c r="Q106" s="120">
        <f>E106-C106</f>
        <v/>
      </c>
      <c r="R106" s="120">
        <f>C106-M106</f>
        <v/>
      </c>
      <c r="S106" s="120">
        <f>C106-O106</f>
        <v/>
      </c>
      <c r="T106" s="120">
        <f>E106-O106</f>
        <v/>
      </c>
      <c r="U106" s="120">
        <f>G106-O106</f>
        <v/>
      </c>
      <c r="V106" s="120">
        <f>G106-K106</f>
        <v/>
      </c>
      <c r="W106" s="120">
        <f>C106-K106</f>
        <v/>
      </c>
      <c r="X106" s="120">
        <f>I106-G106</f>
        <v/>
      </c>
      <c r="Y106" s="121">
        <f>G106-M106</f>
        <v/>
      </c>
      <c r="Z106" s="79" t="n"/>
    </row>
    <row r="107">
      <c r="A107" s="115" t="n">
        <v>45166</v>
      </c>
      <c r="B107" s="116" t="n">
        <v>34.7</v>
      </c>
      <c r="C107" s="117" t="n">
        <v>0.346525</v>
      </c>
      <c r="D107" s="116" t="n">
        <v>38</v>
      </c>
      <c r="E107" s="118" t="n">
        <v>0.37948</v>
      </c>
      <c r="F107" s="116" t="n">
        <v>34.7</v>
      </c>
      <c r="G107" s="117" t="n">
        <v>0.346762</v>
      </c>
      <c r="H107" s="119" t="n">
        <v>40.4</v>
      </c>
      <c r="I107" s="117" t="n">
        <v>0.403931</v>
      </c>
      <c r="J107" s="119" t="n">
        <v>34.95</v>
      </c>
      <c r="K107" s="117" t="n">
        <v>0.348962</v>
      </c>
      <c r="L107" s="116" t="n">
        <v>37.89</v>
      </c>
      <c r="M107" s="117" t="n">
        <v>0.378835</v>
      </c>
      <c r="N107" s="119" t="n">
        <v>34.7</v>
      </c>
      <c r="O107" s="117" t="n">
        <v>0.346941</v>
      </c>
      <c r="P107" s="120">
        <f>C107-G107</f>
        <v/>
      </c>
      <c r="Q107" s="120">
        <f>E107-C107</f>
        <v/>
      </c>
      <c r="R107" s="120">
        <f>C107-M107</f>
        <v/>
      </c>
      <c r="S107" s="120">
        <f>C107-O107</f>
        <v/>
      </c>
      <c r="T107" s="120">
        <f>E107-O107</f>
        <v/>
      </c>
      <c r="U107" s="120">
        <f>G107-O107</f>
        <v/>
      </c>
      <c r="V107" s="120">
        <f>G107-K107</f>
        <v/>
      </c>
      <c r="W107" s="120">
        <f>C107-K107</f>
        <v/>
      </c>
      <c r="X107" s="120">
        <f>I107-G107</f>
        <v/>
      </c>
      <c r="Y107" s="121">
        <f>G107-M107</f>
        <v/>
      </c>
      <c r="Z107" s="79" t="n"/>
    </row>
    <row r="108">
      <c r="A108" s="115" t="n">
        <v>45163</v>
      </c>
      <c r="B108" s="116" t="n">
        <v>32.6</v>
      </c>
      <c r="C108" s="117" t="n">
        <v>0.325581</v>
      </c>
      <c r="D108" s="116" t="n">
        <v>38</v>
      </c>
      <c r="E108" s="118" t="n">
        <v>0.379511</v>
      </c>
      <c r="F108" s="116" t="n">
        <v>33.69</v>
      </c>
      <c r="G108" s="117" t="n">
        <v>0.336683</v>
      </c>
      <c r="H108" s="119" t="n">
        <v>39.25</v>
      </c>
      <c r="I108" s="117" t="n">
        <v>0.392437</v>
      </c>
      <c r="J108" s="119" t="n">
        <v>33.8</v>
      </c>
      <c r="K108" s="117" t="n">
        <v>0.337511</v>
      </c>
      <c r="L108" s="116" t="n">
        <v>36.69</v>
      </c>
      <c r="M108" s="117" t="n">
        <v>0.366841</v>
      </c>
      <c r="N108" s="119" t="n">
        <v>33.1</v>
      </c>
      <c r="O108" s="117" t="n">
        <v>0.330947</v>
      </c>
      <c r="P108" s="120">
        <f>C108-G108</f>
        <v/>
      </c>
      <c r="Q108" s="120">
        <f>E108-C108</f>
        <v/>
      </c>
      <c r="R108" s="120">
        <f>C108-M108</f>
        <v/>
      </c>
      <c r="S108" s="120">
        <f>C108-O108</f>
        <v/>
      </c>
      <c r="T108" s="120">
        <f>E108-O108</f>
        <v/>
      </c>
      <c r="U108" s="120">
        <f>G108-O108</f>
        <v/>
      </c>
      <c r="V108" s="120">
        <f>G108-K108</f>
        <v/>
      </c>
      <c r="W108" s="120">
        <f>C108-K108</f>
        <v/>
      </c>
      <c r="X108" s="120">
        <f>I108-G108</f>
        <v/>
      </c>
      <c r="Y108" s="121">
        <f>G108-M108</f>
        <v/>
      </c>
      <c r="Z108" s="79" t="n"/>
    </row>
    <row r="109">
      <c r="A109" s="115" t="n">
        <v>45162</v>
      </c>
      <c r="B109" s="116" t="n">
        <v>32.91</v>
      </c>
      <c r="C109" s="117" t="n">
        <v>0.328686</v>
      </c>
      <c r="D109" s="116" t="n">
        <v>38</v>
      </c>
      <c r="E109" s="118" t="n">
        <v>0.379522</v>
      </c>
      <c r="F109" s="116" t="n">
        <v>32.8</v>
      </c>
      <c r="G109" s="117" t="n">
        <v>0.327793</v>
      </c>
      <c r="H109" s="119" t="n">
        <v>38.73</v>
      </c>
      <c r="I109" s="117" t="n">
        <v>0.387239</v>
      </c>
      <c r="J109" s="119" t="n">
        <v>33</v>
      </c>
      <c r="K109" s="117" t="n">
        <v>0.329533</v>
      </c>
      <c r="L109" s="116" t="n">
        <v>36.45</v>
      </c>
      <c r="M109" s="117" t="n">
        <v>0.364443</v>
      </c>
      <c r="N109" s="119" t="n">
        <v>32.75</v>
      </c>
      <c r="O109" s="117" t="n">
        <v>0.327448</v>
      </c>
      <c r="P109" s="120">
        <f>C109-G109</f>
        <v/>
      </c>
      <c r="Q109" s="120">
        <f>E109-C109</f>
        <v/>
      </c>
      <c r="R109" s="120">
        <f>C109-M109</f>
        <v/>
      </c>
      <c r="S109" s="120">
        <f>C109-O109</f>
        <v/>
      </c>
      <c r="T109" s="120">
        <f>E109-O109</f>
        <v/>
      </c>
      <c r="U109" s="120">
        <f>G109-O109</f>
        <v/>
      </c>
      <c r="V109" s="120">
        <f>G109-K109</f>
        <v/>
      </c>
      <c r="W109" s="120">
        <f>C109-K109</f>
        <v/>
      </c>
      <c r="X109" s="120">
        <f>I109-G109</f>
        <v/>
      </c>
      <c r="Y109" s="121">
        <f>G109-M109</f>
        <v/>
      </c>
      <c r="Z109" s="79" t="n"/>
    </row>
    <row r="110">
      <c r="A110" s="115" t="n">
        <v>45161</v>
      </c>
      <c r="B110" s="116" t="n">
        <v>32.75</v>
      </c>
      <c r="C110" s="117" t="n">
        <v>0.327097</v>
      </c>
      <c r="D110" s="116" t="n">
        <v>36.3</v>
      </c>
      <c r="E110" s="118" t="n">
        <v>0.362553</v>
      </c>
      <c r="F110" s="116" t="n">
        <v>32.75</v>
      </c>
      <c r="G110" s="117" t="n">
        <v>0.327298</v>
      </c>
      <c r="H110" s="119" t="n">
        <v>38.62</v>
      </c>
      <c r="I110" s="117" t="n">
        <v>0.38614</v>
      </c>
      <c r="J110" s="119" t="n">
        <v>33.1</v>
      </c>
      <c r="K110" s="117" t="n">
        <v>0.330542</v>
      </c>
      <c r="L110" s="116" t="n">
        <v>35.4</v>
      </c>
      <c r="M110" s="117" t="n">
        <v>0.353945</v>
      </c>
      <c r="N110" s="119" t="n">
        <v>33</v>
      </c>
      <c r="O110" s="117" t="n">
        <v>0.329949</v>
      </c>
      <c r="P110" s="120">
        <f>C110-G110</f>
        <v/>
      </c>
      <c r="Q110" s="120">
        <f>E110-C110</f>
        <v/>
      </c>
      <c r="R110" s="120">
        <f>C110-M110</f>
        <v/>
      </c>
      <c r="S110" s="120">
        <f>C110-O110</f>
        <v/>
      </c>
      <c r="T110" s="120">
        <f>E110-O110</f>
        <v/>
      </c>
      <c r="U110" s="120">
        <f>G110-O110</f>
        <v/>
      </c>
      <c r="V110" s="120">
        <f>G110-K110</f>
        <v/>
      </c>
      <c r="W110" s="120">
        <f>C110-K110</f>
        <v/>
      </c>
      <c r="X110" s="120">
        <f>I110-G110</f>
        <v/>
      </c>
      <c r="Y110" s="121">
        <f>G110-M110</f>
        <v/>
      </c>
      <c r="Z110" s="79" t="n"/>
    </row>
    <row r="111">
      <c r="A111" s="115" t="n">
        <v>45160</v>
      </c>
      <c r="B111" s="116" t="n">
        <v>33.25</v>
      </c>
      <c r="C111" s="117" t="n">
        <v>0.3321</v>
      </c>
      <c r="D111" s="116" t="n">
        <v>36</v>
      </c>
      <c r="E111" s="118" t="n">
        <v>0.359567</v>
      </c>
      <c r="F111" s="116" t="n">
        <v>32.59</v>
      </c>
      <c r="G111" s="117" t="n">
        <v>0.325704</v>
      </c>
      <c r="H111" s="119" t="n">
        <v>38.55</v>
      </c>
      <c r="I111" s="117" t="n">
        <v>0.385442</v>
      </c>
      <c r="J111" s="119" t="n">
        <v>34</v>
      </c>
      <c r="K111" s="117" t="n">
        <v>0.33954</v>
      </c>
      <c r="L111" s="116" t="n">
        <v>35.85</v>
      </c>
      <c r="M111" s="117" t="n">
        <v>0.358446</v>
      </c>
      <c r="N111" s="119" t="n">
        <v>33.3</v>
      </c>
      <c r="O111" s="117" t="n">
        <v>0.33295</v>
      </c>
      <c r="P111" s="120">
        <f>C111-G111</f>
        <v/>
      </c>
      <c r="Q111" s="120">
        <f>E111-C111</f>
        <v/>
      </c>
      <c r="R111" s="120">
        <f>C111-M111</f>
        <v/>
      </c>
      <c r="S111" s="120">
        <f>C111-O111</f>
        <v/>
      </c>
      <c r="T111" s="120">
        <f>E111-O111</f>
        <v/>
      </c>
      <c r="U111" s="120">
        <f>G111-O111</f>
        <v/>
      </c>
      <c r="V111" s="120">
        <f>G111-K111</f>
        <v/>
      </c>
      <c r="W111" s="120">
        <f>C111-K111</f>
        <v/>
      </c>
      <c r="X111" s="120">
        <f>I111-G111</f>
        <v/>
      </c>
      <c r="Y111" s="121">
        <f>G111-M111</f>
        <v/>
      </c>
      <c r="Z111" s="79" t="n"/>
    </row>
    <row r="112">
      <c r="A112" s="115" t="n">
        <v>45156</v>
      </c>
      <c r="B112" s="116" t="n">
        <v>32.49</v>
      </c>
      <c r="C112" s="117" t="n">
        <v>0.324544</v>
      </c>
      <c r="D112" s="116" t="n">
        <v>35</v>
      </c>
      <c r="E112" s="118" t="n">
        <v>0.349617</v>
      </c>
      <c r="F112" s="116" t="n">
        <v>31.68</v>
      </c>
      <c r="G112" s="117" t="n">
        <v>0.316627</v>
      </c>
      <c r="H112" s="119" t="n">
        <v>37.21</v>
      </c>
      <c r="I112" s="117" t="n">
        <v>0.372049</v>
      </c>
      <c r="J112" s="119" t="n">
        <v>32.04</v>
      </c>
      <c r="K112" s="117" t="n">
        <v>0.320005</v>
      </c>
      <c r="L112" s="116" t="n">
        <v>35.4</v>
      </c>
      <c r="M112" s="117" t="n">
        <v>0.353952</v>
      </c>
      <c r="N112" s="119" t="n">
        <v>35</v>
      </c>
      <c r="O112" s="117" t="n">
        <v>0.349952</v>
      </c>
      <c r="P112" s="120">
        <f>C112-G112</f>
        <v/>
      </c>
      <c r="Q112" s="120">
        <f>E112-C112</f>
        <v/>
      </c>
      <c r="R112" s="120">
        <f>C112-M112</f>
        <v/>
      </c>
      <c r="S112" s="120">
        <f>C112-O112</f>
        <v/>
      </c>
      <c r="T112" s="120">
        <f>E112-O112</f>
        <v/>
      </c>
      <c r="U112" s="120">
        <f>G112-O112</f>
        <v/>
      </c>
      <c r="V112" s="120">
        <f>G112-K112</f>
        <v/>
      </c>
      <c r="W112" s="120">
        <f>C112-K112</f>
        <v/>
      </c>
      <c r="X112" s="120">
        <f>I112-G112</f>
        <v/>
      </c>
      <c r="Y112" s="121">
        <f>G112-M112</f>
        <v/>
      </c>
      <c r="Z112" s="79" t="n"/>
    </row>
    <row r="113">
      <c r="A113" s="115" t="n">
        <v>45155</v>
      </c>
      <c r="B113" s="116" t="n">
        <v>31.2</v>
      </c>
      <c r="C113" s="117" t="n">
        <v>0.311667</v>
      </c>
      <c r="D113" s="116" t="n">
        <v>34.101</v>
      </c>
      <c r="E113" s="118" t="n">
        <v>0.340646</v>
      </c>
      <c r="F113" s="116" t="n">
        <v>30.36</v>
      </c>
      <c r="G113" s="117" t="n">
        <v>0.303438</v>
      </c>
      <c r="H113" s="119" t="n">
        <v>36.24</v>
      </c>
      <c r="I113" s="117" t="n">
        <v>0.362352</v>
      </c>
      <c r="J113" s="119" t="n">
        <v>31.5</v>
      </c>
      <c r="K113" s="117" t="n">
        <v>0.314622</v>
      </c>
      <c r="L113" s="116" t="n">
        <v>34.7</v>
      </c>
      <c r="M113" s="117" t="n">
        <v>0.346954</v>
      </c>
      <c r="N113" s="119" t="n">
        <v>30.5</v>
      </c>
      <c r="O113" s="117" t="n">
        <v>0.304959</v>
      </c>
      <c r="P113" s="120">
        <f>C113-G113</f>
        <v/>
      </c>
      <c r="Q113" s="120">
        <f>E113-C113</f>
        <v/>
      </c>
      <c r="R113" s="120">
        <f>C113-M113</f>
        <v/>
      </c>
      <c r="S113" s="120">
        <f>C113-O113</f>
        <v/>
      </c>
      <c r="T113" s="120">
        <f>E113-O113</f>
        <v/>
      </c>
      <c r="U113" s="120">
        <f>G113-O113</f>
        <v/>
      </c>
      <c r="V113" s="120">
        <f>G113-K113</f>
        <v/>
      </c>
      <c r="W113" s="120">
        <f>C113-K113</f>
        <v/>
      </c>
      <c r="X113" s="120">
        <f>I113-G113</f>
        <v/>
      </c>
      <c r="Y113" s="121">
        <f>G113-M113</f>
        <v/>
      </c>
      <c r="Z113" s="79" t="n"/>
    </row>
    <row r="114">
      <c r="A114" s="115" t="n">
        <v>45154</v>
      </c>
      <c r="B114" s="116" t="n">
        <v>31.2</v>
      </c>
      <c r="C114" s="117" t="n">
        <v>0.311676</v>
      </c>
      <c r="D114" s="116" t="n">
        <v>34</v>
      </c>
      <c r="E114" s="118" t="n">
        <v>0.339646</v>
      </c>
      <c r="F114" s="116" t="n">
        <v>28.9</v>
      </c>
      <c r="G114" s="117" t="n">
        <v>0.28885</v>
      </c>
      <c r="H114" s="119" t="n">
        <v>34.54</v>
      </c>
      <c r="I114" s="117" t="n">
        <v>0.345355</v>
      </c>
      <c r="J114" s="119" t="n">
        <v>29.77</v>
      </c>
      <c r="K114" s="117" t="n">
        <v>0.297352</v>
      </c>
      <c r="L114" s="116" t="n">
        <v>34</v>
      </c>
      <c r="M114" s="117" t="n">
        <v>0.339956</v>
      </c>
      <c r="N114" s="119" t="n">
        <v>29.5</v>
      </c>
      <c r="O114" s="117" t="n">
        <v>0.294962</v>
      </c>
      <c r="P114" s="120">
        <f>C114-G114</f>
        <v/>
      </c>
      <c r="Q114" s="120">
        <f>E114-C114</f>
        <v/>
      </c>
      <c r="R114" s="120">
        <f>C114-M114</f>
        <v/>
      </c>
      <c r="S114" s="120">
        <f>C114-O114</f>
        <v/>
      </c>
      <c r="T114" s="120">
        <f>E114-O114</f>
        <v/>
      </c>
      <c r="U114" s="120">
        <f>G114-O114</f>
        <v/>
      </c>
      <c r="V114" s="120">
        <f>G114-K114</f>
        <v/>
      </c>
      <c r="W114" s="120">
        <f>C114-K114</f>
        <v/>
      </c>
      <c r="X114" s="120">
        <f>I114-G114</f>
        <v/>
      </c>
      <c r="Y114" s="121">
        <f>G114-M114</f>
        <v/>
      </c>
      <c r="Z114" s="79" t="n"/>
    </row>
    <row r="115">
      <c r="A115" s="115" t="n">
        <v>45153</v>
      </c>
      <c r="B115" s="116" t="n">
        <v>29.72</v>
      </c>
      <c r="C115" s="117" t="n">
        <v>0.296899</v>
      </c>
      <c r="D115" s="116" t="n">
        <v>32.8</v>
      </c>
      <c r="E115" s="118" t="n">
        <v>0.327668</v>
      </c>
      <c r="F115" s="116" t="n">
        <v>27.87</v>
      </c>
      <c r="G115" s="117" t="n">
        <v>0.278559</v>
      </c>
      <c r="H115" s="119" t="n">
        <v>32.9</v>
      </c>
      <c r="I115" s="117" t="n">
        <v>0.328958</v>
      </c>
      <c r="J115" s="119" t="n">
        <v>30</v>
      </c>
      <c r="K115" s="117" t="n">
        <v>0.299658</v>
      </c>
      <c r="L115" s="116" t="n">
        <v>32.15</v>
      </c>
      <c r="M115" s="117" t="n">
        <v>0.321459</v>
      </c>
      <c r="N115" s="119" t="n">
        <v>29.7</v>
      </c>
      <c r="O115" s="117" t="n">
        <v>0.296962</v>
      </c>
      <c r="P115" s="120">
        <f>C115-G115</f>
        <v/>
      </c>
      <c r="Q115" s="120">
        <f>E115-C115</f>
        <v/>
      </c>
      <c r="R115" s="120">
        <f>C115-M115</f>
        <v/>
      </c>
      <c r="S115" s="120">
        <f>C115-O115</f>
        <v/>
      </c>
      <c r="T115" s="120">
        <f>E115-O115</f>
        <v/>
      </c>
      <c r="U115" s="120">
        <f>G115-O115</f>
        <v/>
      </c>
      <c r="V115" s="120">
        <f>G115-K115</f>
        <v/>
      </c>
      <c r="W115" s="120">
        <f>C115-K115</f>
        <v/>
      </c>
      <c r="X115" s="120">
        <f>I115-G115</f>
        <v/>
      </c>
      <c r="Y115" s="121">
        <f>G115-M115</f>
        <v/>
      </c>
      <c r="Z115" s="79" t="n"/>
    </row>
    <row r="116">
      <c r="A116" s="115" t="n">
        <v>45152</v>
      </c>
      <c r="B116" s="116" t="n">
        <v>30</v>
      </c>
      <c r="C116" s="117" t="n">
        <v>0.299704</v>
      </c>
      <c r="D116" s="116" t="n">
        <v>33.8</v>
      </c>
      <c r="E116" s="118" t="n">
        <v>0.337667</v>
      </c>
      <c r="F116" s="116" t="n">
        <v>28.5</v>
      </c>
      <c r="G116" s="117" t="n">
        <v>0.28486</v>
      </c>
      <c r="H116" s="119" t="n">
        <v>35</v>
      </c>
      <c r="I116" s="117" t="n">
        <v>0.349957</v>
      </c>
      <c r="J116" s="119" t="n">
        <v>30.91</v>
      </c>
      <c r="K116" s="117" t="n">
        <v>0.308757</v>
      </c>
      <c r="L116" s="116" t="n">
        <v>33.1</v>
      </c>
      <c r="M116" s="117" t="n">
        <v>0.330959</v>
      </c>
      <c r="N116" s="119" t="n">
        <v>28.9</v>
      </c>
      <c r="O116" s="117" t="n">
        <v>0.288964</v>
      </c>
      <c r="P116" s="120">
        <f>C116-G116</f>
        <v/>
      </c>
      <c r="Q116" s="120">
        <f>E116-C116</f>
        <v/>
      </c>
      <c r="R116" s="120">
        <f>C116-M116</f>
        <v/>
      </c>
      <c r="S116" s="120">
        <f>C116-O116</f>
        <v/>
      </c>
      <c r="T116" s="120">
        <f>E116-O116</f>
        <v/>
      </c>
      <c r="U116" s="120">
        <f>G116-O116</f>
        <v/>
      </c>
      <c r="V116" s="120">
        <f>G116-K116</f>
        <v/>
      </c>
      <c r="W116" s="120">
        <f>C116-K116</f>
        <v/>
      </c>
      <c r="X116" s="120">
        <f>I116-G116</f>
        <v/>
      </c>
      <c r="Y116" s="121">
        <f>G116-M116</f>
        <v/>
      </c>
      <c r="Z116" s="79" t="n"/>
    </row>
    <row r="117">
      <c r="A117" s="115" t="n">
        <v>45149</v>
      </c>
      <c r="B117" s="116" t="n">
        <v>34.1</v>
      </c>
      <c r="C117" s="117" t="n">
        <v>0.340692</v>
      </c>
      <c r="D117" s="116" t="n">
        <v>38.179</v>
      </c>
      <c r="E117" s="118" t="n">
        <v>0.381445</v>
      </c>
      <c r="F117" s="116" t="n">
        <v>32.64</v>
      </c>
      <c r="G117" s="117" t="n">
        <v>0.326253</v>
      </c>
      <c r="H117" s="119" t="n">
        <v>39.36</v>
      </c>
      <c r="I117" s="117" t="n">
        <v>0.393556</v>
      </c>
      <c r="J117" s="119" t="n">
        <v>33.69</v>
      </c>
      <c r="K117" s="117" t="n">
        <v>0.336558</v>
      </c>
      <c r="L117" s="116" t="n">
        <v>36.5</v>
      </c>
      <c r="M117" s="117" t="n">
        <v>0.364959</v>
      </c>
      <c r="N117" s="119" t="n">
        <v>31.39</v>
      </c>
      <c r="O117" s="117" t="n">
        <v>0.313865</v>
      </c>
      <c r="P117" s="120">
        <f>C117-G117</f>
        <v/>
      </c>
      <c r="Q117" s="120">
        <f>E117-C117</f>
        <v/>
      </c>
      <c r="R117" s="120">
        <f>C117-M117</f>
        <v/>
      </c>
      <c r="S117" s="120">
        <f>C117-O117</f>
        <v/>
      </c>
      <c r="T117" s="120">
        <f>E117-O117</f>
        <v/>
      </c>
      <c r="U117" s="120">
        <f>G117-O117</f>
        <v/>
      </c>
      <c r="V117" s="120">
        <f>G117-K117</f>
        <v/>
      </c>
      <c r="W117" s="120">
        <f>C117-K117</f>
        <v/>
      </c>
      <c r="X117" s="120">
        <f>I117-G117</f>
        <v/>
      </c>
      <c r="Y117" s="121">
        <f>G117-M117</f>
        <v/>
      </c>
      <c r="Z117" s="79" t="n"/>
    </row>
    <row r="118">
      <c r="A118" s="115" t="n">
        <v>45148</v>
      </c>
      <c r="B118" s="116" t="n">
        <v>34.4</v>
      </c>
      <c r="C118" s="117" t="n">
        <v>0.343699</v>
      </c>
      <c r="D118" s="116" t="n">
        <v>40</v>
      </c>
      <c r="E118" s="118" t="n">
        <v>0.39965</v>
      </c>
      <c r="F118" s="116" t="n">
        <v>33.34</v>
      </c>
      <c r="G118" s="117" t="n">
        <v>0.333254</v>
      </c>
      <c r="H118" s="119" t="n">
        <v>40.58</v>
      </c>
      <c r="I118" s="117" t="n">
        <v>0.405756</v>
      </c>
      <c r="J118" s="119" t="n">
        <v>33.75</v>
      </c>
      <c r="K118" s="117" t="n">
        <v>0.337167</v>
      </c>
      <c r="L118" s="116" t="n">
        <v>37</v>
      </c>
      <c r="M118" s="117" t="n">
        <v>0.369959</v>
      </c>
      <c r="N118" s="119" t="n">
        <v>33.3</v>
      </c>
      <c r="O118" s="117" t="n">
        <v>0.332964</v>
      </c>
      <c r="P118" s="120">
        <f>C118-G118</f>
        <v/>
      </c>
      <c r="Q118" s="120">
        <f>E118-C118</f>
        <v/>
      </c>
      <c r="R118" s="120">
        <f>C118-M118</f>
        <v/>
      </c>
      <c r="S118" s="120">
        <f>C118-O118</f>
        <v/>
      </c>
      <c r="T118" s="120">
        <f>E118-O118</f>
        <v/>
      </c>
      <c r="U118" s="120">
        <f>G118-O118</f>
        <v/>
      </c>
      <c r="V118" s="120">
        <f>G118-K118</f>
        <v/>
      </c>
      <c r="W118" s="120">
        <f>C118-K118</f>
        <v/>
      </c>
      <c r="X118" s="120">
        <f>I118-G118</f>
        <v/>
      </c>
      <c r="Y118" s="121">
        <f>G118-M118</f>
        <v/>
      </c>
      <c r="Z118" s="79" t="n"/>
    </row>
    <row r="119">
      <c r="A119" s="115" t="n">
        <v>45147</v>
      </c>
      <c r="B119" s="116" t="n">
        <v>31.79</v>
      </c>
      <c r="C119" s="117" t="n">
        <v>0.31763</v>
      </c>
      <c r="D119" s="116" t="n">
        <v>37.5</v>
      </c>
      <c r="E119" s="118" t="n">
        <v>0.374682</v>
      </c>
      <c r="F119" s="116" t="n">
        <v>32.77</v>
      </c>
      <c r="G119" s="117" t="n">
        <v>0.327561</v>
      </c>
      <c r="H119" s="119" t="n">
        <v>39.65</v>
      </c>
      <c r="I119" s="117" t="n">
        <v>0.396458</v>
      </c>
      <c r="J119" s="119" t="n">
        <v>33.5</v>
      </c>
      <c r="K119" s="117" t="n">
        <v>0.33468</v>
      </c>
      <c r="L119" s="116" t="n">
        <v>37.4</v>
      </c>
      <c r="M119" s="117" t="n">
        <v>0.37396</v>
      </c>
      <c r="N119" s="119" t="n">
        <v>33</v>
      </c>
      <c r="O119" s="117" t="n">
        <v>0.329965</v>
      </c>
      <c r="P119" s="120">
        <f>C119-G119</f>
        <v/>
      </c>
      <c r="Q119" s="120">
        <f>E119-C119</f>
        <v/>
      </c>
      <c r="R119" s="120">
        <f>C119-M119</f>
        <v/>
      </c>
      <c r="S119" s="120">
        <f>C119-O119</f>
        <v/>
      </c>
      <c r="T119" s="120">
        <f>E119-O119</f>
        <v/>
      </c>
      <c r="U119" s="120">
        <f>G119-O119</f>
        <v/>
      </c>
      <c r="V119" s="120">
        <f>G119-K119</f>
        <v/>
      </c>
      <c r="W119" s="120">
        <f>C119-K119</f>
        <v/>
      </c>
      <c r="X119" s="120">
        <f>I119-G119</f>
        <v/>
      </c>
      <c r="Y119" s="121">
        <f>G119-M119</f>
        <v/>
      </c>
      <c r="Z119" s="79" t="n"/>
    </row>
    <row r="120">
      <c r="A120" s="115" t="n">
        <v>45146</v>
      </c>
      <c r="B120" s="116" t="n">
        <v>33.65</v>
      </c>
      <c r="C120" s="117" t="n">
        <v>0.336224</v>
      </c>
      <c r="D120" s="116" t="n">
        <v>37.852</v>
      </c>
      <c r="E120" s="118" t="n">
        <v>0.378209</v>
      </c>
      <c r="F120" s="116" t="n">
        <v>32.7</v>
      </c>
      <c r="G120" s="117" t="n">
        <v>0.326866</v>
      </c>
      <c r="H120" s="119" t="n">
        <v>39.47</v>
      </c>
      <c r="I120" s="117" t="n">
        <v>0.394659</v>
      </c>
      <c r="J120" s="119" t="n">
        <v>33</v>
      </c>
      <c r="K120" s="117" t="n">
        <v>0.329695</v>
      </c>
      <c r="L120" s="116" t="n">
        <v>36.501</v>
      </c>
      <c r="M120" s="117" t="n">
        <v>0.364973</v>
      </c>
      <c r="N120" s="119" t="n">
        <v>32.85</v>
      </c>
      <c r="O120" s="117" t="n">
        <v>0.328466</v>
      </c>
      <c r="P120" s="120">
        <f>C120-G120</f>
        <v/>
      </c>
      <c r="Q120" s="120">
        <f>E120-C120</f>
        <v/>
      </c>
      <c r="R120" s="120">
        <f>C120-M120</f>
        <v/>
      </c>
      <c r="S120" s="120">
        <f>C120-O120</f>
        <v/>
      </c>
      <c r="T120" s="120">
        <f>E120-O120</f>
        <v/>
      </c>
      <c r="U120" s="120">
        <f>G120-O120</f>
        <v/>
      </c>
      <c r="V120" s="120">
        <f>G120-K120</f>
        <v/>
      </c>
      <c r="W120" s="120">
        <f>C120-K120</f>
        <v/>
      </c>
      <c r="X120" s="120">
        <f>I120-G120</f>
        <v/>
      </c>
      <c r="Y120" s="121">
        <f>G120-M120</f>
        <v/>
      </c>
      <c r="Z120" s="79" t="n"/>
    </row>
    <row r="121">
      <c r="A121" s="115" t="n">
        <v>45145</v>
      </c>
      <c r="B121" s="116" t="n">
        <v>32.6</v>
      </c>
      <c r="C121" s="117" t="n">
        <v>0.325741</v>
      </c>
      <c r="D121" s="116" t="n">
        <v>36</v>
      </c>
      <c r="E121" s="118" t="n">
        <v>0.359714</v>
      </c>
      <c r="F121" s="116" t="n">
        <v>32.88</v>
      </c>
      <c r="G121" s="117" t="n">
        <v>0.328669</v>
      </c>
      <c r="H121" s="119" t="n">
        <v>39.81</v>
      </c>
      <c r="I121" s="117" t="n">
        <v>0.39806</v>
      </c>
      <c r="J121" s="119" t="n">
        <v>32.87</v>
      </c>
      <c r="K121" s="117" t="n">
        <v>0.328406</v>
      </c>
      <c r="L121" s="116" t="n">
        <v>36.6</v>
      </c>
      <c r="M121" s="117" t="n">
        <v>0.365964</v>
      </c>
      <c r="N121" s="119" t="n">
        <v>32.85</v>
      </c>
      <c r="O121" s="117" t="n">
        <v>0.328467</v>
      </c>
      <c r="P121" s="120">
        <f>C121-G121</f>
        <v/>
      </c>
      <c r="Q121" s="120">
        <f>E121-C121</f>
        <v/>
      </c>
      <c r="R121" s="120">
        <f>C121-M121</f>
        <v/>
      </c>
      <c r="S121" s="120">
        <f>C121-O121</f>
        <v/>
      </c>
      <c r="T121" s="120">
        <f>E121-O121</f>
        <v/>
      </c>
      <c r="U121" s="120">
        <f>G121-O121</f>
        <v/>
      </c>
      <c r="V121" s="120">
        <f>G121-K121</f>
        <v/>
      </c>
      <c r="W121" s="120">
        <f>C121-K121</f>
        <v/>
      </c>
      <c r="X121" s="120">
        <f>I121-G121</f>
        <v/>
      </c>
      <c r="Y121" s="121">
        <f>G121-M121</f>
        <v/>
      </c>
      <c r="Z121" s="79" t="n"/>
    </row>
    <row r="122">
      <c r="A122" s="115" t="n">
        <v>45142</v>
      </c>
      <c r="B122" s="116" t="n">
        <v>33.1</v>
      </c>
      <c r="C122" s="117" t="n">
        <v>0.330764</v>
      </c>
      <c r="D122" s="116" t="n">
        <v>37.44</v>
      </c>
      <c r="E122" s="118" t="n">
        <v>0.374133</v>
      </c>
      <c r="F122" s="116" t="n">
        <v>31.59</v>
      </c>
      <c r="G122" s="117" t="n">
        <v>0.315788</v>
      </c>
      <c r="H122" s="119" t="n">
        <v>38.76</v>
      </c>
      <c r="I122" s="117" t="n">
        <v>0.387565</v>
      </c>
      <c r="J122" s="119" t="n">
        <v>32.25</v>
      </c>
      <c r="K122" s="117" t="n">
        <v>0.322242</v>
      </c>
      <c r="L122" s="116" t="n">
        <v>36.4</v>
      </c>
      <c r="M122" s="117" t="n">
        <v>0.363968</v>
      </c>
      <c r="N122" s="119" t="n">
        <v>31.771</v>
      </c>
      <c r="O122" s="117" t="n">
        <v>0.317682</v>
      </c>
      <c r="P122" s="120">
        <f>C122-G122</f>
        <v/>
      </c>
      <c r="Q122" s="120">
        <f>E122-C122</f>
        <v/>
      </c>
      <c r="R122" s="120">
        <f>C122-M122</f>
        <v/>
      </c>
      <c r="S122" s="120">
        <f>C122-O122</f>
        <v/>
      </c>
      <c r="T122" s="120">
        <f>E122-O122</f>
        <v/>
      </c>
      <c r="U122" s="120">
        <f>G122-O122</f>
        <v/>
      </c>
      <c r="V122" s="120">
        <f>G122-K122</f>
        <v/>
      </c>
      <c r="W122" s="120">
        <f>C122-K122</f>
        <v/>
      </c>
      <c r="X122" s="120">
        <f>I122-G122</f>
        <v/>
      </c>
      <c r="Y122" s="121">
        <f>G122-M122</f>
        <v/>
      </c>
      <c r="Z122" s="79" t="n"/>
    </row>
    <row r="123">
      <c r="A123" s="115" t="n">
        <v>45141</v>
      </c>
      <c r="B123" s="116" t="n">
        <v>32.7</v>
      </c>
      <c r="C123" s="117" t="n">
        <v>0.326776</v>
      </c>
      <c r="D123" s="116" t="n">
        <v>37.05</v>
      </c>
      <c r="E123" s="118" t="n">
        <v>0.370246</v>
      </c>
      <c r="F123" s="116" t="n">
        <v>31.35</v>
      </c>
      <c r="G123" s="117" t="n">
        <v>0.313393</v>
      </c>
      <c r="H123" s="119" t="n">
        <v>38.25</v>
      </c>
      <c r="I123" s="117" t="n">
        <v>0.382467</v>
      </c>
      <c r="J123" s="119" t="n">
        <v>32</v>
      </c>
      <c r="K123" s="117" t="n">
        <v>0.319754</v>
      </c>
      <c r="L123" s="116" t="n">
        <v>35.399</v>
      </c>
      <c r="M123" s="117" t="n">
        <v>0.35396</v>
      </c>
      <c r="N123" s="119" t="n">
        <v>31.79</v>
      </c>
      <c r="O123" s="117" t="n">
        <v>0.317873</v>
      </c>
      <c r="P123" s="120">
        <f>C123-G123</f>
        <v/>
      </c>
      <c r="Q123" s="120">
        <f>E123-C123</f>
        <v/>
      </c>
      <c r="R123" s="120">
        <f>C123-M123</f>
        <v/>
      </c>
      <c r="S123" s="120">
        <f>C123-O123</f>
        <v/>
      </c>
      <c r="T123" s="120">
        <f>E123-O123</f>
        <v/>
      </c>
      <c r="U123" s="120">
        <f>G123-O123</f>
        <v/>
      </c>
      <c r="V123" s="120">
        <f>G123-K123</f>
        <v/>
      </c>
      <c r="W123" s="120">
        <f>C123-K123</f>
        <v/>
      </c>
      <c r="X123" s="120">
        <f>I123-G123</f>
        <v/>
      </c>
      <c r="Y123" s="121">
        <f>G123-M123</f>
        <v/>
      </c>
      <c r="Z123" s="79" t="n"/>
    </row>
    <row r="124">
      <c r="A124" s="115" t="n">
        <v>45140</v>
      </c>
      <c r="B124" s="116" t="n">
        <v>32.8</v>
      </c>
      <c r="C124" s="117" t="n">
        <v>0.327784</v>
      </c>
      <c r="D124" s="116" t="n">
        <v>36.95</v>
      </c>
      <c r="E124" s="118" t="n">
        <v>0.369257</v>
      </c>
      <c r="F124" s="116" t="n">
        <v>31.26</v>
      </c>
      <c r="G124" s="117" t="n">
        <v>0.312497</v>
      </c>
      <c r="H124" s="119" t="n">
        <v>38.03</v>
      </c>
      <c r="I124" s="117" t="n">
        <v>0.380269</v>
      </c>
      <c r="J124" s="119" t="n">
        <v>31.773</v>
      </c>
      <c r="K124" s="117" t="n">
        <v>0.317495</v>
      </c>
      <c r="L124" s="116" t="n">
        <v>35.48</v>
      </c>
      <c r="M124" s="117" t="n">
        <v>0.354771</v>
      </c>
      <c r="N124" s="119" t="n">
        <v>31.31</v>
      </c>
      <c r="O124" s="117" t="n">
        <v>0.313074</v>
      </c>
      <c r="P124" s="120">
        <f>C124-G124</f>
        <v/>
      </c>
      <c r="Q124" s="120">
        <f>E124-C124</f>
        <v/>
      </c>
      <c r="R124" s="120">
        <f>C124-M124</f>
        <v/>
      </c>
      <c r="S124" s="120">
        <f>C124-O124</f>
        <v/>
      </c>
      <c r="T124" s="120">
        <f>E124-O124</f>
        <v/>
      </c>
      <c r="U124" s="120">
        <f>G124-O124</f>
        <v/>
      </c>
      <c r="V124" s="120">
        <f>G124-K124</f>
        <v/>
      </c>
      <c r="W124" s="120">
        <f>C124-K124</f>
        <v/>
      </c>
      <c r="X124" s="120">
        <f>I124-G124</f>
        <v/>
      </c>
      <c r="Y124" s="121">
        <f>G124-M124</f>
        <v/>
      </c>
      <c r="Z124" s="79" t="n"/>
    </row>
    <row r="125">
      <c r="A125" s="115" t="n">
        <v>45139</v>
      </c>
      <c r="B125" s="116" t="n">
        <v>32.85</v>
      </c>
      <c r="C125" s="117" t="n">
        <v>0.328293</v>
      </c>
      <c r="D125" s="116" t="n">
        <v>36.5</v>
      </c>
      <c r="E125" s="118" t="n">
        <v>0.36477</v>
      </c>
      <c r="F125" s="116" t="n">
        <v>31.04</v>
      </c>
      <c r="G125" s="117" t="n">
        <v>0.310302</v>
      </c>
      <c r="H125" s="119" t="n">
        <v>37.69</v>
      </c>
      <c r="I125" s="117" t="n">
        <v>0.37687</v>
      </c>
      <c r="J125" s="119" t="n">
        <v>31.691</v>
      </c>
      <c r="K125" s="117" t="n">
        <v>0.316686</v>
      </c>
      <c r="L125" s="116" t="n">
        <v>35.34</v>
      </c>
      <c r="M125" s="117" t="n">
        <v>0.353372</v>
      </c>
      <c r="N125" s="119" t="n">
        <v>31.35</v>
      </c>
      <c r="O125" s="117" t="n">
        <v>0.313475</v>
      </c>
      <c r="P125" s="120">
        <f>C125-G125</f>
        <v/>
      </c>
      <c r="Q125" s="120">
        <f>E125-C125</f>
        <v/>
      </c>
      <c r="R125" s="120">
        <f>C125-M125</f>
        <v/>
      </c>
      <c r="S125" s="120">
        <f>C125-O125</f>
        <v/>
      </c>
      <c r="T125" s="120">
        <f>E125-O125</f>
        <v/>
      </c>
      <c r="U125" s="120">
        <f>G125-O125</f>
        <v/>
      </c>
      <c r="V125" s="120">
        <f>G125-K125</f>
        <v/>
      </c>
      <c r="W125" s="120">
        <f>C125-K125</f>
        <v/>
      </c>
      <c r="X125" s="120">
        <f>I125-G125</f>
        <v/>
      </c>
      <c r="Y125" s="121">
        <f>G125-M125</f>
        <v/>
      </c>
      <c r="Z125" s="79" t="n"/>
    </row>
    <row r="126">
      <c r="A126" s="115" t="n">
        <v>45138</v>
      </c>
      <c r="B126" s="116" t="n">
        <v>32.3</v>
      </c>
      <c r="C126" s="117" t="n">
        <v>0.322805</v>
      </c>
      <c r="D126" s="116" t="n">
        <v>36.33</v>
      </c>
      <c r="E126" s="118" t="n">
        <v>0.363081</v>
      </c>
      <c r="F126" s="116" t="n">
        <v>30.7</v>
      </c>
      <c r="G126" s="117" t="n">
        <v>0.306908</v>
      </c>
      <c r="H126" s="119" t="n">
        <v>37.55</v>
      </c>
      <c r="I126" s="117" t="n">
        <v>0.375472</v>
      </c>
      <c r="J126" s="119" t="n">
        <v>32</v>
      </c>
      <c r="K126" s="117" t="n">
        <v>0.319783</v>
      </c>
      <c r="L126" s="116" t="n">
        <v>34.4</v>
      </c>
      <c r="M126" s="117" t="n">
        <v>0.343974</v>
      </c>
      <c r="N126" s="119" t="n">
        <v>31.001</v>
      </c>
      <c r="O126" s="117" t="n">
        <v>0.309987</v>
      </c>
      <c r="P126" s="120">
        <f>C126-G126</f>
        <v/>
      </c>
      <c r="Q126" s="120">
        <f>E126-C126</f>
        <v/>
      </c>
      <c r="R126" s="120">
        <f>C126-M126</f>
        <v/>
      </c>
      <c r="S126" s="120">
        <f>C126-O126</f>
        <v/>
      </c>
      <c r="T126" s="120">
        <f>E126-O126</f>
        <v/>
      </c>
      <c r="U126" s="120">
        <f>G126-O126</f>
        <v/>
      </c>
      <c r="V126" s="120">
        <f>G126-K126</f>
        <v/>
      </c>
      <c r="W126" s="120">
        <f>C126-K126</f>
        <v/>
      </c>
      <c r="X126" s="120">
        <f>I126-G126</f>
        <v/>
      </c>
      <c r="Y126" s="121">
        <f>G126-M126</f>
        <v/>
      </c>
      <c r="Z126" s="79" t="n"/>
    </row>
    <row r="127">
      <c r="A127" s="115" t="n">
        <v>45135</v>
      </c>
      <c r="B127" s="116" t="n">
        <v>31.72</v>
      </c>
      <c r="C127" s="117" t="n">
        <v>0.317035</v>
      </c>
      <c r="D127" s="116" t="n">
        <v>35.795</v>
      </c>
      <c r="E127" s="118" t="n">
        <v>0.357764</v>
      </c>
      <c r="F127" s="116" t="n">
        <v>30.38</v>
      </c>
      <c r="G127" s="117" t="n">
        <v>0.303721</v>
      </c>
      <c r="H127" s="119" t="n">
        <v>36.71</v>
      </c>
      <c r="I127" s="117" t="n">
        <v>0.367076</v>
      </c>
      <c r="J127" s="119" t="n">
        <v>31.55</v>
      </c>
      <c r="K127" s="117" t="n">
        <v>0.315315</v>
      </c>
      <c r="L127" s="116" t="n">
        <v>34.6</v>
      </c>
      <c r="M127" s="117" t="n">
        <v>0.345977</v>
      </c>
      <c r="N127" s="119" t="n">
        <v>30.6</v>
      </c>
      <c r="O127" s="117" t="n">
        <v>0.30598</v>
      </c>
      <c r="P127" s="120">
        <f>C127-G127</f>
        <v/>
      </c>
      <c r="Q127" s="120">
        <f>E127-C127</f>
        <v/>
      </c>
      <c r="R127" s="120">
        <f>C127-M127</f>
        <v/>
      </c>
      <c r="S127" s="120">
        <f>C127-O127</f>
        <v/>
      </c>
      <c r="T127" s="120">
        <f>E127-O127</f>
        <v/>
      </c>
      <c r="U127" s="120">
        <f>G127-O127</f>
        <v/>
      </c>
      <c r="V127" s="120">
        <f>G127-K127</f>
        <v/>
      </c>
      <c r="W127" s="120">
        <f>C127-K127</f>
        <v/>
      </c>
      <c r="X127" s="120">
        <f>I127-G127</f>
        <v/>
      </c>
      <c r="Y127" s="121">
        <f>G127-M127</f>
        <v/>
      </c>
      <c r="Z127" s="79" t="n"/>
    </row>
    <row r="128">
      <c r="A128" s="115" t="n">
        <v>45134</v>
      </c>
      <c r="B128" s="116" t="n">
        <v>31.39</v>
      </c>
      <c r="C128" s="117" t="n">
        <v>0.313745</v>
      </c>
      <c r="D128" s="116" t="n">
        <v>35.6</v>
      </c>
      <c r="E128" s="118" t="n">
        <v>0.355825</v>
      </c>
      <c r="F128" s="116" t="n">
        <v>29.83</v>
      </c>
      <c r="G128" s="117" t="n">
        <v>0.298226</v>
      </c>
      <c r="H128" s="119" t="n">
        <v>36.71</v>
      </c>
      <c r="I128" s="117" t="n">
        <v>0.367077</v>
      </c>
      <c r="J128" s="119" t="n">
        <v>30.752</v>
      </c>
      <c r="K128" s="117" t="n">
        <v>0.307349</v>
      </c>
      <c r="L128" s="116" t="n">
        <v>33.4</v>
      </c>
      <c r="M128" s="117" t="n">
        <v>0.333979</v>
      </c>
      <c r="N128" s="119" t="n">
        <v>30.4</v>
      </c>
      <c r="O128" s="117" t="n">
        <v>0.303981</v>
      </c>
      <c r="P128" s="120">
        <f>C128-G128</f>
        <v/>
      </c>
      <c r="Q128" s="120">
        <f>E128-C128</f>
        <v/>
      </c>
      <c r="R128" s="120">
        <f>C128-M128</f>
        <v/>
      </c>
      <c r="S128" s="120">
        <f>C128-O128</f>
        <v/>
      </c>
      <c r="T128" s="120">
        <f>E128-O128</f>
        <v/>
      </c>
      <c r="U128" s="120">
        <f>G128-O128</f>
        <v/>
      </c>
      <c r="V128" s="120">
        <f>G128-K128</f>
        <v/>
      </c>
      <c r="W128" s="120">
        <f>C128-K128</f>
        <v/>
      </c>
      <c r="X128" s="120">
        <f>I128-G128</f>
        <v/>
      </c>
      <c r="Y128" s="121">
        <f>G128-M128</f>
        <v/>
      </c>
      <c r="Z128" s="79" t="n"/>
    </row>
    <row r="129">
      <c r="A129" s="115" t="n">
        <v>45133</v>
      </c>
      <c r="B129" s="116" t="n">
        <v>31.27</v>
      </c>
      <c r="C129" s="117" t="n">
        <v>0.312554</v>
      </c>
      <c r="D129" s="116" t="n">
        <v>34.601</v>
      </c>
      <c r="E129" s="118" t="n">
        <v>0.345849</v>
      </c>
      <c r="F129" s="116" t="n">
        <v>29.85</v>
      </c>
      <c r="G129" s="117" t="n">
        <v>0.298431</v>
      </c>
      <c r="H129" s="119" t="n">
        <v>37.06</v>
      </c>
      <c r="I129" s="117" t="n">
        <v>0.370578</v>
      </c>
      <c r="J129" s="119" t="n">
        <v>30.68</v>
      </c>
      <c r="K129" s="117" t="n">
        <v>0.306639</v>
      </c>
      <c r="L129" s="116" t="n">
        <v>33.4</v>
      </c>
      <c r="M129" s="117" t="n">
        <v>0.333981</v>
      </c>
      <c r="N129" s="119" t="n">
        <v>29.531</v>
      </c>
      <c r="O129" s="117" t="n">
        <v>0.295293</v>
      </c>
      <c r="P129" s="120">
        <f>C129-G129</f>
        <v/>
      </c>
      <c r="Q129" s="120">
        <f>E129-C129</f>
        <v/>
      </c>
      <c r="R129" s="120">
        <f>C129-M129</f>
        <v/>
      </c>
      <c r="S129" s="120">
        <f>C129-O129</f>
        <v/>
      </c>
      <c r="T129" s="120">
        <f>E129-O129</f>
        <v/>
      </c>
      <c r="U129" s="120">
        <f>G129-O129</f>
        <v/>
      </c>
      <c r="V129" s="120">
        <f>G129-K129</f>
        <v/>
      </c>
      <c r="W129" s="120">
        <f>C129-K129</f>
        <v/>
      </c>
      <c r="X129" s="120">
        <f>I129-G129</f>
        <v/>
      </c>
      <c r="Y129" s="121">
        <f>G129-M129</f>
        <v/>
      </c>
      <c r="Z129" s="79" t="n"/>
    </row>
    <row r="130">
      <c r="A130" s="115" t="n">
        <v>45132</v>
      </c>
      <c r="B130" s="116" t="n">
        <v>31.5</v>
      </c>
      <c r="C130" s="117" t="n">
        <v>0.314862</v>
      </c>
      <c r="D130" s="116" t="n">
        <v>36.6</v>
      </c>
      <c r="E130" s="118" t="n">
        <v>0.36584</v>
      </c>
      <c r="F130" s="116" t="n">
        <v>30.14</v>
      </c>
      <c r="G130" s="117" t="n">
        <v>0.301334</v>
      </c>
      <c r="H130" s="119" t="n">
        <v>38.1</v>
      </c>
      <c r="I130" s="117" t="n">
        <v>0.380979</v>
      </c>
      <c r="J130" s="119" t="n">
        <v>31.8</v>
      </c>
      <c r="K130" s="117" t="n">
        <v>0.317843</v>
      </c>
      <c r="L130" s="116" t="n">
        <v>34.6</v>
      </c>
      <c r="M130" s="117" t="n">
        <v>0.345981</v>
      </c>
      <c r="N130" s="119" t="n">
        <v>30.3</v>
      </c>
      <c r="O130" s="117" t="n">
        <v>0.302983</v>
      </c>
      <c r="P130" s="120">
        <f>C130-G130</f>
        <v/>
      </c>
      <c r="Q130" s="120">
        <f>E130-C130</f>
        <v/>
      </c>
      <c r="R130" s="120">
        <f>C130-M130</f>
        <v/>
      </c>
      <c r="S130" s="120">
        <f>C130-O130</f>
        <v/>
      </c>
      <c r="T130" s="120">
        <f>E130-O130</f>
        <v/>
      </c>
      <c r="U130" s="120">
        <f>G130-O130</f>
        <v/>
      </c>
      <c r="V130" s="120">
        <f>G130-K130</f>
        <v/>
      </c>
      <c r="W130" s="120">
        <f>C130-K130</f>
        <v/>
      </c>
      <c r="X130" s="120">
        <f>I130-G130</f>
        <v/>
      </c>
      <c r="Y130" s="121">
        <f>G130-M130</f>
        <v/>
      </c>
      <c r="Z130" s="79" t="n"/>
    </row>
    <row r="131">
      <c r="A131" s="115" t="n">
        <v>45131</v>
      </c>
      <c r="B131" s="116" t="n">
        <v>31.49</v>
      </c>
      <c r="C131" s="117" t="n">
        <v>0.314771</v>
      </c>
      <c r="D131" s="116" t="n">
        <v>36.5</v>
      </c>
      <c r="E131" s="118" t="n">
        <v>0.36485</v>
      </c>
      <c r="F131" s="116" t="n">
        <v>29.87</v>
      </c>
      <c r="G131" s="117" t="n">
        <v>0.298639</v>
      </c>
      <c r="H131" s="119" t="n">
        <v>37.5</v>
      </c>
      <c r="I131" s="117" t="n">
        <v>0.374981</v>
      </c>
      <c r="J131" s="119" t="n">
        <v>31.99</v>
      </c>
      <c r="K131" s="117" t="n">
        <v>0.319752</v>
      </c>
      <c r="L131" s="116" t="n">
        <v>34</v>
      </c>
      <c r="M131" s="117" t="n">
        <v>0.339983</v>
      </c>
      <c r="N131" s="119" t="n">
        <v>30.251</v>
      </c>
      <c r="O131" s="117" t="n">
        <v>0.302494</v>
      </c>
      <c r="P131" s="120">
        <f>C131-G131</f>
        <v/>
      </c>
      <c r="Q131" s="120">
        <f>E131-C131</f>
        <v/>
      </c>
      <c r="R131" s="120">
        <f>C131-M131</f>
        <v/>
      </c>
      <c r="S131" s="120">
        <f>C131-O131</f>
        <v/>
      </c>
      <c r="T131" s="120">
        <f>E131-O131</f>
        <v/>
      </c>
      <c r="U131" s="120">
        <f>G131-O131</f>
        <v/>
      </c>
      <c r="V131" s="120">
        <f>G131-K131</f>
        <v/>
      </c>
      <c r="W131" s="120">
        <f>C131-K131</f>
        <v/>
      </c>
      <c r="X131" s="120">
        <f>I131-G131</f>
        <v/>
      </c>
      <c r="Y131" s="121">
        <f>G131-M131</f>
        <v/>
      </c>
      <c r="Z131" s="79" t="n"/>
    </row>
    <row r="132">
      <c r="A132" s="115" t="n">
        <v>45128</v>
      </c>
      <c r="B132" s="116" t="n">
        <v>30.59</v>
      </c>
      <c r="C132" s="117" t="n">
        <v>0.305799</v>
      </c>
      <c r="D132" s="116" t="n">
        <v>35.15</v>
      </c>
      <c r="E132" s="118" t="n">
        <v>0.351384</v>
      </c>
      <c r="F132" s="116" t="n">
        <v>29.27</v>
      </c>
      <c r="G132" s="117" t="n">
        <v>0.292652</v>
      </c>
      <c r="H132" s="119" t="n">
        <v>36.75</v>
      </c>
      <c r="I132" s="117" t="n">
        <v>0.367485</v>
      </c>
      <c r="J132" s="119" t="n">
        <v>31.16</v>
      </c>
      <c r="K132" s="117" t="n">
        <v>0.311485</v>
      </c>
      <c r="L132" s="116" t="n">
        <v>33.55</v>
      </c>
      <c r="M132" s="117" t="n">
        <v>0.335486</v>
      </c>
      <c r="N132" s="119" t="n">
        <v>30.37</v>
      </c>
      <c r="O132" s="117" t="n">
        <v>0.303688</v>
      </c>
      <c r="P132" s="120">
        <f>C132-G132</f>
        <v/>
      </c>
      <c r="Q132" s="120">
        <f>E132-C132</f>
        <v/>
      </c>
      <c r="R132" s="120">
        <f>C132-M132</f>
        <v/>
      </c>
      <c r="S132" s="120">
        <f>C132-O132</f>
        <v/>
      </c>
      <c r="T132" s="120">
        <f>E132-O132</f>
        <v/>
      </c>
      <c r="U132" s="120">
        <f>G132-O132</f>
        <v/>
      </c>
      <c r="V132" s="120">
        <f>G132-K132</f>
        <v/>
      </c>
      <c r="W132" s="120">
        <f>C132-K132</f>
        <v/>
      </c>
      <c r="X132" s="120">
        <f>I132-G132</f>
        <v/>
      </c>
      <c r="Y132" s="121">
        <f>G132-M132</f>
        <v/>
      </c>
      <c r="Z132" s="79" t="n"/>
    </row>
    <row r="133">
      <c r="A133" s="115" t="n">
        <v>45127</v>
      </c>
      <c r="B133" s="116" t="n">
        <v>30.6</v>
      </c>
      <c r="C133" s="117" t="n">
        <v>0.305908</v>
      </c>
      <c r="D133" s="116" t="n">
        <v>35.1</v>
      </c>
      <c r="E133" s="118" t="n">
        <v>0.350894</v>
      </c>
      <c r="F133" s="116" t="n">
        <v>28.81</v>
      </c>
      <c r="G133" s="117" t="n">
        <v>0.288057</v>
      </c>
      <c r="H133" s="119" t="n">
        <v>36.09</v>
      </c>
      <c r="I133" s="117" t="n">
        <v>0.360886</v>
      </c>
      <c r="J133" s="119" t="n">
        <v>30.97</v>
      </c>
      <c r="K133" s="117" t="n">
        <v>0.309595</v>
      </c>
      <c r="L133" s="116" t="n">
        <v>32.701</v>
      </c>
      <c r="M133" s="117" t="n">
        <v>0.326998</v>
      </c>
      <c r="N133" s="119" t="n">
        <v>30.2</v>
      </c>
      <c r="O133" s="117" t="n">
        <v>0.301989</v>
      </c>
      <c r="P133" s="120">
        <f>C133-G133</f>
        <v/>
      </c>
      <c r="Q133" s="120">
        <f>E133-C133</f>
        <v/>
      </c>
      <c r="R133" s="120">
        <f>C133-M133</f>
        <v/>
      </c>
      <c r="S133" s="120">
        <f>C133-O133</f>
        <v/>
      </c>
      <c r="T133" s="120">
        <f>E133-O133</f>
        <v/>
      </c>
      <c r="U133" s="120">
        <f>G133-O133</f>
        <v/>
      </c>
      <c r="V133" s="120">
        <f>G133-K133</f>
        <v/>
      </c>
      <c r="W133" s="120">
        <f>C133-K133</f>
        <v/>
      </c>
      <c r="X133" s="120">
        <f>I133-G133</f>
        <v/>
      </c>
      <c r="Y133" s="121">
        <f>G133-M133</f>
        <v/>
      </c>
      <c r="Z133" s="79" t="n"/>
    </row>
    <row r="134">
      <c r="A134" s="115" t="n">
        <v>45126</v>
      </c>
      <c r="B134" s="116" t="n">
        <v>30.55</v>
      </c>
      <c r="C134" s="117" t="n">
        <v>0.305416</v>
      </c>
      <c r="D134" s="116" t="n">
        <v>35.3</v>
      </c>
      <c r="E134" s="118" t="n">
        <v>0.352903</v>
      </c>
      <c r="F134" s="116" t="n">
        <v>28.48</v>
      </c>
      <c r="G134" s="117" t="n">
        <v>0.284761</v>
      </c>
      <c r="H134" s="119" t="n">
        <v>35.85</v>
      </c>
      <c r="I134" s="117" t="n">
        <v>0.358488</v>
      </c>
      <c r="J134" s="119" t="n">
        <v>31.45</v>
      </c>
      <c r="K134" s="117" t="n">
        <v>0.314403</v>
      </c>
      <c r="L134" s="116" t="n">
        <v>33.2</v>
      </c>
      <c r="M134" s="117" t="n">
        <v>0.331989</v>
      </c>
      <c r="N134" s="119" t="n">
        <v>29.75</v>
      </c>
      <c r="O134" s="117" t="n">
        <v>0.29749</v>
      </c>
      <c r="P134" s="120">
        <f>C134-G134</f>
        <v/>
      </c>
      <c r="Q134" s="120">
        <f>E134-C134</f>
        <v/>
      </c>
      <c r="R134" s="120">
        <f>C134-M134</f>
        <v/>
      </c>
      <c r="S134" s="120">
        <f>C134-O134</f>
        <v/>
      </c>
      <c r="T134" s="120">
        <f>E134-O134</f>
        <v/>
      </c>
      <c r="U134" s="120">
        <f>G134-O134</f>
        <v/>
      </c>
      <c r="V134" s="120">
        <f>G134-K134</f>
        <v/>
      </c>
      <c r="W134" s="120">
        <f>C134-K134</f>
        <v/>
      </c>
      <c r="X134" s="120">
        <f>I134-G134</f>
        <v/>
      </c>
      <c r="Y134" s="121">
        <f>G134-M134</f>
        <v/>
      </c>
      <c r="Z134" s="79" t="n"/>
    </row>
    <row r="135">
      <c r="A135" s="115" t="n">
        <v>45125</v>
      </c>
      <c r="B135" s="116" t="n">
        <v>30.056</v>
      </c>
      <c r="C135" s="117" t="n">
        <v>0.300486</v>
      </c>
      <c r="D135" s="116" t="n">
        <v>35.2</v>
      </c>
      <c r="E135" s="118" t="n">
        <v>0.351913</v>
      </c>
      <c r="F135" s="116" t="n">
        <v>28.7</v>
      </c>
      <c r="G135" s="117" t="n">
        <v>0.286965</v>
      </c>
      <c r="H135" s="119" t="n">
        <v>36.45</v>
      </c>
      <c r="I135" s="117" t="n">
        <v>0.364489</v>
      </c>
      <c r="J135" s="119" t="n">
        <v>31.87</v>
      </c>
      <c r="K135" s="117" t="n">
        <v>0.318612</v>
      </c>
      <c r="L135" s="116" t="n">
        <v>33.34</v>
      </c>
      <c r="M135" s="117" t="n">
        <v>0.33339</v>
      </c>
      <c r="N135" s="119" t="n">
        <v>30.15</v>
      </c>
      <c r="O135" s="117" t="n">
        <v>0.301491</v>
      </c>
      <c r="P135" s="120">
        <f>C135-G135</f>
        <v/>
      </c>
      <c r="Q135" s="120">
        <f>E135-C135</f>
        <v/>
      </c>
      <c r="R135" s="120">
        <f>C135-M135</f>
        <v/>
      </c>
      <c r="S135" s="120">
        <f>C135-O135</f>
        <v/>
      </c>
      <c r="T135" s="120">
        <f>E135-O135</f>
        <v/>
      </c>
      <c r="U135" s="120">
        <f>G135-O135</f>
        <v/>
      </c>
      <c r="V135" s="120">
        <f>G135-K135</f>
        <v/>
      </c>
      <c r="W135" s="120">
        <f>C135-K135</f>
        <v/>
      </c>
      <c r="X135" s="120">
        <f>I135-G135</f>
        <v/>
      </c>
      <c r="Y135" s="121">
        <f>G135-M135</f>
        <v/>
      </c>
      <c r="Z135" s="79" t="n"/>
    </row>
    <row r="136">
      <c r="A136" s="115" t="n">
        <v>45124</v>
      </c>
      <c r="B136" s="116" t="n">
        <v>30.42</v>
      </c>
      <c r="C136" s="117" t="n">
        <v>0.304133</v>
      </c>
      <c r="D136" s="116" t="n">
        <v>35.503</v>
      </c>
      <c r="E136" s="118" t="n">
        <v>0.354952</v>
      </c>
      <c r="F136" s="116" t="n">
        <v>28.9</v>
      </c>
      <c r="G136" s="117" t="n">
        <v>0.288968</v>
      </c>
      <c r="H136" s="119" t="n">
        <v>36.54</v>
      </c>
      <c r="I136" s="117" t="n">
        <v>0.36539</v>
      </c>
      <c r="J136" s="119" t="n">
        <v>31.65</v>
      </c>
      <c r="K136" s="117" t="n">
        <v>0.316422</v>
      </c>
      <c r="L136" s="116" t="n">
        <v>33.302</v>
      </c>
      <c r="M136" s="117" t="n">
        <v>0.333011</v>
      </c>
      <c r="N136" s="119" t="n">
        <v>30.35</v>
      </c>
      <c r="O136" s="117" t="n">
        <v>0.303492</v>
      </c>
      <c r="P136" s="120">
        <f>C136-G136</f>
        <v/>
      </c>
      <c r="Q136" s="120">
        <f>E136-C136</f>
        <v/>
      </c>
      <c r="R136" s="120">
        <f>C136-M136</f>
        <v/>
      </c>
      <c r="S136" s="120">
        <f>C136-O136</f>
        <v/>
      </c>
      <c r="T136" s="120">
        <f>E136-O136</f>
        <v/>
      </c>
      <c r="U136" s="120">
        <f>G136-O136</f>
        <v/>
      </c>
      <c r="V136" s="120">
        <f>G136-K136</f>
        <v/>
      </c>
      <c r="W136" s="120">
        <f>C136-K136</f>
        <v/>
      </c>
      <c r="X136" s="120">
        <f>I136-G136</f>
        <v/>
      </c>
      <c r="Y136" s="121">
        <f>G136-M136</f>
        <v/>
      </c>
      <c r="Z136" s="79" t="n"/>
    </row>
    <row r="137">
      <c r="A137" s="115" t="n">
        <v>45121</v>
      </c>
      <c r="B137" s="116" t="n">
        <v>30.39</v>
      </c>
      <c r="C137" s="117" t="n">
        <v>0.303858</v>
      </c>
      <c r="D137" s="116" t="n">
        <v>35.323</v>
      </c>
      <c r="E137" s="118" t="n">
        <v>0.353182</v>
      </c>
      <c r="F137" s="116" t="n">
        <v>28.81</v>
      </c>
      <c r="G137" s="117" t="n">
        <v>0.28808</v>
      </c>
      <c r="H137" s="119" t="n">
        <v>36.08</v>
      </c>
      <c r="I137" s="117" t="n">
        <v>0.360794</v>
      </c>
      <c r="J137" s="119" t="n">
        <v>30.8</v>
      </c>
      <c r="K137" s="117" t="n">
        <v>0.307953</v>
      </c>
      <c r="L137" s="116" t="n">
        <v>33.25</v>
      </c>
      <c r="M137" s="117" t="n">
        <v>0.332494</v>
      </c>
      <c r="N137" s="119" t="n">
        <v>30.1</v>
      </c>
      <c r="O137" s="117" t="n">
        <v>0.300995</v>
      </c>
      <c r="P137" s="120">
        <f>C137-G137</f>
        <v/>
      </c>
      <c r="Q137" s="120">
        <f>E137-C137</f>
        <v/>
      </c>
      <c r="R137" s="120">
        <f>C137-M137</f>
        <v/>
      </c>
      <c r="S137" s="120">
        <f>C137-O137</f>
        <v/>
      </c>
      <c r="T137" s="120">
        <f>E137-O137</f>
        <v/>
      </c>
      <c r="U137" s="120">
        <f>G137-O137</f>
        <v/>
      </c>
      <c r="V137" s="120">
        <f>G137-K137</f>
        <v/>
      </c>
      <c r="W137" s="120">
        <f>C137-K137</f>
        <v/>
      </c>
      <c r="X137" s="120">
        <f>I137-G137</f>
        <v/>
      </c>
      <c r="Y137" s="121">
        <f>G137-M137</f>
        <v/>
      </c>
      <c r="Z137" s="79" t="n"/>
    </row>
    <row r="138">
      <c r="A138" s="115" t="n">
        <v>45120</v>
      </c>
      <c r="B138" s="116" t="n">
        <v>30.801</v>
      </c>
      <c r="C138" s="117" t="n">
        <v>0.307976</v>
      </c>
      <c r="D138" s="116" t="n">
        <v>35.5</v>
      </c>
      <c r="E138" s="118" t="n">
        <v>0.354961</v>
      </c>
      <c r="F138" s="116" t="n">
        <v>29.77</v>
      </c>
      <c r="G138" s="117" t="n">
        <v>0.297684</v>
      </c>
      <c r="H138" s="119" t="n">
        <v>36.29</v>
      </c>
      <c r="I138" s="117" t="n">
        <v>0.362895</v>
      </c>
      <c r="J138" s="119" t="n">
        <v>31.001</v>
      </c>
      <c r="K138" s="117" t="n">
        <v>0.309972</v>
      </c>
      <c r="L138" s="116" t="n">
        <v>33.8</v>
      </c>
      <c r="M138" s="117" t="n">
        <v>0.337995</v>
      </c>
      <c r="N138" s="119" t="n">
        <v>30.9</v>
      </c>
      <c r="O138" s="117" t="n">
        <v>0.308996</v>
      </c>
      <c r="P138" s="120">
        <f>C138-G138</f>
        <v/>
      </c>
      <c r="Q138" s="120">
        <f>E138-C138</f>
        <v/>
      </c>
      <c r="R138" s="120">
        <f>C138-M138</f>
        <v/>
      </c>
      <c r="S138" s="120">
        <f>C138-O138</f>
        <v/>
      </c>
      <c r="T138" s="120">
        <f>E138-O138</f>
        <v/>
      </c>
      <c r="U138" s="120">
        <f>G138-O138</f>
        <v/>
      </c>
      <c r="V138" s="120">
        <f>G138-K138</f>
        <v/>
      </c>
      <c r="W138" s="120">
        <f>C138-K138</f>
        <v/>
      </c>
      <c r="X138" s="120">
        <f>I138-G138</f>
        <v/>
      </c>
      <c r="Y138" s="121">
        <f>G138-M138</f>
        <v/>
      </c>
      <c r="Z138" s="79" t="n"/>
    </row>
    <row r="139">
      <c r="A139" s="115" t="n">
        <v>45119</v>
      </c>
      <c r="B139" s="116" t="n">
        <v>31.7</v>
      </c>
      <c r="C139" s="117" t="n">
        <v>0.316974</v>
      </c>
      <c r="D139" s="116" t="n">
        <v>35.4</v>
      </c>
      <c r="E139" s="118" t="n">
        <v>0.353971</v>
      </c>
      <c r="F139" s="116" t="n">
        <v>29.72</v>
      </c>
      <c r="G139" s="117" t="n">
        <v>0.297188</v>
      </c>
      <c r="H139" s="119" t="n">
        <v>36.04</v>
      </c>
      <c r="I139" s="117" t="n">
        <v>0.360396</v>
      </c>
      <c r="J139" s="119" t="n">
        <v>31.7</v>
      </c>
      <c r="K139" s="117" t="n">
        <v>0.316971</v>
      </c>
      <c r="L139" s="116" t="n">
        <v>33.9</v>
      </c>
      <c r="M139" s="117" t="n">
        <v>0.338997</v>
      </c>
      <c r="N139" s="119" t="n">
        <v>30.89</v>
      </c>
      <c r="O139" s="117" t="n">
        <v>0.308897</v>
      </c>
      <c r="P139" s="120">
        <f>C139-G139</f>
        <v/>
      </c>
      <c r="Q139" s="120">
        <f>E139-C139</f>
        <v/>
      </c>
      <c r="R139" s="120">
        <f>C139-M139</f>
        <v/>
      </c>
      <c r="S139" s="120">
        <f>C139-O139</f>
        <v/>
      </c>
      <c r="T139" s="120">
        <f>E139-O139</f>
        <v/>
      </c>
      <c r="U139" s="120">
        <f>G139-O139</f>
        <v/>
      </c>
      <c r="V139" s="120">
        <f>G139-K139</f>
        <v/>
      </c>
      <c r="W139" s="120">
        <f>C139-K139</f>
        <v/>
      </c>
      <c r="X139" s="120">
        <f>I139-G139</f>
        <v/>
      </c>
      <c r="Y139" s="121">
        <f>G139-M139</f>
        <v/>
      </c>
      <c r="Z139" s="79" t="n"/>
    </row>
    <row r="140">
      <c r="A140" s="115" t="n">
        <v>45118</v>
      </c>
      <c r="B140" s="116" t="n">
        <v>33.5</v>
      </c>
      <c r="C140" s="117" t="n">
        <v>0.334982</v>
      </c>
      <c r="D140" s="116" t="n">
        <v>35.5</v>
      </c>
      <c r="E140" s="118" t="n">
        <v>0.354981</v>
      </c>
      <c r="F140" s="116" t="n">
        <v>30.14</v>
      </c>
      <c r="G140" s="117" t="n">
        <v>0.301392</v>
      </c>
      <c r="H140" s="119" t="n">
        <v>36.33</v>
      </c>
      <c r="I140" s="117" t="n">
        <v>0.363298</v>
      </c>
      <c r="J140" s="119" t="n">
        <v>31.5</v>
      </c>
      <c r="K140" s="117" t="n">
        <v>0.314981</v>
      </c>
      <c r="L140" s="116" t="n">
        <v>34.9</v>
      </c>
      <c r="M140" s="117" t="n">
        <v>0.348998</v>
      </c>
      <c r="N140" s="119" t="n">
        <v>31</v>
      </c>
      <c r="O140" s="117" t="n">
        <v>0.309998</v>
      </c>
      <c r="P140" s="120">
        <f>C140-G140</f>
        <v/>
      </c>
      <c r="Q140" s="120">
        <f>E140-C140</f>
        <v/>
      </c>
      <c r="R140" s="120">
        <f>C140-M140</f>
        <v/>
      </c>
      <c r="S140" s="120">
        <f>C140-O140</f>
        <v/>
      </c>
      <c r="T140" s="120">
        <f>E140-O140</f>
        <v/>
      </c>
      <c r="U140" s="120">
        <f>G140-O140</f>
        <v/>
      </c>
      <c r="V140" s="120">
        <f>G140-K140</f>
        <v/>
      </c>
      <c r="W140" s="120">
        <f>C140-K140</f>
        <v/>
      </c>
      <c r="X140" s="120">
        <f>I140-G140</f>
        <v/>
      </c>
      <c r="Y140" s="121">
        <f>G140-M140</f>
        <v/>
      </c>
      <c r="Z140" s="79" t="n"/>
    </row>
    <row r="141">
      <c r="A141" s="115" t="n">
        <v>45117</v>
      </c>
      <c r="B141" s="116" t="n">
        <v>30.44</v>
      </c>
      <c r="C141" s="117" t="n">
        <v>0.304392</v>
      </c>
      <c r="D141" s="116" t="n">
        <v>34.74</v>
      </c>
      <c r="E141" s="118" t="n">
        <v>0.34739</v>
      </c>
      <c r="F141" s="116" t="n">
        <v>29.34</v>
      </c>
      <c r="G141" s="117" t="n">
        <v>0.293396</v>
      </c>
      <c r="H141" s="119" t="n">
        <v>35.46</v>
      </c>
      <c r="I141" s="117" t="n">
        <v>0.354599</v>
      </c>
      <c r="J141" s="119" t="n">
        <v>30.23</v>
      </c>
      <c r="K141" s="117" t="n">
        <v>0.302291</v>
      </c>
      <c r="L141" s="116" t="n">
        <v>33.7</v>
      </c>
      <c r="M141" s="117" t="n">
        <v>0.336999</v>
      </c>
      <c r="N141" s="119" t="n">
        <v>30.887</v>
      </c>
      <c r="O141" s="117" t="n">
        <v>0.308869</v>
      </c>
      <c r="P141" s="120">
        <f>C141-G141</f>
        <v/>
      </c>
      <c r="Q141" s="120">
        <f>E141-C141</f>
        <v/>
      </c>
      <c r="R141" s="120">
        <f>C141-M141</f>
        <v/>
      </c>
      <c r="S141" s="120">
        <f>C141-O141</f>
        <v/>
      </c>
      <c r="T141" s="120">
        <f>E141-O141</f>
        <v/>
      </c>
      <c r="U141" s="120">
        <f>G141-O141</f>
        <v/>
      </c>
      <c r="V141" s="120">
        <f>G141-K141</f>
        <v/>
      </c>
      <c r="W141" s="120">
        <f>C141-K141</f>
        <v/>
      </c>
      <c r="X141" s="120">
        <f>I141-G141</f>
        <v/>
      </c>
      <c r="Y141" s="121">
        <f>G141-M141</f>
        <v/>
      </c>
      <c r="Z141" s="79" t="n"/>
    </row>
    <row r="142">
      <c r="A142" s="105" t="n">
        <v>45114</v>
      </c>
      <c r="B142" s="106" t="n">
        <v>29.798</v>
      </c>
      <c r="C142" s="107" t="n">
        <v>0.296526</v>
      </c>
      <c r="D142" s="106" t="n">
        <v>33.4</v>
      </c>
      <c r="E142" s="108" t="n">
        <v>0.33237</v>
      </c>
      <c r="F142" s="106" t="n">
        <v>28.15</v>
      </c>
      <c r="G142" s="107" t="n">
        <v>0.280811</v>
      </c>
      <c r="H142" s="109" t="n">
        <v>34.41</v>
      </c>
      <c r="I142" s="107" t="n">
        <v>0.343889</v>
      </c>
      <c r="J142" s="109" t="n">
        <v>30</v>
      </c>
      <c r="K142" s="107" t="n">
        <v>0.298354</v>
      </c>
      <c r="L142" s="106" t="n">
        <v>32.85</v>
      </c>
      <c r="M142" s="107" t="n">
        <v>0.328299</v>
      </c>
      <c r="N142" s="109" t="n">
        <v>29.726</v>
      </c>
      <c r="O142" s="107" t="n">
        <v>0.297078</v>
      </c>
      <c r="P142" s="110">
        <f>C142-G142</f>
        <v/>
      </c>
      <c r="Q142" s="110">
        <f>E142-C142</f>
        <v/>
      </c>
      <c r="R142" s="110">
        <f>C142-M142</f>
        <v/>
      </c>
      <c r="S142" s="110">
        <f>C142-O142</f>
        <v/>
      </c>
      <c r="T142" s="110">
        <f>E142-O142</f>
        <v/>
      </c>
      <c r="U142" s="110">
        <f>G142-O142</f>
        <v/>
      </c>
      <c r="V142" s="110">
        <f>G142-K142</f>
        <v/>
      </c>
      <c r="W142" s="110">
        <f>C142-K142</f>
        <v/>
      </c>
      <c r="X142" s="110">
        <f>I142-G142</f>
        <v/>
      </c>
      <c r="Y142" s="111">
        <f>G142-M142</f>
        <v/>
      </c>
      <c r="Z142" s="79" t="n"/>
    </row>
    <row r="143">
      <c r="A143" s="105" t="n">
        <v>45113</v>
      </c>
      <c r="B143" s="106" t="n">
        <v>30.1</v>
      </c>
      <c r="C143" s="107" t="n">
        <v>0.299539</v>
      </c>
      <c r="D143" s="106" t="n">
        <v>34.19</v>
      </c>
      <c r="E143" s="108" t="n">
        <v>0.340241</v>
      </c>
      <c r="F143" s="106" t="n">
        <v>28.29</v>
      </c>
      <c r="G143" s="107" t="n">
        <v>0.282212</v>
      </c>
      <c r="H143" s="109" t="n">
        <v>34.7</v>
      </c>
      <c r="I143" s="107" t="n">
        <v>0.346789</v>
      </c>
      <c r="J143" s="109" t="n">
        <v>30.29</v>
      </c>
      <c r="K143" s="107" t="n">
        <v>0.301247</v>
      </c>
      <c r="L143" s="106" t="n">
        <v>33.3</v>
      </c>
      <c r="M143" s="107" t="n">
        <v>0.332797</v>
      </c>
      <c r="N143" s="109" t="n">
        <v>29.95</v>
      </c>
      <c r="O143" s="107" t="n">
        <v>0.299318</v>
      </c>
      <c r="P143" s="110">
        <f>C143-G143</f>
        <v/>
      </c>
      <c r="Q143" s="110">
        <f>E143-C143</f>
        <v/>
      </c>
      <c r="R143" s="110">
        <f>C143-M143</f>
        <v/>
      </c>
      <c r="S143" s="110">
        <f>C143-O143</f>
        <v/>
      </c>
      <c r="T143" s="110">
        <f>E143-O143</f>
        <v/>
      </c>
      <c r="U143" s="110">
        <f>G143-O143</f>
        <v/>
      </c>
      <c r="V143" s="110">
        <f>G143-K143</f>
        <v/>
      </c>
      <c r="W143" s="110">
        <f>C143-K143</f>
        <v/>
      </c>
      <c r="X143" s="110">
        <f>I143-G143</f>
        <v/>
      </c>
      <c r="Y143" s="111">
        <f>G143-M143</f>
        <v/>
      </c>
      <c r="Z143" s="79" t="n"/>
    </row>
    <row r="144">
      <c r="A144" s="105" t="n">
        <v>45112</v>
      </c>
      <c r="B144" s="106" t="n">
        <v>32.4</v>
      </c>
      <c r="C144" s="107" t="n">
        <v>0.322436</v>
      </c>
      <c r="D144" s="106" t="n">
        <v>36.072</v>
      </c>
      <c r="E144" s="108" t="n">
        <v>0.358979</v>
      </c>
      <c r="F144" s="106" t="n">
        <v>30.16</v>
      </c>
      <c r="G144" s="107" t="n">
        <v>0.30087</v>
      </c>
      <c r="H144" s="109" t="n">
        <v>36.45</v>
      </c>
      <c r="I144" s="107" t="n">
        <v>0.364279</v>
      </c>
      <c r="J144" s="109" t="n">
        <v>32.43</v>
      </c>
      <c r="K144" s="107" t="n">
        <v>0.32254</v>
      </c>
      <c r="L144" s="106" t="n">
        <v>36.8</v>
      </c>
      <c r="M144" s="107" t="n">
        <v>0.367777</v>
      </c>
      <c r="N144" s="109" t="n">
        <v>33</v>
      </c>
      <c r="O144" s="107" t="n">
        <v>0.3298</v>
      </c>
      <c r="P144" s="110">
        <f>C144-G144</f>
        <v/>
      </c>
      <c r="Q144" s="110">
        <f>E144-C144</f>
        <v/>
      </c>
      <c r="R144" s="110">
        <f>C144-M144</f>
        <v/>
      </c>
      <c r="S144" s="110">
        <f>C144-O144</f>
        <v/>
      </c>
      <c r="T144" s="110">
        <f>E144-O144</f>
        <v/>
      </c>
      <c r="U144" s="110">
        <f>G144-O144</f>
        <v/>
      </c>
      <c r="V144" s="110">
        <f>G144-K144</f>
        <v/>
      </c>
      <c r="W144" s="110">
        <f>C144-K144</f>
        <v/>
      </c>
      <c r="X144" s="110">
        <f>I144-G144</f>
        <v/>
      </c>
      <c r="Y144" s="111">
        <f>G144-M144</f>
        <v/>
      </c>
      <c r="Z144" s="79" t="n"/>
    </row>
    <row r="145">
      <c r="A145" s="105" t="n">
        <v>45111</v>
      </c>
      <c r="B145" s="106" t="n">
        <v>32.598</v>
      </c>
      <c r="C145" s="107" t="n">
        <v>0.324416</v>
      </c>
      <c r="D145" s="106" t="n">
        <v>35.948</v>
      </c>
      <c r="E145" s="108" t="n">
        <v>0.357755</v>
      </c>
      <c r="F145" s="106" t="n">
        <v>30.71</v>
      </c>
      <c r="G145" s="107" t="n">
        <v>0.306361</v>
      </c>
      <c r="H145" s="109" t="n">
        <v>37</v>
      </c>
      <c r="I145" s="107" t="n">
        <v>0.369777</v>
      </c>
      <c r="J145" s="109" t="n">
        <v>32.5</v>
      </c>
      <c r="K145" s="107" t="n">
        <v>0.323246</v>
      </c>
      <c r="L145" s="106" t="n">
        <v>37</v>
      </c>
      <c r="M145" s="107" t="n">
        <v>0.369777</v>
      </c>
      <c r="N145" s="109" t="n">
        <v>33</v>
      </c>
      <c r="O145" s="107" t="n">
        <v>0.329801</v>
      </c>
      <c r="P145" s="110">
        <f>C145-G145</f>
        <v/>
      </c>
      <c r="Q145" s="110">
        <f>E145-C145</f>
        <v/>
      </c>
      <c r="R145" s="110">
        <f>C145-M145</f>
        <v/>
      </c>
      <c r="S145" s="110">
        <f>C145-O145</f>
        <v/>
      </c>
      <c r="T145" s="110">
        <f>E145-O145</f>
        <v/>
      </c>
      <c r="U145" s="110">
        <f>G145-O145</f>
        <v/>
      </c>
      <c r="V145" s="110">
        <f>G145-K145</f>
        <v/>
      </c>
      <c r="W145" s="110">
        <f>C145-K145</f>
        <v/>
      </c>
      <c r="X145" s="110">
        <f>I145-G145</f>
        <v/>
      </c>
      <c r="Y145" s="111">
        <f>G145-M145</f>
        <v/>
      </c>
      <c r="Z145" s="79" t="n"/>
    </row>
    <row r="146">
      <c r="A146" s="105" t="n">
        <v>45110</v>
      </c>
      <c r="B146" s="106" t="n">
        <v>32.587</v>
      </c>
      <c r="C146" s="107" t="n">
        <v>0.324315</v>
      </c>
      <c r="D146" s="106" t="n">
        <v>36.7</v>
      </c>
      <c r="E146" s="108" t="n">
        <v>0.365249</v>
      </c>
      <c r="F146" s="106" t="n">
        <v>30.62</v>
      </c>
      <c r="G146" s="107" t="n">
        <v>0.305468</v>
      </c>
      <c r="H146" s="109" t="n">
        <v>36.8</v>
      </c>
      <c r="I146" s="107" t="n">
        <v>0.36778</v>
      </c>
      <c r="J146" s="109" t="n">
        <v>32.3</v>
      </c>
      <c r="K146" s="107" t="n">
        <v>0.321267</v>
      </c>
      <c r="L146" s="106" t="n">
        <v>36.85</v>
      </c>
      <c r="M146" s="107" t="n">
        <v>0.368279</v>
      </c>
      <c r="N146" s="109" t="n">
        <v>33.2</v>
      </c>
      <c r="O146" s="107" t="n">
        <v>0.331801</v>
      </c>
      <c r="P146" s="110">
        <f>C146-G146</f>
        <v/>
      </c>
      <c r="Q146" s="110">
        <f>E146-C146</f>
        <v/>
      </c>
      <c r="R146" s="110">
        <f>C146-M146</f>
        <v/>
      </c>
      <c r="S146" s="110">
        <f>C146-O146</f>
        <v/>
      </c>
      <c r="T146" s="110">
        <f>E146-O146</f>
        <v/>
      </c>
      <c r="U146" s="110">
        <f>G146-O146</f>
        <v/>
      </c>
      <c r="V146" s="110">
        <f>G146-K146</f>
        <v/>
      </c>
      <c r="W146" s="110">
        <f>C146-K146</f>
        <v/>
      </c>
      <c r="X146" s="110">
        <f>I146-G146</f>
        <v/>
      </c>
      <c r="Y146" s="111">
        <f>G146-M146</f>
        <v/>
      </c>
      <c r="Z146" s="79" t="n"/>
    </row>
    <row r="147">
      <c r="A147" s="105" t="n">
        <v>45107</v>
      </c>
      <c r="B147" s="106" t="n">
        <v>31</v>
      </c>
      <c r="C147" s="107" t="n">
        <v>0.308546</v>
      </c>
      <c r="D147" s="106" t="n">
        <v>34.5</v>
      </c>
      <c r="E147" s="108" t="n">
        <v>0.343382</v>
      </c>
      <c r="F147" s="106" t="n">
        <v>29.47</v>
      </c>
      <c r="G147" s="107" t="n">
        <v>0.294007</v>
      </c>
      <c r="H147" s="109" t="n">
        <v>35.46</v>
      </c>
      <c r="I147" s="107" t="n">
        <v>0.354391</v>
      </c>
      <c r="J147" s="109" t="n">
        <v>31.15</v>
      </c>
      <c r="K147" s="107" t="n">
        <v>0.309857</v>
      </c>
      <c r="L147" s="106" t="n">
        <v>36.2</v>
      </c>
      <c r="M147" s="107" t="n">
        <v>0.361787</v>
      </c>
      <c r="N147" s="109" t="n">
        <v>32.4</v>
      </c>
      <c r="O147" s="107" t="n">
        <v>0.323809</v>
      </c>
      <c r="P147" s="110">
        <f>C147-G147</f>
        <v/>
      </c>
      <c r="Q147" s="110">
        <f>E147-C147</f>
        <v/>
      </c>
      <c r="R147" s="110">
        <f>C147-M147</f>
        <v/>
      </c>
      <c r="S147" s="110">
        <f>C147-O147</f>
        <v/>
      </c>
      <c r="T147" s="110">
        <f>E147-O147</f>
        <v/>
      </c>
      <c r="U147" s="110">
        <f>G147-O147</f>
        <v/>
      </c>
      <c r="V147" s="110">
        <f>G147-K147</f>
        <v/>
      </c>
      <c r="W147" s="110">
        <f>C147-K147</f>
        <v/>
      </c>
      <c r="X147" s="110">
        <f>I147-G147</f>
        <v/>
      </c>
      <c r="Y147" s="111">
        <f>G147-M147</f>
        <v/>
      </c>
      <c r="Z147" s="79" t="n"/>
    </row>
    <row r="148">
      <c r="A148" s="105" t="n">
        <v>45106</v>
      </c>
      <c r="B148" s="106" t="n">
        <v>30.65</v>
      </c>
      <c r="C148" s="107" t="n">
        <v>0.305071</v>
      </c>
      <c r="D148" s="106" t="n">
        <v>33.95</v>
      </c>
      <c r="E148" s="108" t="n">
        <v>0.337917</v>
      </c>
      <c r="F148" s="106" t="n">
        <v>28.94</v>
      </c>
      <c r="G148" s="107" t="n">
        <v>0.288724</v>
      </c>
      <c r="H148" s="109" t="n">
        <v>34.87</v>
      </c>
      <c r="I148" s="107" t="n">
        <v>0.348496</v>
      </c>
      <c r="J148" s="109" t="n">
        <v>30.83</v>
      </c>
      <c r="K148" s="107" t="n">
        <v>0.306684</v>
      </c>
      <c r="L148" s="106" t="n">
        <v>35.1</v>
      </c>
      <c r="M148" s="107" t="n">
        <v>0.350795</v>
      </c>
      <c r="N148" s="109" t="n">
        <v>31.7</v>
      </c>
      <c r="O148" s="107" t="n">
        <v>0.316814</v>
      </c>
      <c r="P148" s="110">
        <f>C148-G148</f>
        <v/>
      </c>
      <c r="Q148" s="110">
        <f>E148-C148</f>
        <v/>
      </c>
      <c r="R148" s="110">
        <f>C148-M148</f>
        <v/>
      </c>
      <c r="S148" s="110">
        <f>C148-O148</f>
        <v/>
      </c>
      <c r="T148" s="110">
        <f>E148-O148</f>
        <v/>
      </c>
      <c r="U148" s="110">
        <f>G148-O148</f>
        <v/>
      </c>
      <c r="V148" s="110">
        <f>G148-K148</f>
        <v/>
      </c>
      <c r="W148" s="110">
        <f>C148-K148</f>
        <v/>
      </c>
      <c r="X148" s="110">
        <f>I148-G148</f>
        <v/>
      </c>
      <c r="Y148" s="111">
        <f>G148-M148</f>
        <v/>
      </c>
      <c r="Z148" s="79" t="n"/>
    </row>
    <row r="149">
      <c r="A149" s="105" t="n">
        <v>45105</v>
      </c>
      <c r="B149" s="106" t="n">
        <v>30.88</v>
      </c>
      <c r="C149" s="107" t="n">
        <v>0.307368</v>
      </c>
      <c r="D149" s="106" t="n">
        <v>35</v>
      </c>
      <c r="E149" s="108" t="n">
        <v>0.348377</v>
      </c>
      <c r="F149" s="106" t="n">
        <v>28.78</v>
      </c>
      <c r="G149" s="107" t="n">
        <v>0.287131</v>
      </c>
      <c r="H149" s="109" t="n">
        <v>34.87</v>
      </c>
      <c r="I149" s="107" t="n">
        <v>0.348497</v>
      </c>
      <c r="J149" s="109" t="n">
        <v>30.12</v>
      </c>
      <c r="K149" s="107" t="n">
        <v>0.29963</v>
      </c>
      <c r="L149" s="106" t="n">
        <v>35</v>
      </c>
      <c r="M149" s="107" t="n">
        <v>0.349796</v>
      </c>
      <c r="N149" s="109" t="n">
        <v>31.412</v>
      </c>
      <c r="O149" s="107" t="n">
        <v>0.313937</v>
      </c>
      <c r="P149" s="110">
        <f>C149-G149</f>
        <v/>
      </c>
      <c r="Q149" s="110">
        <f>E149-C149</f>
        <v/>
      </c>
      <c r="R149" s="110">
        <f>C149-M149</f>
        <v/>
      </c>
      <c r="S149" s="110">
        <f>C149-O149</f>
        <v/>
      </c>
      <c r="T149" s="110">
        <f>E149-O149</f>
        <v/>
      </c>
      <c r="U149" s="110">
        <f>G149-O149</f>
        <v/>
      </c>
      <c r="V149" s="110">
        <f>G149-K149</f>
        <v/>
      </c>
      <c r="W149" s="110">
        <f>C149-K149</f>
        <v/>
      </c>
      <c r="X149" s="110">
        <f>I149-G149</f>
        <v/>
      </c>
      <c r="Y149" s="111">
        <f>G149-M149</f>
        <v/>
      </c>
      <c r="Z149" s="79" t="n"/>
    </row>
    <row r="150">
      <c r="A150" s="105" t="n">
        <v>45104</v>
      </c>
      <c r="B150" s="106" t="n">
        <v>29.43</v>
      </c>
      <c r="C150" s="107" t="n">
        <v>0.292944</v>
      </c>
      <c r="D150" s="106" t="n">
        <v>33.297</v>
      </c>
      <c r="E150" s="108" t="n">
        <v>0.331435</v>
      </c>
      <c r="F150" s="106" t="n">
        <v>28.06</v>
      </c>
      <c r="G150" s="107" t="n">
        <v>0.279952</v>
      </c>
      <c r="H150" s="109" t="n">
        <v>34.35</v>
      </c>
      <c r="I150" s="107" t="n">
        <v>0.343301</v>
      </c>
      <c r="J150" s="109" t="n">
        <v>29.7</v>
      </c>
      <c r="K150" s="107" t="n">
        <v>0.295461</v>
      </c>
      <c r="L150" s="106" t="n">
        <v>34.59</v>
      </c>
      <c r="M150" s="107" t="n">
        <v>0.3457</v>
      </c>
      <c r="N150" s="109" t="n">
        <v>31.4</v>
      </c>
      <c r="O150" s="107" t="n">
        <v>0.313818</v>
      </c>
      <c r="P150" s="110">
        <f>C150-G150</f>
        <v/>
      </c>
      <c r="Q150" s="110">
        <f>E150-C150</f>
        <v/>
      </c>
      <c r="R150" s="110">
        <f>C150-M150</f>
        <v/>
      </c>
      <c r="S150" s="110">
        <f>C150-O150</f>
        <v/>
      </c>
      <c r="T150" s="110">
        <f>E150-O150</f>
        <v/>
      </c>
      <c r="U150" s="110">
        <f>G150-O150</f>
        <v/>
      </c>
      <c r="V150" s="110">
        <f>G150-K150</f>
        <v/>
      </c>
      <c r="W150" s="110">
        <f>C150-K150</f>
        <v/>
      </c>
      <c r="X150" s="110">
        <f>I150-G150</f>
        <v/>
      </c>
      <c r="Y150" s="111">
        <f>G150-M150</f>
        <v/>
      </c>
      <c r="Z150" s="79" t="n"/>
    </row>
    <row r="151">
      <c r="A151" s="105" t="n">
        <v>45103</v>
      </c>
      <c r="B151" s="106" t="n">
        <v>29.85</v>
      </c>
      <c r="C151" s="107" t="n">
        <v>0.297132</v>
      </c>
      <c r="D151" s="106" t="n">
        <v>33.011</v>
      </c>
      <c r="E151" s="108" t="n">
        <v>0.328598</v>
      </c>
      <c r="F151" s="106" t="n">
        <v>28.26</v>
      </c>
      <c r="G151" s="107" t="n">
        <v>0.281951</v>
      </c>
      <c r="H151" s="109" t="n">
        <v>34.5</v>
      </c>
      <c r="I151" s="107" t="n">
        <v>0.344802</v>
      </c>
      <c r="J151" s="109" t="n">
        <v>29.95</v>
      </c>
      <c r="K151" s="107" t="n">
        <v>0.297957</v>
      </c>
      <c r="L151" s="106" t="n">
        <v>34.99</v>
      </c>
      <c r="M151" s="107" t="n">
        <v>0.349699</v>
      </c>
      <c r="N151" s="109" t="n">
        <v>31.8</v>
      </c>
      <c r="O151" s="107" t="n">
        <v>0.317817</v>
      </c>
      <c r="P151" s="110">
        <f>C151-G151</f>
        <v/>
      </c>
      <c r="Q151" s="110">
        <f>E151-C151</f>
        <v/>
      </c>
      <c r="R151" s="110">
        <f>C151-M151</f>
        <v/>
      </c>
      <c r="S151" s="110">
        <f>C151-O151</f>
        <v/>
      </c>
      <c r="T151" s="110">
        <f>E151-O151</f>
        <v/>
      </c>
      <c r="U151" s="110">
        <f>G151-O151</f>
        <v/>
      </c>
      <c r="V151" s="110">
        <f>G151-K151</f>
        <v/>
      </c>
      <c r="W151" s="110">
        <f>C151-K151</f>
        <v/>
      </c>
      <c r="X151" s="110">
        <f>I151-G151</f>
        <v/>
      </c>
      <c r="Y151" s="111">
        <f>G151-M151</f>
        <v/>
      </c>
      <c r="Z151" s="79" t="n"/>
    </row>
    <row r="152">
      <c r="A152" s="105" t="n">
        <v>45100</v>
      </c>
      <c r="B152" s="106" t="n">
        <v>28.445</v>
      </c>
      <c r="C152" s="107" t="n">
        <v>0.28317</v>
      </c>
      <c r="D152" s="106" t="n">
        <v>32.43</v>
      </c>
      <c r="E152" s="108" t="n">
        <v>0.322841</v>
      </c>
      <c r="F152" s="106" t="n">
        <v>26.7</v>
      </c>
      <c r="G152" s="107" t="n">
        <v>0.266398</v>
      </c>
      <c r="H152" s="109" t="n">
        <v>32.64</v>
      </c>
      <c r="I152" s="107" t="n">
        <v>0.326216</v>
      </c>
      <c r="J152" s="109" t="n">
        <v>28.699</v>
      </c>
      <c r="K152" s="107" t="n">
        <v>0.285538</v>
      </c>
      <c r="L152" s="106" t="n">
        <v>33.65</v>
      </c>
      <c r="M152" s="107" t="n">
        <v>0.33631</v>
      </c>
      <c r="N152" s="109" t="n">
        <v>30.7</v>
      </c>
      <c r="O152" s="107" t="n">
        <v>0.306827</v>
      </c>
      <c r="P152" s="110">
        <f>C152-G152</f>
        <v/>
      </c>
      <c r="Q152" s="110">
        <f>E152-C152</f>
        <v/>
      </c>
      <c r="R152" s="110">
        <f>C152-M152</f>
        <v/>
      </c>
      <c r="S152" s="110">
        <f>C152-O152</f>
        <v/>
      </c>
      <c r="T152" s="110">
        <f>E152-O152</f>
        <v/>
      </c>
      <c r="U152" s="110">
        <f>G152-O152</f>
        <v/>
      </c>
      <c r="V152" s="110">
        <f>G152-K152</f>
        <v/>
      </c>
      <c r="W152" s="110">
        <f>C152-K152</f>
        <v/>
      </c>
      <c r="X152" s="110">
        <f>I152-G152</f>
        <v/>
      </c>
      <c r="Y152" s="111">
        <f>G152-M152</f>
        <v/>
      </c>
      <c r="Z152" s="79" t="n"/>
    </row>
    <row r="153">
      <c r="A153" s="105" t="n">
        <v>45099</v>
      </c>
      <c r="B153" s="106" t="n">
        <v>28.58</v>
      </c>
      <c r="C153" s="107" t="n">
        <v>0.284522</v>
      </c>
      <c r="D153" s="106" t="n">
        <v>32.5</v>
      </c>
      <c r="E153" s="108" t="n">
        <v>0.323546</v>
      </c>
      <c r="F153" s="106" t="n">
        <v>26.74</v>
      </c>
      <c r="G153" s="107" t="n">
        <v>0.266801</v>
      </c>
      <c r="H153" s="109" t="n">
        <v>32.6</v>
      </c>
      <c r="I153" s="107" t="n">
        <v>0.325817</v>
      </c>
      <c r="J153" s="109" t="n">
        <v>28.3</v>
      </c>
      <c r="K153" s="107" t="n">
        <v>0.281577</v>
      </c>
      <c r="L153" s="106" t="n">
        <v>33.68</v>
      </c>
      <c r="M153" s="107" t="n">
        <v>0.336611</v>
      </c>
      <c r="N153" s="109" t="n">
        <v>30.7</v>
      </c>
      <c r="O153" s="107" t="n">
        <v>0.306828</v>
      </c>
      <c r="P153" s="110">
        <f>C153-G153</f>
        <v/>
      </c>
      <c r="Q153" s="110">
        <f>E153-C153</f>
        <v/>
      </c>
      <c r="R153" s="110">
        <f>C153-M153</f>
        <v/>
      </c>
      <c r="S153" s="110">
        <f>C153-O153</f>
        <v/>
      </c>
      <c r="T153" s="110">
        <f>E153-O153</f>
        <v/>
      </c>
      <c r="U153" s="110">
        <f>G153-O153</f>
        <v/>
      </c>
      <c r="V153" s="110">
        <f>G153-K153</f>
        <v/>
      </c>
      <c r="W153" s="110">
        <f>C153-K153</f>
        <v/>
      </c>
      <c r="X153" s="110">
        <f>I153-G153</f>
        <v/>
      </c>
      <c r="Y153" s="111">
        <f>G153-M153</f>
        <v/>
      </c>
      <c r="Z153" s="79" t="n"/>
    </row>
    <row r="154">
      <c r="A154" s="105" t="n">
        <v>45098</v>
      </c>
      <c r="B154" s="106" t="n">
        <v>27.4</v>
      </c>
      <c r="C154" s="107" t="n">
        <v>0.272782</v>
      </c>
      <c r="D154" s="106" t="n">
        <v>31.5</v>
      </c>
      <c r="E154" s="108" t="n">
        <v>0.3136</v>
      </c>
      <c r="F154" s="106" t="n">
        <v>26</v>
      </c>
      <c r="G154" s="107" t="n">
        <v>0.259421</v>
      </c>
      <c r="H154" s="109" t="n">
        <v>31.9</v>
      </c>
      <c r="I154" s="107" t="n">
        <v>0.318822</v>
      </c>
      <c r="J154" s="109" t="n">
        <v>27.26</v>
      </c>
      <c r="K154" s="107" t="n">
        <v>0.271237</v>
      </c>
      <c r="L154" s="106" t="n">
        <v>33</v>
      </c>
      <c r="M154" s="107" t="n">
        <v>0.329816</v>
      </c>
      <c r="N154" s="109" t="n">
        <v>29.8</v>
      </c>
      <c r="O154" s="107" t="n">
        <v>0.297834</v>
      </c>
      <c r="P154" s="110">
        <f>C154-G154</f>
        <v/>
      </c>
      <c r="Q154" s="110">
        <f>E154-C154</f>
        <v/>
      </c>
      <c r="R154" s="110">
        <f>C154-M154</f>
        <v/>
      </c>
      <c r="S154" s="110">
        <f>C154-O154</f>
        <v/>
      </c>
      <c r="T154" s="110">
        <f>E154-O154</f>
        <v/>
      </c>
      <c r="U154" s="110">
        <f>G154-O154</f>
        <v/>
      </c>
      <c r="V154" s="110">
        <f>G154-K154</f>
        <v/>
      </c>
      <c r="W154" s="110">
        <f>C154-K154</f>
        <v/>
      </c>
      <c r="X154" s="110">
        <f>I154-G154</f>
        <v/>
      </c>
      <c r="Y154" s="111">
        <f>G154-M154</f>
        <v/>
      </c>
      <c r="Z154" s="79" t="n"/>
    </row>
    <row r="155">
      <c r="A155" s="105" t="n">
        <v>45093</v>
      </c>
      <c r="B155" s="106" t="n">
        <v>26.1</v>
      </c>
      <c r="C155" s="107" t="n">
        <v>0.259875</v>
      </c>
      <c r="D155" s="106" t="n">
        <v>30.64</v>
      </c>
      <c r="E155" s="108" t="n">
        <v>0.305079</v>
      </c>
      <c r="F155" s="106" t="n">
        <v>23.71</v>
      </c>
      <c r="G155" s="107" t="n">
        <v>0.236588</v>
      </c>
      <c r="H155" s="109" t="n">
        <v>30.5</v>
      </c>
      <c r="I155" s="107" t="n">
        <v>0.304835</v>
      </c>
      <c r="J155" s="109" t="n">
        <v>26.498</v>
      </c>
      <c r="K155" s="107" t="n">
        <v>0.263696</v>
      </c>
      <c r="L155" s="106" t="n">
        <v>32</v>
      </c>
      <c r="M155" s="107" t="n">
        <v>0.319827</v>
      </c>
      <c r="N155" s="109" t="n">
        <v>28.5</v>
      </c>
      <c r="O155" s="107" t="n">
        <v>0.284846</v>
      </c>
      <c r="P155" s="110">
        <f>C155-G155</f>
        <v/>
      </c>
      <c r="Q155" s="110">
        <f>E155-C155</f>
        <v/>
      </c>
      <c r="R155" s="110">
        <f>C155-M155</f>
        <v/>
      </c>
      <c r="S155" s="110">
        <f>C155-O155</f>
        <v/>
      </c>
      <c r="T155" s="110">
        <f>E155-O155</f>
        <v/>
      </c>
      <c r="U155" s="110">
        <f>G155-O155</f>
        <v/>
      </c>
      <c r="V155" s="110">
        <f>G155-K155</f>
        <v/>
      </c>
      <c r="W155" s="110">
        <f>C155-K155</f>
        <v/>
      </c>
      <c r="X155" s="110">
        <f>I155-G155</f>
        <v/>
      </c>
      <c r="Y155" s="111">
        <f>G155-M155</f>
        <v/>
      </c>
      <c r="Z155" s="79" t="n"/>
    </row>
    <row r="156">
      <c r="A156" s="105" t="n">
        <v>45092</v>
      </c>
      <c r="B156" s="106" t="n">
        <v>26.6</v>
      </c>
      <c r="C156" s="107" t="n">
        <v>0.264861</v>
      </c>
      <c r="D156" s="106" t="n">
        <v>30.001</v>
      </c>
      <c r="E156" s="108" t="n">
        <v>0.298725</v>
      </c>
      <c r="F156" s="106" t="n">
        <v>23.81</v>
      </c>
      <c r="G156" s="107" t="n">
        <v>0.237589</v>
      </c>
      <c r="H156" s="109" t="n">
        <v>30.7</v>
      </c>
      <c r="I156" s="107" t="n">
        <v>0.306835</v>
      </c>
      <c r="J156" s="109" t="n">
        <v>26.649</v>
      </c>
      <c r="K156" s="107" t="n">
        <v>0.265207</v>
      </c>
      <c r="L156" s="106" t="n">
        <v>31.77</v>
      </c>
      <c r="M156" s="107" t="n">
        <v>0.317529</v>
      </c>
      <c r="N156" s="109" t="n">
        <v>28.8</v>
      </c>
      <c r="O156" s="107" t="n">
        <v>0.287845</v>
      </c>
      <c r="P156" s="110">
        <f>C156-G156</f>
        <v/>
      </c>
      <c r="Q156" s="110">
        <f>E156-C156</f>
        <v/>
      </c>
      <c r="R156" s="110">
        <f>C156-M156</f>
        <v/>
      </c>
      <c r="S156" s="110">
        <f>C156-O156</f>
        <v/>
      </c>
      <c r="T156" s="110">
        <f>E156-O156</f>
        <v/>
      </c>
      <c r="U156" s="110">
        <f>G156-O156</f>
        <v/>
      </c>
      <c r="V156" s="110">
        <f>G156-K156</f>
        <v/>
      </c>
      <c r="W156" s="110">
        <f>C156-K156</f>
        <v/>
      </c>
      <c r="X156" s="110">
        <f>I156-G156</f>
        <v/>
      </c>
      <c r="Y156" s="111">
        <f>G156-M156</f>
        <v/>
      </c>
      <c r="Z156" s="79" t="n"/>
    </row>
    <row r="157">
      <c r="A157" s="105" t="n">
        <v>45091</v>
      </c>
      <c r="B157" s="106" t="n">
        <v>26.062</v>
      </c>
      <c r="C157" s="107" t="n">
        <v>0.259511</v>
      </c>
      <c r="D157" s="106" t="n">
        <v>30.024</v>
      </c>
      <c r="E157" s="108" t="n">
        <v>0.298962</v>
      </c>
      <c r="F157" s="106" t="n">
        <v>23.65</v>
      </c>
      <c r="G157" s="107" t="n">
        <v>0.235996</v>
      </c>
      <c r="H157" s="109" t="n">
        <v>30.57</v>
      </c>
      <c r="I157" s="107" t="n">
        <v>0.305537</v>
      </c>
      <c r="J157" s="109" t="n">
        <v>26.6</v>
      </c>
      <c r="K157" s="107" t="n">
        <v>0.264727</v>
      </c>
      <c r="L157" s="106" t="n">
        <v>31.4</v>
      </c>
      <c r="M157" s="107" t="n">
        <v>0.313832</v>
      </c>
      <c r="N157" s="109" t="n">
        <v>28.5</v>
      </c>
      <c r="O157" s="107" t="n">
        <v>0.284848</v>
      </c>
      <c r="P157" s="110">
        <f>C157-G157</f>
        <v/>
      </c>
      <c r="Q157" s="110">
        <f>E157-C157</f>
        <v/>
      </c>
      <c r="R157" s="110">
        <f>C157-M157</f>
        <v/>
      </c>
      <c r="S157" s="110">
        <f>C157-O157</f>
        <v/>
      </c>
      <c r="T157" s="110">
        <f>E157-O157</f>
        <v/>
      </c>
      <c r="U157" s="110">
        <f>G157-O157</f>
        <v/>
      </c>
      <c r="V157" s="110">
        <f>G157-K157</f>
        <v/>
      </c>
      <c r="W157" s="110">
        <f>C157-K157</f>
        <v/>
      </c>
      <c r="X157" s="110">
        <f>I157-G157</f>
        <v/>
      </c>
      <c r="Y157" s="111">
        <f>G157-M157</f>
        <v/>
      </c>
      <c r="Z157" s="79" t="n"/>
    </row>
    <row r="158">
      <c r="A158" s="105" t="n">
        <v>45090</v>
      </c>
      <c r="B158" s="106" t="n">
        <v>26.49</v>
      </c>
      <c r="C158" s="107" t="n">
        <v>0.26378</v>
      </c>
      <c r="D158" s="106" t="n">
        <v>30.6</v>
      </c>
      <c r="E158" s="108" t="n">
        <v>0.304706</v>
      </c>
      <c r="F158" s="106" t="n">
        <v>23.7</v>
      </c>
      <c r="G158" s="107" t="n">
        <v>0.236498</v>
      </c>
      <c r="H158" s="109" t="n">
        <v>30.77</v>
      </c>
      <c r="I158" s="107" t="n">
        <v>0.307537</v>
      </c>
      <c r="J158" s="109" t="n">
        <v>26.909</v>
      </c>
      <c r="K158" s="107" t="n">
        <v>0.267811</v>
      </c>
      <c r="L158" s="106" t="n">
        <v>31.91</v>
      </c>
      <c r="M158" s="107" t="n">
        <v>0.318931</v>
      </c>
      <c r="N158" s="109" t="n">
        <v>29.2</v>
      </c>
      <c r="O158" s="107" t="n">
        <v>0.291845</v>
      </c>
      <c r="P158" s="110">
        <f>C158-G158</f>
        <v/>
      </c>
      <c r="Q158" s="110">
        <f>E158-C158</f>
        <v/>
      </c>
      <c r="R158" s="110">
        <f>C158-M158</f>
        <v/>
      </c>
      <c r="S158" s="110">
        <f>C158-O158</f>
        <v/>
      </c>
      <c r="T158" s="110">
        <f>E158-O158</f>
        <v/>
      </c>
      <c r="U158" s="110">
        <f>G158-O158</f>
        <v/>
      </c>
      <c r="V158" s="110">
        <f>G158-K158</f>
        <v/>
      </c>
      <c r="W158" s="110">
        <f>C158-K158</f>
        <v/>
      </c>
      <c r="X158" s="110">
        <f>I158-G158</f>
        <v/>
      </c>
      <c r="Y158" s="111">
        <f>G158-M158</f>
        <v/>
      </c>
      <c r="Z158" s="79" t="n"/>
    </row>
    <row r="159">
      <c r="A159" s="105" t="n">
        <v>45089</v>
      </c>
      <c r="B159" s="106" t="n">
        <v>26.5</v>
      </c>
      <c r="C159" s="107" t="n">
        <v>0.263887</v>
      </c>
      <c r="D159" s="106" t="n">
        <v>29</v>
      </c>
      <c r="E159" s="108" t="n">
        <v>0.288782</v>
      </c>
      <c r="F159" s="106" t="n">
        <v>23.65</v>
      </c>
      <c r="G159" s="107" t="n">
        <v>0.236002</v>
      </c>
      <c r="H159" s="109" t="n">
        <v>30.5</v>
      </c>
      <c r="I159" s="107" t="n">
        <v>0.304839</v>
      </c>
      <c r="J159" s="109" t="n">
        <v>26.3</v>
      </c>
      <c r="K159" s="107" t="n">
        <v>0.261758</v>
      </c>
      <c r="L159" s="106" t="n">
        <v>32.6</v>
      </c>
      <c r="M159" s="107" t="n">
        <v>0.325828</v>
      </c>
      <c r="N159" s="109" t="n">
        <v>28.5</v>
      </c>
      <c r="O159" s="107" t="n">
        <v>0.28485</v>
      </c>
      <c r="P159" s="110">
        <f>C159-G159</f>
        <v/>
      </c>
      <c r="Q159" s="110">
        <f>E159-C159</f>
        <v/>
      </c>
      <c r="R159" s="110">
        <f>C159-M159</f>
        <v/>
      </c>
      <c r="S159" s="110">
        <f>C159-O159</f>
        <v/>
      </c>
      <c r="T159" s="110">
        <f>E159-O159</f>
        <v/>
      </c>
      <c r="U159" s="110">
        <f>G159-O159</f>
        <v/>
      </c>
      <c r="V159" s="110">
        <f>G159-K159</f>
        <v/>
      </c>
      <c r="W159" s="110">
        <f>C159-K159</f>
        <v/>
      </c>
      <c r="X159" s="110">
        <f>I159-G159</f>
        <v/>
      </c>
      <c r="Y159" s="111">
        <f>G159-M159</f>
        <v/>
      </c>
      <c r="Z159" s="79" t="n"/>
    </row>
    <row r="160">
      <c r="A160" s="105" t="n">
        <v>45086</v>
      </c>
      <c r="B160" s="106" t="n">
        <v>25.5</v>
      </c>
      <c r="C160" s="107" t="n">
        <v>0.253949</v>
      </c>
      <c r="D160" s="106" t="n">
        <v>28.601</v>
      </c>
      <c r="E160" s="108" t="n">
        <v>0.284832</v>
      </c>
      <c r="F160" s="106" t="n">
        <v>23.14</v>
      </c>
      <c r="G160" s="107" t="n">
        <v>0.230922</v>
      </c>
      <c r="H160" s="109" t="n">
        <v>29.93</v>
      </c>
      <c r="I160" s="107" t="n">
        <v>0.299145</v>
      </c>
      <c r="J160" s="109" t="n">
        <v>25.202</v>
      </c>
      <c r="K160" s="107" t="n">
        <v>0.250853</v>
      </c>
      <c r="L160" s="106" t="n">
        <v>32</v>
      </c>
      <c r="M160" s="107" t="n">
        <v>0.319835</v>
      </c>
      <c r="N160" s="109" t="n">
        <v>27.7</v>
      </c>
      <c r="O160" s="107" t="n">
        <v>0.276857</v>
      </c>
      <c r="P160" s="110">
        <f>C160-G160</f>
        <v/>
      </c>
      <c r="Q160" s="110">
        <f>E160-C160</f>
        <v/>
      </c>
      <c r="R160" s="110">
        <f>C160-M160</f>
        <v/>
      </c>
      <c r="S160" s="110">
        <f>C160-O160</f>
        <v/>
      </c>
      <c r="T160" s="110">
        <f>E160-O160</f>
        <v/>
      </c>
      <c r="U160" s="110">
        <f>G160-O160</f>
        <v/>
      </c>
      <c r="V160" s="110">
        <f>G160-K160</f>
        <v/>
      </c>
      <c r="W160" s="110">
        <f>C160-K160</f>
        <v/>
      </c>
      <c r="X160" s="110">
        <f>I160-G160</f>
        <v/>
      </c>
      <c r="Y160" s="111">
        <f>G160-M160</f>
        <v/>
      </c>
      <c r="Z160" s="79" t="n"/>
    </row>
    <row r="161">
      <c r="A161" s="105" t="n">
        <v>45085</v>
      </c>
      <c r="B161" s="106" t="n">
        <v>26</v>
      </c>
      <c r="C161" s="107" t="n">
        <v>0.258936</v>
      </c>
      <c r="D161" s="106" t="n">
        <v>28.913</v>
      </c>
      <c r="E161" s="108" t="n">
        <v>0.287947</v>
      </c>
      <c r="F161" s="106" t="n">
        <v>23.355</v>
      </c>
      <c r="G161" s="107" t="n">
        <v>0.233071</v>
      </c>
      <c r="H161" s="109" t="n">
        <v>29.72</v>
      </c>
      <c r="I161" s="107" t="n">
        <v>0.297047</v>
      </c>
      <c r="J161" s="109" t="n">
        <v>25.8</v>
      </c>
      <c r="K161" s="107" t="n">
        <v>0.256813</v>
      </c>
      <c r="L161" s="106" t="n">
        <v>32.1</v>
      </c>
      <c r="M161" s="107" t="n">
        <v>0.320835</v>
      </c>
      <c r="N161" s="109" t="n">
        <v>28.15</v>
      </c>
      <c r="O161" s="107" t="n">
        <v>0.281355</v>
      </c>
      <c r="P161" s="110">
        <f>C161-G161</f>
        <v/>
      </c>
      <c r="Q161" s="110">
        <f>E161-C161</f>
        <v/>
      </c>
      <c r="R161" s="110">
        <f>C161-M161</f>
        <v/>
      </c>
      <c r="S161" s="110">
        <f>C161-O161</f>
        <v/>
      </c>
      <c r="T161" s="110">
        <f>E161-O161</f>
        <v/>
      </c>
      <c r="U161" s="110">
        <f>G161-O161</f>
        <v/>
      </c>
      <c r="V161" s="110">
        <f>G161-K161</f>
        <v/>
      </c>
      <c r="W161" s="110">
        <f>C161-K161</f>
        <v/>
      </c>
      <c r="X161" s="110">
        <f>I161-G161</f>
        <v/>
      </c>
      <c r="Y161" s="111">
        <f>G161-M161</f>
        <v/>
      </c>
      <c r="Z161" s="79" t="n"/>
    </row>
    <row r="162">
      <c r="A162" s="105" t="n">
        <v>45084</v>
      </c>
      <c r="B162" s="106" t="n">
        <v>25.4</v>
      </c>
      <c r="C162" s="107" t="n">
        <v>0.252967</v>
      </c>
      <c r="D162" s="106" t="n">
        <v>29.4</v>
      </c>
      <c r="E162" s="108" t="n">
        <v>0.292805</v>
      </c>
      <c r="F162" s="106" t="n">
        <v>23.5</v>
      </c>
      <c r="G162" s="107" t="n">
        <v>0.234521</v>
      </c>
      <c r="H162" s="109" t="n">
        <v>30.1</v>
      </c>
      <c r="I162" s="107" t="n">
        <v>0.300846</v>
      </c>
      <c r="J162" s="109" t="n">
        <v>24.811</v>
      </c>
      <c r="K162" s="107" t="n">
        <v>0.246976</v>
      </c>
      <c r="L162" s="106" t="n">
        <v>32.48</v>
      </c>
      <c r="M162" s="107" t="n">
        <v>0.324634</v>
      </c>
      <c r="N162" s="109" t="n">
        <v>27.601</v>
      </c>
      <c r="O162" s="107" t="n">
        <v>0.275869</v>
      </c>
      <c r="P162" s="110">
        <f>C162-G162</f>
        <v/>
      </c>
      <c r="Q162" s="110">
        <f>E162-C162</f>
        <v/>
      </c>
      <c r="R162" s="110">
        <f>C162-M162</f>
        <v/>
      </c>
      <c r="S162" s="110">
        <f>C162-O162</f>
        <v/>
      </c>
      <c r="T162" s="110">
        <f>E162-O162</f>
        <v/>
      </c>
      <c r="U162" s="110">
        <f>G162-O162</f>
        <v/>
      </c>
      <c r="V162" s="110">
        <f>G162-K162</f>
        <v/>
      </c>
      <c r="W162" s="110">
        <f>C162-K162</f>
        <v/>
      </c>
      <c r="X162" s="110">
        <f>I162-G162</f>
        <v/>
      </c>
      <c r="Y162" s="111">
        <f>G162-M162</f>
        <v/>
      </c>
      <c r="Z162" s="79" t="n"/>
    </row>
    <row r="163">
      <c r="A163" s="105" t="n">
        <v>45083</v>
      </c>
      <c r="B163" s="106" t="n">
        <v>24.6</v>
      </c>
      <c r="C163" s="107" t="n">
        <v>0.245007</v>
      </c>
      <c r="D163" s="106" t="n">
        <v>29</v>
      </c>
      <c r="E163" s="108" t="n">
        <v>0.288829</v>
      </c>
      <c r="F163" s="106" t="n">
        <v>22.87</v>
      </c>
      <c r="G163" s="107" t="n">
        <v>0.228237</v>
      </c>
      <c r="H163" s="109" t="n">
        <v>29.5</v>
      </c>
      <c r="I163" s="107" t="n">
        <v>0.294851</v>
      </c>
      <c r="J163" s="109" t="n">
        <v>24.3</v>
      </c>
      <c r="K163" s="107" t="n">
        <v>0.241897</v>
      </c>
      <c r="L163" s="106" t="n">
        <v>31.35</v>
      </c>
      <c r="M163" s="107" t="n">
        <v>0.313341</v>
      </c>
      <c r="N163" s="109" t="n">
        <v>27.75</v>
      </c>
      <c r="O163" s="107" t="n">
        <v>0.277359</v>
      </c>
      <c r="P163" s="110">
        <f>C163-G163</f>
        <v/>
      </c>
      <c r="Q163" s="110">
        <f>E163-C163</f>
        <v/>
      </c>
      <c r="R163" s="110">
        <f>C163-M163</f>
        <v/>
      </c>
      <c r="S163" s="110">
        <f>C163-O163</f>
        <v/>
      </c>
      <c r="T163" s="110">
        <f>E163-O163</f>
        <v/>
      </c>
      <c r="U163" s="110">
        <f>G163-O163</f>
        <v/>
      </c>
      <c r="V163" s="110">
        <f>G163-K163</f>
        <v/>
      </c>
      <c r="W163" s="110">
        <f>C163-K163</f>
        <v/>
      </c>
      <c r="X163" s="110">
        <f>I163-G163</f>
        <v/>
      </c>
      <c r="Y163" s="111">
        <f>G163-M163</f>
        <v/>
      </c>
      <c r="Z163" s="79" t="n"/>
    </row>
    <row r="164">
      <c r="A164" s="105" t="n">
        <v>45082</v>
      </c>
      <c r="B164" s="106" t="n">
        <v>24.48</v>
      </c>
      <c r="C164" s="107" t="n">
        <v>0.243818</v>
      </c>
      <c r="D164" s="106" t="n">
        <v>27.99</v>
      </c>
      <c r="E164" s="108" t="n">
        <v>0.278777</v>
      </c>
      <c r="F164" s="106" t="n">
        <v>21.93</v>
      </c>
      <c r="G164" s="107" t="n">
        <v>0.218859</v>
      </c>
      <c r="H164" s="109" t="n">
        <v>28.4</v>
      </c>
      <c r="I164" s="107" t="n">
        <v>0.283857</v>
      </c>
      <c r="J164" s="109" t="n">
        <v>23.15</v>
      </c>
      <c r="K164" s="107" t="n">
        <v>0.230456</v>
      </c>
      <c r="L164" s="106" t="n">
        <v>29.5</v>
      </c>
      <c r="M164" s="107" t="n">
        <v>0.294852</v>
      </c>
      <c r="N164" s="109" t="n">
        <v>26.004</v>
      </c>
      <c r="O164" s="107" t="n">
        <v>0.259909</v>
      </c>
      <c r="P164" s="110">
        <f>C164-G164</f>
        <v/>
      </c>
      <c r="Q164" s="110">
        <f>E164-C164</f>
        <v/>
      </c>
      <c r="R164" s="110">
        <f>C164-M164</f>
        <v/>
      </c>
      <c r="S164" s="110">
        <f>C164-O164</f>
        <v/>
      </c>
      <c r="T164" s="110">
        <f>E164-O164</f>
        <v/>
      </c>
      <c r="U164" s="110">
        <f>G164-O164</f>
        <v/>
      </c>
      <c r="V164" s="110">
        <f>G164-K164</f>
        <v/>
      </c>
      <c r="W164" s="110">
        <f>C164-K164</f>
        <v/>
      </c>
      <c r="X164" s="110">
        <f>I164-G164</f>
        <v/>
      </c>
      <c r="Y164" s="111">
        <f>G164-M164</f>
        <v/>
      </c>
      <c r="Z164" s="79" t="n"/>
    </row>
    <row r="165">
      <c r="A165" s="105" t="n">
        <v>45079</v>
      </c>
      <c r="B165" s="106" t="n">
        <v>23.55</v>
      </c>
      <c r="C165" s="107" t="n">
        <v>0.234575</v>
      </c>
      <c r="D165" s="106" t="n">
        <v>27.75</v>
      </c>
      <c r="E165" s="108" t="n">
        <v>0.27641</v>
      </c>
      <c r="F165" s="106" t="n">
        <v>21.79</v>
      </c>
      <c r="G165" s="107" t="n">
        <v>0.217471</v>
      </c>
      <c r="H165" s="109" t="n">
        <v>28.05</v>
      </c>
      <c r="I165" s="107" t="n">
        <v>0.280362</v>
      </c>
      <c r="J165" s="109" t="n">
        <v>22.95</v>
      </c>
      <c r="K165" s="107" t="n">
        <v>0.228486</v>
      </c>
      <c r="L165" s="106" t="n">
        <v>29.4</v>
      </c>
      <c r="M165" s="107" t="n">
        <v>0.293855</v>
      </c>
      <c r="N165" s="109" t="n">
        <v>26.7</v>
      </c>
      <c r="O165" s="107" t="n">
        <v>0.266868</v>
      </c>
      <c r="P165" s="110">
        <f>C165-G165</f>
        <v/>
      </c>
      <c r="Q165" s="110">
        <f>E165-C165</f>
        <v/>
      </c>
      <c r="R165" s="110">
        <f>C165-M165</f>
        <v/>
      </c>
      <c r="S165" s="110">
        <f>C165-O165</f>
        <v/>
      </c>
      <c r="T165" s="110">
        <f>E165-O165</f>
        <v/>
      </c>
      <c r="U165" s="110">
        <f>G165-O165</f>
        <v/>
      </c>
      <c r="V165" s="110">
        <f>G165-K165</f>
        <v/>
      </c>
      <c r="W165" s="110">
        <f>C165-K165</f>
        <v/>
      </c>
      <c r="X165" s="110">
        <f>I165-G165</f>
        <v/>
      </c>
      <c r="Y165" s="111">
        <f>G165-M165</f>
        <v/>
      </c>
      <c r="Z165" s="79" t="n"/>
    </row>
    <row r="166">
      <c r="A166" s="105" t="n">
        <v>45078</v>
      </c>
      <c r="B166" s="106" t="n">
        <v>23.072</v>
      </c>
      <c r="C166" s="107" t="n">
        <v>0.22982</v>
      </c>
      <c r="D166" s="106" t="n">
        <v>27.4</v>
      </c>
      <c r="E166" s="108" t="n">
        <v>0.272931</v>
      </c>
      <c r="F166" s="106" t="n">
        <v>21.99</v>
      </c>
      <c r="G166" s="107" t="n">
        <v>0.21947</v>
      </c>
      <c r="H166" s="109" t="n">
        <v>27.9</v>
      </c>
      <c r="I166" s="107" t="n">
        <v>0.278863</v>
      </c>
      <c r="J166" s="109" t="n">
        <v>22.8</v>
      </c>
      <c r="K166" s="107" t="n">
        <v>0.226999</v>
      </c>
      <c r="L166" s="106" t="n">
        <v>29.1</v>
      </c>
      <c r="M166" s="107" t="n">
        <v>0.290858</v>
      </c>
      <c r="N166" s="109" t="n">
        <v>26.839</v>
      </c>
      <c r="O166" s="107" t="n">
        <v>0.268259</v>
      </c>
      <c r="P166" s="110">
        <f>C166-G166</f>
        <v/>
      </c>
      <c r="Q166" s="110">
        <f>E166-C166</f>
        <v/>
      </c>
      <c r="R166" s="110">
        <f>C166-M166</f>
        <v/>
      </c>
      <c r="S166" s="110">
        <f>C166-O166</f>
        <v/>
      </c>
      <c r="T166" s="110">
        <f>E166-O166</f>
        <v/>
      </c>
      <c r="U166" s="110">
        <f>G166-O166</f>
        <v/>
      </c>
      <c r="V166" s="110">
        <f>G166-K166</f>
        <v/>
      </c>
      <c r="W166" s="110">
        <f>C166-K166</f>
        <v/>
      </c>
      <c r="X166" s="110">
        <f>I166-G166</f>
        <v/>
      </c>
      <c r="Y166" s="111">
        <f>G166-M166</f>
        <v/>
      </c>
    </row>
    <row r="167">
      <c r="A167" s="105" t="n">
        <v>45077</v>
      </c>
      <c r="B167" s="106" t="n">
        <v>23.39</v>
      </c>
      <c r="C167" s="107" t="n">
        <v>0.232994</v>
      </c>
      <c r="D167" s="106" t="n">
        <v>29</v>
      </c>
      <c r="E167" s="108" t="n">
        <v>0.288876</v>
      </c>
      <c r="F167" s="106" t="n">
        <v>21.82</v>
      </c>
      <c r="G167" s="107" t="n">
        <v>0.217776</v>
      </c>
      <c r="H167" s="109" t="n">
        <v>27.86</v>
      </c>
      <c r="I167" s="107" t="n">
        <v>0.278465</v>
      </c>
      <c r="J167" s="109" t="n">
        <v>23.5</v>
      </c>
      <c r="K167" s="107" t="n">
        <v>0.233976</v>
      </c>
      <c r="L167" s="106" t="n">
        <v>28.46</v>
      </c>
      <c r="M167" s="107" t="n">
        <v>0.284462</v>
      </c>
      <c r="N167" s="109" t="n">
        <v>25.511</v>
      </c>
      <c r="O167" s="107" t="n">
        <v>0.254986</v>
      </c>
      <c r="P167" s="110">
        <f>C167-G167</f>
        <v/>
      </c>
      <c r="Q167" s="110">
        <f>E167-C167</f>
        <v/>
      </c>
      <c r="R167" s="110">
        <f>C167-M167</f>
        <v/>
      </c>
      <c r="S167" s="110">
        <f>C167-O167</f>
        <v/>
      </c>
      <c r="T167" s="110">
        <f>E167-O167</f>
        <v/>
      </c>
      <c r="U167" s="110">
        <f>G167-O167</f>
        <v/>
      </c>
      <c r="V167" s="110">
        <f>G167-K167</f>
        <v/>
      </c>
      <c r="W167" s="110">
        <f>C167-K167</f>
        <v/>
      </c>
      <c r="X167" s="110">
        <f>I167-G167</f>
        <v/>
      </c>
      <c r="Y167" s="111">
        <f>G167-M167</f>
        <v/>
      </c>
    </row>
    <row r="168">
      <c r="A168" s="105" t="n">
        <v>45076</v>
      </c>
      <c r="B168" s="106" t="n">
        <v>23.24</v>
      </c>
      <c r="C168" s="107" t="n">
        <v>0.231506</v>
      </c>
      <c r="D168" s="106" t="n">
        <v>28.49</v>
      </c>
      <c r="E168" s="108" t="n">
        <v>0.283804</v>
      </c>
      <c r="F168" s="106" t="n">
        <v>22.02</v>
      </c>
      <c r="G168" s="107" t="n">
        <v>0.219776</v>
      </c>
      <c r="H168" s="109" t="n">
        <v>28.4</v>
      </c>
      <c r="I168" s="107" t="n">
        <v>0.283863</v>
      </c>
      <c r="J168" s="109" t="n">
        <v>23.2</v>
      </c>
      <c r="K168" s="107" t="n">
        <v>0.230996</v>
      </c>
      <c r="L168" s="106" t="n">
        <v>28.89</v>
      </c>
      <c r="M168" s="107" t="n">
        <v>0.288761</v>
      </c>
      <c r="N168" s="109" t="n">
        <v>24.71</v>
      </c>
      <c r="O168" s="107" t="n">
        <v>0.246981</v>
      </c>
      <c r="P168" s="110">
        <f>C168-G168</f>
        <v/>
      </c>
      <c r="Q168" s="110">
        <f>E168-C168</f>
        <v/>
      </c>
      <c r="R168" s="110">
        <f>C168-M168</f>
        <v/>
      </c>
      <c r="S168" s="110">
        <f>C168-O168</f>
        <v/>
      </c>
      <c r="T168" s="110">
        <f>E168-O168</f>
        <v/>
      </c>
      <c r="U168" s="110">
        <f>G168-O168</f>
        <v/>
      </c>
      <c r="V168" s="110">
        <f>G168-K168</f>
        <v/>
      </c>
      <c r="W168" s="110">
        <f>C168-K168</f>
        <v/>
      </c>
      <c r="X168" s="110">
        <f>I168-G168</f>
        <v/>
      </c>
      <c r="Y168" s="111">
        <f>G168-M168</f>
        <v/>
      </c>
    </row>
    <row r="169">
      <c r="A169" s="105" t="n">
        <v>45075</v>
      </c>
      <c r="B169" s="106" t="n">
        <v>23.24</v>
      </c>
      <c r="C169" s="107" t="n">
        <v>0.231512</v>
      </c>
      <c r="D169" s="106" t="n">
        <v>28.31</v>
      </c>
      <c r="E169" s="108" t="n">
        <v>0.282018</v>
      </c>
      <c r="F169" s="106" t="n">
        <v>22.09</v>
      </c>
      <c r="G169" s="107" t="n">
        <v>0.220477</v>
      </c>
      <c r="H169" s="109" t="n">
        <v>28.4</v>
      </c>
      <c r="I169" s="107" t="n">
        <v>0.283864</v>
      </c>
      <c r="J169" s="109" t="n">
        <v>23.4</v>
      </c>
      <c r="K169" s="107" t="n">
        <v>0.232995</v>
      </c>
      <c r="L169" s="106" t="n">
        <v>29</v>
      </c>
      <c r="M169" s="107" t="n">
        <v>0.289861</v>
      </c>
      <c r="N169" s="109" t="n">
        <v>24.45</v>
      </c>
      <c r="O169" s="107" t="n">
        <v>0.244383</v>
      </c>
      <c r="P169" s="110">
        <f>C169-G169</f>
        <v/>
      </c>
      <c r="Q169" s="110">
        <f>E169-C169</f>
        <v/>
      </c>
      <c r="R169" s="110">
        <f>C169-M169</f>
        <v/>
      </c>
      <c r="S169" s="110">
        <f>C169-O169</f>
        <v/>
      </c>
      <c r="T169" s="110">
        <f>E169-O169</f>
        <v/>
      </c>
      <c r="U169" s="110">
        <f>G169-O169</f>
        <v/>
      </c>
      <c r="V169" s="110">
        <f>G169-K169</f>
        <v/>
      </c>
      <c r="W169" s="110">
        <f>C169-K169</f>
        <v/>
      </c>
      <c r="X169" s="110">
        <f>I169-G169</f>
        <v/>
      </c>
      <c r="Y169" s="111">
        <f>G169-M169</f>
        <v/>
      </c>
    </row>
    <row r="170">
      <c r="A170" s="105" t="n">
        <v>45070</v>
      </c>
      <c r="B170" s="106" t="n">
        <v>22.661</v>
      </c>
      <c r="C170" s="107" t="n">
        <v>0.225775</v>
      </c>
      <c r="D170" s="106" t="n">
        <v>27.3</v>
      </c>
      <c r="E170" s="108" t="n">
        <v>0.271994</v>
      </c>
      <c r="F170" s="106" t="n">
        <v>22.04</v>
      </c>
      <c r="G170" s="107" t="n">
        <v>0.219993</v>
      </c>
      <c r="H170" s="109" t="n">
        <v>28.18</v>
      </c>
      <c r="I170" s="107" t="n">
        <v>0.28167</v>
      </c>
      <c r="J170" s="109" t="n">
        <v>23.3</v>
      </c>
      <c r="K170" s="107" t="n">
        <v>0.232035</v>
      </c>
      <c r="L170" s="106" t="n">
        <v>28.1</v>
      </c>
      <c r="M170" s="107" t="n">
        <v>0.28087</v>
      </c>
      <c r="N170" s="109" t="n">
        <v>25</v>
      </c>
      <c r="O170" s="107" t="n">
        <v>0.249884</v>
      </c>
      <c r="P170" s="110">
        <f>C170-G170</f>
        <v/>
      </c>
      <c r="Q170" s="110">
        <f>E170-C170</f>
        <v/>
      </c>
      <c r="R170" s="110">
        <f>C170-M170</f>
        <v/>
      </c>
      <c r="S170" s="110">
        <f>C170-O170</f>
        <v/>
      </c>
      <c r="T170" s="110">
        <f>E170-O170</f>
        <v/>
      </c>
      <c r="U170" s="110">
        <f>G170-O170</f>
        <v/>
      </c>
      <c r="V170" s="110">
        <f>G170-K170</f>
        <v/>
      </c>
      <c r="W170" s="110">
        <f>C170-K170</f>
        <v/>
      </c>
      <c r="X170" s="110">
        <f>I170-G170</f>
        <v/>
      </c>
      <c r="Y170" s="111">
        <f>G170-M170</f>
        <v/>
      </c>
    </row>
    <row r="171">
      <c r="A171" s="105" t="n">
        <v>45069</v>
      </c>
      <c r="B171" s="106" t="n">
        <v>23.2</v>
      </c>
      <c r="C171" s="107" t="n">
        <v>0.231151</v>
      </c>
      <c r="D171" s="106" t="n">
        <v>27.158</v>
      </c>
      <c r="E171" s="108" t="n">
        <v>0.270587</v>
      </c>
      <c r="F171" s="106" t="n">
        <v>22.16</v>
      </c>
      <c r="G171" s="107" t="n">
        <v>0.221194</v>
      </c>
      <c r="H171" s="109" t="n">
        <v>27.87</v>
      </c>
      <c r="I171" s="107" t="n">
        <v>0.278572</v>
      </c>
      <c r="J171" s="109" t="n">
        <v>23.11</v>
      </c>
      <c r="K171" s="107" t="n">
        <v>0.230149</v>
      </c>
      <c r="L171" s="106" t="n">
        <v>28.699</v>
      </c>
      <c r="M171" s="107" t="n">
        <v>0.286858</v>
      </c>
      <c r="N171" s="109" t="n">
        <v>25.52</v>
      </c>
      <c r="O171" s="107" t="n">
        <v>0.255083</v>
      </c>
      <c r="P171" s="110">
        <f>C171-G171</f>
        <v/>
      </c>
      <c r="Q171" s="110">
        <f>E171-C171</f>
        <v/>
      </c>
      <c r="R171" s="110">
        <f>C171-M171</f>
        <v/>
      </c>
      <c r="S171" s="110">
        <f>C171-O171</f>
        <v/>
      </c>
      <c r="T171" s="110">
        <f>E171-O171</f>
        <v/>
      </c>
      <c r="U171" s="110">
        <f>G171-O171</f>
        <v/>
      </c>
      <c r="V171" s="110">
        <f>G171-K171</f>
        <v/>
      </c>
      <c r="W171" s="110">
        <f>C171-K171</f>
        <v/>
      </c>
      <c r="X171" s="110">
        <f>I171-G171</f>
        <v/>
      </c>
      <c r="Y171" s="111">
        <f>G171-M171</f>
        <v/>
      </c>
    </row>
    <row r="172">
      <c r="A172" s="105" t="n">
        <v>45068</v>
      </c>
      <c r="B172" s="106" t="n">
        <v>23.3</v>
      </c>
      <c r="C172" s="107" t="n">
        <v>0.232154</v>
      </c>
      <c r="D172" s="106" t="n">
        <v>27.29</v>
      </c>
      <c r="E172" s="108" t="n">
        <v>0.271909</v>
      </c>
      <c r="F172" s="106" t="n">
        <v>22.22</v>
      </c>
      <c r="G172" s="107" t="n">
        <v>0.221796</v>
      </c>
      <c r="H172" s="109" t="n">
        <v>27.79</v>
      </c>
      <c r="I172" s="107" t="n">
        <v>0.277773</v>
      </c>
      <c r="J172" s="109" t="n">
        <v>23.5</v>
      </c>
      <c r="K172" s="107" t="n">
        <v>0.234041</v>
      </c>
      <c r="L172" s="106" t="n">
        <v>27.76</v>
      </c>
      <c r="M172" s="107" t="n">
        <v>0.277474</v>
      </c>
      <c r="N172" s="109" t="n">
        <v>24.951</v>
      </c>
      <c r="O172" s="107" t="n">
        <v>0.249396</v>
      </c>
      <c r="P172" s="110">
        <f>C172-G172</f>
        <v/>
      </c>
      <c r="Q172" s="110">
        <f>E172-C172</f>
        <v/>
      </c>
      <c r="R172" s="110">
        <f>C172-M172</f>
        <v/>
      </c>
      <c r="S172" s="110">
        <f>C172-O172</f>
        <v/>
      </c>
      <c r="T172" s="110">
        <f>E172-O172</f>
        <v/>
      </c>
      <c r="U172" s="110">
        <f>G172-O172</f>
        <v/>
      </c>
      <c r="V172" s="110">
        <f>G172-K172</f>
        <v/>
      </c>
      <c r="W172" s="110">
        <f>C172-K172</f>
        <v/>
      </c>
      <c r="X172" s="110">
        <f>I172-G172</f>
        <v/>
      </c>
      <c r="Y172" s="111">
        <f>G172-M172</f>
        <v/>
      </c>
    </row>
    <row r="173">
      <c r="A173" s="105" t="n">
        <v>45065</v>
      </c>
      <c r="B173" s="106" t="n">
        <v>23.2</v>
      </c>
      <c r="C173" s="107" t="n">
        <v>0.231177</v>
      </c>
      <c r="D173" s="106" t="n">
        <v>27.011</v>
      </c>
      <c r="E173" s="108" t="n">
        <v>0.269151</v>
      </c>
      <c r="F173" s="106" t="n">
        <v>22.19</v>
      </c>
      <c r="G173" s="107" t="n">
        <v>0.221506</v>
      </c>
      <c r="H173" s="109" t="n">
        <v>27.62</v>
      </c>
      <c r="I173" s="107" t="n">
        <v>0.276077</v>
      </c>
      <c r="J173" s="109" t="n">
        <v>23.1</v>
      </c>
      <c r="K173" s="107" t="n">
        <v>0.230078</v>
      </c>
      <c r="L173" s="106" t="n">
        <v>27.6</v>
      </c>
      <c r="M173" s="107" t="n">
        <v>0.275877</v>
      </c>
      <c r="N173" s="109" t="n">
        <v>24.7</v>
      </c>
      <c r="O173" s="107" t="n">
        <v>0.24689</v>
      </c>
      <c r="P173" s="110">
        <f>C173-G173</f>
        <v/>
      </c>
      <c r="Q173" s="110">
        <f>E173-C173</f>
        <v/>
      </c>
      <c r="R173" s="110">
        <f>C173-M173</f>
        <v/>
      </c>
      <c r="S173" s="110">
        <f>C173-O173</f>
        <v/>
      </c>
      <c r="T173" s="110">
        <f>E173-O173</f>
        <v/>
      </c>
      <c r="U173" s="110">
        <f>G173-O173</f>
        <v/>
      </c>
      <c r="V173" s="110">
        <f>G173-K173</f>
        <v/>
      </c>
      <c r="W173" s="110">
        <f>C173-K173</f>
        <v/>
      </c>
      <c r="X173" s="110">
        <f>I173-G173</f>
        <v/>
      </c>
      <c r="Y173" s="111">
        <f>G173-M173</f>
        <v/>
      </c>
    </row>
    <row r="174">
      <c r="A174" s="105" t="n">
        <v>45064</v>
      </c>
      <c r="B174" s="106" t="n">
        <v>22.708</v>
      </c>
      <c r="C174" s="107" t="n">
        <v>0.22628</v>
      </c>
      <c r="D174" s="106" t="n">
        <v>26.9</v>
      </c>
      <c r="E174" s="108" t="n">
        <v>0.268053</v>
      </c>
      <c r="F174" s="106" t="n">
        <v>21.71</v>
      </c>
      <c r="G174" s="107" t="n">
        <v>0.216717</v>
      </c>
      <c r="H174" s="109" t="n">
        <v>27.09</v>
      </c>
      <c r="I174" s="107" t="n">
        <v>0.27078</v>
      </c>
      <c r="J174" s="109" t="n">
        <v>22.7</v>
      </c>
      <c r="K174" s="107" t="n">
        <v>0.226101</v>
      </c>
      <c r="L174" s="106" t="n">
        <v>27.2</v>
      </c>
      <c r="M174" s="107" t="n">
        <v>0.27188</v>
      </c>
      <c r="N174" s="109" t="n">
        <v>24.26</v>
      </c>
      <c r="O174" s="107" t="n">
        <v>0.242493</v>
      </c>
      <c r="P174" s="110">
        <f>C174-G174</f>
        <v/>
      </c>
      <c r="Q174" s="110">
        <f>E174-C174</f>
        <v/>
      </c>
      <c r="R174" s="110">
        <f>C174-M174</f>
        <v/>
      </c>
      <c r="S174" s="110">
        <f>C174-O174</f>
        <v/>
      </c>
      <c r="T174" s="110">
        <f>E174-O174</f>
        <v/>
      </c>
      <c r="U174" s="110">
        <f>G174-O174</f>
        <v/>
      </c>
      <c r="V174" s="110">
        <f>G174-K174</f>
        <v/>
      </c>
      <c r="W174" s="110">
        <f>C174-K174</f>
        <v/>
      </c>
      <c r="X174" s="110">
        <f>I174-G174</f>
        <v/>
      </c>
      <c r="Y174" s="111">
        <f>G174-M174</f>
        <v/>
      </c>
    </row>
    <row r="175">
      <c r="A175" s="105" t="n">
        <v>45063</v>
      </c>
      <c r="B175" s="106" t="n">
        <v>23.511</v>
      </c>
      <c r="C175" s="107" t="n">
        <v>0.234288</v>
      </c>
      <c r="D175" s="106" t="n">
        <v>27.5</v>
      </c>
      <c r="E175" s="108" t="n">
        <v>0.274039</v>
      </c>
      <c r="F175" s="106" t="n">
        <v>23.17</v>
      </c>
      <c r="G175" s="107" t="n">
        <v>0.231294</v>
      </c>
      <c r="H175" s="109" t="n">
        <v>28.7</v>
      </c>
      <c r="I175" s="107" t="n">
        <v>0.286874</v>
      </c>
      <c r="J175" s="109" t="n">
        <v>23.7</v>
      </c>
      <c r="K175" s="107" t="n">
        <v>0.236069</v>
      </c>
      <c r="L175" s="106" t="n">
        <v>27.815</v>
      </c>
      <c r="M175" s="107" t="n">
        <v>0.278028</v>
      </c>
      <c r="N175" s="109" t="n">
        <v>25.05</v>
      </c>
      <c r="O175" s="107" t="n">
        <v>0.25039</v>
      </c>
      <c r="P175" s="110">
        <f>C175-G175</f>
        <v/>
      </c>
      <c r="Q175" s="110">
        <f>E175-C175</f>
        <v/>
      </c>
      <c r="R175" s="110">
        <f>C175-M175</f>
        <v/>
      </c>
      <c r="S175" s="110">
        <f>C175-O175</f>
        <v/>
      </c>
      <c r="T175" s="110">
        <f>E175-O175</f>
        <v/>
      </c>
      <c r="U175" s="110">
        <f>G175-O175</f>
        <v/>
      </c>
      <c r="V175" s="110">
        <f>G175-K175</f>
        <v/>
      </c>
      <c r="W175" s="110">
        <f>C175-K175</f>
        <v/>
      </c>
      <c r="X175" s="110">
        <f>I175-G175</f>
        <v/>
      </c>
      <c r="Y175" s="111">
        <f>G175-M175</f>
        <v/>
      </c>
    </row>
    <row r="176">
      <c r="A176" s="105" t="n">
        <v>45062</v>
      </c>
      <c r="B176" s="106" t="n">
        <v>23.61</v>
      </c>
      <c r="C176" s="107" t="n">
        <v>0.235281</v>
      </c>
      <c r="D176" s="106" t="n">
        <v>27.7</v>
      </c>
      <c r="E176" s="108" t="n">
        <v>0.27604</v>
      </c>
      <c r="F176" s="106" t="n">
        <v>23.48</v>
      </c>
      <c r="G176" s="107" t="n">
        <v>0.234392</v>
      </c>
      <c r="H176" s="109" t="n">
        <v>28.67</v>
      </c>
      <c r="I176" s="107" t="n">
        <v>0.286575</v>
      </c>
      <c r="J176" s="109" t="n">
        <v>23.6</v>
      </c>
      <c r="K176" s="107" t="n">
        <v>0.23508</v>
      </c>
      <c r="L176" s="106" t="n">
        <v>28.5</v>
      </c>
      <c r="M176" s="107" t="n">
        <v>0.284876</v>
      </c>
      <c r="N176" s="109" t="n">
        <v>25</v>
      </c>
      <c r="O176" s="107" t="n">
        <v>0.249891</v>
      </c>
      <c r="P176" s="110">
        <f>C176-G176</f>
        <v/>
      </c>
      <c r="Q176" s="110">
        <f>E176-C176</f>
        <v/>
      </c>
      <c r="R176" s="110">
        <f>C176-M176</f>
        <v/>
      </c>
      <c r="S176" s="110">
        <f>C176-O176</f>
        <v/>
      </c>
      <c r="T176" s="110">
        <f>E176-O176</f>
        <v/>
      </c>
      <c r="U176" s="110">
        <f>G176-O176</f>
        <v/>
      </c>
      <c r="V176" s="110">
        <f>G176-K176</f>
        <v/>
      </c>
      <c r="W176" s="110">
        <f>C176-K176</f>
        <v/>
      </c>
      <c r="X176" s="110">
        <f>I176-G176</f>
        <v/>
      </c>
      <c r="Y176" s="111">
        <f>G176-M176</f>
        <v/>
      </c>
    </row>
    <row r="177">
      <c r="A177" s="105" t="n">
        <v>45061</v>
      </c>
      <c r="B177" s="106" t="n">
        <v>23.3</v>
      </c>
      <c r="C177" s="107" t="n">
        <v>0.232198</v>
      </c>
      <c r="D177" s="106" t="n">
        <v>27.98</v>
      </c>
      <c r="E177" s="108" t="n">
        <v>0.278837</v>
      </c>
      <c r="F177" s="106" t="n">
        <v>23.05</v>
      </c>
      <c r="G177" s="107" t="n">
        <v>0.230103</v>
      </c>
      <c r="H177" s="109" t="n">
        <v>28.2</v>
      </c>
      <c r="I177" s="107" t="n">
        <v>0.281878</v>
      </c>
      <c r="J177" s="109" t="n">
        <v>23.8</v>
      </c>
      <c r="K177" s="107" t="n">
        <v>0.237079</v>
      </c>
      <c r="L177" s="106" t="n">
        <v>28.9</v>
      </c>
      <c r="M177" s="107" t="n">
        <v>0.288875</v>
      </c>
      <c r="N177" s="109" t="n">
        <v>24.7</v>
      </c>
      <c r="O177" s="107" t="n">
        <v>0.246893</v>
      </c>
      <c r="P177" s="110">
        <f>C177-G177</f>
        <v/>
      </c>
      <c r="Q177" s="110">
        <f>E177-C177</f>
        <v/>
      </c>
      <c r="R177" s="110">
        <f>C177-M177</f>
        <v/>
      </c>
      <c r="S177" s="110">
        <f>C177-O177</f>
        <v/>
      </c>
      <c r="T177" s="110">
        <f>E177-O177</f>
        <v/>
      </c>
      <c r="U177" s="110">
        <f>G177-O177</f>
        <v/>
      </c>
      <c r="V177" s="110">
        <f>G177-K177</f>
        <v/>
      </c>
      <c r="W177" s="110">
        <f>C177-K177</f>
        <v/>
      </c>
      <c r="X177" s="110">
        <f>I177-G177</f>
        <v/>
      </c>
      <c r="Y177" s="111">
        <f>G177-M177</f>
        <v/>
      </c>
    </row>
    <row r="178">
      <c r="A178" s="105" t="n">
        <v>45058</v>
      </c>
      <c r="B178" s="106" t="n">
        <v>22.785</v>
      </c>
      <c r="C178" s="107" t="n">
        <v>0.227085</v>
      </c>
      <c r="D178" s="106" t="n">
        <v>28.94</v>
      </c>
      <c r="E178" s="108" t="n">
        <v>0.288428</v>
      </c>
      <c r="F178" s="106" t="n">
        <v>22.2</v>
      </c>
      <c r="G178" s="107" t="n">
        <v>0.221627</v>
      </c>
      <c r="H178" s="109" t="n">
        <v>27.86</v>
      </c>
      <c r="I178" s="107" t="n">
        <v>0.278483</v>
      </c>
      <c r="J178" s="109" t="n">
        <v>23.74</v>
      </c>
      <c r="K178" s="107" t="n">
        <v>0.236503</v>
      </c>
      <c r="L178" s="106" t="n">
        <v>28.39</v>
      </c>
      <c r="M178" s="107" t="n">
        <v>0.28378</v>
      </c>
      <c r="N178" s="109" t="n">
        <v>24.23</v>
      </c>
      <c r="O178" s="107" t="n">
        <v>0.242198</v>
      </c>
      <c r="P178" s="110">
        <f>C178-G178</f>
        <v/>
      </c>
      <c r="Q178" s="110">
        <f>E178-C178</f>
        <v/>
      </c>
      <c r="R178" s="110">
        <f>C178-M178</f>
        <v/>
      </c>
      <c r="S178" s="110">
        <f>C178-O178</f>
        <v/>
      </c>
      <c r="T178" s="110">
        <f>E178-O178</f>
        <v/>
      </c>
      <c r="U178" s="110">
        <f>G178-O178</f>
        <v/>
      </c>
      <c r="V178" s="110">
        <f>G178-K178</f>
        <v/>
      </c>
      <c r="W178" s="110">
        <f>C178-K178</f>
        <v/>
      </c>
      <c r="X178" s="110">
        <f>I178-G178</f>
        <v/>
      </c>
      <c r="Y178" s="111">
        <f>G178-M178</f>
        <v/>
      </c>
    </row>
    <row r="179">
      <c r="A179" s="105" t="n">
        <v>45057</v>
      </c>
      <c r="B179" s="106" t="n">
        <v>22.39</v>
      </c>
      <c r="C179" s="107" t="n">
        <v>0.223154</v>
      </c>
      <c r="D179" s="106" t="n">
        <v>27.75</v>
      </c>
      <c r="E179" s="108" t="n">
        <v>0.276576</v>
      </c>
      <c r="F179" s="106" t="n">
        <v>21.69</v>
      </c>
      <c r="G179" s="107" t="n">
        <v>0.216538</v>
      </c>
      <c r="H179" s="109" t="n">
        <v>27.77</v>
      </c>
      <c r="I179" s="107" t="n">
        <v>0.277584</v>
      </c>
      <c r="J179" s="109" t="n">
        <v>22.56</v>
      </c>
      <c r="K179" s="107" t="n">
        <v>0.224755</v>
      </c>
      <c r="L179" s="106" t="n">
        <v>28.3</v>
      </c>
      <c r="M179" s="107" t="n">
        <v>0.282882</v>
      </c>
      <c r="N179" s="109" t="n">
        <v>25.1</v>
      </c>
      <c r="O179" s="107" t="n">
        <v>0.250895</v>
      </c>
      <c r="P179" s="110">
        <f>C179-G179</f>
        <v/>
      </c>
      <c r="Q179" s="110">
        <f>E179-C179</f>
        <v/>
      </c>
      <c r="R179" s="110">
        <f>C179-M179</f>
        <v/>
      </c>
      <c r="S179" s="110">
        <f>C179-O179</f>
        <v/>
      </c>
      <c r="T179" s="110">
        <f>E179-O179</f>
        <v/>
      </c>
      <c r="U179" s="110">
        <f>G179-O179</f>
        <v/>
      </c>
      <c r="V179" s="110">
        <f>G179-K179</f>
        <v/>
      </c>
      <c r="W179" s="110">
        <f>C179-K179</f>
        <v/>
      </c>
      <c r="X179" s="110">
        <f>I179-G179</f>
        <v/>
      </c>
      <c r="Y179" s="111">
        <f>G179-M179</f>
        <v/>
      </c>
    </row>
    <row r="180">
      <c r="A180" s="105" t="n">
        <v>45056</v>
      </c>
      <c r="B180" s="106" t="n">
        <v>22.021</v>
      </c>
      <c r="C180" s="107" t="n">
        <v>0.219482</v>
      </c>
      <c r="D180" s="106" t="n">
        <v>27.8</v>
      </c>
      <c r="E180" s="108" t="n">
        <v>0.277081</v>
      </c>
      <c r="F180" s="106" t="n">
        <v>21.16</v>
      </c>
      <c r="G180" s="107" t="n">
        <v>0.21125</v>
      </c>
      <c r="H180" s="109" t="n">
        <v>27.75</v>
      </c>
      <c r="I180" s="107" t="n">
        <v>0.277385</v>
      </c>
      <c r="J180" s="109" t="n">
        <v>22.7</v>
      </c>
      <c r="K180" s="107" t="n">
        <v>0.226157</v>
      </c>
      <c r="L180" s="106" t="n">
        <v>28.4</v>
      </c>
      <c r="M180" s="107" t="n">
        <v>0.283882</v>
      </c>
      <c r="N180" s="109" t="n">
        <v>25.25</v>
      </c>
      <c r="O180" s="107" t="n">
        <v>0.252395</v>
      </c>
      <c r="P180" s="110">
        <f>C180-G180</f>
        <v/>
      </c>
      <c r="Q180" s="110">
        <f>E180-C180</f>
        <v/>
      </c>
      <c r="R180" s="110">
        <f>C180-M180</f>
        <v/>
      </c>
      <c r="S180" s="110">
        <f>C180-O180</f>
        <v/>
      </c>
      <c r="T180" s="110">
        <f>E180-O180</f>
        <v/>
      </c>
      <c r="U180" s="110">
        <f>G180-O180</f>
        <v/>
      </c>
      <c r="V180" s="110">
        <f>G180-K180</f>
        <v/>
      </c>
      <c r="W180" s="110">
        <f>C180-K180</f>
        <v/>
      </c>
      <c r="X180" s="110">
        <f>I180-G180</f>
        <v/>
      </c>
      <c r="Y180" s="111">
        <f>G180-M180</f>
        <v/>
      </c>
    </row>
    <row r="181">
      <c r="A181" s="105" t="n">
        <v>45055</v>
      </c>
      <c r="B181" s="106" t="n">
        <v>21.89</v>
      </c>
      <c r="C181" s="107" t="n">
        <v>0.218183</v>
      </c>
      <c r="D181" s="106" t="n">
        <v>26.98</v>
      </c>
      <c r="E181" s="108" t="n">
        <v>0.268916</v>
      </c>
      <c r="F181" s="106" t="n">
        <v>21.06</v>
      </c>
      <c r="G181" s="107" t="n">
        <v>0.210254</v>
      </c>
      <c r="H181" s="109" t="n">
        <v>27.7</v>
      </c>
      <c r="I181" s="107" t="n">
        <v>0.276886</v>
      </c>
      <c r="J181" s="109" t="n">
        <v>21.901</v>
      </c>
      <c r="K181" s="107" t="n">
        <v>0.218203</v>
      </c>
      <c r="L181" s="106" t="n">
        <v>28</v>
      </c>
      <c r="M181" s="107" t="n">
        <v>0.279885</v>
      </c>
      <c r="N181" s="109" t="n">
        <v>25</v>
      </c>
      <c r="O181" s="107" t="n">
        <v>0.249897</v>
      </c>
      <c r="P181" s="110">
        <f>C181-G181</f>
        <v/>
      </c>
      <c r="Q181" s="110">
        <f>E181-C181</f>
        <v/>
      </c>
      <c r="R181" s="110">
        <f>C181-M181</f>
        <v/>
      </c>
      <c r="S181" s="110">
        <f>C181-O181</f>
        <v/>
      </c>
      <c r="T181" s="110">
        <f>E181-O181</f>
        <v/>
      </c>
      <c r="U181" s="110">
        <f>G181-O181</f>
        <v/>
      </c>
      <c r="V181" s="110">
        <f>G181-K181</f>
        <v/>
      </c>
      <c r="W181" s="110">
        <f>C181-K181</f>
        <v/>
      </c>
      <c r="X181" s="110">
        <f>I181-G181</f>
        <v/>
      </c>
      <c r="Y181" s="111">
        <f>G181-M181</f>
        <v/>
      </c>
    </row>
    <row r="182">
      <c r="A182" s="105" t="n">
        <v>45054</v>
      </c>
      <c r="B182" s="106" t="n">
        <v>21.79</v>
      </c>
      <c r="C182" s="107" t="n">
        <v>0.217192</v>
      </c>
      <c r="D182" s="106" t="n">
        <v>26.95</v>
      </c>
      <c r="E182" s="108" t="n">
        <v>0.268624</v>
      </c>
      <c r="F182" s="106" t="n">
        <v>21.05</v>
      </c>
      <c r="G182" s="107" t="n">
        <v>0.210157</v>
      </c>
      <c r="H182" s="109" t="n">
        <v>27.31</v>
      </c>
      <c r="I182" s="107" t="n">
        <v>0.272989</v>
      </c>
      <c r="J182" s="109" t="n">
        <v>21.9</v>
      </c>
      <c r="K182" s="107" t="n">
        <v>0.2182</v>
      </c>
      <c r="L182" s="106" t="n">
        <v>27.5</v>
      </c>
      <c r="M182" s="107" t="n">
        <v>0.274888</v>
      </c>
      <c r="N182" s="109" t="n">
        <v>24.38</v>
      </c>
      <c r="O182" s="107" t="n">
        <v>0.243701</v>
      </c>
      <c r="P182" s="110">
        <f>C182-G182</f>
        <v/>
      </c>
      <c r="Q182" s="110">
        <f>E182-C182</f>
        <v/>
      </c>
      <c r="R182" s="110">
        <f>C182-M182</f>
        <v/>
      </c>
      <c r="S182" s="110">
        <f>C182-O182</f>
        <v/>
      </c>
      <c r="T182" s="110">
        <f>E182-O182</f>
        <v/>
      </c>
      <c r="U182" s="110">
        <f>G182-O182</f>
        <v/>
      </c>
      <c r="V182" s="110">
        <f>G182-K182</f>
        <v/>
      </c>
      <c r="W182" s="110">
        <f>C182-K182</f>
        <v/>
      </c>
      <c r="X182" s="110">
        <f>I182-G182</f>
        <v/>
      </c>
      <c r="Y182" s="111">
        <f>G182-M182</f>
        <v/>
      </c>
    </row>
    <row r="183">
      <c r="A183" s="105" t="n">
        <v>45051</v>
      </c>
      <c r="B183" s="106" t="n">
        <v>21.7</v>
      </c>
      <c r="C183" s="107" t="n">
        <v>0.216313</v>
      </c>
      <c r="D183" s="106" t="n">
        <v>26</v>
      </c>
      <c r="E183" s="108" t="n">
        <v>0.259176</v>
      </c>
      <c r="F183" s="106" t="n">
        <v>20.96</v>
      </c>
      <c r="G183" s="107" t="n">
        <v>0.209267</v>
      </c>
      <c r="H183" s="109" t="n">
        <v>27.2</v>
      </c>
      <c r="I183" s="107" t="n">
        <v>0.271892</v>
      </c>
      <c r="J183" s="109" t="n">
        <v>22.001</v>
      </c>
      <c r="K183" s="107" t="n">
        <v>0.219226</v>
      </c>
      <c r="L183" s="106" t="n">
        <v>27.3</v>
      </c>
      <c r="M183" s="107" t="n">
        <v>0.272892</v>
      </c>
      <c r="N183" s="109" t="n">
        <v>23.612</v>
      </c>
      <c r="O183" s="107" t="n">
        <v>0.236026</v>
      </c>
      <c r="P183" s="110">
        <f>C183-G183</f>
        <v/>
      </c>
      <c r="Q183" s="110">
        <f>E183-C183</f>
        <v/>
      </c>
      <c r="R183" s="110">
        <f>C183-M183</f>
        <v/>
      </c>
      <c r="S183" s="110">
        <f>C183-O183</f>
        <v/>
      </c>
      <c r="T183" s="110">
        <f>E183-O183</f>
        <v/>
      </c>
      <c r="U183" s="110">
        <f>G183-O183</f>
        <v/>
      </c>
      <c r="V183" s="110">
        <f>G183-K183</f>
        <v/>
      </c>
      <c r="W183" s="110">
        <f>C183-K183</f>
        <v/>
      </c>
      <c r="X183" s="110">
        <f>I183-G183</f>
        <v/>
      </c>
      <c r="Y183" s="111">
        <f>G183-M183</f>
        <v/>
      </c>
    </row>
    <row r="184">
      <c r="A184" s="105" t="n">
        <v>45050</v>
      </c>
      <c r="B184" s="106" t="n">
        <v>21.72</v>
      </c>
      <c r="C184" s="107" t="n">
        <v>0.216518</v>
      </c>
      <c r="D184" s="106" t="n">
        <v>25.506</v>
      </c>
      <c r="E184" s="108" t="n">
        <v>0.254259</v>
      </c>
      <c r="F184" s="106" t="n">
        <v>21.03</v>
      </c>
      <c r="G184" s="107" t="n">
        <v>0.209969</v>
      </c>
      <c r="H184" s="109" t="n">
        <v>27.29</v>
      </c>
      <c r="I184" s="107" t="n">
        <v>0.272793</v>
      </c>
      <c r="J184" s="109" t="n">
        <v>22.15</v>
      </c>
      <c r="K184" s="107" t="n">
        <v>0.220718</v>
      </c>
      <c r="L184" s="106" t="n">
        <v>27.3</v>
      </c>
      <c r="M184" s="107" t="n">
        <v>0.272893</v>
      </c>
      <c r="N184" s="109" t="n">
        <v>24.599</v>
      </c>
      <c r="O184" s="107" t="n">
        <v>0.245893</v>
      </c>
      <c r="P184" s="110">
        <f>C184-G184</f>
        <v/>
      </c>
      <c r="Q184" s="110">
        <f>E184-C184</f>
        <v/>
      </c>
      <c r="R184" s="110">
        <f>C184-M184</f>
        <v/>
      </c>
      <c r="S184" s="110">
        <f>C184-O184</f>
        <v/>
      </c>
      <c r="T184" s="110">
        <f>E184-O184</f>
        <v/>
      </c>
      <c r="U184" s="110">
        <f>G184-O184</f>
        <v/>
      </c>
      <c r="V184" s="110">
        <f>G184-K184</f>
        <v/>
      </c>
      <c r="W184" s="110">
        <f>C184-K184</f>
        <v/>
      </c>
      <c r="X184" s="110">
        <f>I184-G184</f>
        <v/>
      </c>
      <c r="Y184" s="111">
        <f>G184-M184</f>
        <v/>
      </c>
    </row>
    <row r="185">
      <c r="A185" s="105" t="n">
        <v>45049</v>
      </c>
      <c r="B185" s="106" t="n">
        <v>22.09</v>
      </c>
      <c r="C185" s="107" t="n">
        <v>0.220212</v>
      </c>
      <c r="D185" s="106" t="n">
        <v>25.8</v>
      </c>
      <c r="E185" s="108" t="n">
        <v>0.257197</v>
      </c>
      <c r="F185" s="106" t="n">
        <v>21.11</v>
      </c>
      <c r="G185" s="107" t="n">
        <v>0.210771</v>
      </c>
      <c r="H185" s="109" t="n">
        <v>27.36</v>
      </c>
      <c r="I185" s="107" t="n">
        <v>0.273493</v>
      </c>
      <c r="J185" s="109" t="n">
        <v>22.1</v>
      </c>
      <c r="K185" s="107" t="n">
        <v>0.220226</v>
      </c>
      <c r="L185" s="106" t="n">
        <v>27.1</v>
      </c>
      <c r="M185" s="107" t="n">
        <v>0.270894</v>
      </c>
      <c r="N185" s="109" t="n">
        <v>24.9</v>
      </c>
      <c r="O185" s="107" t="n">
        <v>0.248903</v>
      </c>
      <c r="P185" s="110">
        <f>C185-G185</f>
        <v/>
      </c>
      <c r="Q185" s="110">
        <f>E185-C185</f>
        <v/>
      </c>
      <c r="R185" s="110">
        <f>C185-M185</f>
        <v/>
      </c>
      <c r="S185" s="110">
        <f>C185-O185</f>
        <v/>
      </c>
      <c r="T185" s="110">
        <f>E185-O185</f>
        <v/>
      </c>
      <c r="U185" s="110">
        <f>G185-O185</f>
        <v/>
      </c>
      <c r="V185" s="110">
        <f>G185-K185</f>
        <v/>
      </c>
      <c r="W185" s="110">
        <f>C185-K185</f>
        <v/>
      </c>
      <c r="X185" s="110">
        <f>I185-G185</f>
        <v/>
      </c>
      <c r="Y185" s="111">
        <f>G185-M185</f>
        <v/>
      </c>
    </row>
    <row r="186">
      <c r="A186" s="105" t="n">
        <v>45048</v>
      </c>
      <c r="B186" s="106" t="n">
        <v>22.2</v>
      </c>
      <c r="C186" s="107" t="n">
        <v>0.221315</v>
      </c>
      <c r="D186" s="106" t="n">
        <v>25.8</v>
      </c>
      <c r="E186" s="108" t="n">
        <v>0.257204</v>
      </c>
      <c r="F186" s="106" t="n">
        <v>21.2</v>
      </c>
      <c r="G186" s="107" t="n">
        <v>0.211672</v>
      </c>
      <c r="H186" s="109" t="n">
        <v>27.05</v>
      </c>
      <c r="I186" s="107" t="n">
        <v>0.270395</v>
      </c>
      <c r="J186" s="109" t="n">
        <v>22.3</v>
      </c>
      <c r="K186" s="107" t="n">
        <v>0.222226</v>
      </c>
      <c r="L186" s="106" t="n">
        <v>26.8</v>
      </c>
      <c r="M186" s="107" t="n">
        <v>0.267896</v>
      </c>
      <c r="N186" s="109" t="n">
        <v>24.69</v>
      </c>
      <c r="O186" s="107" t="n">
        <v>0.246804</v>
      </c>
      <c r="P186" s="110">
        <f>C186-G186</f>
        <v/>
      </c>
      <c r="Q186" s="110">
        <f>E186-C186</f>
        <v/>
      </c>
      <c r="R186" s="110">
        <f>C186-M186</f>
        <v/>
      </c>
      <c r="S186" s="110">
        <f>C186-O186</f>
        <v/>
      </c>
      <c r="T186" s="110">
        <f>E186-O186</f>
        <v/>
      </c>
      <c r="U186" s="110">
        <f>G186-O186</f>
        <v/>
      </c>
      <c r="V186" s="110">
        <f>G186-K186</f>
        <v/>
      </c>
      <c r="W186" s="110">
        <f>C186-K186</f>
        <v/>
      </c>
      <c r="X186" s="110">
        <f>I186-G186</f>
        <v/>
      </c>
      <c r="Y186" s="111">
        <f>G186-M186</f>
        <v/>
      </c>
    </row>
    <row r="187">
      <c r="A187" s="105" t="n">
        <v>45044</v>
      </c>
      <c r="B187" s="106" t="n">
        <v>21.52</v>
      </c>
      <c r="C187" s="107" t="n">
        <v>0.214559</v>
      </c>
      <c r="D187" s="106" t="n">
        <v>25.65</v>
      </c>
      <c r="E187" s="108" t="n">
        <v>0.255736</v>
      </c>
      <c r="F187" s="106" t="n">
        <v>20.6</v>
      </c>
      <c r="G187" s="107" t="n">
        <v>0.205693</v>
      </c>
      <c r="H187" s="109" t="n">
        <v>25.8</v>
      </c>
      <c r="I187" s="107" t="n">
        <v>0.257904</v>
      </c>
      <c r="J187" s="109" t="n">
        <v>21.5</v>
      </c>
      <c r="K187" s="107" t="n">
        <v>0.21428</v>
      </c>
      <c r="L187" s="106" t="n">
        <v>25.8</v>
      </c>
      <c r="M187" s="107" t="n">
        <v>0.257904</v>
      </c>
      <c r="N187" s="109" t="n">
        <v>23.939</v>
      </c>
      <c r="O187" s="107" t="n">
        <v>0.239301</v>
      </c>
      <c r="P187" s="110">
        <f>C187-G187</f>
        <v/>
      </c>
      <c r="Q187" s="110">
        <f>E187-C187</f>
        <v/>
      </c>
      <c r="R187" s="110">
        <f>C187-M187</f>
        <v/>
      </c>
      <c r="S187" s="110">
        <f>C187-O187</f>
        <v/>
      </c>
      <c r="T187" s="110">
        <f>E187-O187</f>
        <v/>
      </c>
      <c r="U187" s="110">
        <f>G187-O187</f>
        <v/>
      </c>
      <c r="V187" s="110">
        <f>G187-K187</f>
        <v/>
      </c>
      <c r="W187" s="110">
        <f>C187-K187</f>
        <v/>
      </c>
      <c r="X187" s="110">
        <f>I187-G187</f>
        <v/>
      </c>
      <c r="Y187" s="111">
        <f>G187-M187</f>
        <v/>
      </c>
    </row>
    <row r="188">
      <c r="A188" s="105" t="n">
        <v>45043</v>
      </c>
      <c r="B188" s="106" t="n">
        <v>21.25</v>
      </c>
      <c r="C188" s="107" t="n">
        <v>0.211873</v>
      </c>
      <c r="D188" s="106" t="n">
        <v>24.7</v>
      </c>
      <c r="E188" s="108" t="n">
        <v>0.246271</v>
      </c>
      <c r="F188" s="106" t="n">
        <v>20.38</v>
      </c>
      <c r="G188" s="107" t="n">
        <v>0.203499</v>
      </c>
      <c r="H188" s="109" t="n">
        <v>25.34</v>
      </c>
      <c r="I188" s="107" t="n">
        <v>0.253306</v>
      </c>
      <c r="J188" s="109" t="n">
        <v>21.9</v>
      </c>
      <c r="K188" s="107" t="n">
        <v>0.218273</v>
      </c>
      <c r="L188" s="106" t="n">
        <v>26</v>
      </c>
      <c r="M188" s="107" t="n">
        <v>0.259904</v>
      </c>
      <c r="N188" s="109" t="n">
        <v>22.999</v>
      </c>
      <c r="O188" s="107" t="n">
        <v>0.229905</v>
      </c>
      <c r="P188" s="110">
        <f>C188-G188</f>
        <v/>
      </c>
      <c r="Q188" s="110">
        <f>E188-C188</f>
        <v/>
      </c>
      <c r="R188" s="110">
        <f>C188-M188</f>
        <v/>
      </c>
      <c r="S188" s="110">
        <f>C188-O188</f>
        <v/>
      </c>
      <c r="T188" s="110">
        <f>E188-O188</f>
        <v/>
      </c>
      <c r="U188" s="110">
        <f>G188-O188</f>
        <v/>
      </c>
      <c r="V188" s="110">
        <f>G188-K188</f>
        <v/>
      </c>
      <c r="W188" s="110">
        <f>C188-K188</f>
        <v/>
      </c>
      <c r="X188" s="110">
        <f>I188-G188</f>
        <v/>
      </c>
      <c r="Y188" s="111">
        <f>G188-M188</f>
        <v/>
      </c>
    </row>
    <row r="189">
      <c r="A189" s="105" t="n">
        <v>45042</v>
      </c>
      <c r="B189" s="106" t="n">
        <v>21.6</v>
      </c>
      <c r="C189" s="107" t="n">
        <v>0.215369</v>
      </c>
      <c r="D189" s="106" t="n">
        <v>23.8</v>
      </c>
      <c r="E189" s="108" t="n">
        <v>0.237304</v>
      </c>
      <c r="F189" s="106" t="n">
        <v>20.778</v>
      </c>
      <c r="G189" s="107" t="n">
        <v>0.207476</v>
      </c>
      <c r="H189" s="109" t="n">
        <v>25.76</v>
      </c>
      <c r="I189" s="107" t="n">
        <v>0.257506</v>
      </c>
      <c r="J189" s="109" t="n">
        <v>21.15</v>
      </c>
      <c r="K189" s="107" t="n">
        <v>0.210805</v>
      </c>
      <c r="L189" s="106" t="n">
        <v>26.2</v>
      </c>
      <c r="M189" s="107" t="n">
        <v>0.261904</v>
      </c>
      <c r="N189" s="109" t="n">
        <v>22.999</v>
      </c>
      <c r="O189" s="107" t="n">
        <v>0.229906</v>
      </c>
      <c r="P189" s="110">
        <f>C189-G189</f>
        <v/>
      </c>
      <c r="Q189" s="110">
        <f>E189-C189</f>
        <v/>
      </c>
      <c r="R189" s="110">
        <f>C189-M189</f>
        <v/>
      </c>
      <c r="S189" s="110">
        <f>C189-O189</f>
        <v/>
      </c>
      <c r="T189" s="110">
        <f>E189-O189</f>
        <v/>
      </c>
      <c r="U189" s="110">
        <f>G189-O189</f>
        <v/>
      </c>
      <c r="V189" s="110">
        <f>G189-K189</f>
        <v/>
      </c>
      <c r="W189" s="110">
        <f>C189-K189</f>
        <v/>
      </c>
      <c r="X189" s="110">
        <f>I189-G189</f>
        <v/>
      </c>
      <c r="Y189" s="111">
        <f>G189-M189</f>
        <v/>
      </c>
    </row>
    <row r="190">
      <c r="A190" s="105" t="n">
        <v>45041</v>
      </c>
      <c r="B190" s="106" t="n">
        <v>21.6</v>
      </c>
      <c r="C190" s="107" t="n">
        <v>0.215375</v>
      </c>
      <c r="D190" s="106" t="n">
        <v>24.9</v>
      </c>
      <c r="E190" s="108" t="n">
        <v>0.248279</v>
      </c>
      <c r="F190" s="106" t="n">
        <v>20.61</v>
      </c>
      <c r="G190" s="107" t="n">
        <v>0.205801</v>
      </c>
      <c r="H190" s="109" t="n">
        <v>25.85</v>
      </c>
      <c r="I190" s="107" t="n">
        <v>0.258406</v>
      </c>
      <c r="J190" s="109" t="n">
        <v>20.6</v>
      </c>
      <c r="K190" s="107" t="n">
        <v>0.205329</v>
      </c>
      <c r="L190" s="106" t="n">
        <v>26</v>
      </c>
      <c r="M190" s="107" t="n">
        <v>0.259906</v>
      </c>
      <c r="N190" s="109" t="n">
        <v>22.5</v>
      </c>
      <c r="O190" s="107" t="n">
        <v>0.224918</v>
      </c>
      <c r="P190" s="110">
        <f>C190-G190</f>
        <v/>
      </c>
      <c r="Q190" s="110">
        <f>E190-C190</f>
        <v/>
      </c>
      <c r="R190" s="110">
        <f>C190-M190</f>
        <v/>
      </c>
      <c r="S190" s="110">
        <f>C190-O190</f>
        <v/>
      </c>
      <c r="T190" s="110">
        <f>E190-O190</f>
        <v/>
      </c>
      <c r="U190" s="110">
        <f>G190-O190</f>
        <v/>
      </c>
      <c r="V190" s="110">
        <f>G190-K190</f>
        <v/>
      </c>
      <c r="W190" s="110">
        <f>C190-K190</f>
        <v/>
      </c>
      <c r="X190" s="110">
        <f>I190-G190</f>
        <v/>
      </c>
      <c r="Y190" s="111">
        <f>G190-M190</f>
        <v/>
      </c>
    </row>
    <row r="191">
      <c r="A191" s="105" t="n">
        <v>45040</v>
      </c>
      <c r="B191" s="106" t="n">
        <v>22.499</v>
      </c>
      <c r="C191" s="107" t="n">
        <v>0.224345</v>
      </c>
      <c r="D191" s="106" t="n">
        <v>24.5</v>
      </c>
      <c r="E191" s="108" t="n">
        <v>0.244297</v>
      </c>
      <c r="F191" s="106" t="n">
        <v>20.57</v>
      </c>
      <c r="G191" s="107" t="n">
        <v>0.205405</v>
      </c>
      <c r="H191" s="109" t="n">
        <v>25.4</v>
      </c>
      <c r="I191" s="107" t="n">
        <v>0.253909</v>
      </c>
      <c r="J191" s="109" t="n">
        <v>21.06</v>
      </c>
      <c r="K191" s="107" t="n">
        <v>0.209921</v>
      </c>
      <c r="L191" s="106" t="n">
        <v>26.7</v>
      </c>
      <c r="M191" s="107" t="n">
        <v>0.266904</v>
      </c>
      <c r="N191" s="109" t="n">
        <v>22.65</v>
      </c>
      <c r="O191" s="107" t="n">
        <v>0.226419</v>
      </c>
      <c r="P191" s="110">
        <f>C191-G191</f>
        <v/>
      </c>
      <c r="Q191" s="110">
        <f>E191-C191</f>
        <v/>
      </c>
      <c r="R191" s="110">
        <f>C191-M191</f>
        <v/>
      </c>
      <c r="S191" s="110">
        <f>C191-O191</f>
        <v/>
      </c>
      <c r="T191" s="110">
        <f>E191-O191</f>
        <v/>
      </c>
      <c r="U191" s="110">
        <f>G191-O191</f>
        <v/>
      </c>
      <c r="V191" s="110">
        <f>G191-K191</f>
        <v/>
      </c>
      <c r="W191" s="110">
        <f>C191-K191</f>
        <v/>
      </c>
      <c r="X191" s="110">
        <f>I191-G191</f>
        <v/>
      </c>
      <c r="Y191" s="111">
        <f>G191-M191</f>
        <v/>
      </c>
    </row>
    <row r="192">
      <c r="A192" s="105" t="n">
        <v>45037</v>
      </c>
      <c r="B192" s="106" t="n">
        <v>22.1</v>
      </c>
      <c r="C192" s="107" t="n">
        <v>0.220384</v>
      </c>
      <c r="D192" s="106" t="n">
        <v>25.5</v>
      </c>
      <c r="E192" s="108" t="n">
        <v>0.254289</v>
      </c>
      <c r="F192" s="106" t="n">
        <v>21.379</v>
      </c>
      <c r="G192" s="107" t="n">
        <v>0.213492</v>
      </c>
      <c r="H192" s="109" t="n">
        <v>25.59</v>
      </c>
      <c r="I192" s="107" t="n">
        <v>0.255811</v>
      </c>
      <c r="J192" s="109" t="n">
        <v>21.4</v>
      </c>
      <c r="K192" s="107" t="n">
        <v>0.213329</v>
      </c>
      <c r="L192" s="106" t="n">
        <v>26.3</v>
      </c>
      <c r="M192" s="107" t="n">
        <v>0.262908</v>
      </c>
      <c r="N192" s="109" t="n">
        <v>23</v>
      </c>
      <c r="O192" s="107" t="n">
        <v>0.22992</v>
      </c>
      <c r="P192" s="110">
        <f>C192-G192</f>
        <v/>
      </c>
      <c r="Q192" s="110">
        <f>E192-C192</f>
        <v/>
      </c>
      <c r="R192" s="110">
        <f>C192-M192</f>
        <v/>
      </c>
      <c r="S192" s="110">
        <f>C192-O192</f>
        <v/>
      </c>
      <c r="T192" s="110">
        <f>E192-O192</f>
        <v/>
      </c>
      <c r="U192" s="110">
        <f>G192-O192</f>
        <v/>
      </c>
      <c r="V192" s="110">
        <f>G192-K192</f>
        <v/>
      </c>
      <c r="W192" s="110">
        <f>C192-K192</f>
        <v/>
      </c>
      <c r="X192" s="110">
        <f>I192-G192</f>
        <v/>
      </c>
      <c r="Y192" s="111">
        <f>G192-M192</f>
        <v/>
      </c>
    </row>
    <row r="193">
      <c r="A193" s="105" t="n">
        <v>45036</v>
      </c>
      <c r="B193" s="106" t="n">
        <v>22.5</v>
      </c>
      <c r="C193" s="107" t="n">
        <v>0.224379</v>
      </c>
      <c r="D193" s="106" t="n">
        <v>25</v>
      </c>
      <c r="E193" s="108" t="n">
        <v>0.24931</v>
      </c>
      <c r="F193" s="106" t="n">
        <v>21.522</v>
      </c>
      <c r="G193" s="107" t="n">
        <v>0.214923</v>
      </c>
      <c r="H193" s="109" t="n">
        <v>25.061</v>
      </c>
      <c r="I193" s="107" t="n">
        <v>0.250523</v>
      </c>
      <c r="J193" s="109" t="n">
        <v>21.85</v>
      </c>
      <c r="K193" s="107" t="n">
        <v>0.217822</v>
      </c>
      <c r="L193" s="106" t="n">
        <v>27</v>
      </c>
      <c r="M193" s="107" t="n">
        <v>0.269907</v>
      </c>
      <c r="N193" s="109" t="n">
        <v>23.061</v>
      </c>
      <c r="O193" s="107" t="n">
        <v>0.23053</v>
      </c>
      <c r="P193" s="110">
        <f>C193-G193</f>
        <v/>
      </c>
      <c r="Q193" s="110">
        <f>E193-C193</f>
        <v/>
      </c>
      <c r="R193" s="110">
        <f>C193-M193</f>
        <v/>
      </c>
      <c r="S193" s="110">
        <f>C193-O193</f>
        <v/>
      </c>
      <c r="T193" s="110">
        <f>E193-O193</f>
        <v/>
      </c>
      <c r="U193" s="110">
        <f>G193-O193</f>
        <v/>
      </c>
      <c r="V193" s="110">
        <f>G193-K193</f>
        <v/>
      </c>
      <c r="W193" s="110">
        <f>C193-K193</f>
        <v/>
      </c>
      <c r="X193" s="110">
        <f>I193-G193</f>
        <v/>
      </c>
      <c r="Y193" s="111">
        <f>G193-M193</f>
        <v/>
      </c>
    </row>
    <row r="194" ht="15.75" customHeight="1" s="73">
      <c r="A194" s="105" t="n">
        <v>45035</v>
      </c>
      <c r="B194" s="106" t="n">
        <v>23</v>
      </c>
      <c r="C194" s="107" t="n">
        <v>0.229372</v>
      </c>
      <c r="D194" s="106" t="n">
        <v>24.9</v>
      </c>
      <c r="E194" s="108" t="n">
        <v>0.24832</v>
      </c>
      <c r="F194" s="106" t="n">
        <v>22.17</v>
      </c>
      <c r="G194" s="107" t="n">
        <v>0.221397</v>
      </c>
      <c r="H194" s="109" t="n">
        <v>24.16</v>
      </c>
      <c r="I194" s="107" t="n">
        <v>0.241517</v>
      </c>
      <c r="J194" s="109" t="n">
        <v>22.26</v>
      </c>
      <c r="K194" s="107" t="n">
        <v>0.221916</v>
      </c>
      <c r="L194" s="106" t="n">
        <v>26.7</v>
      </c>
      <c r="M194" s="107" t="n">
        <v>0.266909</v>
      </c>
      <c r="N194" s="109" t="n">
        <v>23.49</v>
      </c>
      <c r="O194" s="107" t="n">
        <v>0.23482</v>
      </c>
      <c r="P194" s="110">
        <f>C194-G194</f>
        <v/>
      </c>
      <c r="Q194" s="110">
        <f>E194-C194</f>
        <v/>
      </c>
      <c r="R194" s="110">
        <f>C194-M194</f>
        <v/>
      </c>
      <c r="S194" s="110">
        <f>C194-O194</f>
        <v/>
      </c>
      <c r="T194" s="110">
        <f>E194-O194</f>
        <v/>
      </c>
      <c r="U194" s="110">
        <f>G194-O194</f>
        <v/>
      </c>
      <c r="V194" s="110">
        <f>G194-K194</f>
        <v/>
      </c>
      <c r="W194" s="110">
        <f>C194-K194</f>
        <v/>
      </c>
      <c r="X194" s="110">
        <f>I194-G194</f>
        <v/>
      </c>
      <c r="Y194" s="111">
        <f>G194-M194</f>
        <v/>
      </c>
    </row>
    <row r="195" ht="15.75" customHeight="1" s="73">
      <c r="A195" s="105" t="n">
        <v>45034</v>
      </c>
      <c r="B195" s="106" t="n">
        <v>24.95</v>
      </c>
      <c r="C195" s="107" t="n">
        <v>0.248825</v>
      </c>
      <c r="D195" s="106" t="n">
        <v>27.499</v>
      </c>
      <c r="E195" s="108" t="n">
        <v>0.274246</v>
      </c>
      <c r="F195" s="106" t="n">
        <v>24.3</v>
      </c>
      <c r="G195" s="107" t="n">
        <v>0.242671</v>
      </c>
      <c r="H195" s="109" t="n">
        <v>27.54</v>
      </c>
      <c r="I195" s="107" t="n">
        <v>0.275307</v>
      </c>
      <c r="J195" s="109" t="n">
        <v>23.951</v>
      </c>
      <c r="K195" s="107" t="n">
        <v>0.238781</v>
      </c>
      <c r="L195" s="106" t="n">
        <v>28.6</v>
      </c>
      <c r="M195" s="107" t="n">
        <v>0.285903</v>
      </c>
      <c r="N195" s="109" t="n">
        <v>24.85</v>
      </c>
      <c r="O195" s="107" t="n">
        <v>0.248416</v>
      </c>
      <c r="P195" s="110">
        <f>C195-G195</f>
        <v/>
      </c>
      <c r="Q195" s="110">
        <f>E195-C195</f>
        <v/>
      </c>
      <c r="R195" s="110">
        <f>C195-M195</f>
        <v/>
      </c>
      <c r="S195" s="110">
        <f>C195-O195</f>
        <v/>
      </c>
      <c r="T195" s="110">
        <f>E195-O195</f>
        <v/>
      </c>
      <c r="U195" s="110">
        <f>G195-O195</f>
        <v/>
      </c>
      <c r="V195" s="110">
        <f>G195-K195</f>
        <v/>
      </c>
      <c r="W195" s="110">
        <f>C195-K195</f>
        <v/>
      </c>
      <c r="X195" s="110">
        <f>I195-G195</f>
        <v/>
      </c>
      <c r="Y195" s="111">
        <f>G195-M195</f>
        <v/>
      </c>
    </row>
    <row r="196" ht="15.75" customHeight="1" s="73">
      <c r="A196" s="105" t="n">
        <v>45033</v>
      </c>
      <c r="B196" s="106" t="n">
        <v>25.999</v>
      </c>
      <c r="C196" s="107" t="n">
        <v>0.259294</v>
      </c>
      <c r="D196" s="106" t="n">
        <v>28.4</v>
      </c>
      <c r="E196" s="108" t="n">
        <v>0.28324</v>
      </c>
      <c r="F196" s="106" t="n">
        <v>25.12</v>
      </c>
      <c r="G196" s="107" t="n">
        <v>0.250863</v>
      </c>
      <c r="H196" s="109" t="n">
        <v>28.35</v>
      </c>
      <c r="I196" s="107" t="n">
        <v>0.283405</v>
      </c>
      <c r="J196" s="109" t="n">
        <v>24.5</v>
      </c>
      <c r="K196" s="107" t="n">
        <v>0.244262</v>
      </c>
      <c r="L196" s="106" t="n">
        <v>28.8</v>
      </c>
      <c r="M196" s="107" t="n">
        <v>0.287903</v>
      </c>
      <c r="N196" s="109" t="n">
        <v>25.81</v>
      </c>
      <c r="O196" s="107" t="n">
        <v>0.258013</v>
      </c>
      <c r="P196" s="110">
        <f>C196-G196</f>
        <v/>
      </c>
      <c r="Q196" s="110">
        <f>E196-C196</f>
        <v/>
      </c>
      <c r="R196" s="110">
        <f>C196-M196</f>
        <v/>
      </c>
      <c r="S196" s="110">
        <f>C196-O196</f>
        <v/>
      </c>
      <c r="T196" s="110">
        <f>E196-O196</f>
        <v/>
      </c>
      <c r="U196" s="110">
        <f>G196-O196</f>
        <v/>
      </c>
      <c r="V196" s="110">
        <f>G196-K196</f>
        <v/>
      </c>
      <c r="W196" s="110">
        <f>C196-K196</f>
        <v/>
      </c>
      <c r="X196" s="110">
        <f>I196-G196</f>
        <v/>
      </c>
      <c r="Y196" s="111">
        <f>G196-M196</f>
        <v/>
      </c>
    </row>
    <row r="197" ht="15.75" customHeight="1" s="73">
      <c r="A197" s="105" t="n">
        <v>45030</v>
      </c>
      <c r="B197" s="106" t="n">
        <v>25.719</v>
      </c>
      <c r="C197" s="107" t="n">
        <v>0.256522</v>
      </c>
      <c r="D197" s="106" t="n">
        <v>28.3</v>
      </c>
      <c r="E197" s="108" t="n">
        <v>0.282265</v>
      </c>
      <c r="F197" s="106" t="n">
        <v>25.15</v>
      </c>
      <c r="G197" s="107" t="n">
        <v>0.251173</v>
      </c>
      <c r="H197" s="109" t="n">
        <v>28.31</v>
      </c>
      <c r="I197" s="107" t="n">
        <v>0.283008</v>
      </c>
      <c r="J197" s="109" t="n">
        <v>24.3</v>
      </c>
      <c r="K197" s="107" t="n">
        <v>0.242291</v>
      </c>
      <c r="L197" s="106" t="n">
        <v>29</v>
      </c>
      <c r="M197" s="107" t="n">
        <v>0.289906</v>
      </c>
      <c r="N197" s="109" t="n">
        <v>25.9</v>
      </c>
      <c r="O197" s="107" t="n">
        <v>0.258916</v>
      </c>
      <c r="P197" s="110">
        <f>C197-G197</f>
        <v/>
      </c>
      <c r="Q197" s="110">
        <f>E197-C197</f>
        <v/>
      </c>
      <c r="R197" s="110">
        <f>C197-M197</f>
        <v/>
      </c>
      <c r="S197" s="110">
        <f>C197-O197</f>
        <v/>
      </c>
      <c r="T197" s="110">
        <f>E197-O197</f>
        <v/>
      </c>
      <c r="U197" s="110">
        <f>G197-O197</f>
        <v/>
      </c>
      <c r="V197" s="110">
        <f>G197-K197</f>
        <v/>
      </c>
      <c r="W197" s="110">
        <f>C197-K197</f>
        <v/>
      </c>
      <c r="X197" s="110">
        <f>I197-G197</f>
        <v/>
      </c>
      <c r="Y197" s="111">
        <f>G197-M197</f>
        <v/>
      </c>
    </row>
    <row r="198" ht="15.75" customHeight="1" s="73">
      <c r="A198" s="105" t="n">
        <v>45029</v>
      </c>
      <c r="B198" s="106" t="n">
        <v>26.15</v>
      </c>
      <c r="C198" s="107" t="n">
        <v>0.260828</v>
      </c>
      <c r="D198" s="106" t="n">
        <v>29.5</v>
      </c>
      <c r="E198" s="108" t="n">
        <v>0.294242</v>
      </c>
      <c r="F198" s="106" t="n">
        <v>26</v>
      </c>
      <c r="G198" s="107" t="n">
        <v>0.259666</v>
      </c>
      <c r="H198" s="109" t="n">
        <v>29.5</v>
      </c>
      <c r="I198" s="107" t="n">
        <v>0.294905</v>
      </c>
      <c r="J198" s="109" t="n">
        <v>24.98</v>
      </c>
      <c r="K198" s="107" t="n">
        <v>0.249078</v>
      </c>
      <c r="L198" s="106" t="n">
        <v>29.9</v>
      </c>
      <c r="M198" s="107" t="n">
        <v>0.298904</v>
      </c>
      <c r="N198" s="109" t="n">
        <v>26.3</v>
      </c>
      <c r="O198" s="107" t="n">
        <v>0.262915</v>
      </c>
      <c r="P198" s="110">
        <f>C198-G198</f>
        <v/>
      </c>
      <c r="Q198" s="110">
        <f>E198-C198</f>
        <v/>
      </c>
      <c r="R198" s="110">
        <f>C198-M198</f>
        <v/>
      </c>
      <c r="S198" s="110">
        <f>C198-O198</f>
        <v/>
      </c>
      <c r="T198" s="110">
        <f>E198-O198</f>
        <v/>
      </c>
      <c r="U198" s="110">
        <f>G198-O198</f>
        <v/>
      </c>
      <c r="V198" s="110">
        <f>G198-K198</f>
        <v/>
      </c>
      <c r="W198" s="110">
        <f>C198-K198</f>
        <v/>
      </c>
      <c r="X198" s="110">
        <f>I198-G198</f>
        <v/>
      </c>
      <c r="Y198" s="111">
        <f>G198-M198</f>
        <v/>
      </c>
    </row>
    <row r="199" ht="15.75" customHeight="1" s="73">
      <c r="A199" s="105" t="n">
        <v>45028</v>
      </c>
      <c r="B199" s="106" t="n">
        <v>26.1</v>
      </c>
      <c r="C199" s="107" t="n">
        <v>0.260337</v>
      </c>
      <c r="D199" s="106" t="n">
        <v>29.25</v>
      </c>
      <c r="E199" s="108" t="n">
        <v>0.291757</v>
      </c>
      <c r="F199" s="106" t="n">
        <v>25.89</v>
      </c>
      <c r="G199" s="107" t="n">
        <v>0.258571</v>
      </c>
      <c r="H199" s="109" t="n">
        <v>29.36</v>
      </c>
      <c r="I199" s="107" t="n">
        <v>0.293507</v>
      </c>
      <c r="J199" s="109" t="n">
        <v>24.85</v>
      </c>
      <c r="K199" s="107" t="n">
        <v>0.24779</v>
      </c>
      <c r="L199" s="106" t="n">
        <v>29.95</v>
      </c>
      <c r="M199" s="107" t="n">
        <v>0.299405</v>
      </c>
      <c r="N199" s="109" t="n">
        <v>26.1</v>
      </c>
      <c r="O199" s="107" t="n">
        <v>0.260917</v>
      </c>
      <c r="P199" s="110">
        <f>C199-G199</f>
        <v/>
      </c>
      <c r="Q199" s="110">
        <f>E199-C199</f>
        <v/>
      </c>
      <c r="R199" s="110">
        <f>C199-M199</f>
        <v/>
      </c>
      <c r="S199" s="110">
        <f>C199-O199</f>
        <v/>
      </c>
      <c r="T199" s="110">
        <f>E199-O199</f>
        <v/>
      </c>
      <c r="U199" s="110">
        <f>G199-O199</f>
        <v/>
      </c>
      <c r="V199" s="110">
        <f>G199-K199</f>
        <v/>
      </c>
      <c r="W199" s="110">
        <f>C199-K199</f>
        <v/>
      </c>
      <c r="X199" s="110">
        <f>I199-G199</f>
        <v/>
      </c>
      <c r="Y199" s="111">
        <f>G199-M199</f>
        <v/>
      </c>
    </row>
    <row r="200" ht="15.75" customHeight="1" s="73">
      <c r="A200" s="105" t="n">
        <v>45027</v>
      </c>
      <c r="B200" s="106" t="n">
        <v>25.68</v>
      </c>
      <c r="C200" s="107" t="n">
        <v>0.256154</v>
      </c>
      <c r="D200" s="106" t="n">
        <v>28.25</v>
      </c>
      <c r="E200" s="108" t="n">
        <v>0.28179</v>
      </c>
      <c r="F200" s="106" t="n">
        <v>25.39</v>
      </c>
      <c r="G200" s="107" t="n">
        <v>0.25358</v>
      </c>
      <c r="H200" s="109" t="n">
        <v>28.76</v>
      </c>
      <c r="I200" s="107" t="n">
        <v>0.287509</v>
      </c>
      <c r="J200" s="109" t="n">
        <v>24.689</v>
      </c>
      <c r="K200" s="107" t="n">
        <v>0.246192</v>
      </c>
      <c r="L200" s="106" t="n">
        <v>29.201</v>
      </c>
      <c r="M200" s="107" t="n">
        <v>0.291918</v>
      </c>
      <c r="N200" s="109" t="n">
        <v>25.35</v>
      </c>
      <c r="O200" s="107" t="n">
        <v>0.25342</v>
      </c>
      <c r="P200" s="110">
        <f>C200-G200</f>
        <v/>
      </c>
      <c r="Q200" s="110">
        <f>E200-C200</f>
        <v/>
      </c>
      <c r="R200" s="110">
        <f>C200-M200</f>
        <v/>
      </c>
      <c r="S200" s="110">
        <f>C200-O200</f>
        <v/>
      </c>
      <c r="T200" s="110">
        <f>E200-O200</f>
        <v/>
      </c>
      <c r="U200" s="110">
        <f>G200-O200</f>
        <v/>
      </c>
      <c r="V200" s="110">
        <f>G200-K200</f>
        <v/>
      </c>
      <c r="W200" s="110">
        <f>C200-K200</f>
        <v/>
      </c>
      <c r="X200" s="110">
        <f>I200-G200</f>
        <v/>
      </c>
      <c r="Y200" s="111">
        <f>G200-M200</f>
        <v/>
      </c>
    </row>
    <row r="201" ht="15.75" customHeight="1" s="73">
      <c r="A201" s="105" t="n">
        <v>45026</v>
      </c>
      <c r="B201" s="106" t="n">
        <v>25.25</v>
      </c>
      <c r="C201" s="107" t="n">
        <v>0.251872</v>
      </c>
      <c r="D201" s="106" t="n">
        <v>28.749</v>
      </c>
      <c r="E201" s="108" t="n">
        <v>0.286775</v>
      </c>
      <c r="F201" s="106" t="n">
        <v>25.17</v>
      </c>
      <c r="G201" s="107" t="n">
        <v>0.251387</v>
      </c>
      <c r="H201" s="109" t="n">
        <v>28.899</v>
      </c>
      <c r="I201" s="107" t="n">
        <v>0.2889</v>
      </c>
      <c r="J201" s="109" t="n">
        <v>24.6</v>
      </c>
      <c r="K201" s="107" t="n">
        <v>0.245312</v>
      </c>
      <c r="L201" s="106" t="n">
        <v>29.9</v>
      </c>
      <c r="M201" s="107" t="n">
        <v>0.298907</v>
      </c>
      <c r="N201" s="109" t="n">
        <v>25.5</v>
      </c>
      <c r="O201" s="107" t="n">
        <v>0.254921</v>
      </c>
      <c r="P201" s="110">
        <f>C201-G201</f>
        <v/>
      </c>
      <c r="Q201" s="110">
        <f>E201-C201</f>
        <v/>
      </c>
      <c r="R201" s="110">
        <f>C201-M201</f>
        <v/>
      </c>
      <c r="S201" s="110">
        <f>C201-O201</f>
        <v/>
      </c>
      <c r="T201" s="110">
        <f>E201-O201</f>
        <v/>
      </c>
      <c r="U201" s="110">
        <f>G201-O201</f>
        <v/>
      </c>
      <c r="V201" s="110">
        <f>G201-K201</f>
        <v/>
      </c>
      <c r="W201" s="110">
        <f>C201-K201</f>
        <v/>
      </c>
      <c r="X201" s="110">
        <f>I201-G201</f>
        <v/>
      </c>
      <c r="Y201" s="111">
        <f>G201-M201</f>
        <v/>
      </c>
    </row>
    <row r="202" ht="15.75" customHeight="1" s="73">
      <c r="A202" s="105" t="n">
        <v>45021</v>
      </c>
      <c r="B202" s="106" t="n">
        <v>25.2</v>
      </c>
      <c r="C202" s="107" t="n">
        <v>0.251408</v>
      </c>
      <c r="D202" s="106" t="n">
        <v>28.25</v>
      </c>
      <c r="E202" s="108" t="n">
        <v>0.281836</v>
      </c>
      <c r="F202" s="106" t="n">
        <v>24.95</v>
      </c>
      <c r="G202" s="107" t="n">
        <v>0.249206</v>
      </c>
      <c r="H202" s="109" t="n">
        <v>28.8</v>
      </c>
      <c r="I202" s="107" t="n">
        <v>0.287915</v>
      </c>
      <c r="J202" s="109" t="n">
        <v>24.5</v>
      </c>
      <c r="K202" s="107" t="n">
        <v>0.244352</v>
      </c>
      <c r="L202" s="106" t="n">
        <v>29.75</v>
      </c>
      <c r="M202" s="107" t="n">
        <v>0.297412</v>
      </c>
      <c r="N202" s="109" t="n">
        <v>25.4</v>
      </c>
      <c r="O202" s="107" t="n">
        <v>0.253925</v>
      </c>
      <c r="P202" s="110">
        <f>C202-G202</f>
        <v/>
      </c>
      <c r="Q202" s="110">
        <f>E202-C202</f>
        <v/>
      </c>
      <c r="R202" s="110">
        <f>C202-M202</f>
        <v/>
      </c>
      <c r="S202" s="110">
        <f>C202-O202</f>
        <v/>
      </c>
      <c r="T202" s="110">
        <f>E202-O202</f>
        <v/>
      </c>
      <c r="U202" s="110">
        <f>G202-O202</f>
        <v/>
      </c>
      <c r="V202" s="110">
        <f>G202-K202</f>
        <v/>
      </c>
      <c r="W202" s="110">
        <f>C202-K202</f>
        <v/>
      </c>
      <c r="X202" s="110">
        <f>I202-G202</f>
        <v/>
      </c>
      <c r="Y202" s="111">
        <f>G202-M202</f>
        <v/>
      </c>
    </row>
    <row r="203" ht="15.75" customHeight="1" s="73">
      <c r="A203" s="105" t="n">
        <v>45020</v>
      </c>
      <c r="B203" s="106" t="n">
        <v>25.5</v>
      </c>
      <c r="C203" s="107" t="n">
        <v>0.254408</v>
      </c>
      <c r="D203" s="106" t="n">
        <v>29</v>
      </c>
      <c r="E203" s="108" t="n">
        <v>0.289326</v>
      </c>
      <c r="F203" s="106" t="n">
        <v>25.19</v>
      </c>
      <c r="G203" s="107" t="n">
        <v>0.251607</v>
      </c>
      <c r="H203" s="109" t="n">
        <v>29.1</v>
      </c>
      <c r="I203" s="107" t="n">
        <v>0.290915</v>
      </c>
      <c r="J203" s="109" t="n">
        <v>25.3</v>
      </c>
      <c r="K203" s="107" t="n">
        <v>0.252339</v>
      </c>
      <c r="L203" s="106" t="n">
        <v>29.85</v>
      </c>
      <c r="M203" s="107" t="n">
        <v>0.298413</v>
      </c>
      <c r="N203" s="109" t="n">
        <v>26.15</v>
      </c>
      <c r="O203" s="107" t="n">
        <v>0.261424</v>
      </c>
      <c r="P203" s="110">
        <f>C203-G203</f>
        <v/>
      </c>
      <c r="Q203" s="110">
        <f>E203-C203</f>
        <v/>
      </c>
      <c r="R203" s="110">
        <f>C203-M203</f>
        <v/>
      </c>
      <c r="S203" s="110">
        <f>C203-O203</f>
        <v/>
      </c>
      <c r="T203" s="110">
        <f>E203-O203</f>
        <v/>
      </c>
      <c r="U203" s="110">
        <f>G203-O203</f>
        <v/>
      </c>
      <c r="V203" s="110">
        <f>G203-K203</f>
        <v/>
      </c>
      <c r="W203" s="110">
        <f>C203-K203</f>
        <v/>
      </c>
      <c r="X203" s="110">
        <f>I203-G203</f>
        <v/>
      </c>
      <c r="Y203" s="111">
        <f>G203-M203</f>
        <v/>
      </c>
    </row>
    <row r="204" ht="15.75" customHeight="1" s="73">
      <c r="A204" s="105" t="n">
        <v>45019</v>
      </c>
      <c r="B204" s="106" t="n">
        <v>26.3</v>
      </c>
      <c r="C204" s="107" t="n">
        <v>0.262396</v>
      </c>
      <c r="D204" s="106" t="n">
        <v>29.98</v>
      </c>
      <c r="E204" s="108" t="n">
        <v>0.299112</v>
      </c>
      <c r="F204" s="106" t="n">
        <v>26.1</v>
      </c>
      <c r="G204" s="107" t="n">
        <v>0.2607</v>
      </c>
      <c r="H204" s="109" t="n">
        <v>30.39</v>
      </c>
      <c r="I204" s="107" t="n">
        <v>0.303813</v>
      </c>
      <c r="J204" s="109" t="n">
        <v>25.5</v>
      </c>
      <c r="K204" s="107" t="n">
        <v>0.254341</v>
      </c>
      <c r="L204" s="106" t="n">
        <v>29.65</v>
      </c>
      <c r="M204" s="107" t="n">
        <v>0.296415</v>
      </c>
      <c r="N204" s="109" t="n">
        <v>26.3</v>
      </c>
      <c r="O204" s="107" t="n">
        <v>0.262924</v>
      </c>
      <c r="P204" s="110">
        <f>C204-G204</f>
        <v/>
      </c>
      <c r="Q204" s="110">
        <f>E204-C204</f>
        <v/>
      </c>
      <c r="R204" s="110">
        <f>C204-M204</f>
        <v/>
      </c>
      <c r="S204" s="110">
        <f>C204-O204</f>
        <v/>
      </c>
      <c r="T204" s="110">
        <f>E204-O204</f>
        <v/>
      </c>
      <c r="U204" s="110">
        <f>G204-O204</f>
        <v/>
      </c>
      <c r="V204" s="110">
        <f>G204-K204</f>
        <v/>
      </c>
      <c r="W204" s="110">
        <f>C204-K204</f>
        <v/>
      </c>
      <c r="X204" s="110">
        <f>I204-G204</f>
        <v/>
      </c>
      <c r="Y204" s="111">
        <f>G204-M204</f>
        <v/>
      </c>
    </row>
    <row r="205" ht="15.75" customHeight="1" s="73">
      <c r="A205" s="105" t="n">
        <v>45016</v>
      </c>
      <c r="B205" s="106" t="n">
        <v>25.611</v>
      </c>
      <c r="C205" s="107" t="n">
        <v>0.255543</v>
      </c>
      <c r="D205" s="106" t="n">
        <v>29.5</v>
      </c>
      <c r="E205" s="108" t="n">
        <v>0.294347</v>
      </c>
      <c r="F205" s="106" t="n">
        <v>25.6</v>
      </c>
      <c r="G205" s="107" t="n">
        <v>0.255716</v>
      </c>
      <c r="H205" s="109" t="n">
        <v>29.7</v>
      </c>
      <c r="I205" s="107" t="n">
        <v>0.296918</v>
      </c>
      <c r="J205" s="109" t="n">
        <v>25</v>
      </c>
      <c r="K205" s="107" t="n">
        <v>0.249377</v>
      </c>
      <c r="L205" s="106" t="n">
        <v>29.3</v>
      </c>
      <c r="M205" s="107" t="n">
        <v>0.292919</v>
      </c>
      <c r="N205" s="109" t="n">
        <v>25.8</v>
      </c>
      <c r="O205" s="107" t="n">
        <v>0.257928</v>
      </c>
      <c r="P205" s="110">
        <f>C205-G205</f>
        <v/>
      </c>
      <c r="Q205" s="110">
        <f>E205-C205</f>
        <v/>
      </c>
      <c r="R205" s="110">
        <f>C205-M205</f>
        <v/>
      </c>
      <c r="S205" s="110">
        <f>C205-O205</f>
        <v/>
      </c>
      <c r="T205" s="110">
        <f>E205-O205</f>
        <v/>
      </c>
      <c r="U205" s="110">
        <f>G205-O205</f>
        <v/>
      </c>
      <c r="V205" s="110">
        <f>G205-K205</f>
        <v/>
      </c>
      <c r="W205" s="110">
        <f>C205-K205</f>
        <v/>
      </c>
      <c r="X205" s="110">
        <f>I205-G205</f>
        <v/>
      </c>
      <c r="Y205" s="111">
        <f>G205-M205</f>
        <v/>
      </c>
    </row>
    <row r="206" ht="15.75" customHeight="1" s="73">
      <c r="A206" s="105" t="n">
        <v>45015</v>
      </c>
      <c r="B206" s="106" t="n">
        <v>25.89</v>
      </c>
      <c r="C206" s="107" t="n">
        <v>0.258334</v>
      </c>
      <c r="D206" s="106" t="n">
        <v>28.98</v>
      </c>
      <c r="E206" s="108" t="n">
        <v>0.289166</v>
      </c>
      <c r="F206" s="106" t="n">
        <v>25.9</v>
      </c>
      <c r="G206" s="107" t="n">
        <v>0.258716</v>
      </c>
      <c r="H206" s="109" t="n">
        <v>30.09</v>
      </c>
      <c r="I206" s="107" t="n">
        <v>0.300818</v>
      </c>
      <c r="J206" s="109" t="n">
        <v>25.29</v>
      </c>
      <c r="K206" s="107" t="n">
        <v>0.252278</v>
      </c>
      <c r="L206" s="106" t="n">
        <v>29.5</v>
      </c>
      <c r="M206" s="107" t="n">
        <v>0.294919</v>
      </c>
      <c r="N206" s="109" t="n">
        <v>25.78</v>
      </c>
      <c r="O206" s="107" t="n">
        <v>0.257729</v>
      </c>
      <c r="P206" s="110">
        <f>C206-G206</f>
        <v/>
      </c>
      <c r="Q206" s="110">
        <f>E206-C206</f>
        <v/>
      </c>
      <c r="R206" s="110">
        <f>C206-M206</f>
        <v/>
      </c>
      <c r="S206" s="110">
        <f>C206-O206</f>
        <v/>
      </c>
      <c r="T206" s="110">
        <f>E206-O206</f>
        <v/>
      </c>
      <c r="U206" s="110">
        <f>G206-O206</f>
        <v/>
      </c>
      <c r="V206" s="110">
        <f>G206-K206</f>
        <v/>
      </c>
      <c r="W206" s="110">
        <f>C206-K206</f>
        <v/>
      </c>
      <c r="X206" s="110">
        <f>I206-G206</f>
        <v/>
      </c>
      <c r="Y206" s="111">
        <f>G206-M206</f>
        <v/>
      </c>
    </row>
    <row r="207" ht="15.75" customHeight="1" s="73">
      <c r="A207" s="105" t="n">
        <v>45014</v>
      </c>
      <c r="B207" s="106" t="n">
        <v>25.22</v>
      </c>
      <c r="C207" s="107" t="n">
        <v>0.251655</v>
      </c>
      <c r="D207" s="106" t="n">
        <v>28</v>
      </c>
      <c r="E207" s="108" t="n">
        <v>0.279395</v>
      </c>
      <c r="F207" s="106" t="n">
        <v>25</v>
      </c>
      <c r="G207" s="107" t="n">
        <v>0.24973</v>
      </c>
      <c r="H207" s="109" t="n">
        <v>29.021</v>
      </c>
      <c r="I207" s="107" t="n">
        <v>0.290132</v>
      </c>
      <c r="J207" s="109" t="n">
        <v>24.19</v>
      </c>
      <c r="K207" s="107" t="n">
        <v>0.241312</v>
      </c>
      <c r="L207" s="106" t="n">
        <v>28.879</v>
      </c>
      <c r="M207" s="107" t="n">
        <v>0.288712</v>
      </c>
      <c r="N207" s="109" t="n">
        <v>25.15</v>
      </c>
      <c r="O207" s="107" t="n">
        <v>0.251432</v>
      </c>
      <c r="P207" s="110">
        <f>C207-G207</f>
        <v/>
      </c>
      <c r="Q207" s="110">
        <f>E207-C207</f>
        <v/>
      </c>
      <c r="R207" s="110">
        <f>C207-M207</f>
        <v/>
      </c>
      <c r="S207" s="110">
        <f>C207-O207</f>
        <v/>
      </c>
      <c r="T207" s="110">
        <f>E207-O207</f>
        <v/>
      </c>
      <c r="U207" s="110">
        <f>G207-O207</f>
        <v/>
      </c>
      <c r="V207" s="110">
        <f>G207-K207</f>
        <v/>
      </c>
      <c r="W207" s="110">
        <f>C207-K207</f>
        <v/>
      </c>
      <c r="X207" s="110">
        <f>I207-G207</f>
        <v/>
      </c>
      <c r="Y207" s="111">
        <f>G207-M207</f>
        <v/>
      </c>
    </row>
    <row r="208" ht="15.75" customHeight="1" s="73">
      <c r="A208" s="105" t="n">
        <v>45013</v>
      </c>
      <c r="B208" s="106" t="n">
        <v>23.8</v>
      </c>
      <c r="C208" s="107" t="n">
        <v>0.237492</v>
      </c>
      <c r="D208" s="106" t="n">
        <v>26.26</v>
      </c>
      <c r="E208" s="108" t="n">
        <v>0.26204</v>
      </c>
      <c r="F208" s="106" t="n">
        <v>23.55</v>
      </c>
      <c r="G208" s="107" t="n">
        <v>0.235249</v>
      </c>
      <c r="H208" s="109" t="n">
        <v>27.35</v>
      </c>
      <c r="I208" s="107" t="n">
        <v>0.273427</v>
      </c>
      <c r="J208" s="109" t="n">
        <v>23.3</v>
      </c>
      <c r="K208" s="107" t="n">
        <v>0.232441</v>
      </c>
      <c r="L208" s="106" t="n">
        <v>26.7</v>
      </c>
      <c r="M208" s="107" t="n">
        <v>0.266929</v>
      </c>
      <c r="N208" s="109" t="n">
        <v>24</v>
      </c>
      <c r="O208" s="107" t="n">
        <v>0.239936</v>
      </c>
      <c r="P208" s="110">
        <f>C208-G208</f>
        <v/>
      </c>
      <c r="Q208" s="110">
        <f>E208-C208</f>
        <v/>
      </c>
      <c r="R208" s="110">
        <f>C208-M208</f>
        <v/>
      </c>
      <c r="S208" s="110">
        <f>C208-O208</f>
        <v/>
      </c>
      <c r="T208" s="110">
        <f>E208-O208</f>
        <v/>
      </c>
      <c r="U208" s="110">
        <f>G208-O208</f>
        <v/>
      </c>
      <c r="V208" s="110">
        <f>G208-K208</f>
        <v/>
      </c>
      <c r="W208" s="110">
        <f>C208-K208</f>
        <v/>
      </c>
      <c r="X208" s="110">
        <f>I208-G208</f>
        <v/>
      </c>
      <c r="Y208" s="111">
        <f>G208-M208</f>
        <v/>
      </c>
    </row>
    <row r="209" ht="15.75" customHeight="1" s="73">
      <c r="A209" s="105" t="n">
        <v>45012</v>
      </c>
      <c r="B209" s="106" t="n">
        <v>23.7</v>
      </c>
      <c r="C209" s="107" t="n">
        <v>0.236501</v>
      </c>
      <c r="D209" s="106" t="n">
        <v>27</v>
      </c>
      <c r="E209" s="108" t="n">
        <v>0.269432</v>
      </c>
      <c r="F209" s="106" t="n">
        <v>23.399</v>
      </c>
      <c r="G209" s="107" t="n">
        <v>0.233743</v>
      </c>
      <c r="H209" s="109" t="n">
        <v>26.7</v>
      </c>
      <c r="I209" s="107" t="n">
        <v>0.26693</v>
      </c>
      <c r="J209" s="109" t="n">
        <v>22.55</v>
      </c>
      <c r="K209" s="107" t="n">
        <v>0.224966</v>
      </c>
      <c r="L209" s="106" t="n">
        <v>26.3</v>
      </c>
      <c r="M209" s="107" t="n">
        <v>0.262931</v>
      </c>
      <c r="N209" s="109" t="n">
        <v>23.75</v>
      </c>
      <c r="O209" s="107" t="n">
        <v>0.237437</v>
      </c>
      <c r="P209" s="110">
        <f>C209-G209</f>
        <v/>
      </c>
      <c r="Q209" s="110">
        <f>E209-C209</f>
        <v/>
      </c>
      <c r="R209" s="110">
        <f>C209-M209</f>
        <v/>
      </c>
      <c r="S209" s="110">
        <f>C209-O209</f>
        <v/>
      </c>
      <c r="T209" s="110">
        <f>E209-O209</f>
        <v/>
      </c>
      <c r="U209" s="110">
        <f>G209-O209</f>
        <v/>
      </c>
      <c r="V209" s="110">
        <f>G209-K209</f>
        <v/>
      </c>
      <c r="W209" s="110">
        <f>C209-K209</f>
        <v/>
      </c>
      <c r="X209" s="110">
        <f>I209-G209</f>
        <v/>
      </c>
      <c r="Y209" s="111">
        <f>G209-M209</f>
        <v/>
      </c>
    </row>
    <row r="210" ht="15.75" customHeight="1" s="73">
      <c r="A210" s="105" t="n">
        <v>45008</v>
      </c>
      <c r="B210" s="106" t="n">
        <v>23.94</v>
      </c>
      <c r="C210" s="107" t="n">
        <v>0.238922</v>
      </c>
      <c r="D210" s="106" t="n">
        <v>26.6</v>
      </c>
      <c r="E210" s="108" t="n">
        <v>0.265469</v>
      </c>
      <c r="F210" s="106" t="n">
        <v>23.49</v>
      </c>
      <c r="G210" s="107" t="n">
        <v>0.234665</v>
      </c>
      <c r="H210" s="109" t="n">
        <v>27.68</v>
      </c>
      <c r="I210" s="107" t="n">
        <v>0.276731</v>
      </c>
      <c r="J210" s="109" t="n">
        <v>23.05</v>
      </c>
      <c r="K210" s="107" t="n">
        <v>0.229983</v>
      </c>
      <c r="L210" s="106" t="n">
        <v>26.85</v>
      </c>
      <c r="M210" s="107" t="n">
        <v>0.268433</v>
      </c>
      <c r="N210" s="109" t="n">
        <v>23.92</v>
      </c>
      <c r="O210" s="107" t="n">
        <v>0.23914</v>
      </c>
      <c r="P210" s="110">
        <f>C210-G210</f>
        <v/>
      </c>
      <c r="Q210" s="110">
        <f>E210-C210</f>
        <v/>
      </c>
      <c r="R210" s="110">
        <f>C210-M210</f>
        <v/>
      </c>
      <c r="S210" s="110">
        <f>C210-O210</f>
        <v/>
      </c>
      <c r="T210" s="110">
        <f>E210-O210</f>
        <v/>
      </c>
      <c r="U210" s="110">
        <f>G210-O210</f>
        <v/>
      </c>
      <c r="V210" s="110">
        <f>G210-K210</f>
        <v/>
      </c>
      <c r="W210" s="110">
        <f>C210-K210</f>
        <v/>
      </c>
      <c r="X210" s="110">
        <f>I210-G210</f>
        <v/>
      </c>
      <c r="Y210" s="111">
        <f>G210-M210</f>
        <v/>
      </c>
    </row>
    <row r="211" ht="15.75" customHeight="1" s="73">
      <c r="A211" s="105" t="n">
        <v>45007</v>
      </c>
      <c r="B211" s="106" t="n">
        <v>24.1</v>
      </c>
      <c r="C211" s="107" t="n">
        <v>0.240526</v>
      </c>
      <c r="D211" s="106" t="n">
        <v>28</v>
      </c>
      <c r="E211" s="108" t="n">
        <v>0.279449</v>
      </c>
      <c r="F211" s="106" t="n">
        <v>23.7</v>
      </c>
      <c r="G211" s="107" t="n">
        <v>0.236766</v>
      </c>
      <c r="H211" s="109" t="n">
        <v>27.68</v>
      </c>
      <c r="I211" s="107" t="n">
        <v>0.276732</v>
      </c>
      <c r="J211" s="109" t="n">
        <v>23.85</v>
      </c>
      <c r="K211" s="107" t="n">
        <v>0.237972</v>
      </c>
      <c r="L211" s="106" t="n">
        <v>27.7</v>
      </c>
      <c r="M211" s="107" t="n">
        <v>0.276932</v>
      </c>
      <c r="N211" s="109" t="n">
        <v>25.25</v>
      </c>
      <c r="O211" s="107" t="n">
        <v>0.252438</v>
      </c>
      <c r="P211" s="110">
        <f>C211-G211</f>
        <v/>
      </c>
      <c r="Q211" s="110">
        <f>E211-C211</f>
        <v/>
      </c>
      <c r="R211" s="110">
        <f>C211-M211</f>
        <v/>
      </c>
      <c r="S211" s="110">
        <f>C211-O211</f>
        <v/>
      </c>
      <c r="T211" s="110">
        <f>E211-O211</f>
        <v/>
      </c>
      <c r="U211" s="110">
        <f>G211-O211</f>
        <v/>
      </c>
      <c r="V211" s="110">
        <f>G211-K211</f>
        <v/>
      </c>
      <c r="W211" s="110">
        <f>C211-K211</f>
        <v/>
      </c>
      <c r="X211" s="110">
        <f>I211-G211</f>
        <v/>
      </c>
      <c r="Y211" s="111">
        <f>G211-M211</f>
        <v/>
      </c>
    </row>
    <row r="212" ht="15.75" customHeight="1" s="73">
      <c r="A212" s="105" t="n">
        <v>45006</v>
      </c>
      <c r="B212" s="106" t="n">
        <v>25.45</v>
      </c>
      <c r="C212" s="107" t="n">
        <v>0.254006</v>
      </c>
      <c r="D212" s="106" t="n">
        <v>30</v>
      </c>
      <c r="E212" s="108" t="n">
        <v>0.299418</v>
      </c>
      <c r="F212" s="106" t="n">
        <v>25.021</v>
      </c>
      <c r="G212" s="107" t="n">
        <v>0.249967</v>
      </c>
      <c r="H212" s="109" t="n">
        <v>29.25</v>
      </c>
      <c r="I212" s="107" t="n">
        <v>0.292429</v>
      </c>
      <c r="J212" s="109" t="n">
        <v>24.481</v>
      </c>
      <c r="K212" s="107" t="n">
        <v>0.244275</v>
      </c>
      <c r="L212" s="106" t="n">
        <v>29.02</v>
      </c>
      <c r="M212" s="107" t="n">
        <v>0.290129</v>
      </c>
      <c r="N212" s="109" t="n">
        <v>26.199</v>
      </c>
      <c r="O212" s="107" t="n">
        <v>0.261926</v>
      </c>
      <c r="P212" s="110">
        <f>C212-G212</f>
        <v/>
      </c>
      <c r="Q212" s="110">
        <f>E212-C212</f>
        <v/>
      </c>
      <c r="R212" s="110">
        <f>C212-M212</f>
        <v/>
      </c>
      <c r="S212" s="110">
        <f>C212-O212</f>
        <v/>
      </c>
      <c r="T212" s="110">
        <f>E212-O212</f>
        <v/>
      </c>
      <c r="U212" s="110">
        <f>G212-O212</f>
        <v/>
      </c>
      <c r="V212" s="110">
        <f>G212-K212</f>
        <v/>
      </c>
      <c r="W212" s="110">
        <f>C212-K212</f>
        <v/>
      </c>
      <c r="X212" s="110">
        <f>I212-G212</f>
        <v/>
      </c>
      <c r="Y212" s="111">
        <f>G212-M212</f>
        <v/>
      </c>
    </row>
    <row r="213" ht="15.75" customHeight="1" s="73">
      <c r="A213" s="105" t="n">
        <v>45005</v>
      </c>
      <c r="B213" s="106" t="n">
        <v>24.98</v>
      </c>
      <c r="C213" s="107" t="n">
        <v>0.249322</v>
      </c>
      <c r="D213" s="106" t="n">
        <v>28.999</v>
      </c>
      <c r="E213" s="108" t="n">
        <v>0.289435</v>
      </c>
      <c r="F213" s="106" t="n">
        <v>24.72</v>
      </c>
      <c r="G213" s="107" t="n">
        <v>0.246963</v>
      </c>
      <c r="H213" s="109" t="n">
        <v>29.1</v>
      </c>
      <c r="I213" s="107" t="n">
        <v>0.29093</v>
      </c>
      <c r="J213" s="109" t="n">
        <v>24.3</v>
      </c>
      <c r="K213" s="107" t="n">
        <v>0.242477</v>
      </c>
      <c r="L213" s="106" t="n">
        <v>28.62</v>
      </c>
      <c r="M213" s="107" t="n">
        <v>0.286131</v>
      </c>
      <c r="N213" s="109" t="n">
        <v>25.25</v>
      </c>
      <c r="O213" s="107" t="n">
        <v>0.252439</v>
      </c>
      <c r="P213" s="110">
        <f>C213-G213</f>
        <v/>
      </c>
      <c r="Q213" s="110">
        <f>E213-C213</f>
        <v/>
      </c>
      <c r="R213" s="110">
        <f>C213-M213</f>
        <v/>
      </c>
      <c r="S213" s="110">
        <f>C213-O213</f>
        <v/>
      </c>
      <c r="T213" s="110">
        <f>E213-O213</f>
        <v/>
      </c>
      <c r="U213" s="110">
        <f>G213-O213</f>
        <v/>
      </c>
      <c r="V213" s="110">
        <f>G213-K213</f>
        <v/>
      </c>
      <c r="W213" s="110">
        <f>C213-K213</f>
        <v/>
      </c>
      <c r="X213" s="110">
        <f>I213-G213</f>
        <v/>
      </c>
      <c r="Y213" s="111">
        <f>G213-M213</f>
        <v/>
      </c>
    </row>
    <row r="214" ht="15.75" customHeight="1" s="73">
      <c r="A214" s="105" t="n">
        <v>45002</v>
      </c>
      <c r="B214" s="106" t="n">
        <v>24.9</v>
      </c>
      <c r="C214" s="107" t="n">
        <v>0.248544</v>
      </c>
      <c r="D214" s="106" t="n">
        <v>28.398</v>
      </c>
      <c r="E214" s="108" t="n">
        <v>0.28346</v>
      </c>
      <c r="F214" s="106" t="n">
        <v>24.75</v>
      </c>
      <c r="G214" s="107" t="n">
        <v>0.247273</v>
      </c>
      <c r="H214" s="109" t="n">
        <v>29.3</v>
      </c>
      <c r="I214" s="107" t="n">
        <v>0.292933</v>
      </c>
      <c r="J214" s="109" t="n">
        <v>24.1</v>
      </c>
      <c r="K214" s="107" t="n">
        <v>0.240503</v>
      </c>
      <c r="L214" s="106" t="n">
        <v>28.65</v>
      </c>
      <c r="M214" s="107" t="n">
        <v>0.286434</v>
      </c>
      <c r="N214" s="109" t="n">
        <v>25.7</v>
      </c>
      <c r="O214" s="107" t="n">
        <v>0.256941</v>
      </c>
      <c r="P214" s="110">
        <f>C214-G214</f>
        <v/>
      </c>
      <c r="Q214" s="110">
        <f>E214-C214</f>
        <v/>
      </c>
      <c r="R214" s="110">
        <f>C214-M214</f>
        <v/>
      </c>
      <c r="S214" s="110">
        <f>C214-O214</f>
        <v/>
      </c>
      <c r="T214" s="110">
        <f>E214-O214</f>
        <v/>
      </c>
      <c r="U214" s="110">
        <f>G214-O214</f>
        <v/>
      </c>
      <c r="V214" s="110">
        <f>G214-K214</f>
        <v/>
      </c>
      <c r="W214" s="110">
        <f>C214-K214</f>
        <v/>
      </c>
      <c r="X214" s="110">
        <f>I214-G214</f>
        <v/>
      </c>
      <c r="Y214" s="111">
        <f>G214-M214</f>
        <v/>
      </c>
    </row>
    <row r="215" ht="15.75" customHeight="1" s="73">
      <c r="A215" s="105" t="n">
        <v>45001</v>
      </c>
      <c r="B215" s="106" t="n">
        <v>25.25</v>
      </c>
      <c r="C215" s="107" t="n">
        <v>0.252044</v>
      </c>
      <c r="D215" s="106" t="n">
        <v>28.5</v>
      </c>
      <c r="E215" s="108" t="n">
        <v>0.284486</v>
      </c>
      <c r="F215" s="106" t="n">
        <v>25.15</v>
      </c>
      <c r="G215" s="107" t="n">
        <v>0.251273</v>
      </c>
      <c r="H215" s="109" t="n">
        <v>29.71</v>
      </c>
      <c r="I215" s="107" t="n">
        <v>0.297033</v>
      </c>
      <c r="J215" s="109" t="n">
        <v>24.7</v>
      </c>
      <c r="K215" s="107" t="n">
        <v>0.246499</v>
      </c>
      <c r="L215" s="106" t="n">
        <v>29.2</v>
      </c>
      <c r="M215" s="107" t="n">
        <v>0.291934</v>
      </c>
      <c r="N215" s="109" t="n">
        <v>25.8</v>
      </c>
      <c r="O215" s="107" t="n">
        <v>0.257942</v>
      </c>
      <c r="P215" s="110">
        <f>C215-G215</f>
        <v/>
      </c>
      <c r="Q215" s="110">
        <f>E215-C215</f>
        <v/>
      </c>
      <c r="R215" s="110">
        <f>C215-M215</f>
        <v/>
      </c>
      <c r="S215" s="110">
        <f>C215-O215</f>
        <v/>
      </c>
      <c r="T215" s="110">
        <f>E215-O215</f>
        <v/>
      </c>
      <c r="U215" s="110">
        <f>G215-O215</f>
        <v/>
      </c>
      <c r="V215" s="110">
        <f>G215-K215</f>
        <v/>
      </c>
      <c r="W215" s="110">
        <f>C215-K215</f>
        <v/>
      </c>
      <c r="X215" s="110">
        <f>I215-G215</f>
        <v/>
      </c>
      <c r="Y215" s="111">
        <f>G215-M215</f>
        <v/>
      </c>
    </row>
    <row r="216" ht="15.75" customHeight="1" s="73">
      <c r="A216" s="105" t="n">
        <v>45000</v>
      </c>
      <c r="B216" s="106" t="n">
        <v>24.64</v>
      </c>
      <c r="C216" s="107" t="n">
        <v>0.245962</v>
      </c>
      <c r="D216" s="106" t="n">
        <v>28.5</v>
      </c>
      <c r="E216" s="108" t="n">
        <v>0.284493</v>
      </c>
      <c r="F216" s="106" t="n">
        <v>24.32</v>
      </c>
      <c r="G216" s="107" t="n">
        <v>0.242984</v>
      </c>
      <c r="H216" s="109" t="n">
        <v>28.876</v>
      </c>
      <c r="I216" s="107" t="n">
        <v>0.288696</v>
      </c>
      <c r="J216" s="109" t="n">
        <v>24.16</v>
      </c>
      <c r="K216" s="107" t="n">
        <v>0.241117</v>
      </c>
      <c r="L216" s="106" t="n">
        <v>28.35</v>
      </c>
      <c r="M216" s="107" t="n">
        <v>0.283437</v>
      </c>
      <c r="N216" s="109" t="n">
        <v>24.66</v>
      </c>
      <c r="O216" s="107" t="n">
        <v>0.246545</v>
      </c>
      <c r="P216" s="110">
        <f>C216-G216</f>
        <v/>
      </c>
      <c r="Q216" s="110">
        <f>E216-C216</f>
        <v/>
      </c>
      <c r="R216" s="110">
        <f>C216-M216</f>
        <v/>
      </c>
      <c r="S216" s="110">
        <f>C216-O216</f>
        <v/>
      </c>
      <c r="T216" s="110">
        <f>E216-O216</f>
        <v/>
      </c>
      <c r="U216" s="110">
        <f>G216-O216</f>
        <v/>
      </c>
      <c r="V216" s="110">
        <f>G216-K216</f>
        <v/>
      </c>
      <c r="W216" s="110">
        <f>C216-K216</f>
        <v/>
      </c>
      <c r="X216" s="110">
        <f>I216-G216</f>
        <v/>
      </c>
      <c r="Y216" s="111">
        <f>G216-M216</f>
        <v/>
      </c>
    </row>
    <row r="217">
      <c r="A217" s="105" t="n">
        <v>44999</v>
      </c>
      <c r="B217" s="106" t="n">
        <v>25.15</v>
      </c>
      <c r="C217" s="107" t="n">
        <v>0.25106</v>
      </c>
      <c r="D217" s="106" t="n">
        <v>29</v>
      </c>
      <c r="E217" s="108" t="n">
        <v>0.289492</v>
      </c>
      <c r="F217" s="106" t="n">
        <v>24.83</v>
      </c>
      <c r="G217" s="107" t="n">
        <v>0.248083</v>
      </c>
      <c r="H217" s="109" t="n">
        <v>29.48</v>
      </c>
      <c r="I217" s="107" t="n">
        <v>0.294735</v>
      </c>
      <c r="J217" s="109" t="n">
        <v>24.949</v>
      </c>
      <c r="K217" s="107" t="n">
        <v>0.248999</v>
      </c>
      <c r="L217" s="106" t="n">
        <v>28.7</v>
      </c>
      <c r="M217" s="107" t="n">
        <v>0.286937</v>
      </c>
      <c r="N217" s="109" t="n">
        <v>25.3</v>
      </c>
      <c r="O217" s="107" t="n">
        <v>0.252945</v>
      </c>
      <c r="P217" s="110">
        <f>C217-G217</f>
        <v/>
      </c>
      <c r="Q217" s="110">
        <f>E217-C217</f>
        <v/>
      </c>
      <c r="R217" s="110">
        <f>C217-M217</f>
        <v/>
      </c>
      <c r="S217" s="110">
        <f>C217-O217</f>
        <v/>
      </c>
      <c r="T217" s="110">
        <f>E217-O217</f>
        <v/>
      </c>
      <c r="U217" s="110">
        <f>G217-O217</f>
        <v/>
      </c>
      <c r="V217" s="110">
        <f>G217-K217</f>
        <v/>
      </c>
      <c r="W217" s="110">
        <f>C217-K217</f>
        <v/>
      </c>
      <c r="X217" s="110">
        <f>I217-G217</f>
        <v/>
      </c>
      <c r="Y217" s="111">
        <f>G217-M217</f>
        <v/>
      </c>
    </row>
    <row r="218">
      <c r="A218" s="105" t="n">
        <v>44998</v>
      </c>
      <c r="B218" s="106" t="n">
        <v>25.249</v>
      </c>
      <c r="C218" s="107" t="n">
        <v>0.252055</v>
      </c>
      <c r="D218" s="106" t="n">
        <v>28.99</v>
      </c>
      <c r="E218" s="108" t="n">
        <v>0.2894</v>
      </c>
      <c r="F218" s="106" t="n">
        <v>24.902</v>
      </c>
      <c r="G218" s="107" t="n">
        <v>0.248805</v>
      </c>
      <c r="H218" s="109" t="n">
        <v>29.58</v>
      </c>
      <c r="I218" s="107" t="n">
        <v>0.295736</v>
      </c>
      <c r="J218" s="109" t="n">
        <v>24.65</v>
      </c>
      <c r="K218" s="107" t="n">
        <v>0.246022</v>
      </c>
      <c r="L218" s="106" t="n">
        <v>28.6</v>
      </c>
      <c r="M218" s="107" t="n">
        <v>0.285938</v>
      </c>
      <c r="N218" s="109" t="n">
        <v>25.25</v>
      </c>
      <c r="O218" s="107" t="n">
        <v>0.252446</v>
      </c>
      <c r="P218" s="110">
        <f>C218-G218</f>
        <v/>
      </c>
      <c r="Q218" s="110">
        <f>E218-C218</f>
        <v/>
      </c>
      <c r="R218" s="110">
        <f>C218-M218</f>
        <v/>
      </c>
      <c r="S218" s="110">
        <f>C218-O218</f>
        <v/>
      </c>
      <c r="T218" s="110">
        <f>E218-O218</f>
        <v/>
      </c>
      <c r="U218" s="110">
        <f>G218-O218</f>
        <v/>
      </c>
      <c r="V218" s="110">
        <f>G218-K218</f>
        <v/>
      </c>
      <c r="W218" s="110">
        <f>C218-K218</f>
        <v/>
      </c>
      <c r="X218" s="110">
        <f>I218-G218</f>
        <v/>
      </c>
      <c r="Y218" s="111">
        <f>G218-M218</f>
        <v/>
      </c>
    </row>
    <row r="219">
      <c r="A219" s="105" t="n">
        <v>44995</v>
      </c>
      <c r="B219" s="106" t="n">
        <v>25.3</v>
      </c>
      <c r="C219" s="107" t="n">
        <v>0.252585</v>
      </c>
      <c r="D219" s="106" t="n">
        <v>29</v>
      </c>
      <c r="E219" s="108" t="n">
        <v>0.289524</v>
      </c>
      <c r="F219" s="106" t="n">
        <v>25.1</v>
      </c>
      <c r="G219" s="107" t="n">
        <v>0.250794</v>
      </c>
      <c r="H219" s="109" t="n">
        <v>29.588</v>
      </c>
      <c r="I219" s="107" t="n">
        <v>0.295819</v>
      </c>
      <c r="J219" s="109" t="n">
        <v>24.86</v>
      </c>
      <c r="K219" s="107" t="n">
        <v>0.248141</v>
      </c>
      <c r="L219" s="106" t="n">
        <v>29.07</v>
      </c>
      <c r="M219" s="107" t="n">
        <v>0.29064</v>
      </c>
      <c r="N219" s="109" t="n">
        <v>25.7</v>
      </c>
      <c r="O219" s="107" t="n">
        <v>0.256947</v>
      </c>
      <c r="P219" s="110">
        <f>C219-G219</f>
        <v/>
      </c>
      <c r="Q219" s="110">
        <f>E219-C219</f>
        <v/>
      </c>
      <c r="R219" s="110">
        <f>C219-M219</f>
        <v/>
      </c>
      <c r="S219" s="110">
        <f>C219-O219</f>
        <v/>
      </c>
      <c r="T219" s="110">
        <f>E219-O219</f>
        <v/>
      </c>
      <c r="U219" s="110">
        <f>G219-O219</f>
        <v/>
      </c>
      <c r="V219" s="110">
        <f>G219-K219</f>
        <v/>
      </c>
      <c r="W219" s="110">
        <f>C219-K219</f>
        <v/>
      </c>
      <c r="X219" s="110">
        <f>I219-G219</f>
        <v/>
      </c>
      <c r="Y219" s="111">
        <f>G219-M219</f>
        <v/>
      </c>
    </row>
    <row r="220">
      <c r="A220" s="105" t="n">
        <v>44994</v>
      </c>
      <c r="B220" s="106" t="n">
        <v>26.101</v>
      </c>
      <c r="C220" s="107" t="n">
        <v>0.260589</v>
      </c>
      <c r="D220" s="106" t="n">
        <v>29.75</v>
      </c>
      <c r="E220" s="108" t="n">
        <v>0.29702</v>
      </c>
      <c r="F220" s="106" t="n">
        <v>26.1</v>
      </c>
      <c r="G220" s="107" t="n">
        <v>0.260789</v>
      </c>
      <c r="H220" s="109" t="n">
        <v>30.85</v>
      </c>
      <c r="I220" s="107" t="n">
        <v>0.308438</v>
      </c>
      <c r="J220" s="109" t="n">
        <v>25.95</v>
      </c>
      <c r="K220" s="107" t="n">
        <v>0.259029</v>
      </c>
      <c r="L220" s="106" t="n">
        <v>29.77</v>
      </c>
      <c r="M220" s="107" t="n">
        <v>0.29764</v>
      </c>
      <c r="N220" s="109" t="n">
        <v>26.361</v>
      </c>
      <c r="O220" s="107" t="n">
        <v>0.263557</v>
      </c>
      <c r="P220" s="110">
        <f>C220-G220</f>
        <v/>
      </c>
      <c r="Q220" s="110">
        <f>E220-C220</f>
        <v/>
      </c>
      <c r="R220" s="110">
        <f>C220-M220</f>
        <v/>
      </c>
      <c r="S220" s="110">
        <f>C220-O220</f>
        <v/>
      </c>
      <c r="T220" s="110">
        <f>E220-O220</f>
        <v/>
      </c>
      <c r="U220" s="110">
        <f>G220-O220</f>
        <v/>
      </c>
      <c r="V220" s="110">
        <f>G220-K220</f>
        <v/>
      </c>
      <c r="W220" s="110">
        <f>C220-K220</f>
        <v/>
      </c>
      <c r="X220" s="110">
        <f>I220-G220</f>
        <v/>
      </c>
      <c r="Y220" s="111">
        <f>G220-M220</f>
        <v/>
      </c>
    </row>
    <row r="221">
      <c r="A221" s="105" t="n">
        <v>44993</v>
      </c>
      <c r="B221" s="106" t="n">
        <v>26.6</v>
      </c>
      <c r="C221" s="107" t="n">
        <v>0.265578</v>
      </c>
      <c r="D221" s="106" t="n">
        <v>30.35</v>
      </c>
      <c r="E221" s="108" t="n">
        <v>0.303018</v>
      </c>
      <c r="F221" s="106" t="n">
        <v>26.45</v>
      </c>
      <c r="G221" s="107" t="n">
        <v>0.26429</v>
      </c>
      <c r="H221" s="109" t="n">
        <v>31.03</v>
      </c>
      <c r="I221" s="107" t="n">
        <v>0.310238</v>
      </c>
      <c r="J221" s="109" t="n">
        <v>26.25</v>
      </c>
      <c r="K221" s="107" t="n">
        <v>0.262032</v>
      </c>
      <c r="L221" s="106" t="n">
        <v>30.005</v>
      </c>
      <c r="M221" s="107" t="n">
        <v>0.29999</v>
      </c>
      <c r="N221" s="109" t="n">
        <v>26.9</v>
      </c>
      <c r="O221" s="107" t="n">
        <v>0.268947</v>
      </c>
      <c r="P221" s="110">
        <f>C221-G221</f>
        <v/>
      </c>
      <c r="Q221" s="110">
        <f>E221-C221</f>
        <v/>
      </c>
      <c r="R221" s="110">
        <f>C221-M221</f>
        <v/>
      </c>
      <c r="S221" s="110">
        <f>C221-O221</f>
        <v/>
      </c>
      <c r="T221" s="110">
        <f>E221-O221</f>
        <v/>
      </c>
      <c r="U221" s="110">
        <f>G221-O221</f>
        <v/>
      </c>
      <c r="V221" s="110">
        <f>G221-K221</f>
        <v/>
      </c>
      <c r="W221" s="110">
        <f>C221-K221</f>
        <v/>
      </c>
      <c r="X221" s="110">
        <f>I221-G221</f>
        <v/>
      </c>
      <c r="Y221" s="111">
        <f>G221-M221</f>
        <v/>
      </c>
    </row>
    <row r="222">
      <c r="A222" s="105" t="n">
        <v>44992</v>
      </c>
      <c r="B222" s="106" t="n">
        <v>27.1</v>
      </c>
      <c r="C222" s="107" t="n">
        <v>0.270577</v>
      </c>
      <c r="D222" s="106" t="n">
        <v>31.2</v>
      </c>
      <c r="E222" s="108" t="n">
        <v>0.311514</v>
      </c>
      <c r="F222" s="106" t="n">
        <v>26.9</v>
      </c>
      <c r="G222" s="107" t="n">
        <v>0.26879</v>
      </c>
      <c r="H222" s="109" t="n">
        <v>31.61</v>
      </c>
      <c r="I222" s="107" t="n">
        <v>0.316038</v>
      </c>
      <c r="J222" s="109" t="n">
        <v>26.9</v>
      </c>
      <c r="K222" s="107" t="n">
        <v>0.268528</v>
      </c>
      <c r="L222" s="106" t="n">
        <v>30.6</v>
      </c>
      <c r="M222" s="107" t="n">
        <v>0.30594</v>
      </c>
      <c r="N222" s="109" t="n">
        <v>27.8</v>
      </c>
      <c r="O222" s="107" t="n">
        <v>0.277946</v>
      </c>
      <c r="P222" s="110">
        <f>C222-G222</f>
        <v/>
      </c>
      <c r="Q222" s="110">
        <f>E222-C222</f>
        <v/>
      </c>
      <c r="R222" s="110">
        <f>C222-M222</f>
        <v/>
      </c>
      <c r="S222" s="110">
        <f>C222-O222</f>
        <v/>
      </c>
      <c r="T222" s="110">
        <f>E222-O222</f>
        <v/>
      </c>
      <c r="U222" s="110">
        <f>G222-O222</f>
        <v/>
      </c>
      <c r="V222" s="110">
        <f>G222-K222</f>
        <v/>
      </c>
      <c r="W222" s="110">
        <f>C222-K222</f>
        <v/>
      </c>
      <c r="X222" s="110">
        <f>I222-G222</f>
        <v/>
      </c>
      <c r="Y222" s="111">
        <f>G222-M222</f>
        <v/>
      </c>
    </row>
    <row r="223">
      <c r="A223" s="105" t="n">
        <v>44991</v>
      </c>
      <c r="B223" s="106" t="n">
        <v>27.5</v>
      </c>
      <c r="C223" s="107" t="n">
        <v>0.274579</v>
      </c>
      <c r="D223" s="106" t="n">
        <v>31.5</v>
      </c>
      <c r="E223" s="108" t="n">
        <v>0.314517</v>
      </c>
      <c r="F223" s="106" t="n">
        <v>27.7</v>
      </c>
      <c r="G223" s="107" t="n">
        <v>0.276788</v>
      </c>
      <c r="H223" s="109" t="n">
        <v>32.352</v>
      </c>
      <c r="I223" s="107" t="n">
        <v>0.323458</v>
      </c>
      <c r="J223" s="109" t="n">
        <v>27.5</v>
      </c>
      <c r="K223" s="107" t="n">
        <v>0.274526</v>
      </c>
      <c r="L223" s="106" t="n">
        <v>31</v>
      </c>
      <c r="M223" s="107" t="n">
        <v>0.309941</v>
      </c>
      <c r="N223" s="109" t="n">
        <v>27.8</v>
      </c>
      <c r="O223" s="107" t="n">
        <v>0.277947</v>
      </c>
      <c r="P223" s="110">
        <f>C223-G223</f>
        <v/>
      </c>
      <c r="Q223" s="110">
        <f>E223-C223</f>
        <v/>
      </c>
      <c r="R223" s="110">
        <f>C223-M223</f>
        <v/>
      </c>
      <c r="S223" s="110">
        <f>C223-O223</f>
        <v/>
      </c>
      <c r="T223" s="110">
        <f>E223-O223</f>
        <v/>
      </c>
      <c r="U223" s="110">
        <f>G223-O223</f>
        <v/>
      </c>
      <c r="V223" s="110">
        <f>G223-K223</f>
        <v/>
      </c>
      <c r="W223" s="110">
        <f>C223-K223</f>
        <v/>
      </c>
      <c r="X223" s="110">
        <f>I223-G223</f>
        <v/>
      </c>
      <c r="Y223" s="111">
        <f>G223-M223</f>
        <v/>
      </c>
    </row>
    <row r="224">
      <c r="A224" s="105" t="n">
        <v>44988</v>
      </c>
      <c r="B224" s="106" t="n">
        <v>26.69</v>
      </c>
      <c r="C224" s="107" t="n">
        <v>0.266513</v>
      </c>
      <c r="D224" s="106" t="n">
        <v>30.7</v>
      </c>
      <c r="E224" s="108" t="n">
        <v>0.306555</v>
      </c>
      <c r="F224" s="106" t="n">
        <v>26.56</v>
      </c>
      <c r="G224" s="107" t="n">
        <v>0.265407</v>
      </c>
      <c r="H224" s="109" t="n">
        <v>31.105</v>
      </c>
      <c r="I224" s="107" t="n">
        <v>0.310994</v>
      </c>
      <c r="J224" s="109" t="n">
        <v>26.5</v>
      </c>
      <c r="K224" s="107" t="n">
        <v>0.264568</v>
      </c>
      <c r="L224" s="106" t="n">
        <v>29.9</v>
      </c>
      <c r="M224" s="107" t="n">
        <v>0.298946</v>
      </c>
      <c r="N224" s="109" t="n">
        <v>27.199</v>
      </c>
      <c r="O224" s="107" t="n">
        <v>0.271941</v>
      </c>
      <c r="P224" s="110">
        <f>C224-G224</f>
        <v/>
      </c>
      <c r="Q224" s="110">
        <f>E224-C224</f>
        <v/>
      </c>
      <c r="R224" s="110">
        <f>C224-M224</f>
        <v/>
      </c>
      <c r="S224" s="110">
        <f>C224-O224</f>
        <v/>
      </c>
      <c r="T224" s="110">
        <f>E224-O224</f>
        <v/>
      </c>
      <c r="U224" s="110">
        <f>G224-O224</f>
        <v/>
      </c>
      <c r="V224" s="110">
        <f>G224-K224</f>
        <v/>
      </c>
      <c r="W224" s="110">
        <f>C224-K224</f>
        <v/>
      </c>
      <c r="X224" s="110">
        <f>I224-G224</f>
        <v/>
      </c>
      <c r="Y224" s="111">
        <f>G224-M224</f>
        <v/>
      </c>
    </row>
    <row r="225">
      <c r="A225" s="105" t="n">
        <v>44987</v>
      </c>
      <c r="B225" s="106" t="n">
        <v>27.1</v>
      </c>
      <c r="C225" s="107" t="n">
        <v>0.270614</v>
      </c>
      <c r="D225" s="106" t="n">
        <v>30</v>
      </c>
      <c r="E225" s="108" t="n">
        <v>0.299573</v>
      </c>
      <c r="F225" s="106" t="n">
        <v>26.69</v>
      </c>
      <c r="G225" s="107" t="n">
        <v>0.26671</v>
      </c>
      <c r="H225" s="109" t="n">
        <v>31</v>
      </c>
      <c r="I225" s="107" t="n">
        <v>0.309945</v>
      </c>
      <c r="J225" s="109" t="n">
        <v>26.5</v>
      </c>
      <c r="K225" s="107" t="n">
        <v>0.264576</v>
      </c>
      <c r="L225" s="106" t="n">
        <v>29.7</v>
      </c>
      <c r="M225" s="107" t="n">
        <v>0.296947</v>
      </c>
      <c r="N225" s="109" t="n">
        <v>27</v>
      </c>
      <c r="O225" s="107" t="n">
        <v>0.269952</v>
      </c>
      <c r="P225" s="110">
        <f>C225-G225</f>
        <v/>
      </c>
      <c r="Q225" s="110">
        <f>E225-C225</f>
        <v/>
      </c>
      <c r="R225" s="110">
        <f>C225-M225</f>
        <v/>
      </c>
      <c r="S225" s="110">
        <f>C225-O225</f>
        <v/>
      </c>
      <c r="T225" s="110">
        <f>E225-O225</f>
        <v/>
      </c>
      <c r="U225" s="110">
        <f>G225-O225</f>
        <v/>
      </c>
      <c r="V225" s="110">
        <f>G225-K225</f>
        <v/>
      </c>
      <c r="W225" s="110">
        <f>C225-K225</f>
        <v/>
      </c>
      <c r="X225" s="110">
        <f>I225-G225</f>
        <v/>
      </c>
      <c r="Y225" s="111">
        <f>G225-M225</f>
        <v/>
      </c>
    </row>
    <row r="226">
      <c r="A226" s="105" t="n">
        <v>44986</v>
      </c>
      <c r="B226" s="106" t="n">
        <v>27.5</v>
      </c>
      <c r="C226" s="107" t="n">
        <v>0.274616</v>
      </c>
      <c r="D226" s="106" t="n">
        <v>31</v>
      </c>
      <c r="E226" s="108" t="n">
        <v>0.309567</v>
      </c>
      <c r="F226" s="106" t="n">
        <v>27.3</v>
      </c>
      <c r="G226" s="107" t="n">
        <v>0.272809</v>
      </c>
      <c r="H226" s="109" t="n">
        <v>31.761</v>
      </c>
      <c r="I226" s="107" t="n">
        <v>0.317555</v>
      </c>
      <c r="J226" s="109" t="n">
        <v>27.889</v>
      </c>
      <c r="K226" s="107" t="n">
        <v>0.278452</v>
      </c>
      <c r="L226" s="106" t="n">
        <v>30.601</v>
      </c>
      <c r="M226" s="107" t="n">
        <v>0.305957</v>
      </c>
      <c r="N226" s="109" t="n">
        <v>28.2</v>
      </c>
      <c r="O226" s="107" t="n">
        <v>0.281951</v>
      </c>
      <c r="P226" s="110">
        <f>C226-G226</f>
        <v/>
      </c>
      <c r="Q226" s="110">
        <f>E226-C226</f>
        <v/>
      </c>
      <c r="R226" s="110">
        <f>C226-M226</f>
        <v/>
      </c>
      <c r="S226" s="110">
        <f>C226-O226</f>
        <v/>
      </c>
      <c r="T226" s="110">
        <f>E226-O226</f>
        <v/>
      </c>
      <c r="U226" s="110">
        <f>G226-O226</f>
        <v/>
      </c>
      <c r="V226" s="110">
        <f>G226-K226</f>
        <v/>
      </c>
      <c r="W226" s="110">
        <f>C226-K226</f>
        <v/>
      </c>
      <c r="X226" s="110">
        <f>I226-G226</f>
        <v/>
      </c>
      <c r="Y226" s="111">
        <f>G226-M226</f>
        <v/>
      </c>
    </row>
    <row r="227">
      <c r="A227" s="105" t="n">
        <v>44985</v>
      </c>
      <c r="B227" s="106" t="n">
        <v>28.5</v>
      </c>
      <c r="C227" s="107" t="n">
        <v>0.28461</v>
      </c>
      <c r="D227" s="106" t="n">
        <v>32.7</v>
      </c>
      <c r="E227" s="108" t="n">
        <v>0.326553</v>
      </c>
      <c r="F227" s="106" t="n">
        <v>28.56</v>
      </c>
      <c r="G227" s="107" t="n">
        <v>0.285405</v>
      </c>
      <c r="H227" s="109" t="n">
        <v>33.48</v>
      </c>
      <c r="I227" s="107" t="n">
        <v>0.334743</v>
      </c>
      <c r="J227" s="109" t="n">
        <v>28.001</v>
      </c>
      <c r="K227" s="107" t="n">
        <v>0.279579</v>
      </c>
      <c r="L227" s="106" t="n">
        <v>31.93</v>
      </c>
      <c r="M227" s="107" t="n">
        <v>0.319245</v>
      </c>
      <c r="N227" s="109" t="n">
        <v>28.6</v>
      </c>
      <c r="O227" s="107" t="n">
        <v>0.285951</v>
      </c>
      <c r="P227" s="110">
        <f>C227-G227</f>
        <v/>
      </c>
      <c r="Q227" s="110">
        <f>E227-C227</f>
        <v/>
      </c>
      <c r="R227" s="110">
        <f>C227-M227</f>
        <v/>
      </c>
      <c r="S227" s="110">
        <f>C227-O227</f>
        <v/>
      </c>
      <c r="T227" s="110">
        <f>E227-O227</f>
        <v/>
      </c>
      <c r="U227" s="110">
        <f>G227-O227</f>
        <v/>
      </c>
      <c r="V227" s="110">
        <f>G227-K227</f>
        <v/>
      </c>
      <c r="W227" s="110">
        <f>C227-K227</f>
        <v/>
      </c>
      <c r="X227" s="110">
        <f>I227-G227</f>
        <v/>
      </c>
      <c r="Y227" s="111">
        <f>G227-M227</f>
        <v/>
      </c>
    </row>
    <row r="228">
      <c r="A228" s="105" t="n">
        <v>44984</v>
      </c>
      <c r="B228" s="106" t="n">
        <v>28.8</v>
      </c>
      <c r="C228" s="107" t="n">
        <v>0.287614</v>
      </c>
      <c r="D228" s="106" t="n">
        <v>32.83</v>
      </c>
      <c r="E228" s="108" t="n">
        <v>0.32786</v>
      </c>
      <c r="F228" s="106" t="n">
        <v>28.85</v>
      </c>
      <c r="G228" s="107" t="n">
        <v>0.288306</v>
      </c>
      <c r="H228" s="109" t="n">
        <v>33.701</v>
      </c>
      <c r="I228" s="107" t="n">
        <v>0.336953</v>
      </c>
      <c r="J228" s="109" t="n">
        <v>28.4</v>
      </c>
      <c r="K228" s="107" t="n">
        <v>0.283572</v>
      </c>
      <c r="L228" s="106" t="n">
        <v>32</v>
      </c>
      <c r="M228" s="107" t="n">
        <v>0.319946</v>
      </c>
      <c r="N228" s="109" t="n">
        <v>28.9</v>
      </c>
      <c r="O228" s="107" t="n">
        <v>0.288952</v>
      </c>
      <c r="P228" s="110">
        <f>C228-G228</f>
        <v/>
      </c>
      <c r="Q228" s="110">
        <f>E228-C228</f>
        <v/>
      </c>
      <c r="R228" s="110">
        <f>C228-M228</f>
        <v/>
      </c>
      <c r="S228" s="110">
        <f>C228-O228</f>
        <v/>
      </c>
      <c r="T228" s="110">
        <f>E228-O228</f>
        <v/>
      </c>
      <c r="U228" s="110">
        <f>G228-O228</f>
        <v/>
      </c>
      <c r="V228" s="110">
        <f>G228-K228</f>
        <v/>
      </c>
      <c r="W228" s="110">
        <f>C228-K228</f>
        <v/>
      </c>
      <c r="X228" s="110">
        <f>I228-G228</f>
        <v/>
      </c>
      <c r="Y228" s="111">
        <f>G228-M228</f>
        <v/>
      </c>
    </row>
    <row r="229">
      <c r="A229" s="105" t="n">
        <v>44981</v>
      </c>
      <c r="B229" s="106" t="n">
        <v>28.01</v>
      </c>
      <c r="C229" s="107" t="n">
        <v>0.279747</v>
      </c>
      <c r="D229" s="106" t="n">
        <v>31.6</v>
      </c>
      <c r="E229" s="108" t="n">
        <v>0.315602</v>
      </c>
      <c r="F229" s="106" t="n">
        <v>27.875</v>
      </c>
      <c r="G229" s="107" t="n">
        <v>0.278574</v>
      </c>
      <c r="H229" s="109" t="n">
        <v>32.98</v>
      </c>
      <c r="I229" s="107" t="n">
        <v>0.329748</v>
      </c>
      <c r="J229" s="109" t="n">
        <v>27.8</v>
      </c>
      <c r="K229" s="107" t="n">
        <v>0.277606</v>
      </c>
      <c r="L229" s="106" t="n">
        <v>31.4</v>
      </c>
      <c r="M229" s="107" t="n">
        <v>0.313951</v>
      </c>
      <c r="N229" s="109" t="n">
        <v>28.3</v>
      </c>
      <c r="O229" s="107" t="n">
        <v>0.282955</v>
      </c>
      <c r="P229" s="110">
        <f>C229-G229</f>
        <v/>
      </c>
      <c r="Q229" s="110">
        <f>E229-C229</f>
        <v/>
      </c>
      <c r="R229" s="110">
        <f>C229-M229</f>
        <v/>
      </c>
      <c r="S229" s="110">
        <f>C229-O229</f>
        <v/>
      </c>
      <c r="T229" s="110">
        <f>E229-O229</f>
        <v/>
      </c>
      <c r="U229" s="110">
        <f>G229-O229</f>
        <v/>
      </c>
      <c r="V229" s="110">
        <f>G229-K229</f>
        <v/>
      </c>
      <c r="W229" s="110">
        <f>C229-K229</f>
        <v/>
      </c>
      <c r="X229" s="110">
        <f>I229-G229</f>
        <v/>
      </c>
      <c r="Y229" s="111">
        <f>G229-M229</f>
        <v/>
      </c>
    </row>
    <row r="230">
      <c r="A230" s="105" t="n">
        <v>44980</v>
      </c>
      <c r="B230" s="106" t="n">
        <v>28.89</v>
      </c>
      <c r="C230" s="107" t="n">
        <v>0.288544</v>
      </c>
      <c r="D230" s="106" t="n">
        <v>32.399</v>
      </c>
      <c r="E230" s="108" t="n">
        <v>0.323591</v>
      </c>
      <c r="F230" s="106" t="n">
        <v>28.65</v>
      </c>
      <c r="G230" s="107" t="n">
        <v>0.286323</v>
      </c>
      <c r="H230" s="109" t="n">
        <v>33.547</v>
      </c>
      <c r="I230" s="107" t="n">
        <v>0.335418</v>
      </c>
      <c r="J230" s="109" t="n">
        <v>28.5</v>
      </c>
      <c r="K230" s="107" t="n">
        <v>0.284605</v>
      </c>
      <c r="L230" s="106" t="n">
        <v>32.149</v>
      </c>
      <c r="M230" s="107" t="n">
        <v>0.32144</v>
      </c>
      <c r="N230" s="109" t="n">
        <v>28.55</v>
      </c>
      <c r="O230" s="107" t="n">
        <v>0.285456</v>
      </c>
      <c r="P230" s="110">
        <f>C230-G230</f>
        <v/>
      </c>
      <c r="Q230" s="110">
        <f>E230-C230</f>
        <v/>
      </c>
      <c r="R230" s="110">
        <f>C230-M230</f>
        <v/>
      </c>
      <c r="S230" s="110">
        <f>C230-O230</f>
        <v/>
      </c>
      <c r="T230" s="110">
        <f>E230-O230</f>
        <v/>
      </c>
      <c r="U230" s="110">
        <f>G230-O230</f>
        <v/>
      </c>
      <c r="V230" s="110">
        <f>G230-K230</f>
        <v/>
      </c>
      <c r="W230" s="110">
        <f>C230-K230</f>
        <v/>
      </c>
      <c r="X230" s="110">
        <f>I230-G230</f>
        <v/>
      </c>
      <c r="Y230" s="111">
        <f>G230-M230</f>
        <v/>
      </c>
    </row>
    <row r="231">
      <c r="A231" s="105" t="n">
        <v>44979</v>
      </c>
      <c r="B231" s="106" t="n">
        <v>27.51</v>
      </c>
      <c r="C231" s="107" t="n">
        <v>0.274769</v>
      </c>
      <c r="D231" s="106" t="n">
        <v>31</v>
      </c>
      <c r="E231" s="108" t="n">
        <v>0.309627</v>
      </c>
      <c r="F231" s="106" t="n">
        <v>27.303</v>
      </c>
      <c r="G231" s="107" t="n">
        <v>0.272866</v>
      </c>
      <c r="H231" s="109" t="n">
        <v>32.15</v>
      </c>
      <c r="I231" s="107" t="n">
        <v>0.321452</v>
      </c>
      <c r="J231" s="109" t="n">
        <v>27.6</v>
      </c>
      <c r="K231" s="107" t="n">
        <v>0.275626</v>
      </c>
      <c r="L231" s="106" t="n">
        <v>31.2</v>
      </c>
      <c r="M231" s="107" t="n">
        <v>0.311953</v>
      </c>
      <c r="N231" s="109" t="n">
        <v>27.938</v>
      </c>
      <c r="O231" s="107" t="n">
        <v>0.279338</v>
      </c>
      <c r="P231" s="110">
        <f>C231-G231</f>
        <v/>
      </c>
      <c r="Q231" s="110">
        <f>E231-C231</f>
        <v/>
      </c>
      <c r="R231" s="110">
        <f>C231-M231</f>
        <v/>
      </c>
      <c r="S231" s="110">
        <f>C231-O231</f>
        <v/>
      </c>
      <c r="T231" s="110">
        <f>E231-O231</f>
        <v/>
      </c>
      <c r="U231" s="110">
        <f>G231-O231</f>
        <v/>
      </c>
      <c r="V231" s="110">
        <f>G231-K231</f>
        <v/>
      </c>
      <c r="W231" s="110">
        <f>C231-K231</f>
        <v/>
      </c>
      <c r="X231" s="110">
        <f>I231-G231</f>
        <v/>
      </c>
      <c r="Y231" s="111">
        <f>G231-M231</f>
        <v/>
      </c>
    </row>
    <row r="232">
      <c r="A232" s="105" t="n">
        <v>44974</v>
      </c>
      <c r="B232" s="106" t="n">
        <v>26.54</v>
      </c>
      <c r="C232" s="107" t="n">
        <v>0.265117</v>
      </c>
      <c r="D232" s="106" t="n">
        <v>30.55</v>
      </c>
      <c r="E232" s="108" t="n">
        <v>0.305174</v>
      </c>
      <c r="F232" s="106" t="n">
        <v>26.519</v>
      </c>
      <c r="G232" s="107" t="n">
        <v>0.265048</v>
      </c>
      <c r="H232" s="109" t="n">
        <v>31.5</v>
      </c>
      <c r="I232" s="107" t="n">
        <v>0.314958</v>
      </c>
      <c r="J232" s="109" t="n">
        <v>26.35</v>
      </c>
      <c r="K232" s="107" t="n">
        <v>0.263184</v>
      </c>
      <c r="L232" s="106" t="n">
        <v>29.65</v>
      </c>
      <c r="M232" s="107" t="n">
        <v>0.29646</v>
      </c>
      <c r="N232" s="109" t="n">
        <v>26.69</v>
      </c>
      <c r="O232" s="107" t="n">
        <v>0.266864</v>
      </c>
      <c r="P232" s="110">
        <f>C232-G232</f>
        <v/>
      </c>
      <c r="Q232" s="110">
        <f>E232-C232</f>
        <v/>
      </c>
      <c r="R232" s="110">
        <f>C232-M232</f>
        <v/>
      </c>
      <c r="S232" s="110">
        <f>C232-O232</f>
        <v/>
      </c>
      <c r="T232" s="110">
        <f>E232-O232</f>
        <v/>
      </c>
      <c r="U232" s="110">
        <f>G232-O232</f>
        <v/>
      </c>
      <c r="V232" s="110">
        <f>G232-K232</f>
        <v/>
      </c>
      <c r="W232" s="110">
        <f>C232-K232</f>
        <v/>
      </c>
      <c r="X232" s="110">
        <f>I232-G232</f>
        <v/>
      </c>
      <c r="Y232" s="111">
        <f>G232-M232</f>
        <v/>
      </c>
    </row>
    <row r="233">
      <c r="A233" s="105" t="n">
        <v>44973</v>
      </c>
      <c r="B233" s="106" t="n">
        <v>27.79</v>
      </c>
      <c r="C233" s="107" t="n">
        <v>0.277611</v>
      </c>
      <c r="D233" s="106" t="n">
        <v>31.45</v>
      </c>
      <c r="E233" s="108" t="n">
        <v>0.314173</v>
      </c>
      <c r="F233" s="106" t="n">
        <v>27.55</v>
      </c>
      <c r="G233" s="107" t="n">
        <v>0.275357</v>
      </c>
      <c r="H233" s="109" t="n">
        <v>32.6</v>
      </c>
      <c r="I233" s="107" t="n">
        <v>0.325958</v>
      </c>
      <c r="J233" s="109" t="n">
        <v>27.5</v>
      </c>
      <c r="K233" s="107" t="n">
        <v>0.274678</v>
      </c>
      <c r="L233" s="106" t="n">
        <v>30.75</v>
      </c>
      <c r="M233" s="107" t="n">
        <v>0.30746</v>
      </c>
      <c r="N233" s="109" t="n">
        <v>27.4</v>
      </c>
      <c r="O233" s="107" t="n">
        <v>0.273964</v>
      </c>
      <c r="P233" s="110">
        <f>C233-G233</f>
        <v/>
      </c>
      <c r="Q233" s="110">
        <f>E233-C233</f>
        <v/>
      </c>
      <c r="R233" s="110">
        <f>C233-M233</f>
        <v/>
      </c>
      <c r="S233" s="110">
        <f>C233-O233</f>
        <v/>
      </c>
      <c r="T233" s="110">
        <f>E233-O233</f>
        <v/>
      </c>
      <c r="U233" s="110">
        <f>G233-O233</f>
        <v/>
      </c>
      <c r="V233" s="110">
        <f>G233-K233</f>
        <v/>
      </c>
      <c r="W233" s="110">
        <f>C233-K233</f>
        <v/>
      </c>
      <c r="X233" s="110">
        <f>I233-G233</f>
        <v/>
      </c>
      <c r="Y233" s="111">
        <f>G233-M233</f>
        <v/>
      </c>
    </row>
    <row r="234">
      <c r="A234" s="105" t="n">
        <v>44972</v>
      </c>
      <c r="B234" s="106" t="n">
        <v>28.699</v>
      </c>
      <c r="C234" s="107" t="n">
        <v>0.286699</v>
      </c>
      <c r="D234" s="106" t="n">
        <v>31.95</v>
      </c>
      <c r="E234" s="108" t="n">
        <v>0.319176</v>
      </c>
      <c r="F234" s="106" t="n">
        <v>28.429</v>
      </c>
      <c r="G234" s="107" t="n">
        <v>0.284146</v>
      </c>
      <c r="H234" s="109" t="n">
        <v>33.63</v>
      </c>
      <c r="I234" s="107" t="n">
        <v>0.336257</v>
      </c>
      <c r="J234" s="109" t="n">
        <v>28.01</v>
      </c>
      <c r="K234" s="107" t="n">
        <v>0.279781</v>
      </c>
      <c r="L234" s="106" t="n">
        <v>31.9</v>
      </c>
      <c r="M234" s="107" t="n">
        <v>0.31896</v>
      </c>
      <c r="N234" s="109" t="n">
        <v>27.78</v>
      </c>
      <c r="O234" s="107" t="n">
        <v>0.277765</v>
      </c>
      <c r="P234" s="110">
        <f>C234-G234</f>
        <v/>
      </c>
      <c r="Q234" s="110">
        <f>E234-C234</f>
        <v/>
      </c>
      <c r="R234" s="110">
        <f>C234-M234</f>
        <v/>
      </c>
      <c r="S234" s="110">
        <f>C234-O234</f>
        <v/>
      </c>
      <c r="T234" s="110">
        <f>E234-O234</f>
        <v/>
      </c>
      <c r="U234" s="110">
        <f>G234-O234</f>
        <v/>
      </c>
      <c r="V234" s="110">
        <f>G234-K234</f>
        <v/>
      </c>
      <c r="W234" s="110">
        <f>C234-K234</f>
        <v/>
      </c>
      <c r="X234" s="110">
        <f>I234-G234</f>
        <v/>
      </c>
      <c r="Y234" s="111">
        <f>G234-M234</f>
        <v/>
      </c>
    </row>
    <row r="235">
      <c r="A235" s="105" t="n">
        <v>44971</v>
      </c>
      <c r="B235" s="106" t="n">
        <v>29.02</v>
      </c>
      <c r="C235" s="107" t="n">
        <v>0.289914</v>
      </c>
      <c r="D235" s="106" t="n">
        <v>32.6</v>
      </c>
      <c r="E235" s="108" t="n">
        <v>0.325679</v>
      </c>
      <c r="F235" s="106" t="n">
        <v>28.899</v>
      </c>
      <c r="G235" s="107" t="n">
        <v>0.288848</v>
      </c>
      <c r="H235" s="109" t="n">
        <v>34.17</v>
      </c>
      <c r="I235" s="107" t="n">
        <v>0.341658</v>
      </c>
      <c r="J235" s="109" t="n">
        <v>28.7</v>
      </c>
      <c r="K235" s="107" t="n">
        <v>0.286682</v>
      </c>
      <c r="L235" s="106" t="n">
        <v>32.35</v>
      </c>
      <c r="M235" s="107" t="n">
        <v>0.32346</v>
      </c>
      <c r="N235" s="109" t="n">
        <v>28.799</v>
      </c>
      <c r="O235" s="107" t="n">
        <v>0.287954</v>
      </c>
      <c r="P235" s="110">
        <f>C235-G235</f>
        <v/>
      </c>
      <c r="Q235" s="110">
        <f>E235-C235</f>
        <v/>
      </c>
      <c r="R235" s="110">
        <f>C235-M235</f>
        <v/>
      </c>
      <c r="S235" s="110">
        <f>C235-O235</f>
        <v/>
      </c>
      <c r="T235" s="110">
        <f>E235-O235</f>
        <v/>
      </c>
      <c r="U235" s="110">
        <f>G235-O235</f>
        <v/>
      </c>
      <c r="V235" s="110">
        <f>G235-K235</f>
        <v/>
      </c>
      <c r="W235" s="110">
        <f>C235-K235</f>
        <v/>
      </c>
      <c r="X235" s="110">
        <f>I235-G235</f>
        <v/>
      </c>
      <c r="Y235" s="111">
        <f>G235-M235</f>
        <v/>
      </c>
    </row>
    <row r="236">
      <c r="A236" s="105" t="n">
        <v>44970</v>
      </c>
      <c r="B236" s="106" t="n">
        <v>29.3</v>
      </c>
      <c r="C236" s="107" t="n">
        <v>0.292719</v>
      </c>
      <c r="D236" s="106" t="n">
        <v>33.05</v>
      </c>
      <c r="E236" s="108" t="n">
        <v>0.330183</v>
      </c>
      <c r="F236" s="106" t="n">
        <v>29.05</v>
      </c>
      <c r="G236" s="107" t="n">
        <v>0.290361</v>
      </c>
      <c r="H236" s="109" t="n">
        <v>34.41</v>
      </c>
      <c r="I236" s="107" t="n">
        <v>0.344059</v>
      </c>
      <c r="J236" s="109" t="n">
        <v>28.8</v>
      </c>
      <c r="K236" s="107" t="n">
        <v>0.28769</v>
      </c>
      <c r="L236" s="106" t="n">
        <v>32.5</v>
      </c>
      <c r="M236" s="107" t="n">
        <v>0.324961</v>
      </c>
      <c r="N236" s="109" t="n">
        <v>29</v>
      </c>
      <c r="O236" s="107" t="n">
        <v>0.289965</v>
      </c>
      <c r="P236" s="110">
        <f>C236-G236</f>
        <v/>
      </c>
      <c r="Q236" s="110">
        <f>E236-C236</f>
        <v/>
      </c>
      <c r="R236" s="110">
        <f>C236-M236</f>
        <v/>
      </c>
      <c r="S236" s="110">
        <f>C236-O236</f>
        <v/>
      </c>
      <c r="T236" s="110">
        <f>E236-O236</f>
        <v/>
      </c>
      <c r="U236" s="110">
        <f>G236-O236</f>
        <v/>
      </c>
      <c r="V236" s="110">
        <f>G236-K236</f>
        <v/>
      </c>
      <c r="W236" s="110">
        <f>C236-K236</f>
        <v/>
      </c>
      <c r="X236" s="110">
        <f>I236-G236</f>
        <v/>
      </c>
      <c r="Y236" s="111">
        <f>G236-M236</f>
        <v/>
      </c>
    </row>
    <row r="237">
      <c r="A237" s="105" t="n">
        <v>44967</v>
      </c>
      <c r="B237" s="106" t="n">
        <v>29.51</v>
      </c>
      <c r="C237" s="107" t="n">
        <v>0.294842</v>
      </c>
      <c r="D237" s="106" t="n">
        <v>33.5</v>
      </c>
      <c r="E237" s="108" t="n">
        <v>0.334707</v>
      </c>
      <c r="F237" s="106" t="n">
        <v>29.348</v>
      </c>
      <c r="G237" s="107" t="n">
        <v>0.293351</v>
      </c>
      <c r="H237" s="109" t="n">
        <v>34.35</v>
      </c>
      <c r="I237" s="107" t="n">
        <v>0.343462</v>
      </c>
      <c r="J237" s="109" t="n">
        <v>29</v>
      </c>
      <c r="K237" s="107" t="n">
        <v>0.289714</v>
      </c>
      <c r="L237" s="106" t="n">
        <v>32.5</v>
      </c>
      <c r="M237" s="107" t="n">
        <v>0.324964</v>
      </c>
      <c r="N237" s="109" t="n">
        <v>29.44</v>
      </c>
      <c r="O237" s="107" t="n">
        <v>0.294368</v>
      </c>
      <c r="P237" s="110">
        <f>C237-G237</f>
        <v/>
      </c>
      <c r="Q237" s="110">
        <f>E237-C237</f>
        <v/>
      </c>
      <c r="R237" s="110">
        <f>C237-M237</f>
        <v/>
      </c>
      <c r="S237" s="110">
        <f>C237-O237</f>
        <v/>
      </c>
      <c r="T237" s="110">
        <f>E237-O237</f>
        <v/>
      </c>
      <c r="U237" s="110">
        <f>G237-O237</f>
        <v/>
      </c>
      <c r="V237" s="110">
        <f>G237-K237</f>
        <v/>
      </c>
      <c r="W237" s="110">
        <f>C237-K237</f>
        <v/>
      </c>
      <c r="X237" s="110">
        <f>I237-G237</f>
        <v/>
      </c>
      <c r="Y237" s="111">
        <f>G237-M237</f>
        <v/>
      </c>
    </row>
    <row r="238">
      <c r="A238" s="105" t="n">
        <v>44966</v>
      </c>
      <c r="B238" s="106" t="n">
        <v>30</v>
      </c>
      <c r="C238" s="107" t="n">
        <v>0.299745</v>
      </c>
      <c r="D238" s="106" t="n">
        <v>33.45</v>
      </c>
      <c r="E238" s="108" t="n">
        <v>0.334216</v>
      </c>
      <c r="F238" s="106" t="n">
        <v>29.7</v>
      </c>
      <c r="G238" s="107" t="n">
        <v>0.296874</v>
      </c>
      <c r="H238" s="109" t="n">
        <v>34.88</v>
      </c>
      <c r="I238" s="107" t="n">
        <v>0.348763</v>
      </c>
      <c r="J238" s="109" t="n">
        <v>29.45</v>
      </c>
      <c r="K238" s="107" t="n">
        <v>0.294219</v>
      </c>
      <c r="L238" s="106" t="n">
        <v>32.9</v>
      </c>
      <c r="M238" s="107" t="n">
        <v>0.328965</v>
      </c>
      <c r="N238" s="109" t="n">
        <v>29.5</v>
      </c>
      <c r="O238" s="107" t="n">
        <v>0.294969</v>
      </c>
      <c r="P238" s="110">
        <f>C238-G238</f>
        <v/>
      </c>
      <c r="Q238" s="110">
        <f>E238-C238</f>
        <v/>
      </c>
      <c r="R238" s="110">
        <f>C238-M238</f>
        <v/>
      </c>
      <c r="S238" s="110">
        <f>C238-O238</f>
        <v/>
      </c>
      <c r="T238" s="110">
        <f>E238-O238</f>
        <v/>
      </c>
      <c r="U238" s="110">
        <f>G238-O238</f>
        <v/>
      </c>
      <c r="V238" s="110">
        <f>G238-K238</f>
        <v/>
      </c>
      <c r="W238" s="110">
        <f>C238-K238</f>
        <v/>
      </c>
      <c r="X238" s="110">
        <f>I238-G238</f>
        <v/>
      </c>
      <c r="Y238" s="111">
        <f>G238-M238</f>
        <v/>
      </c>
    </row>
    <row r="239">
      <c r="A239" s="105" t="n">
        <v>44965</v>
      </c>
      <c r="B239" s="106" t="n">
        <v>30.2</v>
      </c>
      <c r="C239" s="107" t="n">
        <v>0.301752</v>
      </c>
      <c r="D239" s="106" t="n">
        <v>33.75</v>
      </c>
      <c r="E239" s="108" t="n">
        <v>0.337223</v>
      </c>
      <c r="F239" s="106" t="n">
        <v>29.62</v>
      </c>
      <c r="G239" s="107" t="n">
        <v>0.296078</v>
      </c>
      <c r="H239" s="109" t="n">
        <v>34.85</v>
      </c>
      <c r="I239" s="107" t="n">
        <v>0.348464</v>
      </c>
      <c r="J239" s="109" t="n">
        <v>29.32</v>
      </c>
      <c r="K239" s="107" t="n">
        <v>0.292929</v>
      </c>
      <c r="L239" s="106" t="n">
        <v>33.14</v>
      </c>
      <c r="M239" s="107" t="n">
        <v>0.331366</v>
      </c>
      <c r="N239" s="109" t="n">
        <v>29.549</v>
      </c>
      <c r="O239" s="107" t="n">
        <v>0.29546</v>
      </c>
      <c r="P239" s="110">
        <f>C239-G239</f>
        <v/>
      </c>
      <c r="Q239" s="110">
        <f>E239-C239</f>
        <v/>
      </c>
      <c r="R239" s="110">
        <f>C239-M239</f>
        <v/>
      </c>
      <c r="S239" s="110">
        <f>C239-O239</f>
        <v/>
      </c>
      <c r="T239" s="110">
        <f>E239-O239</f>
        <v/>
      </c>
      <c r="U239" s="110">
        <f>G239-O239</f>
        <v/>
      </c>
      <c r="V239" s="110">
        <f>G239-K239</f>
        <v/>
      </c>
      <c r="W239" s="110">
        <f>C239-K239</f>
        <v/>
      </c>
      <c r="X239" s="110">
        <f>I239-G239</f>
        <v/>
      </c>
      <c r="Y239" s="111">
        <f>G239-M239</f>
        <v/>
      </c>
    </row>
    <row r="240">
      <c r="A240" s="105" t="n">
        <v>44964</v>
      </c>
      <c r="B240" s="106" t="n">
        <v>30.48</v>
      </c>
      <c r="C240" s="107" t="n">
        <v>0.304558</v>
      </c>
      <c r="D240" s="106" t="n">
        <v>33.73</v>
      </c>
      <c r="E240" s="108" t="n">
        <v>0.337032</v>
      </c>
      <c r="F240" s="106" t="n">
        <v>29.6</v>
      </c>
      <c r="G240" s="107" t="n">
        <v>0.295882</v>
      </c>
      <c r="H240" s="109" t="n">
        <v>34.74</v>
      </c>
      <c r="I240" s="107" t="n">
        <v>0.347366</v>
      </c>
      <c r="J240" s="109" t="n">
        <v>29.5</v>
      </c>
      <c r="K240" s="107" t="n">
        <v>0.294737</v>
      </c>
      <c r="L240" s="106" t="n">
        <v>33.3</v>
      </c>
      <c r="M240" s="107" t="n">
        <v>0.332967</v>
      </c>
      <c r="N240" s="109" t="n">
        <v>29.6</v>
      </c>
      <c r="O240" s="107" t="n">
        <v>0.295971</v>
      </c>
      <c r="P240" s="110">
        <f>C240-G240</f>
        <v/>
      </c>
      <c r="Q240" s="110">
        <f>E240-C240</f>
        <v/>
      </c>
      <c r="R240" s="110">
        <f>C240-M240</f>
        <v/>
      </c>
      <c r="S240" s="110">
        <f>C240-O240</f>
        <v/>
      </c>
      <c r="T240" s="110">
        <f>E240-O240</f>
        <v/>
      </c>
      <c r="U240" s="110">
        <f>G240-O240</f>
        <v/>
      </c>
      <c r="V240" s="110">
        <f>G240-K240</f>
        <v/>
      </c>
      <c r="W240" s="110">
        <f>C240-K240</f>
        <v/>
      </c>
      <c r="X240" s="110">
        <f>I240-G240</f>
        <v/>
      </c>
      <c r="Y240" s="111">
        <f>G240-M240</f>
        <v/>
      </c>
    </row>
    <row r="241">
      <c r="A241" s="105" t="n">
        <v>44963</v>
      </c>
      <c r="B241" s="106" t="n">
        <v>30.7</v>
      </c>
      <c r="C241" s="107" t="n">
        <v>0.306765</v>
      </c>
      <c r="D241" s="106" t="n">
        <v>33.7</v>
      </c>
      <c r="E241" s="108" t="n">
        <v>0.336742</v>
      </c>
      <c r="F241" s="106" t="n">
        <v>29.81</v>
      </c>
      <c r="G241" s="107" t="n">
        <v>0.297986</v>
      </c>
      <c r="H241" s="109" t="n">
        <v>34.61</v>
      </c>
      <c r="I241" s="107" t="n">
        <v>0.346067</v>
      </c>
      <c r="J241" s="109" t="n">
        <v>29.6</v>
      </c>
      <c r="K241" s="107" t="n">
        <v>0.295745</v>
      </c>
      <c r="L241" s="106" t="n">
        <v>33.1</v>
      </c>
      <c r="M241" s="107" t="n">
        <v>0.330968</v>
      </c>
      <c r="N241" s="109" t="n">
        <v>29.5</v>
      </c>
      <c r="O241" s="107" t="n">
        <v>0.294972</v>
      </c>
      <c r="P241" s="110">
        <f>C241-G241</f>
        <v/>
      </c>
      <c r="Q241" s="110">
        <f>E241-C241</f>
        <v/>
      </c>
      <c r="R241" s="110">
        <f>C241-M241</f>
        <v/>
      </c>
      <c r="S241" s="110">
        <f>C241-O241</f>
        <v/>
      </c>
      <c r="T241" s="110">
        <f>E241-O241</f>
        <v/>
      </c>
      <c r="U241" s="110">
        <f>G241-O241</f>
        <v/>
      </c>
      <c r="V241" s="110">
        <f>G241-K241</f>
        <v/>
      </c>
      <c r="W241" s="110">
        <f>C241-K241</f>
        <v/>
      </c>
      <c r="X241" s="110">
        <f>I241-G241</f>
        <v/>
      </c>
      <c r="Y241" s="111">
        <f>G241-M241</f>
        <v/>
      </c>
    </row>
    <row r="242">
      <c r="A242" s="105" t="n">
        <v>44960</v>
      </c>
      <c r="B242" s="106" t="n">
        <v>31.6</v>
      </c>
      <c r="C242" s="107" t="n">
        <v>0.315784</v>
      </c>
      <c r="D242" s="106" t="n">
        <v>34.9</v>
      </c>
      <c r="E242" s="108" t="n">
        <v>0.348761</v>
      </c>
      <c r="F242" s="106" t="n">
        <v>30.31</v>
      </c>
      <c r="G242" s="107" t="n">
        <v>0.302996</v>
      </c>
      <c r="H242" s="109" t="n">
        <v>35.34</v>
      </c>
      <c r="I242" s="107" t="n">
        <v>0.35337</v>
      </c>
      <c r="J242" s="109" t="n">
        <v>30.41</v>
      </c>
      <c r="K242" s="107" t="n">
        <v>0.303866</v>
      </c>
      <c r="L242" s="106" t="n">
        <v>33.999</v>
      </c>
      <c r="M242" s="107" t="n">
        <v>0.339961</v>
      </c>
      <c r="N242" s="109" t="n">
        <v>30.25</v>
      </c>
      <c r="O242" s="107" t="n">
        <v>0.302474</v>
      </c>
      <c r="P242" s="110">
        <f>C242-G242</f>
        <v/>
      </c>
      <c r="Q242" s="110">
        <f>E242-C242</f>
        <v/>
      </c>
      <c r="R242" s="110">
        <f>C242-M242</f>
        <v/>
      </c>
      <c r="S242" s="110">
        <f>C242-O242</f>
        <v/>
      </c>
      <c r="T242" s="110">
        <f>E242-O242</f>
        <v/>
      </c>
      <c r="U242" s="110">
        <f>G242-O242</f>
        <v/>
      </c>
      <c r="V242" s="110">
        <f>G242-K242</f>
        <v/>
      </c>
      <c r="W242" s="110">
        <f>C242-K242</f>
        <v/>
      </c>
      <c r="X242" s="110">
        <f>I242-G242</f>
        <v/>
      </c>
      <c r="Y242" s="111">
        <f>G242-M242</f>
        <v/>
      </c>
    </row>
    <row r="243">
      <c r="A243" s="105" t="n">
        <v>44959</v>
      </c>
      <c r="B243" s="106" t="n">
        <v>33.14</v>
      </c>
      <c r="C243" s="107" t="n">
        <v>0.331182</v>
      </c>
      <c r="D243" s="106" t="n">
        <v>36</v>
      </c>
      <c r="E243" s="108" t="n">
        <v>0.359763</v>
      </c>
      <c r="F243" s="106" t="n">
        <v>32.2</v>
      </c>
      <c r="G243" s="107" t="n">
        <v>0.321894</v>
      </c>
      <c r="H243" s="109" t="n">
        <v>37.35</v>
      </c>
      <c r="I243" s="107" t="n">
        <v>0.373469</v>
      </c>
      <c r="J243" s="109" t="n">
        <v>31.74</v>
      </c>
      <c r="K243" s="107" t="n">
        <v>0.317165</v>
      </c>
      <c r="L243" s="106" t="n">
        <v>34.9</v>
      </c>
      <c r="M243" s="107" t="n">
        <v>0.348971</v>
      </c>
      <c r="N243" s="109" t="n">
        <v>31.5</v>
      </c>
      <c r="O243" s="107" t="n">
        <v>0.314974</v>
      </c>
      <c r="P243" s="110">
        <f>C243-G243</f>
        <v/>
      </c>
      <c r="Q243" s="110">
        <f>E243-C243</f>
        <v/>
      </c>
      <c r="R243" s="110">
        <f>C243-M243</f>
        <v/>
      </c>
      <c r="S243" s="110">
        <f>C243-O243</f>
        <v/>
      </c>
      <c r="T243" s="110">
        <f>E243-O243</f>
        <v/>
      </c>
      <c r="U243" s="110">
        <f>G243-O243</f>
        <v/>
      </c>
      <c r="V243" s="110">
        <f>G243-K243</f>
        <v/>
      </c>
      <c r="W243" s="110">
        <f>C243-K243</f>
        <v/>
      </c>
      <c r="X243" s="110">
        <f>I243-G243</f>
        <v/>
      </c>
      <c r="Y243" s="111">
        <f>G243-M243</f>
        <v/>
      </c>
    </row>
    <row r="244">
      <c r="A244" s="105" t="n">
        <v>44958</v>
      </c>
      <c r="B244" s="106" t="n">
        <v>33.1</v>
      </c>
      <c r="C244" s="107" t="n">
        <v>0.330792</v>
      </c>
      <c r="D244" s="106" t="n">
        <v>35.252</v>
      </c>
      <c r="E244" s="108" t="n">
        <v>0.352298</v>
      </c>
      <c r="F244" s="106" t="n">
        <v>32.01</v>
      </c>
      <c r="G244" s="107" t="n">
        <v>0.319999</v>
      </c>
      <c r="H244" s="109" t="n">
        <v>37.3</v>
      </c>
      <c r="I244" s="107" t="n">
        <v>0.372971</v>
      </c>
      <c r="J244" s="109" t="n">
        <v>31.3</v>
      </c>
      <c r="K244" s="107" t="n">
        <v>0.312778</v>
      </c>
      <c r="L244" s="106" t="n">
        <v>34.6</v>
      </c>
      <c r="M244" s="107" t="n">
        <v>0.345973</v>
      </c>
      <c r="N244" s="109" t="n">
        <v>31.09</v>
      </c>
      <c r="O244" s="107" t="n">
        <v>0.310876</v>
      </c>
      <c r="P244" s="110">
        <f>C244-G244</f>
        <v/>
      </c>
      <c r="Q244" s="110">
        <f>E244-C244</f>
        <v/>
      </c>
      <c r="R244" s="110">
        <f>C244-M244</f>
        <v/>
      </c>
      <c r="S244" s="110">
        <f>C244-O244</f>
        <v/>
      </c>
      <c r="T244" s="110">
        <f>E244-O244</f>
        <v/>
      </c>
      <c r="U244" s="110">
        <f>G244-O244</f>
        <v/>
      </c>
      <c r="V244" s="110">
        <f>G244-K244</f>
        <v/>
      </c>
      <c r="W244" s="110">
        <f>C244-K244</f>
        <v/>
      </c>
      <c r="X244" s="110">
        <f>I244-G244</f>
        <v/>
      </c>
      <c r="Y244" s="111">
        <f>G244-M244</f>
        <v/>
      </c>
    </row>
    <row r="245">
      <c r="A245" s="105" t="n">
        <v>44957</v>
      </c>
      <c r="B245" s="106" t="n">
        <v>32.59</v>
      </c>
      <c r="C245" s="107" t="n">
        <v>0.325704</v>
      </c>
      <c r="D245" s="106" t="n">
        <v>35.7</v>
      </c>
      <c r="E245" s="108" t="n">
        <v>0.356785</v>
      </c>
      <c r="F245" s="106" t="n">
        <v>31.95</v>
      </c>
      <c r="G245" s="107" t="n">
        <v>0.319404</v>
      </c>
      <c r="H245" s="109" t="n">
        <v>37.4</v>
      </c>
      <c r="I245" s="107" t="n">
        <v>0.373972</v>
      </c>
      <c r="J245" s="109" t="n">
        <v>31.45</v>
      </c>
      <c r="K245" s="107" t="n">
        <v>0.314287</v>
      </c>
      <c r="L245" s="106" t="n">
        <v>34.4</v>
      </c>
      <c r="M245" s="107" t="n">
        <v>0.343974</v>
      </c>
      <c r="N245" s="109" t="n">
        <v>31.2</v>
      </c>
      <c r="O245" s="107" t="n">
        <v>0.311976</v>
      </c>
      <c r="P245" s="110">
        <f>C245-G245</f>
        <v/>
      </c>
      <c r="Q245" s="110">
        <f>E245-C245</f>
        <v/>
      </c>
      <c r="R245" s="110">
        <f>C245-M245</f>
        <v/>
      </c>
      <c r="S245" s="110">
        <f>C245-O245</f>
        <v/>
      </c>
      <c r="T245" s="110">
        <f>E245-O245</f>
        <v/>
      </c>
      <c r="U245" s="110">
        <f>G245-O245</f>
        <v/>
      </c>
      <c r="V245" s="110">
        <f>G245-K245</f>
        <v/>
      </c>
      <c r="W245" s="110">
        <f>C245-K245</f>
        <v/>
      </c>
      <c r="X245" s="110">
        <f>I245-G245</f>
        <v/>
      </c>
      <c r="Y245" s="111">
        <f>G245-M245</f>
        <v/>
      </c>
    </row>
    <row r="246">
      <c r="A246" s="105" t="n">
        <v>44956</v>
      </c>
      <c r="B246" s="106" t="n">
        <v>32.5</v>
      </c>
      <c r="C246" s="107" t="n">
        <v>0.324813</v>
      </c>
      <c r="D246" s="106" t="n">
        <v>35.4</v>
      </c>
      <c r="E246" s="108" t="n">
        <v>0.353796</v>
      </c>
      <c r="F246" s="106" t="n">
        <v>32.011</v>
      </c>
      <c r="G246" s="107" t="n">
        <v>0.320018</v>
      </c>
      <c r="H246" s="109" t="n">
        <v>37.55</v>
      </c>
      <c r="I246" s="107" t="n">
        <v>0.375473</v>
      </c>
      <c r="J246" s="109" t="n">
        <v>31.3</v>
      </c>
      <c r="K246" s="107" t="n">
        <v>0.312798</v>
      </c>
      <c r="L246" s="106" t="n">
        <v>34.011</v>
      </c>
      <c r="M246" s="107" t="n">
        <v>0.340086</v>
      </c>
      <c r="N246" s="109" t="n">
        <v>31.3</v>
      </c>
      <c r="O246" s="107" t="n">
        <v>0.312977</v>
      </c>
      <c r="P246" s="110">
        <f>C246-G246</f>
        <v/>
      </c>
      <c r="Q246" s="110">
        <f>E246-C246</f>
        <v/>
      </c>
      <c r="R246" s="110">
        <f>C246-M246</f>
        <v/>
      </c>
      <c r="S246" s="110">
        <f>C246-O246</f>
        <v/>
      </c>
      <c r="T246" s="110">
        <f>E246-O246</f>
        <v/>
      </c>
      <c r="U246" s="110">
        <f>G246-O246</f>
        <v/>
      </c>
      <c r="V246" s="110">
        <f>G246-K246</f>
        <v/>
      </c>
      <c r="W246" s="110">
        <f>C246-K246</f>
        <v/>
      </c>
      <c r="X246" s="110">
        <f>I246-G246</f>
        <v/>
      </c>
      <c r="Y246" s="111">
        <f>G246-M246</f>
        <v/>
      </c>
    </row>
    <row r="247">
      <c r="A247" s="105" t="n">
        <v>44953</v>
      </c>
      <c r="B247" s="106" t="n">
        <v>32.79</v>
      </c>
      <c r="C247" s="107" t="n">
        <v>0.327738</v>
      </c>
      <c r="D247" s="106" t="n">
        <v>35.52</v>
      </c>
      <c r="E247" s="108" t="n">
        <v>0.355025</v>
      </c>
      <c r="F247" s="106" t="n">
        <v>31.9</v>
      </c>
      <c r="G247" s="107" t="n">
        <v>0.318921</v>
      </c>
      <c r="H247" s="109" t="n">
        <v>37.19</v>
      </c>
      <c r="I247" s="107" t="n">
        <v>0.371877</v>
      </c>
      <c r="J247" s="109" t="n">
        <v>31.9</v>
      </c>
      <c r="K247" s="107" t="n">
        <v>0.318823</v>
      </c>
      <c r="L247" s="106" t="n">
        <v>34.6</v>
      </c>
      <c r="M247" s="107" t="n">
        <v>0.345979</v>
      </c>
      <c r="N247" s="109" t="n">
        <v>31.5</v>
      </c>
      <c r="O247" s="107" t="n">
        <v>0.314981</v>
      </c>
      <c r="P247" s="110">
        <f>C247-G247</f>
        <v/>
      </c>
      <c r="Q247" s="110">
        <f>E247-C247</f>
        <v/>
      </c>
      <c r="R247" s="110">
        <f>C247-M247</f>
        <v/>
      </c>
      <c r="S247" s="110">
        <f>C247-O247</f>
        <v/>
      </c>
      <c r="T247" s="110">
        <f>E247-O247</f>
        <v/>
      </c>
      <c r="U247" s="110">
        <f>G247-O247</f>
        <v/>
      </c>
      <c r="V247" s="110">
        <f>G247-K247</f>
        <v/>
      </c>
      <c r="W247" s="110">
        <f>C247-K247</f>
        <v/>
      </c>
      <c r="X247" s="110">
        <f>I247-G247</f>
        <v/>
      </c>
      <c r="Y247" s="111">
        <f>G247-M247</f>
        <v/>
      </c>
    </row>
    <row r="248">
      <c r="A248" s="105" t="n">
        <v>44952</v>
      </c>
      <c r="B248" s="106" t="n">
        <v>32</v>
      </c>
      <c r="C248" s="107" t="n">
        <v>0.319851</v>
      </c>
      <c r="D248" s="106" t="n">
        <v>35.3</v>
      </c>
      <c r="E248" s="108" t="n">
        <v>0.352836</v>
      </c>
      <c r="F248" s="106" t="n">
        <v>31.55</v>
      </c>
      <c r="G248" s="107" t="n">
        <v>0.315427</v>
      </c>
      <c r="H248" s="109" t="n">
        <v>36.88</v>
      </c>
      <c r="I248" s="107" t="n">
        <v>0.368779</v>
      </c>
      <c r="J248" s="109" t="n">
        <v>30.8</v>
      </c>
      <c r="K248" s="107" t="n">
        <v>0.307839</v>
      </c>
      <c r="L248" s="106" t="n">
        <v>34</v>
      </c>
      <c r="M248" s="107" t="n">
        <v>0.33998</v>
      </c>
      <c r="N248" s="109" t="n">
        <v>31.2</v>
      </c>
      <c r="O248" s="107" t="n">
        <v>0.311982</v>
      </c>
      <c r="P248" s="110">
        <f>C248-G248</f>
        <v/>
      </c>
      <c r="Q248" s="110">
        <f>E248-C248</f>
        <v/>
      </c>
      <c r="R248" s="110">
        <f>C248-M248</f>
        <v/>
      </c>
      <c r="S248" s="110">
        <f>C248-O248</f>
        <v/>
      </c>
      <c r="T248" s="110">
        <f>E248-O248</f>
        <v/>
      </c>
      <c r="U248" s="110">
        <f>G248-O248</f>
        <v/>
      </c>
      <c r="V248" s="110">
        <f>G248-K248</f>
        <v/>
      </c>
      <c r="W248" s="110">
        <f>C248-K248</f>
        <v/>
      </c>
      <c r="X248" s="110">
        <f>I248-G248</f>
        <v/>
      </c>
      <c r="Y248" s="111">
        <f>G248-M248</f>
        <v/>
      </c>
    </row>
    <row r="249" ht="15.75" customHeight="1" s="73">
      <c r="A249" s="105" t="n">
        <v>44951</v>
      </c>
      <c r="B249" s="106" t="n">
        <v>32.18</v>
      </c>
      <c r="C249" s="107" t="n">
        <v>0.321659</v>
      </c>
      <c r="D249" s="106" t="n">
        <v>35.4</v>
      </c>
      <c r="E249" s="108" t="n">
        <v>0.353845</v>
      </c>
      <c r="F249" s="106" t="n">
        <v>31.75</v>
      </c>
      <c r="G249" s="107" t="n">
        <v>0.31743</v>
      </c>
      <c r="H249" s="109" t="n">
        <v>36.65</v>
      </c>
      <c r="I249" s="107" t="n">
        <v>0.36648</v>
      </c>
      <c r="J249" s="109" t="n">
        <v>30.8</v>
      </c>
      <c r="K249" s="107" t="n">
        <v>0.307848</v>
      </c>
      <c r="L249" s="106" t="n">
        <v>34.25</v>
      </c>
      <c r="M249" s="107" t="n">
        <v>0.342481</v>
      </c>
      <c r="N249" s="109" t="n">
        <v>31.001</v>
      </c>
      <c r="O249" s="107" t="n">
        <v>0.309993</v>
      </c>
      <c r="P249" s="110">
        <f>C249-G249</f>
        <v/>
      </c>
      <c r="Q249" s="110">
        <f>E249-C249</f>
        <v/>
      </c>
      <c r="R249" s="110">
        <f>C249-M249</f>
        <v/>
      </c>
      <c r="S249" s="110">
        <f>C249-O249</f>
        <v/>
      </c>
      <c r="T249" s="110">
        <f>E249-O249</f>
        <v/>
      </c>
      <c r="U249" s="110">
        <f>G249-O249</f>
        <v/>
      </c>
      <c r="V249" s="110">
        <f>G249-K249</f>
        <v/>
      </c>
      <c r="W249" s="110">
        <f>C249-K249</f>
        <v/>
      </c>
      <c r="X249" s="110">
        <f>I249-G249</f>
        <v/>
      </c>
      <c r="Y249" s="111">
        <f>G249-M249</f>
        <v/>
      </c>
    </row>
    <row r="250">
      <c r="A250" s="105" t="n">
        <v>44950</v>
      </c>
      <c r="B250" s="106" t="n">
        <v>31.99</v>
      </c>
      <c r="C250" s="107" t="n">
        <v>0.319769</v>
      </c>
      <c r="D250" s="106" t="n">
        <v>35.75</v>
      </c>
      <c r="E250" s="108" t="n">
        <v>0.357353</v>
      </c>
      <c r="F250" s="106" t="n">
        <v>31.35</v>
      </c>
      <c r="G250" s="107" t="n">
        <v>0.313436</v>
      </c>
      <c r="H250" s="109" t="n">
        <v>36.55</v>
      </c>
      <c r="I250" s="107" t="n">
        <v>0.365481</v>
      </c>
      <c r="J250" s="109" t="n">
        <v>30.85</v>
      </c>
      <c r="K250" s="107" t="n">
        <v>0.308357</v>
      </c>
      <c r="L250" s="106" t="n">
        <v>34.39</v>
      </c>
      <c r="M250" s="107" t="n">
        <v>0.343882</v>
      </c>
      <c r="N250" s="109" t="n">
        <v>31.5</v>
      </c>
      <c r="O250" s="107" t="n">
        <v>0.314984</v>
      </c>
      <c r="P250" s="110">
        <f>C250-G250</f>
        <v/>
      </c>
      <c r="Q250" s="110">
        <f>E250-C250</f>
        <v/>
      </c>
      <c r="R250" s="110">
        <f>C250-M250</f>
        <v/>
      </c>
      <c r="S250" s="110">
        <f>C250-O250</f>
        <v/>
      </c>
      <c r="T250" s="110">
        <f>E250-O250</f>
        <v/>
      </c>
      <c r="U250" s="110">
        <f>G250-O250</f>
        <v/>
      </c>
      <c r="V250" s="110">
        <f>G250-K250</f>
        <v/>
      </c>
      <c r="W250" s="110">
        <f>C250-K250</f>
        <v/>
      </c>
      <c r="X250" s="110">
        <f>I250-G250</f>
        <v/>
      </c>
      <c r="Y250" s="111">
        <f>G250-M250</f>
        <v/>
      </c>
    </row>
    <row r="251">
      <c r="A251" s="105" t="n">
        <v>44949</v>
      </c>
      <c r="B251" s="106" t="n">
        <v>31.85</v>
      </c>
      <c r="C251" s="107" t="n">
        <v>0.318378</v>
      </c>
      <c r="D251" s="106" t="n">
        <v>35.95</v>
      </c>
      <c r="E251" s="108" t="n">
        <v>0.359362</v>
      </c>
      <c r="F251" s="106" t="n">
        <v>30.99</v>
      </c>
      <c r="G251" s="107" t="n">
        <v>0.309841</v>
      </c>
      <c r="H251" s="109" t="n">
        <v>36.37</v>
      </c>
      <c r="I251" s="107" t="n">
        <v>0.363683</v>
      </c>
      <c r="J251" s="109" t="n">
        <v>30.55</v>
      </c>
      <c r="K251" s="107" t="n">
        <v>0.305368</v>
      </c>
      <c r="L251" s="106" t="n">
        <v>34.35</v>
      </c>
      <c r="M251" s="107" t="n">
        <v>0.343484</v>
      </c>
      <c r="N251" s="109" t="n">
        <v>31.45</v>
      </c>
      <c r="O251" s="107" t="n">
        <v>0.314485</v>
      </c>
      <c r="P251" s="110">
        <f>C251-G251</f>
        <v/>
      </c>
      <c r="Q251" s="110">
        <f>E251-C251</f>
        <v/>
      </c>
      <c r="R251" s="110">
        <f>C251-M251</f>
        <v/>
      </c>
      <c r="S251" s="110">
        <f>C251-O251</f>
        <v/>
      </c>
      <c r="T251" s="110">
        <f>E251-O251</f>
        <v/>
      </c>
      <c r="U251" s="110">
        <f>G251-O251</f>
        <v/>
      </c>
      <c r="V251" s="110">
        <f>G251-K251</f>
        <v/>
      </c>
      <c r="W251" s="110">
        <f>C251-K251</f>
        <v/>
      </c>
      <c r="X251" s="110">
        <f>I251-G251</f>
        <v/>
      </c>
      <c r="Y251" s="111">
        <f>G251-M251</f>
        <v/>
      </c>
    </row>
    <row r="252">
      <c r="A252" s="105" t="n">
        <v>44946</v>
      </c>
      <c r="B252" s="106" t="n">
        <v>31.25</v>
      </c>
      <c r="C252" s="107" t="n">
        <v>0.312406</v>
      </c>
      <c r="D252" s="106" t="n">
        <v>34.92</v>
      </c>
      <c r="E252" s="108" t="n">
        <v>0.349095</v>
      </c>
      <c r="F252" s="106" t="n">
        <v>30.66</v>
      </c>
      <c r="G252" s="107" t="n">
        <v>0.306554</v>
      </c>
      <c r="H252" s="109" t="n">
        <v>35.7</v>
      </c>
      <c r="I252" s="107" t="n">
        <v>0.356987</v>
      </c>
      <c r="J252" s="109" t="n">
        <v>29.97</v>
      </c>
      <c r="K252" s="107" t="n">
        <v>0.299598</v>
      </c>
      <c r="L252" s="106" t="n">
        <v>33.9</v>
      </c>
      <c r="M252" s="107" t="n">
        <v>0.338987</v>
      </c>
      <c r="N252" s="109" t="n">
        <v>31.5</v>
      </c>
      <c r="O252" s="107" t="n">
        <v>0.314988</v>
      </c>
      <c r="P252" s="110">
        <f>C252-G252</f>
        <v/>
      </c>
      <c r="Q252" s="110">
        <f>E252-C252</f>
        <v/>
      </c>
      <c r="R252" s="110">
        <f>C252-M252</f>
        <v/>
      </c>
      <c r="S252" s="110">
        <f>C252-O252</f>
        <v/>
      </c>
      <c r="T252" s="110">
        <f>E252-O252</f>
        <v/>
      </c>
      <c r="U252" s="110">
        <f>G252-O252</f>
        <v/>
      </c>
      <c r="V252" s="110">
        <f>G252-K252</f>
        <v/>
      </c>
      <c r="W252" s="110">
        <f>C252-K252</f>
        <v/>
      </c>
      <c r="X252" s="110">
        <f>I252-G252</f>
        <v/>
      </c>
      <c r="Y252" s="111">
        <f>G252-M252</f>
        <v/>
      </c>
    </row>
    <row r="253">
      <c r="A253" s="105" t="n">
        <v>44945</v>
      </c>
      <c r="B253" s="106" t="n">
        <v>31.38</v>
      </c>
      <c r="C253" s="107" t="n">
        <v>0.313714</v>
      </c>
      <c r="D253" s="106" t="n">
        <v>36.14</v>
      </c>
      <c r="E253" s="108" t="n">
        <v>0.361301</v>
      </c>
      <c r="F253" s="106" t="n">
        <v>30.32</v>
      </c>
      <c r="G253" s="107" t="n">
        <v>0.303158</v>
      </c>
      <c r="H253" s="109" t="n">
        <v>36.57</v>
      </c>
      <c r="I253" s="107" t="n">
        <v>0.365687</v>
      </c>
      <c r="J253" s="109" t="n">
        <v>30</v>
      </c>
      <c r="K253" s="107" t="n">
        <v>0.299908</v>
      </c>
      <c r="L253" s="106" t="n">
        <v>34</v>
      </c>
      <c r="M253" s="107" t="n">
        <v>0.339988</v>
      </c>
      <c r="N253" s="109" t="n">
        <v>31</v>
      </c>
      <c r="O253" s="107" t="n">
        <v>0.309989</v>
      </c>
      <c r="P253" s="110">
        <f>C253-G253</f>
        <v/>
      </c>
      <c r="Q253" s="110">
        <f>E253-C253</f>
        <v/>
      </c>
      <c r="R253" s="110">
        <f>C253-M253</f>
        <v/>
      </c>
      <c r="S253" s="110">
        <f>C253-O253</f>
        <v/>
      </c>
      <c r="T253" s="110">
        <f>E253-O253</f>
        <v/>
      </c>
      <c r="U253" s="110">
        <f>G253-O253</f>
        <v/>
      </c>
      <c r="V253" s="110">
        <f>G253-K253</f>
        <v/>
      </c>
      <c r="W253" s="110">
        <f>C253-K253</f>
        <v/>
      </c>
      <c r="X253" s="110">
        <f>I253-G253</f>
        <v/>
      </c>
      <c r="Y253" s="111">
        <f>G253-M253</f>
        <v/>
      </c>
    </row>
    <row r="254">
      <c r="A254" s="105" t="n">
        <v>44944</v>
      </c>
      <c r="B254" s="106" t="n">
        <v>32.3</v>
      </c>
      <c r="C254" s="107" t="n">
        <v>0.32292</v>
      </c>
      <c r="D254" s="106" t="n">
        <v>36.4</v>
      </c>
      <c r="E254" s="108" t="n">
        <v>0.36391</v>
      </c>
      <c r="F254" s="106" t="n">
        <v>31.05</v>
      </c>
      <c r="G254" s="107" t="n">
        <v>0.310462</v>
      </c>
      <c r="H254" s="109" t="n">
        <v>36.75</v>
      </c>
      <c r="I254" s="107" t="n">
        <v>0.367489</v>
      </c>
      <c r="J254" s="109" t="n">
        <v>30.42</v>
      </c>
      <c r="K254" s="107" t="n">
        <v>0.304116</v>
      </c>
      <c r="L254" s="106" t="n">
        <v>34.8</v>
      </c>
      <c r="M254" s="107" t="n">
        <v>0.347989</v>
      </c>
      <c r="N254" s="109" t="n">
        <v>32.5</v>
      </c>
      <c r="O254" s="107" t="n">
        <v>0.32499</v>
      </c>
      <c r="P254" s="110">
        <f>C254-G254</f>
        <v/>
      </c>
      <c r="Q254" s="110">
        <f>E254-C254</f>
        <v/>
      </c>
      <c r="R254" s="110">
        <f>C254-M254</f>
        <v/>
      </c>
      <c r="S254" s="110">
        <f>C254-O254</f>
        <v/>
      </c>
      <c r="T254" s="110">
        <f>E254-O254</f>
        <v/>
      </c>
      <c r="U254" s="110">
        <f>G254-O254</f>
        <v/>
      </c>
      <c r="V254" s="110">
        <f>G254-K254</f>
        <v/>
      </c>
      <c r="W254" s="110">
        <f>C254-K254</f>
        <v/>
      </c>
      <c r="X254" s="110">
        <f>I254-G254</f>
        <v/>
      </c>
      <c r="Y254" s="111">
        <f>G254-M254</f>
        <v/>
      </c>
    </row>
    <row r="255">
      <c r="A255" s="105" t="n">
        <v>44943</v>
      </c>
      <c r="B255" s="106" t="n">
        <v>31.4</v>
      </c>
      <c r="C255" s="107" t="n">
        <v>0.313931</v>
      </c>
      <c r="D255" s="106" t="n">
        <v>33.8</v>
      </c>
      <c r="E255" s="108" t="n">
        <v>0.337926</v>
      </c>
      <c r="F255" s="106" t="n">
        <v>30.2</v>
      </c>
      <c r="G255" s="107" t="n">
        <v>0.301967</v>
      </c>
      <c r="H255" s="109" t="n">
        <v>34.66</v>
      </c>
      <c r="I255" s="107" t="n">
        <v>0.346591</v>
      </c>
      <c r="J255" s="109" t="n">
        <v>30.2</v>
      </c>
      <c r="K255" s="107" t="n">
        <v>0.301926</v>
      </c>
      <c r="L255" s="106" t="n">
        <v>33.75</v>
      </c>
      <c r="M255" s="107" t="n">
        <v>0.337491</v>
      </c>
      <c r="N255" s="109" t="n">
        <v>31.65</v>
      </c>
      <c r="O255" s="107" t="n">
        <v>0.316491</v>
      </c>
      <c r="P255" s="110">
        <f>C255-G255</f>
        <v/>
      </c>
      <c r="Q255" s="110">
        <f>E255-C255</f>
        <v/>
      </c>
      <c r="R255" s="110">
        <f>C255-M255</f>
        <v/>
      </c>
      <c r="S255" s="110">
        <f>C255-O255</f>
        <v/>
      </c>
      <c r="T255" s="110">
        <f>E255-O255</f>
        <v/>
      </c>
      <c r="U255" s="110">
        <f>G255-O255</f>
        <v/>
      </c>
      <c r="V255" s="110">
        <f>G255-K255</f>
        <v/>
      </c>
      <c r="W255" s="110">
        <f>C255-K255</f>
        <v/>
      </c>
      <c r="X255" s="110">
        <f>I255-G255</f>
        <v/>
      </c>
      <c r="Y255" s="111">
        <f>G255-M255</f>
        <v/>
      </c>
    </row>
    <row r="256">
      <c r="A256" s="105" t="n">
        <v>44942</v>
      </c>
      <c r="B256" s="106" t="n">
        <v>30.85</v>
      </c>
      <c r="C256" s="107" t="n">
        <v>0.308441</v>
      </c>
      <c r="D256" s="106" t="n">
        <v>32.5</v>
      </c>
      <c r="E256" s="108" t="n">
        <v>0.324938</v>
      </c>
      <c r="F256" s="106" t="n">
        <v>29.421</v>
      </c>
      <c r="G256" s="107" t="n">
        <v>0.294182</v>
      </c>
      <c r="H256" s="109" t="n">
        <v>33.43</v>
      </c>
      <c r="I256" s="107" t="n">
        <v>0.334292</v>
      </c>
      <c r="J256" s="109" t="n">
        <v>30</v>
      </c>
      <c r="K256" s="107" t="n">
        <v>0.299935</v>
      </c>
      <c r="L256" s="106" t="n">
        <v>33.55</v>
      </c>
      <c r="M256" s="107" t="n">
        <v>0.335492</v>
      </c>
      <c r="N256" s="109" t="n">
        <v>30.8</v>
      </c>
      <c r="O256" s="107" t="n">
        <v>0.307993</v>
      </c>
      <c r="P256" s="110">
        <f>C256-G256</f>
        <v/>
      </c>
      <c r="Q256" s="110">
        <f>E256-C256</f>
        <v/>
      </c>
      <c r="R256" s="110">
        <f>C256-M256</f>
        <v/>
      </c>
      <c r="S256" s="110">
        <f>C256-O256</f>
        <v/>
      </c>
      <c r="T256" s="110">
        <f>E256-O256</f>
        <v/>
      </c>
      <c r="U256" s="110">
        <f>G256-O256</f>
        <v/>
      </c>
      <c r="V256" s="110">
        <f>G256-K256</f>
        <v/>
      </c>
      <c r="W256" s="110">
        <f>C256-K256</f>
        <v/>
      </c>
      <c r="X256" s="110">
        <f>I256-G256</f>
        <v/>
      </c>
      <c r="Y256" s="111">
        <f>G256-M256</f>
        <v/>
      </c>
    </row>
    <row r="257" ht="15.75" customHeight="1" s="73" thickBot="1">
      <c r="A257" s="105" t="n">
        <v>44939</v>
      </c>
      <c r="B257" s="106" t="n">
        <v>29.4</v>
      </c>
      <c r="C257" s="107" t="n">
        <v>0.293968</v>
      </c>
      <c r="D257" s="106" t="n">
        <v>31.3</v>
      </c>
      <c r="E257" s="108" t="n">
        <v>0.312966</v>
      </c>
      <c r="F257" s="106" t="n">
        <v>28.35</v>
      </c>
      <c r="G257" s="107" t="n">
        <v>0.283484</v>
      </c>
      <c r="H257" s="109" t="n">
        <v>31.89</v>
      </c>
      <c r="I257" s="107" t="n">
        <v>0.318896</v>
      </c>
      <c r="J257" s="109" t="n">
        <v>29.2</v>
      </c>
      <c r="K257" s="107" t="n">
        <v>0.291964</v>
      </c>
      <c r="L257" s="106" t="n">
        <v>33.1</v>
      </c>
      <c r="M257" s="107" t="n">
        <v>0.330995</v>
      </c>
      <c r="N257" s="109" t="n">
        <v>30.1</v>
      </c>
      <c r="O257" s="107" t="n">
        <v>0.300996</v>
      </c>
      <c r="P257" s="110">
        <f>C257-G257</f>
        <v/>
      </c>
      <c r="Q257" s="110">
        <f>E257-C257</f>
        <v/>
      </c>
      <c r="R257" s="110">
        <f>C257-M257</f>
        <v/>
      </c>
      <c r="S257" s="110">
        <f>C257-O257</f>
        <v/>
      </c>
      <c r="T257" s="110">
        <f>E257-O257</f>
        <v/>
      </c>
      <c r="U257" s="110">
        <f>G257-O257</f>
        <v/>
      </c>
      <c r="V257" s="110">
        <f>G257-K257</f>
        <v/>
      </c>
      <c r="W257" s="110">
        <f>C257-K257</f>
        <v/>
      </c>
      <c r="X257" s="110">
        <f>I257-G257</f>
        <v/>
      </c>
      <c r="Y257" s="111">
        <f>G257-M257</f>
        <v/>
      </c>
    </row>
    <row r="258">
      <c r="A258" s="105" t="n">
        <v>44938</v>
      </c>
      <c r="B258" s="106" t="n">
        <v>29.45</v>
      </c>
      <c r="C258" s="107" t="n">
        <v>0.294476</v>
      </c>
      <c r="D258" s="106" t="n">
        <v>32</v>
      </c>
      <c r="E258" s="108" t="n">
        <v>0.319974</v>
      </c>
      <c r="F258" s="106" t="n">
        <v>28.36</v>
      </c>
      <c r="G258" s="107" t="n">
        <v>0.283588</v>
      </c>
      <c r="H258" s="109" t="n">
        <v>31.69</v>
      </c>
      <c r="I258" s="107" t="n">
        <v>0.316897</v>
      </c>
      <c r="J258" s="109" t="n">
        <v>29</v>
      </c>
      <c r="K258" s="107" t="n">
        <v>0.289973</v>
      </c>
      <c r="L258" s="106" t="n">
        <v>33.45</v>
      </c>
      <c r="M258" s="107" t="n">
        <v>0.334497</v>
      </c>
      <c r="N258" s="109" t="n">
        <v>30.5</v>
      </c>
      <c r="O258" s="107" t="n">
        <v>0.304997</v>
      </c>
      <c r="P258" s="110">
        <f>C258-G258</f>
        <v/>
      </c>
      <c r="Q258" s="110">
        <f>E258-C258</f>
        <v/>
      </c>
      <c r="R258" s="110">
        <f>C258-M258</f>
        <v/>
      </c>
      <c r="S258" s="110">
        <f>C258-O258</f>
        <v/>
      </c>
      <c r="T258" s="110">
        <f>E258-O258</f>
        <v/>
      </c>
      <c r="U258" s="110">
        <f>G258-O258</f>
        <v/>
      </c>
      <c r="V258" s="110">
        <f>G258-K258</f>
        <v/>
      </c>
      <c r="W258" s="110">
        <f>C258-K258</f>
        <v/>
      </c>
      <c r="X258" s="110">
        <f>I258-G258</f>
        <v/>
      </c>
      <c r="Y258" s="111">
        <f>G258-M258</f>
        <v/>
      </c>
    </row>
    <row r="259">
      <c r="A259" s="105" t="n">
        <v>44937</v>
      </c>
      <c r="B259" s="106" t="n">
        <v>29</v>
      </c>
      <c r="C259" s="107" t="n">
        <v>0.289984</v>
      </c>
      <c r="D259" s="106" t="n">
        <v>31</v>
      </c>
      <c r="E259" s="108" t="n">
        <v>0.309983</v>
      </c>
      <c r="F259" s="106" t="n">
        <v>28.06</v>
      </c>
      <c r="G259" s="107" t="n">
        <v>0.280592</v>
      </c>
      <c r="H259" s="109" t="n">
        <v>31.95</v>
      </c>
      <c r="I259" s="107" t="n">
        <v>0.319498</v>
      </c>
      <c r="J259" s="109" t="n">
        <v>28.65</v>
      </c>
      <c r="K259" s="107" t="n">
        <v>0.286482</v>
      </c>
      <c r="L259" s="106" t="n">
        <v>33.54</v>
      </c>
      <c r="M259" s="107" t="n">
        <v>0.335398</v>
      </c>
      <c r="N259" s="109" t="n">
        <v>30.4</v>
      </c>
      <c r="O259" s="107" t="n">
        <v>0.303998</v>
      </c>
      <c r="P259" s="110">
        <f>C259-G259</f>
        <v/>
      </c>
      <c r="Q259" s="110">
        <f>E259-C259</f>
        <v/>
      </c>
      <c r="R259" s="110">
        <f>C259-M259</f>
        <v/>
      </c>
      <c r="S259" s="110">
        <f>C259-O259</f>
        <v/>
      </c>
      <c r="T259" s="110">
        <f>E259-O259</f>
        <v/>
      </c>
      <c r="U259" s="110">
        <f>G259-O259</f>
        <v/>
      </c>
      <c r="V259" s="110">
        <f>G259-K259</f>
        <v/>
      </c>
      <c r="W259" s="110">
        <f>C259-K259</f>
        <v/>
      </c>
      <c r="X259" s="110">
        <f>I259-G259</f>
        <v/>
      </c>
      <c r="Y259" s="111">
        <f>G259-M259</f>
        <v/>
      </c>
    </row>
    <row r="260">
      <c r="A260" s="105" t="n">
        <v>44936</v>
      </c>
      <c r="B260" s="106" t="n">
        <v>28.4</v>
      </c>
      <c r="C260" s="107" t="n">
        <v>0.283992</v>
      </c>
      <c r="D260" s="106" t="n">
        <v>29.9</v>
      </c>
      <c r="E260" s="108" t="n">
        <v>0.298992</v>
      </c>
      <c r="F260" s="106" t="n">
        <v>26.8</v>
      </c>
      <c r="G260" s="107" t="n">
        <v>0.267996</v>
      </c>
      <c r="H260" s="109" t="n">
        <v>30.38</v>
      </c>
      <c r="I260" s="107" t="n">
        <v>0.303799</v>
      </c>
      <c r="J260" s="109" t="n">
        <v>27.7</v>
      </c>
      <c r="K260" s="107" t="n">
        <v>0.276991</v>
      </c>
      <c r="L260" s="106" t="n">
        <v>32.7</v>
      </c>
      <c r="M260" s="107" t="n">
        <v>0.326999</v>
      </c>
      <c r="N260" s="109" t="n">
        <v>30.089</v>
      </c>
      <c r="O260" s="107" t="n">
        <v>0.300889</v>
      </c>
      <c r="P260" s="110">
        <f>C260-G260</f>
        <v/>
      </c>
      <c r="Q260" s="110">
        <f>E260-C260</f>
        <v/>
      </c>
      <c r="R260" s="110">
        <f>C260-M260</f>
        <v/>
      </c>
      <c r="S260" s="110">
        <f>C260-O260</f>
        <v/>
      </c>
      <c r="T260" s="110">
        <f>E260-O260</f>
        <v/>
      </c>
      <c r="U260" s="110">
        <f>G260-O260</f>
        <v/>
      </c>
      <c r="V260" s="110">
        <f>G260-K260</f>
        <v/>
      </c>
      <c r="W260" s="110">
        <f>C260-K260</f>
        <v/>
      </c>
      <c r="X260" s="110">
        <f>I260-G260</f>
        <v/>
      </c>
      <c r="Y260" s="111">
        <f>G260-M260</f>
        <v/>
      </c>
    </row>
    <row r="261">
      <c r="A261" s="105" t="n">
        <v>44935</v>
      </c>
      <c r="B261" s="106" t="n">
        <v>27.8</v>
      </c>
      <c r="C261" s="107" t="n">
        <v>0.278</v>
      </c>
      <c r="D261" s="106" t="n">
        <v>30</v>
      </c>
      <c r="E261" s="108" t="n">
        <v>0.3</v>
      </c>
      <c r="F261" s="106" t="n">
        <v>26.451</v>
      </c>
      <c r="G261" s="107" t="n">
        <v>0.26451</v>
      </c>
      <c r="H261" s="109" t="n">
        <v>30.35</v>
      </c>
      <c r="I261" s="107" t="n">
        <v>0.3035</v>
      </c>
      <c r="J261" s="109" t="n">
        <v>27.5</v>
      </c>
      <c r="K261" s="107" t="n">
        <v>0.275</v>
      </c>
      <c r="L261" s="106" t="n">
        <v>32.2</v>
      </c>
      <c r="M261" s="107" t="n">
        <v>0.322</v>
      </c>
      <c r="N261" s="109" t="n">
        <v>29.9</v>
      </c>
      <c r="O261" s="107" t="n">
        <v>0.299</v>
      </c>
      <c r="P261" s="110">
        <f>C261-G261</f>
        <v/>
      </c>
      <c r="Q261" s="110">
        <f>E261-C261</f>
        <v/>
      </c>
      <c r="R261" s="110">
        <f>C261-M261</f>
        <v/>
      </c>
      <c r="S261" s="110">
        <f>C261-O261</f>
        <v/>
      </c>
      <c r="T261" s="110">
        <f>E261-O261</f>
        <v/>
      </c>
      <c r="U261" s="110">
        <f>G261-O261</f>
        <v/>
      </c>
      <c r="V261" s="110">
        <f>G261-K261</f>
        <v/>
      </c>
      <c r="W261" s="110">
        <f>C261-K261</f>
        <v/>
      </c>
      <c r="X261" s="110">
        <f>I261-G261</f>
        <v/>
      </c>
      <c r="Y261" s="111">
        <f>G261-M261</f>
        <v/>
      </c>
    </row>
    <row r="262">
      <c r="A262" s="98" t="n">
        <v>44932</v>
      </c>
      <c r="B262" s="99" t="n">
        <v>26.8</v>
      </c>
      <c r="C262" s="100" t="n">
        <v>0.266678</v>
      </c>
      <c r="D262" s="99" t="n">
        <v>28.803</v>
      </c>
      <c r="E262" s="101" t="n">
        <v>0.286609</v>
      </c>
      <c r="F262" s="99" t="n">
        <v>25.576</v>
      </c>
      <c r="G262" s="100" t="n">
        <v>0.241849</v>
      </c>
      <c r="H262" s="102" t="n">
        <v>29.66</v>
      </c>
      <c r="I262" s="100" t="n">
        <v>0.296416</v>
      </c>
      <c r="J262" s="102" t="n">
        <v>26.701</v>
      </c>
      <c r="K262" s="100" t="n">
        <v>0.265529</v>
      </c>
      <c r="L262" s="99" t="n">
        <v>31.8</v>
      </c>
      <c r="M262" s="100" t="n">
        <v>0.317803</v>
      </c>
      <c r="N262" s="102" t="n">
        <v>30</v>
      </c>
      <c r="O262" s="100" t="n">
        <v>0.299814</v>
      </c>
      <c r="P262" s="103">
        <f>C262-G262</f>
        <v/>
      </c>
      <c r="Q262" s="103">
        <f>E262-C262</f>
        <v/>
      </c>
      <c r="R262" s="103">
        <f>C262-M262</f>
        <v/>
      </c>
      <c r="S262" s="103">
        <f>C262-O262</f>
        <v/>
      </c>
      <c r="T262" s="103">
        <f>E262-O262</f>
        <v/>
      </c>
      <c r="U262" s="103">
        <f>G262-O262</f>
        <v/>
      </c>
      <c r="V262" s="103">
        <f>G262-K262</f>
        <v/>
      </c>
      <c r="W262" s="103">
        <f>C262-K262</f>
        <v/>
      </c>
      <c r="X262" s="103">
        <f>I262-G262</f>
        <v/>
      </c>
      <c r="Y262" s="104">
        <f>G262-M262</f>
        <v/>
      </c>
    </row>
    <row r="263">
      <c r="A263" s="98" t="n">
        <v>44931</v>
      </c>
      <c r="B263" s="99" t="n">
        <v>27</v>
      </c>
      <c r="C263" s="100" t="n">
        <v>0.268675</v>
      </c>
      <c r="D263" s="99" t="n">
        <v>30.089</v>
      </c>
      <c r="E263" s="101" t="n">
        <v>0.299413</v>
      </c>
      <c r="F263" s="99" t="n">
        <v>25.59</v>
      </c>
      <c r="G263" s="100" t="n">
        <v>0.241984</v>
      </c>
      <c r="H263" s="102" t="n">
        <v>29.489</v>
      </c>
      <c r="I263" s="100" t="n">
        <v>0.294708</v>
      </c>
      <c r="J263" s="102" t="n">
        <v>26.8</v>
      </c>
      <c r="K263" s="100" t="n">
        <v>0.266521</v>
      </c>
      <c r="L263" s="99" t="n">
        <v>32.3</v>
      </c>
      <c r="M263" s="100" t="n">
        <v>0.322801</v>
      </c>
      <c r="N263" s="102" t="n">
        <v>29.5</v>
      </c>
      <c r="O263" s="100" t="n">
        <v>0.294818</v>
      </c>
      <c r="P263" s="103">
        <f>C263-G263</f>
        <v/>
      </c>
      <c r="Q263" s="103">
        <f>E263-C263</f>
        <v/>
      </c>
      <c r="R263" s="103">
        <f>C263-M263</f>
        <v/>
      </c>
      <c r="S263" s="103">
        <f>C263-O263</f>
        <v/>
      </c>
      <c r="T263" s="103">
        <f>E263-O263</f>
        <v/>
      </c>
      <c r="U263" s="103">
        <f>G263-O263</f>
        <v/>
      </c>
      <c r="V263" s="103">
        <f>G263-K263</f>
        <v/>
      </c>
      <c r="W263" s="103">
        <f>C263-K263</f>
        <v/>
      </c>
      <c r="X263" s="103">
        <f>I263-G263</f>
        <v/>
      </c>
      <c r="Y263" s="104">
        <f>G263-M263</f>
        <v/>
      </c>
    </row>
    <row r="264">
      <c r="A264" s="98" t="n">
        <v>44930</v>
      </c>
      <c r="B264" s="99" t="n">
        <v>27.82</v>
      </c>
      <c r="C264" s="100" t="n">
        <v>0.276842</v>
      </c>
      <c r="D264" s="99" t="n">
        <v>29.5</v>
      </c>
      <c r="E264" s="101" t="n">
        <v>0.29356</v>
      </c>
      <c r="F264" s="99" t="n">
        <v>25.8</v>
      </c>
      <c r="G264" s="100" t="n">
        <v>0.243973</v>
      </c>
      <c r="H264" s="102" t="n">
        <v>29.77</v>
      </c>
      <c r="I264" s="100" t="n">
        <v>0.297518</v>
      </c>
      <c r="J264" s="102" t="n">
        <v>27.8</v>
      </c>
      <c r="K264" s="100" t="n">
        <v>0.276475</v>
      </c>
      <c r="L264" s="99" t="n">
        <v>35</v>
      </c>
      <c r="M264" s="100" t="n">
        <v>0.349786</v>
      </c>
      <c r="N264" s="102" t="n">
        <v>31.67</v>
      </c>
      <c r="O264" s="100" t="n">
        <v>0.316506</v>
      </c>
      <c r="P264" s="103">
        <f>C264-G264</f>
        <v/>
      </c>
      <c r="Q264" s="103">
        <f>E264-C264</f>
        <v/>
      </c>
      <c r="R264" s="103">
        <f>C264-M264</f>
        <v/>
      </c>
      <c r="S264" s="103">
        <f>C264-O264</f>
        <v/>
      </c>
      <c r="T264" s="103">
        <f>E264-O264</f>
        <v/>
      </c>
      <c r="U264" s="103">
        <f>G264-O264</f>
        <v/>
      </c>
      <c r="V264" s="103">
        <f>G264-K264</f>
        <v/>
      </c>
      <c r="W264" s="103">
        <f>C264-K264</f>
        <v/>
      </c>
      <c r="X264" s="103">
        <f>I264-G264</f>
        <v/>
      </c>
      <c r="Y264" s="104">
        <f>G264-M264</f>
        <v/>
      </c>
    </row>
    <row r="265">
      <c r="A265" s="98" t="n">
        <v>44929</v>
      </c>
      <c r="B265" s="99" t="n">
        <v>26.31</v>
      </c>
      <c r="C265" s="100" t="n">
        <v>0.261823</v>
      </c>
      <c r="D265" s="99" t="n">
        <v>28.5</v>
      </c>
      <c r="E265" s="101" t="n">
        <v>0.283617</v>
      </c>
      <c r="F265" s="99" t="n">
        <v>25.19</v>
      </c>
      <c r="G265" s="100" t="n">
        <v>0.238208</v>
      </c>
      <c r="H265" s="102" t="n">
        <v>29.15</v>
      </c>
      <c r="I265" s="100" t="n">
        <v>0.291322</v>
      </c>
      <c r="J265" s="102" t="n">
        <v>27.198</v>
      </c>
      <c r="K265" s="100" t="n">
        <v>0.270496</v>
      </c>
      <c r="L265" s="99" t="n">
        <v>34.4</v>
      </c>
      <c r="M265" s="100" t="n">
        <v>0.34379</v>
      </c>
      <c r="N265" s="102" t="n">
        <v>31.799</v>
      </c>
      <c r="O265" s="100" t="n">
        <v>0.317796</v>
      </c>
      <c r="P265" s="103">
        <f>C265-G265</f>
        <v/>
      </c>
      <c r="Q265" s="103">
        <f>E265-C265</f>
        <v/>
      </c>
      <c r="R265" s="103">
        <f>C265-M265</f>
        <v/>
      </c>
      <c r="S265" s="103">
        <f>C265-O265</f>
        <v/>
      </c>
      <c r="T265" s="103">
        <f>E265-O265</f>
        <v/>
      </c>
      <c r="U265" s="103">
        <f>G265-O265</f>
        <v/>
      </c>
      <c r="V265" s="103">
        <f>G265-K265</f>
        <v/>
      </c>
      <c r="W265" s="103">
        <f>C265-K265</f>
        <v/>
      </c>
      <c r="X265" s="103">
        <f>I265-G265</f>
        <v/>
      </c>
      <c r="Y265" s="104">
        <f>G265-M265</f>
        <v/>
      </c>
    </row>
    <row r="266">
      <c r="A266" s="98" t="n">
        <v>44928</v>
      </c>
      <c r="B266" s="99" t="n">
        <v>26.2</v>
      </c>
      <c r="C266" s="100" t="n">
        <v>0.260736</v>
      </c>
      <c r="D266" s="99" t="n">
        <v>27.75</v>
      </c>
      <c r="E266" s="101" t="n">
        <v>0.276161</v>
      </c>
      <c r="F266" s="99" t="n">
        <v>24.43</v>
      </c>
      <c r="G266" s="100" t="n">
        <v>0.231024</v>
      </c>
      <c r="H266" s="102" t="n">
        <v>28.69</v>
      </c>
      <c r="I266" s="100" t="n">
        <v>0.286726</v>
      </c>
      <c r="J266" s="102" t="n">
        <v>26.8</v>
      </c>
      <c r="K266" s="100" t="n">
        <v>0.266546</v>
      </c>
      <c r="L266" s="99" t="n">
        <v>34.8</v>
      </c>
      <c r="M266" s="100" t="n">
        <v>0.347789</v>
      </c>
      <c r="N266" s="102" t="n">
        <v>32</v>
      </c>
      <c r="O266" s="100" t="n">
        <v>0.319806</v>
      </c>
      <c r="P266" s="103">
        <f>C266-G266</f>
        <v/>
      </c>
      <c r="Q266" s="103">
        <f>E266-C266</f>
        <v/>
      </c>
      <c r="R266" s="103">
        <f>C266-M266</f>
        <v/>
      </c>
      <c r="S266" s="103">
        <f>C266-O266</f>
        <v/>
      </c>
      <c r="T266" s="103">
        <f>E266-O266</f>
        <v/>
      </c>
      <c r="U266" s="103">
        <f>G266-O266</f>
        <v/>
      </c>
      <c r="V266" s="103">
        <f>G266-K266</f>
        <v/>
      </c>
      <c r="W266" s="103">
        <f>C266-K266</f>
        <v/>
      </c>
      <c r="X266" s="103">
        <f>I266-G266</f>
        <v/>
      </c>
      <c r="Y266" s="104">
        <f>G266-M266</f>
        <v/>
      </c>
    </row>
    <row r="267">
      <c r="A267" s="98" t="n">
        <v>44925</v>
      </c>
      <c r="B267" s="99" t="n">
        <v>27.5</v>
      </c>
      <c r="C267" s="100" t="n">
        <v>0.273695</v>
      </c>
      <c r="D267" s="99" t="n">
        <v>27.15</v>
      </c>
      <c r="E267" s="101" t="n">
        <v>0.270212</v>
      </c>
      <c r="F267" s="99" t="n">
        <v>24.131</v>
      </c>
      <c r="G267" s="100" t="n">
        <v>0.228205</v>
      </c>
      <c r="H267" s="102" t="n">
        <v>28.45</v>
      </c>
      <c r="I267" s="100" t="n">
        <v>0.284331</v>
      </c>
      <c r="J267" s="102" t="n">
        <v>26.75</v>
      </c>
      <c r="K267" s="100" t="n">
        <v>0.266073</v>
      </c>
      <c r="L267" s="99" t="n">
        <v>34.8</v>
      </c>
      <c r="M267" s="100" t="n">
        <v>0.347793</v>
      </c>
      <c r="N267" s="102" t="n">
        <v>31.3</v>
      </c>
      <c r="O267" s="100" t="n">
        <v>0.312814</v>
      </c>
      <c r="P267" s="103">
        <f>C267-G267</f>
        <v/>
      </c>
      <c r="Q267" s="103">
        <f>E267-C267</f>
        <v/>
      </c>
      <c r="R267" s="103">
        <f>C267-M267</f>
        <v/>
      </c>
      <c r="S267" s="103">
        <f>C267-O267</f>
        <v/>
      </c>
      <c r="T267" s="103">
        <f>E267-O267</f>
        <v/>
      </c>
      <c r="U267" s="103">
        <f>G267-O267</f>
        <v/>
      </c>
      <c r="V267" s="103">
        <f>G267-K267</f>
        <v/>
      </c>
      <c r="W267" s="103">
        <f>C267-K267</f>
        <v/>
      </c>
      <c r="X267" s="103">
        <f>I267-G267</f>
        <v/>
      </c>
      <c r="Y267" s="104">
        <f>G267-M267</f>
        <v/>
      </c>
    </row>
    <row r="268">
      <c r="A268" s="98" t="n">
        <v>44924</v>
      </c>
      <c r="B268" s="99" t="n">
        <v>25.2</v>
      </c>
      <c r="C268" s="100" t="n">
        <v>0.250811</v>
      </c>
      <c r="D268" s="99" t="n">
        <v>26.92</v>
      </c>
      <c r="E268" s="101" t="n">
        <v>0.26793</v>
      </c>
      <c r="F268" s="99" t="n">
        <v>24.02</v>
      </c>
      <c r="G268" s="100" t="n">
        <v>0.227159</v>
      </c>
      <c r="H268" s="102" t="n">
        <v>28.05</v>
      </c>
      <c r="I268" s="100" t="n">
        <v>0.280334</v>
      </c>
      <c r="J268" s="102" t="n">
        <v>26.25</v>
      </c>
      <c r="K268" s="100" t="n">
        <v>0.261108</v>
      </c>
      <c r="L268" s="99" t="n">
        <v>33.95</v>
      </c>
      <c r="M268" s="100" t="n">
        <v>0.339299</v>
      </c>
      <c r="N268" s="102" t="n">
        <v>30.3</v>
      </c>
      <c r="O268" s="100" t="n">
        <v>0.302821</v>
      </c>
      <c r="P268" s="103">
        <f>C268-G268</f>
        <v/>
      </c>
      <c r="Q268" s="103">
        <f>E268-C268</f>
        <v/>
      </c>
      <c r="R268" s="103">
        <f>C268-M268</f>
        <v/>
      </c>
      <c r="S268" s="103">
        <f>C268-O268</f>
        <v/>
      </c>
      <c r="T268" s="103">
        <f>E268-O268</f>
        <v/>
      </c>
      <c r="U268" s="103">
        <f>G268-O268</f>
        <v/>
      </c>
      <c r="V268" s="103">
        <f>G268-K268</f>
        <v/>
      </c>
      <c r="W268" s="103">
        <f>C268-K268</f>
        <v/>
      </c>
      <c r="X268" s="103">
        <f>I268-G268</f>
        <v/>
      </c>
      <c r="Y268" s="104">
        <f>G268-M268</f>
        <v/>
      </c>
    </row>
    <row r="269">
      <c r="A269" s="98" t="n">
        <v>44923</v>
      </c>
      <c r="B269" s="99" t="n">
        <v>26.7</v>
      </c>
      <c r="C269" s="100" t="n">
        <v>0.265748</v>
      </c>
      <c r="D269" s="99" t="n">
        <v>28</v>
      </c>
      <c r="E269" s="101" t="n">
        <v>0.278687</v>
      </c>
      <c r="F269" s="99" t="n">
        <v>24.31</v>
      </c>
      <c r="G269" s="100" t="n">
        <v>0.229904</v>
      </c>
      <c r="H269" s="102" t="n">
        <v>28.77</v>
      </c>
      <c r="I269" s="100" t="n">
        <v>0.287531</v>
      </c>
      <c r="J269" s="102" t="n">
        <v>25.611</v>
      </c>
      <c r="K269" s="100" t="n">
        <v>0.254759</v>
      </c>
      <c r="L269" s="99" t="n">
        <v>33.3</v>
      </c>
      <c r="M269" s="100" t="n">
        <v>0.332804</v>
      </c>
      <c r="N269" s="102" t="n">
        <v>30.1</v>
      </c>
      <c r="O269" s="100" t="n">
        <v>0.300823</v>
      </c>
      <c r="P269" s="103">
        <f>C269-G269</f>
        <v/>
      </c>
      <c r="Q269" s="103">
        <f>E269-C269</f>
        <v/>
      </c>
      <c r="R269" s="103">
        <f>C269-M269</f>
        <v/>
      </c>
      <c r="S269" s="103">
        <f>C269-O269</f>
        <v/>
      </c>
      <c r="T269" s="103">
        <f>E269-O269</f>
        <v/>
      </c>
      <c r="U269" s="103">
        <f>G269-O269</f>
        <v/>
      </c>
      <c r="V269" s="103">
        <f>G269-K269</f>
        <v/>
      </c>
      <c r="W269" s="103">
        <f>C269-K269</f>
        <v/>
      </c>
      <c r="X269" s="103">
        <f>I269-G269</f>
        <v/>
      </c>
      <c r="Y269" s="104">
        <f>G269-M269</f>
        <v/>
      </c>
    </row>
    <row r="270">
      <c r="A270" s="98" t="n">
        <v>44922</v>
      </c>
      <c r="B270" s="99" t="n">
        <v>26.4</v>
      </c>
      <c r="C270" s="100" t="n">
        <v>0.262769</v>
      </c>
      <c r="D270" s="99" t="n">
        <v>28.45</v>
      </c>
      <c r="E270" s="101" t="n">
        <v>0.283173</v>
      </c>
      <c r="F270" s="99" t="n">
        <v>25.15</v>
      </c>
      <c r="G270" s="100" t="n">
        <v>0.237851</v>
      </c>
      <c r="H270" s="102" t="n">
        <v>29.05</v>
      </c>
      <c r="I270" s="100" t="n">
        <v>0.29033</v>
      </c>
      <c r="J270" s="102" t="n">
        <v>26.2</v>
      </c>
      <c r="K270" s="100" t="n">
        <v>0.260626</v>
      </c>
      <c r="L270" s="99" t="n">
        <v>34</v>
      </c>
      <c r="M270" s="100" t="n">
        <v>0.339801</v>
      </c>
      <c r="N270" s="102" t="n">
        <v>30.2</v>
      </c>
      <c r="O270" s="100" t="n">
        <v>0.301823</v>
      </c>
      <c r="P270" s="103">
        <f>C270-G270</f>
        <v/>
      </c>
      <c r="Q270" s="103">
        <f>E270-C270</f>
        <v/>
      </c>
      <c r="R270" s="103">
        <f>C270-M270</f>
        <v/>
      </c>
      <c r="S270" s="103">
        <f>C270-O270</f>
        <v/>
      </c>
      <c r="T270" s="103">
        <f>E270-O270</f>
        <v/>
      </c>
      <c r="U270" s="103">
        <f>G270-O270</f>
        <v/>
      </c>
      <c r="V270" s="103">
        <f>G270-K270</f>
        <v/>
      </c>
      <c r="W270" s="103">
        <f>C270-K270</f>
        <v/>
      </c>
      <c r="X270" s="103">
        <f>I270-G270</f>
        <v/>
      </c>
      <c r="Y270" s="104">
        <f>G270-M270</f>
        <v/>
      </c>
    </row>
    <row r="271">
      <c r="A271" s="98" t="n">
        <v>44921</v>
      </c>
      <c r="B271" s="99" t="n">
        <v>26.584</v>
      </c>
      <c r="C271" s="100" t="n">
        <v>0.264608</v>
      </c>
      <c r="D271" s="99" t="n">
        <v>29</v>
      </c>
      <c r="E271" s="101" t="n">
        <v>0.288656</v>
      </c>
      <c r="F271" s="99" t="n">
        <v>25.4</v>
      </c>
      <c r="G271" s="100" t="n">
        <v>0.240219</v>
      </c>
      <c r="H271" s="102" t="n">
        <v>29.15</v>
      </c>
      <c r="I271" s="100" t="n">
        <v>0.29133</v>
      </c>
      <c r="J271" s="102" t="n">
        <v>27.15</v>
      </c>
      <c r="K271" s="100" t="n">
        <v>0.270085</v>
      </c>
      <c r="L271" s="99" t="n">
        <v>33.85</v>
      </c>
      <c r="M271" s="100" t="n">
        <v>0.338303</v>
      </c>
      <c r="N271" s="102" t="n">
        <v>31.4</v>
      </c>
      <c r="O271" s="100" t="n">
        <v>0.313817</v>
      </c>
      <c r="P271" s="103">
        <f>C271-G271</f>
        <v/>
      </c>
      <c r="Q271" s="103">
        <f>E271-C271</f>
        <v/>
      </c>
      <c r="R271" s="103">
        <f>C271-M271</f>
        <v/>
      </c>
      <c r="S271" s="103">
        <f>C271-O271</f>
        <v/>
      </c>
      <c r="T271" s="103">
        <f>E271-O271</f>
        <v/>
      </c>
      <c r="U271" s="103">
        <f>G271-O271</f>
        <v/>
      </c>
      <c r="V271" s="103">
        <f>G271-K271</f>
        <v/>
      </c>
      <c r="W271" s="103">
        <f>C271-K271</f>
        <v/>
      </c>
      <c r="X271" s="103">
        <f>I271-G271</f>
        <v/>
      </c>
      <c r="Y271" s="104">
        <f>G271-M271</f>
        <v/>
      </c>
    </row>
    <row r="272">
      <c r="A272" s="98" t="n">
        <v>44918</v>
      </c>
      <c r="B272" s="99" t="n">
        <v>25.2</v>
      </c>
      <c r="C272" s="100" t="n">
        <v>0.250852</v>
      </c>
      <c r="D272" s="99" t="n">
        <v>28.5</v>
      </c>
      <c r="E272" s="101" t="n">
        <v>0.283702</v>
      </c>
      <c r="F272" s="99" t="n">
        <v>25.43</v>
      </c>
      <c r="G272" s="100" t="n">
        <v>0.240512</v>
      </c>
      <c r="H272" s="102" t="n">
        <v>29.75</v>
      </c>
      <c r="I272" s="100" t="n">
        <v>0.29733</v>
      </c>
      <c r="J272" s="102" t="n">
        <v>27</v>
      </c>
      <c r="K272" s="100" t="n">
        <v>0.268617</v>
      </c>
      <c r="L272" s="99" t="n">
        <v>33.3</v>
      </c>
      <c r="M272" s="100" t="n">
        <v>0.33281</v>
      </c>
      <c r="N272" s="102" t="n">
        <v>30.48</v>
      </c>
      <c r="O272" s="100" t="n">
        <v>0.304626</v>
      </c>
      <c r="P272" s="103">
        <f>C272-G272</f>
        <v/>
      </c>
      <c r="Q272" s="103">
        <f>E272-C272</f>
        <v/>
      </c>
      <c r="R272" s="103">
        <f>C272-M272</f>
        <v/>
      </c>
      <c r="S272" s="103">
        <f>C272-O272</f>
        <v/>
      </c>
      <c r="T272" s="103">
        <f>E272-O272</f>
        <v/>
      </c>
      <c r="U272" s="103">
        <f>G272-O272</f>
        <v/>
      </c>
      <c r="V272" s="103">
        <f>G272-K272</f>
        <v/>
      </c>
      <c r="W272" s="103">
        <f>C272-K272</f>
        <v/>
      </c>
      <c r="X272" s="103">
        <f>I272-G272</f>
        <v/>
      </c>
      <c r="Y272" s="104">
        <f>G272-M272</f>
        <v/>
      </c>
    </row>
    <row r="273">
      <c r="A273" s="98" t="n">
        <v>44917</v>
      </c>
      <c r="B273" s="99" t="n">
        <v>26.301</v>
      </c>
      <c r="C273" s="100" t="n">
        <v>0.261819</v>
      </c>
      <c r="D273" s="99" t="n">
        <v>28.7</v>
      </c>
      <c r="E273" s="101" t="n">
        <v>0.285701</v>
      </c>
      <c r="F273" s="99" t="n">
        <v>25.4</v>
      </c>
      <c r="G273" s="100" t="n">
        <v>0.240231</v>
      </c>
      <c r="H273" s="102" t="n">
        <v>28.45</v>
      </c>
      <c r="I273" s="100" t="n">
        <v>0.284338</v>
      </c>
      <c r="J273" s="102" t="n">
        <v>27</v>
      </c>
      <c r="K273" s="100" t="n">
        <v>0.268626</v>
      </c>
      <c r="L273" s="99" t="n">
        <v>33.5</v>
      </c>
      <c r="M273" s="100" t="n">
        <v>0.33481</v>
      </c>
      <c r="N273" s="102" t="n">
        <v>31.2</v>
      </c>
      <c r="O273" s="100" t="n">
        <v>0.311823</v>
      </c>
      <c r="P273" s="103">
        <f>C273-G273</f>
        <v/>
      </c>
      <c r="Q273" s="103">
        <f>E273-C273</f>
        <v/>
      </c>
      <c r="R273" s="103">
        <f>C273-M273</f>
        <v/>
      </c>
      <c r="S273" s="103">
        <f>C273-O273</f>
        <v/>
      </c>
      <c r="T273" s="103">
        <f>E273-O273</f>
        <v/>
      </c>
      <c r="U273" s="103">
        <f>G273-O273</f>
        <v/>
      </c>
      <c r="V273" s="103">
        <f>G273-K273</f>
        <v/>
      </c>
      <c r="W273" s="103">
        <f>C273-K273</f>
        <v/>
      </c>
      <c r="X273" s="103">
        <f>I273-G273</f>
        <v/>
      </c>
      <c r="Y273" s="104">
        <f>G273-M273</f>
        <v/>
      </c>
    </row>
    <row r="274">
      <c r="A274" s="98" t="n">
        <v>44916</v>
      </c>
      <c r="B274" s="99" t="n">
        <v>27.839</v>
      </c>
      <c r="C274" s="100" t="n">
        <v>0.277137</v>
      </c>
      <c r="D274" s="99" t="n">
        <v>29.95</v>
      </c>
      <c r="E274" s="101" t="n">
        <v>0.298152</v>
      </c>
      <c r="F274" s="99" t="n">
        <v>26.7</v>
      </c>
      <c r="G274" s="100" t="n">
        <v>0.25253</v>
      </c>
      <c r="H274" s="102" t="n">
        <v>30.3</v>
      </c>
      <c r="I274" s="100" t="n">
        <v>0.302829</v>
      </c>
      <c r="J274" s="102" t="n">
        <v>27.89</v>
      </c>
      <c r="K274" s="100" t="n">
        <v>0.277489</v>
      </c>
      <c r="L274" s="99" t="n">
        <v>34.49</v>
      </c>
      <c r="M274" s="100" t="n">
        <v>0.344705</v>
      </c>
      <c r="N274" s="102" t="n">
        <v>31.37</v>
      </c>
      <c r="O274" s="100" t="n">
        <v>0.313523</v>
      </c>
      <c r="P274" s="103">
        <f>C274-G274</f>
        <v/>
      </c>
      <c r="Q274" s="103">
        <f>E274-C274</f>
        <v/>
      </c>
      <c r="R274" s="103">
        <f>C274-M274</f>
        <v/>
      </c>
      <c r="S274" s="103">
        <f>C274-O274</f>
        <v/>
      </c>
      <c r="T274" s="103">
        <f>E274-O274</f>
        <v/>
      </c>
      <c r="U274" s="103">
        <f>G274-O274</f>
        <v/>
      </c>
      <c r="V274" s="103">
        <f>G274-K274</f>
        <v/>
      </c>
      <c r="W274" s="103">
        <f>C274-K274</f>
        <v/>
      </c>
      <c r="X274" s="103">
        <f>I274-G274</f>
        <v/>
      </c>
      <c r="Y274" s="104">
        <f>G274-M274</f>
        <v/>
      </c>
    </row>
    <row r="275">
      <c r="A275" s="98" t="n">
        <v>44915</v>
      </c>
      <c r="B275" s="99" t="n">
        <v>26.9</v>
      </c>
      <c r="C275" s="100" t="n">
        <v>0.267797</v>
      </c>
      <c r="D275" s="99" t="n">
        <v>30.37</v>
      </c>
      <c r="E275" s="101" t="n">
        <v>0.302342</v>
      </c>
      <c r="F275" s="99" t="n">
        <v>25.69</v>
      </c>
      <c r="G275" s="100" t="n">
        <v>0.24298</v>
      </c>
      <c r="H275" s="102" t="n">
        <v>29.979</v>
      </c>
      <c r="I275" s="100" t="n">
        <v>0.299622</v>
      </c>
      <c r="J275" s="102" t="n">
        <v>26.71</v>
      </c>
      <c r="K275" s="100" t="n">
        <v>0.265757</v>
      </c>
      <c r="L275" s="99" t="n">
        <v>33.3</v>
      </c>
      <c r="M275" s="100" t="n">
        <v>0.332813</v>
      </c>
      <c r="N275" s="102" t="n">
        <v>29.85</v>
      </c>
      <c r="O275" s="100" t="n">
        <v>0.298332</v>
      </c>
      <c r="P275" s="103">
        <f>C275-G275</f>
        <v/>
      </c>
      <c r="Q275" s="103">
        <f>E275-C275</f>
        <v/>
      </c>
      <c r="R275" s="103">
        <f>C275-M275</f>
        <v/>
      </c>
      <c r="S275" s="103">
        <f>C275-O275</f>
        <v/>
      </c>
      <c r="T275" s="103">
        <f>E275-O275</f>
        <v/>
      </c>
      <c r="U275" s="103">
        <f>G275-O275</f>
        <v/>
      </c>
      <c r="V275" s="103">
        <f>G275-K275</f>
        <v/>
      </c>
      <c r="W275" s="103">
        <f>C275-K275</f>
        <v/>
      </c>
      <c r="X275" s="103">
        <f>I275-G275</f>
        <v/>
      </c>
      <c r="Y275" s="104">
        <f>G275-M275</f>
        <v/>
      </c>
    </row>
    <row r="276">
      <c r="A276" s="98" t="n">
        <v>44914</v>
      </c>
      <c r="B276" s="99" t="n">
        <v>27</v>
      </c>
      <c r="C276" s="100" t="n">
        <v>0.2688</v>
      </c>
      <c r="D276" s="99" t="n">
        <v>29.25</v>
      </c>
      <c r="E276" s="101" t="n">
        <v>0.2912</v>
      </c>
      <c r="F276" s="99" t="n">
        <v>25.7</v>
      </c>
      <c r="G276" s="100" t="n">
        <v>0.243078</v>
      </c>
      <c r="H276" s="102" t="n">
        <v>30.35</v>
      </c>
      <c r="I276" s="100" t="n">
        <v>0.303331</v>
      </c>
      <c r="J276" s="102" t="n">
        <v>27.15</v>
      </c>
      <c r="K276" s="100" t="n">
        <v>0.270143</v>
      </c>
      <c r="L276" s="99" t="n">
        <v>33.3</v>
      </c>
      <c r="M276" s="100" t="n">
        <v>0.332814</v>
      </c>
      <c r="N276" s="102" t="n">
        <v>30</v>
      </c>
      <c r="O276" s="100" t="n">
        <v>0.299833</v>
      </c>
      <c r="P276" s="103">
        <f>C276-G276</f>
        <v/>
      </c>
      <c r="Q276" s="103">
        <f>E276-C276</f>
        <v/>
      </c>
      <c r="R276" s="103">
        <f>C276-M276</f>
        <v/>
      </c>
      <c r="S276" s="103">
        <f>C276-O276</f>
        <v/>
      </c>
      <c r="T276" s="103">
        <f>E276-O276</f>
        <v/>
      </c>
      <c r="U276" s="103">
        <f>G276-O276</f>
        <v/>
      </c>
      <c r="V276" s="103">
        <f>G276-K276</f>
        <v/>
      </c>
      <c r="W276" s="103">
        <f>C276-K276</f>
        <v/>
      </c>
      <c r="X276" s="103">
        <f>I276-G276</f>
        <v/>
      </c>
      <c r="Y276" s="104">
        <f>G276-M276</f>
        <v/>
      </c>
    </row>
    <row r="277">
      <c r="A277" s="98" t="n">
        <v>44911</v>
      </c>
      <c r="B277" s="99" t="n">
        <v>26</v>
      </c>
      <c r="C277" s="100" t="n">
        <v>0.258865</v>
      </c>
      <c r="D277" s="99" t="n">
        <v>28.999</v>
      </c>
      <c r="E277" s="101" t="n">
        <v>0.288724</v>
      </c>
      <c r="F277" s="99" t="n">
        <v>24.881</v>
      </c>
      <c r="G277" s="100" t="n">
        <v>0.235341</v>
      </c>
      <c r="H277" s="102" t="n">
        <v>29.6</v>
      </c>
      <c r="I277" s="100" t="n">
        <v>0.295838</v>
      </c>
      <c r="J277" s="102" t="n">
        <v>25.75</v>
      </c>
      <c r="K277" s="100" t="n">
        <v>0.256236</v>
      </c>
      <c r="L277" s="99" t="n">
        <v>32.3</v>
      </c>
      <c r="M277" s="100" t="n">
        <v>0.322823</v>
      </c>
      <c r="N277" s="102" t="n">
        <v>29.45</v>
      </c>
      <c r="O277" s="100" t="n">
        <v>0.294339</v>
      </c>
      <c r="P277" s="103">
        <f>C277-G277</f>
        <v/>
      </c>
      <c r="Q277" s="103">
        <f>E277-C277</f>
        <v/>
      </c>
      <c r="R277" s="103">
        <f>C277-M277</f>
        <v/>
      </c>
      <c r="S277" s="103">
        <f>C277-O277</f>
        <v/>
      </c>
      <c r="T277" s="103">
        <f>E277-O277</f>
        <v/>
      </c>
      <c r="U277" s="103">
        <f>G277-O277</f>
        <v/>
      </c>
      <c r="V277" s="103">
        <f>G277-K277</f>
        <v/>
      </c>
      <c r="W277" s="103">
        <f>C277-K277</f>
        <v/>
      </c>
      <c r="X277" s="103">
        <f>I277-G277</f>
        <v/>
      </c>
      <c r="Y277" s="104">
        <f>G277-M277</f>
        <v/>
      </c>
    </row>
    <row r="278">
      <c r="A278" s="98" t="n">
        <v>44910</v>
      </c>
      <c r="B278" s="99" t="n">
        <v>25.3</v>
      </c>
      <c r="C278" s="100" t="n">
        <v>0.251903</v>
      </c>
      <c r="D278" s="99" t="n">
        <v>29</v>
      </c>
      <c r="E278" s="101" t="n">
        <v>0.288742</v>
      </c>
      <c r="F278" s="99" t="n">
        <v>24.39</v>
      </c>
      <c r="G278" s="100" t="n">
        <v>0.2307</v>
      </c>
      <c r="H278" s="102" t="n">
        <v>29</v>
      </c>
      <c r="I278" s="100" t="n">
        <v>0.289842</v>
      </c>
      <c r="J278" s="102" t="n">
        <v>25.05</v>
      </c>
      <c r="K278" s="100" t="n">
        <v>0.249278</v>
      </c>
      <c r="L278" s="99" t="n">
        <v>31.64</v>
      </c>
      <c r="M278" s="100" t="n">
        <v>0.316228</v>
      </c>
      <c r="N278" s="102" t="n">
        <v>28.95</v>
      </c>
      <c r="O278" s="100" t="n">
        <v>0.289342</v>
      </c>
      <c r="P278" s="103">
        <f>C278-G278</f>
        <v/>
      </c>
      <c r="Q278" s="103">
        <f>E278-C278</f>
        <v/>
      </c>
      <c r="R278" s="103">
        <f>C278-M278</f>
        <v/>
      </c>
      <c r="S278" s="103">
        <f>C278-O278</f>
        <v/>
      </c>
      <c r="T278" s="103">
        <f>E278-O278</f>
        <v/>
      </c>
      <c r="U278" s="103">
        <f>G278-O278</f>
        <v/>
      </c>
      <c r="V278" s="103">
        <f>G278-K278</f>
        <v/>
      </c>
      <c r="W278" s="103">
        <f>C278-K278</f>
        <v/>
      </c>
      <c r="X278" s="103">
        <f>I278-G278</f>
        <v/>
      </c>
      <c r="Y278" s="104">
        <f>G278-M278</f>
        <v/>
      </c>
    </row>
    <row r="279">
      <c r="A279" s="98" t="n">
        <v>44909</v>
      </c>
      <c r="B279" s="99" t="n">
        <v>24.81</v>
      </c>
      <c r="C279" s="100" t="n">
        <v>0.247031</v>
      </c>
      <c r="D279" s="99" t="n">
        <v>29</v>
      </c>
      <c r="E279" s="101" t="n">
        <v>0.28875</v>
      </c>
      <c r="F279" s="99" t="n">
        <v>23.86</v>
      </c>
      <c r="G279" s="100" t="n">
        <v>0.225689</v>
      </c>
      <c r="H279" s="102" t="n">
        <v>28.2</v>
      </c>
      <c r="I279" s="100" t="n">
        <v>0.281847</v>
      </c>
      <c r="J279" s="102" t="n">
        <v>24.51</v>
      </c>
      <c r="K279" s="100" t="n">
        <v>0.243912</v>
      </c>
      <c r="L279" s="99" t="n">
        <v>31.5</v>
      </c>
      <c r="M279" s="100" t="n">
        <v>0.31483</v>
      </c>
      <c r="N279" s="102" t="n">
        <v>28.649</v>
      </c>
      <c r="O279" s="100" t="n">
        <v>0.286335</v>
      </c>
      <c r="P279" s="103">
        <f>C279-G279</f>
        <v/>
      </c>
      <c r="Q279" s="103">
        <f>E279-C279</f>
        <v/>
      </c>
      <c r="R279" s="103">
        <f>C279-M279</f>
        <v/>
      </c>
      <c r="S279" s="103">
        <f>C279-O279</f>
        <v/>
      </c>
      <c r="T279" s="103">
        <f>E279-O279</f>
        <v/>
      </c>
      <c r="U279" s="103">
        <f>G279-O279</f>
        <v/>
      </c>
      <c r="V279" s="103">
        <f>G279-K279</f>
        <v/>
      </c>
      <c r="W279" s="103">
        <f>C279-K279</f>
        <v/>
      </c>
      <c r="X279" s="103">
        <f>I279-G279</f>
        <v/>
      </c>
      <c r="Y279" s="104">
        <f>G279-M279</f>
        <v/>
      </c>
    </row>
    <row r="280">
      <c r="A280" s="98" t="n">
        <v>44908</v>
      </c>
      <c r="B280" s="99" t="n">
        <v>25.099</v>
      </c>
      <c r="C280" s="100" t="n">
        <v>0.249915</v>
      </c>
      <c r="D280" s="99" t="n">
        <v>27</v>
      </c>
      <c r="E280" s="101" t="n">
        <v>0.268844</v>
      </c>
      <c r="F280" s="99" t="n">
        <v>24.035</v>
      </c>
      <c r="G280" s="100" t="n">
        <v>0.227348</v>
      </c>
      <c r="H280" s="102" t="n">
        <v>28.08</v>
      </c>
      <c r="I280" s="100" t="n">
        <v>0.280649</v>
      </c>
      <c r="J280" s="102" t="n">
        <v>25.199</v>
      </c>
      <c r="K280" s="100" t="n">
        <v>0.250776</v>
      </c>
      <c r="L280" s="99" t="n">
        <v>31.5</v>
      </c>
      <c r="M280" s="100" t="n">
        <v>0.314831</v>
      </c>
      <c r="N280" s="102" t="n">
        <v>28.201</v>
      </c>
      <c r="O280" s="100" t="n">
        <v>0.281858</v>
      </c>
      <c r="P280" s="103">
        <f>C280-G280</f>
        <v/>
      </c>
      <c r="Q280" s="103">
        <f>E280-C280</f>
        <v/>
      </c>
      <c r="R280" s="103">
        <f>C280-M280</f>
        <v/>
      </c>
      <c r="S280" s="103">
        <f>C280-O280</f>
        <v/>
      </c>
      <c r="T280" s="103">
        <f>E280-O280</f>
        <v/>
      </c>
      <c r="U280" s="103">
        <f>G280-O280</f>
        <v/>
      </c>
      <c r="V280" s="103">
        <f>G280-K280</f>
        <v/>
      </c>
      <c r="W280" s="103">
        <f>C280-K280</f>
        <v/>
      </c>
      <c r="X280" s="103">
        <f>I280-G280</f>
        <v/>
      </c>
      <c r="Y280" s="104">
        <f>G280-M280</f>
        <v/>
      </c>
    </row>
    <row r="281">
      <c r="A281" s="98" t="n">
        <v>44907</v>
      </c>
      <c r="B281" s="99" t="n">
        <v>24.89</v>
      </c>
      <c r="C281" s="100" t="n">
        <v>0.247841</v>
      </c>
      <c r="D281" s="99" t="n">
        <v>28.5</v>
      </c>
      <c r="E281" s="101" t="n">
        <v>0.283787</v>
      </c>
      <c r="F281" s="99" t="n">
        <v>23.76</v>
      </c>
      <c r="G281" s="100" t="n">
        <v>0.224749</v>
      </c>
      <c r="H281" s="102" t="n">
        <v>27.799</v>
      </c>
      <c r="I281" s="100" t="n">
        <v>0.277842</v>
      </c>
      <c r="J281" s="102" t="n">
        <v>24.5</v>
      </c>
      <c r="K281" s="100" t="n">
        <v>0.243828</v>
      </c>
      <c r="L281" s="99" t="n">
        <v>31</v>
      </c>
      <c r="M281" s="100" t="n">
        <v>0.309834</v>
      </c>
      <c r="N281" s="102" t="n">
        <v>27.99</v>
      </c>
      <c r="O281" s="100" t="n">
        <v>0.279751</v>
      </c>
      <c r="P281" s="103">
        <f>C281-G281</f>
        <v/>
      </c>
      <c r="Q281" s="103">
        <f>E281-C281</f>
        <v/>
      </c>
      <c r="R281" s="103">
        <f>C281-M281</f>
        <v/>
      </c>
      <c r="S281" s="103">
        <f>C281-O281</f>
        <v/>
      </c>
      <c r="T281" s="103">
        <f>E281-O281</f>
        <v/>
      </c>
      <c r="U281" s="103">
        <f>G281-O281</f>
        <v/>
      </c>
      <c r="V281" s="103">
        <f>G281-K281</f>
        <v/>
      </c>
      <c r="W281" s="103">
        <f>C281-K281</f>
        <v/>
      </c>
      <c r="X281" s="103">
        <f>I281-G281</f>
        <v/>
      </c>
      <c r="Y281" s="104">
        <f>G281-M281</f>
        <v/>
      </c>
    </row>
    <row r="282">
      <c r="A282" s="98" t="n">
        <v>44902</v>
      </c>
      <c r="B282" s="99" t="n">
        <v>23.95</v>
      </c>
      <c r="C282" s="100" t="n">
        <v>0.238513</v>
      </c>
      <c r="D282" s="99" t="n">
        <v>27.979</v>
      </c>
      <c r="E282" s="101" t="n">
        <v>0.278637</v>
      </c>
      <c r="F282" s="99" t="n">
        <v>23.178</v>
      </c>
      <c r="G282" s="100" t="n">
        <v>0.219258</v>
      </c>
      <c r="H282" s="102" t="n">
        <v>27.05</v>
      </c>
      <c r="I282" s="100" t="n">
        <v>0.27036</v>
      </c>
      <c r="J282" s="102" t="n">
        <v>24.16</v>
      </c>
      <c r="K282" s="100" t="n">
        <v>0.240481</v>
      </c>
      <c r="L282" s="99" t="n">
        <v>30.349</v>
      </c>
      <c r="M282" s="100" t="n">
        <v>0.303333</v>
      </c>
      <c r="N282" s="102" t="n">
        <v>27.5</v>
      </c>
      <c r="O282" s="100" t="n">
        <v>0.274858</v>
      </c>
      <c r="P282" s="103">
        <f>C282-G282</f>
        <v/>
      </c>
      <c r="Q282" s="103">
        <f>E282-C282</f>
        <v/>
      </c>
      <c r="R282" s="103">
        <f>C282-M282</f>
        <v/>
      </c>
      <c r="S282" s="103">
        <f>C282-O282</f>
        <v/>
      </c>
      <c r="T282" s="103">
        <f>E282-O282</f>
        <v/>
      </c>
      <c r="U282" s="103">
        <f>G282-O282</f>
        <v/>
      </c>
      <c r="V282" s="103">
        <f>G282-K282</f>
        <v/>
      </c>
      <c r="W282" s="103">
        <f>C282-K282</f>
        <v/>
      </c>
      <c r="X282" s="103">
        <f>I282-G282</f>
        <v/>
      </c>
      <c r="Y282" s="104">
        <f>G282-M282</f>
        <v/>
      </c>
    </row>
    <row r="283">
      <c r="A283" s="98" t="n">
        <v>44901</v>
      </c>
      <c r="B283" s="99" t="n">
        <v>23.4</v>
      </c>
      <c r="C283" s="100" t="n">
        <v>0.233042</v>
      </c>
      <c r="D283" s="99" t="n">
        <v>27.6</v>
      </c>
      <c r="E283" s="101" t="n">
        <v>0.27487</v>
      </c>
      <c r="F283" s="99" t="n">
        <v>22.83</v>
      </c>
      <c r="G283" s="100" t="n">
        <v>0.215969</v>
      </c>
      <c r="H283" s="102" t="n">
        <v>26.47</v>
      </c>
      <c r="I283" s="100" t="n">
        <v>0.264564</v>
      </c>
      <c r="J283" s="102" t="n">
        <v>23.76</v>
      </c>
      <c r="K283" s="100" t="n">
        <v>0.236507</v>
      </c>
      <c r="L283" s="99" t="n">
        <v>29.35</v>
      </c>
      <c r="M283" s="100" t="n">
        <v>0.293349</v>
      </c>
      <c r="N283" s="102" t="n">
        <v>27.2</v>
      </c>
      <c r="O283" s="100" t="n">
        <v>0.27186</v>
      </c>
      <c r="P283" s="103">
        <f>C283-G283</f>
        <v/>
      </c>
      <c r="Q283" s="103">
        <f>E283-C283</f>
        <v/>
      </c>
      <c r="R283" s="103">
        <f>C283-M283</f>
        <v/>
      </c>
      <c r="S283" s="103">
        <f>C283-O283</f>
        <v/>
      </c>
      <c r="T283" s="103">
        <f>E283-O283</f>
        <v/>
      </c>
      <c r="U283" s="103">
        <f>G283-O283</f>
        <v/>
      </c>
      <c r="V283" s="103">
        <f>G283-K283</f>
        <v/>
      </c>
      <c r="W283" s="103">
        <f>C283-K283</f>
        <v/>
      </c>
      <c r="X283" s="103">
        <f>I283-G283</f>
        <v/>
      </c>
      <c r="Y283" s="104">
        <f>G283-M283</f>
        <v/>
      </c>
    </row>
    <row r="284">
      <c r="A284" s="98" t="n">
        <v>44900</v>
      </c>
      <c r="B284" s="99" t="n">
        <v>24.23</v>
      </c>
      <c r="C284" s="100" t="n">
        <v>0.241315</v>
      </c>
      <c r="D284" s="99" t="n">
        <v>27.15</v>
      </c>
      <c r="E284" s="101" t="n">
        <v>0.270396</v>
      </c>
      <c r="F284" s="99" t="n">
        <v>23.33</v>
      </c>
      <c r="G284" s="100" t="n">
        <v>0.220702</v>
      </c>
      <c r="H284" s="102" t="n">
        <v>27.42</v>
      </c>
      <c r="I284" s="100" t="n">
        <v>0.27406</v>
      </c>
      <c r="J284" s="102" t="n">
        <v>24.995</v>
      </c>
      <c r="K284" s="100" t="n">
        <v>0.248807</v>
      </c>
      <c r="L284" s="99" t="n">
        <v>30</v>
      </c>
      <c r="M284" s="100" t="n">
        <v>0.299847</v>
      </c>
      <c r="N284" s="102" t="n">
        <v>27.51</v>
      </c>
      <c r="O284" s="100" t="n">
        <v>0.27496</v>
      </c>
      <c r="P284" s="103">
        <f>C284-G284</f>
        <v/>
      </c>
      <c r="Q284" s="103">
        <f>E284-C284</f>
        <v/>
      </c>
      <c r="R284" s="103">
        <f>C284-M284</f>
        <v/>
      </c>
      <c r="S284" s="103">
        <f>C284-O284</f>
        <v/>
      </c>
      <c r="T284" s="103">
        <f>E284-O284</f>
        <v/>
      </c>
      <c r="U284" s="103">
        <f>G284-O284</f>
        <v/>
      </c>
      <c r="V284" s="103">
        <f>G284-K284</f>
        <v/>
      </c>
      <c r="W284" s="103">
        <f>C284-K284</f>
        <v/>
      </c>
      <c r="X284" s="103">
        <f>I284-G284</f>
        <v/>
      </c>
      <c r="Y284" s="104">
        <f>G284-M284</f>
        <v/>
      </c>
    </row>
    <row r="285">
      <c r="A285" s="98" t="n">
        <v>44897</v>
      </c>
      <c r="B285" s="99" t="n">
        <v>24.729</v>
      </c>
      <c r="C285" s="100" t="n">
        <v>0.246305</v>
      </c>
      <c r="D285" s="99" t="n">
        <v>27.58</v>
      </c>
      <c r="E285" s="101" t="n">
        <v>0.274701</v>
      </c>
      <c r="F285" s="99" t="n">
        <v>23.7</v>
      </c>
      <c r="G285" s="100" t="n">
        <v>0.224211</v>
      </c>
      <c r="H285" s="102" t="n">
        <v>27.75</v>
      </c>
      <c r="I285" s="100" t="n">
        <v>0.277361</v>
      </c>
      <c r="J285" s="102" t="n">
        <v>25.1</v>
      </c>
      <c r="K285" s="100" t="n">
        <v>0.249876</v>
      </c>
      <c r="L285" s="99" t="n">
        <v>30.6</v>
      </c>
      <c r="M285" s="100" t="n">
        <v>0.305847</v>
      </c>
      <c r="N285" s="102" t="n">
        <v>28.01</v>
      </c>
      <c r="O285" s="100" t="n">
        <v>0.27996</v>
      </c>
      <c r="P285" s="103">
        <f>C285-G285</f>
        <v/>
      </c>
      <c r="Q285" s="103">
        <f>E285-C285</f>
        <v/>
      </c>
      <c r="R285" s="103">
        <f>C285-M285</f>
        <v/>
      </c>
      <c r="S285" s="103">
        <f>C285-O285</f>
        <v/>
      </c>
      <c r="T285" s="103">
        <f>E285-O285</f>
        <v/>
      </c>
      <c r="U285" s="103">
        <f>G285-O285</f>
        <v/>
      </c>
      <c r="V285" s="103">
        <f>G285-K285</f>
        <v/>
      </c>
      <c r="W285" s="103">
        <f>C285-K285</f>
        <v/>
      </c>
      <c r="X285" s="103">
        <f>I285-G285</f>
        <v/>
      </c>
      <c r="Y285" s="104">
        <f>G285-M285</f>
        <v/>
      </c>
    </row>
    <row r="286">
      <c r="A286" s="98" t="n">
        <v>44896</v>
      </c>
      <c r="B286" s="99" t="n">
        <v>25</v>
      </c>
      <c r="C286" s="100" t="n">
        <v>0.249011</v>
      </c>
      <c r="D286" s="99" t="n">
        <v>27.65</v>
      </c>
      <c r="E286" s="101" t="n">
        <v>0.275406</v>
      </c>
      <c r="F286" s="99" t="n">
        <v>24.121</v>
      </c>
      <c r="G286" s="100" t="n">
        <v>0.228197</v>
      </c>
      <c r="H286" s="102" t="n">
        <v>28.151</v>
      </c>
      <c r="I286" s="100" t="n">
        <v>0.28137</v>
      </c>
      <c r="J286" s="102" t="n">
        <v>25.1</v>
      </c>
      <c r="K286" s="100" t="n">
        <v>0.249883</v>
      </c>
      <c r="L286" s="99" t="n">
        <v>30.6</v>
      </c>
      <c r="M286" s="100" t="n">
        <v>0.305848</v>
      </c>
      <c r="N286" s="102" t="n">
        <v>28.499</v>
      </c>
      <c r="O286" s="100" t="n">
        <v>0.284849</v>
      </c>
      <c r="P286" s="103">
        <f>C286-G286</f>
        <v/>
      </c>
      <c r="Q286" s="103">
        <f>E286-C286</f>
        <v/>
      </c>
      <c r="R286" s="103">
        <f>C286-M286</f>
        <v/>
      </c>
      <c r="S286" s="103">
        <f>C286-O286</f>
        <v/>
      </c>
      <c r="T286" s="103">
        <f>E286-O286</f>
        <v/>
      </c>
      <c r="U286" s="103">
        <f>G286-O286</f>
        <v/>
      </c>
      <c r="V286" s="103">
        <f>G286-K286</f>
        <v/>
      </c>
      <c r="W286" s="103">
        <f>C286-K286</f>
        <v/>
      </c>
      <c r="X286" s="103">
        <f>I286-G286</f>
        <v/>
      </c>
      <c r="Y286" s="104">
        <f>G286-M286</f>
        <v/>
      </c>
    </row>
    <row r="287">
      <c r="A287" s="98" t="n">
        <v>44895</v>
      </c>
      <c r="B287" s="99" t="n">
        <v>24.3</v>
      </c>
      <c r="C287" s="100" t="n">
        <v>0.242045</v>
      </c>
      <c r="D287" s="99" t="n">
        <v>27</v>
      </c>
      <c r="E287" s="101" t="n">
        <v>0.268939</v>
      </c>
      <c r="F287" s="99" t="n">
        <v>23.8</v>
      </c>
      <c r="G287" s="100" t="n">
        <v>0.225163</v>
      </c>
      <c r="H287" s="102" t="n">
        <v>28.079</v>
      </c>
      <c r="I287" s="100" t="n">
        <v>0.280652</v>
      </c>
      <c r="J287" s="102" t="n">
        <v>24.6</v>
      </c>
      <c r="K287" s="100" t="n">
        <v>0.244913</v>
      </c>
      <c r="L287" s="99" t="n">
        <v>30.2</v>
      </c>
      <c r="M287" s="100" t="n">
        <v>0.301851</v>
      </c>
      <c r="N287" s="102" t="n">
        <v>27.85</v>
      </c>
      <c r="O287" s="100" t="n">
        <v>0.278363</v>
      </c>
      <c r="P287" s="103">
        <f>C287-G287</f>
        <v/>
      </c>
      <c r="Q287" s="103">
        <f>E287-C287</f>
        <v/>
      </c>
      <c r="R287" s="103">
        <f>C287-M287</f>
        <v/>
      </c>
      <c r="S287" s="103">
        <f>C287-O287</f>
        <v/>
      </c>
      <c r="T287" s="103">
        <f>E287-O287</f>
        <v/>
      </c>
      <c r="U287" s="103">
        <f>G287-O287</f>
        <v/>
      </c>
      <c r="V287" s="103">
        <f>G287-K287</f>
        <v/>
      </c>
      <c r="W287" s="103">
        <f>C287-K287</f>
        <v/>
      </c>
      <c r="X287" s="103">
        <f>I287-G287</f>
        <v/>
      </c>
      <c r="Y287" s="104">
        <f>G287-M287</f>
        <v/>
      </c>
    </row>
    <row r="288">
      <c r="A288" s="98" t="n">
        <v>44894</v>
      </c>
      <c r="B288" s="99" t="n">
        <v>24</v>
      </c>
      <c r="C288" s="100" t="n">
        <v>0.239063</v>
      </c>
      <c r="D288" s="99" t="n">
        <v>27</v>
      </c>
      <c r="E288" s="101" t="n">
        <v>0.268946</v>
      </c>
      <c r="F288" s="99" t="n">
        <v>23.16</v>
      </c>
      <c r="G288" s="100" t="n">
        <v>0.219111</v>
      </c>
      <c r="H288" s="102" t="n">
        <v>26.862</v>
      </c>
      <c r="I288" s="100" t="n">
        <v>0.268489</v>
      </c>
      <c r="J288" s="102" t="n">
        <v>23.66</v>
      </c>
      <c r="K288" s="100" t="n">
        <v>0.235562</v>
      </c>
      <c r="L288" s="99" t="n">
        <v>29.69</v>
      </c>
      <c r="M288" s="100" t="n">
        <v>0.296755</v>
      </c>
      <c r="N288" s="102" t="n">
        <v>27</v>
      </c>
      <c r="O288" s="100" t="n">
        <v>0.269868</v>
      </c>
      <c r="P288" s="103">
        <f>C288-G288</f>
        <v/>
      </c>
      <c r="Q288" s="103">
        <f>E288-C288</f>
        <v/>
      </c>
      <c r="R288" s="103">
        <f>C288-M288</f>
        <v/>
      </c>
      <c r="S288" s="103">
        <f>C288-O288</f>
        <v/>
      </c>
      <c r="T288" s="103">
        <f>E288-O288</f>
        <v/>
      </c>
      <c r="U288" s="103">
        <f>G288-O288</f>
        <v/>
      </c>
      <c r="V288" s="103">
        <f>G288-K288</f>
        <v/>
      </c>
      <c r="W288" s="103">
        <f>C288-K288</f>
        <v/>
      </c>
      <c r="X288" s="103">
        <f>I288-G288</f>
        <v/>
      </c>
      <c r="Y288" s="104">
        <f>G288-M288</f>
        <v/>
      </c>
    </row>
    <row r="289">
      <c r="A289" s="98" t="n">
        <v>44893</v>
      </c>
      <c r="B289" s="99" t="n">
        <v>23.4</v>
      </c>
      <c r="C289" s="100" t="n">
        <v>0.233093</v>
      </c>
      <c r="D289" s="99" t="n">
        <v>26.76</v>
      </c>
      <c r="E289" s="101" t="n">
        <v>0.266563</v>
      </c>
      <c r="F289" s="99" t="n">
        <v>22.5</v>
      </c>
      <c r="G289" s="100" t="n">
        <v>0.212869</v>
      </c>
      <c r="H289" s="102" t="n">
        <v>25.89</v>
      </c>
      <c r="I289" s="100" t="n">
        <v>0.258774</v>
      </c>
      <c r="J289" s="102" t="n">
        <v>23.4</v>
      </c>
      <c r="K289" s="100" t="n">
        <v>0.23298</v>
      </c>
      <c r="L289" s="99" t="n">
        <v>28.998</v>
      </c>
      <c r="M289" s="100" t="n">
        <v>0.289839</v>
      </c>
      <c r="N289" s="102" t="n">
        <v>26.38</v>
      </c>
      <c r="O289" s="100" t="n">
        <v>0.263672</v>
      </c>
      <c r="P289" s="103">
        <f>C289-G289</f>
        <v/>
      </c>
      <c r="Q289" s="103">
        <f>E289-C289</f>
        <v/>
      </c>
      <c r="R289" s="103">
        <f>C289-M289</f>
        <v/>
      </c>
      <c r="S289" s="103">
        <f>C289-O289</f>
        <v/>
      </c>
      <c r="T289" s="103">
        <f>E289-O289</f>
        <v/>
      </c>
      <c r="U289" s="103">
        <f>G289-O289</f>
        <v/>
      </c>
      <c r="V289" s="103">
        <f>G289-K289</f>
        <v/>
      </c>
      <c r="W289" s="103">
        <f>C289-K289</f>
        <v/>
      </c>
      <c r="X289" s="103">
        <f>I289-G289</f>
        <v/>
      </c>
      <c r="Y289" s="104">
        <f>G289-M289</f>
        <v/>
      </c>
    </row>
    <row r="290">
      <c r="A290" s="98" t="n">
        <v>44890</v>
      </c>
      <c r="B290" s="99" t="n">
        <v>23.24</v>
      </c>
      <c r="C290" s="100" t="n">
        <v>0.231518</v>
      </c>
      <c r="D290" s="99" t="n">
        <v>26.399</v>
      </c>
      <c r="E290" s="101" t="n">
        <v>0.262988</v>
      </c>
      <c r="F290" s="99" t="n">
        <v>22.3</v>
      </c>
      <c r="G290" s="100" t="n">
        <v>0.210985</v>
      </c>
      <c r="H290" s="102" t="n">
        <v>25.88</v>
      </c>
      <c r="I290" s="100" t="n">
        <v>0.258677</v>
      </c>
      <c r="J290" s="102" t="n">
        <v>23.35</v>
      </c>
      <c r="K290" s="100" t="n">
        <v>0.232504</v>
      </c>
      <c r="L290" s="99" t="n">
        <v>29.6</v>
      </c>
      <c r="M290" s="100" t="n">
        <v>0.295859</v>
      </c>
      <c r="N290" s="102" t="n">
        <v>26.5</v>
      </c>
      <c r="O290" s="100" t="n">
        <v>0.264874</v>
      </c>
      <c r="P290" s="103">
        <f>C290-G290</f>
        <v/>
      </c>
      <c r="Q290" s="103">
        <f>E290-C290</f>
        <v/>
      </c>
      <c r="R290" s="103">
        <f>C290-M290</f>
        <v/>
      </c>
      <c r="S290" s="103">
        <f>C290-O290</f>
        <v/>
      </c>
      <c r="T290" s="103">
        <f>E290-O290</f>
        <v/>
      </c>
      <c r="U290" s="103">
        <f>G290-O290</f>
        <v/>
      </c>
      <c r="V290" s="103">
        <f>G290-K290</f>
        <v/>
      </c>
      <c r="W290" s="103">
        <f>C290-K290</f>
        <v/>
      </c>
      <c r="X290" s="103">
        <f>I290-G290</f>
        <v/>
      </c>
      <c r="Y290" s="104">
        <f>G290-M290</f>
        <v/>
      </c>
    </row>
    <row r="291">
      <c r="A291" s="98" t="n">
        <v>44889</v>
      </c>
      <c r="B291" s="99" t="n">
        <v>23.3</v>
      </c>
      <c r="C291" s="100" t="n">
        <v>0.232122</v>
      </c>
      <c r="D291" s="99" t="n">
        <v>26.4</v>
      </c>
      <c r="E291" s="101" t="n">
        <v>0.263006</v>
      </c>
      <c r="F291" s="99" t="n">
        <v>22.4</v>
      </c>
      <c r="G291" s="100" t="n">
        <v>0.211934</v>
      </c>
      <c r="H291" s="102" t="n">
        <v>25.882</v>
      </c>
      <c r="I291" s="100" t="n">
        <v>0.258698</v>
      </c>
      <c r="J291" s="102" t="n">
        <v>23.45</v>
      </c>
      <c r="K291" s="100" t="n">
        <v>0.233507</v>
      </c>
      <c r="L291" s="99" t="n">
        <v>29.3</v>
      </c>
      <c r="M291" s="100" t="n">
        <v>0.292862</v>
      </c>
      <c r="N291" s="102" t="n">
        <v>26.499</v>
      </c>
      <c r="O291" s="100" t="n">
        <v>0.264865</v>
      </c>
      <c r="P291" s="103">
        <f>C291-G291</f>
        <v/>
      </c>
      <c r="Q291" s="103">
        <f>E291-C291</f>
        <v/>
      </c>
      <c r="R291" s="103">
        <f>C291-M291</f>
        <v/>
      </c>
      <c r="S291" s="103">
        <f>C291-O291</f>
        <v/>
      </c>
      <c r="T291" s="103">
        <f>E291-O291</f>
        <v/>
      </c>
      <c r="U291" s="103">
        <f>G291-O291</f>
        <v/>
      </c>
      <c r="V291" s="103">
        <f>G291-K291</f>
        <v/>
      </c>
      <c r="W291" s="103">
        <f>C291-K291</f>
        <v/>
      </c>
      <c r="X291" s="103">
        <f>I291-G291</f>
        <v/>
      </c>
      <c r="Y291" s="104">
        <f>G291-M291</f>
        <v/>
      </c>
    </row>
    <row r="292">
      <c r="A292" s="98" t="n">
        <v>44888</v>
      </c>
      <c r="B292" s="99" t="n">
        <v>22.901</v>
      </c>
      <c r="C292" s="100" t="n">
        <v>0.228154</v>
      </c>
      <c r="D292" s="99" t="n">
        <v>25.8</v>
      </c>
      <c r="E292" s="101" t="n">
        <v>0.257035</v>
      </c>
      <c r="F292" s="99" t="n">
        <v>22.13</v>
      </c>
      <c r="G292" s="100" t="n">
        <v>0.209382</v>
      </c>
      <c r="H292" s="102" t="n">
        <v>26.25</v>
      </c>
      <c r="I292" s="100" t="n">
        <v>0.262377</v>
      </c>
      <c r="J292" s="102" t="n">
        <v>23.599</v>
      </c>
      <c r="K292" s="100" t="n">
        <v>0.234998</v>
      </c>
      <c r="L292" s="99" t="n">
        <v>28.5</v>
      </c>
      <c r="M292" s="100" t="n">
        <v>0.284866</v>
      </c>
      <c r="N292" s="102" t="n">
        <v>26.3</v>
      </c>
      <c r="O292" s="100" t="n">
        <v>0.262877</v>
      </c>
      <c r="P292" s="103">
        <f>C292-G292</f>
        <v/>
      </c>
      <c r="Q292" s="103">
        <f>E292-C292</f>
        <v/>
      </c>
      <c r="R292" s="103">
        <f>C292-M292</f>
        <v/>
      </c>
      <c r="S292" s="103">
        <f>C292-O292</f>
        <v/>
      </c>
      <c r="T292" s="103">
        <f>E292-O292</f>
        <v/>
      </c>
      <c r="U292" s="103">
        <f>G292-O292</f>
        <v/>
      </c>
      <c r="V292" s="103">
        <f>G292-K292</f>
        <v/>
      </c>
      <c r="W292" s="103">
        <f>C292-K292</f>
        <v/>
      </c>
      <c r="X292" s="103">
        <f>I292-G292</f>
        <v/>
      </c>
      <c r="Y292" s="104">
        <f>G292-M292</f>
        <v/>
      </c>
    </row>
    <row r="293">
      <c r="A293" s="98" t="n">
        <v>44887</v>
      </c>
      <c r="B293" s="99" t="n">
        <v>22.22</v>
      </c>
      <c r="C293" s="100" t="n">
        <v>0.221375</v>
      </c>
      <c r="D293" s="99" t="n">
        <v>25.8</v>
      </c>
      <c r="E293" s="101" t="n">
        <v>0.257042</v>
      </c>
      <c r="F293" s="99" t="n">
        <v>21.78</v>
      </c>
      <c r="G293" s="100" t="n">
        <v>0.206074</v>
      </c>
      <c r="H293" s="102" t="n">
        <v>26.1</v>
      </c>
      <c r="I293" s="100" t="n">
        <v>0.260878</v>
      </c>
      <c r="J293" s="102" t="n">
        <v>22.9</v>
      </c>
      <c r="K293" s="100" t="n">
        <v>0.228044</v>
      </c>
      <c r="L293" s="99" t="n">
        <v>28.65</v>
      </c>
      <c r="M293" s="100" t="n">
        <v>0.286367</v>
      </c>
      <c r="N293" s="102" t="n">
        <v>25.3</v>
      </c>
      <c r="O293" s="100" t="n">
        <v>0.252882</v>
      </c>
      <c r="P293" s="103">
        <f>C293-G293</f>
        <v/>
      </c>
      <c r="Q293" s="103">
        <f>E293-C293</f>
        <v/>
      </c>
      <c r="R293" s="103">
        <f>C293-M293</f>
        <v/>
      </c>
      <c r="S293" s="103">
        <f>C293-O293</f>
        <v/>
      </c>
      <c r="T293" s="103">
        <f>E293-O293</f>
        <v/>
      </c>
      <c r="U293" s="103">
        <f>G293-O293</f>
        <v/>
      </c>
      <c r="V293" s="103">
        <f>G293-K293</f>
        <v/>
      </c>
      <c r="W293" s="103">
        <f>C293-K293</f>
        <v/>
      </c>
      <c r="X293" s="103">
        <f>I293-G293</f>
        <v/>
      </c>
      <c r="Y293" s="104">
        <f>G293-M293</f>
        <v/>
      </c>
    </row>
    <row r="294">
      <c r="A294" s="98" t="n">
        <v>44883</v>
      </c>
      <c r="B294" s="99" t="n">
        <v>22.007</v>
      </c>
      <c r="C294" s="100" t="n">
        <v>0.219277</v>
      </c>
      <c r="D294" s="99" t="n">
        <v>25</v>
      </c>
      <c r="E294" s="101" t="n">
        <v>0.249099</v>
      </c>
      <c r="F294" s="99" t="n">
        <v>21.249</v>
      </c>
      <c r="G294" s="100" t="n">
        <v>0.20106</v>
      </c>
      <c r="H294" s="102" t="n">
        <v>25.18</v>
      </c>
      <c r="I294" s="100" t="n">
        <v>0.251686</v>
      </c>
      <c r="J294" s="102" t="n">
        <v>22.9</v>
      </c>
      <c r="K294" s="100" t="n">
        <v>0.228072</v>
      </c>
      <c r="L294" s="99" t="n">
        <v>27.9</v>
      </c>
      <c r="M294" s="100" t="n">
        <v>0.278874</v>
      </c>
      <c r="N294" s="102" t="n">
        <v>25.5</v>
      </c>
      <c r="O294" s="100" t="n">
        <v>0.254885</v>
      </c>
      <c r="P294" s="103">
        <f>C294-G294</f>
        <v/>
      </c>
      <c r="Q294" s="103">
        <f>E294-C294</f>
        <v/>
      </c>
      <c r="R294" s="103">
        <f>C294-M294</f>
        <v/>
      </c>
      <c r="S294" s="103">
        <f>C294-O294</f>
        <v/>
      </c>
      <c r="T294" s="103">
        <f>E294-O294</f>
        <v/>
      </c>
      <c r="U294" s="103">
        <f>G294-O294</f>
        <v/>
      </c>
      <c r="V294" s="103">
        <f>G294-K294</f>
        <v/>
      </c>
      <c r="W294" s="103">
        <f>C294-K294</f>
        <v/>
      </c>
      <c r="X294" s="103">
        <f>I294-G294</f>
        <v/>
      </c>
      <c r="Y294" s="104">
        <f>G294-M294</f>
        <v/>
      </c>
    </row>
    <row r="295">
      <c r="A295" s="98" t="n">
        <v>44882</v>
      </c>
      <c r="B295" s="99" t="n">
        <v>22.988</v>
      </c>
      <c r="C295" s="100" t="n">
        <v>0.229058</v>
      </c>
      <c r="D295" s="99" t="n">
        <v>25.8</v>
      </c>
      <c r="E295" s="101" t="n">
        <v>0.257077</v>
      </c>
      <c r="F295" s="99" t="n">
        <v>22.22</v>
      </c>
      <c r="G295" s="100" t="n">
        <v>0.21025</v>
      </c>
      <c r="H295" s="102" t="n">
        <v>26.03</v>
      </c>
      <c r="I295" s="100" t="n">
        <v>0.260183</v>
      </c>
      <c r="J295" s="102" t="n">
        <v>23.2</v>
      </c>
      <c r="K295" s="100" t="n">
        <v>0.231067</v>
      </c>
      <c r="L295" s="99" t="n">
        <v>29</v>
      </c>
      <c r="M295" s="100" t="n">
        <v>0.28987</v>
      </c>
      <c r="N295" s="102" t="n">
        <v>26</v>
      </c>
      <c r="O295" s="100" t="n">
        <v>0.259883</v>
      </c>
      <c r="P295" s="103">
        <f>C295-G295</f>
        <v/>
      </c>
      <c r="Q295" s="103">
        <f>E295-C295</f>
        <v/>
      </c>
      <c r="R295" s="103">
        <f>C295-M295</f>
        <v/>
      </c>
      <c r="S295" s="103">
        <f>C295-O295</f>
        <v/>
      </c>
      <c r="T295" s="103">
        <f>E295-O295</f>
        <v/>
      </c>
      <c r="U295" s="103">
        <f>G295-O295</f>
        <v/>
      </c>
      <c r="V295" s="103">
        <f>G295-K295</f>
        <v/>
      </c>
      <c r="W295" s="103">
        <f>C295-K295</f>
        <v/>
      </c>
      <c r="X295" s="103">
        <f>I295-G295</f>
        <v/>
      </c>
      <c r="Y295" s="104">
        <f>G295-M295</f>
        <v/>
      </c>
    </row>
    <row r="296">
      <c r="A296" s="98" t="n">
        <v>44881</v>
      </c>
      <c r="B296" s="99" t="n">
        <v>23.5</v>
      </c>
      <c r="C296" s="100" t="n">
        <v>0.234166</v>
      </c>
      <c r="D296" s="99" t="n">
        <v>26</v>
      </c>
      <c r="E296" s="101" t="n">
        <v>0.259077</v>
      </c>
      <c r="F296" s="99" t="n">
        <v>22.9</v>
      </c>
      <c r="G296" s="100" t="n">
        <v>0.216687</v>
      </c>
      <c r="H296" s="102" t="n">
        <v>26.6</v>
      </c>
      <c r="I296" s="100" t="n">
        <v>0.265882</v>
      </c>
      <c r="J296" s="102" t="n">
        <v>23.411</v>
      </c>
      <c r="K296" s="100" t="n">
        <v>0.233176</v>
      </c>
      <c r="L296" s="99" t="n">
        <v>28.7</v>
      </c>
      <c r="M296" s="100" t="n">
        <v>0.286872</v>
      </c>
      <c r="N296" s="102" t="n">
        <v>26.5</v>
      </c>
      <c r="O296" s="100" t="n">
        <v>0.264882</v>
      </c>
      <c r="P296" s="103">
        <f>C296-G296</f>
        <v/>
      </c>
      <c r="Q296" s="103">
        <f>E296-C296</f>
        <v/>
      </c>
      <c r="R296" s="103">
        <f>C296-M296</f>
        <v/>
      </c>
      <c r="S296" s="103">
        <f>C296-O296</f>
        <v/>
      </c>
      <c r="T296" s="103">
        <f>E296-O296</f>
        <v/>
      </c>
      <c r="U296" s="103">
        <f>G296-O296</f>
        <v/>
      </c>
      <c r="V296" s="103">
        <f>G296-K296</f>
        <v/>
      </c>
      <c r="W296" s="103">
        <f>C296-K296</f>
        <v/>
      </c>
      <c r="X296" s="103">
        <f>I296-G296</f>
        <v/>
      </c>
      <c r="Y296" s="104">
        <f>G296-M296</f>
        <v/>
      </c>
    </row>
    <row r="297">
      <c r="A297" s="98" t="n">
        <v>44880</v>
      </c>
      <c r="B297" s="99" t="n">
        <v>23</v>
      </c>
      <c r="C297" s="100" t="n">
        <v>0.22919</v>
      </c>
      <c r="D297" s="99" t="n">
        <v>25</v>
      </c>
      <c r="E297" s="101" t="n">
        <v>0.24912</v>
      </c>
      <c r="F297" s="99" t="n">
        <v>22.415</v>
      </c>
      <c r="G297" s="100" t="n">
        <v>0.212101</v>
      </c>
      <c r="H297" s="102" t="n">
        <v>26.22</v>
      </c>
      <c r="I297" s="100" t="n">
        <v>0.262084</v>
      </c>
      <c r="J297" s="102" t="n">
        <v>23.3</v>
      </c>
      <c r="K297" s="100" t="n">
        <v>0.232077</v>
      </c>
      <c r="L297" s="99" t="n">
        <v>28.7</v>
      </c>
      <c r="M297" s="100" t="n">
        <v>0.286873</v>
      </c>
      <c r="N297" s="102" t="n">
        <v>26.5</v>
      </c>
      <c r="O297" s="100" t="n">
        <v>0.264883</v>
      </c>
      <c r="P297" s="103">
        <f>C297-G297</f>
        <v/>
      </c>
      <c r="Q297" s="103">
        <f>E297-C297</f>
        <v/>
      </c>
      <c r="R297" s="103">
        <f>C297-M297</f>
        <v/>
      </c>
      <c r="S297" s="103">
        <f>C297-O297</f>
        <v/>
      </c>
      <c r="T297" s="103">
        <f>E297-O297</f>
        <v/>
      </c>
      <c r="U297" s="103">
        <f>G297-O297</f>
        <v/>
      </c>
      <c r="V297" s="103">
        <f>G297-K297</f>
        <v/>
      </c>
      <c r="W297" s="103">
        <f>C297-K297</f>
        <v/>
      </c>
      <c r="X297" s="103">
        <f>I297-G297</f>
        <v/>
      </c>
      <c r="Y297" s="104">
        <f>G297-M297</f>
        <v/>
      </c>
    </row>
    <row r="298">
      <c r="A298" s="98" t="n">
        <v>44879</v>
      </c>
      <c r="B298" s="99" t="n">
        <v>22.1</v>
      </c>
      <c r="C298" s="100" t="n">
        <v>0.220228</v>
      </c>
      <c r="D298" s="99" t="n">
        <v>24.4</v>
      </c>
      <c r="E298" s="101" t="n">
        <v>0.243147</v>
      </c>
      <c r="F298" s="99" t="n">
        <v>21.23</v>
      </c>
      <c r="G298" s="100" t="n">
        <v>0.200891</v>
      </c>
      <c r="H298" s="102" t="n">
        <v>24.35</v>
      </c>
      <c r="I298" s="100" t="n">
        <v>0.243393</v>
      </c>
      <c r="J298" s="102" t="n">
        <v>22.999</v>
      </c>
      <c r="K298" s="100" t="n">
        <v>0.229086</v>
      </c>
      <c r="L298" s="99" t="n">
        <v>28</v>
      </c>
      <c r="M298" s="100" t="n">
        <v>0.279877</v>
      </c>
      <c r="N298" s="102" t="n">
        <v>26.5</v>
      </c>
      <c r="O298" s="100" t="n">
        <v>0.264884</v>
      </c>
      <c r="P298" s="103">
        <f>C298-G298</f>
        <v/>
      </c>
      <c r="Q298" s="103">
        <f>E298-C298</f>
        <v/>
      </c>
      <c r="R298" s="103">
        <f>C298-M298</f>
        <v/>
      </c>
      <c r="S298" s="103">
        <f>C298-O298</f>
        <v/>
      </c>
      <c r="T298" s="103">
        <f>E298-O298</f>
        <v/>
      </c>
      <c r="U298" s="103">
        <f>G298-O298</f>
        <v/>
      </c>
      <c r="V298" s="103">
        <f>G298-K298</f>
        <v/>
      </c>
      <c r="W298" s="103">
        <f>C298-K298</f>
        <v/>
      </c>
      <c r="X298" s="103">
        <f>I298-G298</f>
        <v/>
      </c>
      <c r="Y298" s="104">
        <f>G298-M298</f>
        <v/>
      </c>
    </row>
    <row r="299">
      <c r="A299" s="98" t="n">
        <v>44876</v>
      </c>
      <c r="B299" s="99" t="n">
        <v>21.4</v>
      </c>
      <c r="C299" s="100" t="n">
        <v>0.21327</v>
      </c>
      <c r="D299" s="99" t="n">
        <v>22.9</v>
      </c>
      <c r="E299" s="101" t="n">
        <v>0.228218</v>
      </c>
      <c r="F299" s="99" t="n">
        <v>20.698</v>
      </c>
      <c r="G299" s="100" t="n">
        <v>0.195864</v>
      </c>
      <c r="H299" s="102" t="n">
        <v>24.11</v>
      </c>
      <c r="I299" s="100" t="n">
        <v>0.240997</v>
      </c>
      <c r="J299" s="102" t="n">
        <v>22.1</v>
      </c>
      <c r="K299" s="100" t="n">
        <v>0.220152</v>
      </c>
      <c r="L299" s="99" t="n">
        <v>27.2</v>
      </c>
      <c r="M299" s="100" t="n">
        <v>0.271884</v>
      </c>
      <c r="N299" s="102" t="n">
        <v>25.4</v>
      </c>
      <c r="O299" s="100" t="n">
        <v>0.253891</v>
      </c>
      <c r="P299" s="103">
        <f>C299-G299</f>
        <v/>
      </c>
      <c r="Q299" s="103">
        <f>E299-C299</f>
        <v/>
      </c>
      <c r="R299" s="103">
        <f>C299-M299</f>
        <v/>
      </c>
      <c r="S299" s="103">
        <f>C299-O299</f>
        <v/>
      </c>
      <c r="T299" s="103">
        <f>E299-O299</f>
        <v/>
      </c>
      <c r="U299" s="103">
        <f>G299-O299</f>
        <v/>
      </c>
      <c r="V299" s="103">
        <f>G299-K299</f>
        <v/>
      </c>
      <c r="W299" s="103">
        <f>C299-K299</f>
        <v/>
      </c>
      <c r="X299" s="103">
        <f>I299-G299</f>
        <v/>
      </c>
      <c r="Y299" s="104">
        <f>G299-M299</f>
        <v/>
      </c>
    </row>
    <row r="300">
      <c r="A300" s="98" t="n">
        <v>44875</v>
      </c>
      <c r="B300" s="99" t="n">
        <v>21.55</v>
      </c>
      <c r="C300" s="100" t="n">
        <v>0.21477</v>
      </c>
      <c r="D300" s="99" t="n">
        <v>23.401</v>
      </c>
      <c r="E300" s="101" t="n">
        <v>0.233218</v>
      </c>
      <c r="F300" s="99" t="n">
        <v>20.749</v>
      </c>
      <c r="G300" s="100" t="n">
        <v>0.196349</v>
      </c>
      <c r="H300" s="102" t="n">
        <v>23.93</v>
      </c>
      <c r="I300" s="100" t="n">
        <v>0.239198</v>
      </c>
      <c r="J300" s="102" t="n">
        <v>22</v>
      </c>
      <c r="K300" s="100" t="n">
        <v>0.219162</v>
      </c>
      <c r="L300" s="99" t="n">
        <v>27</v>
      </c>
      <c r="M300" s="100" t="n">
        <v>0.269885</v>
      </c>
      <c r="N300" s="102" t="n">
        <v>25.85</v>
      </c>
      <c r="O300" s="100" t="n">
        <v>0.25839</v>
      </c>
      <c r="P300" s="103">
        <f>C300-G300</f>
        <v/>
      </c>
      <c r="Q300" s="103">
        <f>E300-C300</f>
        <v/>
      </c>
      <c r="R300" s="103">
        <f>C300-M300</f>
        <v/>
      </c>
      <c r="S300" s="103">
        <f>C300-O300</f>
        <v/>
      </c>
      <c r="T300" s="103">
        <f>E300-O300</f>
        <v/>
      </c>
      <c r="U300" s="103">
        <f>G300-O300</f>
        <v/>
      </c>
      <c r="V300" s="103">
        <f>G300-K300</f>
        <v/>
      </c>
      <c r="W300" s="103">
        <f>C300-K300</f>
        <v/>
      </c>
      <c r="X300" s="103">
        <f>I300-G300</f>
        <v/>
      </c>
      <c r="Y300" s="104">
        <f>G300-M300</f>
        <v/>
      </c>
    </row>
    <row r="301">
      <c r="A301" s="98" t="n">
        <v>44874</v>
      </c>
      <c r="B301" s="99" t="n">
        <v>21.25</v>
      </c>
      <c r="C301" s="100" t="n">
        <v>0.211786</v>
      </c>
      <c r="D301" s="99" t="n">
        <v>23.4</v>
      </c>
      <c r="E301" s="101" t="n">
        <v>0.233214</v>
      </c>
      <c r="F301" s="99" t="n">
        <v>20.35</v>
      </c>
      <c r="G301" s="100" t="n">
        <v>0.192576</v>
      </c>
      <c r="H301" s="102" t="n">
        <v>23.284</v>
      </c>
      <c r="I301" s="100" t="n">
        <v>0.232742</v>
      </c>
      <c r="J301" s="102" t="n">
        <v>21.3</v>
      </c>
      <c r="K301" s="100" t="n">
        <v>0.212196</v>
      </c>
      <c r="L301" s="99" t="n">
        <v>26.7</v>
      </c>
      <c r="M301" s="100" t="n">
        <v>0.266888</v>
      </c>
      <c r="N301" s="102" t="n">
        <v>25.24</v>
      </c>
      <c r="O301" s="100" t="n">
        <v>0.252294</v>
      </c>
      <c r="P301" s="103">
        <f>C301-G301</f>
        <v/>
      </c>
      <c r="Q301" s="103">
        <f>E301-C301</f>
        <v/>
      </c>
      <c r="R301" s="103">
        <f>C301-M301</f>
        <v/>
      </c>
      <c r="S301" s="103">
        <f>C301-O301</f>
        <v/>
      </c>
      <c r="T301" s="103">
        <f>E301-O301</f>
        <v/>
      </c>
      <c r="U301" s="103">
        <f>G301-O301</f>
        <v/>
      </c>
      <c r="V301" s="103">
        <f>G301-K301</f>
        <v/>
      </c>
      <c r="W301" s="103">
        <f>C301-K301</f>
        <v/>
      </c>
      <c r="X301" s="103">
        <f>I301-G301</f>
        <v/>
      </c>
      <c r="Y301" s="104">
        <f>G301-M301</f>
        <v/>
      </c>
    </row>
    <row r="302">
      <c r="A302" s="98" t="n">
        <v>44873</v>
      </c>
      <c r="B302" s="99" t="n">
        <v>21.5</v>
      </c>
      <c r="C302" s="100" t="n">
        <v>0.214284</v>
      </c>
      <c r="D302" s="99" t="n">
        <v>23.6</v>
      </c>
      <c r="E302" s="101" t="n">
        <v>0.235214</v>
      </c>
      <c r="F302" s="99" t="n">
        <v>20.7</v>
      </c>
      <c r="G302" s="100" t="n">
        <v>0.195891</v>
      </c>
      <c r="H302" s="102" t="n">
        <v>23.69</v>
      </c>
      <c r="I302" s="100" t="n">
        <v>0.236801</v>
      </c>
      <c r="J302" s="102" t="n">
        <v>21.65</v>
      </c>
      <c r="K302" s="100" t="n">
        <v>0.215689</v>
      </c>
      <c r="L302" s="99" t="n">
        <v>27</v>
      </c>
      <c r="M302" s="100" t="n">
        <v>0.269887</v>
      </c>
      <c r="N302" s="102" t="n">
        <v>25.37</v>
      </c>
      <c r="O302" s="100" t="n">
        <v>0.253594</v>
      </c>
      <c r="P302" s="103">
        <f>C302-G302</f>
        <v/>
      </c>
      <c r="Q302" s="103">
        <f>E302-C302</f>
        <v/>
      </c>
      <c r="R302" s="103">
        <f>C302-M302</f>
        <v/>
      </c>
      <c r="S302" s="103">
        <f>C302-O302</f>
        <v/>
      </c>
      <c r="T302" s="103">
        <f>E302-O302</f>
        <v/>
      </c>
      <c r="U302" s="103">
        <f>G302-O302</f>
        <v/>
      </c>
      <c r="V302" s="103">
        <f>G302-K302</f>
        <v/>
      </c>
      <c r="W302" s="103">
        <f>C302-K302</f>
        <v/>
      </c>
      <c r="X302" s="103">
        <f>I302-G302</f>
        <v/>
      </c>
      <c r="Y302" s="104">
        <f>G302-M302</f>
        <v/>
      </c>
    </row>
    <row r="303">
      <c r="A303" s="98" t="n">
        <v>44872</v>
      </c>
      <c r="B303" s="99" t="n">
        <v>21.2</v>
      </c>
      <c r="C303" s="100" t="n">
        <v>0.2113</v>
      </c>
      <c r="D303" s="99" t="n">
        <v>23</v>
      </c>
      <c r="E303" s="101" t="n">
        <v>0.22924</v>
      </c>
      <c r="F303" s="99" t="n">
        <v>20.5</v>
      </c>
      <c r="G303" s="100" t="n">
        <v>0.194</v>
      </c>
      <c r="H303" s="102" t="n">
        <v>23.4</v>
      </c>
      <c r="I303" s="100" t="n">
        <v>0.233903</v>
      </c>
      <c r="J303" s="102" t="n">
        <v>21.3</v>
      </c>
      <c r="K303" s="100" t="n">
        <v>0.212209</v>
      </c>
      <c r="L303" s="99" t="n">
        <v>26.37</v>
      </c>
      <c r="M303" s="100" t="n">
        <v>0.263591</v>
      </c>
      <c r="N303" s="102" t="n">
        <v>24.87</v>
      </c>
      <c r="O303" s="100" t="n">
        <v>0.248597</v>
      </c>
      <c r="P303" s="103">
        <f>C303-G303</f>
        <v/>
      </c>
      <c r="Q303" s="103">
        <f>E303-C303</f>
        <v/>
      </c>
      <c r="R303" s="103">
        <f>C303-M303</f>
        <v/>
      </c>
      <c r="S303" s="103">
        <f>C303-O303</f>
        <v/>
      </c>
      <c r="T303" s="103">
        <f>E303-O303</f>
        <v/>
      </c>
      <c r="U303" s="103">
        <f>G303-O303</f>
        <v/>
      </c>
      <c r="V303" s="103">
        <f>G303-K303</f>
        <v/>
      </c>
      <c r="W303" s="103">
        <f>C303-K303</f>
        <v/>
      </c>
      <c r="X303" s="103">
        <f>I303-G303</f>
        <v/>
      </c>
      <c r="Y303" s="104">
        <f>G303-M303</f>
        <v/>
      </c>
    </row>
    <row r="304">
      <c r="A304" s="98" t="n">
        <v>44869</v>
      </c>
      <c r="B304" s="99" t="n">
        <v>20.65</v>
      </c>
      <c r="C304" s="100" t="n">
        <v>0.205835</v>
      </c>
      <c r="D304" s="99" t="n">
        <v>23</v>
      </c>
      <c r="E304" s="101" t="n">
        <v>0.229259</v>
      </c>
      <c r="F304" s="99" t="n">
        <v>19.751</v>
      </c>
      <c r="G304" s="100" t="n">
        <v>0.18692</v>
      </c>
      <c r="H304" s="102" t="n">
        <v>22.6</v>
      </c>
      <c r="I304" s="100" t="n">
        <v>0.225909</v>
      </c>
      <c r="J304" s="102" t="n">
        <v>21</v>
      </c>
      <c r="K304" s="100" t="n">
        <v>0.209239</v>
      </c>
      <c r="L304" s="99" t="n">
        <v>25.9</v>
      </c>
      <c r="M304" s="100" t="n">
        <v>0.258895</v>
      </c>
      <c r="N304" s="102" t="n">
        <v>23.85</v>
      </c>
      <c r="O304" s="100" t="n">
        <v>0.238404</v>
      </c>
      <c r="P304" s="103">
        <f>C304-G304</f>
        <v/>
      </c>
      <c r="Q304" s="103">
        <f>E304-C304</f>
        <v/>
      </c>
      <c r="R304" s="103">
        <f>C304-M304</f>
        <v/>
      </c>
      <c r="S304" s="103">
        <f>C304-O304</f>
        <v/>
      </c>
      <c r="T304" s="103">
        <f>E304-O304</f>
        <v/>
      </c>
      <c r="U304" s="103">
        <f>G304-O304</f>
        <v/>
      </c>
      <c r="V304" s="103">
        <f>G304-K304</f>
        <v/>
      </c>
      <c r="W304" s="103">
        <f>C304-K304</f>
        <v/>
      </c>
      <c r="X304" s="103">
        <f>I304-G304</f>
        <v/>
      </c>
      <c r="Y304" s="104">
        <f>G304-M304</f>
        <v/>
      </c>
    </row>
    <row r="305">
      <c r="A305" s="98" t="n">
        <v>44868</v>
      </c>
      <c r="B305" s="99" t="n">
        <v>20.62</v>
      </c>
      <c r="C305" s="100" t="n">
        <v>0.205541</v>
      </c>
      <c r="D305" s="99" t="n">
        <v>22.8</v>
      </c>
      <c r="E305" s="101" t="n">
        <v>0.227271</v>
      </c>
      <c r="F305" s="99" t="n">
        <v>19.9</v>
      </c>
      <c r="G305" s="100" t="n">
        <v>0.188332</v>
      </c>
      <c r="H305" s="102" t="n">
        <v>22.6</v>
      </c>
      <c r="I305" s="100" t="n">
        <v>0.225909</v>
      </c>
      <c r="J305" s="102" t="n">
        <v>20.8</v>
      </c>
      <c r="K305" s="100" t="n">
        <v>0.207253</v>
      </c>
      <c r="L305" s="99" t="n">
        <v>26</v>
      </c>
      <c r="M305" s="100" t="n">
        <v>0.259896</v>
      </c>
      <c r="N305" s="102" t="n">
        <v>23.7</v>
      </c>
      <c r="O305" s="100" t="n">
        <v>0.236905</v>
      </c>
      <c r="P305" s="103">
        <f>C305-G305</f>
        <v/>
      </c>
      <c r="Q305" s="103">
        <f>E305-C305</f>
        <v/>
      </c>
      <c r="R305" s="103">
        <f>C305-M305</f>
        <v/>
      </c>
      <c r="S305" s="103">
        <f>C305-O305</f>
        <v/>
      </c>
      <c r="T305" s="103">
        <f>E305-O305</f>
        <v/>
      </c>
      <c r="U305" s="103">
        <f>G305-O305</f>
        <v/>
      </c>
      <c r="V305" s="103">
        <f>G305-K305</f>
        <v/>
      </c>
      <c r="W305" s="103">
        <f>C305-K305</f>
        <v/>
      </c>
      <c r="X305" s="103">
        <f>I305-G305</f>
        <v/>
      </c>
      <c r="Y305" s="104">
        <f>G305-M305</f>
        <v/>
      </c>
    </row>
    <row r="306">
      <c r="A306" s="98" t="n">
        <v>44867</v>
      </c>
      <c r="B306" s="99" t="n">
        <v>20.75</v>
      </c>
      <c r="C306" s="100" t="n">
        <v>0.206843</v>
      </c>
      <c r="D306" s="99" t="n">
        <v>22.78</v>
      </c>
      <c r="E306" s="101" t="n">
        <v>0.227078</v>
      </c>
      <c r="F306" s="99" t="n">
        <v>19.92</v>
      </c>
      <c r="G306" s="100" t="n">
        <v>0.188524</v>
      </c>
      <c r="H306" s="102" t="n">
        <v>22.53</v>
      </c>
      <c r="I306" s="100" t="n">
        <v>0.225211</v>
      </c>
      <c r="J306" s="102" t="n">
        <v>20.9</v>
      </c>
      <c r="K306" s="100" t="n">
        <v>0.208255</v>
      </c>
      <c r="L306" s="99" t="n">
        <v>26.1</v>
      </c>
      <c r="M306" s="100" t="n">
        <v>0.260896</v>
      </c>
      <c r="N306" s="102" t="n">
        <v>23.002</v>
      </c>
      <c r="O306" s="100" t="n">
        <v>0.229929</v>
      </c>
      <c r="P306" s="103">
        <f>C306-G306</f>
        <v/>
      </c>
      <c r="Q306" s="103">
        <f>E306-C306</f>
        <v/>
      </c>
      <c r="R306" s="103">
        <f>C306-M306</f>
        <v/>
      </c>
      <c r="S306" s="103">
        <f>C306-O306</f>
        <v/>
      </c>
      <c r="T306" s="103">
        <f>E306-O306</f>
        <v/>
      </c>
      <c r="U306" s="103">
        <f>G306-O306</f>
        <v/>
      </c>
      <c r="V306" s="103">
        <f>G306-K306</f>
        <v/>
      </c>
      <c r="W306" s="103">
        <f>C306-K306</f>
        <v/>
      </c>
      <c r="X306" s="103">
        <f>I306-G306</f>
        <v/>
      </c>
      <c r="Y306" s="104">
        <f>G306-M306</f>
        <v/>
      </c>
    </row>
    <row r="307">
      <c r="A307" s="98" t="n">
        <v>44866</v>
      </c>
      <c r="B307" s="99" t="n">
        <v>21.023</v>
      </c>
      <c r="C307" s="100" t="n">
        <v>0.20957</v>
      </c>
      <c r="D307" s="99" t="n">
        <v>23</v>
      </c>
      <c r="E307" s="101" t="n">
        <v>0.229278</v>
      </c>
      <c r="F307" s="99" t="n">
        <v>20.25</v>
      </c>
      <c r="G307" s="100" t="n">
        <v>0.191649</v>
      </c>
      <c r="H307" s="102" t="n">
        <v>22.852</v>
      </c>
      <c r="I307" s="100" t="n">
        <v>0.22843</v>
      </c>
      <c r="J307" s="102" t="n">
        <v>21</v>
      </c>
      <c r="K307" s="100" t="n">
        <v>0.209258</v>
      </c>
      <c r="L307" s="99" t="n">
        <v>26.2</v>
      </c>
      <c r="M307" s="100" t="n">
        <v>0.261897</v>
      </c>
      <c r="N307" s="102" t="n">
        <v>23.5</v>
      </c>
      <c r="O307" s="100" t="n">
        <v>0.234907</v>
      </c>
      <c r="P307" s="103">
        <f>C307-G307</f>
        <v/>
      </c>
      <c r="Q307" s="103">
        <f>E307-C307</f>
        <v/>
      </c>
      <c r="R307" s="103">
        <f>C307-M307</f>
        <v/>
      </c>
      <c r="S307" s="103">
        <f>C307-O307</f>
        <v/>
      </c>
      <c r="T307" s="103">
        <f>E307-O307</f>
        <v/>
      </c>
      <c r="U307" s="103">
        <f>G307-O307</f>
        <v/>
      </c>
      <c r="V307" s="103">
        <f>G307-K307</f>
        <v/>
      </c>
      <c r="W307" s="103">
        <f>C307-K307</f>
        <v/>
      </c>
      <c r="X307" s="103">
        <f>I307-G307</f>
        <v/>
      </c>
      <c r="Y307" s="104">
        <f>G307-M307</f>
        <v/>
      </c>
    </row>
    <row r="308">
      <c r="A308" s="98" t="n">
        <v>44865</v>
      </c>
      <c r="B308" s="99" t="n">
        <v>20.021</v>
      </c>
      <c r="C308" s="100" t="n">
        <v>0.199587</v>
      </c>
      <c r="D308" s="99" t="n">
        <v>22.5</v>
      </c>
      <c r="E308" s="101" t="n">
        <v>0.224299</v>
      </c>
      <c r="F308" s="99" t="n">
        <v>19.63</v>
      </c>
      <c r="G308" s="100" t="n">
        <v>0.185784</v>
      </c>
      <c r="H308" s="102" t="n">
        <v>22.479</v>
      </c>
      <c r="I308" s="100" t="n">
        <v>0.224702</v>
      </c>
      <c r="J308" s="102" t="n">
        <v>20.6</v>
      </c>
      <c r="K308" s="100" t="n">
        <v>0.205279</v>
      </c>
      <c r="L308" s="99" t="n">
        <v>25.25</v>
      </c>
      <c r="M308" s="100" t="n">
        <v>0.252401</v>
      </c>
      <c r="N308" s="102" t="n">
        <v>23</v>
      </c>
      <c r="O308" s="100" t="n">
        <v>0.22991</v>
      </c>
      <c r="P308" s="103">
        <f>C308-G308</f>
        <v/>
      </c>
      <c r="Q308" s="103">
        <f>E308-C308</f>
        <v/>
      </c>
      <c r="R308" s="103">
        <f>C308-M308</f>
        <v/>
      </c>
      <c r="S308" s="103">
        <f>C308-O308</f>
        <v/>
      </c>
      <c r="T308" s="103">
        <f>E308-O308</f>
        <v/>
      </c>
      <c r="U308" s="103">
        <f>G308-O308</f>
        <v/>
      </c>
      <c r="V308" s="103">
        <f>G308-K308</f>
        <v/>
      </c>
      <c r="W308" s="103">
        <f>C308-K308</f>
        <v/>
      </c>
      <c r="X308" s="103">
        <f>I308-G308</f>
        <v/>
      </c>
      <c r="Y308" s="104">
        <f>G308-M308</f>
        <v/>
      </c>
    </row>
    <row r="309">
      <c r="A309" s="98" t="n">
        <v>44862</v>
      </c>
      <c r="B309" s="99" t="n">
        <v>20.55</v>
      </c>
      <c r="C309" s="100" t="n">
        <v>0.204877</v>
      </c>
      <c r="D309" s="99" t="n">
        <v>22.6</v>
      </c>
      <c r="E309" s="101" t="n">
        <v>0.225315</v>
      </c>
      <c r="F309" s="99" t="n">
        <v>19.66</v>
      </c>
      <c r="G309" s="100" t="n">
        <v>0.186075</v>
      </c>
      <c r="H309" s="102" t="n">
        <v>22.5</v>
      </c>
      <c r="I309" s="100" t="n">
        <v>0.224915</v>
      </c>
      <c r="J309" s="102" t="n">
        <v>21</v>
      </c>
      <c r="K309" s="100" t="n">
        <v>0.209284</v>
      </c>
      <c r="L309" s="99" t="n">
        <v>25.4</v>
      </c>
      <c r="M309" s="100" t="n">
        <v>0.253903</v>
      </c>
      <c r="N309" s="102" t="n">
        <v>22.901</v>
      </c>
      <c r="O309" s="100" t="n">
        <v>0.228923</v>
      </c>
      <c r="P309" s="103">
        <f>C309-G309</f>
        <v/>
      </c>
      <c r="Q309" s="103">
        <f>E309-C309</f>
        <v/>
      </c>
      <c r="R309" s="103">
        <f>C309-M309</f>
        <v/>
      </c>
      <c r="S309" s="103">
        <f>C309-O309</f>
        <v/>
      </c>
      <c r="T309" s="103">
        <f>E309-O309</f>
        <v/>
      </c>
      <c r="U309" s="103">
        <f>G309-O309</f>
        <v/>
      </c>
      <c r="V309" s="103">
        <f>G309-K309</f>
        <v/>
      </c>
      <c r="W309" s="103">
        <f>C309-K309</f>
        <v/>
      </c>
      <c r="X309" s="103">
        <f>I309-G309</f>
        <v/>
      </c>
      <c r="Y309" s="104">
        <f>G309-M309</f>
        <v/>
      </c>
    </row>
    <row r="310">
      <c r="A310" s="98" t="n">
        <v>44861</v>
      </c>
      <c r="B310" s="99" t="n">
        <v>20.75</v>
      </c>
      <c r="C310" s="100" t="n">
        <v>0.206877</v>
      </c>
      <c r="D310" s="99" t="n">
        <v>22.6</v>
      </c>
      <c r="E310" s="101" t="n">
        <v>0.225321</v>
      </c>
      <c r="F310" s="99" t="n">
        <v>19.801</v>
      </c>
      <c r="G310" s="100" t="n">
        <v>0.187412</v>
      </c>
      <c r="H310" s="102" t="n">
        <v>22.6</v>
      </c>
      <c r="I310" s="100" t="n">
        <v>0.225915</v>
      </c>
      <c r="J310" s="102" t="n">
        <v>20.9</v>
      </c>
      <c r="K310" s="100" t="n">
        <v>0.208294</v>
      </c>
      <c r="L310" s="99" t="n">
        <v>25.2</v>
      </c>
      <c r="M310" s="100" t="n">
        <v>0.251905</v>
      </c>
      <c r="N310" s="102" t="n">
        <v>22.5</v>
      </c>
      <c r="O310" s="100" t="n">
        <v>0.224915</v>
      </c>
      <c r="P310" s="103">
        <f>C310-G310</f>
        <v/>
      </c>
      <c r="Q310" s="103">
        <f>E310-C310</f>
        <v/>
      </c>
      <c r="R310" s="103">
        <f>C310-M310</f>
        <v/>
      </c>
      <c r="S310" s="103">
        <f>C310-O310</f>
        <v/>
      </c>
      <c r="T310" s="103">
        <f>E310-O310</f>
        <v/>
      </c>
      <c r="U310" s="103">
        <f>G310-O310</f>
        <v/>
      </c>
      <c r="V310" s="103">
        <f>G310-K310</f>
        <v/>
      </c>
      <c r="W310" s="103">
        <f>C310-K310</f>
        <v/>
      </c>
      <c r="X310" s="103">
        <f>I310-G310</f>
        <v/>
      </c>
      <c r="Y310" s="104">
        <f>G310-M310</f>
        <v/>
      </c>
    </row>
    <row r="311">
      <c r="A311" s="98" t="n">
        <v>44860</v>
      </c>
      <c r="B311" s="99" t="n">
        <v>20.3</v>
      </c>
      <c r="C311" s="100" t="n">
        <v>0.202396</v>
      </c>
      <c r="D311" s="99" t="n">
        <v>22.088</v>
      </c>
      <c r="E311" s="101" t="n">
        <v>0.220222</v>
      </c>
      <c r="F311" s="99" t="n">
        <v>20.02</v>
      </c>
      <c r="G311" s="100" t="n">
        <v>0.189487</v>
      </c>
      <c r="H311" s="102" t="n">
        <v>22.8</v>
      </c>
      <c r="I311" s="100" t="n">
        <v>0.227915</v>
      </c>
      <c r="J311" s="102" t="n">
        <v>21.2</v>
      </c>
      <c r="K311" s="100" t="n">
        <v>0.21129</v>
      </c>
      <c r="L311" s="99" t="n">
        <v>25.4</v>
      </c>
      <c r="M311" s="100" t="n">
        <v>0.253905</v>
      </c>
      <c r="N311" s="102" t="n">
        <v>23</v>
      </c>
      <c r="O311" s="100" t="n">
        <v>0.229914</v>
      </c>
      <c r="P311" s="103">
        <f>C311-G311</f>
        <v/>
      </c>
      <c r="Q311" s="103">
        <f>E311-C311</f>
        <v/>
      </c>
      <c r="R311" s="103">
        <f>C311-M311</f>
        <v/>
      </c>
      <c r="S311" s="103">
        <f>C311-O311</f>
        <v/>
      </c>
      <c r="T311" s="103">
        <f>E311-O311</f>
        <v/>
      </c>
      <c r="U311" s="103">
        <f>G311-O311</f>
        <v/>
      </c>
      <c r="V311" s="103">
        <f>G311-K311</f>
        <v/>
      </c>
      <c r="W311" s="103">
        <f>C311-K311</f>
        <v/>
      </c>
      <c r="X311" s="103">
        <f>I311-G311</f>
        <v/>
      </c>
      <c r="Y311" s="104">
        <f>G311-M311</f>
        <v/>
      </c>
    </row>
    <row r="312">
      <c r="A312" s="98" t="n">
        <v>44859</v>
      </c>
      <c r="B312" s="99" t="n">
        <v>21.31</v>
      </c>
      <c r="C312" s="100" t="n">
        <v>0.212471</v>
      </c>
      <c r="D312" s="99" t="n">
        <v>23.05</v>
      </c>
      <c r="E312" s="101" t="n">
        <v>0.22982</v>
      </c>
      <c r="F312" s="99" t="n">
        <v>20.361</v>
      </c>
      <c r="G312" s="100" t="n">
        <v>0.192718</v>
      </c>
      <c r="H312" s="102" t="n">
        <v>23.38</v>
      </c>
      <c r="I312" s="100" t="n">
        <v>0.233714</v>
      </c>
      <c r="J312" s="102" t="n">
        <v>21.35</v>
      </c>
      <c r="K312" s="100" t="n">
        <v>0.212792</v>
      </c>
      <c r="L312" s="99" t="n">
        <v>25.98</v>
      </c>
      <c r="M312" s="100" t="n">
        <v>0.259704</v>
      </c>
      <c r="N312" s="102" t="n">
        <v>23.25</v>
      </c>
      <c r="O312" s="100" t="n">
        <v>0.232414</v>
      </c>
      <c r="P312" s="103">
        <f>C312-G312</f>
        <v/>
      </c>
      <c r="Q312" s="103">
        <f>E312-C312</f>
        <v/>
      </c>
      <c r="R312" s="103">
        <f>C312-M312</f>
        <v/>
      </c>
      <c r="S312" s="103">
        <f>C312-O312</f>
        <v/>
      </c>
      <c r="T312" s="103">
        <f>E312-O312</f>
        <v/>
      </c>
      <c r="U312" s="103">
        <f>G312-O312</f>
        <v/>
      </c>
      <c r="V312" s="103">
        <f>G312-K312</f>
        <v/>
      </c>
      <c r="W312" s="103">
        <f>C312-K312</f>
        <v/>
      </c>
      <c r="X312" s="103">
        <f>I312-G312</f>
        <v/>
      </c>
      <c r="Y312" s="104">
        <f>G312-M312</f>
        <v/>
      </c>
    </row>
    <row r="313">
      <c r="A313" s="98" t="n">
        <v>44858</v>
      </c>
      <c r="B313" s="99" t="n">
        <v>20.95</v>
      </c>
      <c r="C313" s="100" t="n">
        <v>0.208888</v>
      </c>
      <c r="D313" s="99" t="n">
        <v>22.89</v>
      </c>
      <c r="E313" s="101" t="n">
        <v>0.228231</v>
      </c>
      <c r="F313" s="99" t="n">
        <v>19.85</v>
      </c>
      <c r="G313" s="100" t="n">
        <v>0.187883</v>
      </c>
      <c r="H313" s="102" t="n">
        <v>23.2</v>
      </c>
      <c r="I313" s="100" t="n">
        <v>0.231915</v>
      </c>
      <c r="J313" s="102" t="n">
        <v>21</v>
      </c>
      <c r="K313" s="100" t="n">
        <v>0.20931</v>
      </c>
      <c r="L313" s="99" t="n">
        <v>25</v>
      </c>
      <c r="M313" s="100" t="n">
        <v>0.249908</v>
      </c>
      <c r="N313" s="102" t="n">
        <v>23.1</v>
      </c>
      <c r="O313" s="100" t="n">
        <v>0.230915</v>
      </c>
      <c r="P313" s="103">
        <f>C313-G313</f>
        <v/>
      </c>
      <c r="Q313" s="103">
        <f>E313-C313</f>
        <v/>
      </c>
      <c r="R313" s="103">
        <f>C313-M313</f>
        <v/>
      </c>
      <c r="S313" s="103">
        <f>C313-O313</f>
        <v/>
      </c>
      <c r="T313" s="103">
        <f>E313-O313</f>
        <v/>
      </c>
      <c r="U313" s="103">
        <f>G313-O313</f>
        <v/>
      </c>
      <c r="V313" s="103">
        <f>G313-K313</f>
        <v/>
      </c>
      <c r="W313" s="103">
        <f>C313-K313</f>
        <v/>
      </c>
      <c r="X313" s="103">
        <f>I313-G313</f>
        <v/>
      </c>
      <c r="Y313" s="104">
        <f>G313-M313</f>
        <v/>
      </c>
    </row>
    <row r="314">
      <c r="A314" s="98" t="n">
        <v>44855</v>
      </c>
      <c r="B314" s="99" t="n">
        <v>19.82</v>
      </c>
      <c r="C314" s="100" t="n">
        <v>0.197637</v>
      </c>
      <c r="D314" s="99" t="n">
        <v>21.549</v>
      </c>
      <c r="E314" s="101" t="n">
        <v>0.214878</v>
      </c>
      <c r="F314" s="99" t="n">
        <v>19.1</v>
      </c>
      <c r="G314" s="100" t="n">
        <v>0.180791</v>
      </c>
      <c r="H314" s="102" t="n">
        <v>22.1</v>
      </c>
      <c r="I314" s="100" t="n">
        <v>0.220921</v>
      </c>
      <c r="J314" s="102" t="n">
        <v>19.9</v>
      </c>
      <c r="K314" s="100" t="n">
        <v>0.198364</v>
      </c>
      <c r="L314" s="99" t="n">
        <v>24</v>
      </c>
      <c r="M314" s="100" t="n">
        <v>0.239915</v>
      </c>
      <c r="N314" s="102" t="n">
        <v>22.15</v>
      </c>
      <c r="O314" s="100" t="n">
        <v>0.221421</v>
      </c>
      <c r="P314" s="103">
        <f>C314-G314</f>
        <v/>
      </c>
      <c r="Q314" s="103">
        <f>E314-C314</f>
        <v/>
      </c>
      <c r="R314" s="103">
        <f>C314-M314</f>
        <v/>
      </c>
      <c r="S314" s="103">
        <f>C314-O314</f>
        <v/>
      </c>
      <c r="T314" s="103">
        <f>E314-O314</f>
        <v/>
      </c>
      <c r="U314" s="103">
        <f>G314-O314</f>
        <v/>
      </c>
      <c r="V314" s="103">
        <f>G314-K314</f>
        <v/>
      </c>
      <c r="W314" s="103">
        <f>C314-K314</f>
        <v/>
      </c>
      <c r="X314" s="103">
        <f>I314-G314</f>
        <v/>
      </c>
      <c r="Y314" s="104">
        <f>G314-M314</f>
        <v/>
      </c>
    </row>
    <row r="315">
      <c r="A315" s="98" t="n">
        <v>44854</v>
      </c>
      <c r="B315" s="99" t="n">
        <v>19.997</v>
      </c>
      <c r="C315" s="100" t="n">
        <v>0.199407</v>
      </c>
      <c r="D315" s="99" t="n">
        <v>21.2</v>
      </c>
      <c r="E315" s="101" t="n">
        <v>0.211403</v>
      </c>
      <c r="F315" s="99" t="n">
        <v>18.57</v>
      </c>
      <c r="G315" s="100" t="n">
        <v>0.175777</v>
      </c>
      <c r="H315" s="102" t="n">
        <v>21.35</v>
      </c>
      <c r="I315" s="100" t="n">
        <v>0.213425</v>
      </c>
      <c r="J315" s="102" t="n">
        <v>19.3</v>
      </c>
      <c r="K315" s="100" t="n">
        <v>0.192389</v>
      </c>
      <c r="L315" s="99" t="n">
        <v>23.5</v>
      </c>
      <c r="M315" s="100" t="n">
        <v>0.234917</v>
      </c>
      <c r="N315" s="102" t="n">
        <v>21.4</v>
      </c>
      <c r="O315" s="100" t="n">
        <v>0.213925</v>
      </c>
      <c r="P315" s="103">
        <f>C315-G315</f>
        <v/>
      </c>
      <c r="Q315" s="103">
        <f>E315-C315</f>
        <v/>
      </c>
      <c r="R315" s="103">
        <f>C315-M315</f>
        <v/>
      </c>
      <c r="S315" s="103">
        <f>C315-O315</f>
        <v/>
      </c>
      <c r="T315" s="103">
        <f>E315-O315</f>
        <v/>
      </c>
      <c r="U315" s="103">
        <f>G315-O315</f>
        <v/>
      </c>
      <c r="V315" s="103">
        <f>G315-K315</f>
        <v/>
      </c>
      <c r="W315" s="103">
        <f>C315-K315</f>
        <v/>
      </c>
      <c r="X315" s="103">
        <f>I315-G315</f>
        <v/>
      </c>
      <c r="Y315" s="104">
        <f>G315-M315</f>
        <v/>
      </c>
    </row>
    <row r="316">
      <c r="A316" s="98" t="n">
        <v>44853</v>
      </c>
      <c r="B316" s="99" t="n">
        <v>19.28</v>
      </c>
      <c r="C316" s="100" t="n">
        <v>0.192263</v>
      </c>
      <c r="D316" s="99" t="n">
        <v>20</v>
      </c>
      <c r="E316" s="101" t="n">
        <v>0.199443</v>
      </c>
      <c r="F316" s="99" t="n">
        <v>18.421</v>
      </c>
      <c r="G316" s="100" t="n">
        <v>0.174369</v>
      </c>
      <c r="H316" s="102" t="n">
        <v>20.981</v>
      </c>
      <c r="I316" s="100" t="n">
        <v>0.209737</v>
      </c>
      <c r="J316" s="102" t="n">
        <v>18.85</v>
      </c>
      <c r="K316" s="100" t="n">
        <v>0.187909</v>
      </c>
      <c r="L316" s="99" t="n">
        <v>23.15</v>
      </c>
      <c r="M316" s="100" t="n">
        <v>0.231419</v>
      </c>
      <c r="N316" s="102" t="n">
        <v>21.148</v>
      </c>
      <c r="O316" s="100" t="n">
        <v>0.211406</v>
      </c>
      <c r="P316" s="103">
        <f>C316-G316</f>
        <v/>
      </c>
      <c r="Q316" s="103">
        <f>E316-C316</f>
        <v/>
      </c>
      <c r="R316" s="103">
        <f>C316-M316</f>
        <v/>
      </c>
      <c r="S316" s="103">
        <f>C316-O316</f>
        <v/>
      </c>
      <c r="T316" s="103">
        <f>E316-O316</f>
        <v/>
      </c>
      <c r="U316" s="103">
        <f>G316-O316</f>
        <v/>
      </c>
      <c r="V316" s="103">
        <f>G316-K316</f>
        <v/>
      </c>
      <c r="W316" s="103">
        <f>C316-K316</f>
        <v/>
      </c>
      <c r="X316" s="103">
        <f>I316-G316</f>
        <v/>
      </c>
      <c r="Y316" s="104">
        <f>G316-M316</f>
        <v/>
      </c>
    </row>
    <row r="317">
      <c r="A317" s="98" t="n">
        <v>44852</v>
      </c>
      <c r="B317" s="99" t="n">
        <v>19.35</v>
      </c>
      <c r="C317" s="100" t="n">
        <v>0.192966</v>
      </c>
      <c r="D317" s="99" t="n">
        <v>20.52</v>
      </c>
      <c r="E317" s="101" t="n">
        <v>0.204634</v>
      </c>
      <c r="F317" s="99" t="n">
        <v>18.5</v>
      </c>
      <c r="G317" s="100" t="n">
        <v>0.175119</v>
      </c>
      <c r="H317" s="102" t="n">
        <v>20.98</v>
      </c>
      <c r="I317" s="100" t="n">
        <v>0.209727</v>
      </c>
      <c r="J317" s="102" t="n">
        <v>19</v>
      </c>
      <c r="K317" s="100" t="n">
        <v>0.18941</v>
      </c>
      <c r="L317" s="99" t="n">
        <v>23.3</v>
      </c>
      <c r="M317" s="100" t="n">
        <v>0.232919</v>
      </c>
      <c r="N317" s="102" t="n">
        <v>21.3</v>
      </c>
      <c r="O317" s="100" t="n">
        <v>0.212926</v>
      </c>
      <c r="P317" s="103">
        <f>C317-G317</f>
        <v/>
      </c>
      <c r="Q317" s="103">
        <f>E317-C317</f>
        <v/>
      </c>
      <c r="R317" s="103">
        <f>C317-M317</f>
        <v/>
      </c>
      <c r="S317" s="103">
        <f>C317-O317</f>
        <v/>
      </c>
      <c r="T317" s="103">
        <f>E317-O317</f>
        <v/>
      </c>
      <c r="U317" s="103">
        <f>G317-O317</f>
        <v/>
      </c>
      <c r="V317" s="103">
        <f>G317-K317</f>
        <v/>
      </c>
      <c r="W317" s="103">
        <f>C317-K317</f>
        <v/>
      </c>
      <c r="X317" s="103">
        <f>I317-G317</f>
        <v/>
      </c>
      <c r="Y317" s="104">
        <f>G317-M317</f>
        <v/>
      </c>
    </row>
    <row r="318">
      <c r="A318" s="98" t="n">
        <v>44851</v>
      </c>
      <c r="B318" s="99" t="n">
        <v>19.221</v>
      </c>
      <c r="C318" s="100" t="n">
        <v>0.191685</v>
      </c>
      <c r="D318" s="99" t="n">
        <v>21</v>
      </c>
      <c r="E318" s="101" t="n">
        <v>0.209426</v>
      </c>
      <c r="F318" s="99" t="n">
        <v>18.403</v>
      </c>
      <c r="G318" s="100" t="n">
        <v>0.174203</v>
      </c>
      <c r="H318" s="102" t="n">
        <v>20.89</v>
      </c>
      <c r="I318" s="100" t="n">
        <v>0.208828</v>
      </c>
      <c r="J318" s="102" t="n">
        <v>19</v>
      </c>
      <c r="K318" s="100" t="n">
        <v>0.189416</v>
      </c>
      <c r="L318" s="99" t="n">
        <v>23.23</v>
      </c>
      <c r="M318" s="100" t="n">
        <v>0.23222</v>
      </c>
      <c r="N318" s="102" t="n">
        <v>21.49</v>
      </c>
      <c r="O318" s="100" t="n">
        <v>0.214826</v>
      </c>
      <c r="P318" s="103">
        <f>C318-G318</f>
        <v/>
      </c>
      <c r="Q318" s="103">
        <f>E318-C318</f>
        <v/>
      </c>
      <c r="R318" s="103">
        <f>C318-M318</f>
        <v/>
      </c>
      <c r="S318" s="103">
        <f>C318-O318</f>
        <v/>
      </c>
      <c r="T318" s="103">
        <f>E318-O318</f>
        <v/>
      </c>
      <c r="U318" s="103">
        <f>G318-O318</f>
        <v/>
      </c>
      <c r="V318" s="103">
        <f>G318-K318</f>
        <v/>
      </c>
      <c r="W318" s="103">
        <f>C318-K318</f>
        <v/>
      </c>
      <c r="X318" s="103">
        <f>I318-G318</f>
        <v/>
      </c>
      <c r="Y318" s="104">
        <f>G318-M318</f>
        <v/>
      </c>
    </row>
    <row r="319">
      <c r="A319" s="98" t="n">
        <v>44848</v>
      </c>
      <c r="B319" s="99" t="n">
        <v>19.15</v>
      </c>
      <c r="C319" s="100" t="n">
        <v>0.190992</v>
      </c>
      <c r="D319" s="99" t="n">
        <v>20.7</v>
      </c>
      <c r="E319" s="101" t="n">
        <v>0.206451</v>
      </c>
      <c r="F319" s="99" t="n">
        <v>18.311</v>
      </c>
      <c r="G319" s="100" t="n">
        <v>0.173339</v>
      </c>
      <c r="H319" s="102" t="n">
        <v>20.599</v>
      </c>
      <c r="I319" s="100" t="n">
        <v>0.205922</v>
      </c>
      <c r="J319" s="102" t="n">
        <v>18.85</v>
      </c>
      <c r="K319" s="100" t="n">
        <v>0.187938</v>
      </c>
      <c r="L319" s="99" t="n">
        <v>23.1</v>
      </c>
      <c r="M319" s="100" t="n">
        <v>0.230923</v>
      </c>
      <c r="N319" s="102" t="n">
        <v>20.8</v>
      </c>
      <c r="O319" s="100" t="n">
        <v>0.207931</v>
      </c>
      <c r="P319" s="103">
        <f>C319-G319</f>
        <v/>
      </c>
      <c r="Q319" s="103">
        <f>E319-C319</f>
        <v/>
      </c>
      <c r="R319" s="103">
        <f>C319-M319</f>
        <v/>
      </c>
      <c r="S319" s="103">
        <f>C319-O319</f>
        <v/>
      </c>
      <c r="T319" s="103">
        <f>E319-O319</f>
        <v/>
      </c>
      <c r="U319" s="103">
        <f>G319-O319</f>
        <v/>
      </c>
      <c r="V319" s="103">
        <f>G319-K319</f>
        <v/>
      </c>
      <c r="W319" s="103">
        <f>C319-K319</f>
        <v/>
      </c>
      <c r="X319" s="103">
        <f>I319-G319</f>
        <v/>
      </c>
      <c r="Y319" s="104">
        <f>G319-M319</f>
        <v/>
      </c>
    </row>
    <row r="320">
      <c r="A320" s="98" t="n">
        <v>44847</v>
      </c>
      <c r="B320" s="99" t="n">
        <v>19.65</v>
      </c>
      <c r="C320" s="100" t="n">
        <v>0.195985</v>
      </c>
      <c r="D320" s="99" t="n">
        <v>20.601</v>
      </c>
      <c r="E320" s="101" t="n">
        <v>0.20547</v>
      </c>
      <c r="F320" s="99" t="n">
        <v>18.8</v>
      </c>
      <c r="G320" s="100" t="n">
        <v>0.17797</v>
      </c>
      <c r="H320" s="102" t="n">
        <v>21.258</v>
      </c>
      <c r="I320" s="100" t="n">
        <v>0.21251</v>
      </c>
      <c r="J320" s="102" t="n">
        <v>19.189</v>
      </c>
      <c r="K320" s="100" t="n">
        <v>0.191324</v>
      </c>
      <c r="L320" s="99" t="n">
        <v>23.5</v>
      </c>
      <c r="M320" s="100" t="n">
        <v>0.234923</v>
      </c>
      <c r="N320" s="102" t="n">
        <v>21.2</v>
      </c>
      <c r="O320" s="100" t="n">
        <v>0.21193</v>
      </c>
      <c r="P320" s="103">
        <f>C320-G320</f>
        <v/>
      </c>
      <c r="Q320" s="103">
        <f>E320-C320</f>
        <v/>
      </c>
      <c r="R320" s="103">
        <f>C320-M320</f>
        <v/>
      </c>
      <c r="S320" s="103">
        <f>C320-O320</f>
        <v/>
      </c>
      <c r="T320" s="103">
        <f>E320-O320</f>
        <v/>
      </c>
      <c r="U320" s="103">
        <f>G320-O320</f>
        <v/>
      </c>
      <c r="V320" s="103">
        <f>G320-K320</f>
        <v/>
      </c>
      <c r="W320" s="103">
        <f>C320-K320</f>
        <v/>
      </c>
      <c r="X320" s="103">
        <f>I320-G320</f>
        <v/>
      </c>
      <c r="Y320" s="104">
        <f>G320-M320</f>
        <v/>
      </c>
    </row>
    <row r="321">
      <c r="A321" s="98" t="n">
        <v>44846</v>
      </c>
      <c r="B321" s="99" t="n">
        <v>19.65</v>
      </c>
      <c r="C321" s="100" t="n">
        <v>0.19599</v>
      </c>
      <c r="D321" s="99" t="n">
        <v>20.25</v>
      </c>
      <c r="E321" s="101" t="n">
        <v>0.201974</v>
      </c>
      <c r="F321" s="99" t="n">
        <v>18.91</v>
      </c>
      <c r="G321" s="100" t="n">
        <v>0.179014</v>
      </c>
      <c r="H321" s="102" t="n">
        <v>21.2</v>
      </c>
      <c r="I321" s="100" t="n">
        <v>0.211931</v>
      </c>
      <c r="J321" s="102" t="n">
        <v>19.2</v>
      </c>
      <c r="K321" s="100" t="n">
        <v>0.191439</v>
      </c>
      <c r="L321" s="99" t="n">
        <v>23.4</v>
      </c>
      <c r="M321" s="100" t="n">
        <v>0.233924</v>
      </c>
      <c r="N321" s="102" t="n">
        <v>21</v>
      </c>
      <c r="O321" s="100" t="n">
        <v>0.209932</v>
      </c>
      <c r="P321" s="103">
        <f>C321-G321</f>
        <v/>
      </c>
      <c r="Q321" s="103">
        <f>E321-C321</f>
        <v/>
      </c>
      <c r="R321" s="103">
        <f>C321-M321</f>
        <v/>
      </c>
      <c r="S321" s="103">
        <f>C321-O321</f>
        <v/>
      </c>
      <c r="T321" s="103">
        <f>E321-O321</f>
        <v/>
      </c>
      <c r="U321" s="103">
        <f>G321-O321</f>
        <v/>
      </c>
      <c r="V321" s="103">
        <f>G321-K321</f>
        <v/>
      </c>
      <c r="W321" s="103">
        <f>C321-K321</f>
        <v/>
      </c>
      <c r="X321" s="103">
        <f>I321-G321</f>
        <v/>
      </c>
      <c r="Y321" s="104">
        <f>G321-M321</f>
        <v/>
      </c>
    </row>
    <row r="322">
      <c r="A322" s="98" t="n">
        <v>44845</v>
      </c>
      <c r="B322" s="99" t="n">
        <v>19.743</v>
      </c>
      <c r="C322" s="100" t="n">
        <v>0.196923</v>
      </c>
      <c r="D322" s="99" t="n">
        <v>20.86</v>
      </c>
      <c r="E322" s="101" t="n">
        <v>0.208064</v>
      </c>
      <c r="F322" s="99" t="n">
        <v>18.81</v>
      </c>
      <c r="G322" s="100" t="n">
        <v>0.17807</v>
      </c>
      <c r="H322" s="102" t="n">
        <v>21.1</v>
      </c>
      <c r="I322" s="100" t="n">
        <v>0.210932</v>
      </c>
      <c r="J322" s="102" t="n">
        <v>19.23</v>
      </c>
      <c r="K322" s="100" t="n">
        <v>0.191744</v>
      </c>
      <c r="L322" s="99" t="n">
        <v>23.7</v>
      </c>
      <c r="M322" s="100" t="n">
        <v>0.236924</v>
      </c>
      <c r="N322" s="102" t="n">
        <v>21.5</v>
      </c>
      <c r="O322" s="100" t="n">
        <v>0.214931</v>
      </c>
      <c r="P322" s="103">
        <f>C322-G322</f>
        <v/>
      </c>
      <c r="Q322" s="103">
        <f>E322-C322</f>
        <v/>
      </c>
      <c r="R322" s="103">
        <f>C322-M322</f>
        <v/>
      </c>
      <c r="S322" s="103">
        <f>C322-O322</f>
        <v/>
      </c>
      <c r="T322" s="103">
        <f>E322-O322</f>
        <v/>
      </c>
      <c r="U322" s="103">
        <f>G322-O322</f>
        <v/>
      </c>
      <c r="V322" s="103">
        <f>G322-K322</f>
        <v/>
      </c>
      <c r="W322" s="103">
        <f>C322-K322</f>
        <v/>
      </c>
      <c r="X322" s="103">
        <f>I322-G322</f>
        <v/>
      </c>
      <c r="Y322" s="104">
        <f>G322-M322</f>
        <v/>
      </c>
    </row>
    <row r="323">
      <c r="A323" s="98" t="n">
        <v>44840</v>
      </c>
      <c r="B323" s="99" t="n">
        <v>20</v>
      </c>
      <c r="C323" s="100" t="n">
        <v>0.199514</v>
      </c>
      <c r="D323" s="99" t="n">
        <v>21.5</v>
      </c>
      <c r="E323" s="101" t="n">
        <v>0.214477</v>
      </c>
      <c r="F323" s="99" t="n">
        <v>18.99</v>
      </c>
      <c r="G323" s="100" t="n">
        <v>0.179785</v>
      </c>
      <c r="H323" s="102" t="n">
        <v>21.47</v>
      </c>
      <c r="I323" s="100" t="n">
        <v>0.214635</v>
      </c>
      <c r="J323" s="102" t="n">
        <v>19.5</v>
      </c>
      <c r="K323" s="100" t="n">
        <v>0.194467</v>
      </c>
      <c r="L323" s="99" t="n">
        <v>23.9</v>
      </c>
      <c r="M323" s="100" t="n">
        <v>0.238927</v>
      </c>
      <c r="N323" s="102" t="n">
        <v>21.999</v>
      </c>
      <c r="O323" s="100" t="n">
        <v>0.219923</v>
      </c>
      <c r="P323" s="103">
        <f>C323-G323</f>
        <v/>
      </c>
      <c r="Q323" s="103">
        <f>E323-C323</f>
        <v/>
      </c>
      <c r="R323" s="103">
        <f>C323-M323</f>
        <v/>
      </c>
      <c r="S323" s="103">
        <f>C323-O323</f>
        <v/>
      </c>
      <c r="T323" s="103">
        <f>E323-O323</f>
        <v/>
      </c>
      <c r="U323" s="103">
        <f>G323-O323</f>
        <v/>
      </c>
      <c r="V323" s="103">
        <f>G323-K323</f>
        <v/>
      </c>
      <c r="W323" s="103">
        <f>C323-K323</f>
        <v/>
      </c>
      <c r="X323" s="103">
        <f>I323-G323</f>
        <v/>
      </c>
      <c r="Y323" s="104">
        <f>G323-M323</f>
        <v/>
      </c>
    </row>
    <row r="324">
      <c r="A324" s="98" t="n">
        <v>44839</v>
      </c>
      <c r="B324" s="99" t="n">
        <v>20</v>
      </c>
      <c r="C324" s="100" t="n">
        <v>0.199519</v>
      </c>
      <c r="D324" s="99" t="n">
        <v>21.2</v>
      </c>
      <c r="E324" s="101" t="n">
        <v>0.21149</v>
      </c>
      <c r="F324" s="99" t="n">
        <v>19.17</v>
      </c>
      <c r="G324" s="100" t="n">
        <v>0.181492</v>
      </c>
      <c r="H324" s="102" t="n">
        <v>21.63</v>
      </c>
      <c r="I324" s="100" t="n">
        <v>0.216235</v>
      </c>
      <c r="J324" s="102" t="n">
        <v>19.25</v>
      </c>
      <c r="K324" s="100" t="n">
        <v>0.191979</v>
      </c>
      <c r="L324" s="99" t="n">
        <v>23.9</v>
      </c>
      <c r="M324" s="100" t="n">
        <v>0.238928</v>
      </c>
      <c r="N324" s="102" t="n">
        <v>21.9</v>
      </c>
      <c r="O324" s="100" t="n">
        <v>0.218934</v>
      </c>
      <c r="P324" s="103">
        <f>C324-G324</f>
        <v/>
      </c>
      <c r="Q324" s="103">
        <f>E324-C324</f>
        <v/>
      </c>
      <c r="R324" s="103">
        <f>C324-M324</f>
        <v/>
      </c>
      <c r="S324" s="103">
        <f>C324-O324</f>
        <v/>
      </c>
      <c r="T324" s="103">
        <f>E324-O324</f>
        <v/>
      </c>
      <c r="U324" s="103">
        <f>G324-O324</f>
        <v/>
      </c>
      <c r="V324" s="103">
        <f>G324-K324</f>
        <v/>
      </c>
      <c r="W324" s="103">
        <f>C324-K324</f>
        <v/>
      </c>
      <c r="X324" s="103">
        <f>I324-G324</f>
        <v/>
      </c>
      <c r="Y324" s="104">
        <f>G324-M324</f>
        <v/>
      </c>
    </row>
    <row r="325">
      <c r="A325" s="98" t="n">
        <v>44838</v>
      </c>
      <c r="B325" s="99" t="n">
        <v>20.65</v>
      </c>
      <c r="C325" s="100" t="n">
        <v>0.206009</v>
      </c>
      <c r="D325" s="99" t="n">
        <v>22</v>
      </c>
      <c r="E325" s="101" t="n">
        <v>0.219477</v>
      </c>
      <c r="F325" s="99" t="n">
        <v>19.4</v>
      </c>
      <c r="G325" s="100" t="n">
        <v>0.183672</v>
      </c>
      <c r="H325" s="102" t="n">
        <v>21.95</v>
      </c>
      <c r="I325" s="100" t="n">
        <v>0.219435</v>
      </c>
      <c r="J325" s="102" t="n">
        <v>19.7</v>
      </c>
      <c r="K325" s="100" t="n">
        <v>0.196473</v>
      </c>
      <c r="L325" s="99" t="n">
        <v>24.9</v>
      </c>
      <c r="M325" s="100" t="n">
        <v>0.248926</v>
      </c>
      <c r="N325" s="102" t="n">
        <v>22.999</v>
      </c>
      <c r="O325" s="100" t="n">
        <v>0.229921</v>
      </c>
      <c r="P325" s="103">
        <f>C325-G325</f>
        <v/>
      </c>
      <c r="Q325" s="103">
        <f>E325-C325</f>
        <v/>
      </c>
      <c r="R325" s="103">
        <f>C325-M325</f>
        <v/>
      </c>
      <c r="S325" s="103">
        <f>C325-O325</f>
        <v/>
      </c>
      <c r="T325" s="103">
        <f>E325-O325</f>
        <v/>
      </c>
      <c r="U325" s="103">
        <f>G325-O325</f>
        <v/>
      </c>
      <c r="V325" s="103">
        <f>G325-K325</f>
        <v/>
      </c>
      <c r="W325" s="103">
        <f>C325-K325</f>
        <v/>
      </c>
      <c r="X325" s="103">
        <f>I325-G325</f>
        <v/>
      </c>
      <c r="Y325" s="104">
        <f>G325-M325</f>
        <v/>
      </c>
    </row>
    <row r="326">
      <c r="A326" s="98" t="n">
        <v>44837</v>
      </c>
      <c r="B326" s="99" t="n">
        <v>20.3</v>
      </c>
      <c r="C326" s="100" t="n">
        <v>0.202523</v>
      </c>
      <c r="D326" s="99" t="n">
        <v>21</v>
      </c>
      <c r="E326" s="101" t="n">
        <v>0.209506</v>
      </c>
      <c r="F326" s="99" t="n">
        <v>19.41</v>
      </c>
      <c r="G326" s="100" t="n">
        <v>0.183769</v>
      </c>
      <c r="H326" s="102" t="n">
        <v>22.15</v>
      </c>
      <c r="I326" s="100" t="n">
        <v>0.221435</v>
      </c>
      <c r="J326" s="102" t="n">
        <v>19.7</v>
      </c>
      <c r="K326" s="100" t="n">
        <v>0.196479</v>
      </c>
      <c r="L326" s="99" t="n">
        <v>24.79</v>
      </c>
      <c r="M326" s="100" t="n">
        <v>0.247827</v>
      </c>
      <c r="N326" s="102" t="n">
        <v>23</v>
      </c>
      <c r="O326" s="100" t="n">
        <v>0.229932</v>
      </c>
      <c r="P326" s="103">
        <f>C326-G326</f>
        <v/>
      </c>
      <c r="Q326" s="103">
        <f>E326-C326</f>
        <v/>
      </c>
      <c r="R326" s="103">
        <f>C326-M326</f>
        <v/>
      </c>
      <c r="S326" s="103">
        <f>C326-O326</f>
        <v/>
      </c>
      <c r="T326" s="103">
        <f>E326-O326</f>
        <v/>
      </c>
      <c r="U326" s="103">
        <f>G326-O326</f>
        <v/>
      </c>
      <c r="V326" s="103">
        <f>G326-K326</f>
        <v/>
      </c>
      <c r="W326" s="103">
        <f>C326-K326</f>
        <v/>
      </c>
      <c r="X326" s="103">
        <f>I326-G326</f>
        <v/>
      </c>
      <c r="Y326" s="104">
        <f>G326-M326</f>
        <v/>
      </c>
    </row>
    <row r="327">
      <c r="A327" s="98" t="n">
        <v>44834</v>
      </c>
      <c r="B327" s="99" t="n">
        <v>19.1</v>
      </c>
      <c r="C327" s="100" t="n">
        <v>0.190567</v>
      </c>
      <c r="D327" s="99" t="n">
        <v>20.39</v>
      </c>
      <c r="E327" s="101" t="n">
        <v>0.203437</v>
      </c>
      <c r="F327" s="99" t="n">
        <v>18.2</v>
      </c>
      <c r="G327" s="100" t="n">
        <v>0.172319</v>
      </c>
      <c r="H327" s="102" t="n">
        <v>20.53</v>
      </c>
      <c r="I327" s="100" t="n">
        <v>0.205242</v>
      </c>
      <c r="J327" s="102" t="n">
        <v>18.65</v>
      </c>
      <c r="K327" s="100" t="n">
        <v>0.186024</v>
      </c>
      <c r="L327" s="99" t="n">
        <v>23.2</v>
      </c>
      <c r="M327" s="100" t="n">
        <v>0.231934</v>
      </c>
      <c r="N327" s="102" t="n">
        <v>22</v>
      </c>
      <c r="O327" s="100" t="n">
        <v>0.219937</v>
      </c>
      <c r="P327" s="103">
        <f>C327-G327</f>
        <v/>
      </c>
      <c r="Q327" s="103">
        <f>E327-C327</f>
        <v/>
      </c>
      <c r="R327" s="103">
        <f>C327-M327</f>
        <v/>
      </c>
      <c r="S327" s="103">
        <f>C327-O327</f>
        <v/>
      </c>
      <c r="T327" s="103">
        <f>E327-O327</f>
        <v/>
      </c>
      <c r="U327" s="103">
        <f>G327-O327</f>
        <v/>
      </c>
      <c r="V327" s="103">
        <f>G327-K327</f>
        <v/>
      </c>
      <c r="W327" s="103">
        <f>C327-K327</f>
        <v/>
      </c>
      <c r="X327" s="103">
        <f>I327-G327</f>
        <v/>
      </c>
      <c r="Y327" s="104">
        <f>G327-M327</f>
        <v/>
      </c>
    </row>
    <row r="328">
      <c r="A328" s="98" t="n">
        <v>44833</v>
      </c>
      <c r="B328" s="99" t="n">
        <v>19.7</v>
      </c>
      <c r="C328" s="100" t="n">
        <v>0.196558</v>
      </c>
      <c r="D328" s="99" t="n">
        <v>21.2</v>
      </c>
      <c r="E328" s="101" t="n">
        <v>0.211525</v>
      </c>
      <c r="F328" s="99" t="n">
        <v>18.9</v>
      </c>
      <c r="G328" s="100" t="n">
        <v>0.178949</v>
      </c>
      <c r="H328" s="102" t="n">
        <v>21.6</v>
      </c>
      <c r="I328" s="100" t="n">
        <v>0.215939</v>
      </c>
      <c r="J328" s="102" t="n">
        <v>20</v>
      </c>
      <c r="K328" s="100" t="n">
        <v>0.199496</v>
      </c>
      <c r="L328" s="99" t="n">
        <v>24.05</v>
      </c>
      <c r="M328" s="100" t="n">
        <v>0.240432</v>
      </c>
      <c r="N328" s="102" t="n">
        <v>21.8</v>
      </c>
      <c r="O328" s="100" t="n">
        <v>0.217939</v>
      </c>
      <c r="P328" s="103">
        <f>C328-G328</f>
        <v/>
      </c>
      <c r="Q328" s="103">
        <f>E328-C328</f>
        <v/>
      </c>
      <c r="R328" s="103">
        <f>C328-M328</f>
        <v/>
      </c>
      <c r="S328" s="103">
        <f>C328-O328</f>
        <v/>
      </c>
      <c r="T328" s="103">
        <f>E328-O328</f>
        <v/>
      </c>
      <c r="U328" s="103">
        <f>G328-O328</f>
        <v/>
      </c>
      <c r="V328" s="103">
        <f>G328-K328</f>
        <v/>
      </c>
      <c r="W328" s="103">
        <f>C328-K328</f>
        <v/>
      </c>
      <c r="X328" s="103">
        <f>I328-G328</f>
        <v/>
      </c>
      <c r="Y328" s="104">
        <f>G328-M328</f>
        <v/>
      </c>
    </row>
    <row r="329">
      <c r="A329" s="98" t="n">
        <v>44832</v>
      </c>
      <c r="B329" s="99" t="n">
        <v>20.2</v>
      </c>
      <c r="C329" s="100" t="n">
        <v>0.201553</v>
      </c>
      <c r="D329" s="99" t="n">
        <v>21.75</v>
      </c>
      <c r="E329" s="101" t="n">
        <v>0.217018</v>
      </c>
      <c r="F329" s="99" t="n">
        <v>19.39</v>
      </c>
      <c r="G329" s="100" t="n">
        <v>0.183591</v>
      </c>
      <c r="H329" s="102" t="n">
        <v>22.35</v>
      </c>
      <c r="I329" s="100" t="n">
        <v>0.223438</v>
      </c>
      <c r="J329" s="102" t="n">
        <v>20.39</v>
      </c>
      <c r="K329" s="100" t="n">
        <v>0.203392</v>
      </c>
      <c r="L329" s="99" t="n">
        <v>24.3</v>
      </c>
      <c r="M329" s="100" t="n">
        <v>0.242933</v>
      </c>
      <c r="N329" s="102" t="n">
        <v>22.5</v>
      </c>
      <c r="O329" s="100" t="n">
        <v>0.224938</v>
      </c>
      <c r="P329" s="103">
        <f>C329-G329</f>
        <v/>
      </c>
      <c r="Q329" s="103">
        <f>E329-C329</f>
        <v/>
      </c>
      <c r="R329" s="103">
        <f>C329-M329</f>
        <v/>
      </c>
      <c r="S329" s="103">
        <f>C329-O329</f>
        <v/>
      </c>
      <c r="T329" s="103">
        <f>E329-O329</f>
        <v/>
      </c>
      <c r="U329" s="103">
        <f>G329-O329</f>
        <v/>
      </c>
      <c r="V329" s="103">
        <f>G329-K329</f>
        <v/>
      </c>
      <c r="W329" s="103">
        <f>C329-K329</f>
        <v/>
      </c>
      <c r="X329" s="103">
        <f>I329-G329</f>
        <v/>
      </c>
      <c r="Y329" s="104">
        <f>G329-M329</f>
        <v/>
      </c>
    </row>
    <row r="330">
      <c r="A330" s="98" t="n">
        <v>44831</v>
      </c>
      <c r="B330" s="99" t="n">
        <v>19.4</v>
      </c>
      <c r="C330" s="100" t="n">
        <v>0.193576</v>
      </c>
      <c r="D330" s="99" t="n">
        <v>21.11</v>
      </c>
      <c r="E330" s="101" t="n">
        <v>0.210638</v>
      </c>
      <c r="F330" s="99" t="n">
        <v>18.46</v>
      </c>
      <c r="G330" s="100" t="n">
        <v>0.174788</v>
      </c>
      <c r="H330" s="102" t="n">
        <v>21.4</v>
      </c>
      <c r="I330" s="100" t="n">
        <v>0.213941</v>
      </c>
      <c r="J330" s="102" t="n">
        <v>19.15</v>
      </c>
      <c r="K330" s="100" t="n">
        <v>0.191029</v>
      </c>
      <c r="L330" s="99" t="n">
        <v>23.4</v>
      </c>
      <c r="M330" s="100" t="n">
        <v>0.233936</v>
      </c>
      <c r="N330" s="102" t="n">
        <v>21.5</v>
      </c>
      <c r="O330" s="100" t="n">
        <v>0.214941</v>
      </c>
      <c r="P330" s="103">
        <f>C330-G330</f>
        <v/>
      </c>
      <c r="Q330" s="103">
        <f>E330-C330</f>
        <v/>
      </c>
      <c r="R330" s="103">
        <f>C330-M330</f>
        <v/>
      </c>
      <c r="S330" s="103">
        <f>C330-O330</f>
        <v/>
      </c>
      <c r="T330" s="103">
        <f>E330-O330</f>
        <v/>
      </c>
      <c r="U330" s="103">
        <f>G330-O330</f>
        <v/>
      </c>
      <c r="V330" s="103">
        <f>G330-K330</f>
        <v/>
      </c>
      <c r="W330" s="103">
        <f>C330-K330</f>
        <v/>
      </c>
      <c r="X330" s="103">
        <f>I330-G330</f>
        <v/>
      </c>
      <c r="Y330" s="104">
        <f>G330-M330</f>
        <v/>
      </c>
    </row>
    <row r="331">
      <c r="A331" s="98" t="n">
        <v>44830</v>
      </c>
      <c r="B331" s="99" t="n">
        <v>20.592</v>
      </c>
      <c r="C331" s="100" t="n">
        <v>0.205475</v>
      </c>
      <c r="D331" s="99" t="n">
        <v>23.1</v>
      </c>
      <c r="E331" s="101" t="n">
        <v>0.230501</v>
      </c>
      <c r="F331" s="99" t="n">
        <v>19.7</v>
      </c>
      <c r="G331" s="100" t="n">
        <v>0.186531</v>
      </c>
      <c r="H331" s="102" t="n">
        <v>22.75</v>
      </c>
      <c r="I331" s="100" t="n">
        <v>0.227438</v>
      </c>
      <c r="J331" s="102" t="n">
        <v>20.5</v>
      </c>
      <c r="K331" s="100" t="n">
        <v>0.204502</v>
      </c>
      <c r="L331" s="99" t="n">
        <v>24.65</v>
      </c>
      <c r="M331" s="100" t="n">
        <v>0.246433</v>
      </c>
      <c r="N331" s="102" t="n">
        <v>23</v>
      </c>
      <c r="O331" s="100" t="n">
        <v>0.229938</v>
      </c>
      <c r="P331" s="103">
        <f>C331-G331</f>
        <v/>
      </c>
      <c r="Q331" s="103">
        <f>E331-C331</f>
        <v/>
      </c>
      <c r="R331" s="103">
        <f>C331-M331</f>
        <v/>
      </c>
      <c r="S331" s="103">
        <f>C331-O331</f>
        <v/>
      </c>
      <c r="T331" s="103">
        <f>E331-O331</f>
        <v/>
      </c>
      <c r="U331" s="103">
        <f>G331-O331</f>
        <v/>
      </c>
      <c r="V331" s="103">
        <f>G331-K331</f>
        <v/>
      </c>
      <c r="W331" s="103">
        <f>C331-K331</f>
        <v/>
      </c>
      <c r="X331" s="103">
        <f>I331-G331</f>
        <v/>
      </c>
      <c r="Y331" s="104">
        <f>G331-M331</f>
        <v/>
      </c>
    </row>
    <row r="332">
      <c r="A332" s="98" t="n">
        <v>44827</v>
      </c>
      <c r="B332" s="99" t="n">
        <v>21.09</v>
      </c>
      <c r="C332" s="100" t="n">
        <v>0.210462</v>
      </c>
      <c r="D332" s="99" t="n">
        <v>23</v>
      </c>
      <c r="E332" s="101" t="n">
        <v>0.229522</v>
      </c>
      <c r="F332" s="99" t="n">
        <v>20.3</v>
      </c>
      <c r="G332" s="100" t="n">
        <v>0.19222</v>
      </c>
      <c r="H332" s="102" t="n">
        <v>23.69</v>
      </c>
      <c r="I332" s="100" t="n">
        <v>0.236838</v>
      </c>
      <c r="J332" s="102" t="n">
        <v>21</v>
      </c>
      <c r="K332" s="100" t="n">
        <v>0.209509</v>
      </c>
      <c r="L332" s="99" t="n">
        <v>25.8</v>
      </c>
      <c r="M332" s="100" t="n">
        <v>0.257933</v>
      </c>
      <c r="N332" s="102" t="n">
        <v>23.85</v>
      </c>
      <c r="O332" s="100" t="n">
        <v>0.238438</v>
      </c>
      <c r="P332" s="103">
        <f>C332-G332</f>
        <v/>
      </c>
      <c r="Q332" s="103">
        <f>E332-C332</f>
        <v/>
      </c>
      <c r="R332" s="103">
        <f>C332-M332</f>
        <v/>
      </c>
      <c r="S332" s="103">
        <f>C332-O332</f>
        <v/>
      </c>
      <c r="T332" s="103">
        <f>E332-O332</f>
        <v/>
      </c>
      <c r="U332" s="103">
        <f>G332-O332</f>
        <v/>
      </c>
      <c r="V332" s="103">
        <f>G332-K332</f>
        <v/>
      </c>
      <c r="W332" s="103">
        <f>C332-K332</f>
        <v/>
      </c>
      <c r="X332" s="103">
        <f>I332-G332</f>
        <v/>
      </c>
      <c r="Y332" s="104">
        <f>G332-M332</f>
        <v/>
      </c>
    </row>
    <row r="333">
      <c r="A333" s="98" t="n">
        <v>44826</v>
      </c>
      <c r="B333" s="99" t="n">
        <v>21.92</v>
      </c>
      <c r="C333" s="100" t="n">
        <v>0.218751</v>
      </c>
      <c r="D333" s="99" t="n">
        <v>23.81</v>
      </c>
      <c r="E333" s="101" t="n">
        <v>0.237612</v>
      </c>
      <c r="F333" s="99" t="n">
        <v>21</v>
      </c>
      <c r="G333" s="100" t="n">
        <v>0.198851</v>
      </c>
      <c r="H333" s="102" t="n">
        <v>24.379</v>
      </c>
      <c r="I333" s="100" t="n">
        <v>0.243727</v>
      </c>
      <c r="J333" s="102" t="n">
        <v>21.469</v>
      </c>
      <c r="K333" s="100" t="n">
        <v>0.214195</v>
      </c>
      <c r="L333" s="99" t="n">
        <v>26</v>
      </c>
      <c r="M333" s="100" t="n">
        <v>0.259933</v>
      </c>
      <c r="N333" s="102" t="n">
        <v>24.2</v>
      </c>
      <c r="O333" s="100" t="n">
        <v>0.241938</v>
      </c>
      <c r="P333" s="103">
        <f>C333-G333</f>
        <v/>
      </c>
      <c r="Q333" s="103">
        <f>E333-C333</f>
        <v/>
      </c>
      <c r="R333" s="103">
        <f>C333-M333</f>
        <v/>
      </c>
      <c r="S333" s="103">
        <f>C333-O333</f>
        <v/>
      </c>
      <c r="T333" s="103">
        <f>E333-O333</f>
        <v/>
      </c>
      <c r="U333" s="103">
        <f>G333-O333</f>
        <v/>
      </c>
      <c r="V333" s="103">
        <f>G333-K333</f>
        <v/>
      </c>
      <c r="W333" s="103">
        <f>C333-K333</f>
        <v/>
      </c>
      <c r="X333" s="103">
        <f>I333-G333</f>
        <v/>
      </c>
      <c r="Y333" s="104">
        <f>G333-M333</f>
        <v/>
      </c>
    </row>
    <row r="334">
      <c r="A334" s="98" t="n">
        <v>44825</v>
      </c>
      <c r="B334" s="99" t="n">
        <v>22.31</v>
      </c>
      <c r="C334" s="100" t="n">
        <v>0.222649</v>
      </c>
      <c r="D334" s="99" t="n">
        <v>24.3</v>
      </c>
      <c r="E334" s="101" t="n">
        <v>0.242508</v>
      </c>
      <c r="F334" s="99" t="n">
        <v>21.35</v>
      </c>
      <c r="G334" s="100" t="n">
        <v>0.202168</v>
      </c>
      <c r="H334" s="102" t="n">
        <v>24.9</v>
      </c>
      <c r="I334" s="100" t="n">
        <v>0.248937</v>
      </c>
      <c r="J334" s="102" t="n">
        <v>21.8</v>
      </c>
      <c r="K334" s="100" t="n">
        <v>0.217504</v>
      </c>
      <c r="L334" s="99" t="n">
        <v>25.771</v>
      </c>
      <c r="M334" s="100" t="n">
        <v>0.257645</v>
      </c>
      <c r="N334" s="102" t="n">
        <v>24.285</v>
      </c>
      <c r="O334" s="100" t="n">
        <v>0.242788</v>
      </c>
      <c r="P334" s="103">
        <f>C334-G334</f>
        <v/>
      </c>
      <c r="Q334" s="103">
        <f>E334-C334</f>
        <v/>
      </c>
      <c r="R334" s="103">
        <f>C334-M334</f>
        <v/>
      </c>
      <c r="S334" s="103">
        <f>C334-O334</f>
        <v/>
      </c>
      <c r="T334" s="103">
        <f>E334-O334</f>
        <v/>
      </c>
      <c r="U334" s="103">
        <f>G334-O334</f>
        <v/>
      </c>
      <c r="V334" s="103">
        <f>G334-K334</f>
        <v/>
      </c>
      <c r="W334" s="103">
        <f>C334-K334</f>
        <v/>
      </c>
      <c r="X334" s="103">
        <f>I334-G334</f>
        <v/>
      </c>
      <c r="Y334" s="104">
        <f>G334-M334</f>
        <v/>
      </c>
    </row>
    <row r="335">
      <c r="A335" s="98" t="n">
        <v>44824</v>
      </c>
      <c r="B335" s="99" t="n">
        <v>22.559</v>
      </c>
      <c r="C335" s="100" t="n">
        <v>0.22514</v>
      </c>
      <c r="D335" s="99" t="n">
        <v>24.5</v>
      </c>
      <c r="E335" s="101" t="n">
        <v>0.244511</v>
      </c>
      <c r="F335" s="99" t="n">
        <v>21.6</v>
      </c>
      <c r="G335" s="100" t="n">
        <v>0.204537</v>
      </c>
      <c r="H335" s="102" t="n">
        <v>24.89</v>
      </c>
      <c r="I335" s="100" t="n">
        <v>0.248838</v>
      </c>
      <c r="J335" s="102" t="n">
        <v>22.2</v>
      </c>
      <c r="K335" s="100" t="n">
        <v>0.221502</v>
      </c>
      <c r="L335" s="99" t="n">
        <v>26.3</v>
      </c>
      <c r="M335" s="100" t="n">
        <v>0.262934</v>
      </c>
      <c r="N335" s="102" t="n">
        <v>24.1</v>
      </c>
      <c r="O335" s="100" t="n">
        <v>0.24094</v>
      </c>
      <c r="P335" s="103">
        <f>C335-G335</f>
        <v/>
      </c>
      <c r="Q335" s="103">
        <f>E335-C335</f>
        <v/>
      </c>
      <c r="R335" s="103">
        <f>C335-M335</f>
        <v/>
      </c>
      <c r="S335" s="103">
        <f>C335-O335</f>
        <v/>
      </c>
      <c r="T335" s="103">
        <f>E335-O335</f>
        <v/>
      </c>
      <c r="U335" s="103">
        <f>G335-O335</f>
        <v/>
      </c>
      <c r="V335" s="103">
        <f>G335-K335</f>
        <v/>
      </c>
      <c r="W335" s="103">
        <f>C335-K335</f>
        <v/>
      </c>
      <c r="X335" s="103">
        <f>I335-G335</f>
        <v/>
      </c>
      <c r="Y335" s="104">
        <f>G335-M335</f>
        <v/>
      </c>
    </row>
    <row r="336">
      <c r="A336" s="98" t="n">
        <v>44823</v>
      </c>
      <c r="B336" s="99" t="n">
        <v>22.754</v>
      </c>
      <c r="C336" s="100" t="n">
        <v>0.227092</v>
      </c>
      <c r="D336" s="99" t="n">
        <v>24.995</v>
      </c>
      <c r="E336" s="101" t="n">
        <v>0.249458</v>
      </c>
      <c r="F336" s="99" t="n">
        <v>21.8</v>
      </c>
      <c r="G336" s="100" t="n">
        <v>0.206434</v>
      </c>
      <c r="H336" s="102" t="n">
        <v>25.013</v>
      </c>
      <c r="I336" s="100" t="n">
        <v>0.250068</v>
      </c>
      <c r="J336" s="102" t="n">
        <v>22.4</v>
      </c>
      <c r="K336" s="100" t="n">
        <v>0.223504</v>
      </c>
      <c r="L336" s="99" t="n">
        <v>26.38</v>
      </c>
      <c r="M336" s="100" t="n">
        <v>0.263735</v>
      </c>
      <c r="N336" s="102" t="n">
        <v>24.2</v>
      </c>
      <c r="O336" s="100" t="n">
        <v>0.24194</v>
      </c>
      <c r="P336" s="103">
        <f>C336-G336</f>
        <v/>
      </c>
      <c r="Q336" s="103">
        <f>E336-C336</f>
        <v/>
      </c>
      <c r="R336" s="103">
        <f>C336-M336</f>
        <v/>
      </c>
      <c r="S336" s="103">
        <f>C336-O336</f>
        <v/>
      </c>
      <c r="T336" s="103">
        <f>E336-O336</f>
        <v/>
      </c>
      <c r="U336" s="103">
        <f>G336-O336</f>
        <v/>
      </c>
      <c r="V336" s="103">
        <f>G336-K336</f>
        <v/>
      </c>
      <c r="W336" s="103">
        <f>C336-K336</f>
        <v/>
      </c>
      <c r="X336" s="103">
        <f>I336-G336</f>
        <v/>
      </c>
      <c r="Y336" s="104">
        <f>G336-M336</f>
        <v/>
      </c>
    </row>
    <row r="337">
      <c r="A337" s="98" t="n">
        <v>44820</v>
      </c>
      <c r="B337" s="99" t="n">
        <v>22.69</v>
      </c>
      <c r="C337" s="100" t="n">
        <v>0.226472</v>
      </c>
      <c r="D337" s="99" t="n">
        <v>25.25</v>
      </c>
      <c r="E337" s="101" t="n">
        <v>0.252024</v>
      </c>
      <c r="F337" s="99" t="n">
        <v>21.59</v>
      </c>
      <c r="G337" s="100" t="n">
        <v>0.204453</v>
      </c>
      <c r="H337" s="102" t="n">
        <v>24.95</v>
      </c>
      <c r="I337" s="100" t="n">
        <v>0.249441</v>
      </c>
      <c r="J337" s="102" t="n">
        <v>22.5</v>
      </c>
      <c r="K337" s="100" t="n">
        <v>0.224523</v>
      </c>
      <c r="L337" s="99" t="n">
        <v>25.8</v>
      </c>
      <c r="M337" s="100" t="n">
        <v>0.257939</v>
      </c>
      <c r="N337" s="102" t="n">
        <v>23.9</v>
      </c>
      <c r="O337" s="100" t="n">
        <v>0.238944</v>
      </c>
      <c r="P337" s="103">
        <f>C337-G337</f>
        <v/>
      </c>
      <c r="Q337" s="103">
        <f>E337-C337</f>
        <v/>
      </c>
      <c r="R337" s="103">
        <f>C337-M337</f>
        <v/>
      </c>
      <c r="S337" s="103">
        <f>C337-O337</f>
        <v/>
      </c>
      <c r="T337" s="103">
        <f>E337-O337</f>
        <v/>
      </c>
      <c r="U337" s="103">
        <f>G337-O337</f>
        <v/>
      </c>
      <c r="V337" s="103">
        <f>G337-K337</f>
        <v/>
      </c>
      <c r="W337" s="103">
        <f>C337-K337</f>
        <v/>
      </c>
      <c r="X337" s="103">
        <f>I337-G337</f>
        <v/>
      </c>
      <c r="Y337" s="104">
        <f>G337-M337</f>
        <v/>
      </c>
    </row>
    <row r="338">
      <c r="A338" s="98" t="n">
        <v>44819</v>
      </c>
      <c r="B338" s="99" t="n">
        <v>22.9</v>
      </c>
      <c r="C338" s="100" t="n">
        <v>0.228574</v>
      </c>
      <c r="D338" s="99" t="n">
        <v>25.25</v>
      </c>
      <c r="E338" s="101" t="n">
        <v>0.25203</v>
      </c>
      <c r="F338" s="99" t="n">
        <v>22.09</v>
      </c>
      <c r="G338" s="100" t="n">
        <v>0.209191</v>
      </c>
      <c r="H338" s="102" t="n">
        <v>25.34</v>
      </c>
      <c r="I338" s="100" t="n">
        <v>0.253341</v>
      </c>
      <c r="J338" s="102" t="n">
        <v>22.6</v>
      </c>
      <c r="K338" s="100" t="n">
        <v>0.225527</v>
      </c>
      <c r="L338" s="99" t="n">
        <v>26.2</v>
      </c>
      <c r="M338" s="100" t="n">
        <v>0.261939</v>
      </c>
      <c r="N338" s="102" t="n">
        <v>24.3</v>
      </c>
      <c r="O338" s="100" t="n">
        <v>0.242943</v>
      </c>
      <c r="P338" s="103">
        <f>C338-G338</f>
        <v/>
      </c>
      <c r="Q338" s="103">
        <f>E338-C338</f>
        <v/>
      </c>
      <c r="R338" s="103">
        <f>C338-M338</f>
        <v/>
      </c>
      <c r="S338" s="103">
        <f>C338-O338</f>
        <v/>
      </c>
      <c r="T338" s="103">
        <f>E338-O338</f>
        <v/>
      </c>
      <c r="U338" s="103">
        <f>G338-O338</f>
        <v/>
      </c>
      <c r="V338" s="103">
        <f>G338-K338</f>
        <v/>
      </c>
      <c r="W338" s="103">
        <f>C338-K338</f>
        <v/>
      </c>
      <c r="X338" s="103">
        <f>I338-G338</f>
        <v/>
      </c>
      <c r="Y338" s="104">
        <f>G338-M338</f>
        <v/>
      </c>
    </row>
    <row r="339">
      <c r="A339" s="98" t="n">
        <v>44818</v>
      </c>
      <c r="B339" s="99" t="n">
        <v>23.5</v>
      </c>
      <c r="C339" s="100" t="n">
        <v>0.234569</v>
      </c>
      <c r="D339" s="99" t="n">
        <v>25.25</v>
      </c>
      <c r="E339" s="101" t="n">
        <v>0.252037</v>
      </c>
      <c r="F339" s="99" t="n">
        <v>22.37</v>
      </c>
      <c r="G339" s="100" t="n">
        <v>0.211845</v>
      </c>
      <c r="H339" s="102" t="n">
        <v>25.747</v>
      </c>
      <c r="I339" s="100" t="n">
        <v>0.257411</v>
      </c>
      <c r="J339" s="102" t="n">
        <v>23</v>
      </c>
      <c r="K339" s="100" t="n">
        <v>0.229526</v>
      </c>
      <c r="L339" s="99" t="n">
        <v>26.5</v>
      </c>
      <c r="M339" s="100" t="n">
        <v>0.264939</v>
      </c>
      <c r="N339" s="102" t="n">
        <v>24.71</v>
      </c>
      <c r="O339" s="100" t="n">
        <v>0.247043</v>
      </c>
      <c r="P339" s="103">
        <f>C339-G339</f>
        <v/>
      </c>
      <c r="Q339" s="103">
        <f>E339-C339</f>
        <v/>
      </c>
      <c r="R339" s="103">
        <f>C339-M339</f>
        <v/>
      </c>
      <c r="S339" s="103">
        <f>C339-O339</f>
        <v/>
      </c>
      <c r="T339" s="103">
        <f>E339-O339</f>
        <v/>
      </c>
      <c r="U339" s="103">
        <f>G339-O339</f>
        <v/>
      </c>
      <c r="V339" s="103">
        <f>G339-K339</f>
        <v/>
      </c>
      <c r="W339" s="103">
        <f>C339-K339</f>
        <v/>
      </c>
      <c r="X339" s="103">
        <f>I339-G339</f>
        <v/>
      </c>
      <c r="Y339" s="104">
        <f>G339-M339</f>
        <v/>
      </c>
    </row>
    <row r="340">
      <c r="A340" s="98" t="n">
        <v>44817</v>
      </c>
      <c r="B340" s="99" t="n">
        <v>23.54</v>
      </c>
      <c r="C340" s="100" t="n">
        <v>0.234975</v>
      </c>
      <c r="D340" s="99" t="n">
        <v>25.6</v>
      </c>
      <c r="E340" s="101" t="n">
        <v>0.255538</v>
      </c>
      <c r="F340" s="99" t="n">
        <v>22.58</v>
      </c>
      <c r="G340" s="100" t="n">
        <v>0.213837</v>
      </c>
      <c r="H340" s="102" t="n">
        <v>26.01</v>
      </c>
      <c r="I340" s="100" t="n">
        <v>0.260041</v>
      </c>
      <c r="J340" s="102" t="n">
        <v>23.101</v>
      </c>
      <c r="K340" s="100" t="n">
        <v>0.230541</v>
      </c>
      <c r="L340" s="99" t="n">
        <v>27.1</v>
      </c>
      <c r="M340" s="100" t="n">
        <v>0.270939</v>
      </c>
      <c r="N340" s="102" t="n">
        <v>25</v>
      </c>
      <c r="O340" s="100" t="n">
        <v>0.249944</v>
      </c>
      <c r="P340" s="103">
        <f>C340-G340</f>
        <v/>
      </c>
      <c r="Q340" s="103">
        <f>E340-C340</f>
        <v/>
      </c>
      <c r="R340" s="103">
        <f>C340-M340</f>
        <v/>
      </c>
      <c r="S340" s="103">
        <f>C340-O340</f>
        <v/>
      </c>
      <c r="T340" s="103">
        <f>E340-O340</f>
        <v/>
      </c>
      <c r="U340" s="103">
        <f>G340-O340</f>
        <v/>
      </c>
      <c r="V340" s="103">
        <f>G340-K340</f>
        <v/>
      </c>
      <c r="W340" s="103">
        <f>C340-K340</f>
        <v/>
      </c>
      <c r="X340" s="103">
        <f>I340-G340</f>
        <v/>
      </c>
      <c r="Y340" s="104">
        <f>G340-M340</f>
        <v/>
      </c>
    </row>
    <row r="341">
      <c r="A341" s="98" t="n">
        <v>44816</v>
      </c>
      <c r="B341" s="99" t="n">
        <v>24</v>
      </c>
      <c r="C341" s="100" t="n">
        <v>0.239573</v>
      </c>
      <c r="D341" s="99" t="n">
        <v>25.55</v>
      </c>
      <c r="E341" s="101" t="n">
        <v>0.255046</v>
      </c>
      <c r="F341" s="99" t="n">
        <v>23</v>
      </c>
      <c r="G341" s="100" t="n">
        <v>0.217817</v>
      </c>
      <c r="H341" s="102" t="n">
        <v>26.2</v>
      </c>
      <c r="I341" s="100" t="n">
        <v>0.261942</v>
      </c>
      <c r="J341" s="102" t="n">
        <v>23.66</v>
      </c>
      <c r="K341" s="100" t="n">
        <v>0.236127</v>
      </c>
      <c r="L341" s="99" t="n">
        <v>27.75</v>
      </c>
      <c r="M341" s="100" t="n">
        <v>0.277438</v>
      </c>
      <c r="N341" s="102" t="n">
        <v>25.13</v>
      </c>
      <c r="O341" s="100" t="n">
        <v>0.251244</v>
      </c>
      <c r="P341" s="103">
        <f>C341-G341</f>
        <v/>
      </c>
      <c r="Q341" s="103">
        <f>E341-C341</f>
        <v/>
      </c>
      <c r="R341" s="103">
        <f>C341-M341</f>
        <v/>
      </c>
      <c r="S341" s="103">
        <f>C341-O341</f>
        <v/>
      </c>
      <c r="T341" s="103">
        <f>E341-O341</f>
        <v/>
      </c>
      <c r="U341" s="103">
        <f>G341-O341</f>
        <v/>
      </c>
      <c r="V341" s="103">
        <f>G341-K341</f>
        <v/>
      </c>
      <c r="W341" s="103">
        <f>C341-K341</f>
        <v/>
      </c>
      <c r="X341" s="103">
        <f>I341-G341</f>
        <v/>
      </c>
      <c r="Y341" s="104">
        <f>G341-M341</f>
        <v/>
      </c>
    </row>
    <row r="342">
      <c r="A342" s="98" t="n">
        <v>44813</v>
      </c>
      <c r="B342" s="99" t="n">
        <v>23.75</v>
      </c>
      <c r="C342" s="100" t="n">
        <v>0.237097</v>
      </c>
      <c r="D342" s="99" t="n">
        <v>25</v>
      </c>
      <c r="E342" s="101" t="n">
        <v>0.249576</v>
      </c>
      <c r="F342" s="99" t="n">
        <v>22.8</v>
      </c>
      <c r="G342" s="100" t="n">
        <v>0.215931</v>
      </c>
      <c r="H342" s="102" t="n">
        <v>26.05</v>
      </c>
      <c r="I342" s="100" t="n">
        <v>0.260445</v>
      </c>
      <c r="J342" s="102" t="n">
        <v>23.56</v>
      </c>
      <c r="K342" s="100" t="n">
        <v>0.235151</v>
      </c>
      <c r="L342" s="99" t="n">
        <v>27.499</v>
      </c>
      <c r="M342" s="100" t="n">
        <v>0.274932</v>
      </c>
      <c r="N342" s="102" t="n">
        <v>25.8</v>
      </c>
      <c r="O342" s="100" t="n">
        <v>0.257945</v>
      </c>
      <c r="P342" s="103">
        <f>C342-G342</f>
        <v/>
      </c>
      <c r="Q342" s="103">
        <f>E342-C342</f>
        <v/>
      </c>
      <c r="R342" s="103">
        <f>C342-M342</f>
        <v/>
      </c>
      <c r="S342" s="103">
        <f>C342-O342</f>
        <v/>
      </c>
      <c r="T342" s="103">
        <f>E342-O342</f>
        <v/>
      </c>
      <c r="U342" s="103">
        <f>G342-O342</f>
        <v/>
      </c>
      <c r="V342" s="103">
        <f>G342-K342</f>
        <v/>
      </c>
      <c r="W342" s="103">
        <f>C342-K342</f>
        <v/>
      </c>
      <c r="X342" s="103">
        <f>I342-G342</f>
        <v/>
      </c>
      <c r="Y342" s="104">
        <f>G342-M342</f>
        <v/>
      </c>
    </row>
    <row r="343">
      <c r="A343" s="98" t="n">
        <v>44812</v>
      </c>
      <c r="B343" s="99" t="n">
        <v>23.8</v>
      </c>
      <c r="C343" s="100" t="n">
        <v>0.237603</v>
      </c>
      <c r="D343" s="99" t="n">
        <v>25.6</v>
      </c>
      <c r="E343" s="101" t="n">
        <v>0.255573</v>
      </c>
      <c r="F343" s="99" t="n">
        <v>22.77</v>
      </c>
      <c r="G343" s="100" t="n">
        <v>0.21565</v>
      </c>
      <c r="H343" s="102" t="n">
        <v>25.8</v>
      </c>
      <c r="I343" s="100" t="n">
        <v>0.257946</v>
      </c>
      <c r="J343" s="102" t="n">
        <v>23.201</v>
      </c>
      <c r="K343" s="100" t="n">
        <v>0.231575</v>
      </c>
      <c r="L343" s="99" t="n">
        <v>27.3</v>
      </c>
      <c r="M343" s="100" t="n">
        <v>0.272943</v>
      </c>
      <c r="N343" s="102" t="n">
        <v>25.25</v>
      </c>
      <c r="O343" s="100" t="n">
        <v>0.252447</v>
      </c>
      <c r="P343" s="103">
        <f>C343-G343</f>
        <v/>
      </c>
      <c r="Q343" s="103">
        <f>E343-C343</f>
        <v/>
      </c>
      <c r="R343" s="103">
        <f>C343-M343</f>
        <v/>
      </c>
      <c r="S343" s="103">
        <f>C343-O343</f>
        <v/>
      </c>
      <c r="T343" s="103">
        <f>E343-O343</f>
        <v/>
      </c>
      <c r="U343" s="103">
        <f>G343-O343</f>
        <v/>
      </c>
      <c r="V343" s="103">
        <f>G343-K343</f>
        <v/>
      </c>
      <c r="W343" s="103">
        <f>C343-K343</f>
        <v/>
      </c>
      <c r="X343" s="103">
        <f>I343-G343</f>
        <v/>
      </c>
      <c r="Y343" s="104">
        <f>G343-M343</f>
        <v/>
      </c>
    </row>
    <row r="344">
      <c r="A344" s="98" t="n">
        <v>44811</v>
      </c>
      <c r="B344" s="99" t="n">
        <v>23.56</v>
      </c>
      <c r="C344" s="100" t="n">
        <v>0.235213</v>
      </c>
      <c r="D344" s="99" t="n">
        <v>25.4</v>
      </c>
      <c r="E344" s="101" t="n">
        <v>0.253583</v>
      </c>
      <c r="F344" s="99" t="n">
        <v>22.83</v>
      </c>
      <c r="G344" s="100" t="n">
        <v>0.216221</v>
      </c>
      <c r="H344" s="102" t="n">
        <v>25.82</v>
      </c>
      <c r="I344" s="100" t="n">
        <v>0.258147</v>
      </c>
      <c r="J344" s="102" t="n">
        <v>23.2</v>
      </c>
      <c r="K344" s="100" t="n">
        <v>0.231572</v>
      </c>
      <c r="L344" s="99" t="n">
        <v>27.3</v>
      </c>
      <c r="M344" s="100" t="n">
        <v>0.272944</v>
      </c>
      <c r="N344" s="102" t="n">
        <v>25</v>
      </c>
      <c r="O344" s="100" t="n">
        <v>0.249949</v>
      </c>
      <c r="P344" s="103">
        <f>C344-G344</f>
        <v/>
      </c>
      <c r="Q344" s="103">
        <f>E344-C344</f>
        <v/>
      </c>
      <c r="R344" s="103">
        <f>C344-M344</f>
        <v/>
      </c>
      <c r="S344" s="103">
        <f>C344-O344</f>
        <v/>
      </c>
      <c r="T344" s="103">
        <f>E344-O344</f>
        <v/>
      </c>
      <c r="U344" s="103">
        <f>G344-O344</f>
        <v/>
      </c>
      <c r="V344" s="103">
        <f>G344-K344</f>
        <v/>
      </c>
      <c r="W344" s="103">
        <f>C344-K344</f>
        <v/>
      </c>
      <c r="X344" s="103">
        <f>I344-G344</f>
        <v/>
      </c>
      <c r="Y344" s="104">
        <f>G344-M344</f>
        <v/>
      </c>
    </row>
    <row r="345">
      <c r="A345" s="98" t="n">
        <v>44810</v>
      </c>
      <c r="B345" s="99" t="n">
        <v>23.821</v>
      </c>
      <c r="C345" s="100" t="n">
        <v>0.237826</v>
      </c>
      <c r="D345" s="99" t="n">
        <v>25.25</v>
      </c>
      <c r="E345" s="101" t="n">
        <v>0.252093</v>
      </c>
      <c r="F345" s="99" t="n">
        <v>22.69</v>
      </c>
      <c r="G345" s="100" t="n">
        <v>0.214898</v>
      </c>
      <c r="H345" s="102" t="n">
        <v>26.26</v>
      </c>
      <c r="I345" s="100" t="n">
        <v>0.262547</v>
      </c>
      <c r="J345" s="102" t="n">
        <v>23.25</v>
      </c>
      <c r="K345" s="100" t="n">
        <v>0.232078</v>
      </c>
      <c r="L345" s="99" t="n">
        <v>27.25</v>
      </c>
      <c r="M345" s="100" t="n">
        <v>0.272445</v>
      </c>
      <c r="N345" s="102" t="n">
        <v>24.99</v>
      </c>
      <c r="O345" s="100" t="n">
        <v>0.24985</v>
      </c>
      <c r="P345" s="103">
        <f>C345-G345</f>
        <v/>
      </c>
      <c r="Q345" s="103">
        <f>E345-C345</f>
        <v/>
      </c>
      <c r="R345" s="103">
        <f>C345-M345</f>
        <v/>
      </c>
      <c r="S345" s="103">
        <f>C345-O345</f>
        <v/>
      </c>
      <c r="T345" s="103">
        <f>E345-O345</f>
        <v/>
      </c>
      <c r="U345" s="103">
        <f>G345-O345</f>
        <v/>
      </c>
      <c r="V345" s="103">
        <f>G345-K345</f>
        <v/>
      </c>
      <c r="W345" s="103">
        <f>C345-K345</f>
        <v/>
      </c>
      <c r="X345" s="103">
        <f>I345-G345</f>
        <v/>
      </c>
      <c r="Y345" s="104">
        <f>G345-M345</f>
        <v/>
      </c>
    </row>
    <row r="346">
      <c r="A346" s="98" t="n">
        <v>44809</v>
      </c>
      <c r="B346" s="99" t="n">
        <v>24</v>
      </c>
      <c r="C346" s="100" t="n">
        <v>0.239619</v>
      </c>
      <c r="D346" s="99" t="n">
        <v>25.3</v>
      </c>
      <c r="E346" s="101" t="n">
        <v>0.252599</v>
      </c>
      <c r="F346" s="99" t="n">
        <v>22.813</v>
      </c>
      <c r="G346" s="100" t="n">
        <v>0.216066</v>
      </c>
      <c r="H346" s="102" t="n">
        <v>26.55</v>
      </c>
      <c r="I346" s="100" t="n">
        <v>0.265447</v>
      </c>
      <c r="J346" s="102" t="n">
        <v>23.4</v>
      </c>
      <c r="K346" s="100" t="n">
        <v>0.233582</v>
      </c>
      <c r="L346" s="99" t="n">
        <v>27.2</v>
      </c>
      <c r="M346" s="100" t="n">
        <v>0.271946</v>
      </c>
      <c r="N346" s="102" t="n">
        <v>25</v>
      </c>
      <c r="O346" s="100" t="n">
        <v>0.24995</v>
      </c>
      <c r="P346" s="103">
        <f>C346-G346</f>
        <v/>
      </c>
      <c r="Q346" s="103">
        <f>E346-C346</f>
        <v/>
      </c>
      <c r="R346" s="103">
        <f>C346-M346</f>
        <v/>
      </c>
      <c r="S346" s="103">
        <f>C346-O346</f>
        <v/>
      </c>
      <c r="T346" s="103">
        <f>E346-O346</f>
        <v/>
      </c>
      <c r="U346" s="103">
        <f>G346-O346</f>
        <v/>
      </c>
      <c r="V346" s="103">
        <f>G346-K346</f>
        <v/>
      </c>
      <c r="W346" s="103">
        <f>C346-K346</f>
        <v/>
      </c>
      <c r="X346" s="103">
        <f>I346-G346</f>
        <v/>
      </c>
      <c r="Y346" s="104">
        <f>G346-M346</f>
        <v/>
      </c>
    </row>
    <row r="347">
      <c r="A347" s="98" t="n">
        <v>44805</v>
      </c>
      <c r="B347" s="99" t="n">
        <v>23.1</v>
      </c>
      <c r="C347" s="100" t="n">
        <v>0.230659</v>
      </c>
      <c r="D347" s="99" t="n">
        <v>24.55</v>
      </c>
      <c r="E347" s="101" t="n">
        <v>0.245137</v>
      </c>
      <c r="F347" s="99" t="n">
        <v>22</v>
      </c>
      <c r="G347" s="100" t="n">
        <v>0.208377</v>
      </c>
      <c r="H347" s="102" t="n">
        <v>25.39</v>
      </c>
      <c r="I347" s="100" t="n">
        <v>0.253853</v>
      </c>
      <c r="J347" s="102" t="n">
        <v>22.75</v>
      </c>
      <c r="K347" s="100" t="n">
        <v>0.227122</v>
      </c>
      <c r="L347" s="99" t="n">
        <v>26.79</v>
      </c>
      <c r="M347" s="100" t="n">
        <v>0.26785</v>
      </c>
      <c r="N347" s="102" t="n">
        <v>24.5</v>
      </c>
      <c r="O347" s="100" t="n">
        <v>0.244955</v>
      </c>
      <c r="P347" s="103">
        <f>C347-G347</f>
        <v/>
      </c>
      <c r="Q347" s="103">
        <f>E347-C347</f>
        <v/>
      </c>
      <c r="R347" s="103">
        <f>C347-M347</f>
        <v/>
      </c>
      <c r="S347" s="103">
        <f>C347-O347</f>
        <v/>
      </c>
      <c r="T347" s="103">
        <f>E347-O347</f>
        <v/>
      </c>
      <c r="U347" s="103">
        <f>G347-O347</f>
        <v/>
      </c>
      <c r="V347" s="103">
        <f>G347-K347</f>
        <v/>
      </c>
      <c r="W347" s="103">
        <f>C347-K347</f>
        <v/>
      </c>
      <c r="X347" s="103">
        <f>I347-G347</f>
        <v/>
      </c>
      <c r="Y347" s="104">
        <f>G347-M347</f>
        <v/>
      </c>
    </row>
    <row r="348">
      <c r="A348" s="98" t="n">
        <v>44804</v>
      </c>
      <c r="B348" s="99" t="n">
        <v>23</v>
      </c>
      <c r="C348" s="100" t="n">
        <v>0.229667</v>
      </c>
      <c r="D348" s="99" t="n">
        <v>24.55</v>
      </c>
      <c r="E348" s="101" t="n">
        <v>0.245144</v>
      </c>
      <c r="F348" s="99" t="n">
        <v>22.01</v>
      </c>
      <c r="G348" s="100" t="n">
        <v>0.208474</v>
      </c>
      <c r="H348" s="102" t="n">
        <v>25.211</v>
      </c>
      <c r="I348" s="100" t="n">
        <v>0.252064</v>
      </c>
      <c r="J348" s="102" t="n">
        <v>22.35</v>
      </c>
      <c r="K348" s="100" t="n">
        <v>0.223135</v>
      </c>
      <c r="L348" s="99" t="n">
        <v>26.72</v>
      </c>
      <c r="M348" s="100" t="n">
        <v>0.267152</v>
      </c>
      <c r="N348" s="102" t="n">
        <v>24.55</v>
      </c>
      <c r="O348" s="100" t="n">
        <v>0.245455</v>
      </c>
      <c r="P348" s="103">
        <f>C348-G348</f>
        <v/>
      </c>
      <c r="Q348" s="103">
        <f>E348-C348</f>
        <v/>
      </c>
      <c r="R348" s="103">
        <f>C348-M348</f>
        <v/>
      </c>
      <c r="S348" s="103">
        <f>C348-O348</f>
        <v/>
      </c>
      <c r="T348" s="103">
        <f>E348-O348</f>
        <v/>
      </c>
      <c r="U348" s="103">
        <f>G348-O348</f>
        <v/>
      </c>
      <c r="V348" s="103">
        <f>G348-K348</f>
        <v/>
      </c>
      <c r="W348" s="103">
        <f>C348-K348</f>
        <v/>
      </c>
      <c r="X348" s="103">
        <f>I348-G348</f>
        <v/>
      </c>
      <c r="Y348" s="104">
        <f>G348-M348</f>
        <v/>
      </c>
    </row>
    <row r="349">
      <c r="A349" s="98" t="n">
        <v>44803</v>
      </c>
      <c r="B349" s="99" t="n">
        <v>22.99</v>
      </c>
      <c r="C349" s="100" t="n">
        <v>0.229573</v>
      </c>
      <c r="D349" s="99" t="n">
        <v>24.5</v>
      </c>
      <c r="E349" s="101" t="n">
        <v>0.244651</v>
      </c>
      <c r="F349" s="99" t="n">
        <v>21.895</v>
      </c>
      <c r="G349" s="100" t="n">
        <v>0.207387</v>
      </c>
      <c r="H349" s="102" t="n">
        <v>24.99</v>
      </c>
      <c r="I349" s="100" t="n">
        <v>0.249856</v>
      </c>
      <c r="J349" s="102" t="n">
        <v>22.6</v>
      </c>
      <c r="K349" s="100" t="n">
        <v>0.225638</v>
      </c>
      <c r="L349" s="99" t="n">
        <v>26.899</v>
      </c>
      <c r="M349" s="100" t="n">
        <v>0.268942</v>
      </c>
      <c r="N349" s="102" t="n">
        <v>24.7</v>
      </c>
      <c r="O349" s="100" t="n">
        <v>0.246956</v>
      </c>
      <c r="P349" s="103">
        <f>C349-G349</f>
        <v/>
      </c>
      <c r="Q349" s="103">
        <f>E349-C349</f>
        <v/>
      </c>
      <c r="R349" s="103">
        <f>C349-M349</f>
        <v/>
      </c>
      <c r="S349" s="103">
        <f>C349-O349</f>
        <v/>
      </c>
      <c r="T349" s="103">
        <f>E349-O349</f>
        <v/>
      </c>
      <c r="U349" s="103">
        <f>G349-O349</f>
        <v/>
      </c>
      <c r="V349" s="103">
        <f>G349-K349</f>
        <v/>
      </c>
      <c r="W349" s="103">
        <f>C349-K349</f>
        <v/>
      </c>
      <c r="X349" s="103">
        <f>I349-G349</f>
        <v/>
      </c>
      <c r="Y349" s="104">
        <f>G349-M349</f>
        <v/>
      </c>
    </row>
    <row r="350">
      <c r="A350" s="98" t="n">
        <v>44802</v>
      </c>
      <c r="B350" s="99" t="n">
        <v>22.8</v>
      </c>
      <c r="C350" s="100" t="n">
        <v>0.227682</v>
      </c>
      <c r="D350" s="99" t="n">
        <v>24</v>
      </c>
      <c r="E350" s="101" t="n">
        <v>0.239665</v>
      </c>
      <c r="F350" s="99" t="n">
        <v>21.68</v>
      </c>
      <c r="G350" s="100" t="n">
        <v>0.205354</v>
      </c>
      <c r="H350" s="102" t="n">
        <v>24.7</v>
      </c>
      <c r="I350" s="100" t="n">
        <v>0.246957</v>
      </c>
      <c r="J350" s="102" t="n">
        <v>22.75</v>
      </c>
      <c r="K350" s="100" t="n">
        <v>0.227143</v>
      </c>
      <c r="L350" s="99" t="n">
        <v>26.65</v>
      </c>
      <c r="M350" s="100" t="n">
        <v>0.266453</v>
      </c>
      <c r="N350" s="102" t="n">
        <v>24.95</v>
      </c>
      <c r="O350" s="100" t="n">
        <v>0.249456</v>
      </c>
      <c r="P350" s="103">
        <f>C350-G350</f>
        <v/>
      </c>
      <c r="Q350" s="103">
        <f>E350-C350</f>
        <v/>
      </c>
      <c r="R350" s="103">
        <f>C350-M350</f>
        <v/>
      </c>
      <c r="S350" s="103">
        <f>C350-O350</f>
        <v/>
      </c>
      <c r="T350" s="103">
        <f>E350-O350</f>
        <v/>
      </c>
      <c r="U350" s="103">
        <f>G350-O350</f>
        <v/>
      </c>
      <c r="V350" s="103">
        <f>G350-K350</f>
        <v/>
      </c>
      <c r="W350" s="103">
        <f>C350-K350</f>
        <v/>
      </c>
      <c r="X350" s="103">
        <f>I350-G350</f>
        <v/>
      </c>
      <c r="Y350" s="104">
        <f>G350-M350</f>
        <v/>
      </c>
    </row>
    <row r="351">
      <c r="A351" s="98" t="n">
        <v>44799</v>
      </c>
      <c r="B351" s="99" t="n">
        <v>22.959</v>
      </c>
      <c r="C351" s="100" t="n">
        <v>0.229288</v>
      </c>
      <c r="D351" s="99" t="n">
        <v>24.89</v>
      </c>
      <c r="E351" s="101" t="n">
        <v>0.248573</v>
      </c>
      <c r="F351" s="99" t="n">
        <v>21.95</v>
      </c>
      <c r="G351" s="100" t="n">
        <v>0.207919</v>
      </c>
      <c r="H351" s="102" t="n">
        <v>24.95</v>
      </c>
      <c r="I351" s="100" t="n">
        <v>0.249459</v>
      </c>
      <c r="J351" s="102" t="n">
        <v>23</v>
      </c>
      <c r="K351" s="100" t="n">
        <v>0.22966</v>
      </c>
      <c r="L351" s="99" t="n">
        <v>27.1</v>
      </c>
      <c r="M351" s="100" t="n">
        <v>0.270955</v>
      </c>
      <c r="N351" s="102" t="n">
        <v>25.15</v>
      </c>
      <c r="O351" s="100" t="n">
        <v>0.251459</v>
      </c>
      <c r="P351" s="103">
        <f>C351-G351</f>
        <v/>
      </c>
      <c r="Q351" s="103">
        <f>E351-C351</f>
        <v/>
      </c>
      <c r="R351" s="103">
        <f>C351-M351</f>
        <v/>
      </c>
      <c r="S351" s="103">
        <f>C351-O351</f>
        <v/>
      </c>
      <c r="T351" s="103">
        <f>E351-O351</f>
        <v/>
      </c>
      <c r="U351" s="103">
        <f>G351-O351</f>
        <v/>
      </c>
      <c r="V351" s="103">
        <f>G351-K351</f>
        <v/>
      </c>
      <c r="W351" s="103">
        <f>C351-K351</f>
        <v/>
      </c>
      <c r="X351" s="103">
        <f>I351-G351</f>
        <v/>
      </c>
      <c r="Y351" s="104">
        <f>G351-M351</f>
        <v/>
      </c>
    </row>
    <row r="352">
      <c r="A352" s="98" t="n">
        <v>44798</v>
      </c>
      <c r="B352" s="99" t="n">
        <v>23.56</v>
      </c>
      <c r="C352" s="100" t="n">
        <v>0.235297</v>
      </c>
      <c r="D352" s="99" t="n">
        <v>24.25</v>
      </c>
      <c r="E352" s="101" t="n">
        <v>0.242188</v>
      </c>
      <c r="F352" s="99" t="n">
        <v>22.4</v>
      </c>
      <c r="G352" s="100" t="n">
        <v>0.212185</v>
      </c>
      <c r="H352" s="102" t="n">
        <v>25.3</v>
      </c>
      <c r="I352" s="100" t="n">
        <v>0.252959</v>
      </c>
      <c r="J352" s="102" t="n">
        <v>23.04</v>
      </c>
      <c r="K352" s="100" t="n">
        <v>0.230067</v>
      </c>
      <c r="L352" s="99" t="n">
        <v>27.3</v>
      </c>
      <c r="M352" s="100" t="n">
        <v>0.272956</v>
      </c>
      <c r="N352" s="102" t="n">
        <v>25.3</v>
      </c>
      <c r="O352" s="100" t="n">
        <v>0.252959</v>
      </c>
      <c r="P352" s="103">
        <f>C352-G352</f>
        <v/>
      </c>
      <c r="Q352" s="103">
        <f>E352-C352</f>
        <v/>
      </c>
      <c r="R352" s="103">
        <f>C352-M352</f>
        <v/>
      </c>
      <c r="S352" s="103">
        <f>C352-O352</f>
        <v/>
      </c>
      <c r="T352" s="103">
        <f>E352-O352</f>
        <v/>
      </c>
      <c r="U352" s="103">
        <f>G352-O352</f>
        <v/>
      </c>
      <c r="V352" s="103">
        <f>G352-K352</f>
        <v/>
      </c>
      <c r="W352" s="103">
        <f>C352-K352</f>
        <v/>
      </c>
      <c r="X352" s="103">
        <f>I352-G352</f>
        <v/>
      </c>
      <c r="Y352" s="104">
        <f>G352-M352</f>
        <v/>
      </c>
    </row>
    <row r="353">
      <c r="A353" s="98" t="n">
        <v>44797</v>
      </c>
      <c r="B353" s="99" t="n">
        <v>23.8</v>
      </c>
      <c r="C353" s="100" t="n">
        <v>0.2377</v>
      </c>
      <c r="D353" s="99" t="n">
        <v>24.86</v>
      </c>
      <c r="E353" s="101" t="n">
        <v>0.248287</v>
      </c>
      <c r="F353" s="99" t="n">
        <v>22.58</v>
      </c>
      <c r="G353" s="100" t="n">
        <v>0.213892</v>
      </c>
      <c r="H353" s="102" t="n">
        <v>25.6</v>
      </c>
      <c r="I353" s="100" t="n">
        <v>0.25596</v>
      </c>
      <c r="J353" s="102" t="n">
        <v>23.15</v>
      </c>
      <c r="K353" s="100" t="n">
        <v>0.231172</v>
      </c>
      <c r="L353" s="99" t="n">
        <v>27.499</v>
      </c>
      <c r="M353" s="100" t="n">
        <v>0.274947</v>
      </c>
      <c r="N353" s="102" t="n">
        <v>25.5</v>
      </c>
      <c r="O353" s="100" t="n">
        <v>0.25496</v>
      </c>
      <c r="P353" s="103">
        <f>C353-G353</f>
        <v/>
      </c>
      <c r="Q353" s="103">
        <f>E353-C353</f>
        <v/>
      </c>
      <c r="R353" s="103">
        <f>C353-M353</f>
        <v/>
      </c>
      <c r="S353" s="103">
        <f>C353-O353</f>
        <v/>
      </c>
      <c r="T353" s="103">
        <f>E353-O353</f>
        <v/>
      </c>
      <c r="U353" s="103">
        <f>G353-O353</f>
        <v/>
      </c>
      <c r="V353" s="103">
        <f>G353-K353</f>
        <v/>
      </c>
      <c r="W353" s="103">
        <f>C353-K353</f>
        <v/>
      </c>
      <c r="X353" s="103">
        <f>I353-G353</f>
        <v/>
      </c>
      <c r="Y353" s="104">
        <f>G353-M353</f>
        <v/>
      </c>
    </row>
    <row r="354">
      <c r="A354" s="98" t="n">
        <v>44796</v>
      </c>
      <c r="B354" s="99" t="n">
        <v>22.68</v>
      </c>
      <c r="C354" s="100" t="n">
        <v>0.226521</v>
      </c>
      <c r="D354" s="99" t="n">
        <v>24.151</v>
      </c>
      <c r="E354" s="101" t="n">
        <v>0.241213</v>
      </c>
      <c r="F354" s="99" t="n">
        <v>21.751</v>
      </c>
      <c r="G354" s="100" t="n">
        <v>0.206042</v>
      </c>
      <c r="H354" s="102" t="n">
        <v>24.8</v>
      </c>
      <c r="I354" s="100" t="n">
        <v>0.247962</v>
      </c>
      <c r="J354" s="102" t="n">
        <v>22.35</v>
      </c>
      <c r="K354" s="100" t="n">
        <v>0.22319</v>
      </c>
      <c r="L354" s="99" t="n">
        <v>26.25</v>
      </c>
      <c r="M354" s="100" t="n">
        <v>0.26246</v>
      </c>
      <c r="N354" s="102" t="n">
        <v>24.5</v>
      </c>
      <c r="O354" s="100" t="n">
        <v>0.244962</v>
      </c>
      <c r="P354" s="103">
        <f>C354-G354</f>
        <v/>
      </c>
      <c r="Q354" s="103">
        <f>E354-C354</f>
        <v/>
      </c>
      <c r="R354" s="103">
        <f>C354-M354</f>
        <v/>
      </c>
      <c r="S354" s="103">
        <f>C354-O354</f>
        <v/>
      </c>
      <c r="T354" s="103">
        <f>E354-O354</f>
        <v/>
      </c>
      <c r="U354" s="103">
        <f>G354-O354</f>
        <v/>
      </c>
      <c r="V354" s="103">
        <f>G354-K354</f>
        <v/>
      </c>
      <c r="W354" s="103">
        <f>C354-K354</f>
        <v/>
      </c>
      <c r="X354" s="103">
        <f>I354-G354</f>
        <v/>
      </c>
      <c r="Y354" s="104">
        <f>G354-M354</f>
        <v/>
      </c>
    </row>
    <row r="355">
      <c r="A355" s="98" t="n">
        <v>44795</v>
      </c>
      <c r="B355" s="99" t="n">
        <v>22.2</v>
      </c>
      <c r="C355" s="100" t="n">
        <v>0.221733</v>
      </c>
      <c r="D355" s="99" t="n">
        <v>23.65</v>
      </c>
      <c r="E355" s="101" t="n">
        <v>0.236215</v>
      </c>
      <c r="F355" s="99" t="n">
        <v>21.33</v>
      </c>
      <c r="G355" s="100" t="n">
        <v>0.202057</v>
      </c>
      <c r="H355" s="102" t="n">
        <v>24.1</v>
      </c>
      <c r="I355" s="100" t="n">
        <v>0.240964</v>
      </c>
      <c r="J355" s="102" t="n">
        <v>21.7</v>
      </c>
      <c r="K355" s="100" t="n">
        <v>0.216706</v>
      </c>
      <c r="L355" s="99" t="n">
        <v>26</v>
      </c>
      <c r="M355" s="100" t="n">
        <v>0.259961</v>
      </c>
      <c r="N355" s="102" t="n">
        <v>24.5</v>
      </c>
      <c r="O355" s="100" t="n">
        <v>0.244963</v>
      </c>
      <c r="P355" s="103">
        <f>C355-G355</f>
        <v/>
      </c>
      <c r="Q355" s="103">
        <f>E355-C355</f>
        <v/>
      </c>
      <c r="R355" s="103">
        <f>C355-M355</f>
        <v/>
      </c>
      <c r="S355" s="103">
        <f>C355-O355</f>
        <v/>
      </c>
      <c r="T355" s="103">
        <f>E355-O355</f>
        <v/>
      </c>
      <c r="U355" s="103">
        <f>G355-O355</f>
        <v/>
      </c>
      <c r="V355" s="103">
        <f>G355-K355</f>
        <v/>
      </c>
      <c r="W355" s="103">
        <f>C355-K355</f>
        <v/>
      </c>
      <c r="X355" s="103">
        <f>I355-G355</f>
        <v/>
      </c>
      <c r="Y355" s="104">
        <f>G355-M355</f>
        <v/>
      </c>
    </row>
    <row r="356">
      <c r="A356" s="98" t="n">
        <v>44792</v>
      </c>
      <c r="B356" s="99" t="n">
        <v>21.89</v>
      </c>
      <c r="C356" s="100" t="n">
        <v>0.218654</v>
      </c>
      <c r="D356" s="99" t="n">
        <v>23.5</v>
      </c>
      <c r="E356" s="101" t="n">
        <v>0.234736</v>
      </c>
      <c r="F356" s="99" t="n">
        <v>20.9</v>
      </c>
      <c r="G356" s="100" t="n">
        <v>0.197991</v>
      </c>
      <c r="H356" s="102" t="n">
        <v>23.45</v>
      </c>
      <c r="I356" s="100" t="n">
        <v>0.234467</v>
      </c>
      <c r="J356" s="102" t="n">
        <v>21.36</v>
      </c>
      <c r="K356" s="100" t="n">
        <v>0.21333</v>
      </c>
      <c r="L356" s="99" t="n">
        <v>25.3</v>
      </c>
      <c r="M356" s="100" t="n">
        <v>0.252964</v>
      </c>
      <c r="N356" s="102" t="n">
        <v>24</v>
      </c>
      <c r="O356" s="100" t="n">
        <v>0.239966</v>
      </c>
      <c r="P356" s="103">
        <f>C356-G356</f>
        <v/>
      </c>
      <c r="Q356" s="103">
        <f>E356-C356</f>
        <v/>
      </c>
      <c r="R356" s="103">
        <f>C356-M356</f>
        <v/>
      </c>
      <c r="S356" s="103">
        <f>C356-O356</f>
        <v/>
      </c>
      <c r="T356" s="103">
        <f>E356-O356</f>
        <v/>
      </c>
      <c r="U356" s="103">
        <f>G356-O356</f>
        <v/>
      </c>
      <c r="V356" s="103">
        <f>G356-K356</f>
        <v/>
      </c>
      <c r="W356" s="103">
        <f>C356-K356</f>
        <v/>
      </c>
      <c r="X356" s="103">
        <f>I356-G356</f>
        <v/>
      </c>
      <c r="Y356" s="104">
        <f>G356-M356</f>
        <v/>
      </c>
    </row>
    <row r="357">
      <c r="A357" s="98" t="n">
        <v>44791</v>
      </c>
      <c r="B357" s="99" t="n">
        <v>22.159</v>
      </c>
      <c r="C357" s="100" t="n">
        <v>0.221347</v>
      </c>
      <c r="D357" s="99" t="n">
        <v>23.6</v>
      </c>
      <c r="E357" s="101" t="n">
        <v>0.235742</v>
      </c>
      <c r="F357" s="99" t="n">
        <v>21</v>
      </c>
      <c r="G357" s="100" t="n">
        <v>0.198941</v>
      </c>
      <c r="H357" s="102" t="n">
        <v>23.67</v>
      </c>
      <c r="I357" s="100" t="n">
        <v>0.236668</v>
      </c>
      <c r="J357" s="102" t="n">
        <v>21.33</v>
      </c>
      <c r="K357" s="100" t="n">
        <v>0.213037</v>
      </c>
      <c r="L357" s="99" t="n">
        <v>25.55</v>
      </c>
      <c r="M357" s="100" t="n">
        <v>0.255465</v>
      </c>
      <c r="N357" s="102" t="n">
        <v>24.006</v>
      </c>
      <c r="O357" s="100" t="n">
        <v>0.240027</v>
      </c>
      <c r="P357" s="103">
        <f>C357-G357</f>
        <v/>
      </c>
      <c r="Q357" s="103">
        <f>E357-C357</f>
        <v/>
      </c>
      <c r="R357" s="103">
        <f>C357-M357</f>
        <v/>
      </c>
      <c r="S357" s="103">
        <f>C357-O357</f>
        <v/>
      </c>
      <c r="T357" s="103">
        <f>E357-O357</f>
        <v/>
      </c>
      <c r="U357" s="103">
        <f>G357-O357</f>
        <v/>
      </c>
      <c r="V357" s="103">
        <f>G357-K357</f>
        <v/>
      </c>
      <c r="W357" s="103">
        <f>C357-K357</f>
        <v/>
      </c>
      <c r="X357" s="103">
        <f>I357-G357</f>
        <v/>
      </c>
      <c r="Y357" s="104">
        <f>G357-M357</f>
        <v/>
      </c>
    </row>
    <row r="358">
      <c r="A358" s="98" t="n">
        <v>44790</v>
      </c>
      <c r="B358" s="99" t="n">
        <v>22.38</v>
      </c>
      <c r="C358" s="100" t="n">
        <v>0.223561</v>
      </c>
      <c r="D358" s="99" t="n">
        <v>24.75</v>
      </c>
      <c r="E358" s="101" t="n">
        <v>0.247236</v>
      </c>
      <c r="F358" s="99" t="n">
        <v>21.195</v>
      </c>
      <c r="G358" s="100" t="n">
        <v>0.200791</v>
      </c>
      <c r="H358" s="102" t="n">
        <v>23.73</v>
      </c>
      <c r="I358" s="100" t="n">
        <v>0.237268</v>
      </c>
      <c r="J358" s="102" t="n">
        <v>21.05</v>
      </c>
      <c r="K358" s="100" t="n">
        <v>0.210247</v>
      </c>
      <c r="L358" s="99" t="n">
        <v>25.75</v>
      </c>
      <c r="M358" s="100" t="n">
        <v>0.257466</v>
      </c>
      <c r="N358" s="102" t="n">
        <v>24.401</v>
      </c>
      <c r="O358" s="100" t="n">
        <v>0.243977</v>
      </c>
      <c r="P358" s="103">
        <f>C358-G358</f>
        <v/>
      </c>
      <c r="Q358" s="103">
        <f>E358-C358</f>
        <v/>
      </c>
      <c r="R358" s="103">
        <f>C358-M358</f>
        <v/>
      </c>
      <c r="S358" s="103">
        <f>C358-O358</f>
        <v/>
      </c>
      <c r="T358" s="103">
        <f>E358-O358</f>
        <v/>
      </c>
      <c r="U358" s="103">
        <f>G358-O358</f>
        <v/>
      </c>
      <c r="V358" s="103">
        <f>G358-K358</f>
        <v/>
      </c>
      <c r="W358" s="103">
        <f>C358-K358</f>
        <v/>
      </c>
      <c r="X358" s="103">
        <f>I358-G358</f>
        <v/>
      </c>
      <c r="Y358" s="104">
        <f>G358-M358</f>
        <v/>
      </c>
    </row>
    <row r="359">
      <c r="A359" s="98" t="n">
        <v>44789</v>
      </c>
      <c r="B359" s="99" t="n">
        <v>22.69</v>
      </c>
      <c r="C359" s="100" t="n">
        <v>0.226664</v>
      </c>
      <c r="D359" s="99" t="n">
        <v>24.75</v>
      </c>
      <c r="E359" s="101" t="n">
        <v>0.247243</v>
      </c>
      <c r="F359" s="99" t="n">
        <v>21.73</v>
      </c>
      <c r="G359" s="100" t="n">
        <v>0.205862</v>
      </c>
      <c r="H359" s="102" t="n">
        <v>24.3</v>
      </c>
      <c r="I359" s="100" t="n">
        <v>0.242968</v>
      </c>
      <c r="J359" s="102" t="n">
        <v>21.7</v>
      </c>
      <c r="K359" s="100" t="n">
        <v>0.216746</v>
      </c>
      <c r="L359" s="99" t="n">
        <v>26.1</v>
      </c>
      <c r="M359" s="100" t="n">
        <v>0.260966</v>
      </c>
      <c r="N359" s="102" t="n">
        <v>25.999</v>
      </c>
      <c r="O359" s="100" t="n">
        <v>0.259956</v>
      </c>
      <c r="P359" s="103">
        <f>C359-G359</f>
        <v/>
      </c>
      <c r="Q359" s="103">
        <f>E359-C359</f>
        <v/>
      </c>
      <c r="R359" s="103">
        <f>C359-M359</f>
        <v/>
      </c>
      <c r="S359" s="103">
        <f>C359-O359</f>
        <v/>
      </c>
      <c r="T359" s="103">
        <f>E359-O359</f>
        <v/>
      </c>
      <c r="U359" s="103">
        <f>G359-O359</f>
        <v/>
      </c>
      <c r="V359" s="103">
        <f>G359-K359</f>
        <v/>
      </c>
      <c r="W359" s="103">
        <f>C359-K359</f>
        <v/>
      </c>
      <c r="X359" s="103">
        <f>I359-G359</f>
        <v/>
      </c>
      <c r="Y359" s="104">
        <f>G359-M359</f>
        <v/>
      </c>
    </row>
    <row r="360">
      <c r="A360" s="98" t="n">
        <v>44785</v>
      </c>
      <c r="B360" s="99" t="n">
        <v>22.2</v>
      </c>
      <c r="C360" s="100" t="n">
        <v>0.221793</v>
      </c>
      <c r="D360" s="99" t="n">
        <v>23.7</v>
      </c>
      <c r="E360" s="101" t="n">
        <v>0.236779</v>
      </c>
      <c r="F360" s="99" t="n">
        <v>21.21</v>
      </c>
      <c r="G360" s="100" t="n">
        <v>0.200946</v>
      </c>
      <c r="H360" s="102" t="n">
        <v>24.04</v>
      </c>
      <c r="I360" s="100" t="n">
        <v>0.240372</v>
      </c>
      <c r="J360" s="102" t="n">
        <v>21.5</v>
      </c>
      <c r="K360" s="100" t="n">
        <v>0.214775</v>
      </c>
      <c r="L360" s="99" t="n">
        <v>26</v>
      </c>
      <c r="M360" s="100" t="n">
        <v>0.25997</v>
      </c>
      <c r="N360" s="102" t="n">
        <v>24.99</v>
      </c>
      <c r="O360" s="100" t="n">
        <v>0.249871</v>
      </c>
      <c r="P360" s="103">
        <f>C360-G360</f>
        <v/>
      </c>
      <c r="Q360" s="103">
        <f>E360-C360</f>
        <v/>
      </c>
      <c r="R360" s="103">
        <f>C360-M360</f>
        <v/>
      </c>
      <c r="S360" s="103">
        <f>C360-O360</f>
        <v/>
      </c>
      <c r="T360" s="103">
        <f>E360-O360</f>
        <v/>
      </c>
      <c r="U360" s="103">
        <f>G360-O360</f>
        <v/>
      </c>
      <c r="V360" s="103">
        <f>G360-K360</f>
        <v/>
      </c>
      <c r="W360" s="103">
        <f>C360-K360</f>
        <v/>
      </c>
      <c r="X360" s="103">
        <f>I360-G360</f>
        <v/>
      </c>
      <c r="Y360" s="104">
        <f>G360-M360</f>
        <v/>
      </c>
    </row>
    <row r="361">
      <c r="A361" s="98" t="n">
        <v>44784</v>
      </c>
      <c r="B361" s="99" t="n">
        <v>22.4</v>
      </c>
      <c r="C361" s="100" t="n">
        <v>0.223798</v>
      </c>
      <c r="D361" s="99" t="n">
        <v>24</v>
      </c>
      <c r="E361" s="101" t="n">
        <v>0.239783</v>
      </c>
      <c r="F361" s="99" t="n">
        <v>21.57</v>
      </c>
      <c r="G361" s="100" t="n">
        <v>0.204359</v>
      </c>
      <c r="H361" s="102" t="n">
        <v>23.98</v>
      </c>
      <c r="I361" s="100" t="n">
        <v>0.239773</v>
      </c>
      <c r="J361" s="102" t="n">
        <v>21.5</v>
      </c>
      <c r="K361" s="100" t="n">
        <v>0.214782</v>
      </c>
      <c r="L361" s="99" t="n">
        <v>26.55</v>
      </c>
      <c r="M361" s="100" t="n">
        <v>0.26547</v>
      </c>
      <c r="N361" s="102" t="n">
        <v>25</v>
      </c>
      <c r="O361" s="100" t="n">
        <v>0.249972</v>
      </c>
      <c r="P361" s="103">
        <f>C361-G361</f>
        <v/>
      </c>
      <c r="Q361" s="103">
        <f>E361-C361</f>
        <v/>
      </c>
      <c r="R361" s="103">
        <f>C361-M361</f>
        <v/>
      </c>
      <c r="S361" s="103">
        <f>C361-O361</f>
        <v/>
      </c>
      <c r="T361" s="103">
        <f>E361-O361</f>
        <v/>
      </c>
      <c r="U361" s="103">
        <f>G361-O361</f>
        <v/>
      </c>
      <c r="V361" s="103">
        <f>G361-K361</f>
        <v/>
      </c>
      <c r="W361" s="103">
        <f>C361-K361</f>
        <v/>
      </c>
      <c r="X361" s="103">
        <f>I361-G361</f>
        <v/>
      </c>
      <c r="Y361" s="104">
        <f>G361-M361</f>
        <v/>
      </c>
    </row>
    <row r="362">
      <c r="A362" s="98" t="n">
        <v>44783</v>
      </c>
      <c r="B362" s="99" t="n">
        <v>22.27</v>
      </c>
      <c r="C362" s="100" t="n">
        <v>0.222505</v>
      </c>
      <c r="D362" s="99" t="n">
        <v>23.6</v>
      </c>
      <c r="E362" s="101" t="n">
        <v>0.235793</v>
      </c>
      <c r="F362" s="99" t="n">
        <v>21.35</v>
      </c>
      <c r="G362" s="100" t="n">
        <v>0.202278</v>
      </c>
      <c r="H362" s="102" t="n">
        <v>23.42</v>
      </c>
      <c r="I362" s="100" t="n">
        <v>0.234174</v>
      </c>
      <c r="J362" s="102" t="n">
        <v>21.3</v>
      </c>
      <c r="K362" s="100" t="n">
        <v>0.21279</v>
      </c>
      <c r="L362" s="99" t="n">
        <v>26.3</v>
      </c>
      <c r="M362" s="100" t="n">
        <v>0.262971</v>
      </c>
      <c r="N362" s="102" t="n">
        <v>25</v>
      </c>
      <c r="O362" s="100" t="n">
        <v>0.249973</v>
      </c>
      <c r="P362" s="103">
        <f>C362-G362</f>
        <v/>
      </c>
      <c r="Q362" s="103">
        <f>E362-C362</f>
        <v/>
      </c>
      <c r="R362" s="103">
        <f>C362-M362</f>
        <v/>
      </c>
      <c r="S362" s="103">
        <f>C362-O362</f>
        <v/>
      </c>
      <c r="T362" s="103">
        <f>E362-O362</f>
        <v/>
      </c>
      <c r="U362" s="103">
        <f>G362-O362</f>
        <v/>
      </c>
      <c r="V362" s="103">
        <f>G362-K362</f>
        <v/>
      </c>
      <c r="W362" s="103">
        <f>C362-K362</f>
        <v/>
      </c>
      <c r="X362" s="103">
        <f>I362-G362</f>
        <v/>
      </c>
      <c r="Y362" s="104">
        <f>G362-M362</f>
        <v/>
      </c>
    </row>
    <row r="363">
      <c r="A363" s="98" t="n">
        <v>44782</v>
      </c>
      <c r="B363" s="99" t="n">
        <v>22.68</v>
      </c>
      <c r="C363" s="100" t="n">
        <v>0.226608</v>
      </c>
      <c r="D363" s="99" t="n">
        <v>24</v>
      </c>
      <c r="E363" s="101" t="n">
        <v>0.239796</v>
      </c>
      <c r="F363" s="99" t="n">
        <v>21.82</v>
      </c>
      <c r="G363" s="100" t="n">
        <v>0.206733</v>
      </c>
      <c r="H363" s="102" t="n">
        <v>24.212</v>
      </c>
      <c r="I363" s="100" t="n">
        <v>0.242094</v>
      </c>
      <c r="J363" s="102" t="n">
        <v>22.04</v>
      </c>
      <c r="K363" s="100" t="n">
        <v>0.22019</v>
      </c>
      <c r="L363" s="99" t="n">
        <v>26.5</v>
      </c>
      <c r="M363" s="100" t="n">
        <v>0.264972</v>
      </c>
      <c r="N363" s="102" t="n">
        <v>25.12</v>
      </c>
      <c r="O363" s="100" t="n">
        <v>0.251173</v>
      </c>
      <c r="P363" s="103">
        <f>C363-G363</f>
        <v/>
      </c>
      <c r="Q363" s="103">
        <f>E363-C363</f>
        <v/>
      </c>
      <c r="R363" s="103">
        <f>C363-M363</f>
        <v/>
      </c>
      <c r="S363" s="103">
        <f>C363-O363</f>
        <v/>
      </c>
      <c r="T363" s="103">
        <f>E363-O363</f>
        <v/>
      </c>
      <c r="U363" s="103">
        <f>G363-O363</f>
        <v/>
      </c>
      <c r="V363" s="103">
        <f>G363-K363</f>
        <v/>
      </c>
      <c r="W363" s="103">
        <f>C363-K363</f>
        <v/>
      </c>
      <c r="X363" s="103">
        <f>I363-G363</f>
        <v/>
      </c>
      <c r="Y363" s="104">
        <f>G363-M363</f>
        <v/>
      </c>
    </row>
    <row r="364">
      <c r="A364" s="98" t="n">
        <v>44781</v>
      </c>
      <c r="B364" s="99" t="n">
        <v>23.63</v>
      </c>
      <c r="C364" s="100" t="n">
        <v>0.236106</v>
      </c>
      <c r="D364" s="99" t="n">
        <v>25</v>
      </c>
      <c r="E364" s="101" t="n">
        <v>0.249795</v>
      </c>
      <c r="F364" s="99" t="n">
        <v>22.46</v>
      </c>
      <c r="G364" s="100" t="n">
        <v>0.2128</v>
      </c>
      <c r="H364" s="102" t="n">
        <v>24.923</v>
      </c>
      <c r="I364" s="100" t="n">
        <v>0.249204</v>
      </c>
      <c r="J364" s="102" t="n">
        <v>22.5</v>
      </c>
      <c r="K364" s="100" t="n">
        <v>0.224792</v>
      </c>
      <c r="L364" s="99" t="n">
        <v>27.5</v>
      </c>
      <c r="M364" s="100" t="n">
        <v>0.274972</v>
      </c>
      <c r="N364" s="102" t="n">
        <v>26</v>
      </c>
      <c r="O364" s="100" t="n">
        <v>0.259973</v>
      </c>
      <c r="P364" s="103">
        <f>C364-G364</f>
        <v/>
      </c>
      <c r="Q364" s="103">
        <f>E364-C364</f>
        <v/>
      </c>
      <c r="R364" s="103">
        <f>C364-M364</f>
        <v/>
      </c>
      <c r="S364" s="103">
        <f>C364-O364</f>
        <v/>
      </c>
      <c r="T364" s="103">
        <f>E364-O364</f>
        <v/>
      </c>
      <c r="U364" s="103">
        <f>G364-O364</f>
        <v/>
      </c>
      <c r="V364" s="103">
        <f>G364-K364</f>
        <v/>
      </c>
      <c r="W364" s="103">
        <f>C364-K364</f>
        <v/>
      </c>
      <c r="X364" s="103">
        <f>I364-G364</f>
        <v/>
      </c>
      <c r="Y364" s="104">
        <f>G364-M364</f>
        <v/>
      </c>
    </row>
    <row r="365">
      <c r="A365" s="98" t="n">
        <v>44778</v>
      </c>
      <c r="B365" s="99" t="n">
        <v>23</v>
      </c>
      <c r="C365" s="100" t="n">
        <v>0.22983</v>
      </c>
      <c r="D365" s="99" t="n">
        <v>25</v>
      </c>
      <c r="E365" s="101" t="n">
        <v>0.249815</v>
      </c>
      <c r="F365" s="99" t="n">
        <v>21.93</v>
      </c>
      <c r="G365" s="100" t="n">
        <v>0.207786</v>
      </c>
      <c r="H365" s="102" t="n">
        <v>24.5</v>
      </c>
      <c r="I365" s="100" t="n">
        <v>0.244977</v>
      </c>
      <c r="J365" s="102" t="n">
        <v>22</v>
      </c>
      <c r="K365" s="100" t="n">
        <v>0.219817</v>
      </c>
      <c r="L365" s="99" t="n">
        <v>26.77</v>
      </c>
      <c r="M365" s="100" t="n">
        <v>0.267675</v>
      </c>
      <c r="N365" s="102" t="n">
        <v>25.6</v>
      </c>
      <c r="O365" s="100" t="n">
        <v>0.255976</v>
      </c>
      <c r="P365" s="103">
        <f>C365-G365</f>
        <v/>
      </c>
      <c r="Q365" s="103">
        <f>E365-C365</f>
        <v/>
      </c>
      <c r="R365" s="103">
        <f>C365-M365</f>
        <v/>
      </c>
      <c r="S365" s="103">
        <f>C365-O365</f>
        <v/>
      </c>
      <c r="T365" s="103">
        <f>E365-O365</f>
        <v/>
      </c>
      <c r="U365" s="103">
        <f>G365-O365</f>
        <v/>
      </c>
      <c r="V365" s="103">
        <f>G365-K365</f>
        <v/>
      </c>
      <c r="W365" s="103">
        <f>C365-K365</f>
        <v/>
      </c>
      <c r="X365" s="103">
        <f>I365-G365</f>
        <v/>
      </c>
      <c r="Y365" s="104">
        <f>G365-M365</f>
        <v/>
      </c>
    </row>
    <row r="366">
      <c r="A366" s="98" t="n">
        <v>44777</v>
      </c>
      <c r="B366" s="99" t="n">
        <v>23</v>
      </c>
      <c r="C366" s="100" t="n">
        <v>0.229836</v>
      </c>
      <c r="D366" s="99" t="n">
        <v>24.6</v>
      </c>
      <c r="E366" s="101" t="n">
        <v>0.245825</v>
      </c>
      <c r="F366" s="99" t="n">
        <v>21.66</v>
      </c>
      <c r="G366" s="100" t="n">
        <v>0.205231</v>
      </c>
      <c r="H366" s="102" t="n">
        <v>24.28</v>
      </c>
      <c r="I366" s="100" t="n">
        <v>0.242778</v>
      </c>
      <c r="J366" s="102" t="n">
        <v>21.9</v>
      </c>
      <c r="K366" s="100" t="n">
        <v>0.218825</v>
      </c>
      <c r="L366" s="99" t="n">
        <v>26.35</v>
      </c>
      <c r="M366" s="100" t="n">
        <v>0.263477</v>
      </c>
      <c r="N366" s="102" t="n">
        <v>25.5</v>
      </c>
      <c r="O366" s="100" t="n">
        <v>0.254977</v>
      </c>
      <c r="P366" s="103">
        <f>C366-G366</f>
        <v/>
      </c>
      <c r="Q366" s="103">
        <f>E366-C366</f>
        <v/>
      </c>
      <c r="R366" s="103">
        <f>C366-M366</f>
        <v/>
      </c>
      <c r="S366" s="103">
        <f>C366-O366</f>
        <v/>
      </c>
      <c r="T366" s="103">
        <f>E366-O366</f>
        <v/>
      </c>
      <c r="U366" s="103">
        <f>G366-O366</f>
        <v/>
      </c>
      <c r="V366" s="103">
        <f>G366-K366</f>
        <v/>
      </c>
      <c r="W366" s="103">
        <f>C366-K366</f>
        <v/>
      </c>
      <c r="X366" s="103">
        <f>I366-G366</f>
        <v/>
      </c>
      <c r="Y366" s="104">
        <f>G366-M366</f>
        <v/>
      </c>
    </row>
    <row r="367">
      <c r="A367" s="98" t="n">
        <v>44776</v>
      </c>
      <c r="B367" s="99" t="n">
        <v>23.44</v>
      </c>
      <c r="C367" s="100" t="n">
        <v>0.23424</v>
      </c>
      <c r="D367" s="99" t="n">
        <v>24.81</v>
      </c>
      <c r="E367" s="101" t="n">
        <v>0.24793</v>
      </c>
      <c r="F367" s="99" t="n">
        <v>21.9</v>
      </c>
      <c r="G367" s="100" t="n">
        <v>0.207507</v>
      </c>
      <c r="H367" s="102" t="n">
        <v>24.66</v>
      </c>
      <c r="I367" s="100" t="n">
        <v>0.246579</v>
      </c>
      <c r="J367" s="102" t="n">
        <v>22.75</v>
      </c>
      <c r="K367" s="100" t="n">
        <v>0.227325</v>
      </c>
      <c r="L367" s="99" t="n">
        <v>26.45</v>
      </c>
      <c r="M367" s="100" t="n">
        <v>0.264477</v>
      </c>
      <c r="N367" s="102" t="n">
        <v>25.37</v>
      </c>
      <c r="O367" s="100" t="n">
        <v>0.253678</v>
      </c>
      <c r="P367" s="103">
        <f>C367-G367</f>
        <v/>
      </c>
      <c r="Q367" s="103">
        <f>E367-C367</f>
        <v/>
      </c>
      <c r="R367" s="103">
        <f>C367-M367</f>
        <v/>
      </c>
      <c r="S367" s="103">
        <f>C367-O367</f>
        <v/>
      </c>
      <c r="T367" s="103">
        <f>E367-O367</f>
        <v/>
      </c>
      <c r="U367" s="103">
        <f>G367-O367</f>
        <v/>
      </c>
      <c r="V367" s="103">
        <f>G367-K367</f>
        <v/>
      </c>
      <c r="W367" s="103">
        <f>C367-K367</f>
        <v/>
      </c>
      <c r="X367" s="103">
        <f>I367-G367</f>
        <v/>
      </c>
      <c r="Y367" s="104">
        <f>G367-M367</f>
        <v/>
      </c>
    </row>
    <row r="368">
      <c r="A368" s="98" t="n">
        <v>44775</v>
      </c>
      <c r="B368" s="99" t="n">
        <v>23.5</v>
      </c>
      <c r="C368" s="100" t="n">
        <v>0.234846</v>
      </c>
      <c r="D368" s="99" t="n">
        <v>24.95</v>
      </c>
      <c r="E368" s="101" t="n">
        <v>0.249336</v>
      </c>
      <c r="F368" s="99" t="n">
        <v>22.36</v>
      </c>
      <c r="G368" s="100" t="n">
        <v>0.211869</v>
      </c>
      <c r="H368" s="102" t="n">
        <v>24.94</v>
      </c>
      <c r="I368" s="100" t="n">
        <v>0.24938</v>
      </c>
      <c r="J368" s="102" t="n">
        <v>22.4</v>
      </c>
      <c r="K368" s="100" t="n">
        <v>0.223834</v>
      </c>
      <c r="L368" s="99" t="n">
        <v>26.9</v>
      </c>
      <c r="M368" s="100" t="n">
        <v>0.268978</v>
      </c>
      <c r="N368" s="102" t="n">
        <v>25.5</v>
      </c>
      <c r="O368" s="100" t="n">
        <v>0.254979</v>
      </c>
      <c r="P368" s="103">
        <f>C368-G368</f>
        <v/>
      </c>
      <c r="Q368" s="103">
        <f>E368-C368</f>
        <v/>
      </c>
      <c r="R368" s="103">
        <f>C368-M368</f>
        <v/>
      </c>
      <c r="S368" s="103">
        <f>C368-O368</f>
        <v/>
      </c>
      <c r="T368" s="103">
        <f>E368-O368</f>
        <v/>
      </c>
      <c r="U368" s="103">
        <f>G368-O368</f>
        <v/>
      </c>
      <c r="V368" s="103">
        <f>G368-K368</f>
        <v/>
      </c>
      <c r="W368" s="103">
        <f>C368-K368</f>
        <v/>
      </c>
      <c r="X368" s="103">
        <f>I368-G368</f>
        <v/>
      </c>
      <c r="Y368" s="104">
        <f>G368-M368</f>
        <v/>
      </c>
    </row>
    <row r="369">
      <c r="A369" s="98" t="n">
        <v>44774</v>
      </c>
      <c r="B369" s="99" t="n">
        <v>24.05</v>
      </c>
      <c r="C369" s="100" t="n">
        <v>0.240349</v>
      </c>
      <c r="D369" s="99" t="n">
        <v>24.4</v>
      </c>
      <c r="E369" s="101" t="n">
        <v>0.243846</v>
      </c>
      <c r="F369" s="99" t="n">
        <v>23.1</v>
      </c>
      <c r="G369" s="100" t="n">
        <v>0.218883</v>
      </c>
      <c r="H369" s="102" t="n">
        <v>25</v>
      </c>
      <c r="I369" s="100" t="n">
        <v>0.24998</v>
      </c>
      <c r="J369" s="102" t="n">
        <v>23</v>
      </c>
      <c r="K369" s="100" t="n">
        <v>0.229837</v>
      </c>
      <c r="L369" s="99" t="n">
        <v>27.8</v>
      </c>
      <c r="M369" s="100" t="n">
        <v>0.277978</v>
      </c>
      <c r="N369" s="102" t="n">
        <v>26.1</v>
      </c>
      <c r="O369" s="100" t="n">
        <v>0.260979</v>
      </c>
      <c r="P369" s="103">
        <f>C369-G369</f>
        <v/>
      </c>
      <c r="Q369" s="103">
        <f>E369-C369</f>
        <v/>
      </c>
      <c r="R369" s="103">
        <f>C369-M369</f>
        <v/>
      </c>
      <c r="S369" s="103">
        <f>C369-O369</f>
        <v/>
      </c>
      <c r="T369" s="103">
        <f>E369-O369</f>
        <v/>
      </c>
      <c r="U369" s="103">
        <f>G369-O369</f>
        <v/>
      </c>
      <c r="V369" s="103">
        <f>G369-K369</f>
        <v/>
      </c>
      <c r="W369" s="103">
        <f>C369-K369</f>
        <v/>
      </c>
      <c r="X369" s="103">
        <f>I369-G369</f>
        <v/>
      </c>
      <c r="Y369" s="104">
        <f>G369-M369</f>
        <v/>
      </c>
    </row>
    <row r="370">
      <c r="A370" s="98" t="n">
        <v>44771</v>
      </c>
      <c r="B370" s="99" t="n">
        <v>24.06</v>
      </c>
      <c r="C370" s="100" t="n">
        <v>0.240468</v>
      </c>
      <c r="D370" s="99" t="n">
        <v>23.19</v>
      </c>
      <c r="E370" s="101" t="n">
        <v>0.231773</v>
      </c>
      <c r="F370" s="99" t="n">
        <v>22.99</v>
      </c>
      <c r="G370" s="100" t="n">
        <v>0.21785</v>
      </c>
      <c r="H370" s="102" t="n">
        <v>24.9</v>
      </c>
      <c r="I370" s="100" t="n">
        <v>0.248983</v>
      </c>
      <c r="J370" s="102" t="n">
        <v>22.99</v>
      </c>
      <c r="K370" s="100" t="n">
        <v>0.229758</v>
      </c>
      <c r="L370" s="99" t="n">
        <v>27.99</v>
      </c>
      <c r="M370" s="100" t="n">
        <v>0.279881</v>
      </c>
      <c r="N370" s="102" t="n">
        <v>25.5</v>
      </c>
      <c r="O370" s="100" t="n">
        <v>0.254983</v>
      </c>
      <c r="P370" s="103">
        <f>C370-G370</f>
        <v/>
      </c>
      <c r="Q370" s="103">
        <f>E370-C370</f>
        <v/>
      </c>
      <c r="R370" s="103">
        <f>C370-M370</f>
        <v/>
      </c>
      <c r="S370" s="103">
        <f>C370-O370</f>
        <v/>
      </c>
      <c r="T370" s="103">
        <f>E370-O370</f>
        <v/>
      </c>
      <c r="U370" s="103">
        <f>G370-O370</f>
        <v/>
      </c>
      <c r="V370" s="103">
        <f>G370-K370</f>
        <v/>
      </c>
      <c r="W370" s="103">
        <f>C370-K370</f>
        <v/>
      </c>
      <c r="X370" s="103">
        <f>I370-G370</f>
        <v/>
      </c>
      <c r="Y370" s="104">
        <f>G370-M370</f>
        <v/>
      </c>
    </row>
    <row r="371">
      <c r="A371" s="98" t="n">
        <v>44770</v>
      </c>
      <c r="B371" s="99" t="n">
        <v>22.8</v>
      </c>
      <c r="C371" s="100" t="n">
        <v>0.227881</v>
      </c>
      <c r="D371" s="99" t="n">
        <v>23</v>
      </c>
      <c r="E371" s="101" t="n">
        <v>0.22988</v>
      </c>
      <c r="F371" s="99" t="n">
        <v>21.66</v>
      </c>
      <c r="G371" s="100" t="n">
        <v>0.205249</v>
      </c>
      <c r="H371" s="102" t="n">
        <v>24.4</v>
      </c>
      <c r="I371" s="100" t="n">
        <v>0.243984</v>
      </c>
      <c r="J371" s="102" t="n">
        <v>21.79</v>
      </c>
      <c r="K371" s="100" t="n">
        <v>0.217772</v>
      </c>
      <c r="L371" s="99" t="n">
        <v>26.75</v>
      </c>
      <c r="M371" s="100" t="n">
        <v>0.267483</v>
      </c>
      <c r="N371" s="102" t="n">
        <v>24.5</v>
      </c>
      <c r="O371" s="100" t="n">
        <v>0.244984</v>
      </c>
      <c r="P371" s="103">
        <f>C371-G371</f>
        <v/>
      </c>
      <c r="Q371" s="103">
        <f>E371-C371</f>
        <v/>
      </c>
      <c r="R371" s="103">
        <f>C371-M371</f>
        <v/>
      </c>
      <c r="S371" s="103">
        <f>C371-O371</f>
        <v/>
      </c>
      <c r="T371" s="103">
        <f>E371-O371</f>
        <v/>
      </c>
      <c r="U371" s="103">
        <f>G371-O371</f>
        <v/>
      </c>
      <c r="V371" s="103">
        <f>G371-K371</f>
        <v/>
      </c>
      <c r="W371" s="103">
        <f>C371-K371</f>
        <v/>
      </c>
      <c r="X371" s="103">
        <f>I371-G371</f>
        <v/>
      </c>
      <c r="Y371" s="104">
        <f>G371-M371</f>
        <v/>
      </c>
    </row>
    <row r="372">
      <c r="A372" s="98" t="n">
        <v>44769</v>
      </c>
      <c r="B372" s="99" t="n">
        <v>19.9</v>
      </c>
      <c r="C372" s="100" t="n">
        <v>0.198902</v>
      </c>
      <c r="D372" s="99" t="n">
        <v>20.9</v>
      </c>
      <c r="E372" s="101" t="n">
        <v>0.208897</v>
      </c>
      <c r="F372" s="99" t="n">
        <v>19.15</v>
      </c>
      <c r="G372" s="100" t="n">
        <v>0.181467</v>
      </c>
      <c r="H372" s="102" t="n">
        <v>21.5</v>
      </c>
      <c r="I372" s="100" t="n">
        <v>0.214987</v>
      </c>
      <c r="J372" s="102" t="n">
        <v>18.92</v>
      </c>
      <c r="K372" s="100" t="n">
        <v>0.189095</v>
      </c>
      <c r="L372" s="99" t="n">
        <v>24.79</v>
      </c>
      <c r="M372" s="100" t="n">
        <v>0.247885</v>
      </c>
      <c r="N372" s="102" t="n">
        <v>23.4</v>
      </c>
      <c r="O372" s="100" t="n">
        <v>0.233986</v>
      </c>
      <c r="P372" s="103">
        <f>C372-G372</f>
        <v/>
      </c>
      <c r="Q372" s="103">
        <f>E372-C372</f>
        <v/>
      </c>
      <c r="R372" s="103">
        <f>C372-M372</f>
        <v/>
      </c>
      <c r="S372" s="103">
        <f>C372-O372</f>
        <v/>
      </c>
      <c r="T372" s="103">
        <f>E372-O372</f>
        <v/>
      </c>
      <c r="U372" s="103">
        <f>G372-O372</f>
        <v/>
      </c>
      <c r="V372" s="103">
        <f>G372-K372</f>
        <v/>
      </c>
      <c r="W372" s="103">
        <f>C372-K372</f>
        <v/>
      </c>
      <c r="X372" s="103">
        <f>I372-G372</f>
        <v/>
      </c>
      <c r="Y372" s="104">
        <f>G372-M372</f>
        <v/>
      </c>
    </row>
    <row r="373">
      <c r="A373" s="98" t="n">
        <v>44768</v>
      </c>
      <c r="B373" s="99" t="n">
        <v>18.76</v>
      </c>
      <c r="C373" s="100" t="n">
        <v>0.187513</v>
      </c>
      <c r="D373" s="99" t="n">
        <v>19.89</v>
      </c>
      <c r="E373" s="101" t="n">
        <v>0.198807</v>
      </c>
      <c r="F373" s="99" t="n">
        <v>17.8</v>
      </c>
      <c r="G373" s="100" t="n">
        <v>0.168677</v>
      </c>
      <c r="H373" s="102" t="n">
        <v>20.1</v>
      </c>
      <c r="I373" s="100" t="n">
        <v>0.200988</v>
      </c>
      <c r="J373" s="102" t="n">
        <v>18.2</v>
      </c>
      <c r="K373" s="100" t="n">
        <v>0.181905</v>
      </c>
      <c r="L373" s="99" t="n">
        <v>22.8</v>
      </c>
      <c r="M373" s="100" t="n">
        <v>0.227987</v>
      </c>
      <c r="N373" s="102" t="n">
        <v>21.55</v>
      </c>
      <c r="O373" s="100" t="n">
        <v>0.215487</v>
      </c>
      <c r="P373" s="103">
        <f>C373-G373</f>
        <v/>
      </c>
      <c r="Q373" s="103">
        <f>E373-C373</f>
        <v/>
      </c>
      <c r="R373" s="103">
        <f>C373-M373</f>
        <v/>
      </c>
      <c r="S373" s="103">
        <f>C373-O373</f>
        <v/>
      </c>
      <c r="T373" s="103">
        <f>E373-O373</f>
        <v/>
      </c>
      <c r="U373" s="103">
        <f>G373-O373</f>
        <v/>
      </c>
      <c r="V373" s="103">
        <f>G373-K373</f>
        <v/>
      </c>
      <c r="W373" s="103">
        <f>C373-K373</f>
        <v/>
      </c>
      <c r="X373" s="103">
        <f>I373-G373</f>
        <v/>
      </c>
      <c r="Y373" s="104">
        <f>G373-M373</f>
        <v/>
      </c>
    </row>
    <row r="374">
      <c r="A374" s="98" t="n">
        <v>44767</v>
      </c>
      <c r="B374" s="99" t="n">
        <v>18.13</v>
      </c>
      <c r="C374" s="100" t="n">
        <v>0.181221</v>
      </c>
      <c r="D374" s="99" t="n">
        <v>19.2</v>
      </c>
      <c r="E374" s="101" t="n">
        <v>0.191916</v>
      </c>
      <c r="F374" s="99" t="n">
        <v>17.52</v>
      </c>
      <c r="G374" s="100" t="n">
        <v>0.166025</v>
      </c>
      <c r="H374" s="102" t="n">
        <v>19.73</v>
      </c>
      <c r="I374" s="100" t="n">
        <v>0.197289</v>
      </c>
      <c r="J374" s="102" t="n">
        <v>17.8</v>
      </c>
      <c r="K374" s="100" t="n">
        <v>0.177912</v>
      </c>
      <c r="L374" s="99" t="n">
        <v>22.58</v>
      </c>
      <c r="M374" s="100" t="n">
        <v>0.225788</v>
      </c>
      <c r="N374" s="102" t="n">
        <v>20.7</v>
      </c>
      <c r="O374" s="100" t="n">
        <v>0.206989</v>
      </c>
      <c r="P374" s="103">
        <f>C374-G374</f>
        <v/>
      </c>
      <c r="Q374" s="103">
        <f>E374-C374</f>
        <v/>
      </c>
      <c r="R374" s="103">
        <f>C374-M374</f>
        <v/>
      </c>
      <c r="S374" s="103">
        <f>C374-O374</f>
        <v/>
      </c>
      <c r="T374" s="103">
        <f>E374-O374</f>
        <v/>
      </c>
      <c r="U374" s="103">
        <f>G374-O374</f>
        <v/>
      </c>
      <c r="V374" s="103">
        <f>G374-K374</f>
        <v/>
      </c>
      <c r="W374" s="103">
        <f>C374-K374</f>
        <v/>
      </c>
      <c r="X374" s="103">
        <f>I374-G374</f>
        <v/>
      </c>
      <c r="Y374" s="104">
        <f>G374-M374</f>
        <v/>
      </c>
    </row>
    <row r="375">
      <c r="A375" s="98" t="n">
        <v>44764</v>
      </c>
      <c r="B375" s="99" t="n">
        <v>18.18</v>
      </c>
      <c r="C375" s="100" t="n">
        <v>0.181735</v>
      </c>
      <c r="D375" s="99" t="n">
        <v>19.41</v>
      </c>
      <c r="E375" s="101" t="n">
        <v>0.194031</v>
      </c>
      <c r="F375" s="99" t="n">
        <v>17.3</v>
      </c>
      <c r="G375" s="100" t="n">
        <v>0.163947</v>
      </c>
      <c r="H375" s="102" t="n">
        <v>19.35</v>
      </c>
      <c r="I375" s="100" t="n">
        <v>0.193491</v>
      </c>
      <c r="J375" s="102" t="n">
        <v>17.7</v>
      </c>
      <c r="K375" s="100" t="n">
        <v>0.176929</v>
      </c>
      <c r="L375" s="99" t="n">
        <v>22.45</v>
      </c>
      <c r="M375" s="100" t="n">
        <v>0.22449</v>
      </c>
      <c r="N375" s="102" t="n">
        <v>20.65</v>
      </c>
      <c r="O375" s="100" t="n">
        <v>0.206491</v>
      </c>
      <c r="P375" s="103">
        <f>C375-G375</f>
        <v/>
      </c>
      <c r="Q375" s="103">
        <f>E375-C375</f>
        <v/>
      </c>
      <c r="R375" s="103">
        <f>C375-M375</f>
        <v/>
      </c>
      <c r="S375" s="103">
        <f>C375-O375</f>
        <v/>
      </c>
      <c r="T375" s="103">
        <f>E375-O375</f>
        <v/>
      </c>
      <c r="U375" s="103">
        <f>G375-O375</f>
        <v/>
      </c>
      <c r="V375" s="103">
        <f>G375-K375</f>
        <v/>
      </c>
      <c r="W375" s="103">
        <f>C375-K375</f>
        <v/>
      </c>
      <c r="X375" s="103">
        <f>I375-G375</f>
        <v/>
      </c>
      <c r="Y375" s="104">
        <f>G375-M375</f>
        <v/>
      </c>
    </row>
    <row r="376">
      <c r="A376" s="98" t="n">
        <v>44763</v>
      </c>
      <c r="B376" s="99" t="n">
        <v>18.57</v>
      </c>
      <c r="C376" s="100" t="n">
        <v>0.185639</v>
      </c>
      <c r="D376" s="99" t="n">
        <v>19.1</v>
      </c>
      <c r="E376" s="101" t="n">
        <v>0.190937</v>
      </c>
      <c r="F376" s="99" t="n">
        <v>17.57</v>
      </c>
      <c r="G376" s="100" t="n">
        <v>0.166508</v>
      </c>
      <c r="H376" s="102" t="n">
        <v>19.47</v>
      </c>
      <c r="I376" s="100" t="n">
        <v>0.194692</v>
      </c>
      <c r="J376" s="102" t="n">
        <v>18.25</v>
      </c>
      <c r="K376" s="100" t="n">
        <v>0.182433</v>
      </c>
      <c r="L376" s="99" t="n">
        <v>22.95</v>
      </c>
      <c r="M376" s="100" t="n">
        <v>0.229491</v>
      </c>
      <c r="N376" s="102" t="n">
        <v>20.97</v>
      </c>
      <c r="O376" s="100" t="n">
        <v>0.209691</v>
      </c>
      <c r="P376" s="103">
        <f>C376-G376</f>
        <v/>
      </c>
      <c r="Q376" s="103">
        <f>E376-C376</f>
        <v/>
      </c>
      <c r="R376" s="103">
        <f>C376-M376</f>
        <v/>
      </c>
      <c r="S376" s="103">
        <f>C376-O376</f>
        <v/>
      </c>
      <c r="T376" s="103">
        <f>E376-O376</f>
        <v/>
      </c>
      <c r="U376" s="103">
        <f>G376-O376</f>
        <v/>
      </c>
      <c r="V376" s="103">
        <f>G376-K376</f>
        <v/>
      </c>
      <c r="W376" s="103">
        <f>C376-K376</f>
        <v/>
      </c>
      <c r="X376" s="103">
        <f>I376-G376</f>
        <v/>
      </c>
      <c r="Y376" s="104">
        <f>G376-M376</f>
        <v/>
      </c>
    </row>
    <row r="377">
      <c r="A377" s="98" t="n">
        <v>44762</v>
      </c>
      <c r="B377" s="99" t="n">
        <v>19</v>
      </c>
      <c r="C377" s="100" t="n">
        <v>0.189943</v>
      </c>
      <c r="D377" s="99" t="n">
        <v>19.9</v>
      </c>
      <c r="E377" s="101" t="n">
        <v>0.19894</v>
      </c>
      <c r="F377" s="99" t="n">
        <v>18.05</v>
      </c>
      <c r="G377" s="100" t="n">
        <v>0.171059</v>
      </c>
      <c r="H377" s="102" t="n">
        <v>20.35</v>
      </c>
      <c r="I377" s="100" t="n">
        <v>0.203492</v>
      </c>
      <c r="J377" s="102" t="n">
        <v>18</v>
      </c>
      <c r="K377" s="100" t="n">
        <v>0.179939</v>
      </c>
      <c r="L377" s="99" t="n">
        <v>22.95</v>
      </c>
      <c r="M377" s="100" t="n">
        <v>0.229491</v>
      </c>
      <c r="N377" s="102" t="n">
        <v>21.9</v>
      </c>
      <c r="O377" s="100" t="n">
        <v>0.218992</v>
      </c>
      <c r="P377" s="103">
        <f>C377-G377</f>
        <v/>
      </c>
      <c r="Q377" s="103">
        <f>E377-C377</f>
        <v/>
      </c>
      <c r="R377" s="103">
        <f>C377-M377</f>
        <v/>
      </c>
      <c r="S377" s="103">
        <f>C377-O377</f>
        <v/>
      </c>
      <c r="T377" s="103">
        <f>E377-O377</f>
        <v/>
      </c>
      <c r="U377" s="103">
        <f>G377-O377</f>
        <v/>
      </c>
      <c r="V377" s="103">
        <f>G377-K377</f>
        <v/>
      </c>
      <c r="W377" s="103">
        <f>C377-K377</f>
        <v/>
      </c>
      <c r="X377" s="103">
        <f>I377-G377</f>
        <v/>
      </c>
      <c r="Y377" s="104">
        <f>G377-M377</f>
        <v/>
      </c>
    </row>
    <row r="378">
      <c r="A378" s="98" t="n">
        <v>44761</v>
      </c>
      <c r="B378" s="99" t="n">
        <v>19</v>
      </c>
      <c r="C378" s="100" t="n">
        <v>0.189948</v>
      </c>
      <c r="D378" s="99" t="n">
        <v>20.04</v>
      </c>
      <c r="E378" s="101" t="n">
        <v>0.200345</v>
      </c>
      <c r="F378" s="99" t="n">
        <v>18.17</v>
      </c>
      <c r="G378" s="100" t="n">
        <v>0.172198</v>
      </c>
      <c r="H378" s="102" t="n">
        <v>20.4</v>
      </c>
      <c r="I378" s="100" t="n">
        <v>0.203993</v>
      </c>
      <c r="J378" s="102" t="n">
        <v>18.35</v>
      </c>
      <c r="K378" s="100" t="n">
        <v>0.183443</v>
      </c>
      <c r="L378" s="99" t="n">
        <v>22.9</v>
      </c>
      <c r="M378" s="100" t="n">
        <v>0.228992</v>
      </c>
      <c r="N378" s="102" t="n">
        <v>22</v>
      </c>
      <c r="O378" s="100" t="n">
        <v>0.219992</v>
      </c>
      <c r="P378" s="103">
        <f>C378-G378</f>
        <v/>
      </c>
      <c r="Q378" s="103">
        <f>E378-C378</f>
        <v/>
      </c>
      <c r="R378" s="103">
        <f>C378-M378</f>
        <v/>
      </c>
      <c r="S378" s="103">
        <f>C378-O378</f>
        <v/>
      </c>
      <c r="T378" s="103">
        <f>E378-O378</f>
        <v/>
      </c>
      <c r="U378" s="103">
        <f>G378-O378</f>
        <v/>
      </c>
      <c r="V378" s="103">
        <f>G378-K378</f>
        <v/>
      </c>
      <c r="W378" s="103">
        <f>C378-K378</f>
        <v/>
      </c>
      <c r="X378" s="103">
        <f>I378-G378</f>
        <v/>
      </c>
      <c r="Y378" s="104">
        <f>G378-M378</f>
        <v/>
      </c>
    </row>
    <row r="379">
      <c r="A379" s="98" t="n">
        <v>44760</v>
      </c>
      <c r="B379" s="99" t="n">
        <v>19.19</v>
      </c>
      <c r="C379" s="100" t="n">
        <v>0.191853</v>
      </c>
      <c r="D379" s="99" t="n">
        <v>20</v>
      </c>
      <c r="E379" s="101" t="n">
        <v>0.199951</v>
      </c>
      <c r="F379" s="99" t="n">
        <v>17.81</v>
      </c>
      <c r="G379" s="100" t="n">
        <v>0.168789</v>
      </c>
      <c r="H379" s="102" t="n">
        <v>19.97</v>
      </c>
      <c r="I379" s="100" t="n">
        <v>0.199694</v>
      </c>
      <c r="J379" s="102" t="n">
        <v>17.95</v>
      </c>
      <c r="K379" s="100" t="n">
        <v>0.17945</v>
      </c>
      <c r="L379" s="99" t="n">
        <v>22.55</v>
      </c>
      <c r="M379" s="100" t="n">
        <v>0.225493</v>
      </c>
      <c r="N379" s="102" t="n">
        <v>22</v>
      </c>
      <c r="O379" s="100" t="n">
        <v>0.219993</v>
      </c>
      <c r="P379" s="103">
        <f>C379-G379</f>
        <v/>
      </c>
      <c r="Q379" s="103">
        <f>E379-C379</f>
        <v/>
      </c>
      <c r="R379" s="103">
        <f>C379-M379</f>
        <v/>
      </c>
      <c r="S379" s="103">
        <f>C379-O379</f>
        <v/>
      </c>
      <c r="T379" s="103">
        <f>E379-O379</f>
        <v/>
      </c>
      <c r="U379" s="103">
        <f>G379-O379</f>
        <v/>
      </c>
      <c r="V379" s="103">
        <f>G379-K379</f>
        <v/>
      </c>
      <c r="W379" s="103">
        <f>C379-K379</f>
        <v/>
      </c>
      <c r="X379" s="103">
        <f>I379-G379</f>
        <v/>
      </c>
      <c r="Y379" s="104">
        <f>G379-M379</f>
        <v/>
      </c>
    </row>
    <row r="380">
      <c r="A380" s="98" t="n">
        <v>44757</v>
      </c>
      <c r="B380" s="99" t="n">
        <v>19.3</v>
      </c>
      <c r="C380" s="100" t="n">
        <v>0.192968</v>
      </c>
      <c r="D380" s="99" t="n">
        <v>20.1</v>
      </c>
      <c r="E380" s="101" t="n">
        <v>0.200967</v>
      </c>
      <c r="F380" s="99" t="n">
        <v>17.72</v>
      </c>
      <c r="G380" s="100" t="n">
        <v>0.167942</v>
      </c>
      <c r="H380" s="102" t="n">
        <v>20.12</v>
      </c>
      <c r="I380" s="100" t="n">
        <v>0.201196</v>
      </c>
      <c r="J380" s="102" t="n">
        <v>18.08</v>
      </c>
      <c r="K380" s="100" t="n">
        <v>0.180767</v>
      </c>
      <c r="L380" s="99" t="n">
        <v>22.7</v>
      </c>
      <c r="M380" s="100" t="n">
        <v>0.226995</v>
      </c>
      <c r="N380" s="102" t="n">
        <v>22.25</v>
      </c>
      <c r="O380" s="100" t="n">
        <v>0.222495</v>
      </c>
      <c r="P380" s="103">
        <f>C380-G380</f>
        <v/>
      </c>
      <c r="Q380" s="103">
        <f>E380-C380</f>
        <v/>
      </c>
      <c r="R380" s="103">
        <f>C380-M380</f>
        <v/>
      </c>
      <c r="S380" s="103">
        <f>C380-O380</f>
        <v/>
      </c>
      <c r="T380" s="103">
        <f>E380-O380</f>
        <v/>
      </c>
      <c r="U380" s="103">
        <f>G380-O380</f>
        <v/>
      </c>
      <c r="V380" s="103">
        <f>G380-K380</f>
        <v/>
      </c>
      <c r="W380" s="103">
        <f>C380-K380</f>
        <v/>
      </c>
      <c r="X380" s="103">
        <f>I380-G380</f>
        <v/>
      </c>
      <c r="Y380" s="104">
        <f>G380-M380</f>
        <v/>
      </c>
    </row>
    <row r="381">
      <c r="A381" s="98" t="n">
        <v>44756</v>
      </c>
      <c r="B381" s="99" t="n">
        <v>19.08</v>
      </c>
      <c r="C381" s="100" t="n">
        <v>0.190774</v>
      </c>
      <c r="D381" s="99" t="n">
        <v>20.45</v>
      </c>
      <c r="E381" s="101" t="n">
        <v>0.204472</v>
      </c>
      <c r="F381" s="99" t="n">
        <v>17.93</v>
      </c>
      <c r="G381" s="100" t="n">
        <v>0.169935</v>
      </c>
      <c r="H381" s="102" t="n">
        <v>20.48</v>
      </c>
      <c r="I381" s="100" t="n">
        <v>0.204796</v>
      </c>
      <c r="J381" s="102" t="n">
        <v>18.05</v>
      </c>
      <c r="K381" s="100" t="n">
        <v>0.180472</v>
      </c>
      <c r="L381" s="99" t="n">
        <v>23.08</v>
      </c>
      <c r="M381" s="100" t="n">
        <v>0.230796</v>
      </c>
      <c r="N381" s="102" t="n">
        <v>22.7</v>
      </c>
      <c r="O381" s="100" t="n">
        <v>0.226996</v>
      </c>
      <c r="P381" s="103">
        <f>C381-G381</f>
        <v/>
      </c>
      <c r="Q381" s="103">
        <f>E381-C381</f>
        <v/>
      </c>
      <c r="R381" s="103">
        <f>C381-M381</f>
        <v/>
      </c>
      <c r="S381" s="103">
        <f>C381-O381</f>
        <v/>
      </c>
      <c r="T381" s="103">
        <f>E381-O381</f>
        <v/>
      </c>
      <c r="U381" s="103">
        <f>G381-O381</f>
        <v/>
      </c>
      <c r="V381" s="103">
        <f>G381-K381</f>
        <v/>
      </c>
      <c r="W381" s="103">
        <f>C381-K381</f>
        <v/>
      </c>
      <c r="X381" s="103">
        <f>I381-G381</f>
        <v/>
      </c>
      <c r="Y381" s="104">
        <f>G381-M381</f>
        <v/>
      </c>
    </row>
    <row r="382">
      <c r="A382" s="98" t="n">
        <v>44755</v>
      </c>
      <c r="B382" s="99" t="n">
        <v>19.32</v>
      </c>
      <c r="C382" s="100" t="n">
        <v>0.193179</v>
      </c>
      <c r="D382" s="99" t="n">
        <v>20.7</v>
      </c>
      <c r="E382" s="101" t="n">
        <v>0.206977</v>
      </c>
      <c r="F382" s="99" t="n">
        <v>18.07</v>
      </c>
      <c r="G382" s="100" t="n">
        <v>0.171264</v>
      </c>
      <c r="H382" s="102" t="n">
        <v>20.71</v>
      </c>
      <c r="I382" s="100" t="n">
        <v>0.207097</v>
      </c>
      <c r="J382" s="102" t="n">
        <v>18.25</v>
      </c>
      <c r="K382" s="100" t="n">
        <v>0.182478</v>
      </c>
      <c r="L382" s="99" t="n">
        <v>23.25</v>
      </c>
      <c r="M382" s="100" t="n">
        <v>0.232497</v>
      </c>
      <c r="N382" s="102" t="n">
        <v>22.8</v>
      </c>
      <c r="O382" s="100" t="n">
        <v>0.227997</v>
      </c>
      <c r="P382" s="103">
        <f>C382-G382</f>
        <v/>
      </c>
      <c r="Q382" s="103">
        <f>E382-C382</f>
        <v/>
      </c>
      <c r="R382" s="103">
        <f>C382-M382</f>
        <v/>
      </c>
      <c r="S382" s="103">
        <f>C382-O382</f>
        <v/>
      </c>
      <c r="T382" s="103">
        <f>E382-O382</f>
        <v/>
      </c>
      <c r="U382" s="103">
        <f>G382-O382</f>
        <v/>
      </c>
      <c r="V382" s="103">
        <f>G382-K382</f>
        <v/>
      </c>
      <c r="W382" s="103">
        <f>C382-K382</f>
        <v/>
      </c>
      <c r="X382" s="103">
        <f>I382-G382</f>
        <v/>
      </c>
      <c r="Y382" s="104">
        <f>G382-M382</f>
        <v/>
      </c>
    </row>
    <row r="383">
      <c r="A383" s="98" t="n">
        <v>44754</v>
      </c>
      <c r="B383" s="99" t="n">
        <v>19.46</v>
      </c>
      <c r="C383" s="100" t="n">
        <v>0.194584</v>
      </c>
      <c r="D383" s="99" t="n">
        <v>20.6</v>
      </c>
      <c r="E383" s="101" t="n">
        <v>0.205983</v>
      </c>
      <c r="F383" s="99" t="n">
        <v>17.92</v>
      </c>
      <c r="G383" s="100" t="n">
        <v>0.169845</v>
      </c>
      <c r="H383" s="102" t="n">
        <v>20.58</v>
      </c>
      <c r="I383" s="100" t="n">
        <v>0.205798</v>
      </c>
      <c r="J383" s="102" t="n">
        <v>18</v>
      </c>
      <c r="K383" s="100" t="n">
        <v>0.179983</v>
      </c>
      <c r="L383" s="99" t="n">
        <v>23.25</v>
      </c>
      <c r="M383" s="100" t="n">
        <v>0.232498</v>
      </c>
      <c r="N383" s="102" t="n">
        <v>23</v>
      </c>
      <c r="O383" s="100" t="n">
        <v>0.229998</v>
      </c>
      <c r="P383" s="103">
        <f>C383-G383</f>
        <v/>
      </c>
      <c r="Q383" s="103">
        <f>E383-C383</f>
        <v/>
      </c>
      <c r="R383" s="103">
        <f>C383-M383</f>
        <v/>
      </c>
      <c r="S383" s="103">
        <f>C383-O383</f>
        <v/>
      </c>
      <c r="T383" s="103">
        <f>E383-O383</f>
        <v/>
      </c>
      <c r="U383" s="103">
        <f>G383-O383</f>
        <v/>
      </c>
      <c r="V383" s="103">
        <f>G383-K383</f>
        <v/>
      </c>
      <c r="W383" s="103">
        <f>C383-K383</f>
        <v/>
      </c>
      <c r="X383" s="103">
        <f>I383-G383</f>
        <v/>
      </c>
      <c r="Y383" s="104">
        <f>G383-M383</f>
        <v/>
      </c>
    </row>
    <row r="384">
      <c r="A384" s="98" t="n">
        <v>44753</v>
      </c>
      <c r="B384" s="99" t="n">
        <v>19.6</v>
      </c>
      <c r="C384" s="100" t="n">
        <v>0.195989</v>
      </c>
      <c r="D384" s="99" t="n">
        <v>21.5</v>
      </c>
      <c r="E384" s="101" t="n">
        <v>0.214988</v>
      </c>
      <c r="F384" s="99" t="n">
        <v>18.46</v>
      </c>
      <c r="G384" s="100" t="n">
        <v>0.174965</v>
      </c>
      <c r="H384" s="102" t="n">
        <v>20.93</v>
      </c>
      <c r="I384" s="100" t="n">
        <v>0.209299</v>
      </c>
      <c r="J384" s="102" t="n">
        <v>18.65</v>
      </c>
      <c r="K384" s="100" t="n">
        <v>0.186489</v>
      </c>
      <c r="L384" s="99" t="n">
        <v>23.6</v>
      </c>
      <c r="M384" s="100" t="n">
        <v>0.235998</v>
      </c>
      <c r="N384" s="102" t="n">
        <v>23.51</v>
      </c>
      <c r="O384" s="100" t="n">
        <v>0.235098</v>
      </c>
      <c r="P384" s="103">
        <f>C384-G384</f>
        <v/>
      </c>
      <c r="Q384" s="103">
        <f>E384-C384</f>
        <v/>
      </c>
      <c r="R384" s="103">
        <f>C384-M384</f>
        <v/>
      </c>
      <c r="S384" s="103">
        <f>C384-O384</f>
        <v/>
      </c>
      <c r="T384" s="103">
        <f>E384-O384</f>
        <v/>
      </c>
      <c r="U384" s="103">
        <f>G384-O384</f>
        <v/>
      </c>
      <c r="V384" s="103">
        <f>G384-K384</f>
        <v/>
      </c>
      <c r="W384" s="103">
        <f>C384-K384</f>
        <v/>
      </c>
      <c r="X384" s="103">
        <f>I384-G384</f>
        <v/>
      </c>
      <c r="Y384" s="104">
        <f>G384-M384</f>
        <v/>
      </c>
    </row>
    <row r="385">
      <c r="A385" s="88" t="n">
        <v>44750</v>
      </c>
      <c r="B385" s="89" t="n">
        <v>19.61</v>
      </c>
      <c r="C385" s="90" t="n">
        <v>0.1951376772082879</v>
      </c>
      <c r="D385" s="89" t="n">
        <v>21.6</v>
      </c>
      <c r="E385" s="91" t="n">
        <v>0.2149400218102508</v>
      </c>
      <c r="F385" s="89" t="n">
        <v>18.51</v>
      </c>
      <c r="G385" s="90" t="n">
        <v>0.1846447116698552</v>
      </c>
      <c r="H385" s="92" t="n">
        <v>21</v>
      </c>
      <c r="I385" s="90" t="n">
        <v>0.2098706276952564</v>
      </c>
      <c r="J385" s="92" t="n">
        <v>18.6</v>
      </c>
      <c r="K385" s="90" t="n">
        <v>0.1849737756283632</v>
      </c>
      <c r="L385" s="89" t="n">
        <v>23.61</v>
      </c>
      <c r="M385" s="90" t="n">
        <v>0.2359545485659525</v>
      </c>
      <c r="N385" s="92" t="n">
        <v>23.9</v>
      </c>
      <c r="O385" s="90" t="n">
        <v>0.2388527619960298</v>
      </c>
      <c r="P385" s="93">
        <f>C385-G385</f>
        <v/>
      </c>
      <c r="Q385" s="93">
        <f>E385-C385</f>
        <v/>
      </c>
      <c r="R385" s="93">
        <f>C385-M385</f>
        <v/>
      </c>
      <c r="S385" s="93">
        <f>C385-O385</f>
        <v/>
      </c>
      <c r="T385" s="93">
        <f>E385-O385</f>
        <v/>
      </c>
      <c r="U385" s="93">
        <f>G385-O385</f>
        <v/>
      </c>
      <c r="V385" s="93">
        <f>G385-K385</f>
        <v/>
      </c>
      <c r="W385" s="93">
        <f>C385-K385</f>
        <v/>
      </c>
      <c r="X385" s="93">
        <f>I385-G385</f>
        <v/>
      </c>
      <c r="Y385" s="94">
        <f>G385-M385</f>
        <v/>
      </c>
    </row>
    <row r="386">
      <c r="A386" s="88" t="n">
        <v>44749</v>
      </c>
      <c r="B386" s="89" t="n">
        <v>20.3</v>
      </c>
      <c r="C386" s="90" t="n">
        <v>0.2020093241364268</v>
      </c>
      <c r="D386" s="89" t="n">
        <v>21.52</v>
      </c>
      <c r="E386" s="91" t="n">
        <v>0.2141497859810791</v>
      </c>
      <c r="F386" s="89" t="n">
        <v>18.98</v>
      </c>
      <c r="G386" s="90" t="n">
        <v>0.1893357383948947</v>
      </c>
      <c r="H386" s="92" t="n">
        <v>21.05</v>
      </c>
      <c r="I386" s="90" t="n">
        <v>0.2103710396708867</v>
      </c>
      <c r="J386" s="92" t="n">
        <v>18.85</v>
      </c>
      <c r="K386" s="90" t="n">
        <v>0.1874657284638518</v>
      </c>
      <c r="L386" s="89" t="n">
        <v>24</v>
      </c>
      <c r="M386" s="90" t="n">
        <v>0.2398529668456665</v>
      </c>
      <c r="N386" s="92" t="n">
        <v>24</v>
      </c>
      <c r="O386" s="90" t="n">
        <v>0.2398529668456665</v>
      </c>
      <c r="P386" s="93">
        <f>C386-G386</f>
        <v/>
      </c>
      <c r="Q386" s="93">
        <f>E386-C386</f>
        <v/>
      </c>
      <c r="R386" s="93">
        <f>C386-M386</f>
        <v/>
      </c>
      <c r="S386" s="93">
        <f>C386-O386</f>
        <v/>
      </c>
      <c r="T386" s="93">
        <f>E386-O386</f>
        <v/>
      </c>
      <c r="U386" s="93">
        <f>G386-O386</f>
        <v/>
      </c>
      <c r="V386" s="93">
        <f>G386-K386</f>
        <v/>
      </c>
      <c r="W386" s="93">
        <f>C386-K386</f>
        <v/>
      </c>
      <c r="X386" s="93">
        <f>I386-G386</f>
        <v/>
      </c>
      <c r="Y386" s="94">
        <f>G386-M386</f>
        <v/>
      </c>
    </row>
    <row r="387">
      <c r="A387" s="88" t="n">
        <v>44747</v>
      </c>
      <c r="B387" s="89" t="n">
        <v>20.8</v>
      </c>
      <c r="C387" s="90" t="n">
        <v>0.2069962101589552</v>
      </c>
      <c r="D387" s="89" t="n">
        <v>22.3</v>
      </c>
      <c r="E387" s="91" t="n">
        <v>0.2219238214684952</v>
      </c>
      <c r="F387" s="89" t="n">
        <v>19.5</v>
      </c>
      <c r="G387" s="90" t="n">
        <v>0.1945283354059336</v>
      </c>
      <c r="H387" s="92" t="n">
        <v>21.6</v>
      </c>
      <c r="I387" s="90" t="n">
        <v>0.2158691478110871</v>
      </c>
      <c r="J387" s="92" t="n">
        <v>19.6</v>
      </c>
      <c r="K387" s="90" t="n">
        <v>0.1949365277782509</v>
      </c>
      <c r="L387" s="89" t="n">
        <v>25.6</v>
      </c>
      <c r="M387" s="90" t="n">
        <v>0.2558449159242514</v>
      </c>
      <c r="N387" s="92" t="n">
        <v>26</v>
      </c>
      <c r="O387" s="90" t="n">
        <v>0.2598424927355678</v>
      </c>
      <c r="P387" s="93">
        <f>C387-G387</f>
        <v/>
      </c>
      <c r="Q387" s="93">
        <f>E387-C387</f>
        <v/>
      </c>
      <c r="R387" s="93">
        <f>C387-M387</f>
        <v/>
      </c>
      <c r="S387" s="93">
        <f>C387-O387</f>
        <v/>
      </c>
      <c r="T387" s="93">
        <f>E387-O387</f>
        <v/>
      </c>
      <c r="U387" s="93">
        <f>G387-O387</f>
        <v/>
      </c>
      <c r="V387" s="93">
        <f>G387-K387</f>
        <v/>
      </c>
      <c r="W387" s="93">
        <f>C387-K387</f>
        <v/>
      </c>
      <c r="X387" s="93">
        <f>I387-G387</f>
        <v/>
      </c>
      <c r="Y387" s="94">
        <f>G387-M387</f>
        <v/>
      </c>
    </row>
    <row r="388">
      <c r="A388" s="88" t="n">
        <v>44746</v>
      </c>
      <c r="B388" s="89" t="n">
        <v>21.6</v>
      </c>
      <c r="C388" s="90" t="n">
        <v>0.2149634638455666</v>
      </c>
      <c r="D388" s="89" t="n">
        <v>24</v>
      </c>
      <c r="E388" s="91" t="n">
        <v>0.2388482931617406</v>
      </c>
      <c r="F388" s="89" t="n">
        <v>20.22</v>
      </c>
      <c r="G388" s="90" t="n">
        <v>0.2017136766152837</v>
      </c>
      <c r="H388" s="92" t="n">
        <v>22.71</v>
      </c>
      <c r="I388" s="90" t="n">
        <v>0.2269632002628553</v>
      </c>
      <c r="J388" s="92" t="n">
        <v>20.25</v>
      </c>
      <c r="K388" s="90" t="n">
        <v>0.2014074336476102</v>
      </c>
      <c r="L388" s="89" t="n">
        <v>26.1</v>
      </c>
      <c r="M388" s="90" t="n">
        <v>0.2608427796944308</v>
      </c>
      <c r="N388" s="92" t="n">
        <v>26.9</v>
      </c>
      <c r="O388" s="90" t="n">
        <v>0.2688379606812332</v>
      </c>
      <c r="P388" s="93">
        <f>C388-G388</f>
        <v/>
      </c>
      <c r="Q388" s="93">
        <f>E388-C388</f>
        <v/>
      </c>
      <c r="R388" s="93">
        <f>C388-M388</f>
        <v/>
      </c>
      <c r="S388" s="93">
        <f>C388-O388</f>
        <v/>
      </c>
      <c r="T388" s="93">
        <f>E388-O388</f>
        <v/>
      </c>
      <c r="U388" s="93">
        <f>G388-O388</f>
        <v/>
      </c>
      <c r="V388" s="93">
        <f>G388-K388</f>
        <v/>
      </c>
      <c r="W388" s="93">
        <f>C388-K388</f>
        <v/>
      </c>
      <c r="X388" s="93">
        <f>I388-G388</f>
        <v/>
      </c>
      <c r="Y388" s="94">
        <f>G388-M388</f>
        <v/>
      </c>
    </row>
    <row r="389">
      <c r="A389" s="88" t="n">
        <v>44743</v>
      </c>
      <c r="B389" s="89" t="n">
        <v>22.98</v>
      </c>
      <c r="C389" s="90" t="n">
        <v>0.2287159490633436</v>
      </c>
      <c r="D389" s="89" t="n">
        <v>24.85</v>
      </c>
      <c r="E389" s="91" t="n">
        <v>0.247327734300439</v>
      </c>
      <c r="F389" s="89" t="n">
        <v>21.59</v>
      </c>
      <c r="G389" s="90" t="n">
        <v>0.2153895562570894</v>
      </c>
      <c r="H389" s="92" t="n">
        <v>24.57</v>
      </c>
      <c r="I389" s="90" t="n">
        <v>0.2455545173578667</v>
      </c>
      <c r="J389" s="92" t="n">
        <v>21.75</v>
      </c>
      <c r="K389" s="90" t="n">
        <v>0.2163463995067398</v>
      </c>
      <c r="L389" s="89" t="n">
        <v>27.74</v>
      </c>
      <c r="M389" s="90" t="n">
        <v>0.2772357473140913</v>
      </c>
      <c r="N389" s="92" t="n">
        <v>28</v>
      </c>
      <c r="O389" s="90" t="n">
        <v>0.2798342078152328</v>
      </c>
      <c r="P389" s="93">
        <f>C389-G389</f>
        <v/>
      </c>
      <c r="Q389" s="93">
        <f>E389-C389</f>
        <v/>
      </c>
      <c r="R389" s="93">
        <f>C389-M389</f>
        <v/>
      </c>
      <c r="S389" s="93">
        <f>C389-O389</f>
        <v/>
      </c>
      <c r="T389" s="93">
        <f>E389-O389</f>
        <v/>
      </c>
      <c r="U389" s="93">
        <f>G389-O389</f>
        <v/>
      </c>
      <c r="V389" s="93">
        <f>G389-K389</f>
        <v/>
      </c>
      <c r="W389" s="93">
        <f>C389-K389</f>
        <v/>
      </c>
      <c r="X389" s="93">
        <f>I389-G389</f>
        <v/>
      </c>
      <c r="Y389" s="94">
        <f>G389-M389</f>
        <v/>
      </c>
    </row>
    <row r="390">
      <c r="A390" s="88" t="n">
        <v>44742</v>
      </c>
      <c r="B390" s="89" t="n">
        <v>22.81</v>
      </c>
      <c r="C390" s="90" t="n">
        <v>0.2270301592495637</v>
      </c>
      <c r="D390" s="89" t="n">
        <v>24.33</v>
      </c>
      <c r="E390" s="91" t="n">
        <v>0.2421588678010471</v>
      </c>
      <c r="F390" s="89" t="n">
        <v>21.48</v>
      </c>
      <c r="G390" s="90" t="n">
        <v>0.2142950855518505</v>
      </c>
      <c r="H390" s="92" t="n">
        <v>24.3</v>
      </c>
      <c r="I390" s="90" t="n">
        <v>0.242856947277631</v>
      </c>
      <c r="J390" s="92" t="n">
        <v>21.61</v>
      </c>
      <c r="K390" s="90" t="n">
        <v>0.2149604153324158</v>
      </c>
      <c r="L390" s="89" t="n">
        <v>27.4</v>
      </c>
      <c r="M390" s="90" t="n">
        <v>0.2738386977533782</v>
      </c>
      <c r="N390" s="92" t="n">
        <v>27.45</v>
      </c>
      <c r="O390" s="90" t="n">
        <v>0.2743384034062128</v>
      </c>
      <c r="P390" s="93">
        <f>C390-G390</f>
        <v/>
      </c>
      <c r="Q390" s="93">
        <f>E390-C390</f>
        <v/>
      </c>
      <c r="R390" s="93">
        <f>C390-M390</f>
        <v/>
      </c>
      <c r="S390" s="93">
        <f>C390-O390</f>
        <v/>
      </c>
      <c r="T390" s="93">
        <f>E390-O390</f>
        <v/>
      </c>
      <c r="U390" s="93">
        <f>G390-O390</f>
        <v/>
      </c>
      <c r="V390" s="93">
        <f>G390-K390</f>
        <v/>
      </c>
      <c r="W390" s="93">
        <f>C390-K390</f>
        <v/>
      </c>
      <c r="X390" s="93">
        <f>I390-G390</f>
        <v/>
      </c>
      <c r="Y390" s="94">
        <f>G390-M390</f>
        <v/>
      </c>
    </row>
    <row r="391">
      <c r="A391" s="88" t="n">
        <v>44741</v>
      </c>
      <c r="B391" s="89" t="n">
        <v>23</v>
      </c>
      <c r="C391" s="90" t="n">
        <v>0.2289274903874997</v>
      </c>
      <c r="D391" s="89" t="n">
        <v>23.3</v>
      </c>
      <c r="E391" s="91" t="n">
        <v>0.2319135011316844</v>
      </c>
      <c r="F391" s="89" t="n">
        <v>21.8</v>
      </c>
      <c r="G391" s="90" t="n">
        <v>0.2174905358680352</v>
      </c>
      <c r="H391" s="92" t="n">
        <v>24.37</v>
      </c>
      <c r="I391" s="90" t="n">
        <v>0.2435573688011473</v>
      </c>
      <c r="J391" s="92" t="n">
        <v>21.75</v>
      </c>
      <c r="K391" s="90" t="n">
        <v>0.216359666006902</v>
      </c>
      <c r="L391" s="89" t="n">
        <v>26.5</v>
      </c>
      <c r="M391" s="90" t="n">
        <v>0.2648449024714978</v>
      </c>
      <c r="N391" s="92" t="n">
        <v>27.3</v>
      </c>
      <c r="O391" s="90" t="n">
        <v>0.2728402202819582</v>
      </c>
      <c r="P391" s="93">
        <f>C391-G391</f>
        <v/>
      </c>
      <c r="Q391" s="93">
        <f>E391-C391</f>
        <v/>
      </c>
      <c r="R391" s="93">
        <f>C391-M391</f>
        <v/>
      </c>
      <c r="S391" s="93">
        <f>C391-O391</f>
        <v/>
      </c>
      <c r="T391" s="93">
        <f>E391-O391</f>
        <v/>
      </c>
      <c r="U391" s="93">
        <f>G391-O391</f>
        <v/>
      </c>
      <c r="V391" s="93">
        <f>G391-K391</f>
        <v/>
      </c>
      <c r="W391" s="93">
        <f>C391-K391</f>
        <v/>
      </c>
      <c r="X391" s="93">
        <f>I391-G391</f>
        <v/>
      </c>
      <c r="Y391" s="94">
        <f>G391-M391</f>
        <v/>
      </c>
    </row>
    <row r="392">
      <c r="A392" s="88" t="n">
        <v>44740</v>
      </c>
      <c r="B392" s="89" t="n">
        <v>22</v>
      </c>
      <c r="C392" s="90" t="n">
        <v>0.2189800927188437</v>
      </c>
      <c r="D392" s="89" t="n">
        <v>22.9</v>
      </c>
      <c r="E392" s="91" t="n">
        <v>0.2279383692391601</v>
      </c>
      <c r="F392" s="89" t="n">
        <v>20.87</v>
      </c>
      <c r="G392" s="90" t="n">
        <v>0.2082151154844882</v>
      </c>
      <c r="H392" s="92" t="n">
        <v>23.45</v>
      </c>
      <c r="I392" s="90" t="n">
        <v>0.2343635554642845</v>
      </c>
      <c r="J392" s="92" t="n">
        <v>21.34</v>
      </c>
      <c r="K392" s="90" t="n">
        <v>0.2122876707661908</v>
      </c>
      <c r="L392" s="89" t="n">
        <v>26.65</v>
      </c>
      <c r="M392" s="90" t="n">
        <v>0.2663449361672999</v>
      </c>
      <c r="N392" s="92" t="n">
        <v>26.3</v>
      </c>
      <c r="O392" s="90" t="n">
        <v>0.2628469726529076</v>
      </c>
      <c r="P392" s="93">
        <f>C392-G392</f>
        <v/>
      </c>
      <c r="Q392" s="93">
        <f>E392-C392</f>
        <v/>
      </c>
      <c r="R392" s="93">
        <f>C392-M392</f>
        <v/>
      </c>
      <c r="S392" s="93">
        <f>C392-O392</f>
        <v/>
      </c>
      <c r="T392" s="93">
        <f>E392-O392</f>
        <v/>
      </c>
      <c r="U392" s="93">
        <f>G392-O392</f>
        <v/>
      </c>
      <c r="V392" s="93">
        <f>G392-K392</f>
        <v/>
      </c>
      <c r="W392" s="93">
        <f>C392-K392</f>
        <v/>
      </c>
      <c r="X392" s="93">
        <f>I392-G392</f>
        <v/>
      </c>
      <c r="Y392" s="94">
        <f>G392-M392</f>
        <v/>
      </c>
    </row>
    <row r="393">
      <c r="A393" s="88" t="n">
        <v>44739</v>
      </c>
      <c r="B393" s="89" t="n">
        <v>21.87</v>
      </c>
      <c r="C393" s="90" t="n">
        <v>0.2176920559600753</v>
      </c>
      <c r="D393" s="89" t="n">
        <v>24</v>
      </c>
      <c r="E393" s="91" t="n">
        <v>0.2388938885707273</v>
      </c>
      <c r="F393" s="89" t="n">
        <v>20.24</v>
      </c>
      <c r="G393" s="90" t="n">
        <v>0.2019325124027935</v>
      </c>
      <c r="H393" s="92" t="n">
        <v>22.75</v>
      </c>
      <c r="I393" s="90" t="n">
        <v>0.2273684066413617</v>
      </c>
      <c r="J393" s="92" t="n">
        <v>20.6</v>
      </c>
      <c r="K393" s="90" t="n">
        <v>0.2049325261224921</v>
      </c>
      <c r="L393" s="89" t="n">
        <v>26.78</v>
      </c>
      <c r="M393" s="90" t="n">
        <v>0.2676450958178315</v>
      </c>
      <c r="N393" s="92" t="n">
        <v>26.24</v>
      </c>
      <c r="O393" s="90" t="n">
        <v>0.262248219352498</v>
      </c>
      <c r="P393" s="93">
        <f>C393-G393</f>
        <v/>
      </c>
      <c r="Q393" s="93">
        <f>E393-C393</f>
        <v/>
      </c>
      <c r="R393" s="93">
        <f>C393-M393</f>
        <v/>
      </c>
      <c r="S393" s="93">
        <f>C393-O393</f>
        <v/>
      </c>
      <c r="T393" s="93">
        <f>E393-O393</f>
        <v/>
      </c>
      <c r="U393" s="93">
        <f>G393-O393</f>
        <v/>
      </c>
      <c r="V393" s="93">
        <f>G393-K393</f>
        <v/>
      </c>
      <c r="W393" s="93">
        <f>C393-K393</f>
        <v/>
      </c>
      <c r="X393" s="93">
        <f>I393-G393</f>
        <v/>
      </c>
      <c r="Y393" s="94">
        <f>G393-M393</f>
        <v/>
      </c>
    </row>
    <row r="394">
      <c r="A394" s="88" t="n">
        <v>44736</v>
      </c>
      <c r="B394" s="89" t="n">
        <v>22.14</v>
      </c>
      <c r="C394" s="90" t="n">
        <v>0.2203976435935199</v>
      </c>
      <c r="D394" s="89" t="n">
        <v>24.99</v>
      </c>
      <c r="E394" s="91" t="n">
        <v>0.2487686139747995</v>
      </c>
      <c r="F394" s="89" t="n">
        <v>20.9</v>
      </c>
      <c r="G394" s="90" t="n">
        <v>0.2085258180028975</v>
      </c>
      <c r="H394" s="92" t="n">
        <v>23.65</v>
      </c>
      <c r="I394" s="90" t="n">
        <v>0.2363656277595613</v>
      </c>
      <c r="J394" s="92" t="n">
        <v>20.9</v>
      </c>
      <c r="K394" s="90" t="n">
        <v>0.2079361077228155</v>
      </c>
      <c r="L394" s="89" t="n">
        <v>27.3</v>
      </c>
      <c r="M394" s="90" t="n">
        <v>0.272844889549092</v>
      </c>
      <c r="N394" s="92" t="n">
        <v>27</v>
      </c>
      <c r="O394" s="90" t="n">
        <v>0.2698465940595415</v>
      </c>
      <c r="P394" s="93">
        <f>C394-G394</f>
        <v/>
      </c>
      <c r="Q394" s="93">
        <f>E394-C394</f>
        <v/>
      </c>
      <c r="R394" s="93">
        <f>C394-M394</f>
        <v/>
      </c>
      <c r="S394" s="93">
        <f>C394-O394</f>
        <v/>
      </c>
      <c r="T394" s="93">
        <f>E394-O394</f>
        <v/>
      </c>
      <c r="U394" s="93">
        <f>G394-O394</f>
        <v/>
      </c>
      <c r="V394" s="93">
        <f>G394-K394</f>
        <v/>
      </c>
      <c r="W394" s="93">
        <f>C394-K394</f>
        <v/>
      </c>
      <c r="X394" s="93">
        <f>I394-G394</f>
        <v/>
      </c>
      <c r="Y394" s="94">
        <f>G394-M394</f>
        <v/>
      </c>
    </row>
    <row r="395">
      <c r="A395" s="88" t="n">
        <v>44735</v>
      </c>
      <c r="B395" s="89" t="n">
        <v>23</v>
      </c>
      <c r="C395" s="90" t="n">
        <v>0.2289649529524069</v>
      </c>
      <c r="D395" s="89" t="n">
        <v>25.26</v>
      </c>
      <c r="E395" s="91" t="n">
        <v>0.2514632483294695</v>
      </c>
      <c r="F395" s="89" t="n">
        <v>21.79</v>
      </c>
      <c r="G395" s="90" t="n">
        <v>0.2174085970067655</v>
      </c>
      <c r="H395" s="92" t="n">
        <v>24.7</v>
      </c>
      <c r="I395" s="90" t="n">
        <v>0.2468605069053446</v>
      </c>
      <c r="J395" s="92" t="n">
        <v>22.15</v>
      </c>
      <c r="K395" s="90" t="n">
        <v>0.2203792357360683</v>
      </c>
      <c r="L395" s="89" t="n">
        <v>27.65</v>
      </c>
      <c r="M395" s="90" t="n">
        <v>0.2763438467988979</v>
      </c>
      <c r="N395" s="92" t="n">
        <v>27.9</v>
      </c>
      <c r="O395" s="90" t="n">
        <v>0.2788424349254702</v>
      </c>
      <c r="P395" s="93">
        <f>C395-G395</f>
        <v/>
      </c>
      <c r="Q395" s="93">
        <f>E395-C395</f>
        <v/>
      </c>
      <c r="R395" s="93">
        <f>C395-M395</f>
        <v/>
      </c>
      <c r="S395" s="93">
        <f>C395-O395</f>
        <v/>
      </c>
      <c r="T395" s="93">
        <f>E395-O395</f>
        <v/>
      </c>
      <c r="U395" s="93">
        <f>G395-O395</f>
        <v/>
      </c>
      <c r="V395" s="93">
        <f>G395-K395</f>
        <v/>
      </c>
      <c r="W395" s="93">
        <f>C395-K395</f>
        <v/>
      </c>
      <c r="X395" s="93">
        <f>I395-G395</f>
        <v/>
      </c>
      <c r="Y395" s="94">
        <f>G395-M395</f>
        <v/>
      </c>
    </row>
    <row r="396">
      <c r="A396" s="88" t="n">
        <v>44734</v>
      </c>
      <c r="B396" s="89" t="n">
        <v>23.6</v>
      </c>
      <c r="C396" s="90" t="n">
        <v>0.2349443595897883</v>
      </c>
      <c r="D396" s="89" t="n">
        <v>25.75</v>
      </c>
      <c r="E396" s="91" t="n">
        <v>0.256348188959197</v>
      </c>
      <c r="F396" s="89" t="n">
        <v>22.35</v>
      </c>
      <c r="G396" s="90" t="n">
        <v>0.2229990159094637</v>
      </c>
      <c r="H396" s="92" t="n">
        <v>25.45</v>
      </c>
      <c r="I396" s="90" t="n">
        <v>0.2543571418792185</v>
      </c>
      <c r="J396" s="92" t="n">
        <v>22.6</v>
      </c>
      <c r="K396" s="90" t="n">
        <v>0.2248633619103436</v>
      </c>
      <c r="L396" s="89" t="n">
        <v>28.12</v>
      </c>
      <c r="M396" s="90" t="n">
        <v>0.2810421544064293</v>
      </c>
      <c r="N396" s="92" t="n">
        <v>28.1</v>
      </c>
      <c r="O396" s="90" t="n">
        <v>0.2808422666721431</v>
      </c>
      <c r="P396" s="93">
        <f>C396-G396</f>
        <v/>
      </c>
      <c r="Q396" s="93">
        <f>E396-C396</f>
        <v/>
      </c>
      <c r="R396" s="93">
        <f>C396-M396</f>
        <v/>
      </c>
      <c r="S396" s="93">
        <f>C396-O396</f>
        <v/>
      </c>
      <c r="T396" s="93">
        <f>E396-O396</f>
        <v/>
      </c>
      <c r="U396" s="93">
        <f>G396-O396</f>
        <v/>
      </c>
      <c r="V396" s="93">
        <f>G396-K396</f>
        <v/>
      </c>
      <c r="W396" s="93">
        <f>C396-K396</f>
        <v/>
      </c>
      <c r="X396" s="93">
        <f>I396-G396</f>
        <v/>
      </c>
      <c r="Y396" s="94">
        <f>G396-M396</f>
        <v/>
      </c>
    </row>
    <row r="397">
      <c r="A397" s="88" t="n">
        <v>44733</v>
      </c>
      <c r="B397" s="89" t="n">
        <v>24</v>
      </c>
      <c r="C397" s="90" t="n">
        <v>0.2389329842075117</v>
      </c>
      <c r="D397" s="89" t="n">
        <v>26.35</v>
      </c>
      <c r="E397" s="91" t="n">
        <v>0.2623285055778306</v>
      </c>
      <c r="F397" s="89" t="n">
        <v>22.8</v>
      </c>
      <c r="G397" s="90" t="n">
        <v>0.2274920383253831</v>
      </c>
      <c r="H397" s="92" t="n">
        <v>25.7</v>
      </c>
      <c r="I397" s="90" t="n">
        <v>0.256856617709977</v>
      </c>
      <c r="J397" s="92" t="n">
        <v>22.78</v>
      </c>
      <c r="K397" s="90" t="n">
        <v>0.2266612600394593</v>
      </c>
      <c r="L397" s="89" t="n">
        <v>28.4</v>
      </c>
      <c r="M397" s="90" t="n">
        <v>0.2838415542009084</v>
      </c>
      <c r="N397" s="92" t="n">
        <v>28.89</v>
      </c>
      <c r="O397" s="90" t="n">
        <v>0.2887388204529663</v>
      </c>
      <c r="P397" s="93">
        <f>C397-G397</f>
        <v/>
      </c>
      <c r="Q397" s="93">
        <f>E397-C397</f>
        <v/>
      </c>
      <c r="R397" s="93">
        <f>C397-M397</f>
        <v/>
      </c>
      <c r="S397" s="93">
        <f>C397-O397</f>
        <v/>
      </c>
      <c r="T397" s="93">
        <f>E397-O397</f>
        <v/>
      </c>
      <c r="U397" s="93">
        <f>G397-O397</f>
        <v/>
      </c>
      <c r="V397" s="93">
        <f>G397-K397</f>
        <v/>
      </c>
      <c r="W397" s="93">
        <f>C397-K397</f>
        <v/>
      </c>
      <c r="X397" s="93">
        <f>I397-G397</f>
        <v/>
      </c>
      <c r="Y397" s="94">
        <f>G397-M397</f>
        <v/>
      </c>
    </row>
    <row r="398">
      <c r="A398" s="88" t="n">
        <v>44728</v>
      </c>
      <c r="B398" s="89" t="n">
        <v>23.8</v>
      </c>
      <c r="C398" s="90" t="n">
        <v>0.2369741939003765</v>
      </c>
      <c r="D398" s="89" t="n">
        <v>26.5</v>
      </c>
      <c r="E398" s="91" t="n">
        <v>0.2638578209394948</v>
      </c>
      <c r="F398" s="89" t="n">
        <v>22.66</v>
      </c>
      <c r="G398" s="90" t="n">
        <v>0.2261106099127915</v>
      </c>
      <c r="H398" s="92" t="n">
        <v>25.76</v>
      </c>
      <c r="I398" s="90" t="n">
        <v>0.2574606890791969</v>
      </c>
      <c r="J398" s="92" t="n">
        <v>22.8</v>
      </c>
      <c r="K398" s="90" t="n">
        <v>0.22689505217741</v>
      </c>
      <c r="L398" s="89" t="n">
        <v>28.68</v>
      </c>
      <c r="M398" s="90" t="n">
        <v>0.2866448976238885</v>
      </c>
      <c r="N398" s="92" t="n">
        <v>28.2</v>
      </c>
      <c r="O398" s="90" t="n">
        <v>0.2818474934795556</v>
      </c>
      <c r="P398" s="93">
        <f>C398-G398</f>
        <v/>
      </c>
      <c r="Q398" s="93">
        <f>E398-C398</f>
        <v/>
      </c>
      <c r="R398" s="93">
        <f>C398-M398</f>
        <v/>
      </c>
      <c r="S398" s="93">
        <f>C398-O398</f>
        <v/>
      </c>
      <c r="T398" s="93">
        <f>E398-O398</f>
        <v/>
      </c>
      <c r="U398" s="93">
        <f>G398-O398</f>
        <v/>
      </c>
      <c r="V398" s="93">
        <f>G398-K398</f>
        <v/>
      </c>
      <c r="W398" s="93">
        <f>C398-K398</f>
        <v/>
      </c>
      <c r="X398" s="93">
        <f>I398-G398</f>
        <v/>
      </c>
      <c r="Y398" s="94">
        <f>G398-M398</f>
        <v/>
      </c>
    </row>
    <row r="399">
      <c r="A399" s="88" t="n">
        <v>44727</v>
      </c>
      <c r="B399" s="89" t="n">
        <v>24.31</v>
      </c>
      <c r="C399" s="90" t="n">
        <v>0.2420588155059061</v>
      </c>
      <c r="D399" s="89" t="n">
        <v>27.2</v>
      </c>
      <c r="E399" s="91" t="n">
        <v>0.2708350383282865</v>
      </c>
      <c r="F399" s="89" t="n">
        <v>23.68</v>
      </c>
      <c r="G399" s="90" t="n">
        <v>0.2362918107631532</v>
      </c>
      <c r="H399" s="92" t="n">
        <v>27.25</v>
      </c>
      <c r="I399" s="90" t="n">
        <v>0.2723535633238293</v>
      </c>
      <c r="J399" s="92" t="n">
        <v>23.52</v>
      </c>
      <c r="K399" s="90" t="n">
        <v>0.2340673385296493</v>
      </c>
      <c r="L399" s="89" t="n">
        <v>29</v>
      </c>
      <c r="M399" s="90" t="n">
        <v>0.2898441591336165</v>
      </c>
      <c r="N399" s="92" t="n">
        <v>28.6</v>
      </c>
      <c r="O399" s="90" t="n">
        <v>0.285846308662808</v>
      </c>
      <c r="P399" s="93">
        <f>C399-G399</f>
        <v/>
      </c>
      <c r="Q399" s="93">
        <f>E399-C399</f>
        <v/>
      </c>
      <c r="R399" s="93">
        <f>C399-M399</f>
        <v/>
      </c>
      <c r="S399" s="93">
        <f>C399-O399</f>
        <v/>
      </c>
      <c r="T399" s="93">
        <f>E399-O399</f>
        <v/>
      </c>
      <c r="U399" s="93">
        <f>G399-O399</f>
        <v/>
      </c>
      <c r="V399" s="93">
        <f>G399-K399</f>
        <v/>
      </c>
      <c r="W399" s="93">
        <f>C399-K399</f>
        <v/>
      </c>
      <c r="X399" s="93">
        <f>I399-G399</f>
        <v/>
      </c>
      <c r="Y399" s="94">
        <f>G399-M399</f>
        <v/>
      </c>
    </row>
    <row r="400">
      <c r="A400" s="88" t="n">
        <v>44725</v>
      </c>
      <c r="B400" s="89" t="n">
        <v>24.45</v>
      </c>
      <c r="C400" s="90" t="n">
        <v>0.2434661028509071</v>
      </c>
      <c r="D400" s="89" t="n">
        <v>28</v>
      </c>
      <c r="E400" s="91" t="n">
        <v>0.2788159869049243</v>
      </c>
      <c r="F400" s="89" t="n">
        <v>23.07</v>
      </c>
      <c r="G400" s="90" t="n">
        <v>0.2302111954070125</v>
      </c>
      <c r="H400" s="92" t="n">
        <v>27.29</v>
      </c>
      <c r="I400" s="90" t="n">
        <v>0.2727552155533878</v>
      </c>
      <c r="J400" s="92" t="n">
        <v>23</v>
      </c>
      <c r="K400" s="90" t="n">
        <v>0.2289064230815113</v>
      </c>
      <c r="L400" s="89" t="n">
        <v>28</v>
      </c>
      <c r="M400" s="90" t="n">
        <v>0.2798514487172905</v>
      </c>
      <c r="N400" s="92" t="n">
        <v>28.5</v>
      </c>
      <c r="O400" s="90" t="n">
        <v>0.2848487960158135</v>
      </c>
      <c r="P400" s="93">
        <f>C400-G400</f>
        <v/>
      </c>
      <c r="Q400" s="93">
        <f>E400-C400</f>
        <v/>
      </c>
      <c r="R400" s="93">
        <f>C400-M400</f>
        <v/>
      </c>
      <c r="S400" s="93">
        <f>C400-O400</f>
        <v/>
      </c>
      <c r="T400" s="93">
        <f>E400-O400</f>
        <v/>
      </c>
      <c r="U400" s="93">
        <f>G400-O400</f>
        <v/>
      </c>
      <c r="V400" s="93">
        <f>G400-K400</f>
        <v/>
      </c>
      <c r="W400" s="93">
        <f>C400-K400</f>
        <v/>
      </c>
      <c r="X400" s="93">
        <f>I400-G400</f>
        <v/>
      </c>
      <c r="Y400" s="94">
        <f>G400-M400</f>
        <v/>
      </c>
    </row>
    <row r="401">
      <c r="A401" s="88" t="n">
        <v>44722</v>
      </c>
      <c r="B401" s="89" t="n">
        <v>24.8</v>
      </c>
      <c r="C401" s="90" t="n">
        <v>0.2469715158790789</v>
      </c>
      <c r="D401" s="89" t="n">
        <v>28.06</v>
      </c>
      <c r="E401" s="91" t="n">
        <v>0.2794363199825385</v>
      </c>
      <c r="F401" s="89" t="n">
        <v>23.72</v>
      </c>
      <c r="G401" s="90" t="n">
        <v>0.2367071303587051</v>
      </c>
      <c r="H401" s="92" t="n">
        <v>27.89</v>
      </c>
      <c r="I401" s="90" t="n">
        <v>0.2787548947123415</v>
      </c>
      <c r="J401" s="92" t="n">
        <v>23.75</v>
      </c>
      <c r="K401" s="90" t="n">
        <v>0.2363925172479616</v>
      </c>
      <c r="L401" s="89" t="n">
        <v>29.2</v>
      </c>
      <c r="M401" s="90" t="n">
        <v>0.2918480790821216</v>
      </c>
      <c r="N401" s="92" t="n">
        <v>29.4</v>
      </c>
      <c r="O401" s="90" t="n">
        <v>0.2938470385278896</v>
      </c>
      <c r="P401" s="93">
        <f>C401-G401</f>
        <v/>
      </c>
      <c r="Q401" s="93">
        <f>E401-C401</f>
        <v/>
      </c>
      <c r="R401" s="93">
        <f>C401-M401</f>
        <v/>
      </c>
      <c r="S401" s="93">
        <f>C401-O401</f>
        <v/>
      </c>
      <c r="T401" s="93">
        <f>E401-O401</f>
        <v/>
      </c>
      <c r="U401" s="93">
        <f>G401-O401</f>
        <v/>
      </c>
      <c r="V401" s="93">
        <f>G401-K401</f>
        <v/>
      </c>
      <c r="W401" s="93">
        <f>C401-K401</f>
        <v/>
      </c>
      <c r="X401" s="93">
        <f>I401-G401</f>
        <v/>
      </c>
      <c r="Y401" s="94">
        <f>G401-M401</f>
        <v/>
      </c>
    </row>
    <row r="402">
      <c r="A402" s="88" t="n">
        <v>44721</v>
      </c>
      <c r="B402" s="89" t="n">
        <v>25.39</v>
      </c>
      <c r="C402" s="90" t="n">
        <v>0.2528539466863114</v>
      </c>
      <c r="D402" s="89" t="n">
        <v>29</v>
      </c>
      <c r="E402" s="91" t="n">
        <v>0.28880521677444</v>
      </c>
      <c r="F402" s="89" t="n">
        <v>24</v>
      </c>
      <c r="G402" s="90" t="n">
        <v>0.2395045864034668</v>
      </c>
      <c r="H402" s="92" t="n">
        <v>28</v>
      </c>
      <c r="I402" s="90" t="n">
        <v>0.2798552803173701</v>
      </c>
      <c r="J402" s="92" t="n">
        <v>23.5</v>
      </c>
      <c r="K402" s="90" t="n">
        <v>0.233911350938611</v>
      </c>
      <c r="L402" s="89" t="n">
        <v>29.99</v>
      </c>
      <c r="M402" s="90" t="n">
        <v>0.2997449948827832</v>
      </c>
      <c r="N402" s="92" t="n">
        <v>30</v>
      </c>
      <c r="O402" s="90" t="n">
        <v>0.2998449431971823</v>
      </c>
      <c r="P402" s="93">
        <f>C402-G402</f>
        <v/>
      </c>
      <c r="Q402" s="93">
        <f>E402-C402</f>
        <v/>
      </c>
      <c r="R402" s="93">
        <f>C402-M402</f>
        <v/>
      </c>
      <c r="S402" s="93">
        <f>C402-O402</f>
        <v/>
      </c>
      <c r="T402" s="93">
        <f>E402-O402</f>
        <v/>
      </c>
      <c r="U402" s="93">
        <f>G402-O402</f>
        <v/>
      </c>
      <c r="V402" s="93">
        <f>G402-K402</f>
        <v/>
      </c>
      <c r="W402" s="93">
        <f>C402-K402</f>
        <v/>
      </c>
      <c r="X402" s="93">
        <f>I402-G402</f>
        <v/>
      </c>
      <c r="Y402" s="94">
        <f>G402-M402</f>
        <v/>
      </c>
    </row>
    <row r="403">
      <c r="A403" s="88" t="n">
        <v>44720</v>
      </c>
      <c r="B403" s="89" t="n">
        <v>26.11</v>
      </c>
      <c r="C403" s="90" t="n">
        <v>0.260031377899045</v>
      </c>
      <c r="D403" s="89" t="n">
        <v>29.9</v>
      </c>
      <c r="E403" s="91" t="n">
        <v>0.2977762619372442</v>
      </c>
      <c r="F403" s="89" t="n">
        <v>24.81</v>
      </c>
      <c r="G403" s="90" t="n">
        <v>0.2475912508544087</v>
      </c>
      <c r="H403" s="92" t="n">
        <v>28.86</v>
      </c>
      <c r="I403" s="90" t="n">
        <v>0.2884518226938216</v>
      </c>
      <c r="J403" s="92" t="n">
        <v>25.05</v>
      </c>
      <c r="K403" s="90" t="n">
        <v>0.2493471961820351</v>
      </c>
      <c r="L403" s="89" t="n">
        <v>30.8</v>
      </c>
      <c r="M403" s="90" t="n">
        <v>0.3078418620571624</v>
      </c>
      <c r="N403" s="92" t="n">
        <v>31.6</v>
      </c>
      <c r="O403" s="90" t="n">
        <v>0.3158377545781277</v>
      </c>
      <c r="P403" s="93">
        <f>C403-G403</f>
        <v/>
      </c>
      <c r="Q403" s="93">
        <f>E403-C403</f>
        <v/>
      </c>
      <c r="R403" s="93">
        <f>C403-M403</f>
        <v/>
      </c>
      <c r="S403" s="93">
        <f>C403-O403</f>
        <v/>
      </c>
      <c r="T403" s="93">
        <f>E403-O403</f>
        <v/>
      </c>
      <c r="U403" s="93">
        <f>G403-O403</f>
        <v/>
      </c>
      <c r="V403" s="93">
        <f>G403-K403</f>
        <v/>
      </c>
      <c r="W403" s="93">
        <f>C403-K403</f>
        <v/>
      </c>
      <c r="X403" s="93">
        <f>I403-G403</f>
        <v/>
      </c>
      <c r="Y403" s="94">
        <f>G403-M403</f>
        <v/>
      </c>
    </row>
    <row r="404">
      <c r="A404" s="88" t="n">
        <v>44719</v>
      </c>
      <c r="B404" s="89" t="n">
        <v>26.75</v>
      </c>
      <c r="C404" s="90" t="n">
        <v>0.2664124532729406</v>
      </c>
      <c r="D404" s="89" t="n">
        <v>30.5</v>
      </c>
      <c r="E404" s="91" t="n">
        <v>0.3037599934513902</v>
      </c>
      <c r="F404" s="89" t="n">
        <v>25.77</v>
      </c>
      <c r="G404" s="90" t="n">
        <v>0.2571750809990567</v>
      </c>
      <c r="H404" s="92" t="n">
        <v>29.71</v>
      </c>
      <c r="I404" s="90" t="n">
        <v>0.2969484749220432</v>
      </c>
      <c r="J404" s="92" t="n">
        <v>25.8</v>
      </c>
      <c r="K404" s="90" t="n">
        <v>0.2568205603717176</v>
      </c>
      <c r="L404" s="89" t="n">
        <v>32</v>
      </c>
      <c r="M404" s="90" t="n">
        <v>0.3198367956077207</v>
      </c>
      <c r="N404" s="92" t="n">
        <v>31.86</v>
      </c>
      <c r="O404" s="90" t="n">
        <v>0.318437509626937</v>
      </c>
      <c r="P404" s="93">
        <f>C404-G404</f>
        <v/>
      </c>
      <c r="Q404" s="93">
        <f>E404-C404</f>
        <v/>
      </c>
      <c r="R404" s="93">
        <f>C404-M404</f>
        <v/>
      </c>
      <c r="S404" s="93">
        <f>C404-O404</f>
        <v/>
      </c>
      <c r="T404" s="93">
        <f>E404-O404</f>
        <v/>
      </c>
      <c r="U404" s="93">
        <f>G404-O404</f>
        <v/>
      </c>
      <c r="V404" s="93">
        <f>G404-K404</f>
        <v/>
      </c>
      <c r="W404" s="93">
        <f>C404-K404</f>
        <v/>
      </c>
      <c r="X404" s="93">
        <f>I404-G404</f>
        <v/>
      </c>
      <c r="Y404" s="94">
        <f>G404-M404</f>
        <v/>
      </c>
    </row>
    <row r="405">
      <c r="A405" s="88" t="n">
        <v>44718</v>
      </c>
      <c r="B405" s="89" t="n">
        <v>26.9</v>
      </c>
      <c r="C405" s="90" t="n">
        <v>0.267913665138616</v>
      </c>
      <c r="D405" s="89" t="n">
        <v>30.5</v>
      </c>
      <c r="E405" s="91" t="n">
        <v>0.3037682820344903</v>
      </c>
      <c r="F405" s="89" t="n">
        <v>26</v>
      </c>
      <c r="G405" s="90" t="n">
        <v>0.259473943238366</v>
      </c>
      <c r="H405" s="92" t="n">
        <v>29.88</v>
      </c>
      <c r="I405" s="90" t="n">
        <v>0.2986486301463642</v>
      </c>
      <c r="J405" s="92" t="n">
        <v>25.9</v>
      </c>
      <c r="K405" s="90" t="n">
        <v>0.2578238991995418</v>
      </c>
      <c r="L405" s="89" t="n">
        <v>32</v>
      </c>
      <c r="M405" s="90" t="n">
        <v>0.3198378903843258</v>
      </c>
      <c r="N405" s="92" t="n">
        <v>32.79</v>
      </c>
      <c r="O405" s="90" t="n">
        <v>0.3277338883031888</v>
      </c>
      <c r="P405" s="93">
        <f>C405-G405</f>
        <v/>
      </c>
      <c r="Q405" s="93">
        <f>E405-C405</f>
        <v/>
      </c>
      <c r="R405" s="93">
        <f>C405-M405</f>
        <v/>
      </c>
      <c r="S405" s="93">
        <f>C405-O405</f>
        <v/>
      </c>
      <c r="T405" s="93">
        <f>E405-O405</f>
        <v/>
      </c>
      <c r="U405" s="93">
        <f>G405-O405</f>
        <v/>
      </c>
      <c r="V405" s="93">
        <f>G405-K405</f>
        <v/>
      </c>
      <c r="W405" s="93">
        <f>C405-K405</f>
        <v/>
      </c>
      <c r="X405" s="93">
        <f>I405-G405</f>
        <v/>
      </c>
      <c r="Y405" s="94">
        <f>G405-M405</f>
        <v/>
      </c>
    </row>
    <row r="406">
      <c r="A406" s="88" t="n">
        <v>44715</v>
      </c>
      <c r="B406" s="89" t="n">
        <v>27.18</v>
      </c>
      <c r="C406" s="90" t="n">
        <v>0.2707245190339746</v>
      </c>
      <c r="D406" s="89" t="n">
        <v>30.6</v>
      </c>
      <c r="E406" s="91" t="n">
        <v>0.3047891936144085</v>
      </c>
      <c r="F406" s="89" t="n">
        <v>25.97</v>
      </c>
      <c r="G406" s="90" t="n">
        <v>0.2591851801216761</v>
      </c>
      <c r="H406" s="92" t="n">
        <v>29.82</v>
      </c>
      <c r="I406" s="90" t="n">
        <v>0.298051994728645</v>
      </c>
      <c r="J406" s="92" t="n">
        <v>26.35</v>
      </c>
      <c r="K406" s="90" t="n">
        <v>0.2623276111897172</v>
      </c>
      <c r="L406" s="89" t="n">
        <v>32.25</v>
      </c>
      <c r="M406" s="90" t="n">
        <v>0.3223399339369149</v>
      </c>
      <c r="N406" s="92" t="n">
        <v>32.5</v>
      </c>
      <c r="O406" s="90" t="n">
        <v>0.3248386931147204</v>
      </c>
      <c r="P406" s="93">
        <f>C406-G406</f>
        <v/>
      </c>
      <c r="Q406" s="93">
        <f>E406-C406</f>
        <v/>
      </c>
      <c r="R406" s="93">
        <f>C406-M406</f>
        <v/>
      </c>
      <c r="S406" s="93">
        <f>C406-O406</f>
        <v/>
      </c>
      <c r="T406" s="93">
        <f>E406-O406</f>
        <v/>
      </c>
      <c r="U406" s="93">
        <f>G406-O406</f>
        <v/>
      </c>
      <c r="V406" s="93">
        <f>G406-K406</f>
        <v/>
      </c>
      <c r="W406" s="93">
        <f>C406-K406</f>
        <v/>
      </c>
      <c r="X406" s="93">
        <f>I406-G406</f>
        <v/>
      </c>
      <c r="Y406" s="94">
        <f>G406-M406</f>
        <v/>
      </c>
    </row>
    <row r="407">
      <c r="A407" s="88" t="n">
        <v>44714</v>
      </c>
      <c r="B407" s="89" t="n">
        <v>27.35</v>
      </c>
      <c r="C407" s="90" t="n">
        <v>0.2724252265036568</v>
      </c>
      <c r="D407" s="89" t="n">
        <v>30.55</v>
      </c>
      <c r="E407" s="91" t="n">
        <v>0.3042994760397337</v>
      </c>
      <c r="F407" s="89" t="n">
        <v>26.2</v>
      </c>
      <c r="G407" s="90" t="n">
        <v>0.2614841955594444</v>
      </c>
      <c r="H407" s="92" t="n">
        <v>30.26</v>
      </c>
      <c r="I407" s="90" t="n">
        <v>0.3024508461580591</v>
      </c>
      <c r="J407" s="92" t="n">
        <v>26.25</v>
      </c>
      <c r="K407" s="90" t="n">
        <v>0.2613400796465005</v>
      </c>
      <c r="L407" s="89" t="n">
        <v>32.4</v>
      </c>
      <c r="M407" s="90" t="n">
        <v>0.3238402979352648</v>
      </c>
      <c r="N407" s="92" t="n">
        <v>32.6</v>
      </c>
      <c r="O407" s="90" t="n">
        <v>0.3258393121200504</v>
      </c>
      <c r="P407" s="93">
        <f>C407-G407</f>
        <v/>
      </c>
      <c r="Q407" s="93">
        <f>E407-C407</f>
        <v/>
      </c>
      <c r="R407" s="93">
        <f>C407-M407</f>
        <v/>
      </c>
      <c r="S407" s="93">
        <f>C407-O407</f>
        <v/>
      </c>
      <c r="T407" s="93">
        <f>E407-O407</f>
        <v/>
      </c>
      <c r="U407" s="93">
        <f>G407-O407</f>
        <v/>
      </c>
      <c r="V407" s="93">
        <f>G407-K407</f>
        <v/>
      </c>
      <c r="W407" s="93">
        <f>C407-K407</f>
        <v/>
      </c>
      <c r="X407" s="93">
        <f>I407-G407</f>
        <v/>
      </c>
      <c r="Y407" s="94">
        <f>G407-M407</f>
        <v/>
      </c>
    </row>
    <row r="408">
      <c r="A408" s="88" t="n">
        <v>44713</v>
      </c>
      <c r="B408" s="89" t="n">
        <v>27.35</v>
      </c>
      <c r="C408" s="90" t="n">
        <v>0.2724326610812434</v>
      </c>
      <c r="D408" s="89" t="n">
        <v>30.01</v>
      </c>
      <c r="E408" s="91" t="n">
        <v>0.2989288540785416</v>
      </c>
      <c r="F408" s="89" t="n">
        <v>26.2</v>
      </c>
      <c r="G408" s="90" t="n">
        <v>0.2614877705316982</v>
      </c>
      <c r="H408" s="92" t="n">
        <v>29.92</v>
      </c>
      <c r="I408" s="90" t="n">
        <v>0.2990535456950877</v>
      </c>
      <c r="J408" s="92" t="n">
        <v>26.4</v>
      </c>
      <c r="K408" s="90" t="n">
        <v>0.2628415170123463</v>
      </c>
      <c r="L408" s="89" t="n">
        <v>32</v>
      </c>
      <c r="M408" s="90" t="n">
        <v>0.3198433643797729</v>
      </c>
      <c r="N408" s="92" t="n">
        <v>32.4</v>
      </c>
      <c r="O408" s="90" t="n">
        <v>0.3238414064345201</v>
      </c>
      <c r="P408" s="93">
        <f>C408-G408</f>
        <v/>
      </c>
      <c r="Q408" s="93">
        <f>E408-C408</f>
        <v/>
      </c>
      <c r="R408" s="93">
        <f>C408-M408</f>
        <v/>
      </c>
      <c r="S408" s="93">
        <f>C408-O408</f>
        <v/>
      </c>
      <c r="T408" s="93">
        <f>E408-O408</f>
        <v/>
      </c>
      <c r="U408" s="93">
        <f>G408-O408</f>
        <v/>
      </c>
      <c r="V408" s="93">
        <f>G408-K408</f>
        <v/>
      </c>
      <c r="W408" s="93">
        <f>C408-K408</f>
        <v/>
      </c>
      <c r="X408" s="93">
        <f>I408-G408</f>
        <v/>
      </c>
      <c r="Y408" s="94">
        <f>G408-M408</f>
        <v/>
      </c>
    </row>
    <row r="409">
      <c r="A409" s="88" t="n">
        <v>44712</v>
      </c>
      <c r="B409" s="89" t="n">
        <v>27.4</v>
      </c>
      <c r="C409" s="90" t="n">
        <v>0.2729381583974674</v>
      </c>
      <c r="D409" s="89" t="n">
        <v>30.5</v>
      </c>
      <c r="E409" s="91" t="n">
        <v>0.3038180230336772</v>
      </c>
      <c r="F409" s="89" t="n">
        <v>26.21</v>
      </c>
      <c r="G409" s="90" t="n">
        <v>0.2615911514588062</v>
      </c>
      <c r="H409" s="92" t="n">
        <v>29.95</v>
      </c>
      <c r="I409" s="90" t="n">
        <v>0.299354423533761</v>
      </c>
      <c r="J409" s="92" t="n">
        <v>26.55</v>
      </c>
      <c r="K409" s="90" t="n">
        <v>0.2643430465292317</v>
      </c>
      <c r="L409" s="89" t="n">
        <v>32.12</v>
      </c>
      <c r="M409" s="90" t="n">
        <v>0.3210438759233523</v>
      </c>
      <c r="N409" s="92" t="n">
        <v>32.6</v>
      </c>
      <c r="O409" s="90" t="n">
        <v>0.3258415428113726</v>
      </c>
      <c r="P409" s="93">
        <f>C409-G409</f>
        <v/>
      </c>
      <c r="Q409" s="93">
        <f>E409-C409</f>
        <v/>
      </c>
      <c r="R409" s="93">
        <f>C409-M409</f>
        <v/>
      </c>
      <c r="S409" s="93">
        <f>C409-O409</f>
        <v/>
      </c>
      <c r="T409" s="93">
        <f>E409-O409</f>
        <v/>
      </c>
      <c r="U409" s="93">
        <f>G409-O409</f>
        <v/>
      </c>
      <c r="V409" s="93">
        <f>G409-K409</f>
        <v/>
      </c>
      <c r="W409" s="93">
        <f>C409-K409</f>
        <v/>
      </c>
      <c r="X409" s="93">
        <f>I409-G409</f>
        <v/>
      </c>
      <c r="Y409" s="94">
        <f>G409-M409</f>
        <v/>
      </c>
    </row>
    <row r="410">
      <c r="A410" s="88" t="n">
        <v>44711</v>
      </c>
      <c r="B410" s="89" t="n">
        <v>27.26</v>
      </c>
      <c r="C410" s="90" t="n">
        <v>0.2715509947872602</v>
      </c>
      <c r="D410" s="89" t="n">
        <v>30.51</v>
      </c>
      <c r="E410" s="91" t="n">
        <v>0.3039259299691602</v>
      </c>
      <c r="F410" s="89" t="n">
        <v>26.42</v>
      </c>
      <c r="G410" s="90" t="n">
        <v>0.2636906796461629</v>
      </c>
      <c r="H410" s="92" t="n">
        <v>30.42</v>
      </c>
      <c r="I410" s="90" t="n">
        <v>0.304053179800165</v>
      </c>
      <c r="J410" s="92" t="n">
        <v>26.69</v>
      </c>
      <c r="K410" s="90" t="n">
        <v>0.2657451009141778</v>
      </c>
      <c r="L410" s="89" t="n">
        <v>32.3</v>
      </c>
      <c r="M410" s="90" t="n">
        <v>0.322844106099452</v>
      </c>
      <c r="N410" s="92" t="n">
        <v>33.05</v>
      </c>
      <c r="O410" s="90" t="n">
        <v>0.3303404862720398</v>
      </c>
      <c r="P410" s="93">
        <f>C410-G410</f>
        <v/>
      </c>
      <c r="Q410" s="93">
        <f>E410-C410</f>
        <v/>
      </c>
      <c r="R410" s="93">
        <f>C410-M410</f>
        <v/>
      </c>
      <c r="S410" s="93">
        <f>C410-O410</f>
        <v/>
      </c>
      <c r="T410" s="93">
        <f>E410-O410</f>
        <v/>
      </c>
      <c r="U410" s="93">
        <f>G410-O410</f>
        <v/>
      </c>
      <c r="V410" s="93">
        <f>G410-K410</f>
        <v/>
      </c>
      <c r="W410" s="93">
        <f>C410-K410</f>
        <v/>
      </c>
      <c r="X410" s="93">
        <f>I410-G410</f>
        <v/>
      </c>
      <c r="Y410" s="94">
        <f>G410-M410</f>
        <v/>
      </c>
    </row>
    <row r="411">
      <c r="A411" s="88" t="n">
        <v>44708</v>
      </c>
      <c r="B411" s="89" t="n">
        <v>27.55</v>
      </c>
      <c r="C411" s="90" t="n">
        <v>0.2744623068944811</v>
      </c>
      <c r="D411" s="89" t="n">
        <v>30.92</v>
      </c>
      <c r="E411" s="91" t="n">
        <v>0.3080353731098859</v>
      </c>
      <c r="F411" s="89" t="n">
        <v>26.07</v>
      </c>
      <c r="G411" s="90" t="n">
        <v>0.2602080997566245</v>
      </c>
      <c r="H411" s="92" t="n">
        <v>29.95</v>
      </c>
      <c r="I411" s="90" t="n">
        <v>0.2993585223421807</v>
      </c>
      <c r="J411" s="92" t="n">
        <v>26.2</v>
      </c>
      <c r="K411" s="90" t="n">
        <v>0.2608903226686491</v>
      </c>
      <c r="L411" s="89" t="n">
        <v>31.9</v>
      </c>
      <c r="M411" s="90" t="n">
        <v>0.318849310942089</v>
      </c>
      <c r="N411" s="92" t="n">
        <v>32.48</v>
      </c>
      <c r="O411" s="90" t="n">
        <v>0.3246465711410361</v>
      </c>
      <c r="P411" s="93">
        <f>C411-G411</f>
        <v/>
      </c>
      <c r="Q411" s="93">
        <f>E411-C411</f>
        <v/>
      </c>
      <c r="R411" s="93">
        <f>C411-M411</f>
        <v/>
      </c>
      <c r="S411" s="93">
        <f>C411-O411</f>
        <v/>
      </c>
      <c r="T411" s="93">
        <f>E411-O411</f>
        <v/>
      </c>
      <c r="U411" s="93">
        <f>G411-O411</f>
        <v/>
      </c>
      <c r="V411" s="93">
        <f>G411-K411</f>
        <v/>
      </c>
      <c r="W411" s="93">
        <f>C411-K411</f>
        <v/>
      </c>
      <c r="X411" s="93">
        <f>I411-G411</f>
        <v/>
      </c>
      <c r="Y411" s="94">
        <f>G411-M411</f>
        <v/>
      </c>
    </row>
    <row r="412">
      <c r="A412" s="88" t="n">
        <v>44707</v>
      </c>
      <c r="B412" s="89" t="n">
        <v>27.5</v>
      </c>
      <c r="C412" s="90" t="n">
        <v>0.2739716679859159</v>
      </c>
      <c r="D412" s="89" t="n">
        <v>30.5</v>
      </c>
      <c r="E412" s="91" t="n">
        <v>0.3038594863116522</v>
      </c>
      <c r="F412" s="89" t="n">
        <v>26.24</v>
      </c>
      <c r="G412" s="90" t="n">
        <v>0.2619084731394506</v>
      </c>
      <c r="H412" s="92" t="n">
        <v>30.06</v>
      </c>
      <c r="I412" s="90" t="n">
        <v>0.3004590312079606</v>
      </c>
      <c r="J412" s="92" t="n">
        <v>26.15</v>
      </c>
      <c r="K412" s="90" t="n">
        <v>0.2604004324206348</v>
      </c>
      <c r="L412" s="89" t="n">
        <v>31.7</v>
      </c>
      <c r="M412" s="90" t="n">
        <v>0.3168513402958201</v>
      </c>
      <c r="N412" s="92" t="n">
        <v>31.8</v>
      </c>
      <c r="O412" s="90" t="n">
        <v>0.3178508713377627</v>
      </c>
      <c r="P412" s="93">
        <f>C412-G412</f>
        <v/>
      </c>
      <c r="Q412" s="93">
        <f>E412-C412</f>
        <v/>
      </c>
      <c r="R412" s="93">
        <f>C412-M412</f>
        <v/>
      </c>
      <c r="S412" s="93">
        <f>C412-O412</f>
        <v/>
      </c>
      <c r="T412" s="93">
        <f>E412-O412</f>
        <v/>
      </c>
      <c r="U412" s="93">
        <f>G412-O412</f>
        <v/>
      </c>
      <c r="V412" s="93">
        <f>G412-K412</f>
        <v/>
      </c>
      <c r="W412" s="93">
        <f>C412-K412</f>
        <v/>
      </c>
      <c r="X412" s="93">
        <f>I412-G412</f>
        <v/>
      </c>
      <c r="Y412" s="94">
        <f>G412-M412</f>
        <v/>
      </c>
    </row>
    <row r="413">
      <c r="A413" s="88" t="n">
        <v>44705</v>
      </c>
      <c r="B413" s="89" t="n">
        <v>27.1</v>
      </c>
      <c r="C413" s="90" t="n">
        <v>0.2700013648150676</v>
      </c>
      <c r="D413" s="89" t="n">
        <v>30</v>
      </c>
      <c r="E413" s="91" t="n">
        <v>0.2988944997952777</v>
      </c>
      <c r="F413" s="89" t="n">
        <v>25.89</v>
      </c>
      <c r="G413" s="90" t="n">
        <v>0.2584220961236071</v>
      </c>
      <c r="H413" s="92" t="n">
        <v>29.69</v>
      </c>
      <c r="I413" s="90" t="n">
        <v>0.2967627980214627</v>
      </c>
      <c r="J413" s="92" t="n">
        <v>26</v>
      </c>
      <c r="K413" s="90" t="n">
        <v>0.258922633562403</v>
      </c>
      <c r="L413" s="89" t="n">
        <v>31.21</v>
      </c>
      <c r="M413" s="90" t="n">
        <v>0.311955773871669</v>
      </c>
      <c r="N413" s="92" t="n">
        <v>31.99</v>
      </c>
      <c r="O413" s="90" t="n">
        <v>0.3197521693737484</v>
      </c>
      <c r="P413" s="93">
        <f>C413-G413</f>
        <v/>
      </c>
      <c r="Q413" s="93">
        <f>E413-C413</f>
        <v/>
      </c>
      <c r="R413" s="93">
        <f>C413-M413</f>
        <v/>
      </c>
      <c r="S413" s="93">
        <f>C413-O413</f>
        <v/>
      </c>
      <c r="T413" s="93">
        <f>E413-O413</f>
        <v/>
      </c>
      <c r="U413" s="93">
        <f>G413-O413</f>
        <v/>
      </c>
      <c r="V413" s="93">
        <f>G413-K413</f>
        <v/>
      </c>
      <c r="W413" s="93">
        <f>C413-K413</f>
        <v/>
      </c>
      <c r="X413" s="93">
        <f>I413-G413</f>
        <v/>
      </c>
      <c r="Y413" s="94">
        <f>G413-M413</f>
        <v/>
      </c>
    </row>
    <row r="414">
      <c r="A414" s="88" t="n">
        <v>44704</v>
      </c>
      <c r="B414" s="89" t="n">
        <v>27.49</v>
      </c>
      <c r="C414" s="90" t="n">
        <v>0.2738944696183873</v>
      </c>
      <c r="D414" s="89" t="n">
        <v>30.42</v>
      </c>
      <c r="E414" s="91" t="n">
        <v>0.3030872959545777</v>
      </c>
      <c r="F414" s="89" t="n">
        <v>26.16</v>
      </c>
      <c r="G414" s="90" t="n">
        <v>0.2611206825826565</v>
      </c>
      <c r="H414" s="92" t="n">
        <v>29.7</v>
      </c>
      <c r="I414" s="90" t="n">
        <v>0.2968637679968781</v>
      </c>
      <c r="J414" s="92" t="n">
        <v>26.2</v>
      </c>
      <c r="K414" s="90" t="n">
        <v>0.2609223549313452</v>
      </c>
      <c r="L414" s="89" t="n">
        <v>31.54</v>
      </c>
      <c r="M414" s="90" t="n">
        <v>0.3152553280343952</v>
      </c>
      <c r="N414" s="92" t="n">
        <v>31.85</v>
      </c>
      <c r="O414" s="90" t="n">
        <v>0.3183539060841942</v>
      </c>
      <c r="P414" s="93">
        <f>C414-G414</f>
        <v/>
      </c>
      <c r="Q414" s="93">
        <f>E414-C414</f>
        <v/>
      </c>
      <c r="R414" s="93">
        <f>C414-M414</f>
        <v/>
      </c>
      <c r="S414" s="93">
        <f>C414-O414</f>
        <v/>
      </c>
      <c r="T414" s="93">
        <f>E414-O414</f>
        <v/>
      </c>
      <c r="U414" s="93">
        <f>G414-O414</f>
        <v/>
      </c>
      <c r="V414" s="93">
        <f>G414-K414</f>
        <v/>
      </c>
      <c r="W414" s="93">
        <f>C414-K414</f>
        <v/>
      </c>
      <c r="X414" s="93">
        <f>I414-G414</f>
        <v/>
      </c>
      <c r="Y414" s="94">
        <f>G414-M414</f>
        <v/>
      </c>
    </row>
    <row r="415">
      <c r="A415" s="88" t="n">
        <v>44701</v>
      </c>
      <c r="B415" s="89" t="n">
        <v>26.91</v>
      </c>
      <c r="C415" s="90" t="n">
        <v>0.2681376429799897</v>
      </c>
      <c r="D415" s="89" t="n">
        <v>29.5</v>
      </c>
      <c r="E415" s="91" t="n">
        <v>0.2939450192459938</v>
      </c>
      <c r="F415" s="89" t="n">
        <v>25.93</v>
      </c>
      <c r="G415" s="90" t="n">
        <v>0.2588355143509593</v>
      </c>
      <c r="H415" s="92" t="n">
        <v>29.3</v>
      </c>
      <c r="I415" s="90" t="n">
        <v>0.2928686103152353</v>
      </c>
      <c r="J415" s="92" t="n">
        <v>26.09</v>
      </c>
      <c r="K415" s="90" t="n">
        <v>0.2598508078682307</v>
      </c>
      <c r="L415" s="89" t="n">
        <v>31.5</v>
      </c>
      <c r="M415" s="90" t="n">
        <v>0.314858744878154</v>
      </c>
      <c r="N415" s="92" t="n">
        <v>31.99</v>
      </c>
      <c r="O415" s="90" t="n">
        <v>0.3197565475762586</v>
      </c>
      <c r="P415" s="93">
        <f>C415-G415</f>
        <v/>
      </c>
      <c r="Q415" s="93">
        <f>E415-C415</f>
        <v/>
      </c>
      <c r="R415" s="93">
        <f>C415-M415</f>
        <v/>
      </c>
      <c r="S415" s="93">
        <f>C415-O415</f>
        <v/>
      </c>
      <c r="T415" s="93">
        <f>E415-O415</f>
        <v/>
      </c>
      <c r="U415" s="93">
        <f>G415-O415</f>
        <v/>
      </c>
      <c r="V415" s="93">
        <f>G415-K415</f>
        <v/>
      </c>
      <c r="W415" s="93">
        <f>C415-K415</f>
        <v/>
      </c>
      <c r="X415" s="93">
        <f>I415-G415</f>
        <v/>
      </c>
      <c r="Y415" s="94">
        <f>G415-M415</f>
        <v/>
      </c>
    </row>
    <row r="416">
      <c r="A416" s="88" t="n">
        <v>44700</v>
      </c>
      <c r="B416" s="89" t="n">
        <v>27.4</v>
      </c>
      <c r="C416" s="90" t="n">
        <v>0.273027573027573</v>
      </c>
      <c r="D416" s="89" t="n">
        <v>31</v>
      </c>
      <c r="E416" s="91" t="n">
        <v>0.3088998088998089</v>
      </c>
      <c r="F416" s="89" t="n">
        <v>26.35</v>
      </c>
      <c r="G416" s="90" t="n">
        <v>0.2630315875837549</v>
      </c>
      <c r="H416" s="92" t="n">
        <v>29.96</v>
      </c>
      <c r="I416" s="90" t="n">
        <v>0.2994666757950228</v>
      </c>
      <c r="J416" s="92" t="n">
        <v>26.32</v>
      </c>
      <c r="K416" s="90" t="n">
        <v>0.2621496060306307</v>
      </c>
      <c r="L416" s="89" t="n">
        <v>31.8</v>
      </c>
      <c r="M416" s="90" t="n">
        <v>0.3178584876596036</v>
      </c>
      <c r="N416" s="92" t="n">
        <v>31.7</v>
      </c>
      <c r="O416" s="90" t="n">
        <v>0.3168589326669634</v>
      </c>
      <c r="P416" s="93">
        <f>C416-G416</f>
        <v/>
      </c>
      <c r="Q416" s="93">
        <f>E416-C416</f>
        <v/>
      </c>
      <c r="R416" s="93">
        <f>C416-M416</f>
        <v/>
      </c>
      <c r="S416" s="93">
        <f>C416-O416</f>
        <v/>
      </c>
      <c r="T416" s="93">
        <f>E416-O416</f>
        <v/>
      </c>
      <c r="U416" s="93">
        <f>G416-O416</f>
        <v/>
      </c>
      <c r="V416" s="93">
        <f>G416-K416</f>
        <v/>
      </c>
      <c r="W416" s="93">
        <f>C416-K416</f>
        <v/>
      </c>
      <c r="X416" s="93">
        <f>I416-G416</f>
        <v/>
      </c>
      <c r="Y416" s="94">
        <f>G416-M416</f>
        <v/>
      </c>
    </row>
    <row r="417">
      <c r="A417" s="88" t="n">
        <v>44698</v>
      </c>
      <c r="B417" s="89" t="n">
        <v>27.79</v>
      </c>
      <c r="C417" s="90" t="n">
        <v>0.2769288522441848</v>
      </c>
      <c r="D417" s="89" t="n">
        <v>31.6</v>
      </c>
      <c r="E417" s="91" t="n">
        <v>0.314895708201376</v>
      </c>
      <c r="F417" s="89" t="n">
        <v>26.31</v>
      </c>
      <c r="G417" s="90" t="n">
        <v>0.262639481457171</v>
      </c>
      <c r="H417" s="92" t="n">
        <v>29.7</v>
      </c>
      <c r="I417" s="90" t="n">
        <v>0.2968698652645416</v>
      </c>
      <c r="J417" s="92" t="n">
        <v>26.49</v>
      </c>
      <c r="K417" s="90" t="n">
        <v>0.2638590219408362</v>
      </c>
      <c r="L417" s="89" t="n">
        <v>31.6</v>
      </c>
      <c r="M417" s="90" t="n">
        <v>0.315861540146785</v>
      </c>
      <c r="N417" s="92" t="n">
        <v>31.8</v>
      </c>
      <c r="O417" s="90" t="n">
        <v>0.3178606638186001</v>
      </c>
      <c r="P417" s="93">
        <f>C417-G417</f>
        <v/>
      </c>
      <c r="Q417" s="93">
        <f>E417-C417</f>
        <v/>
      </c>
      <c r="R417" s="93">
        <f>C417-M417</f>
        <v/>
      </c>
      <c r="S417" s="93">
        <f>C417-O417</f>
        <v/>
      </c>
      <c r="T417" s="93">
        <f>E417-O417</f>
        <v/>
      </c>
      <c r="U417" s="93">
        <f>G417-O417</f>
        <v/>
      </c>
      <c r="V417" s="93">
        <f>G417-K417</f>
        <v/>
      </c>
      <c r="W417" s="93">
        <f>C417-K417</f>
        <v/>
      </c>
      <c r="X417" s="93">
        <f>I417-G417</f>
        <v/>
      </c>
      <c r="Y417" s="94">
        <f>G417-M417</f>
        <v/>
      </c>
    </row>
    <row r="418">
      <c r="A418" s="88" t="n">
        <v>44697</v>
      </c>
      <c r="B418" s="89" t="n">
        <v>27.7</v>
      </c>
      <c r="C418" s="90" t="n">
        <v>0.2760395336773419</v>
      </c>
      <c r="D418" s="89" t="n">
        <v>31.8</v>
      </c>
      <c r="E418" s="91" t="n">
        <v>0.3168973707920387</v>
      </c>
      <c r="F418" s="89" t="n">
        <v>26.41</v>
      </c>
      <c r="G418" s="90" t="n">
        <v>0.2636413363053318</v>
      </c>
      <c r="H418" s="92" t="n">
        <v>30.03</v>
      </c>
      <c r="I418" s="90" t="n">
        <v>0.3001694468501713</v>
      </c>
      <c r="J418" s="92" t="n">
        <v>26.5</v>
      </c>
      <c r="K418" s="90" t="n">
        <v>0.2639667329596818</v>
      </c>
      <c r="L418" s="89" t="n">
        <v>31.7</v>
      </c>
      <c r="M418" s="90" t="n">
        <v>0.316862186651696</v>
      </c>
      <c r="N418" s="92" t="n">
        <v>31.65</v>
      </c>
      <c r="O418" s="90" t="n">
        <v>0.3163624040229078</v>
      </c>
      <c r="P418" s="93">
        <f>C418-G418</f>
        <v/>
      </c>
      <c r="Q418" s="93">
        <f>E418-C418</f>
        <v/>
      </c>
      <c r="R418" s="93">
        <f>C418-M418</f>
        <v/>
      </c>
      <c r="S418" s="93">
        <f>C418-O418</f>
        <v/>
      </c>
      <c r="T418" s="93">
        <f>E418-O418</f>
        <v/>
      </c>
      <c r="U418" s="93">
        <f>G418-O418</f>
        <v/>
      </c>
      <c r="V418" s="93">
        <f>G418-K418</f>
        <v/>
      </c>
      <c r="W418" s="93">
        <f>C418-K418</f>
        <v/>
      </c>
      <c r="X418" s="93">
        <f>I418-G418</f>
        <v/>
      </c>
      <c r="Y418" s="94">
        <f>G418-M418</f>
        <v/>
      </c>
    </row>
    <row r="419">
      <c r="A419" s="88" t="n">
        <v>44694</v>
      </c>
      <c r="B419" s="89" t="n">
        <v>27.73</v>
      </c>
      <c r="C419" s="90" t="n">
        <v>0.2763611293141109</v>
      </c>
      <c r="D419" s="89" t="n">
        <v>31.6</v>
      </c>
      <c r="E419" s="91" t="n">
        <v>0.3149301004805592</v>
      </c>
      <c r="F419" s="89" t="n">
        <v>26.5</v>
      </c>
      <c r="G419" s="90" t="n">
        <v>0.2645506263333516</v>
      </c>
      <c r="H419" s="92" t="n">
        <v>30.14</v>
      </c>
      <c r="I419" s="90" t="n">
        <v>0.3012720625487806</v>
      </c>
      <c r="J419" s="92" t="n">
        <v>26.96</v>
      </c>
      <c r="K419" s="90" t="n">
        <v>0.268573534027484</v>
      </c>
      <c r="L419" s="89" t="n">
        <v>32.05</v>
      </c>
      <c r="M419" s="90" t="n">
        <v>0.3203639550327942</v>
      </c>
      <c r="N419" s="92" t="n">
        <v>32.3</v>
      </c>
      <c r="O419" s="90" t="n">
        <v>0.3228628938396023</v>
      </c>
      <c r="P419" s="93">
        <f>C419-G419</f>
        <v/>
      </c>
      <c r="Q419" s="93">
        <f>E419-C419</f>
        <v/>
      </c>
      <c r="R419" s="93">
        <f>C419-M419</f>
        <v/>
      </c>
      <c r="S419" s="93">
        <f>C419-O419</f>
        <v/>
      </c>
      <c r="T419" s="93">
        <f>E419-O419</f>
        <v/>
      </c>
      <c r="U419" s="93">
        <f>G419-O419</f>
        <v/>
      </c>
      <c r="V419" s="93">
        <f>G419-K419</f>
        <v/>
      </c>
      <c r="W419" s="93">
        <f>C419-K419</f>
        <v/>
      </c>
      <c r="X419" s="93">
        <f>I419-G419</f>
        <v/>
      </c>
      <c r="Y419" s="94">
        <f>G419-M419</f>
        <v/>
      </c>
    </row>
    <row r="420">
      <c r="A420" s="88" t="n">
        <v>44693</v>
      </c>
      <c r="B420" s="89" t="n">
        <v>28.12</v>
      </c>
      <c r="C420" s="90" t="n">
        <v>0.2802555770963602</v>
      </c>
      <c r="D420" s="89" t="n">
        <v>32.2</v>
      </c>
      <c r="E420" s="91" t="n">
        <v>0.3209185484531579</v>
      </c>
      <c r="F420" s="89" t="n">
        <v>26.97</v>
      </c>
      <c r="G420" s="90" t="n">
        <v>0.2692463383613911</v>
      </c>
      <c r="H420" s="92" t="n">
        <v>30.5</v>
      </c>
      <c r="I420" s="90" t="n">
        <v>0.3048715780681425</v>
      </c>
      <c r="J420" s="92" t="n">
        <v>27</v>
      </c>
      <c r="K420" s="90" t="n">
        <v>0.268980270003787</v>
      </c>
      <c r="L420" s="89" t="n">
        <v>32.6</v>
      </c>
      <c r="M420" s="90" t="n">
        <v>0.3258627359023425</v>
      </c>
      <c r="N420" s="92" t="n">
        <v>32.5</v>
      </c>
      <c r="O420" s="90" t="n">
        <v>0.3248631569578568</v>
      </c>
      <c r="P420" s="93">
        <f>C420-G420</f>
        <v/>
      </c>
      <c r="Q420" s="93">
        <f>E420-C420</f>
        <v/>
      </c>
      <c r="R420" s="93">
        <f>C420-M420</f>
        <v/>
      </c>
      <c r="S420" s="93">
        <f>C420-O420</f>
        <v/>
      </c>
      <c r="T420" s="93">
        <f>E420-O420</f>
        <v/>
      </c>
      <c r="U420" s="93">
        <f>G420-O420</f>
        <v/>
      </c>
      <c r="V420" s="93">
        <f>G420-K420</f>
        <v/>
      </c>
      <c r="W420" s="93">
        <f>C420-K420</f>
        <v/>
      </c>
      <c r="X420" s="93">
        <f>I420-G420</f>
        <v/>
      </c>
      <c r="Y420" s="94">
        <f>G420-M420</f>
        <v/>
      </c>
    </row>
    <row r="421">
      <c r="A421" s="88" t="n">
        <v>44692</v>
      </c>
      <c r="B421" s="89" t="n">
        <v>28.66</v>
      </c>
      <c r="C421" s="90" t="n">
        <v>0.2856452405657801</v>
      </c>
      <c r="D421" s="89" t="n">
        <v>31.83</v>
      </c>
      <c r="E421" s="91" t="n">
        <v>0.3172396373764404</v>
      </c>
      <c r="F421" s="89" t="n">
        <v>27.43</v>
      </c>
      <c r="G421" s="90" t="n">
        <v>0.2738423456688822</v>
      </c>
      <c r="H421" s="92" t="n">
        <v>31.07</v>
      </c>
      <c r="I421" s="90" t="n">
        <v>0.3105702412005943</v>
      </c>
      <c r="J421" s="92" t="n">
        <v>27.31</v>
      </c>
      <c r="K421" s="90" t="n">
        <v>0.2720769162532668</v>
      </c>
      <c r="L421" s="89" t="n">
        <v>32.8</v>
      </c>
      <c r="M421" s="90" t="n">
        <v>0.3278630161370934</v>
      </c>
      <c r="N421" s="92" t="n">
        <v>32.75</v>
      </c>
      <c r="O421" s="90" t="n">
        <v>0.3273632249539576</v>
      </c>
      <c r="P421" s="93">
        <f>C421-G421</f>
        <v/>
      </c>
      <c r="Q421" s="93">
        <f>E421-C421</f>
        <v/>
      </c>
      <c r="R421" s="93">
        <f>C421-M421</f>
        <v/>
      </c>
      <c r="S421" s="93">
        <f>C421-O421</f>
        <v/>
      </c>
      <c r="T421" s="93">
        <f>E421-O421</f>
        <v/>
      </c>
      <c r="U421" s="93">
        <f>G421-O421</f>
        <v/>
      </c>
      <c r="V421" s="93">
        <f>G421-K421</f>
        <v/>
      </c>
      <c r="W421" s="93">
        <f>C421-K421</f>
        <v/>
      </c>
      <c r="X421" s="93">
        <f>I421-G421</f>
        <v/>
      </c>
      <c r="Y421" s="94">
        <f>G421-M421</f>
        <v/>
      </c>
    </row>
    <row r="422">
      <c r="A422" s="88" t="n">
        <v>44691</v>
      </c>
      <c r="B422" s="89" t="n">
        <v>28.12</v>
      </c>
      <c r="C422" s="90" t="n">
        <v>0.2802708828267934</v>
      </c>
      <c r="D422" s="89" t="n">
        <v>31.31</v>
      </c>
      <c r="E422" s="91" t="n">
        <v>0.3120654815542994</v>
      </c>
      <c r="F422" s="89" t="n">
        <v>27.09</v>
      </c>
      <c r="G422" s="90" t="n">
        <v>0.2704517170169992</v>
      </c>
      <c r="H422" s="92" t="n">
        <v>30.8</v>
      </c>
      <c r="I422" s="90" t="n">
        <v>0.3078724227289377</v>
      </c>
      <c r="J422" s="92" t="n">
        <v>27.25</v>
      </c>
      <c r="K422" s="90" t="n">
        <v>0.2714875003838425</v>
      </c>
      <c r="L422" s="89" t="n">
        <v>32.5</v>
      </c>
      <c r="M422" s="90" t="n">
        <v>0.324852954768743</v>
      </c>
      <c r="N422" s="92" t="n">
        <v>32.8</v>
      </c>
      <c r="O422" s="90" t="n">
        <v>0.327864138490557</v>
      </c>
      <c r="P422" s="93">
        <f>C422-G422</f>
        <v/>
      </c>
      <c r="Q422" s="93">
        <f>E422-C422</f>
        <v/>
      </c>
      <c r="R422" s="93">
        <f>C422-M422</f>
        <v/>
      </c>
      <c r="S422" s="93">
        <f>C422-O422</f>
        <v/>
      </c>
      <c r="T422" s="93">
        <f>E422-O422</f>
        <v/>
      </c>
      <c r="U422" s="93">
        <f>G422-O422</f>
        <v/>
      </c>
      <c r="V422" s="93">
        <f>G422-K422</f>
        <v/>
      </c>
      <c r="W422" s="93">
        <f>C422-K422</f>
        <v/>
      </c>
      <c r="X422" s="93">
        <f>I422-G422</f>
        <v/>
      </c>
      <c r="Y422" s="94">
        <f>G422-M422</f>
        <v/>
      </c>
    </row>
    <row r="423">
      <c r="A423" s="88" t="n">
        <v>44690</v>
      </c>
      <c r="B423" s="89" t="n">
        <v>28.02</v>
      </c>
      <c r="C423" s="90" t="n">
        <v>0.2792818132168214</v>
      </c>
      <c r="D423" s="89" t="n">
        <v>33.2</v>
      </c>
      <c r="E423" s="91" t="n">
        <v>0.3309120699071546</v>
      </c>
      <c r="F423" s="89" t="n">
        <v>27.23</v>
      </c>
      <c r="G423" s="90" t="n">
        <v>0.2718531181619256</v>
      </c>
      <c r="H423" s="92" t="n">
        <v>30.82</v>
      </c>
      <c r="I423" s="90" t="n">
        <v>0.3080733944954128</v>
      </c>
      <c r="J423" s="92" t="n">
        <v>27.05</v>
      </c>
      <c r="K423" s="90" t="n">
        <v>0.2695032073154088</v>
      </c>
      <c r="L423" s="89" t="n">
        <v>32.7</v>
      </c>
      <c r="M423" s="90" t="n">
        <v>0.3268656716417911</v>
      </c>
      <c r="N423" s="92" t="n">
        <v>33</v>
      </c>
      <c r="O423" s="90" t="n">
        <v>0.3298644392715323</v>
      </c>
      <c r="P423" s="93">
        <f>C423-G423</f>
        <v/>
      </c>
      <c r="Q423" s="93">
        <f>E423-C423</f>
        <v/>
      </c>
      <c r="R423" s="93">
        <f>C423-M423</f>
        <v/>
      </c>
      <c r="S423" s="93">
        <f>C423-O423</f>
        <v/>
      </c>
      <c r="T423" s="93">
        <f>E423-O423</f>
        <v/>
      </c>
      <c r="U423" s="93">
        <f>G423-O423</f>
        <v/>
      </c>
      <c r="V423" s="93">
        <f>G423-K423</f>
        <v/>
      </c>
      <c r="W423" s="93">
        <f>C423-K423</f>
        <v/>
      </c>
      <c r="X423" s="93">
        <f>I423-G423</f>
        <v/>
      </c>
      <c r="Y423" s="94">
        <f>G423-M423</f>
        <v/>
      </c>
    </row>
    <row r="424">
      <c r="A424" s="88" t="n">
        <v>44687</v>
      </c>
      <c r="B424" s="89" t="n">
        <v>28.92</v>
      </c>
      <c r="C424" s="90" t="n">
        <v>0.2882759374061228</v>
      </c>
      <c r="D424" s="89" t="n">
        <v>33.2</v>
      </c>
      <c r="E424" s="91" t="n">
        <v>0.3309391812546085</v>
      </c>
      <c r="F424" s="89" t="n">
        <v>27.25</v>
      </c>
      <c r="G424" s="90" t="n">
        <v>0.2720639522956357</v>
      </c>
      <c r="H424" s="92" t="n">
        <v>30.85</v>
      </c>
      <c r="I424" s="90" t="n">
        <v>0.3083764382079783</v>
      </c>
      <c r="J424" s="92" t="n">
        <v>27.3</v>
      </c>
      <c r="K424" s="90" t="n">
        <v>0.272019054573746</v>
      </c>
      <c r="L424" s="89" t="n">
        <v>32.6</v>
      </c>
      <c r="M424" s="90" t="n">
        <v>0.3258694290301489</v>
      </c>
      <c r="N424" s="92" t="n">
        <v>33</v>
      </c>
      <c r="O424" s="90" t="n">
        <v>0.3298678269323593</v>
      </c>
      <c r="P424" s="93">
        <f>C424-G424</f>
        <v/>
      </c>
      <c r="Q424" s="93">
        <f>E424-C424</f>
        <v/>
      </c>
      <c r="R424" s="93">
        <f>C424-M424</f>
        <v/>
      </c>
      <c r="S424" s="93">
        <f>C424-O424</f>
        <v/>
      </c>
      <c r="T424" s="93">
        <f>E424-O424</f>
        <v/>
      </c>
      <c r="U424" s="93">
        <f>G424-O424</f>
        <v/>
      </c>
      <c r="V424" s="93">
        <f>G424-K424</f>
        <v/>
      </c>
      <c r="W424" s="93">
        <f>C424-K424</f>
        <v/>
      </c>
      <c r="X424" s="93">
        <f>I424-G424</f>
        <v/>
      </c>
      <c r="Y424" s="94">
        <f>G424-M424</f>
        <v/>
      </c>
    </row>
    <row r="425">
      <c r="A425" s="88" t="n">
        <v>44686</v>
      </c>
      <c r="B425" s="89" t="n">
        <v>29.2</v>
      </c>
      <c r="C425" s="90" t="n">
        <v>0.2910749399169762</v>
      </c>
      <c r="D425" s="89" t="n">
        <v>33.2</v>
      </c>
      <c r="E425" s="91" t="n">
        <v>0.3309482193576579</v>
      </c>
      <c r="F425" s="89" t="n">
        <v>28</v>
      </c>
      <c r="G425" s="90" t="n">
        <v>0.2795557743859073</v>
      </c>
      <c r="H425" s="92" t="n">
        <v>31.94</v>
      </c>
      <c r="I425" s="90" t="n">
        <v>0.3192731654548193</v>
      </c>
      <c r="J425" s="92" t="n">
        <v>27.95</v>
      </c>
      <c r="K425" s="90" t="n">
        <v>0.2785042519212132</v>
      </c>
      <c r="L425" s="89" t="n">
        <v>33.12</v>
      </c>
      <c r="M425" s="90" t="n">
        <v>0.3310684796450725</v>
      </c>
      <c r="N425" s="92" t="n">
        <v>33.46</v>
      </c>
      <c r="O425" s="90" t="n">
        <v>0.3344671294965014</v>
      </c>
      <c r="P425" s="93">
        <f>C425-G425</f>
        <v/>
      </c>
      <c r="Q425" s="93">
        <f>E425-C425</f>
        <v/>
      </c>
      <c r="R425" s="93">
        <f>C425-M425</f>
        <v/>
      </c>
      <c r="S425" s="93">
        <f>C425-O425</f>
        <v/>
      </c>
      <c r="T425" s="93">
        <f>E425-O425</f>
        <v/>
      </c>
      <c r="U425" s="93">
        <f>G425-O425</f>
        <v/>
      </c>
      <c r="V425" s="93">
        <f>G425-K425</f>
        <v/>
      </c>
      <c r="W425" s="93">
        <f>C425-K425</f>
        <v/>
      </c>
      <c r="X425" s="93">
        <f>I425-G425</f>
        <v/>
      </c>
      <c r="Y425" s="94">
        <f>G425-M425</f>
        <v/>
      </c>
    </row>
    <row r="426">
      <c r="A426" s="88" t="n">
        <v>44685</v>
      </c>
      <c r="B426" s="89" t="n">
        <v>29.75</v>
      </c>
      <c r="C426" s="90" t="n">
        <v>0.2965656151850334</v>
      </c>
      <c r="D426" s="89" t="n">
        <v>32.55</v>
      </c>
      <c r="E426" s="91" t="n">
        <v>0.3244776730848013</v>
      </c>
      <c r="F426" s="89" t="n">
        <v>28.56</v>
      </c>
      <c r="G426" s="90" t="n">
        <v>0.2851507898516036</v>
      </c>
      <c r="H426" s="92" t="n">
        <v>32.5</v>
      </c>
      <c r="I426" s="90" t="n">
        <v>0.3248720538144224</v>
      </c>
      <c r="J426" s="92" t="n">
        <v>28</v>
      </c>
      <c r="K426" s="90" t="n">
        <v>0.2790110396369034</v>
      </c>
      <c r="L426" s="89" t="n">
        <v>33.23</v>
      </c>
      <c r="M426" s="90" t="n">
        <v>0.332169179946254</v>
      </c>
      <c r="N426" s="92" t="n">
        <v>34.35</v>
      </c>
      <c r="O426" s="90" t="n">
        <v>0.3433647707238588</v>
      </c>
      <c r="P426" s="93">
        <f>C426-G426</f>
        <v/>
      </c>
      <c r="Q426" s="93">
        <f>E426-C426</f>
        <v/>
      </c>
      <c r="R426" s="93">
        <f>C426-M426</f>
        <v/>
      </c>
      <c r="S426" s="93">
        <f>C426-O426</f>
        <v/>
      </c>
      <c r="T426" s="93">
        <f>E426-O426</f>
        <v/>
      </c>
      <c r="U426" s="93">
        <f>G426-O426</f>
        <v/>
      </c>
      <c r="V426" s="93">
        <f>G426-K426</f>
        <v/>
      </c>
      <c r="W426" s="93">
        <f>C426-K426</f>
        <v/>
      </c>
      <c r="X426" s="93">
        <f>I426-G426</f>
        <v/>
      </c>
      <c r="Y426" s="94">
        <f>G426-M426</f>
        <v/>
      </c>
    </row>
    <row r="427">
      <c r="A427" s="88" t="n">
        <v>44684</v>
      </c>
      <c r="B427" s="89" t="n">
        <v>29.25</v>
      </c>
      <c r="C427" s="90" t="n">
        <v>0.2915892827880046</v>
      </c>
      <c r="D427" s="89" t="n">
        <v>32.4</v>
      </c>
      <c r="E427" s="91" t="n">
        <v>0.3229912055497897</v>
      </c>
      <c r="F427" s="89" t="n">
        <v>28.5</v>
      </c>
      <c r="G427" s="90" t="n">
        <v>0.2845556254616079</v>
      </c>
      <c r="H427" s="92" t="n">
        <v>31.92</v>
      </c>
      <c r="I427" s="90" t="n">
        <v>0.3190754294556235</v>
      </c>
      <c r="J427" s="92" t="n">
        <v>28.01</v>
      </c>
      <c r="K427" s="90" t="n">
        <v>0.2791192590418598</v>
      </c>
      <c r="L427" s="89" t="n">
        <v>33.35</v>
      </c>
      <c r="M427" s="90" t="n">
        <v>0.3333698487576768</v>
      </c>
      <c r="N427" s="92" t="n">
        <v>34.35</v>
      </c>
      <c r="O427" s="90" t="n">
        <v>0.3433659461717001</v>
      </c>
      <c r="P427" s="93">
        <f>C427-G427</f>
        <v/>
      </c>
      <c r="Q427" s="93">
        <f>E427-C427</f>
        <v/>
      </c>
      <c r="R427" s="93">
        <f>C427-M427</f>
        <v/>
      </c>
      <c r="S427" s="93">
        <f>C427-O427</f>
        <v/>
      </c>
      <c r="T427" s="93">
        <f>E427-O427</f>
        <v/>
      </c>
      <c r="U427" s="93">
        <f>G427-O427</f>
        <v/>
      </c>
      <c r="V427" s="93">
        <f>G427-K427</f>
        <v/>
      </c>
      <c r="W427" s="93">
        <f>C427-K427</f>
        <v/>
      </c>
      <c r="X427" s="93">
        <f>I427-G427</f>
        <v/>
      </c>
      <c r="Y427" s="94">
        <f>G427-M427</f>
        <v/>
      </c>
    </row>
    <row r="428">
      <c r="A428" s="88" t="n">
        <v>44683</v>
      </c>
      <c r="B428" s="89" t="n">
        <v>28.7</v>
      </c>
      <c r="C428" s="90" t="n">
        <v>0.2861142217245241</v>
      </c>
      <c r="D428" s="89" t="n">
        <v>32</v>
      </c>
      <c r="E428" s="91" t="n">
        <v>0.3190123726545216</v>
      </c>
      <c r="F428" s="89" t="n">
        <v>27.73</v>
      </c>
      <c r="G428" s="90" t="n">
        <v>0.2768714182156388</v>
      </c>
      <c r="H428" s="92" t="n">
        <v>31.6</v>
      </c>
      <c r="I428" s="90" t="n">
        <v>0.3158777596341142</v>
      </c>
      <c r="J428" s="92" t="n">
        <v>27.3</v>
      </c>
      <c r="K428" s="90" t="n">
        <v>0.2720524747710883</v>
      </c>
      <c r="L428" s="89" t="n">
        <v>32.89</v>
      </c>
      <c r="M428" s="90" t="n">
        <v>0.3287727694419625</v>
      </c>
      <c r="N428" s="92" t="n">
        <v>33.1</v>
      </c>
      <c r="O428" s="90" t="n">
        <v>0.3308719570851006</v>
      </c>
      <c r="P428" s="93">
        <f>C428-G428</f>
        <v/>
      </c>
      <c r="Q428" s="93">
        <f>E428-C428</f>
        <v/>
      </c>
      <c r="R428" s="93">
        <f>C428-M428</f>
        <v/>
      </c>
      <c r="S428" s="93">
        <f>C428-O428</f>
        <v/>
      </c>
      <c r="T428" s="93">
        <f>E428-O428</f>
        <v/>
      </c>
      <c r="U428" s="93">
        <f>G428-O428</f>
        <v/>
      </c>
      <c r="V428" s="93">
        <f>G428-K428</f>
        <v/>
      </c>
      <c r="W428" s="93">
        <f>C428-K428</f>
        <v/>
      </c>
      <c r="X428" s="93">
        <f>I428-G428</f>
        <v/>
      </c>
      <c r="Y428" s="94">
        <f>G428-M428</f>
        <v/>
      </c>
    </row>
    <row r="429">
      <c r="A429" s="88" t="n">
        <v>44680</v>
      </c>
      <c r="B429" s="89" t="n">
        <v>29</v>
      </c>
      <c r="C429" s="90" t="n">
        <v>0.2891286533733953</v>
      </c>
      <c r="D429" s="89" t="n">
        <v>32.1</v>
      </c>
      <c r="E429" s="91" t="n">
        <v>0.3200355094236548</v>
      </c>
      <c r="F429" s="89" t="n">
        <v>28.01</v>
      </c>
      <c r="G429" s="90" t="n">
        <v>0.2796785665435645</v>
      </c>
      <c r="H429" s="92" t="n">
        <v>31.9</v>
      </c>
      <c r="I429" s="90" t="n">
        <v>0.3188798740200609</v>
      </c>
      <c r="J429" s="92" t="n">
        <v>27.82</v>
      </c>
      <c r="K429" s="90" t="n">
        <v>0.2772599747431653</v>
      </c>
      <c r="L429" s="89" t="n">
        <v>33.15</v>
      </c>
      <c r="M429" s="90" t="n">
        <v>0.3313751668891856</v>
      </c>
      <c r="N429" s="92" t="n">
        <v>32.83</v>
      </c>
      <c r="O429" s="90" t="n">
        <v>0.3281763719146897</v>
      </c>
      <c r="P429" s="93">
        <f>C429-G429</f>
        <v/>
      </c>
      <c r="Q429" s="93">
        <f>E429-C429</f>
        <v/>
      </c>
      <c r="R429" s="93">
        <f>C429-M429</f>
        <v/>
      </c>
      <c r="S429" s="93">
        <f>C429-O429</f>
        <v/>
      </c>
      <c r="T429" s="93">
        <f>E429-O429</f>
        <v/>
      </c>
      <c r="U429" s="93">
        <f>G429-O429</f>
        <v/>
      </c>
      <c r="V429" s="93">
        <f>G429-K429</f>
        <v/>
      </c>
      <c r="W429" s="93">
        <f>C429-K429</f>
        <v/>
      </c>
      <c r="X429" s="93">
        <f>I429-G429</f>
        <v/>
      </c>
      <c r="Y429" s="94">
        <f>G429-M429</f>
        <v/>
      </c>
    </row>
    <row r="430">
      <c r="A430" s="88" t="n">
        <v>44679</v>
      </c>
      <c r="B430" s="89" t="n">
        <v>29.4</v>
      </c>
      <c r="C430" s="90" t="n">
        <v>0.2931246414816029</v>
      </c>
      <c r="D430" s="89" t="n">
        <v>32.4</v>
      </c>
      <c r="E430" s="91" t="n">
        <v>0.3230353191838072</v>
      </c>
      <c r="F430" s="89" t="n">
        <v>28.38</v>
      </c>
      <c r="G430" s="90" t="n">
        <v>0.2833768756240682</v>
      </c>
      <c r="H430" s="92" t="n">
        <v>32.33</v>
      </c>
      <c r="I430" s="90" t="n">
        <v>0.3231793611288937</v>
      </c>
      <c r="J430" s="92" t="n">
        <v>28.3</v>
      </c>
      <c r="K430" s="90" t="n">
        <v>0.2820524197814875</v>
      </c>
      <c r="L430" s="89" t="n">
        <v>33.2</v>
      </c>
      <c r="M430" s="90" t="n">
        <v>0.3318761147379917</v>
      </c>
      <c r="N430" s="92" t="n">
        <v>33.02</v>
      </c>
      <c r="O430" s="90" t="n">
        <v>0.3300767864050749</v>
      </c>
      <c r="P430" s="93">
        <f>C430-G430</f>
        <v/>
      </c>
      <c r="Q430" s="93">
        <f>E430-C430</f>
        <v/>
      </c>
      <c r="R430" s="93">
        <f>C430-M430</f>
        <v/>
      </c>
      <c r="S430" s="93">
        <f>C430-O430</f>
        <v/>
      </c>
      <c r="T430" s="93">
        <f>E430-O430</f>
        <v/>
      </c>
      <c r="U430" s="93">
        <f>G430-O430</f>
        <v/>
      </c>
      <c r="V430" s="93">
        <f>G430-K430</f>
        <v/>
      </c>
      <c r="W430" s="93">
        <f>C430-K430</f>
        <v/>
      </c>
      <c r="X430" s="93">
        <f>I430-G430</f>
        <v/>
      </c>
      <c r="Y430" s="94">
        <f>G430-M430</f>
        <v/>
      </c>
    </row>
    <row r="431">
      <c r="A431" s="88" t="n">
        <v>44678</v>
      </c>
      <c r="B431" s="89" t="n">
        <v>30</v>
      </c>
      <c r="C431" s="90" t="n">
        <v>0.2991149475524476</v>
      </c>
      <c r="D431" s="89" t="n">
        <v>32.8</v>
      </c>
      <c r="E431" s="91" t="n">
        <v>0.3270323426573427</v>
      </c>
      <c r="F431" s="89" t="n">
        <v>28.7</v>
      </c>
      <c r="G431" s="90" t="n">
        <v>0.2865760245116813</v>
      </c>
      <c r="H431" s="92" t="n">
        <v>32.64</v>
      </c>
      <c r="I431" s="90" t="n">
        <v>0.3262793213468991</v>
      </c>
      <c r="J431" s="92" t="n">
        <v>28.5</v>
      </c>
      <c r="K431" s="90" t="n">
        <v>0.2840544488893136</v>
      </c>
      <c r="L431" s="89" t="n">
        <v>33.35</v>
      </c>
      <c r="M431" s="90" t="n">
        <v>0.3333766962904132</v>
      </c>
      <c r="N431" s="92" t="n">
        <v>33.7</v>
      </c>
      <c r="O431" s="90" t="n">
        <v>0.3368754022484834</v>
      </c>
      <c r="P431" s="93">
        <f>C431-G431</f>
        <v/>
      </c>
      <c r="Q431" s="93">
        <f>E431-C431</f>
        <v/>
      </c>
      <c r="R431" s="93">
        <f>C431-M431</f>
        <v/>
      </c>
      <c r="S431" s="93">
        <f>C431-O431</f>
        <v/>
      </c>
      <c r="T431" s="93">
        <f>E431-O431</f>
        <v/>
      </c>
      <c r="U431" s="93">
        <f>G431-O431</f>
        <v/>
      </c>
      <c r="V431" s="93">
        <f>G431-K431</f>
        <v/>
      </c>
      <c r="W431" s="93">
        <f>C431-K431</f>
        <v/>
      </c>
      <c r="X431" s="93">
        <f>I431-G431</f>
        <v/>
      </c>
      <c r="Y431" s="94">
        <f>G431-M431</f>
        <v/>
      </c>
    </row>
    <row r="432">
      <c r="A432" s="88" t="n">
        <v>44677</v>
      </c>
      <c r="B432" s="89" t="n">
        <v>29.8</v>
      </c>
      <c r="C432" s="90" t="n">
        <v>0.2971289644057147</v>
      </c>
      <c r="D432" s="89" t="n">
        <v>33.5</v>
      </c>
      <c r="E432" s="91" t="n">
        <v>0.3340208156909881</v>
      </c>
      <c r="F432" s="89" t="n">
        <v>28.65</v>
      </c>
      <c r="G432" s="90" t="n">
        <v>0.2860806762690303</v>
      </c>
      <c r="H432" s="92" t="n">
        <v>32.56</v>
      </c>
      <c r="I432" s="90" t="n">
        <v>0.3254807313758315</v>
      </c>
      <c r="J432" s="92" t="n">
        <v>28.4</v>
      </c>
      <c r="K432" s="90" t="n">
        <v>0.2830664623177671</v>
      </c>
      <c r="L432" s="89" t="n">
        <v>33.41</v>
      </c>
      <c r="M432" s="90" t="n">
        <v>0.333977617790741</v>
      </c>
      <c r="N432" s="92" t="n">
        <v>33.39</v>
      </c>
      <c r="O432" s="90" t="n">
        <v>0.3337776910515667</v>
      </c>
      <c r="P432" s="93">
        <f>C432-G432</f>
        <v/>
      </c>
      <c r="Q432" s="93">
        <f>E432-C432</f>
        <v/>
      </c>
      <c r="R432" s="93">
        <f>C432-M432</f>
        <v/>
      </c>
      <c r="S432" s="93">
        <f>C432-O432</f>
        <v/>
      </c>
      <c r="T432" s="93">
        <f>E432-O432</f>
        <v/>
      </c>
      <c r="U432" s="93">
        <f>G432-O432</f>
        <v/>
      </c>
      <c r="V432" s="93">
        <f>G432-K432</f>
        <v/>
      </c>
      <c r="W432" s="93">
        <f>C432-K432</f>
        <v/>
      </c>
      <c r="X432" s="93">
        <f>I432-G432</f>
        <v/>
      </c>
      <c r="Y432" s="94">
        <f>G432-M432</f>
        <v/>
      </c>
    </row>
    <row r="433">
      <c r="A433" s="88" t="n">
        <v>44676</v>
      </c>
      <c r="B433" s="89" t="n">
        <v>30.16</v>
      </c>
      <c r="C433" s="90" t="n">
        <v>0.3007266568322133</v>
      </c>
      <c r="D433" s="89" t="n">
        <v>33.52</v>
      </c>
      <c r="E433" s="91" t="n">
        <v>0.3342293613068896</v>
      </c>
      <c r="F433" s="89" t="n">
        <v>28.79</v>
      </c>
      <c r="G433" s="90" t="n">
        <v>0.2874825595710339</v>
      </c>
      <c r="H433" s="92" t="n">
        <v>32.9</v>
      </c>
      <c r="I433" s="90" t="n">
        <v>0.3288806118326909</v>
      </c>
      <c r="J433" s="92" t="n">
        <v>28.7</v>
      </c>
      <c r="K433" s="90" t="n">
        <v>0.2860653891054568</v>
      </c>
      <c r="L433" s="89" t="n">
        <v>33.4</v>
      </c>
      <c r="M433" s="90" t="n">
        <v>0.3338787974228533</v>
      </c>
      <c r="N433" s="92" t="n">
        <v>33.39</v>
      </c>
      <c r="O433" s="90" t="n">
        <v>0.3337788337110501</v>
      </c>
      <c r="P433" s="93">
        <f>C433-G433</f>
        <v/>
      </c>
      <c r="Q433" s="93">
        <f>E433-C433</f>
        <v/>
      </c>
      <c r="R433" s="93">
        <f>C433-M433</f>
        <v/>
      </c>
      <c r="S433" s="93">
        <f>C433-O433</f>
        <v/>
      </c>
      <c r="T433" s="93">
        <f>E433-O433</f>
        <v/>
      </c>
      <c r="U433" s="93">
        <f>G433-O433</f>
        <v/>
      </c>
      <c r="V433" s="93">
        <f>G433-K433</f>
        <v/>
      </c>
      <c r="W433" s="93">
        <f>C433-K433</f>
        <v/>
      </c>
      <c r="X433" s="93">
        <f>I433-G433</f>
        <v/>
      </c>
      <c r="Y433" s="94">
        <f>G433-M433</f>
        <v/>
      </c>
    </row>
    <row r="434">
      <c r="A434" s="88" t="n">
        <v>44673</v>
      </c>
      <c r="B434" s="89" t="n">
        <v>30.02</v>
      </c>
      <c r="C434" s="90" t="n">
        <v>0.2993552441056744</v>
      </c>
      <c r="D434" s="89" t="n">
        <v>34</v>
      </c>
      <c r="E434" s="91" t="n">
        <v>0.3390432478212169</v>
      </c>
      <c r="F434" s="89" t="n">
        <v>28.35</v>
      </c>
      <c r="G434" s="90" t="n">
        <v>0.2831005567486971</v>
      </c>
      <c r="H434" s="92" t="n">
        <v>32.17</v>
      </c>
      <c r="I434" s="90" t="n">
        <v>0.3215865636436462</v>
      </c>
      <c r="J434" s="92" t="n">
        <v>28</v>
      </c>
      <c r="K434" s="90" t="n">
        <v>0.2791139089261147</v>
      </c>
      <c r="L434" s="89" t="n">
        <v>32.9</v>
      </c>
      <c r="M434" s="90" t="n">
        <v>0.3288839895516307</v>
      </c>
      <c r="N434" s="92" t="n">
        <v>32.5</v>
      </c>
      <c r="O434" s="90" t="n">
        <v>0.3248854000130091</v>
      </c>
      <c r="P434" s="93">
        <f>C434-G434</f>
        <v/>
      </c>
      <c r="Q434" s="93">
        <f>E434-C434</f>
        <v/>
      </c>
      <c r="R434" s="93">
        <f>C434-M434</f>
        <v/>
      </c>
      <c r="S434" s="93">
        <f>C434-O434</f>
        <v/>
      </c>
      <c r="T434" s="93">
        <f>E434-O434</f>
        <v/>
      </c>
      <c r="U434" s="93">
        <f>G434-O434</f>
        <v/>
      </c>
      <c r="V434" s="93">
        <f>G434-K434</f>
        <v/>
      </c>
      <c r="W434" s="93">
        <f>C434-K434</f>
        <v/>
      </c>
      <c r="X434" s="93">
        <f>I434-G434</f>
        <v/>
      </c>
      <c r="Y434" s="94">
        <f>G434-M434</f>
        <v/>
      </c>
    </row>
    <row r="435">
      <c r="A435" s="88" t="n">
        <v>44672</v>
      </c>
      <c r="B435" s="89" t="n">
        <v>30.61</v>
      </c>
      <c r="C435" s="90" t="n">
        <v>0.3052469810392875</v>
      </c>
      <c r="D435" s="89" t="n">
        <v>34</v>
      </c>
      <c r="E435" s="91" t="n">
        <v>0.33905251079176</v>
      </c>
      <c r="F435" s="89" t="n">
        <v>29</v>
      </c>
      <c r="G435" s="90" t="n">
        <v>0.2895953599080737</v>
      </c>
      <c r="H435" s="92" t="n">
        <v>33</v>
      </c>
      <c r="I435" s="90" t="n">
        <v>0.329884766280272</v>
      </c>
      <c r="J435" s="92" t="n">
        <v>28.55</v>
      </c>
      <c r="K435" s="90" t="n">
        <v>0.2846052478850736</v>
      </c>
      <c r="L435" s="89" t="n">
        <v>33.96</v>
      </c>
      <c r="M435" s="90" t="n">
        <v>0.3394814140266071</v>
      </c>
      <c r="N435" s="92" t="n">
        <v>33.25</v>
      </c>
      <c r="O435" s="90" t="n">
        <v>0.3323838932975468</v>
      </c>
      <c r="P435" s="93">
        <f>C435-G435</f>
        <v/>
      </c>
      <c r="Q435" s="93">
        <f>E435-C435</f>
        <v/>
      </c>
      <c r="R435" s="93">
        <f>C435-M435</f>
        <v/>
      </c>
      <c r="S435" s="93">
        <f>C435-O435</f>
        <v/>
      </c>
      <c r="T435" s="93">
        <f>E435-O435</f>
        <v/>
      </c>
      <c r="U435" s="93">
        <f>G435-O435</f>
        <v/>
      </c>
      <c r="V435" s="93">
        <f>G435-K435</f>
        <v/>
      </c>
      <c r="W435" s="93">
        <f>C435-K435</f>
        <v/>
      </c>
      <c r="X435" s="93">
        <f>I435-G435</f>
        <v/>
      </c>
      <c r="Y435" s="94">
        <f>G435-M435</f>
        <v/>
      </c>
    </row>
    <row r="436">
      <c r="A436" s="88" t="n">
        <v>44671</v>
      </c>
      <c r="B436" s="89" t="n">
        <v>31.1</v>
      </c>
      <c r="C436" s="90" t="n">
        <v>0.3101417994043879</v>
      </c>
      <c r="D436" s="89" t="n">
        <v>34</v>
      </c>
      <c r="E436" s="91" t="n">
        <v>0.3390617742684626</v>
      </c>
      <c r="F436" s="89" t="n">
        <v>29.7</v>
      </c>
      <c r="G436" s="90" t="n">
        <v>0.2965896499363894</v>
      </c>
      <c r="H436" s="92" t="n">
        <v>33.6</v>
      </c>
      <c r="I436" s="90" t="n">
        <v>0.3358838210071174</v>
      </c>
      <c r="J436" s="92" t="n">
        <v>29.7</v>
      </c>
      <c r="K436" s="90" t="n">
        <v>0.2960783041832105</v>
      </c>
      <c r="L436" s="89" t="n">
        <v>34.5</v>
      </c>
      <c r="M436" s="90" t="n">
        <v>0.3448807090698081</v>
      </c>
      <c r="N436" s="92" t="n">
        <v>33.7</v>
      </c>
      <c r="O436" s="90" t="n">
        <v>0.3368834752363053</v>
      </c>
      <c r="P436" s="93">
        <f>C436-G436</f>
        <v/>
      </c>
      <c r="Q436" s="93">
        <f>E436-C436</f>
        <v/>
      </c>
      <c r="R436" s="93">
        <f>C436-M436</f>
        <v/>
      </c>
      <c r="S436" s="93">
        <f>C436-O436</f>
        <v/>
      </c>
      <c r="T436" s="93">
        <f>E436-O436</f>
        <v/>
      </c>
      <c r="U436" s="93">
        <f>G436-O436</f>
        <v/>
      </c>
      <c r="V436" s="93">
        <f>G436-K436</f>
        <v/>
      </c>
      <c r="W436" s="93">
        <f>C436-K436</f>
        <v/>
      </c>
      <c r="X436" s="93">
        <f>I436-G436</f>
        <v/>
      </c>
      <c r="Y436" s="94">
        <f>G436-M436</f>
        <v/>
      </c>
    </row>
    <row r="437">
      <c r="A437" s="88" t="n">
        <v>44670</v>
      </c>
      <c r="B437" s="89" t="n">
        <v>31</v>
      </c>
      <c r="C437" s="90" t="n">
        <v>0.3091530054644809</v>
      </c>
      <c r="D437" s="89" t="n">
        <v>34</v>
      </c>
      <c r="E437" s="91" t="n">
        <v>0.3390710382513661</v>
      </c>
      <c r="F437" s="89" t="n">
        <v>29.92</v>
      </c>
      <c r="G437" s="90" t="n">
        <v>0.2987906976744186</v>
      </c>
      <c r="H437" s="92" t="n">
        <v>33.7</v>
      </c>
      <c r="I437" s="90" t="n">
        <v>0.3368846285518659</v>
      </c>
      <c r="J437" s="92" t="n">
        <v>29.25</v>
      </c>
      <c r="K437" s="90" t="n">
        <v>0.2916012290884261</v>
      </c>
      <c r="L437" s="89" t="n">
        <v>34.01</v>
      </c>
      <c r="M437" s="90" t="n">
        <v>0.3399835672714823</v>
      </c>
      <c r="N437" s="92" t="n">
        <v>33.5</v>
      </c>
      <c r="O437" s="90" t="n">
        <v>0.3348853132488874</v>
      </c>
      <c r="P437" s="93">
        <f>C437-G437</f>
        <v/>
      </c>
      <c r="Q437" s="93">
        <f>E437-C437</f>
        <v/>
      </c>
      <c r="R437" s="93">
        <f>C437-M437</f>
        <v/>
      </c>
      <c r="S437" s="93">
        <f>C437-O437</f>
        <v/>
      </c>
      <c r="T437" s="93">
        <f>E437-O437</f>
        <v/>
      </c>
      <c r="U437" s="93">
        <f>G437-O437</f>
        <v/>
      </c>
      <c r="V437" s="93">
        <f>G437-K437</f>
        <v/>
      </c>
      <c r="W437" s="93">
        <f>C437-K437</f>
        <v/>
      </c>
      <c r="X437" s="93">
        <f>I437-G437</f>
        <v/>
      </c>
      <c r="Y437" s="94">
        <f>G437-M437</f>
        <v/>
      </c>
    </row>
    <row r="438">
      <c r="A438" s="88" t="n">
        <v>44669</v>
      </c>
      <c r="B438" s="89" t="n">
        <v>31.4</v>
      </c>
      <c r="C438" s="90" t="n">
        <v>0.3131506325309434</v>
      </c>
      <c r="D438" s="89" t="n">
        <v>34.01</v>
      </c>
      <c r="E438" s="91" t="n">
        <v>0.339180032241318</v>
      </c>
      <c r="F438" s="89" t="n">
        <v>30.17</v>
      </c>
      <c r="G438" s="90" t="n">
        <v>0.3012913993351483</v>
      </c>
      <c r="H438" s="92" t="n">
        <v>34.1</v>
      </c>
      <c r="I438" s="90" t="n">
        <v>0.3408844261705792</v>
      </c>
      <c r="J438" s="92" t="n">
        <v>29.7</v>
      </c>
      <c r="K438" s="90" t="n">
        <v>0.2960965000631634</v>
      </c>
      <c r="L438" s="89" t="n">
        <v>34.1</v>
      </c>
      <c r="M438" s="90" t="n">
        <v>0.3408844261705792</v>
      </c>
      <c r="N438" s="92" t="n">
        <v>33.89</v>
      </c>
      <c r="O438" s="90" t="n">
        <v>0.3387851379155697</v>
      </c>
      <c r="P438" s="93">
        <f>C438-G438</f>
        <v/>
      </c>
      <c r="Q438" s="93">
        <f>E438-C438</f>
        <v/>
      </c>
      <c r="R438" s="93">
        <f>C438-M438</f>
        <v/>
      </c>
      <c r="S438" s="93">
        <f>C438-O438</f>
        <v/>
      </c>
      <c r="T438" s="93">
        <f>E438-O438</f>
        <v/>
      </c>
      <c r="U438" s="93">
        <f>G438-O438</f>
        <v/>
      </c>
      <c r="V438" s="93">
        <f>G438-K438</f>
        <v/>
      </c>
      <c r="W438" s="93">
        <f>C438-K438</f>
        <v/>
      </c>
      <c r="X438" s="93">
        <f>I438-G438</f>
        <v/>
      </c>
      <c r="Y438" s="94">
        <f>G438-M438</f>
        <v/>
      </c>
    </row>
    <row r="439">
      <c r="A439" s="88" t="n">
        <v>44664</v>
      </c>
      <c r="B439" s="89" t="n">
        <v>30.86</v>
      </c>
      <c r="C439" s="90" t="n">
        <v>0.3078072908127015</v>
      </c>
      <c r="D439" s="89" t="n">
        <v>34</v>
      </c>
      <c r="E439" s="91" t="n">
        <v>0.3391266327813303</v>
      </c>
      <c r="F439" s="89" t="n">
        <v>29.9</v>
      </c>
      <c r="G439" s="90" t="n">
        <v>0.2986154814348647</v>
      </c>
      <c r="H439" s="92" t="n">
        <v>33.56</v>
      </c>
      <c r="I439" s="90" t="n">
        <v>0.3354919991509583</v>
      </c>
      <c r="J439" s="92" t="n">
        <v>29.2</v>
      </c>
      <c r="K439" s="90" t="n">
        <v>0.2911564440012839</v>
      </c>
      <c r="L439" s="89" t="n">
        <v>33.65</v>
      </c>
      <c r="M439" s="90" t="n">
        <v>0.3363917095181688</v>
      </c>
      <c r="N439" s="92" t="n">
        <v>33.5</v>
      </c>
      <c r="O439" s="90" t="n">
        <v>0.3348921922394846</v>
      </c>
      <c r="P439" s="93">
        <f>C439-G439</f>
        <v/>
      </c>
      <c r="Q439" s="93">
        <f>E439-C439</f>
        <v/>
      </c>
      <c r="R439" s="93">
        <f>C439-M439</f>
        <v/>
      </c>
      <c r="S439" s="93">
        <f>C439-O439</f>
        <v/>
      </c>
      <c r="T439" s="93">
        <f>E439-O439</f>
        <v/>
      </c>
      <c r="U439" s="93">
        <f>G439-O439</f>
        <v/>
      </c>
      <c r="V439" s="93">
        <f>G439-K439</f>
        <v/>
      </c>
      <c r="W439" s="93">
        <f>C439-K439</f>
        <v/>
      </c>
      <c r="X439" s="93">
        <f>I439-G439</f>
        <v/>
      </c>
      <c r="Y439" s="94">
        <f>G439-M439</f>
        <v/>
      </c>
    </row>
    <row r="440">
      <c r="A440" s="88" t="n">
        <v>44663</v>
      </c>
      <c r="B440" s="89" t="n">
        <v>30.8</v>
      </c>
      <c r="C440" s="90" t="n">
        <v>0.307217227338562</v>
      </c>
      <c r="D440" s="89" t="n">
        <v>33.5</v>
      </c>
      <c r="E440" s="91" t="n">
        <v>0.3341486076572022</v>
      </c>
      <c r="F440" s="89" t="n">
        <v>29.57</v>
      </c>
      <c r="G440" s="90" t="n">
        <v>0.2953237656136702</v>
      </c>
      <c r="H440" s="92" t="n">
        <v>33</v>
      </c>
      <c r="I440" s="90" t="n">
        <v>0.3298949307241187</v>
      </c>
      <c r="J440" s="92" t="n">
        <v>28.69</v>
      </c>
      <c r="K440" s="90" t="n">
        <v>0.2860799694027736</v>
      </c>
      <c r="L440" s="89" t="n">
        <v>33.69</v>
      </c>
      <c r="M440" s="90" t="n">
        <v>0.3367927338210775</v>
      </c>
      <c r="N440" s="92" t="n">
        <v>33.1</v>
      </c>
      <c r="O440" s="90" t="n">
        <v>0.3308946123323736</v>
      </c>
      <c r="P440" s="93">
        <f>C440-G440</f>
        <v/>
      </c>
      <c r="Q440" s="93">
        <f>E440-C440</f>
        <v/>
      </c>
      <c r="R440" s="93">
        <f>C440-M440</f>
        <v/>
      </c>
      <c r="S440" s="93">
        <f>C440-O440</f>
        <v/>
      </c>
      <c r="T440" s="93">
        <f>E440-O440</f>
        <v/>
      </c>
      <c r="U440" s="93">
        <f>G440-O440</f>
        <v/>
      </c>
      <c r="V440" s="93">
        <f>G440-K440</f>
        <v/>
      </c>
      <c r="W440" s="93">
        <f>C440-K440</f>
        <v/>
      </c>
      <c r="X440" s="93">
        <f>I440-G440</f>
        <v/>
      </c>
      <c r="Y440" s="94">
        <f>G440-M440</f>
        <v/>
      </c>
    </row>
    <row r="441">
      <c r="A441" s="88" t="n">
        <v>44662</v>
      </c>
      <c r="B441" s="89" t="n">
        <v>31</v>
      </c>
      <c r="C441" s="90" t="n">
        <v>0.3092205946655007</v>
      </c>
      <c r="D441" s="89" t="n">
        <v>34.6</v>
      </c>
      <c r="E441" s="91" t="n">
        <v>0.3451300830782685</v>
      </c>
      <c r="F441" s="89" t="n">
        <v>29.69</v>
      </c>
      <c r="G441" s="90" t="n">
        <v>0.2965262956274284</v>
      </c>
      <c r="H441" s="92" t="n">
        <v>33.04</v>
      </c>
      <c r="I441" s="90" t="n">
        <v>0.3302959341577311</v>
      </c>
      <c r="J441" s="92" t="n">
        <v>28.9</v>
      </c>
      <c r="K441" s="90" t="n">
        <v>0.2881828240468807</v>
      </c>
      <c r="L441" s="89" t="n">
        <v>33.9</v>
      </c>
      <c r="M441" s="90" t="n">
        <v>0.3388932254221272</v>
      </c>
      <c r="N441" s="92" t="n">
        <v>33.7</v>
      </c>
      <c r="O441" s="90" t="n">
        <v>0.3368938553606398</v>
      </c>
      <c r="P441" s="93">
        <f>C441-G441</f>
        <v/>
      </c>
      <c r="Q441" s="93">
        <f>E441-C441</f>
        <v/>
      </c>
      <c r="R441" s="93">
        <f>C441-M441</f>
        <v/>
      </c>
      <c r="S441" s="93">
        <f>C441-O441</f>
        <v/>
      </c>
      <c r="T441" s="93">
        <f>E441-O441</f>
        <v/>
      </c>
      <c r="U441" s="93">
        <f>G441-O441</f>
        <v/>
      </c>
      <c r="V441" s="93">
        <f>G441-K441</f>
        <v/>
      </c>
      <c r="W441" s="93">
        <f>C441-K441</f>
        <v/>
      </c>
      <c r="X441" s="93">
        <f>I441-G441</f>
        <v/>
      </c>
      <c r="Y441" s="94">
        <f>G441-M441</f>
        <v/>
      </c>
    </row>
    <row r="442">
      <c r="A442" s="88" t="n">
        <v>44659</v>
      </c>
      <c r="B442" s="89" t="n">
        <v>31.29</v>
      </c>
      <c r="C442" s="90" t="n">
        <v>0.3121388942031758</v>
      </c>
      <c r="D442" s="89" t="n">
        <v>34.8</v>
      </c>
      <c r="E442" s="91" t="n">
        <v>0.347153516084069</v>
      </c>
      <c r="F442" s="89" t="n">
        <v>29.73</v>
      </c>
      <c r="G442" s="90" t="n">
        <v>0.296937979723351</v>
      </c>
      <c r="H442" s="92" t="n">
        <v>33</v>
      </c>
      <c r="I442" s="90" t="n">
        <v>0.3298994484557789</v>
      </c>
      <c r="J442" s="92" t="n">
        <v>28.8</v>
      </c>
      <c r="K442" s="90" t="n">
        <v>0.2872121338383407</v>
      </c>
      <c r="L442" s="89" t="n">
        <v>33.77</v>
      </c>
      <c r="M442" s="90" t="n">
        <v>0.3375971022530804</v>
      </c>
      <c r="N442" s="92" t="n">
        <v>33.85</v>
      </c>
      <c r="O442" s="90" t="n">
        <v>0.3383968584917611</v>
      </c>
      <c r="P442" s="93">
        <f>C442-G442</f>
        <v/>
      </c>
      <c r="Q442" s="93">
        <f>E442-C442</f>
        <v/>
      </c>
      <c r="R442" s="93">
        <f>C442-M442</f>
        <v/>
      </c>
      <c r="S442" s="93">
        <f>C442-O442</f>
        <v/>
      </c>
      <c r="T442" s="93">
        <f>E442-O442</f>
        <v/>
      </c>
      <c r="U442" s="93">
        <f>G442-O442</f>
        <v/>
      </c>
      <c r="V442" s="93">
        <f>G442-K442</f>
        <v/>
      </c>
      <c r="W442" s="93">
        <f>C442-K442</f>
        <v/>
      </c>
      <c r="X442" s="93">
        <f>I442-G442</f>
        <v/>
      </c>
      <c r="Y442" s="94">
        <f>G442-M442</f>
        <v/>
      </c>
    </row>
    <row r="443">
      <c r="A443" s="88" t="n">
        <v>44658</v>
      </c>
      <c r="B443" s="89" t="n">
        <v>31.56</v>
      </c>
      <c r="C443" s="90" t="n">
        <v>0.3148409314529354</v>
      </c>
      <c r="D443" s="89" t="n">
        <v>34.4</v>
      </c>
      <c r="E443" s="91" t="n">
        <v>0.3431726249043402</v>
      </c>
      <c r="F443" s="89" t="n">
        <v>30.35</v>
      </c>
      <c r="G443" s="90" t="n">
        <v>0.3031345774956217</v>
      </c>
      <c r="H443" s="92" t="n">
        <v>33.46</v>
      </c>
      <c r="I443" s="90" t="n">
        <v>0.3344991920243214</v>
      </c>
      <c r="J443" s="92" t="n">
        <v>29.3</v>
      </c>
      <c r="K443" s="90" t="n">
        <v>0.2922074373616765</v>
      </c>
      <c r="L443" s="89" t="n">
        <v>33.81</v>
      </c>
      <c r="M443" s="90" t="n">
        <v>0.3379981375475884</v>
      </c>
      <c r="N443" s="92" t="n">
        <v>33.5</v>
      </c>
      <c r="O443" s="90" t="n">
        <v>0.3348990715126948</v>
      </c>
      <c r="P443" s="93">
        <f>C443-G443</f>
        <v/>
      </c>
      <c r="Q443" s="93">
        <f>E443-C443</f>
        <v/>
      </c>
      <c r="R443" s="93">
        <f>C443-M443</f>
        <v/>
      </c>
      <c r="S443" s="93">
        <f>C443-O443</f>
        <v/>
      </c>
      <c r="T443" s="93">
        <f>E443-O443</f>
        <v/>
      </c>
      <c r="U443" s="93">
        <f>G443-O443</f>
        <v/>
      </c>
      <c r="V443" s="93">
        <f>G443-K443</f>
        <v/>
      </c>
      <c r="W443" s="93">
        <f>C443-K443</f>
        <v/>
      </c>
      <c r="X443" s="93">
        <f>I443-G443</f>
        <v/>
      </c>
      <c r="Y443" s="94">
        <f>G443-M443</f>
        <v/>
      </c>
    </row>
    <row r="444">
      <c r="A444" s="88" t="n">
        <v>44657</v>
      </c>
      <c r="B444" s="89" t="n">
        <v>31.93</v>
      </c>
      <c r="C444" s="90" t="n">
        <v>0.3185407385136797</v>
      </c>
      <c r="D444" s="89" t="n">
        <v>34.8</v>
      </c>
      <c r="E444" s="91" t="n">
        <v>0.347172492961981</v>
      </c>
      <c r="F444" s="89" t="n">
        <v>30.52</v>
      </c>
      <c r="G444" s="90" t="n">
        <v>0.3048367014653769</v>
      </c>
      <c r="H444" s="92" t="n">
        <v>33.49</v>
      </c>
      <c r="I444" s="90" t="n">
        <v>0.3348002478713534</v>
      </c>
      <c r="J444" s="92" t="n">
        <v>29.4</v>
      </c>
      <c r="K444" s="90" t="n">
        <v>0.2932137453335747</v>
      </c>
      <c r="L444" s="89" t="n">
        <v>33.95</v>
      </c>
      <c r="M444" s="90" t="n">
        <v>0.3393988777316348</v>
      </c>
      <c r="N444" s="92" t="n">
        <v>33.75</v>
      </c>
      <c r="O444" s="90" t="n">
        <v>0.3373994734445559</v>
      </c>
      <c r="P444" s="93">
        <f>C444-G444</f>
        <v/>
      </c>
      <c r="Q444" s="93">
        <f>E444-C444</f>
        <v/>
      </c>
      <c r="R444" s="93">
        <f>C444-M444</f>
        <v/>
      </c>
      <c r="S444" s="93">
        <f>C444-O444</f>
        <v/>
      </c>
      <c r="T444" s="93">
        <f>E444-O444</f>
        <v/>
      </c>
      <c r="U444" s="93">
        <f>G444-O444</f>
        <v/>
      </c>
      <c r="V444" s="93">
        <f>G444-K444</f>
        <v/>
      </c>
      <c r="W444" s="93">
        <f>C444-K444</f>
        <v/>
      </c>
      <c r="X444" s="93">
        <f>I444-G444</f>
        <v/>
      </c>
      <c r="Y444" s="94">
        <f>G444-M444</f>
        <v/>
      </c>
    </row>
    <row r="445">
      <c r="A445" s="88" t="n">
        <v>44656</v>
      </c>
      <c r="B445" s="89" t="n">
        <v>32.35</v>
      </c>
      <c r="C445" s="90" t="n">
        <v>0.3227395725140764</v>
      </c>
      <c r="D445" s="89" t="n">
        <v>34.5</v>
      </c>
      <c r="E445" s="91" t="n">
        <v>0.344189034056743</v>
      </c>
      <c r="F445" s="89" t="n">
        <v>30.69</v>
      </c>
      <c r="G445" s="90" t="n">
        <v>0.306538872013792</v>
      </c>
      <c r="H445" s="92" t="n">
        <v>33.52</v>
      </c>
      <c r="I445" s="90" t="n">
        <v>0.3351013057798046</v>
      </c>
      <c r="J445" s="92" t="n">
        <v>29.5</v>
      </c>
      <c r="K445" s="90" t="n">
        <v>0.2942201151741616</v>
      </c>
      <c r="L445" s="89" t="n">
        <v>34.55</v>
      </c>
      <c r="M445" s="90" t="n">
        <v>0.3453982731113439</v>
      </c>
      <c r="N445" s="92" t="n">
        <v>34.45</v>
      </c>
      <c r="O445" s="90" t="n">
        <v>0.3443985675451751</v>
      </c>
      <c r="P445" s="93">
        <f>C445-G445</f>
        <v/>
      </c>
      <c r="Q445" s="93">
        <f>E445-C445</f>
        <v/>
      </c>
      <c r="R445" s="93">
        <f>C445-M445</f>
        <v/>
      </c>
      <c r="S445" s="93">
        <f>C445-O445</f>
        <v/>
      </c>
      <c r="T445" s="93">
        <f>E445-O445</f>
        <v/>
      </c>
      <c r="U445" s="93">
        <f>G445-O445</f>
        <v/>
      </c>
      <c r="V445" s="93">
        <f>G445-K445</f>
        <v/>
      </c>
      <c r="W445" s="93">
        <f>C445-K445</f>
        <v/>
      </c>
      <c r="X445" s="93">
        <f>I445-G445</f>
        <v/>
      </c>
      <c r="Y445" s="94">
        <f>G445-M445</f>
        <v/>
      </c>
    </row>
    <row r="446">
      <c r="A446" s="88" t="n">
        <v>44655</v>
      </c>
      <c r="B446" s="89" t="n">
        <v>32.6</v>
      </c>
      <c r="C446" s="90" t="n">
        <v>0.325242585759191</v>
      </c>
      <c r="D446" s="89" t="n">
        <v>35</v>
      </c>
      <c r="E446" s="91" t="n">
        <v>0.3491868252015853</v>
      </c>
      <c r="F446" s="89" t="n">
        <v>31.05</v>
      </c>
      <c r="G446" s="90" t="n">
        <v>0.3101388793870151</v>
      </c>
      <c r="H446" s="92" t="n">
        <v>34.1</v>
      </c>
      <c r="I446" s="90" t="n">
        <v>0.3409007651882158</v>
      </c>
      <c r="J446" s="92" t="n">
        <v>30</v>
      </c>
      <c r="K446" s="90" t="n">
        <v>0.2992160948200775</v>
      </c>
      <c r="L446" s="89" t="n">
        <v>35</v>
      </c>
      <c r="M446" s="90" t="n">
        <v>0.3498981460876115</v>
      </c>
      <c r="N446" s="92" t="n">
        <v>34.3</v>
      </c>
      <c r="O446" s="90" t="n">
        <v>0.3429001831658592</v>
      </c>
      <c r="P446" s="93">
        <f>C446-G446</f>
        <v/>
      </c>
      <c r="Q446" s="93">
        <f>E446-C446</f>
        <v/>
      </c>
      <c r="R446" s="93">
        <f>C446-M446</f>
        <v/>
      </c>
      <c r="S446" s="93">
        <f>C446-O446</f>
        <v/>
      </c>
      <c r="T446" s="93">
        <f>E446-O446</f>
        <v/>
      </c>
      <c r="U446" s="93">
        <f>G446-O446</f>
        <v/>
      </c>
      <c r="V446" s="93">
        <f>G446-K446</f>
        <v/>
      </c>
      <c r="W446" s="93">
        <f>C446-K446</f>
        <v/>
      </c>
      <c r="X446" s="93">
        <f>I446-G446</f>
        <v/>
      </c>
      <c r="Y446" s="94">
        <f>G446-M446</f>
        <v/>
      </c>
    </row>
    <row r="447">
      <c r="A447" s="88" t="n">
        <v>44652</v>
      </c>
      <c r="B447" s="89" t="n">
        <v>32.09</v>
      </c>
      <c r="C447" s="90" t="n">
        <v>0.3201806899568094</v>
      </c>
      <c r="D447" s="89" t="n">
        <v>33.86</v>
      </c>
      <c r="E447" s="91" t="n">
        <v>0.3378410147066863</v>
      </c>
      <c r="F447" s="89" t="n">
        <v>30.7</v>
      </c>
      <c r="G447" s="90" t="n">
        <v>0.3066555376152815</v>
      </c>
      <c r="H447" s="92" t="n">
        <v>33.75</v>
      </c>
      <c r="I447" s="90" t="n">
        <v>0.337405249210838</v>
      </c>
      <c r="J447" s="92" t="n">
        <v>30.19</v>
      </c>
      <c r="K447" s="90" t="n">
        <v>0.3011389023632053</v>
      </c>
      <c r="L447" s="89" t="n">
        <v>34.5</v>
      </c>
      <c r="M447" s="90" t="n">
        <v>0.3449031436377455</v>
      </c>
      <c r="N447" s="92" t="n">
        <v>34</v>
      </c>
      <c r="O447" s="90" t="n">
        <v>0.3399045473531406</v>
      </c>
      <c r="P447" s="93">
        <f>C447-G447</f>
        <v/>
      </c>
      <c r="Q447" s="93">
        <f>E447-C447</f>
        <v/>
      </c>
      <c r="R447" s="93">
        <f>C447-M447</f>
        <v/>
      </c>
      <c r="S447" s="93">
        <f>C447-O447</f>
        <v/>
      </c>
      <c r="T447" s="93">
        <f>E447-O447</f>
        <v/>
      </c>
      <c r="U447" s="93">
        <f>G447-O447</f>
        <v/>
      </c>
      <c r="V447" s="93">
        <f>G447-K447</f>
        <v/>
      </c>
      <c r="W447" s="93">
        <f>C447-K447</f>
        <v/>
      </c>
      <c r="X447" s="93">
        <f>I447-G447</f>
        <v/>
      </c>
      <c r="Y447" s="94">
        <f>G447-M447</f>
        <v/>
      </c>
    </row>
    <row r="448">
      <c r="A448" s="88" t="n">
        <v>44651</v>
      </c>
      <c r="B448" s="89" t="n">
        <v>31.9</v>
      </c>
      <c r="C448" s="90" t="n">
        <v>0.3182936497088653</v>
      </c>
      <c r="D448" s="89" t="n">
        <v>34</v>
      </c>
      <c r="E448" s="91" t="n">
        <v>0.3392471501599191</v>
      </c>
      <c r="F448" s="89" t="n">
        <v>30.51</v>
      </c>
      <c r="G448" s="90" t="n">
        <v>0.3047618396026327</v>
      </c>
      <c r="H448" s="92" t="n">
        <v>33.8</v>
      </c>
      <c r="I448" s="90" t="n">
        <v>0.3379062657276577</v>
      </c>
      <c r="J448" s="92" t="n">
        <v>29.7</v>
      </c>
      <c r="K448" s="90" t="n">
        <v>0.2962603636810839</v>
      </c>
      <c r="L448" s="89" t="n">
        <v>34.7</v>
      </c>
      <c r="M448" s="90" t="n">
        <v>0.3469037698446664</v>
      </c>
      <c r="N448" s="92" t="n">
        <v>34.1</v>
      </c>
      <c r="O448" s="90" t="n">
        <v>0.3409054337666607</v>
      </c>
      <c r="P448" s="93">
        <f>C448-G448</f>
        <v/>
      </c>
      <c r="Q448" s="93">
        <f>E448-C448</f>
        <v/>
      </c>
      <c r="R448" s="93">
        <f>C448-M448</f>
        <v/>
      </c>
      <c r="S448" s="93">
        <f>C448-O448</f>
        <v/>
      </c>
      <c r="T448" s="93">
        <f>E448-O448</f>
        <v/>
      </c>
      <c r="U448" s="93">
        <f>G448-O448</f>
        <v/>
      </c>
      <c r="V448" s="93">
        <f>G448-K448</f>
        <v/>
      </c>
      <c r="W448" s="93">
        <f>C448-K448</f>
        <v/>
      </c>
      <c r="X448" s="93">
        <f>I448-G448</f>
        <v/>
      </c>
      <c r="Y448" s="94">
        <f>G448-M448</f>
        <v/>
      </c>
    </row>
    <row r="449">
      <c r="A449" s="88" t="n">
        <v>44650</v>
      </c>
      <c r="B449" s="89" t="n">
        <v>31.7</v>
      </c>
      <c r="C449" s="90" t="n">
        <v>0.3163067249863313</v>
      </c>
      <c r="D449" s="89" t="n">
        <v>34.25</v>
      </c>
      <c r="E449" s="91" t="n">
        <v>0.3417509568069984</v>
      </c>
      <c r="F449" s="89" t="n">
        <v>30.33</v>
      </c>
      <c r="G449" s="90" t="n">
        <v>0.3029679802955665</v>
      </c>
      <c r="H449" s="92" t="n">
        <v>33.84</v>
      </c>
      <c r="I449" s="90" t="n">
        <v>0.3383073130649137</v>
      </c>
      <c r="J449" s="92" t="n">
        <v>29.4</v>
      </c>
      <c r="K449" s="90" t="n">
        <v>0.2932768515987975</v>
      </c>
      <c r="L449" s="89" t="n">
        <v>34.6</v>
      </c>
      <c r="M449" s="90" t="n">
        <v>0.3459052314434402</v>
      </c>
      <c r="N449" s="92" t="n">
        <v>33.8</v>
      </c>
      <c r="O449" s="90" t="n">
        <v>0.3379074226239386</v>
      </c>
      <c r="P449" s="93">
        <f>C449-G449</f>
        <v/>
      </c>
      <c r="Q449" s="93">
        <f>E449-C449</f>
        <v/>
      </c>
      <c r="R449" s="93">
        <f>C449-M449</f>
        <v/>
      </c>
      <c r="S449" s="93">
        <f>C449-O449</f>
        <v/>
      </c>
      <c r="T449" s="93">
        <f>E449-O449</f>
        <v/>
      </c>
      <c r="U449" s="93">
        <f>G449-O449</f>
        <v/>
      </c>
      <c r="V449" s="93">
        <f>G449-K449</f>
        <v/>
      </c>
      <c r="W449" s="93">
        <f>C449-K449</f>
        <v/>
      </c>
      <c r="X449" s="93">
        <f>I449-G449</f>
        <v/>
      </c>
      <c r="Y449" s="94">
        <f>G449-M449</f>
        <v/>
      </c>
    </row>
    <row r="450">
      <c r="A450" s="88" t="n">
        <v>44649</v>
      </c>
      <c r="B450" s="89" t="n">
        <v>31.1</v>
      </c>
      <c r="C450" s="90" t="n">
        <v>0.3103283304628339</v>
      </c>
      <c r="D450" s="89" t="n">
        <v>34.25</v>
      </c>
      <c r="E450" s="91" t="n">
        <v>0.3417602996254682</v>
      </c>
      <c r="F450" s="89" t="n">
        <v>30</v>
      </c>
      <c r="G450" s="90" t="n">
        <v>0.2996756934276605</v>
      </c>
      <c r="H450" s="92" t="n">
        <v>33.6</v>
      </c>
      <c r="I450" s="90" t="n">
        <v>0.335909120477679</v>
      </c>
      <c r="J450" s="92" t="n">
        <v>29.3</v>
      </c>
      <c r="K450" s="90" t="n">
        <v>0.2922882980140822</v>
      </c>
      <c r="L450" s="89" t="n">
        <v>34.18</v>
      </c>
      <c r="M450" s="90" t="n">
        <v>0.3417075517240198</v>
      </c>
      <c r="N450" s="92" t="n">
        <v>33.84</v>
      </c>
      <c r="O450" s="90" t="n">
        <v>0.3383084713382339</v>
      </c>
      <c r="P450" s="93">
        <f>C450-G450</f>
        <v/>
      </c>
      <c r="Q450" s="93">
        <f>E450-C450</f>
        <v/>
      </c>
      <c r="R450" s="93">
        <f>C450-M450</f>
        <v/>
      </c>
      <c r="S450" s="93">
        <f>C450-O450</f>
        <v/>
      </c>
      <c r="T450" s="93">
        <f>E450-O450</f>
        <v/>
      </c>
      <c r="U450" s="93">
        <f>G450-O450</f>
        <v/>
      </c>
      <c r="V450" s="93">
        <f>G450-K450</f>
        <v/>
      </c>
      <c r="W450" s="93">
        <f>C450-K450</f>
        <v/>
      </c>
      <c r="X450" s="93">
        <f>I450-G450</f>
        <v/>
      </c>
      <c r="Y450" s="94">
        <f>G450-M450</f>
        <v/>
      </c>
    </row>
    <row r="451">
      <c r="A451" s="88" t="n">
        <v>44648</v>
      </c>
      <c r="B451" s="89" t="n">
        <v>31.45</v>
      </c>
      <c r="C451" s="90" t="n">
        <v>0.3138293509759965</v>
      </c>
      <c r="D451" s="89" t="n">
        <v>33.9</v>
      </c>
      <c r="E451" s="91" t="n">
        <v>0.3382771064574334</v>
      </c>
      <c r="F451" s="89" t="n">
        <v>29.42</v>
      </c>
      <c r="G451" s="90" t="n">
        <v>0.2938859848381182</v>
      </c>
      <c r="H451" s="92" t="n">
        <v>33.55</v>
      </c>
      <c r="I451" s="90" t="n">
        <v>0.3354104040701456</v>
      </c>
      <c r="J451" s="92" t="n">
        <v>28.8</v>
      </c>
      <c r="K451" s="90" t="n">
        <v>0.2873092770121147</v>
      </c>
      <c r="L451" s="89" t="n">
        <v>34.24</v>
      </c>
      <c r="M451" s="90" t="n">
        <v>0.3423085614116777</v>
      </c>
      <c r="N451" s="92" t="n">
        <v>33.8</v>
      </c>
      <c r="O451" s="90" t="n">
        <v>0.337909736440266</v>
      </c>
      <c r="P451" s="93">
        <f>C451-G451</f>
        <v/>
      </c>
      <c r="Q451" s="93">
        <f>E451-C451</f>
        <v/>
      </c>
      <c r="R451" s="93">
        <f>C451-M451</f>
        <v/>
      </c>
      <c r="S451" s="93">
        <f>C451-O451</f>
        <v/>
      </c>
      <c r="T451" s="93">
        <f>E451-O451</f>
        <v/>
      </c>
      <c r="U451" s="93">
        <f>G451-O451</f>
        <v/>
      </c>
      <c r="V451" s="93">
        <f>G451-K451</f>
        <v/>
      </c>
      <c r="W451" s="93">
        <f>C451-K451</f>
        <v/>
      </c>
      <c r="X451" s="93">
        <f>I451-G451</f>
        <v/>
      </c>
      <c r="Y451" s="94">
        <f>G451-M451</f>
        <v/>
      </c>
    </row>
    <row r="452">
      <c r="A452" s="88" t="n">
        <v>44645</v>
      </c>
      <c r="B452" s="89" t="n">
        <v>30.35</v>
      </c>
      <c r="C452" s="90" t="n">
        <v>0.3028776486671224</v>
      </c>
      <c r="D452" s="89" t="n">
        <v>33.41</v>
      </c>
      <c r="E452" s="91" t="n">
        <v>0.3334149008885851</v>
      </c>
      <c r="F452" s="89" t="n">
        <v>28.85</v>
      </c>
      <c r="G452" s="90" t="n">
        <v>0.2882039001026343</v>
      </c>
      <c r="H452" s="92" t="n">
        <v>32.65</v>
      </c>
      <c r="I452" s="90" t="n">
        <v>0.3264161602328169</v>
      </c>
      <c r="J452" s="92" t="n">
        <v>27.8</v>
      </c>
      <c r="K452" s="90" t="n">
        <v>0.2773588451353891</v>
      </c>
      <c r="L452" s="89" t="n">
        <v>32.9</v>
      </c>
      <c r="M452" s="90" t="n">
        <v>0.3289155182744158</v>
      </c>
      <c r="N452" s="92" t="n">
        <v>32.8</v>
      </c>
      <c r="O452" s="90" t="n">
        <v>0.3279157750577762</v>
      </c>
      <c r="P452" s="93">
        <f>C452-G452</f>
        <v/>
      </c>
      <c r="Q452" s="93">
        <f>E452-C452</f>
        <v/>
      </c>
      <c r="R452" s="93">
        <f>C452-M452</f>
        <v/>
      </c>
      <c r="S452" s="93">
        <f>C452-O452</f>
        <v/>
      </c>
      <c r="T452" s="93">
        <f>E452-O452</f>
        <v/>
      </c>
      <c r="U452" s="93">
        <f>G452-O452</f>
        <v/>
      </c>
      <c r="V452" s="93">
        <f>G452-K452</f>
        <v/>
      </c>
      <c r="W452" s="93">
        <f>C452-K452</f>
        <v/>
      </c>
      <c r="X452" s="93">
        <f>I452-G452</f>
        <v/>
      </c>
      <c r="Y452" s="94">
        <f>G452-M452</f>
        <v/>
      </c>
    </row>
    <row r="453">
      <c r="A453" s="88" t="n">
        <v>44643</v>
      </c>
      <c r="B453" s="89" t="n">
        <v>29.85</v>
      </c>
      <c r="C453" s="90" t="n">
        <v>0.2979041916167665</v>
      </c>
      <c r="D453" s="89" t="n">
        <v>32.95</v>
      </c>
      <c r="E453" s="91" t="n">
        <v>0.3288423153692615</v>
      </c>
      <c r="F453" s="89" t="n">
        <v>28.15</v>
      </c>
      <c r="G453" s="90" t="n">
        <v>0.2812187812187812</v>
      </c>
      <c r="H453" s="92" t="n">
        <v>32.01</v>
      </c>
      <c r="I453" s="90" t="n">
        <v>0.3200199950012497</v>
      </c>
      <c r="J453" s="92" t="n">
        <v>27.5</v>
      </c>
      <c r="K453" s="90" t="n">
        <v>0.2743826390621102</v>
      </c>
      <c r="L453" s="89" t="n">
        <v>32.8</v>
      </c>
      <c r="M453" s="90" t="n">
        <v>0.3279180204948762</v>
      </c>
      <c r="N453" s="92" t="n">
        <v>32.5</v>
      </c>
      <c r="O453" s="90" t="n">
        <v>0.3249187703074232</v>
      </c>
      <c r="P453" s="93">
        <f>C453-G453</f>
        <v/>
      </c>
      <c r="Q453" s="93">
        <f>E453-C453</f>
        <v/>
      </c>
      <c r="R453" s="93">
        <f>C453-M453</f>
        <v/>
      </c>
      <c r="S453" s="93">
        <f>C453-O453</f>
        <v/>
      </c>
      <c r="T453" s="93">
        <f>E453-O453</f>
        <v/>
      </c>
      <c r="U453" s="93">
        <f>G453-O453</f>
        <v/>
      </c>
      <c r="V453" s="93">
        <f>G453-K453</f>
        <v/>
      </c>
      <c r="W453" s="93">
        <f>C453-K453</f>
        <v/>
      </c>
      <c r="X453" s="93">
        <f>I453-G453</f>
        <v/>
      </c>
      <c r="Y453" s="94">
        <f>G453-M453</f>
        <v/>
      </c>
    </row>
    <row r="454">
      <c r="A454" s="88" t="n">
        <v>44642</v>
      </c>
      <c r="B454" s="89" t="n">
        <v>30.3</v>
      </c>
      <c r="C454" s="90" t="n">
        <v>0.3024034780706552</v>
      </c>
      <c r="D454" s="89" t="n">
        <v>34.3</v>
      </c>
      <c r="E454" s="91" t="n">
        <v>0.3423247293011046</v>
      </c>
      <c r="F454" s="89" t="n">
        <v>28.6</v>
      </c>
      <c r="G454" s="90" t="n">
        <v>0.2857181957521349</v>
      </c>
      <c r="H454" s="92" t="n">
        <v>32.53</v>
      </c>
      <c r="I454" s="90" t="n">
        <v>0.325219808814265</v>
      </c>
      <c r="J454" s="92" t="n">
        <v>28</v>
      </c>
      <c r="K454" s="90" t="n">
        <v>0.279380006014051</v>
      </c>
      <c r="L454" s="89" t="n">
        <v>33.25</v>
      </c>
      <c r="M454" s="90" t="n">
        <v>0.332418033909447</v>
      </c>
      <c r="N454" s="92" t="n">
        <v>33</v>
      </c>
      <c r="O454" s="90" t="n">
        <v>0.3299186501958421</v>
      </c>
      <c r="P454" s="93">
        <f>C454-G454</f>
        <v/>
      </c>
      <c r="Q454" s="93">
        <f>E454-C454</f>
        <v/>
      </c>
      <c r="R454" s="93">
        <f>C454-M454</f>
        <v/>
      </c>
      <c r="S454" s="93">
        <f>C454-O454</f>
        <v/>
      </c>
      <c r="T454" s="93">
        <f>E454-O454</f>
        <v/>
      </c>
      <c r="U454" s="93">
        <f>G454-O454</f>
        <v/>
      </c>
      <c r="V454" s="93">
        <f>G454-K454</f>
        <v/>
      </c>
      <c r="W454" s="93">
        <f>C454-K454</f>
        <v/>
      </c>
      <c r="X454" s="93">
        <f>I454-G454</f>
        <v/>
      </c>
      <c r="Y454" s="94">
        <f>G454-M454</f>
        <v/>
      </c>
    </row>
    <row r="455">
      <c r="A455" s="88" t="n">
        <v>44641</v>
      </c>
      <c r="B455" s="89" t="n">
        <v>31</v>
      </c>
      <c r="C455" s="90" t="n">
        <v>0.3093981570096525</v>
      </c>
      <c r="D455" s="89" t="n">
        <v>34.3</v>
      </c>
      <c r="E455" s="91" t="n">
        <v>0.3423340898526154</v>
      </c>
      <c r="F455" s="89" t="n">
        <v>29</v>
      </c>
      <c r="G455" s="90" t="n">
        <v>0.2897182192661932</v>
      </c>
      <c r="H455" s="92" t="n">
        <v>32.8</v>
      </c>
      <c r="I455" s="90" t="n">
        <v>0.3279202659627282</v>
      </c>
      <c r="J455" s="92" t="n">
        <v>28.97</v>
      </c>
      <c r="K455" s="90" t="n">
        <v>0.289067417534915</v>
      </c>
      <c r="L455" s="89" t="n">
        <v>33.65</v>
      </c>
      <c r="M455" s="90" t="n">
        <v>0.3364181996843233</v>
      </c>
      <c r="N455" s="92" t="n">
        <v>33</v>
      </c>
      <c r="O455" s="90" t="n">
        <v>0.3299197797795742</v>
      </c>
      <c r="P455" s="93">
        <f>C455-G455</f>
        <v/>
      </c>
      <c r="Q455" s="93">
        <f>E455-C455</f>
        <v/>
      </c>
      <c r="R455" s="93">
        <f>C455-M455</f>
        <v/>
      </c>
      <c r="S455" s="93">
        <f>C455-O455</f>
        <v/>
      </c>
      <c r="T455" s="93">
        <f>E455-O455</f>
        <v/>
      </c>
      <c r="U455" s="93">
        <f>G455-O455</f>
        <v/>
      </c>
      <c r="V455" s="93">
        <f>G455-K455</f>
        <v/>
      </c>
      <c r="W455" s="93">
        <f>C455-K455</f>
        <v/>
      </c>
      <c r="X455" s="93">
        <f>I455-G455</f>
        <v/>
      </c>
      <c r="Y455" s="94">
        <f>G455-M455</f>
        <v/>
      </c>
    </row>
    <row r="456">
      <c r="A456" s="88" t="n">
        <v>44638</v>
      </c>
      <c r="B456" s="89" t="n">
        <v>30.82</v>
      </c>
      <c r="C456" s="90" t="n">
        <v>0.3076268868956465</v>
      </c>
      <c r="D456" s="89" t="n">
        <v>34</v>
      </c>
      <c r="E456" s="91" t="n">
        <v>0.339367753226865</v>
      </c>
      <c r="F456" s="89" t="n">
        <v>28.87</v>
      </c>
      <c r="G456" s="90" t="n">
        <v>0.2884313242459079</v>
      </c>
      <c r="H456" s="92" t="n">
        <v>33.15</v>
      </c>
      <c r="I456" s="90" t="n">
        <v>0.3314228193434405</v>
      </c>
      <c r="J456" s="92" t="n">
        <v>28.65</v>
      </c>
      <c r="K456" s="90" t="n">
        <v>0.2859007832898172</v>
      </c>
      <c r="L456" s="89" t="n">
        <v>33.55</v>
      </c>
      <c r="M456" s="90" t="n">
        <v>0.335421888053467</v>
      </c>
      <c r="N456" s="92" t="n">
        <v>32.9</v>
      </c>
      <c r="O456" s="90" t="n">
        <v>0.328923401399674</v>
      </c>
      <c r="P456" s="93">
        <f>C456-G456</f>
        <v/>
      </c>
      <c r="Q456" s="93">
        <f>E456-C456</f>
        <v/>
      </c>
      <c r="R456" s="93">
        <f>C456-M456</f>
        <v/>
      </c>
      <c r="S456" s="93">
        <f>C456-O456</f>
        <v/>
      </c>
      <c r="T456" s="93">
        <f>E456-O456</f>
        <v/>
      </c>
      <c r="U456" s="93">
        <f>G456-O456</f>
        <v/>
      </c>
      <c r="V456" s="93">
        <f>G456-K456</f>
        <v/>
      </c>
      <c r="W456" s="93">
        <f>C456-K456</f>
        <v/>
      </c>
      <c r="X456" s="93">
        <f>I456-G456</f>
        <v/>
      </c>
      <c r="Y456" s="94">
        <f>G456-M456</f>
        <v/>
      </c>
    </row>
    <row r="457">
      <c r="A457" s="88" t="n">
        <v>44637</v>
      </c>
      <c r="B457" s="89" t="n">
        <v>31</v>
      </c>
      <c r="C457" s="90" t="n">
        <v>0.3094320015314355</v>
      </c>
      <c r="D457" s="89" t="n">
        <v>32.94</v>
      </c>
      <c r="E457" s="91" t="n">
        <v>0.328796455820822</v>
      </c>
      <c r="F457" s="89" t="n">
        <v>29.5</v>
      </c>
      <c r="G457" s="90" t="n">
        <v>0.294729494847195</v>
      </c>
      <c r="H457" s="92" t="n">
        <v>33.38</v>
      </c>
      <c r="I457" s="90" t="n">
        <v>0.3337234264740625</v>
      </c>
      <c r="J457" s="92" t="n">
        <v>28.99</v>
      </c>
      <c r="K457" s="90" t="n">
        <v>0.2893025703769271</v>
      </c>
      <c r="L457" s="89" t="n">
        <v>33.89</v>
      </c>
      <c r="M457" s="90" t="n">
        <v>0.3388222565370275</v>
      </c>
      <c r="N457" s="92" t="n">
        <v>32.99</v>
      </c>
      <c r="O457" s="90" t="n">
        <v>0.3298243211317951</v>
      </c>
      <c r="P457" s="93">
        <f>C457-G457</f>
        <v/>
      </c>
      <c r="Q457" s="93">
        <f>E457-C457</f>
        <v/>
      </c>
      <c r="R457" s="93">
        <f>C457-M457</f>
        <v/>
      </c>
      <c r="S457" s="93">
        <f>C457-O457</f>
        <v/>
      </c>
      <c r="T457" s="93">
        <f>E457-O457</f>
        <v/>
      </c>
      <c r="U457" s="93">
        <f>G457-O457</f>
        <v/>
      </c>
      <c r="V457" s="93">
        <f>G457-K457</f>
        <v/>
      </c>
      <c r="W457" s="93">
        <f>C457-K457</f>
        <v/>
      </c>
      <c r="X457" s="93">
        <f>I457-G457</f>
        <v/>
      </c>
      <c r="Y457" s="94">
        <f>G457-M457</f>
        <v/>
      </c>
    </row>
    <row r="458">
      <c r="A458" s="88" t="n">
        <v>44636</v>
      </c>
      <c r="B458" s="89" t="n">
        <v>30.7</v>
      </c>
      <c r="C458" s="90" t="n">
        <v>0.3064458786851173</v>
      </c>
      <c r="D458" s="89" t="n">
        <v>34</v>
      </c>
      <c r="E458" s="91" t="n">
        <v>0.339386315156156</v>
      </c>
      <c r="F458" s="89" t="n">
        <v>29.52</v>
      </c>
      <c r="G458" s="90" t="n">
        <v>0.2949333479320067</v>
      </c>
      <c r="H458" s="92" t="n">
        <v>33.29</v>
      </c>
      <c r="I458" s="90" t="n">
        <v>0.3328247724829319</v>
      </c>
      <c r="J458" s="92" t="n">
        <v>28.51</v>
      </c>
      <c r="K458" s="90" t="n">
        <v>0.2845212136954278</v>
      </c>
      <c r="L458" s="89" t="n">
        <v>33.5</v>
      </c>
      <c r="M458" s="90" t="n">
        <v>0.334924297932659</v>
      </c>
      <c r="N458" s="92" t="n">
        <v>33</v>
      </c>
      <c r="O458" s="90" t="n">
        <v>0.3299254278142612</v>
      </c>
      <c r="P458" s="93">
        <f>C458-G458</f>
        <v/>
      </c>
      <c r="Q458" s="93">
        <f>E458-C458</f>
        <v/>
      </c>
      <c r="R458" s="93">
        <f>C458-M458</f>
        <v/>
      </c>
      <c r="S458" s="93">
        <f>C458-O458</f>
        <v/>
      </c>
      <c r="T458" s="93">
        <f>E458-O458</f>
        <v/>
      </c>
      <c r="U458" s="93">
        <f>G458-O458</f>
        <v/>
      </c>
      <c r="V458" s="93">
        <f>G458-K458</f>
        <v/>
      </c>
      <c r="W458" s="93">
        <f>C458-K458</f>
        <v/>
      </c>
      <c r="X458" s="93">
        <f>I458-G458</f>
        <v/>
      </c>
      <c r="Y458" s="94">
        <f>G458-M458</f>
        <v/>
      </c>
    </row>
    <row r="459">
      <c r="A459" s="88" t="n">
        <v>44635</v>
      </c>
      <c r="B459" s="89" t="n">
        <v>31</v>
      </c>
      <c r="C459" s="90" t="n">
        <v>0.3094489265691235</v>
      </c>
      <c r="D459" s="89" t="n">
        <v>33.94</v>
      </c>
      <c r="E459" s="91" t="n">
        <v>0.3387966634760016</v>
      </c>
      <c r="F459" s="89" t="n">
        <v>29.35</v>
      </c>
      <c r="G459" s="90" t="n">
        <v>0.2932388968726476</v>
      </c>
      <c r="H459" s="92" t="n">
        <v>32.75</v>
      </c>
      <c r="I459" s="90" t="n">
        <v>0.3274271138274014</v>
      </c>
      <c r="J459" s="92" t="n">
        <v>28.3</v>
      </c>
      <c r="K459" s="90" t="n">
        <v>0.2824341644308492</v>
      </c>
      <c r="L459" s="89" t="n">
        <v>33.5</v>
      </c>
      <c r="M459" s="90" t="n">
        <v>0.3349254446784106</v>
      </c>
      <c r="N459" s="92" t="n">
        <v>34</v>
      </c>
      <c r="O459" s="90" t="n">
        <v>0.3399243319124168</v>
      </c>
      <c r="P459" s="93">
        <f>C459-G459</f>
        <v/>
      </c>
      <c r="Q459" s="93">
        <f>E459-C459</f>
        <v/>
      </c>
      <c r="R459" s="93">
        <f>C459-M459</f>
        <v/>
      </c>
      <c r="S459" s="93">
        <f>C459-O459</f>
        <v/>
      </c>
      <c r="T459" s="93">
        <f>E459-O459</f>
        <v/>
      </c>
      <c r="U459" s="93">
        <f>G459-O459</f>
        <v/>
      </c>
      <c r="V459" s="93">
        <f>G459-K459</f>
        <v/>
      </c>
      <c r="W459" s="93">
        <f>C459-K459</f>
        <v/>
      </c>
      <c r="X459" s="93">
        <f>I459-G459</f>
        <v/>
      </c>
      <c r="Y459" s="94">
        <f>G459-M459</f>
        <v/>
      </c>
    </row>
    <row r="460">
      <c r="A460" s="88" t="n">
        <v>44634</v>
      </c>
      <c r="B460" s="89" t="n">
        <v>31.3</v>
      </c>
      <c r="C460" s="90" t="n">
        <v>0.3124521387156766</v>
      </c>
      <c r="D460" s="89" t="n">
        <v>34.31</v>
      </c>
      <c r="E460" s="91" t="n">
        <v>0.3424994530138935</v>
      </c>
      <c r="F460" s="89" t="n">
        <v>29.62</v>
      </c>
      <c r="G460" s="90" t="n">
        <v>0.295940545275375</v>
      </c>
      <c r="H460" s="92" t="n">
        <v>33.24</v>
      </c>
      <c r="I460" s="90" t="n">
        <v>0.3323271611701545</v>
      </c>
      <c r="J460" s="92" t="n">
        <v>28.99</v>
      </c>
      <c r="K460" s="90" t="n">
        <v>0.2893292682926829</v>
      </c>
      <c r="L460" s="89" t="n">
        <v>33.9</v>
      </c>
      <c r="M460" s="90" t="n">
        <v>0.3389257149118001</v>
      </c>
      <c r="N460" s="92" t="n">
        <v>33.67</v>
      </c>
      <c r="O460" s="90" t="n">
        <v>0.3366262189109236</v>
      </c>
      <c r="P460" s="93">
        <f>C460-G460</f>
        <v/>
      </c>
      <c r="Q460" s="93">
        <f>E460-C460</f>
        <v/>
      </c>
      <c r="R460" s="93">
        <f>C460-M460</f>
        <v/>
      </c>
      <c r="S460" s="93">
        <f>C460-O460</f>
        <v/>
      </c>
      <c r="T460" s="93">
        <f>E460-O460</f>
        <v/>
      </c>
      <c r="U460" s="93">
        <f>G460-O460</f>
        <v/>
      </c>
      <c r="V460" s="93">
        <f>G460-K460</f>
        <v/>
      </c>
      <c r="W460" s="93">
        <f>C460-K460</f>
        <v/>
      </c>
      <c r="X460" s="93">
        <f>I460-G460</f>
        <v/>
      </c>
      <c r="Y460" s="94">
        <f>G460-M460</f>
        <v/>
      </c>
    </row>
    <row r="461">
      <c r="A461" s="88" t="n">
        <v>44631</v>
      </c>
      <c r="B461" s="89" t="n">
        <v>31.14</v>
      </c>
      <c r="C461" s="90" t="n">
        <v>0.3108804463772873</v>
      </c>
      <c r="D461" s="89" t="n">
        <v>34.1</v>
      </c>
      <c r="E461" s="91" t="n">
        <v>0.3404310604195728</v>
      </c>
      <c r="F461" s="89" t="n">
        <v>29.52</v>
      </c>
      <c r="G461" s="90" t="n">
        <v>0.2949535319801262</v>
      </c>
      <c r="H461" s="92" t="n">
        <v>32.95</v>
      </c>
      <c r="I461" s="90" t="n">
        <v>0.3294311804725725</v>
      </c>
      <c r="J461" s="92" t="n">
        <v>28.55</v>
      </c>
      <c r="K461" s="90" t="n">
        <v>0.2849642282147606</v>
      </c>
      <c r="L461" s="89" t="n">
        <v>34.51</v>
      </c>
      <c r="M461" s="90" t="n">
        <v>0.3450279222491192</v>
      </c>
      <c r="N461" s="92" t="n">
        <v>33.9</v>
      </c>
      <c r="O461" s="90" t="n">
        <v>0.3389291962980336</v>
      </c>
      <c r="P461" s="93">
        <f>C461-G461</f>
        <v/>
      </c>
      <c r="Q461" s="93">
        <f>E461-C461</f>
        <v/>
      </c>
      <c r="R461" s="93">
        <f>C461-M461</f>
        <v/>
      </c>
      <c r="S461" s="93">
        <f>C461-O461</f>
        <v/>
      </c>
      <c r="T461" s="93">
        <f>E461-O461</f>
        <v/>
      </c>
      <c r="U461" s="93">
        <f>G461-O461</f>
        <v/>
      </c>
      <c r="V461" s="93">
        <f>G461-K461</f>
        <v/>
      </c>
      <c r="W461" s="93">
        <f>C461-K461</f>
        <v/>
      </c>
      <c r="X461" s="93">
        <f>I461-G461</f>
        <v/>
      </c>
      <c r="Y461" s="94">
        <f>G461-M461</f>
        <v/>
      </c>
    </row>
    <row r="462">
      <c r="A462" s="88" t="n">
        <v>44630</v>
      </c>
      <c r="B462" s="89" t="n">
        <v>31.39</v>
      </c>
      <c r="C462" s="90" t="n">
        <v>0.3133848468271335</v>
      </c>
      <c r="D462" s="89" t="n">
        <v>33.9</v>
      </c>
      <c r="E462" s="91" t="n">
        <v>0.3384436542669584</v>
      </c>
      <c r="F462" s="89" t="n">
        <v>29.47</v>
      </c>
      <c r="G462" s="90" t="n">
        <v>0.2944579797426772</v>
      </c>
      <c r="H462" s="92" t="n">
        <v>32.81</v>
      </c>
      <c r="I462" s="90" t="n">
        <v>0.3280325960419092</v>
      </c>
      <c r="J462" s="92" t="n">
        <v>28.42</v>
      </c>
      <c r="K462" s="90" t="n">
        <v>0.2836753948178027</v>
      </c>
      <c r="L462" s="89" t="n">
        <v>34.65</v>
      </c>
      <c r="M462" s="90" t="n">
        <v>0.346428815996713</v>
      </c>
      <c r="N462" s="92" t="n">
        <v>33.96</v>
      </c>
      <c r="O462" s="90" t="n">
        <v>0.3395302335136616</v>
      </c>
      <c r="P462" s="93">
        <f>C462-G462</f>
        <v/>
      </c>
      <c r="Q462" s="93">
        <f>E462-C462</f>
        <v/>
      </c>
      <c r="R462" s="93">
        <f>C462-M462</f>
        <v/>
      </c>
      <c r="S462" s="93">
        <f>C462-O462</f>
        <v/>
      </c>
      <c r="T462" s="93">
        <f>E462-O462</f>
        <v/>
      </c>
      <c r="U462" s="93">
        <f>G462-O462</f>
        <v/>
      </c>
      <c r="V462" s="93">
        <f>G462-K462</f>
        <v/>
      </c>
      <c r="W462" s="93">
        <f>C462-K462</f>
        <v/>
      </c>
      <c r="X462" s="93">
        <f>I462-G462</f>
        <v/>
      </c>
      <c r="Y462" s="94">
        <f>G462-M462</f>
        <v/>
      </c>
    </row>
    <row r="463">
      <c r="A463" s="88" t="n">
        <v>44629</v>
      </c>
      <c r="B463" s="89" t="n">
        <v>31.22</v>
      </c>
      <c r="C463" s="90" t="n">
        <v>0.3116961623676796</v>
      </c>
      <c r="D463" s="89" t="n">
        <v>33.26</v>
      </c>
      <c r="E463" s="91" t="n">
        <v>0.3320632402418009</v>
      </c>
      <c r="F463" s="89" t="n">
        <v>29</v>
      </c>
      <c r="G463" s="90" t="n">
        <v>0.2897658057186657</v>
      </c>
      <c r="H463" s="92" t="n">
        <v>32.13</v>
      </c>
      <c r="I463" s="90" t="n">
        <v>0.3212350929093095</v>
      </c>
      <c r="J463" s="92" t="n">
        <v>27.8</v>
      </c>
      <c r="K463" s="90" t="n">
        <v>0.2774953765583819</v>
      </c>
      <c r="L463" s="89" t="n">
        <v>33.5</v>
      </c>
      <c r="M463" s="90" t="n">
        <v>0.3349323253178296</v>
      </c>
      <c r="N463" s="92" t="n">
        <v>32.75</v>
      </c>
      <c r="O463" s="90" t="n">
        <v>0.3274338404226543</v>
      </c>
      <c r="P463" s="93">
        <f>C463-G463</f>
        <v/>
      </c>
      <c r="Q463" s="93">
        <f>E463-C463</f>
        <v/>
      </c>
      <c r="R463" s="93">
        <f>C463-M463</f>
        <v/>
      </c>
      <c r="S463" s="93">
        <f>C463-O463</f>
        <v/>
      </c>
      <c r="T463" s="93">
        <f>E463-O463</f>
        <v/>
      </c>
      <c r="U463" s="93">
        <f>G463-O463</f>
        <v/>
      </c>
      <c r="V463" s="93">
        <f>G463-K463</f>
        <v/>
      </c>
      <c r="W463" s="93">
        <f>C463-K463</f>
        <v/>
      </c>
      <c r="X463" s="93">
        <f>I463-G463</f>
        <v/>
      </c>
      <c r="Y463" s="94">
        <f>G463-M463</f>
        <v/>
      </c>
    </row>
    <row r="464">
      <c r="A464" s="88" t="n">
        <v>44628</v>
      </c>
      <c r="B464" s="89" t="n">
        <v>29.7</v>
      </c>
      <c r="C464" s="90" t="n">
        <v>0.2965288035450517</v>
      </c>
      <c r="D464" s="89" t="n">
        <v>32</v>
      </c>
      <c r="E464" s="91" t="n">
        <v>0.3194923135838941</v>
      </c>
      <c r="F464" s="89" t="n">
        <v>28.13</v>
      </c>
      <c r="G464" s="90" t="n">
        <v>0.2810766788031427</v>
      </c>
      <c r="H464" s="92" t="n">
        <v>30.79</v>
      </c>
      <c r="I464" s="90" t="n">
        <v>0.3078388539262749</v>
      </c>
      <c r="J464" s="92" t="n">
        <v>27.2</v>
      </c>
      <c r="K464" s="90" t="n">
        <v>0.2715146211225138</v>
      </c>
      <c r="L464" s="89" t="n">
        <v>32.1</v>
      </c>
      <c r="M464" s="90" t="n">
        <v>0.3209362523882243</v>
      </c>
      <c r="N464" s="92" t="n">
        <v>31.95</v>
      </c>
      <c r="O464" s="90" t="n">
        <v>0.3194365502742606</v>
      </c>
      <c r="P464" s="93">
        <f>C464-G464</f>
        <v/>
      </c>
      <c r="Q464" s="93">
        <f>E464-C464</f>
        <v/>
      </c>
      <c r="R464" s="93">
        <f>C464-M464</f>
        <v/>
      </c>
      <c r="S464" s="93">
        <f>C464-O464</f>
        <v/>
      </c>
      <c r="T464" s="93">
        <f>E464-O464</f>
        <v/>
      </c>
      <c r="U464" s="93">
        <f>G464-O464</f>
        <v/>
      </c>
      <c r="V464" s="93">
        <f>G464-K464</f>
        <v/>
      </c>
      <c r="W464" s="93">
        <f>C464-K464</f>
        <v/>
      </c>
      <c r="X464" s="93">
        <f>I464-G464</f>
        <v/>
      </c>
      <c r="Y464" s="94">
        <f>G464-M464</f>
        <v/>
      </c>
    </row>
    <row r="465">
      <c r="A465" s="88" t="n">
        <v>44627</v>
      </c>
      <c r="B465" s="89" t="n">
        <v>29.71</v>
      </c>
      <c r="C465" s="90" t="n">
        <v>0.2966367590338376</v>
      </c>
      <c r="D465" s="89" t="n">
        <v>33</v>
      </c>
      <c r="E465" s="91" t="n">
        <v>0.3294854610608092</v>
      </c>
      <c r="F465" s="89" t="n">
        <v>28</v>
      </c>
      <c r="G465" s="90" t="n">
        <v>0.2797815404410255</v>
      </c>
      <c r="H465" s="92" t="n">
        <v>30.63</v>
      </c>
      <c r="I465" s="90" t="n">
        <v>0.3062402202309823</v>
      </c>
      <c r="J465" s="92" t="n">
        <v>27.1</v>
      </c>
      <c r="K465" s="90" t="n">
        <v>0.2705247288154715</v>
      </c>
      <c r="L465" s="89" t="n">
        <v>32.89</v>
      </c>
      <c r="M465" s="90" t="n">
        <v>0.3288358094481557</v>
      </c>
      <c r="N465" s="92" t="n">
        <v>33.1</v>
      </c>
      <c r="O465" s="90" t="n">
        <v>0.3309353995966541</v>
      </c>
      <c r="P465" s="93">
        <f>C465-G465</f>
        <v/>
      </c>
      <c r="Q465" s="93">
        <f>E465-C465</f>
        <v/>
      </c>
      <c r="R465" s="93">
        <f>C465-M465</f>
        <v/>
      </c>
      <c r="S465" s="93">
        <f>C465-O465</f>
        <v/>
      </c>
      <c r="T465" s="93">
        <f>E465-O465</f>
        <v/>
      </c>
      <c r="U465" s="93">
        <f>G465-O465</f>
        <v/>
      </c>
      <c r="V465" s="93">
        <f>G465-K465</f>
        <v/>
      </c>
      <c r="W465" s="93">
        <f>C465-K465</f>
        <v/>
      </c>
      <c r="X465" s="93">
        <f>I465-G465</f>
        <v/>
      </c>
      <c r="Y465" s="94">
        <f>G465-M465</f>
        <v/>
      </c>
    </row>
    <row r="466">
      <c r="A466" s="88" t="n">
        <v>44624</v>
      </c>
      <c r="B466" s="89" t="n">
        <v>30.85</v>
      </c>
      <c r="C466" s="90" t="n">
        <v>0.3080442632817202</v>
      </c>
      <c r="D466" s="89" t="n">
        <v>34.5</v>
      </c>
      <c r="E466" s="91" t="n">
        <v>0.3444903430541117</v>
      </c>
      <c r="F466" s="89" t="n">
        <v>28.62</v>
      </c>
      <c r="G466" s="90" t="n">
        <v>0.2859884469022915</v>
      </c>
      <c r="H466" s="92" t="n">
        <v>31.25</v>
      </c>
      <c r="I466" s="90" t="n">
        <v>0.3124422195895279</v>
      </c>
      <c r="J466" s="92" t="n">
        <v>28.5</v>
      </c>
      <c r="K466" s="90" t="n">
        <v>0.2845264388722879</v>
      </c>
      <c r="L466" s="89" t="n">
        <v>34.2</v>
      </c>
      <c r="M466" s="90" t="n">
        <v>0.3419367651187794</v>
      </c>
      <c r="N466" s="92" t="n">
        <v>34</v>
      </c>
      <c r="O466" s="90" t="n">
        <v>0.3399371349134064</v>
      </c>
      <c r="P466" s="93">
        <f>C466-G466</f>
        <v/>
      </c>
      <c r="Q466" s="93">
        <f>E466-C466</f>
        <v/>
      </c>
      <c r="R466" s="93">
        <f>C466-M466</f>
        <v/>
      </c>
      <c r="S466" s="93">
        <f>C466-O466</f>
        <v/>
      </c>
      <c r="T466" s="93">
        <f>E466-O466</f>
        <v/>
      </c>
      <c r="U466" s="93">
        <f>G466-O466</f>
        <v/>
      </c>
      <c r="V466" s="93">
        <f>G466-K466</f>
        <v/>
      </c>
      <c r="W466" s="93">
        <f>C466-K466</f>
        <v/>
      </c>
      <c r="X466" s="93">
        <f>I466-G466</f>
        <v/>
      </c>
      <c r="Y466" s="94">
        <f>G466-M466</f>
        <v/>
      </c>
    </row>
    <row r="467">
      <c r="A467" s="88" t="n">
        <v>44623</v>
      </c>
      <c r="B467" s="89" t="n">
        <v>31.58</v>
      </c>
      <c r="C467" s="90" t="n">
        <v>0.315342105983093</v>
      </c>
      <c r="D467" s="89" t="n">
        <v>34.5</v>
      </c>
      <c r="E467" s="91" t="n">
        <v>0.3444997674609471</v>
      </c>
      <c r="F467" s="89" t="n">
        <v>29.52</v>
      </c>
      <c r="G467" s="90" t="n">
        <v>0.2949858322040163</v>
      </c>
      <c r="H467" s="92" t="n">
        <v>32.39</v>
      </c>
      <c r="I467" s="90" t="n">
        <v>0.3238412206003705</v>
      </c>
      <c r="J467" s="92" t="n">
        <v>29.7</v>
      </c>
      <c r="K467" s="90" t="n">
        <v>0.2965156234507328</v>
      </c>
      <c r="L467" s="89" t="n">
        <v>35</v>
      </c>
      <c r="M467" s="90" t="n">
        <v>0.349936484131305</v>
      </c>
      <c r="N467" s="92" t="n">
        <v>34.7</v>
      </c>
      <c r="O467" s="90" t="n">
        <v>0.3469370285530367</v>
      </c>
      <c r="P467" s="93">
        <f>C467-G467</f>
        <v/>
      </c>
      <c r="Q467" s="93">
        <f>E467-C467</f>
        <v/>
      </c>
      <c r="R467" s="93">
        <f>C467-M467</f>
        <v/>
      </c>
      <c r="S467" s="93">
        <f>C467-O467</f>
        <v/>
      </c>
      <c r="T467" s="93">
        <f>E467-O467</f>
        <v/>
      </c>
      <c r="U467" s="93">
        <f>G467-O467</f>
        <v/>
      </c>
      <c r="V467" s="93">
        <f>G467-K467</f>
        <v/>
      </c>
      <c r="W467" s="93">
        <f>C467-K467</f>
        <v/>
      </c>
      <c r="X467" s="93">
        <f>I467-G467</f>
        <v/>
      </c>
      <c r="Y467" s="94">
        <f>G467-M467</f>
        <v/>
      </c>
    </row>
    <row r="468">
      <c r="A468" s="88" t="n">
        <v>44622</v>
      </c>
      <c r="B468" s="89" t="n">
        <v>31</v>
      </c>
      <c r="C468" s="90" t="n">
        <v>0.3095589844604946</v>
      </c>
      <c r="D468" s="89" t="n">
        <v>34</v>
      </c>
      <c r="E468" s="91" t="n">
        <v>0.3395163055373167</v>
      </c>
      <c r="F468" s="89" t="n">
        <v>29.4</v>
      </c>
      <c r="G468" s="90" t="n">
        <v>0.2937907244154849</v>
      </c>
      <c r="H468" s="92" t="n">
        <v>32.26</v>
      </c>
      <c r="I468" s="90" t="n">
        <v>0.3225425609138098</v>
      </c>
      <c r="J468" s="92" t="n">
        <v>29.7</v>
      </c>
      <c r="K468" s="90" t="n">
        <v>0.2965247480066195</v>
      </c>
      <c r="L468" s="89" t="n">
        <v>34.31</v>
      </c>
      <c r="M468" s="90" t="n">
        <v>0.3430389108788846</v>
      </c>
      <c r="N468" s="92" t="n">
        <v>34</v>
      </c>
      <c r="O468" s="90" t="n">
        <v>0.3399394628353855</v>
      </c>
      <c r="P468" s="93">
        <f>C468-G468</f>
        <v/>
      </c>
      <c r="Q468" s="93">
        <f>E468-C468</f>
        <v/>
      </c>
      <c r="R468" s="93">
        <f>C468-M468</f>
        <v/>
      </c>
      <c r="S468" s="93">
        <f>C468-O468</f>
        <v/>
      </c>
      <c r="T468" s="93">
        <f>E468-O468</f>
        <v/>
      </c>
      <c r="U468" s="93">
        <f>G468-O468</f>
        <v/>
      </c>
      <c r="V468" s="93">
        <f>G468-K468</f>
        <v/>
      </c>
      <c r="W468" s="93">
        <f>C468-K468</f>
        <v/>
      </c>
      <c r="X468" s="93">
        <f>I468-G468</f>
        <v/>
      </c>
      <c r="Y468" s="94">
        <f>G468-M468</f>
        <v/>
      </c>
    </row>
    <row r="469">
      <c r="A469" s="88" t="n">
        <v>44617</v>
      </c>
      <c r="B469" s="89" t="n">
        <v>31.8</v>
      </c>
      <c r="C469" s="90" t="n">
        <v>0.3175910471447725</v>
      </c>
      <c r="D469" s="89" t="n">
        <v>34.81</v>
      </c>
      <c r="E469" s="91" t="n">
        <v>0.3476523380852053</v>
      </c>
      <c r="F469" s="89" t="n">
        <v>30.05</v>
      </c>
      <c r="G469" s="90" t="n">
        <v>0.3003066518816652</v>
      </c>
      <c r="H469" s="92" t="n">
        <v>33.05</v>
      </c>
      <c r="I469" s="90" t="n">
        <v>0.3304468116433313</v>
      </c>
      <c r="J469" s="92" t="n">
        <v>29.62</v>
      </c>
      <c r="K469" s="90" t="n">
        <v>0.2957715364386522</v>
      </c>
      <c r="L469" s="89" t="n">
        <v>35.59</v>
      </c>
      <c r="M469" s="90" t="n">
        <v>0.3558427239451185</v>
      </c>
      <c r="N469" s="92" t="n">
        <v>34.15</v>
      </c>
      <c r="O469" s="90" t="n">
        <v>0.3414450413803258</v>
      </c>
      <c r="P469" s="93">
        <f>C469-G469</f>
        <v/>
      </c>
      <c r="Q469" s="93">
        <f>E469-C469</f>
        <v/>
      </c>
      <c r="R469" s="93">
        <f>C469-M469</f>
        <v/>
      </c>
      <c r="S469" s="93">
        <f>C469-O469</f>
        <v/>
      </c>
      <c r="T469" s="93">
        <f>E469-O469</f>
        <v/>
      </c>
      <c r="U469" s="93">
        <f>G469-O469</f>
        <v/>
      </c>
      <c r="V469" s="93">
        <f>G469-K469</f>
        <v/>
      </c>
      <c r="W469" s="93">
        <f>C469-K469</f>
        <v/>
      </c>
      <c r="X469" s="93">
        <f>I469-G469</f>
        <v/>
      </c>
      <c r="Y469" s="94">
        <f>G469-M469</f>
        <v/>
      </c>
    </row>
    <row r="470">
      <c r="A470" s="88" t="n">
        <v>44616</v>
      </c>
      <c r="B470" s="89" t="n">
        <v>31.88</v>
      </c>
      <c r="C470" s="90" t="n">
        <v>0.3183987303672084</v>
      </c>
      <c r="D470" s="89" t="n">
        <v>35.07</v>
      </c>
      <c r="E470" s="91" t="n">
        <v>0.3502585782301757</v>
      </c>
      <c r="F470" s="89" t="n">
        <v>30.01</v>
      </c>
      <c r="G470" s="90" t="n">
        <v>0.2999110149768639</v>
      </c>
      <c r="H470" s="92" t="n">
        <v>33.71</v>
      </c>
      <c r="I470" s="90" t="n">
        <v>0.3370469035699856</v>
      </c>
      <c r="J470" s="92" t="n">
        <v>30</v>
      </c>
      <c r="K470" s="90" t="n">
        <v>0.299575259734486</v>
      </c>
      <c r="L470" s="89" t="n">
        <v>35.21</v>
      </c>
      <c r="M470" s="90" t="n">
        <v>0.3520445409284839</v>
      </c>
      <c r="N470" s="92" t="n">
        <v>35.2</v>
      </c>
      <c r="O470" s="90" t="n">
        <v>0.3519445566794273</v>
      </c>
      <c r="P470" s="93">
        <f>C470-G470</f>
        <v/>
      </c>
      <c r="Q470" s="93">
        <f>E470-C470</f>
        <v/>
      </c>
      <c r="R470" s="93">
        <f>C470-M470</f>
        <v/>
      </c>
      <c r="S470" s="93">
        <f>C470-O470</f>
        <v/>
      </c>
      <c r="T470" s="93">
        <f>E470-O470</f>
        <v/>
      </c>
      <c r="U470" s="93">
        <f>G470-O470</f>
        <v/>
      </c>
      <c r="V470" s="93">
        <f>G470-K470</f>
        <v/>
      </c>
      <c r="W470" s="93">
        <f>C470-K470</f>
        <v/>
      </c>
      <c r="X470" s="93">
        <f>I470-G470</f>
        <v/>
      </c>
      <c r="Y470" s="94">
        <f>G470-M470</f>
        <v/>
      </c>
    </row>
    <row r="471">
      <c r="A471" s="88" t="n">
        <v>44615</v>
      </c>
      <c r="B471" s="89" t="n">
        <v>32.2</v>
      </c>
      <c r="C471" s="90" t="n">
        <v>0.321603502531126</v>
      </c>
      <c r="D471" s="89" t="n">
        <v>35.6</v>
      </c>
      <c r="E471" s="91" t="n">
        <v>0.3555616363387604</v>
      </c>
      <c r="F471" s="89" t="n">
        <v>30.41</v>
      </c>
      <c r="G471" s="90" t="n">
        <v>0.3039126565815593</v>
      </c>
      <c r="H471" s="92" t="n">
        <v>34.45</v>
      </c>
      <c r="I471" s="90" t="n">
        <v>0.3444469174271089</v>
      </c>
      <c r="J471" s="92" t="n">
        <v>30.64</v>
      </c>
      <c r="K471" s="90" t="n">
        <v>0.3059756160120381</v>
      </c>
      <c r="L471" s="89" t="n">
        <v>36</v>
      </c>
      <c r="M471" s="90" t="n">
        <v>0.3599445290965433</v>
      </c>
      <c r="N471" s="92" t="n">
        <v>34.85</v>
      </c>
      <c r="O471" s="90" t="n">
        <v>0.3484463010837371</v>
      </c>
      <c r="P471" s="93">
        <f>C471-G471</f>
        <v/>
      </c>
      <c r="Q471" s="93">
        <f>E471-C471</f>
        <v/>
      </c>
      <c r="R471" s="93">
        <f>C471-M471</f>
        <v/>
      </c>
      <c r="S471" s="93">
        <f>C471-O471</f>
        <v/>
      </c>
      <c r="T471" s="93">
        <f>E471-O471</f>
        <v/>
      </c>
      <c r="U471" s="93">
        <f>G471-O471</f>
        <v/>
      </c>
      <c r="V471" s="93">
        <f>G471-K471</f>
        <v/>
      </c>
      <c r="W471" s="93">
        <f>C471-K471</f>
        <v/>
      </c>
      <c r="X471" s="93">
        <f>I471-G471</f>
        <v/>
      </c>
      <c r="Y471" s="94">
        <f>G471-M471</f>
        <v/>
      </c>
    </row>
    <row r="472">
      <c r="A472" s="88" t="n">
        <v>44614</v>
      </c>
      <c r="B472" s="89" t="n">
        <v>32.25</v>
      </c>
      <c r="C472" s="90" t="n">
        <v>0.3221117009632224</v>
      </c>
      <c r="D472" s="89" t="n">
        <v>35.3</v>
      </c>
      <c r="E472" s="91" t="n">
        <v>0.3525749781085814</v>
      </c>
      <c r="F472" s="89" t="n">
        <v>30.66</v>
      </c>
      <c r="G472" s="90" t="n">
        <v>0.3064153113192049</v>
      </c>
      <c r="H472" s="92" t="n">
        <v>34.71</v>
      </c>
      <c r="I472" s="90" t="n">
        <v>0.3470477051403213</v>
      </c>
      <c r="J472" s="92" t="n">
        <v>30.02</v>
      </c>
      <c r="K472" s="90" t="n">
        <v>0.2997934308266871</v>
      </c>
      <c r="L472" s="89" t="n">
        <v>36.45</v>
      </c>
      <c r="M472" s="90" t="n">
        <v>0.3644450836175371</v>
      </c>
      <c r="N472" s="92" t="n">
        <v>34.91</v>
      </c>
      <c r="O472" s="90" t="n">
        <v>0.3490474038158634</v>
      </c>
      <c r="P472" s="93">
        <f>C472-G472</f>
        <v/>
      </c>
      <c r="Q472" s="93">
        <f>E472-C472</f>
        <v/>
      </c>
      <c r="R472" s="93">
        <f>C472-M472</f>
        <v/>
      </c>
      <c r="S472" s="93">
        <f>C472-O472</f>
        <v/>
      </c>
      <c r="T472" s="93">
        <f>E472-O472</f>
        <v/>
      </c>
      <c r="U472" s="93">
        <f>G472-O472</f>
        <v/>
      </c>
      <c r="V472" s="93">
        <f>G472-K472</f>
        <v/>
      </c>
      <c r="W472" s="93">
        <f>C472-K472</f>
        <v/>
      </c>
      <c r="X472" s="93">
        <f>I472-G472</f>
        <v/>
      </c>
      <c r="Y472" s="94">
        <f>G472-M472</f>
        <v/>
      </c>
    </row>
    <row r="473">
      <c r="A473" s="88" t="n">
        <v>44613</v>
      </c>
      <c r="B473" s="89" t="n">
        <v>32.3</v>
      </c>
      <c r="C473" s="90" t="n">
        <v>0.3226199272090414</v>
      </c>
      <c r="D473" s="89" t="n">
        <v>34.71</v>
      </c>
      <c r="E473" s="91" t="n">
        <v>0.3466915688367129</v>
      </c>
      <c r="F473" s="89" t="n">
        <v>30.89</v>
      </c>
      <c r="G473" s="90" t="n">
        <v>0.3087181523212355</v>
      </c>
      <c r="H473" s="92" t="n">
        <v>34.95</v>
      </c>
      <c r="I473" s="90" t="n">
        <v>0.3494485401122438</v>
      </c>
      <c r="J473" s="92" t="n">
        <v>30.8</v>
      </c>
      <c r="K473" s="90" t="n">
        <v>0.3075923348165274</v>
      </c>
      <c r="L473" s="89" t="n">
        <v>36</v>
      </c>
      <c r="M473" s="90" t="n">
        <v>0.3599469941070322</v>
      </c>
      <c r="N473" s="92" t="n">
        <v>34.8</v>
      </c>
      <c r="O473" s="90" t="n">
        <v>0.3479487609701311</v>
      </c>
      <c r="P473" s="93">
        <f>C473-G473</f>
        <v/>
      </c>
      <c r="Q473" s="93">
        <f>E473-C473</f>
        <v/>
      </c>
      <c r="R473" s="93">
        <f>C473-M473</f>
        <v/>
      </c>
      <c r="S473" s="93">
        <f>C473-O473</f>
        <v/>
      </c>
      <c r="T473" s="93">
        <f>E473-O473</f>
        <v/>
      </c>
      <c r="U473" s="93">
        <f>G473-O473</f>
        <v/>
      </c>
      <c r="V473" s="93">
        <f>G473-K473</f>
        <v/>
      </c>
      <c r="W473" s="93">
        <f>C473-K473</f>
        <v/>
      </c>
      <c r="X473" s="93">
        <f>I473-G473</f>
        <v/>
      </c>
      <c r="Y473" s="94">
        <f>G473-M473</f>
        <v/>
      </c>
    </row>
    <row r="474">
      <c r="A474" s="88" t="n">
        <v>44610</v>
      </c>
      <c r="B474" s="89" t="n">
        <v>32.09</v>
      </c>
      <c r="C474" s="90" t="n">
        <v>0.320548713738369</v>
      </c>
      <c r="D474" s="89" t="n">
        <v>35.2</v>
      </c>
      <c r="E474" s="91" t="n">
        <v>0.3516146688560482</v>
      </c>
      <c r="F474" s="89" t="n">
        <v>30.8</v>
      </c>
      <c r="G474" s="90" t="n">
        <v>0.3078313253012048</v>
      </c>
      <c r="H474" s="92" t="n">
        <v>35.3</v>
      </c>
      <c r="I474" s="90" t="n">
        <v>0.3529516504588412</v>
      </c>
      <c r="J474" s="92" t="n">
        <v>30.51</v>
      </c>
      <c r="K474" s="90" t="n">
        <v>0.3047243124914489</v>
      </c>
      <c r="L474" s="89" t="n">
        <v>35.9</v>
      </c>
      <c r="M474" s="90" t="n">
        <v>0.3589508286536091</v>
      </c>
      <c r="N474" s="92" t="n">
        <v>35.5</v>
      </c>
      <c r="O474" s="90" t="n">
        <v>0.3549513765237639</v>
      </c>
      <c r="P474" s="93">
        <f>C474-G474</f>
        <v/>
      </c>
      <c r="Q474" s="93">
        <f>E474-C474</f>
        <v/>
      </c>
      <c r="R474" s="93">
        <f>C474-M474</f>
        <v/>
      </c>
      <c r="S474" s="93">
        <f>C474-O474</f>
        <v/>
      </c>
      <c r="T474" s="93">
        <f>E474-O474</f>
        <v/>
      </c>
      <c r="U474" s="93">
        <f>G474-O474</f>
        <v/>
      </c>
      <c r="V474" s="93">
        <f>G474-K474</f>
        <v/>
      </c>
      <c r="W474" s="93">
        <f>C474-K474</f>
        <v/>
      </c>
      <c r="X474" s="93">
        <f>I474-G474</f>
        <v/>
      </c>
      <c r="Y474" s="94">
        <f>G474-M474</f>
        <v/>
      </c>
    </row>
    <row r="475">
      <c r="A475" s="88" t="n">
        <v>44609</v>
      </c>
      <c r="B475" s="89" t="n">
        <v>31.8</v>
      </c>
      <c r="C475" s="90" t="n">
        <v>0.317660581844057</v>
      </c>
      <c r="D475" s="89" t="n">
        <v>36.15</v>
      </c>
      <c r="E475" s="91" t="n">
        <v>0.3611141520019705</v>
      </c>
      <c r="F475" s="89" t="n">
        <v>30.19</v>
      </c>
      <c r="G475" s="90" t="n">
        <v>0.3017387970810115</v>
      </c>
      <c r="H475" s="92" t="n">
        <v>34.38</v>
      </c>
      <c r="I475" s="90" t="n">
        <v>0.3437540876389797</v>
      </c>
      <c r="J475" s="92" t="n">
        <v>29.8</v>
      </c>
      <c r="K475" s="90" t="n">
        <v>0.2976422177451078</v>
      </c>
      <c r="L475" s="89" t="n">
        <v>34.9</v>
      </c>
      <c r="M475" s="90" t="n">
        <v>0.3489533932111807</v>
      </c>
      <c r="N475" s="92" t="n">
        <v>34.5</v>
      </c>
      <c r="O475" s="90" t="n">
        <v>0.3449539273864107</v>
      </c>
      <c r="P475" s="93">
        <f>C475-G475</f>
        <v/>
      </c>
      <c r="Q475" s="93">
        <f>E475-C475</f>
        <v/>
      </c>
      <c r="R475" s="93">
        <f>C475-M475</f>
        <v/>
      </c>
      <c r="S475" s="93">
        <f>C475-O475</f>
        <v/>
      </c>
      <c r="T475" s="93">
        <f>E475-O475</f>
        <v/>
      </c>
      <c r="U475" s="93">
        <f>G475-O475</f>
        <v/>
      </c>
      <c r="V475" s="93">
        <f>G475-K475</f>
        <v/>
      </c>
      <c r="W475" s="93">
        <f>C475-K475</f>
        <v/>
      </c>
      <c r="X475" s="93">
        <f>I475-G475</f>
        <v/>
      </c>
      <c r="Y475" s="94">
        <f>G475-M475</f>
        <v/>
      </c>
    </row>
    <row r="476">
      <c r="A476" s="88" t="n">
        <v>44608</v>
      </c>
      <c r="B476" s="89" t="n">
        <v>32.06</v>
      </c>
      <c r="C476" s="90" t="n">
        <v>0.3202665717882752</v>
      </c>
      <c r="D476" s="89" t="n">
        <v>36.15</v>
      </c>
      <c r="E476" s="91" t="n">
        <v>0.3611240352509716</v>
      </c>
      <c r="F476" s="89" t="n">
        <v>30.48</v>
      </c>
      <c r="G476" s="90" t="n">
        <v>0.3046414195350365</v>
      </c>
      <c r="H476" s="92" t="n">
        <v>34.57</v>
      </c>
      <c r="I476" s="90" t="n">
        <v>0.3456550174977229</v>
      </c>
      <c r="J476" s="92" t="n">
        <v>30.5</v>
      </c>
      <c r="K476" s="90" t="n">
        <v>0.3046431918780059</v>
      </c>
      <c r="L476" s="89" t="n">
        <v>35</v>
      </c>
      <c r="M476" s="90" t="n">
        <v>0.3499544579814955</v>
      </c>
      <c r="N476" s="92" t="n">
        <v>35.1</v>
      </c>
      <c r="O476" s="90" t="n">
        <v>0.3509543278614427</v>
      </c>
      <c r="P476" s="93">
        <f>C476-G476</f>
        <v/>
      </c>
      <c r="Q476" s="93">
        <f>E476-C476</f>
        <v/>
      </c>
      <c r="R476" s="93">
        <f>C476-M476</f>
        <v/>
      </c>
      <c r="S476" s="93">
        <f>C476-O476</f>
        <v/>
      </c>
      <c r="T476" s="93">
        <f>E476-O476</f>
        <v/>
      </c>
      <c r="U476" s="93">
        <f>G476-O476</f>
        <v/>
      </c>
      <c r="V476" s="93">
        <f>G476-K476</f>
        <v/>
      </c>
      <c r="W476" s="93">
        <f>C476-K476</f>
        <v/>
      </c>
      <c r="X476" s="93">
        <f>I476-G476</f>
        <v/>
      </c>
      <c r="Y476" s="94">
        <f>G476-M476</f>
        <v/>
      </c>
    </row>
    <row r="477">
      <c r="A477" s="88" t="n">
        <v>44607</v>
      </c>
      <c r="B477" s="89" t="n">
        <v>31.9</v>
      </c>
      <c r="C477" s="90" t="n">
        <v>0.3186769576046199</v>
      </c>
      <c r="D477" s="89" t="n">
        <v>35</v>
      </c>
      <c r="E477" s="91" t="n">
        <v>0.3496455647699592</v>
      </c>
      <c r="F477" s="89" t="n">
        <v>30.21</v>
      </c>
      <c r="G477" s="90" t="n">
        <v>0.3019469583909525</v>
      </c>
      <c r="H477" s="92" t="n">
        <v>34.04</v>
      </c>
      <c r="I477" s="90" t="n">
        <v>0.3403568725880625</v>
      </c>
      <c r="J477" s="92" t="n">
        <v>29.8</v>
      </c>
      <c r="K477" s="90" t="n">
        <v>0.2976605446528445</v>
      </c>
      <c r="L477" s="89" t="n">
        <v>34.5</v>
      </c>
      <c r="M477" s="90" t="n">
        <v>0.3449562897851984</v>
      </c>
      <c r="N477" s="92" t="n">
        <v>34.69</v>
      </c>
      <c r="O477" s="90" t="n">
        <v>0.3468560490622764</v>
      </c>
      <c r="P477" s="93">
        <f>C477-G477</f>
        <v/>
      </c>
      <c r="Q477" s="93">
        <f>E477-C477</f>
        <v/>
      </c>
      <c r="R477" s="93">
        <f>C477-M477</f>
        <v/>
      </c>
      <c r="S477" s="93">
        <f>C477-O477</f>
        <v/>
      </c>
      <c r="T477" s="93">
        <f>E477-O477</f>
        <v/>
      </c>
      <c r="U477" s="93">
        <f>G477-O477</f>
        <v/>
      </c>
      <c r="V477" s="93">
        <f>G477-K477</f>
        <v/>
      </c>
      <c r="W477" s="93">
        <f>C477-K477</f>
        <v/>
      </c>
      <c r="X477" s="93">
        <f>I477-G477</f>
        <v/>
      </c>
      <c r="Y477" s="94">
        <f>G477-M477</f>
        <v/>
      </c>
    </row>
    <row r="478">
      <c r="A478" s="88" t="n">
        <v>44606</v>
      </c>
      <c r="B478" s="89" t="n">
        <v>31.5</v>
      </c>
      <c r="C478" s="90" t="n">
        <v>0.3146896211955332</v>
      </c>
      <c r="D478" s="89" t="n">
        <v>34.6</v>
      </c>
      <c r="E478" s="91" t="n">
        <v>0.3456590759798555</v>
      </c>
      <c r="F478" s="89" t="n">
        <v>29.85</v>
      </c>
      <c r="G478" s="90" t="n">
        <v>0.2983528670792486</v>
      </c>
      <c r="H478" s="92" t="n">
        <v>33.6</v>
      </c>
      <c r="I478" s="90" t="n">
        <v>0.3359585804489857</v>
      </c>
      <c r="J478" s="92" t="n">
        <v>30.5</v>
      </c>
      <c r="K478" s="90" t="n">
        <v>0.3046619504385545</v>
      </c>
      <c r="L478" s="89" t="n">
        <v>34</v>
      </c>
      <c r="M478" s="90" t="n">
        <v>0.3399580873590927</v>
      </c>
      <c r="N478" s="92" t="n">
        <v>34.25</v>
      </c>
      <c r="O478" s="90" t="n">
        <v>0.3424577791779096</v>
      </c>
      <c r="P478" s="93">
        <f>C478-G478</f>
        <v/>
      </c>
      <c r="Q478" s="93">
        <f>E478-C478</f>
        <v/>
      </c>
      <c r="R478" s="93">
        <f>C478-M478</f>
        <v/>
      </c>
      <c r="S478" s="93">
        <f>C478-O478</f>
        <v/>
      </c>
      <c r="T478" s="93">
        <f>E478-O478</f>
        <v/>
      </c>
      <c r="U478" s="93">
        <f>G478-O478</f>
        <v/>
      </c>
      <c r="V478" s="93">
        <f>G478-K478</f>
        <v/>
      </c>
      <c r="W478" s="93">
        <f>C478-K478</f>
        <v/>
      </c>
      <c r="X478" s="93">
        <f>I478-G478</f>
        <v/>
      </c>
      <c r="Y478" s="94">
        <f>G478-M478</f>
        <v/>
      </c>
    </row>
    <row r="479">
      <c r="A479" s="88" t="n">
        <v>44603</v>
      </c>
      <c r="B479" s="89" t="n">
        <v>31.57</v>
      </c>
      <c r="C479" s="90" t="n">
        <v>0.3154148304272849</v>
      </c>
      <c r="D479" s="89" t="n">
        <v>34.5</v>
      </c>
      <c r="E479" s="91" t="n">
        <v>0.3446883639449265</v>
      </c>
      <c r="F479" s="89" t="n">
        <v>29.85</v>
      </c>
      <c r="G479" s="90" t="n">
        <v>0.2983651226158038</v>
      </c>
      <c r="H479" s="92" t="n">
        <v>33.6</v>
      </c>
      <c r="I479" s="90" t="n">
        <v>0.3359620316881997</v>
      </c>
      <c r="J479" s="92" t="n">
        <v>29.9</v>
      </c>
      <c r="K479" s="90" t="n">
        <v>0.2986961891500768</v>
      </c>
      <c r="L479" s="89" t="n">
        <v>34.15</v>
      </c>
      <c r="M479" s="90" t="n">
        <v>0.3414614101830957</v>
      </c>
      <c r="N479" s="92" t="n">
        <v>34</v>
      </c>
      <c r="O479" s="90" t="n">
        <v>0.3399615796844877</v>
      </c>
      <c r="P479" s="93">
        <f>C479-G479</f>
        <v/>
      </c>
      <c r="Q479" s="93">
        <f>E479-C479</f>
        <v/>
      </c>
      <c r="R479" s="93">
        <f>C479-M479</f>
        <v/>
      </c>
      <c r="S479" s="93">
        <f>C479-O479</f>
        <v/>
      </c>
      <c r="T479" s="93">
        <f>E479-O479</f>
        <v/>
      </c>
      <c r="U479" s="93">
        <f>G479-O479</f>
        <v/>
      </c>
      <c r="V479" s="93">
        <f>G479-K479</f>
        <v/>
      </c>
      <c r="W479" s="93">
        <f>C479-K479</f>
        <v/>
      </c>
      <c r="X479" s="93">
        <f>I479-G479</f>
        <v/>
      </c>
      <c r="Y479" s="94">
        <f>G479-M479</f>
        <v/>
      </c>
    </row>
    <row r="480">
      <c r="A480" s="88" t="n">
        <v>44602</v>
      </c>
      <c r="B480" s="89" t="n">
        <v>32.2</v>
      </c>
      <c r="C480" s="90" t="n">
        <v>0.3217179459104347</v>
      </c>
      <c r="D480" s="89" t="n">
        <v>35.25</v>
      </c>
      <c r="E480" s="91" t="n">
        <v>0.35219122960692</v>
      </c>
      <c r="F480" s="89" t="n">
        <v>30.16</v>
      </c>
      <c r="G480" s="90" t="n">
        <v>0.3014678497097163</v>
      </c>
      <c r="H480" s="92" t="n">
        <v>34.25</v>
      </c>
      <c r="I480" s="90" t="n">
        <v>0.342462469866316</v>
      </c>
      <c r="J480" s="92" t="n">
        <v>30.2</v>
      </c>
      <c r="K480" s="90" t="n">
        <v>0.3017024304795271</v>
      </c>
      <c r="L480" s="89" t="n">
        <v>34.46</v>
      </c>
      <c r="M480" s="90" t="n">
        <v>0.3445622397545475</v>
      </c>
      <c r="N480" s="92" t="n">
        <v>34</v>
      </c>
      <c r="O480" s="90" t="n">
        <v>0.3399627438088977</v>
      </c>
      <c r="P480" s="93">
        <f>C480-G480</f>
        <v/>
      </c>
      <c r="Q480" s="93">
        <f>E480-C480</f>
        <v/>
      </c>
      <c r="R480" s="93">
        <f>C480-M480</f>
        <v/>
      </c>
      <c r="S480" s="93">
        <f>C480-O480</f>
        <v/>
      </c>
      <c r="T480" s="93">
        <f>E480-O480</f>
        <v/>
      </c>
      <c r="U480" s="93">
        <f>G480-O480</f>
        <v/>
      </c>
      <c r="V480" s="93">
        <f>G480-K480</f>
        <v/>
      </c>
      <c r="W480" s="93">
        <f>C480-K480</f>
        <v/>
      </c>
      <c r="X480" s="93">
        <f>I480-G480</f>
        <v/>
      </c>
      <c r="Y480" s="94">
        <f>G480-M480</f>
        <v/>
      </c>
    </row>
    <row r="481">
      <c r="A481" s="88" t="n">
        <v>44601</v>
      </c>
      <c r="B481" s="89" t="n">
        <v>32.8</v>
      </c>
      <c r="C481" s="90" t="n">
        <v>0.3277216610549943</v>
      </c>
      <c r="D481" s="89" t="n">
        <v>35.5</v>
      </c>
      <c r="E481" s="91" t="n">
        <v>0.3546987490076921</v>
      </c>
      <c r="F481" s="89" t="n">
        <v>30.6</v>
      </c>
      <c r="G481" s="90" t="n">
        <v>0.3058701099533075</v>
      </c>
      <c r="H481" s="92" t="n">
        <v>34.79</v>
      </c>
      <c r="I481" s="90" t="n">
        <v>0.3478630693316805</v>
      </c>
      <c r="J481" s="92" t="n">
        <v>29.7</v>
      </c>
      <c r="K481" s="90" t="n">
        <v>0.296716493487387</v>
      </c>
      <c r="L481" s="89" t="n">
        <v>34.89</v>
      </c>
      <c r="M481" s="90" t="n">
        <v>0.3488629631785667</v>
      </c>
      <c r="N481" s="92" t="n">
        <v>34.25</v>
      </c>
      <c r="O481" s="90" t="n">
        <v>0.3424636425584955</v>
      </c>
      <c r="P481" s="93">
        <f>C481-G481</f>
        <v/>
      </c>
      <c r="Q481" s="93">
        <f>E481-C481</f>
        <v/>
      </c>
      <c r="R481" s="93">
        <f>C481-M481</f>
        <v/>
      </c>
      <c r="S481" s="93">
        <f>C481-O481</f>
        <v/>
      </c>
      <c r="T481" s="93">
        <f>E481-O481</f>
        <v/>
      </c>
      <c r="U481" s="93">
        <f>G481-O481</f>
        <v/>
      </c>
      <c r="V481" s="93">
        <f>G481-K481</f>
        <v/>
      </c>
      <c r="W481" s="93">
        <f>C481-K481</f>
        <v/>
      </c>
      <c r="X481" s="93">
        <f>I481-G481</f>
        <v/>
      </c>
      <c r="Y481" s="94">
        <f>G481-M481</f>
        <v/>
      </c>
    </row>
    <row r="482">
      <c r="A482" s="88" t="n">
        <v>44600</v>
      </c>
      <c r="B482" s="89" t="n">
        <v>33.4</v>
      </c>
      <c r="C482" s="90" t="n">
        <v>0.3337257049000821</v>
      </c>
      <c r="D482" s="89" t="n">
        <v>36</v>
      </c>
      <c r="E482" s="91" t="n">
        <v>0.3597043525869149</v>
      </c>
      <c r="F482" s="89" t="n">
        <v>30.8</v>
      </c>
      <c r="G482" s="90" t="n">
        <v>0.3078734766534301</v>
      </c>
      <c r="H482" s="92" t="n">
        <v>34.68</v>
      </c>
      <c r="I482" s="90" t="n">
        <v>0.3467643735232682</v>
      </c>
      <c r="J482" s="92" t="n">
        <v>30.2</v>
      </c>
      <c r="K482" s="90" t="n">
        <v>0.3017210113935744</v>
      </c>
      <c r="L482" s="89" t="n">
        <v>34.2</v>
      </c>
      <c r="M482" s="90" t="n">
        <v>0.3419648666232922</v>
      </c>
      <c r="N482" s="92" t="n">
        <v>34.15</v>
      </c>
      <c r="O482" s="90" t="n">
        <v>0.3414649179878779</v>
      </c>
      <c r="P482" s="93">
        <f>C482-G482</f>
        <v/>
      </c>
      <c r="Q482" s="93">
        <f>E482-C482</f>
        <v/>
      </c>
      <c r="R482" s="93">
        <f>C482-M482</f>
        <v/>
      </c>
      <c r="S482" s="93">
        <f>C482-O482</f>
        <v/>
      </c>
      <c r="T482" s="93">
        <f>E482-O482</f>
        <v/>
      </c>
      <c r="U482" s="93">
        <f>G482-O482</f>
        <v/>
      </c>
      <c r="V482" s="93">
        <f>G482-K482</f>
        <v/>
      </c>
      <c r="W482" s="93">
        <f>C482-K482</f>
        <v/>
      </c>
      <c r="X482" s="93">
        <f>I482-G482</f>
        <v/>
      </c>
      <c r="Y482" s="94">
        <f>G482-M482</f>
        <v/>
      </c>
    </row>
    <row r="483">
      <c r="A483" s="88" t="n">
        <v>44599</v>
      </c>
      <c r="B483" s="89" t="n">
        <v>32.49</v>
      </c>
      <c r="C483" s="90" t="n">
        <v>0.3246420652084645</v>
      </c>
      <c r="D483" s="89" t="n">
        <v>35.4</v>
      </c>
      <c r="E483" s="91" t="n">
        <v>0.3537189630156862</v>
      </c>
      <c r="F483" s="89" t="n">
        <v>30.7</v>
      </c>
      <c r="G483" s="90" t="n">
        <v>0.3068780895260787</v>
      </c>
      <c r="H483" s="92" t="n">
        <v>34.44</v>
      </c>
      <c r="I483" s="90" t="n">
        <v>0.3443657992870571</v>
      </c>
      <c r="J483" s="92" t="n">
        <v>30.2</v>
      </c>
      <c r="K483" s="90" t="n">
        <v>0.3017303027088801</v>
      </c>
      <c r="L483" s="89" t="n">
        <v>34</v>
      </c>
      <c r="M483" s="90" t="n">
        <v>0.3399662362299635</v>
      </c>
      <c r="N483" s="92" t="n">
        <v>34.9</v>
      </c>
      <c r="O483" s="90" t="n">
        <v>0.3489653424831096</v>
      </c>
      <c r="P483" s="93">
        <f>C483-G483</f>
        <v/>
      </c>
      <c r="Q483" s="93">
        <f>E483-C483</f>
        <v/>
      </c>
      <c r="R483" s="93">
        <f>C483-M483</f>
        <v/>
      </c>
      <c r="S483" s="93">
        <f>C483-O483</f>
        <v/>
      </c>
      <c r="T483" s="93">
        <f>E483-O483</f>
        <v/>
      </c>
      <c r="U483" s="93">
        <f>G483-O483</f>
        <v/>
      </c>
      <c r="V483" s="93">
        <f>G483-K483</f>
        <v/>
      </c>
      <c r="W483" s="93">
        <f>C483-K483</f>
        <v/>
      </c>
      <c r="X483" s="93">
        <f>I483-G483</f>
        <v/>
      </c>
      <c r="Y483" s="94">
        <f>G483-M483</f>
        <v/>
      </c>
    </row>
    <row r="484">
      <c r="A484" s="88" t="n">
        <v>44596</v>
      </c>
      <c r="B484" s="89" t="n">
        <v>32.4</v>
      </c>
      <c r="C484" s="90" t="n">
        <v>0.3237693697640037</v>
      </c>
      <c r="D484" s="89" t="n">
        <v>35.56</v>
      </c>
      <c r="E484" s="91" t="n">
        <v>0.3553468761977769</v>
      </c>
      <c r="F484" s="89" t="n">
        <v>30</v>
      </c>
      <c r="G484" s="90" t="n">
        <v>0.2998931887273026</v>
      </c>
      <c r="H484" s="92" t="n">
        <v>34.09</v>
      </c>
      <c r="I484" s="90" t="n">
        <v>0.3408696485929336</v>
      </c>
      <c r="J484" s="92" t="n">
        <v>29.8</v>
      </c>
      <c r="K484" s="90" t="n">
        <v>0.2977613830012935</v>
      </c>
      <c r="L484" s="89" t="n">
        <v>33.75</v>
      </c>
      <c r="M484" s="90" t="n">
        <v>0.3374699513057057</v>
      </c>
      <c r="N484" s="92" t="n">
        <v>35</v>
      </c>
      <c r="O484" s="90" t="n">
        <v>0.3499688383911022</v>
      </c>
      <c r="P484" s="93">
        <f>C484-G484</f>
        <v/>
      </c>
      <c r="Q484" s="93">
        <f>E484-C484</f>
        <v/>
      </c>
      <c r="R484" s="93">
        <f>C484-M484</f>
        <v/>
      </c>
      <c r="S484" s="93">
        <f>C484-O484</f>
        <v/>
      </c>
      <c r="T484" s="93">
        <f>E484-O484</f>
        <v/>
      </c>
      <c r="U484" s="93">
        <f>G484-O484</f>
        <v/>
      </c>
      <c r="V484" s="93">
        <f>G484-K484</f>
        <v/>
      </c>
      <c r="W484" s="93">
        <f>C484-K484</f>
        <v/>
      </c>
      <c r="X484" s="93">
        <f>I484-G484</f>
        <v/>
      </c>
      <c r="Y484" s="94">
        <f>G484-M484</f>
        <v/>
      </c>
    </row>
    <row r="485">
      <c r="A485" s="88" t="n">
        <v>44595</v>
      </c>
      <c r="B485" s="89" t="n">
        <v>32.9</v>
      </c>
      <c r="C485" s="90" t="n">
        <v>0.3287748117727584</v>
      </c>
      <c r="D485" s="89" t="n">
        <v>36.2</v>
      </c>
      <c r="E485" s="91" t="n">
        <v>0.3617522245037646</v>
      </c>
      <c r="F485" s="89" t="n">
        <v>31.05</v>
      </c>
      <c r="G485" s="90" t="n">
        <v>0.3103937007874016</v>
      </c>
      <c r="H485" s="92" t="n">
        <v>35</v>
      </c>
      <c r="I485" s="90" t="n">
        <v>0.3499700368119168</v>
      </c>
      <c r="J485" s="92" t="n">
        <v>30.5</v>
      </c>
      <c r="K485" s="90" t="n">
        <v>0.3047651638292412</v>
      </c>
      <c r="L485" s="89" t="n">
        <v>34.85</v>
      </c>
      <c r="M485" s="90" t="n">
        <v>0.34847016522558</v>
      </c>
      <c r="N485" s="92" t="n">
        <v>35.5</v>
      </c>
      <c r="O485" s="90" t="n">
        <v>0.3549696087663727</v>
      </c>
      <c r="P485" s="93">
        <f>C485-G485</f>
        <v/>
      </c>
      <c r="Q485" s="93">
        <f>E485-C485</f>
        <v/>
      </c>
      <c r="R485" s="93">
        <f>C485-M485</f>
        <v/>
      </c>
      <c r="S485" s="93">
        <f>C485-O485</f>
        <v/>
      </c>
      <c r="T485" s="93">
        <f>E485-O485</f>
        <v/>
      </c>
      <c r="U485" s="93">
        <f>G485-O485</f>
        <v/>
      </c>
      <c r="V485" s="93">
        <f>G485-K485</f>
        <v/>
      </c>
      <c r="W485" s="93">
        <f>C485-K485</f>
        <v/>
      </c>
      <c r="X485" s="93">
        <f>I485-G485</f>
        <v/>
      </c>
      <c r="Y485" s="94">
        <f>G485-M485</f>
        <v/>
      </c>
    </row>
    <row r="486">
      <c r="A486" s="88" t="n">
        <v>44594</v>
      </c>
      <c r="B486" s="89" t="n">
        <v>33.64</v>
      </c>
      <c r="C486" s="90" t="n">
        <v>0.3361789508268536</v>
      </c>
      <c r="D486" s="89" t="n">
        <v>36.5</v>
      </c>
      <c r="E486" s="91" t="n">
        <v>0.3647601577045231</v>
      </c>
      <c r="F486" s="89" t="n">
        <v>31.85</v>
      </c>
      <c r="G486" s="90" t="n">
        <v>0.3183953220858896</v>
      </c>
      <c r="H486" s="92" t="n">
        <v>35.58</v>
      </c>
      <c r="I486" s="90" t="n">
        <v>0.3557707585677889</v>
      </c>
      <c r="J486" s="92" t="n">
        <v>31</v>
      </c>
      <c r="K486" s="90" t="n">
        <v>0.3097708544364443</v>
      </c>
      <c r="L486" s="89" t="n">
        <v>35.5</v>
      </c>
      <c r="M486" s="90" t="n">
        <v>0.3549708243158097</v>
      </c>
      <c r="N486" s="92" t="n">
        <v>36</v>
      </c>
      <c r="O486" s="90" t="n">
        <v>0.3599704133906802</v>
      </c>
      <c r="P486" s="93">
        <f>C486-G486</f>
        <v/>
      </c>
      <c r="Q486" s="93">
        <f>E486-C486</f>
        <v/>
      </c>
      <c r="R486" s="93">
        <f>C486-M486</f>
        <v/>
      </c>
      <c r="S486" s="93">
        <f>C486-O486</f>
        <v/>
      </c>
      <c r="T486" s="93">
        <f>E486-O486</f>
        <v/>
      </c>
      <c r="U486" s="93">
        <f>G486-O486</f>
        <v/>
      </c>
      <c r="V486" s="93">
        <f>G486-K486</f>
        <v/>
      </c>
      <c r="W486" s="93">
        <f>C486-K486</f>
        <v/>
      </c>
      <c r="X486" s="93">
        <f>I486-G486</f>
        <v/>
      </c>
      <c r="Y486" s="94">
        <f>G486-M486</f>
        <v/>
      </c>
    </row>
    <row r="487">
      <c r="A487" s="88" t="n">
        <v>44593</v>
      </c>
      <c r="B487" s="89" t="n">
        <v>33.49</v>
      </c>
      <c r="C487" s="90" t="n">
        <v>0.334689100019166</v>
      </c>
      <c r="D487" s="89" t="n">
        <v>37</v>
      </c>
      <c r="E487" s="91" t="n">
        <v>0.369766996139419</v>
      </c>
      <c r="F487" s="89" t="n">
        <v>31.75</v>
      </c>
      <c r="G487" s="90" t="n">
        <v>0.3173999972611369</v>
      </c>
      <c r="H487" s="92" t="n">
        <v>35.2</v>
      </c>
      <c r="I487" s="90" t="n">
        <v>0.3519722761563302</v>
      </c>
      <c r="J487" s="92" t="n">
        <v>31</v>
      </c>
      <c r="K487" s="90" t="n">
        <v>0.3097803954046275</v>
      </c>
      <c r="L487" s="89" t="n">
        <v>35.45</v>
      </c>
      <c r="M487" s="90" t="n">
        <v>0.3544720792540314</v>
      </c>
      <c r="N487" s="92" t="n">
        <v>34.8</v>
      </c>
      <c r="O487" s="90" t="n">
        <v>0.3479725912000082</v>
      </c>
      <c r="P487" s="93">
        <f>C487-G487</f>
        <v/>
      </c>
      <c r="Q487" s="93">
        <f>E487-C487</f>
        <v/>
      </c>
      <c r="R487" s="93">
        <f>C487-M487</f>
        <v/>
      </c>
      <c r="S487" s="93">
        <f>C487-O487</f>
        <v/>
      </c>
      <c r="T487" s="93">
        <f>E487-O487</f>
        <v/>
      </c>
      <c r="U487" s="93">
        <f>G487-O487</f>
        <v/>
      </c>
      <c r="V487" s="93">
        <f>G487-K487</f>
        <v/>
      </c>
      <c r="W487" s="93">
        <f>C487-K487</f>
        <v/>
      </c>
      <c r="X487" s="93">
        <f>I487-G487</f>
        <v/>
      </c>
      <c r="Y487" s="94">
        <f>G487-M487</f>
        <v/>
      </c>
    </row>
    <row r="488">
      <c r="A488" s="88" t="n">
        <v>44592</v>
      </c>
      <c r="B488" s="89" t="n">
        <v>33.6</v>
      </c>
      <c r="C488" s="90" t="n">
        <v>0.335797601445704</v>
      </c>
      <c r="D488" s="89" t="n">
        <v>37.44</v>
      </c>
      <c r="E488" s="91" t="n">
        <v>0.3741744701823558</v>
      </c>
      <c r="F488" s="89" t="n">
        <v>31.62</v>
      </c>
      <c r="G488" s="90" t="n">
        <v>0.3161047355591466</v>
      </c>
      <c r="H488" s="92" t="n">
        <v>35.5</v>
      </c>
      <c r="I488" s="90" t="n">
        <v>0.3549732554396586</v>
      </c>
      <c r="J488" s="92" t="n">
        <v>31</v>
      </c>
      <c r="K488" s="90" t="n">
        <v>0.3097899369605541</v>
      </c>
      <c r="L488" s="89" t="n">
        <v>36.6</v>
      </c>
      <c r="M488" s="90" t="n">
        <v>0.365972426734972</v>
      </c>
      <c r="N488" s="92" t="n">
        <v>35.52</v>
      </c>
      <c r="O488" s="90" t="n">
        <v>0.3551732403723007</v>
      </c>
      <c r="P488" s="93">
        <f>C488-G488</f>
        <v/>
      </c>
      <c r="Q488" s="93">
        <f>E488-C488</f>
        <v/>
      </c>
      <c r="R488" s="93">
        <f>C488-M488</f>
        <v/>
      </c>
      <c r="S488" s="93">
        <f>C488-O488</f>
        <v/>
      </c>
      <c r="T488" s="93">
        <f>E488-O488</f>
        <v/>
      </c>
      <c r="U488" s="93">
        <f>G488-O488</f>
        <v/>
      </c>
      <c r="V488" s="93">
        <f>G488-K488</f>
        <v/>
      </c>
      <c r="W488" s="93">
        <f>C488-K488</f>
        <v/>
      </c>
      <c r="X488" s="93">
        <f>I488-G488</f>
        <v/>
      </c>
      <c r="Y488" s="94">
        <f>G488-M488</f>
        <v/>
      </c>
    </row>
    <row r="489">
      <c r="A489" s="88" t="n">
        <v>44589</v>
      </c>
      <c r="B489" s="89" t="n">
        <v>32.3</v>
      </c>
      <c r="C489" s="90" t="n">
        <v>0.3228319504915249</v>
      </c>
      <c r="D489" s="89" t="n">
        <v>35.75</v>
      </c>
      <c r="E489" s="91" t="n">
        <v>0.3573140009310222</v>
      </c>
      <c r="F489" s="89" t="n">
        <v>30.74</v>
      </c>
      <c r="G489" s="90" t="n">
        <v>0.3073200125994604</v>
      </c>
      <c r="H489" s="92" t="n">
        <v>34.65</v>
      </c>
      <c r="I489" s="90" t="n">
        <v>0.3464774552340772</v>
      </c>
      <c r="J489" s="92" t="n">
        <v>30.65</v>
      </c>
      <c r="K489" s="90" t="n">
        <v>0.3063206136132607</v>
      </c>
      <c r="L489" s="89" t="n">
        <v>35.9</v>
      </c>
      <c r="M489" s="90" t="n">
        <v>0.3589766419308332</v>
      </c>
      <c r="N489" s="92" t="n">
        <v>35.01</v>
      </c>
      <c r="O489" s="90" t="n">
        <v>0.350077221002743</v>
      </c>
      <c r="P489" s="93">
        <f>C489-G489</f>
        <v/>
      </c>
      <c r="Q489" s="93">
        <f>E489-C489</f>
        <v/>
      </c>
      <c r="R489" s="93">
        <f>C489-M489</f>
        <v/>
      </c>
      <c r="S489" s="93">
        <f>C489-O489</f>
        <v/>
      </c>
      <c r="T489" s="93">
        <f>E489-O489</f>
        <v/>
      </c>
      <c r="U489" s="93">
        <f>G489-O489</f>
        <v/>
      </c>
      <c r="V489" s="93">
        <f>G489-K489</f>
        <v/>
      </c>
      <c r="W489" s="93">
        <f>C489-K489</f>
        <v/>
      </c>
      <c r="X489" s="93">
        <f>I489-G489</f>
        <v/>
      </c>
      <c r="Y489" s="94">
        <f>G489-M489</f>
        <v/>
      </c>
    </row>
    <row r="490">
      <c r="A490" s="88" t="n">
        <v>44588</v>
      </c>
      <c r="B490" s="89" t="n">
        <v>30.51</v>
      </c>
      <c r="C490" s="90" t="n">
        <v>0.304949613889041</v>
      </c>
      <c r="D490" s="89" t="n">
        <v>33.5</v>
      </c>
      <c r="E490" s="91" t="n">
        <v>0.3348348759515855</v>
      </c>
      <c r="F490" s="89" t="n">
        <v>28.67</v>
      </c>
      <c r="G490" s="90" t="n">
        <v>0.2866293242762059</v>
      </c>
      <c r="H490" s="92" t="n">
        <v>32.29</v>
      </c>
      <c r="I490" s="90" t="n">
        <v>0.3228800964324117</v>
      </c>
      <c r="J490" s="92" t="n">
        <v>28.5</v>
      </c>
      <c r="K490" s="90" t="n">
        <v>0.2848419712351367</v>
      </c>
      <c r="L490" s="89" t="n">
        <v>32.7</v>
      </c>
      <c r="M490" s="90" t="n">
        <v>0.3269798437082646</v>
      </c>
      <c r="N490" s="92" t="n">
        <v>32.05</v>
      </c>
      <c r="O490" s="90" t="n">
        <v>0.3204802443684978</v>
      </c>
      <c r="P490" s="93">
        <f>C490-G490</f>
        <v/>
      </c>
      <c r="Q490" s="93">
        <f>E490-C490</f>
        <v/>
      </c>
      <c r="R490" s="93">
        <f>C490-M490</f>
        <v/>
      </c>
      <c r="S490" s="93">
        <f>C490-O490</f>
        <v/>
      </c>
      <c r="T490" s="93">
        <f>E490-O490</f>
        <v/>
      </c>
      <c r="U490" s="93">
        <f>G490-O490</f>
        <v/>
      </c>
      <c r="V490" s="93">
        <f>G490-K490</f>
        <v/>
      </c>
      <c r="W490" s="93">
        <f>C490-K490</f>
        <v/>
      </c>
      <c r="X490" s="93">
        <f>I490-G490</f>
        <v/>
      </c>
      <c r="Y490" s="94">
        <f>G490-M490</f>
        <v/>
      </c>
    </row>
    <row r="491">
      <c r="A491" s="88" t="n">
        <v>44587</v>
      </c>
      <c r="B491" s="89" t="n">
        <v>30.7</v>
      </c>
      <c r="C491" s="90" t="n">
        <v>0.3068570802639866</v>
      </c>
      <c r="D491" s="89" t="n">
        <v>33.5</v>
      </c>
      <c r="E491" s="91" t="n">
        <v>0.3348440452392036</v>
      </c>
      <c r="F491" s="89" t="n">
        <v>29.32</v>
      </c>
      <c r="G491" s="90" t="n">
        <v>0.2931317364449375</v>
      </c>
      <c r="H491" s="92" t="n">
        <v>32.69</v>
      </c>
      <c r="I491" s="90" t="n">
        <v>0.326880969258639</v>
      </c>
      <c r="J491" s="92" t="n">
        <v>28.99</v>
      </c>
      <c r="K491" s="90" t="n">
        <v>0.2897481798920429</v>
      </c>
      <c r="L491" s="89" t="n">
        <v>33.05</v>
      </c>
      <c r="M491" s="90" t="n">
        <v>0.3304807596817993</v>
      </c>
      <c r="N491" s="92" t="n">
        <v>31.6</v>
      </c>
      <c r="O491" s="90" t="n">
        <v>0.315981603810737</v>
      </c>
      <c r="P491" s="93">
        <f>C491-G491</f>
        <v/>
      </c>
      <c r="Q491" s="93">
        <f>E491-C491</f>
        <v/>
      </c>
      <c r="R491" s="93">
        <f>C491-M491</f>
        <v/>
      </c>
      <c r="S491" s="93">
        <f>C491-O491</f>
        <v/>
      </c>
      <c r="T491" s="93">
        <f>E491-O491</f>
        <v/>
      </c>
      <c r="U491" s="93">
        <f>G491-O491</f>
        <v/>
      </c>
      <c r="V491" s="93">
        <f>G491-K491</f>
        <v/>
      </c>
      <c r="W491" s="93">
        <f>C491-K491</f>
        <v/>
      </c>
      <c r="X491" s="93">
        <f>I491-G491</f>
        <v/>
      </c>
      <c r="Y491" s="94">
        <f>G491-M491</f>
        <v/>
      </c>
    </row>
    <row r="492">
      <c r="A492" s="88" t="n">
        <v>44586</v>
      </c>
      <c r="B492" s="89" t="n">
        <v>30.61</v>
      </c>
      <c r="C492" s="90" t="n">
        <v>0.3059658779713003</v>
      </c>
      <c r="D492" s="89" t="n">
        <v>33</v>
      </c>
      <c r="E492" s="91" t="n">
        <v>0.3298554058494906</v>
      </c>
      <c r="F492" s="89" t="n">
        <v>28.27</v>
      </c>
      <c r="G492" s="90" t="n">
        <v>0.2826380519338227</v>
      </c>
      <c r="H492" s="92" t="n">
        <v>31.95</v>
      </c>
      <c r="I492" s="90" t="n">
        <v>0.3194824941099118</v>
      </c>
      <c r="J492" s="92" t="n">
        <v>28.3</v>
      </c>
      <c r="K492" s="90" t="n">
        <v>0.2828605071471603</v>
      </c>
      <c r="L492" s="89" t="n">
        <v>31.99</v>
      </c>
      <c r="M492" s="90" t="n">
        <v>0.3198824721933045</v>
      </c>
      <c r="N492" s="92" t="n">
        <v>31.6</v>
      </c>
      <c r="O492" s="90" t="n">
        <v>0.3159826858802258</v>
      </c>
      <c r="P492" s="93">
        <f>C492-G492</f>
        <v/>
      </c>
      <c r="Q492" s="93">
        <f>E492-C492</f>
        <v/>
      </c>
      <c r="R492" s="93">
        <f>C492-M492</f>
        <v/>
      </c>
      <c r="S492" s="93">
        <f>C492-O492</f>
        <v/>
      </c>
      <c r="T492" s="93">
        <f>E492-O492</f>
        <v/>
      </c>
      <c r="U492" s="93">
        <f>G492-O492</f>
        <v/>
      </c>
      <c r="V492" s="93">
        <f>G492-K492</f>
        <v/>
      </c>
      <c r="W492" s="93">
        <f>C492-K492</f>
        <v/>
      </c>
      <c r="X492" s="93">
        <f>I492-G492</f>
        <v/>
      </c>
      <c r="Y492" s="94">
        <f>G492-M492</f>
        <v/>
      </c>
    </row>
    <row r="493">
      <c r="A493" s="88" t="n">
        <v>44585</v>
      </c>
      <c r="B493" s="89" t="n">
        <v>30.37</v>
      </c>
      <c r="C493" s="90" t="n">
        <v>0.303575243050801</v>
      </c>
      <c r="D493" s="89" t="n">
        <v>34.4</v>
      </c>
      <c r="E493" s="91" t="n">
        <v>0.3438586882103245</v>
      </c>
      <c r="F493" s="89" t="n">
        <v>27.81</v>
      </c>
      <c r="G493" s="90" t="n">
        <v>0.2780428679038554</v>
      </c>
      <c r="H493" s="92" t="n">
        <v>31.6</v>
      </c>
      <c r="I493" s="90" t="n">
        <v>0.3159837679571255</v>
      </c>
      <c r="J493" s="92" t="n">
        <v>28.4</v>
      </c>
      <c r="K493" s="90" t="n">
        <v>0.283868759306485</v>
      </c>
      <c r="L493" s="89" t="n">
        <v>31.75</v>
      </c>
      <c r="M493" s="90" t="n">
        <v>0.3174836909062891</v>
      </c>
      <c r="N493" s="92" t="n">
        <v>31.7</v>
      </c>
      <c r="O493" s="90" t="n">
        <v>0.3169837165899012</v>
      </c>
      <c r="P493" s="93">
        <f>C493-G493</f>
        <v/>
      </c>
      <c r="Q493" s="93">
        <f>E493-C493</f>
        <v/>
      </c>
      <c r="R493" s="93">
        <f>C493-M493</f>
        <v/>
      </c>
      <c r="S493" s="93">
        <f>C493-O493</f>
        <v/>
      </c>
      <c r="T493" s="93">
        <f>E493-O493</f>
        <v/>
      </c>
      <c r="U493" s="93">
        <f>G493-O493</f>
        <v/>
      </c>
      <c r="V493" s="93">
        <f>G493-K493</f>
        <v/>
      </c>
      <c r="W493" s="93">
        <f>C493-K493</f>
        <v/>
      </c>
      <c r="X493" s="93">
        <f>I493-G493</f>
        <v/>
      </c>
      <c r="Y493" s="94">
        <f>G493-M493</f>
        <v/>
      </c>
    </row>
    <row r="494">
      <c r="A494" s="88" t="n">
        <v>44582</v>
      </c>
      <c r="B494" s="89" t="n">
        <v>31.67</v>
      </c>
      <c r="C494" s="90" t="n">
        <v>0.3197927905496998</v>
      </c>
      <c r="D494" s="89" t="n">
        <v>34.5</v>
      </c>
      <c r="E494" s="91" t="n">
        <v>0.3483691592663292</v>
      </c>
      <c r="F494" s="89" t="n">
        <v>28.8</v>
      </c>
      <c r="G494" s="90" t="n">
        <v>0.2893994246149187</v>
      </c>
      <c r="H494" s="92" t="n">
        <v>32.34</v>
      </c>
      <c r="I494" s="90" t="n">
        <v>0.3237914327937541</v>
      </c>
      <c r="J494" s="92" t="n">
        <v>28.99</v>
      </c>
      <c r="K494" s="90" t="n">
        <v>0.2930888468023669</v>
      </c>
      <c r="L494" s="89" t="n">
        <v>32.9</v>
      </c>
      <c r="M494" s="90" t="n">
        <v>0.3293982108507888</v>
      </c>
      <c r="N494" s="92" t="n">
        <v>32</v>
      </c>
      <c r="O494" s="90" t="n">
        <v>0.3203873175448402</v>
      </c>
      <c r="P494" s="93">
        <f>C494-G494</f>
        <v/>
      </c>
      <c r="Q494" s="93">
        <f>E494-C494</f>
        <v/>
      </c>
      <c r="R494" s="93">
        <f>C494-M494</f>
        <v/>
      </c>
      <c r="S494" s="93">
        <f>C494-O494</f>
        <v/>
      </c>
      <c r="T494" s="93">
        <f>E494-O494</f>
        <v/>
      </c>
      <c r="U494" s="93">
        <f>G494-O494</f>
        <v/>
      </c>
      <c r="V494" s="93">
        <f>G494-K494</f>
        <v/>
      </c>
      <c r="W494" s="93">
        <f>C494-K494</f>
        <v/>
      </c>
      <c r="X494" s="93">
        <f>I494-G494</f>
        <v/>
      </c>
      <c r="Y494" s="94">
        <f>G494-M494</f>
        <v/>
      </c>
    </row>
    <row r="495">
      <c r="A495" s="88" t="n">
        <v>44581</v>
      </c>
      <c r="B495" s="89" t="n">
        <v>31.5</v>
      </c>
      <c r="C495" s="90" t="n">
        <v>0.3180849886571128</v>
      </c>
      <c r="D495" s="89" t="n">
        <v>35</v>
      </c>
      <c r="E495" s="91" t="n">
        <v>0.3534277651745698</v>
      </c>
      <c r="F495" s="89" t="n">
        <v>28.73</v>
      </c>
      <c r="G495" s="90" t="n">
        <v>0.2886999972469235</v>
      </c>
      <c r="H495" s="92" t="n">
        <v>32.25</v>
      </c>
      <c r="I495" s="90" t="n">
        <v>0.3228914505942135</v>
      </c>
      <c r="J495" s="92" t="n">
        <v>28.89</v>
      </c>
      <c r="K495" s="90" t="n">
        <v>0.2920869486936229</v>
      </c>
      <c r="L495" s="89" t="n">
        <v>32.8</v>
      </c>
      <c r="M495" s="90" t="n">
        <v>0.3283981264958202</v>
      </c>
      <c r="N495" s="92" t="n">
        <v>31.75</v>
      </c>
      <c r="O495" s="90" t="n">
        <v>0.3178853815927529</v>
      </c>
      <c r="P495" s="93">
        <f>C495-G495</f>
        <v/>
      </c>
      <c r="Q495" s="93">
        <f>E495-C495</f>
        <v/>
      </c>
      <c r="R495" s="93">
        <f>C495-M495</f>
        <v/>
      </c>
      <c r="S495" s="93">
        <f>C495-O495</f>
        <v/>
      </c>
      <c r="T495" s="93">
        <f>E495-O495</f>
        <v/>
      </c>
      <c r="U495" s="93">
        <f>G495-O495</f>
        <v/>
      </c>
      <c r="V495" s="93">
        <f>G495-K495</f>
        <v/>
      </c>
      <c r="W495" s="93">
        <f>C495-K495</f>
        <v/>
      </c>
      <c r="X495" s="93">
        <f>I495-G495</f>
        <v/>
      </c>
      <c r="Y495" s="94">
        <f>G495-M495</f>
        <v/>
      </c>
    </row>
    <row r="496">
      <c r="A496" s="88" t="n">
        <v>44580</v>
      </c>
      <c r="B496" s="89" t="n">
        <v>31.74</v>
      </c>
      <c r="C496" s="90" t="n">
        <v>0.3205173606307926</v>
      </c>
      <c r="D496" s="89" t="n">
        <v>34.3</v>
      </c>
      <c r="E496" s="91" t="n">
        <v>0.3463687923640891</v>
      </c>
      <c r="F496" s="89" t="n">
        <v>29.33</v>
      </c>
      <c r="G496" s="90" t="n">
        <v>0.2947332920366164</v>
      </c>
      <c r="H496" s="92" t="n">
        <v>32.65</v>
      </c>
      <c r="I496" s="90" t="n">
        <v>0.3268974266659809</v>
      </c>
      <c r="J496" s="92" t="n">
        <v>29.4</v>
      </c>
      <c r="K496" s="90" t="n">
        <v>0.2972524713907307</v>
      </c>
      <c r="L496" s="89" t="n">
        <v>33</v>
      </c>
      <c r="M496" s="90" t="n">
        <v>0.3304016869824615</v>
      </c>
      <c r="N496" s="92" t="n">
        <v>32.5</v>
      </c>
      <c r="O496" s="90" t="n">
        <v>0.3253956008160606</v>
      </c>
      <c r="P496" s="93">
        <f>C496-G496</f>
        <v/>
      </c>
      <c r="Q496" s="93">
        <f>E496-C496</f>
        <v/>
      </c>
      <c r="R496" s="93">
        <f>C496-M496</f>
        <v/>
      </c>
      <c r="S496" s="93">
        <f>C496-O496</f>
        <v/>
      </c>
      <c r="T496" s="93">
        <f>E496-O496</f>
        <v/>
      </c>
      <c r="U496" s="93">
        <f>G496-O496</f>
        <v/>
      </c>
      <c r="V496" s="93">
        <f>G496-K496</f>
        <v/>
      </c>
      <c r="W496" s="93">
        <f>C496-K496</f>
        <v/>
      </c>
      <c r="X496" s="93">
        <f>I496-G496</f>
        <v/>
      </c>
      <c r="Y496" s="94">
        <f>G496-M496</f>
        <v/>
      </c>
    </row>
    <row r="497">
      <c r="A497" s="88" t="n">
        <v>44579</v>
      </c>
      <c r="B497" s="89" t="n">
        <v>31.5</v>
      </c>
      <c r="C497" s="90" t="n">
        <v>0.3181025896414343</v>
      </c>
      <c r="D497" s="89" t="n">
        <v>34.5</v>
      </c>
      <c r="E497" s="91" t="n">
        <v>0.3483980743691899</v>
      </c>
      <c r="F497" s="89" t="n">
        <v>29.13</v>
      </c>
      <c r="G497" s="90" t="n">
        <v>0.2927275480425087</v>
      </c>
      <c r="H497" s="92" t="n">
        <v>32.21</v>
      </c>
      <c r="I497" s="90" t="n">
        <v>0.3224931766125825</v>
      </c>
      <c r="J497" s="92" t="n">
        <v>28.8</v>
      </c>
      <c r="K497" s="90" t="n">
        <v>0.2911951689081566</v>
      </c>
      <c r="L497" s="89" t="n">
        <v>33</v>
      </c>
      <c r="M497" s="90" t="n">
        <v>0.3304028198762875</v>
      </c>
      <c r="N497" s="92" t="n">
        <v>31.26</v>
      </c>
      <c r="O497" s="90" t="n">
        <v>0.3129815802828106</v>
      </c>
      <c r="P497" s="93">
        <f>C497-G497</f>
        <v/>
      </c>
      <c r="Q497" s="93">
        <f>E497-C497</f>
        <v/>
      </c>
      <c r="R497" s="93">
        <f>C497-M497</f>
        <v/>
      </c>
      <c r="S497" s="93">
        <f>C497-O497</f>
        <v/>
      </c>
      <c r="T497" s="93">
        <f>E497-O497</f>
        <v/>
      </c>
      <c r="U497" s="93">
        <f>G497-O497</f>
        <v/>
      </c>
      <c r="V497" s="93">
        <f>G497-K497</f>
        <v/>
      </c>
      <c r="W497" s="93">
        <f>C497-K497</f>
        <v/>
      </c>
      <c r="X497" s="93">
        <f>I497-G497</f>
        <v/>
      </c>
      <c r="Y497" s="94">
        <f>G497-M497</f>
        <v/>
      </c>
    </row>
    <row r="498">
      <c r="A498" s="88" t="n">
        <v>44578</v>
      </c>
      <c r="B498" s="89" t="n">
        <v>31.31</v>
      </c>
      <c r="C498" s="90" t="n">
        <v>0.3161926237445702</v>
      </c>
      <c r="D498" s="89" t="n">
        <v>34.3</v>
      </c>
      <c r="E498" s="91" t="n">
        <v>0.3463879589408737</v>
      </c>
      <c r="F498" s="89" t="n">
        <v>29.22</v>
      </c>
      <c r="G498" s="90" t="n">
        <v>0.2936360007158295</v>
      </c>
      <c r="H498" s="92" t="n">
        <v>32.4</v>
      </c>
      <c r="I498" s="90" t="n">
        <v>0.324396608181921</v>
      </c>
      <c r="J498" s="92" t="n">
        <v>29.35</v>
      </c>
      <c r="K498" s="90" t="n">
        <v>0.2967654361172767</v>
      </c>
      <c r="L498" s="89" t="n">
        <v>33.06</v>
      </c>
      <c r="M498" s="90" t="n">
        <v>0.3310046872374787</v>
      </c>
      <c r="N498" s="92" t="n">
        <v>32.3</v>
      </c>
      <c r="O498" s="90" t="n">
        <v>0.3233953840825941</v>
      </c>
      <c r="P498" s="93">
        <f>C498-G498</f>
        <v/>
      </c>
      <c r="Q498" s="93">
        <f>E498-C498</f>
        <v/>
      </c>
      <c r="R498" s="93">
        <f>C498-M498</f>
        <v/>
      </c>
      <c r="S498" s="93">
        <f>C498-O498</f>
        <v/>
      </c>
      <c r="T498" s="93">
        <f>E498-O498</f>
        <v/>
      </c>
      <c r="U498" s="93">
        <f>G498-O498</f>
        <v/>
      </c>
      <c r="V498" s="93">
        <f>G498-K498</f>
        <v/>
      </c>
      <c r="W498" s="93">
        <f>C498-K498</f>
        <v/>
      </c>
      <c r="X498" s="93">
        <f>I498-G498</f>
        <v/>
      </c>
      <c r="Y498" s="94">
        <f>G498-M498</f>
        <v/>
      </c>
    </row>
    <row r="499">
      <c r="A499" s="88" t="n">
        <v>44575</v>
      </c>
      <c r="B499" s="89" t="n">
        <v>31.72</v>
      </c>
      <c r="C499" s="90" t="n">
        <v>0.3203597122302158</v>
      </c>
      <c r="D499" s="89" t="n">
        <v>34.5</v>
      </c>
      <c r="E499" s="91" t="n">
        <v>0.3484366353071389</v>
      </c>
      <c r="F499" s="89" t="n">
        <v>29.31</v>
      </c>
      <c r="G499" s="90" t="n">
        <v>0.2945525881057269</v>
      </c>
      <c r="H499" s="92" t="n">
        <v>32.74</v>
      </c>
      <c r="I499" s="90" t="n">
        <v>0.3278041420929914</v>
      </c>
      <c r="J499" s="92" t="n">
        <v>29.34</v>
      </c>
      <c r="K499" s="90" t="n">
        <v>0.2966920626125502</v>
      </c>
      <c r="L499" s="89" t="n">
        <v>33.41</v>
      </c>
      <c r="M499" s="90" t="n">
        <v>0.3345124125634343</v>
      </c>
      <c r="N499" s="92" t="n">
        <v>33</v>
      </c>
      <c r="O499" s="90" t="n">
        <v>0.3304073515292827</v>
      </c>
      <c r="P499" s="93">
        <f>C499-G499</f>
        <v/>
      </c>
      <c r="Q499" s="93">
        <f>E499-C499</f>
        <v/>
      </c>
      <c r="R499" s="93">
        <f>C499-M499</f>
        <v/>
      </c>
      <c r="S499" s="93">
        <f>C499-O499</f>
        <v/>
      </c>
      <c r="T499" s="93">
        <f>E499-O499</f>
        <v/>
      </c>
      <c r="U499" s="93">
        <f>G499-O499</f>
        <v/>
      </c>
      <c r="V499" s="93">
        <f>G499-K499</f>
        <v/>
      </c>
      <c r="W499" s="93">
        <f>C499-K499</f>
        <v/>
      </c>
      <c r="X499" s="93">
        <f>I499-G499</f>
        <v/>
      </c>
      <c r="Y499" s="94">
        <f>G499-M499</f>
        <v/>
      </c>
    </row>
    <row r="500">
      <c r="A500" s="88" t="n">
        <v>44574</v>
      </c>
      <c r="B500" s="89" t="n">
        <v>31.8</v>
      </c>
      <c r="C500" s="90" t="n">
        <v>0.3179651545036161</v>
      </c>
      <c r="D500" s="89" t="n">
        <v>35.5</v>
      </c>
      <c r="E500" s="91" t="n">
        <v>0.3549611001534079</v>
      </c>
      <c r="F500" s="89" t="n">
        <v>29.8</v>
      </c>
      <c r="G500" s="90" t="n">
        <v>0.2979836721275547</v>
      </c>
      <c r="H500" s="92" t="n">
        <v>32.73</v>
      </c>
      <c r="I500" s="90" t="n">
        <v>0.327295516499774</v>
      </c>
      <c r="J500" s="92" t="n">
        <v>29.45</v>
      </c>
      <c r="K500" s="90" t="n">
        <v>0.2944636962566259</v>
      </c>
      <c r="L500" s="89" t="n">
        <v>33.83</v>
      </c>
      <c r="M500" s="90" t="n">
        <v>0.3382953658169066</v>
      </c>
      <c r="N500" s="92" t="n">
        <v>33</v>
      </c>
      <c r="O500" s="90" t="n">
        <v>0.3299954795139793</v>
      </c>
      <c r="P500" s="93">
        <f>C500-G500</f>
        <v/>
      </c>
      <c r="Q500" s="93">
        <f>E500-C500</f>
        <v/>
      </c>
      <c r="R500" s="93">
        <f>C500-M500</f>
        <v/>
      </c>
      <c r="S500" s="93">
        <f>C500-O500</f>
        <v/>
      </c>
      <c r="T500" s="93">
        <f>E500-O500</f>
        <v/>
      </c>
      <c r="U500" s="93">
        <f>G500-O500</f>
        <v/>
      </c>
      <c r="V500" s="93">
        <f>G500-K500</f>
        <v/>
      </c>
      <c r="W500" s="93">
        <f>C500-K500</f>
        <v/>
      </c>
      <c r="X500" s="93">
        <f>I500-G500</f>
        <v/>
      </c>
      <c r="Y500" s="94">
        <f>G500-M500</f>
        <v/>
      </c>
    </row>
    <row r="501">
      <c r="A501" s="88" t="n">
        <v>44573</v>
      </c>
      <c r="B501" s="89" t="n">
        <v>32.16</v>
      </c>
      <c r="C501" s="90" t="n">
        <v>0.3215735692956743</v>
      </c>
      <c r="D501" s="89" t="n">
        <v>35.51</v>
      </c>
      <c r="E501" s="91" t="n">
        <v>0.3550708160973071</v>
      </c>
      <c r="F501" s="89" t="n">
        <v>30.12</v>
      </c>
      <c r="G501" s="90" t="n">
        <v>0.3011876224264756</v>
      </c>
      <c r="H501" s="92" t="n">
        <v>33.5</v>
      </c>
      <c r="I501" s="90" t="n">
        <v>0.3349965582545385</v>
      </c>
      <c r="J501" s="92" t="n">
        <v>29.84</v>
      </c>
      <c r="K501" s="90" t="n">
        <v>0.298372410770237</v>
      </c>
      <c r="L501" s="89" t="n">
        <v>33.9</v>
      </c>
      <c r="M501" s="90" t="n">
        <v>0.3389965171590703</v>
      </c>
      <c r="N501" s="92" t="n">
        <v>32.7</v>
      </c>
      <c r="O501" s="90" t="n">
        <v>0.3269966404454749</v>
      </c>
      <c r="P501" s="93">
        <f>C501-G501</f>
        <v/>
      </c>
      <c r="Q501" s="93">
        <f>E501-C501</f>
        <v/>
      </c>
      <c r="R501" s="93">
        <f>C501-M501</f>
        <v/>
      </c>
      <c r="S501" s="93">
        <f>C501-O501</f>
        <v/>
      </c>
      <c r="T501" s="93">
        <f>E501-O501</f>
        <v/>
      </c>
      <c r="U501" s="93">
        <f>G501-O501</f>
        <v/>
      </c>
      <c r="V501" s="93">
        <f>G501-K501</f>
        <v/>
      </c>
      <c r="W501" s="93">
        <f>C501-K501</f>
        <v/>
      </c>
      <c r="X501" s="93">
        <f>I501-G501</f>
        <v/>
      </c>
      <c r="Y501" s="94">
        <f>G501-M501</f>
        <v/>
      </c>
    </row>
    <row r="502">
      <c r="A502" s="88" t="n">
        <v>44572</v>
      </c>
      <c r="B502" s="89" t="n">
        <v>32</v>
      </c>
      <c r="C502" s="90" t="n">
        <v>0.3199824667141526</v>
      </c>
      <c r="D502" s="89" t="n">
        <v>35.5</v>
      </c>
      <c r="E502" s="91" t="n">
        <v>0.3549805490110131</v>
      </c>
      <c r="F502" s="89" t="n">
        <v>30.3</v>
      </c>
      <c r="G502" s="90" t="n">
        <v>0.3029916988575656</v>
      </c>
      <c r="H502" s="92" t="n">
        <v>33.85</v>
      </c>
      <c r="I502" s="90" t="n">
        <v>0.3384976815227293</v>
      </c>
      <c r="J502" s="92" t="n">
        <v>29.7</v>
      </c>
      <c r="K502" s="90" t="n">
        <v>0.2969816929093412</v>
      </c>
      <c r="L502" s="89" t="n">
        <v>34</v>
      </c>
      <c r="M502" s="90" t="n">
        <v>0.3399976712488271</v>
      </c>
      <c r="N502" s="92" t="n">
        <v>32.7</v>
      </c>
      <c r="O502" s="90" t="n">
        <v>0.3269977602893131</v>
      </c>
      <c r="P502" s="93">
        <f>C502-G502</f>
        <v/>
      </c>
      <c r="Q502" s="93">
        <f>E502-C502</f>
        <v/>
      </c>
      <c r="R502" s="93">
        <f>C502-M502</f>
        <v/>
      </c>
      <c r="S502" s="93">
        <f>C502-O502</f>
        <v/>
      </c>
      <c r="T502" s="93">
        <f>E502-O502</f>
        <v/>
      </c>
      <c r="U502" s="93">
        <f>G502-O502</f>
        <v/>
      </c>
      <c r="V502" s="93">
        <f>G502-K502</f>
        <v/>
      </c>
      <c r="W502" s="93">
        <f>C502-K502</f>
        <v/>
      </c>
      <c r="X502" s="93">
        <f>I502-G502</f>
        <v/>
      </c>
      <c r="Y502" s="94">
        <f>G502-M502</f>
        <v/>
      </c>
    </row>
    <row r="503">
      <c r="A503" s="88" t="n">
        <v>44571</v>
      </c>
      <c r="B503" s="89" t="n">
        <v>31.7</v>
      </c>
      <c r="C503" s="90" t="n">
        <v>0.3169913153064299</v>
      </c>
      <c r="D503" s="89" t="n">
        <v>36.32</v>
      </c>
      <c r="E503" s="91" t="n">
        <v>0.3631900495876825</v>
      </c>
      <c r="F503" s="89" t="n">
        <v>30.6</v>
      </c>
      <c r="G503" s="90" t="n">
        <v>0.3059958082765989</v>
      </c>
      <c r="H503" s="92" t="n">
        <v>33.75</v>
      </c>
      <c r="I503" s="90" t="n">
        <v>0.3374988441820405</v>
      </c>
      <c r="J503" s="92" t="n">
        <v>29.38</v>
      </c>
      <c r="K503" s="90" t="n">
        <v>0.2937909447996466</v>
      </c>
      <c r="L503" s="89" t="n">
        <v>34.3</v>
      </c>
      <c r="M503" s="90" t="n">
        <v>0.3429988253464885</v>
      </c>
      <c r="N503" s="92" t="n">
        <v>33.21</v>
      </c>
      <c r="O503" s="90" t="n">
        <v>0.3320988626751278</v>
      </c>
      <c r="P503" s="93">
        <f>C503-G503</f>
        <v/>
      </c>
      <c r="Q503" s="93">
        <f>E503-C503</f>
        <v/>
      </c>
      <c r="R503" s="93">
        <f>C503-M503</f>
        <v/>
      </c>
      <c r="S503" s="93">
        <f>C503-O503</f>
        <v/>
      </c>
      <c r="T503" s="93">
        <f>E503-O503</f>
        <v/>
      </c>
      <c r="U503" s="93">
        <f>G503-O503</f>
        <v/>
      </c>
      <c r="V503" s="93">
        <f>G503-K503</f>
        <v/>
      </c>
      <c r="W503" s="93">
        <f>C503-K503</f>
        <v/>
      </c>
      <c r="X503" s="93">
        <f>I503-G503</f>
        <v/>
      </c>
      <c r="Y503" s="94">
        <f>G503-M503</f>
        <v/>
      </c>
    </row>
    <row r="504">
      <c r="A504" s="74" t="n">
        <v>44568</v>
      </c>
      <c r="B504" s="75" t="n">
        <v>32.2</v>
      </c>
      <c r="C504" s="81" t="n">
        <v>0.3204023771877215</v>
      </c>
      <c r="D504" s="75" t="n">
        <v>36.32</v>
      </c>
      <c r="E504" s="85" t="n">
        <v>0.3613979608527343</v>
      </c>
      <c r="F504" s="75" t="n">
        <v>30.22</v>
      </c>
      <c r="G504" s="81" t="n">
        <v>0.3014484436063513</v>
      </c>
      <c r="H504" s="78" t="n">
        <v>34.09</v>
      </c>
      <c r="I504" s="81" t="n">
        <v>0.3406876535857787</v>
      </c>
      <c r="J504" s="78" t="n">
        <v>30</v>
      </c>
      <c r="K504" s="81" t="n">
        <v>0.2983265108739332</v>
      </c>
      <c r="L504" s="75" t="n">
        <v>35</v>
      </c>
      <c r="M504" s="81" t="n">
        <v>0.3497819852010048</v>
      </c>
      <c r="N504" s="78" t="n">
        <v>34.15</v>
      </c>
      <c r="O504" s="81" t="n">
        <v>0.3412872798461233</v>
      </c>
      <c r="P504" s="76">
        <f>C504-G504</f>
        <v/>
      </c>
      <c r="Q504" s="76">
        <f>E504-C504</f>
        <v/>
      </c>
      <c r="R504" s="76">
        <f>C504-M504</f>
        <v/>
      </c>
      <c r="S504" s="76">
        <f>C504-O504</f>
        <v/>
      </c>
      <c r="T504" s="76">
        <f>E504-O504</f>
        <v/>
      </c>
      <c r="U504" s="76">
        <f>G504-O504</f>
        <v/>
      </c>
      <c r="V504" s="76">
        <f>G504-K504</f>
        <v/>
      </c>
      <c r="W504" s="76">
        <f>C504-K504</f>
        <v/>
      </c>
      <c r="X504" s="76">
        <f>I504-G504</f>
        <v/>
      </c>
      <c r="Y504" s="77">
        <f>G504-M504</f>
        <v/>
      </c>
    </row>
    <row r="505">
      <c r="A505" s="74" t="n">
        <v>44567</v>
      </c>
      <c r="B505" s="75" t="n">
        <v>33.4</v>
      </c>
      <c r="C505" s="81" t="n">
        <v>0.3323518988031951</v>
      </c>
      <c r="D505" s="75" t="n">
        <v>38</v>
      </c>
      <c r="E505" s="85" t="n">
        <v>0.3781249148060304</v>
      </c>
      <c r="F505" s="75" t="n">
        <v>30.91</v>
      </c>
      <c r="G505" s="81" t="n">
        <v>0.3083354969185991</v>
      </c>
      <c r="H505" s="78" t="n">
        <v>34.52</v>
      </c>
      <c r="I505" s="81" t="n">
        <v>0.3449861558417557</v>
      </c>
      <c r="J505" s="78" t="n">
        <v>30.5</v>
      </c>
      <c r="K505" s="81" t="n">
        <v>0.3033079157712624</v>
      </c>
      <c r="L505" s="75" t="n">
        <v>35.99</v>
      </c>
      <c r="M505" s="81" t="n">
        <v>0.3596770495001386</v>
      </c>
      <c r="N505" s="78" t="n">
        <v>35.4</v>
      </c>
      <c r="O505" s="81" t="n">
        <v>0.3537807044263658</v>
      </c>
      <c r="P505" s="76">
        <f>C505-G505</f>
        <v/>
      </c>
      <c r="Q505" s="76">
        <f>E505-C505</f>
        <v/>
      </c>
      <c r="R505" s="76">
        <f>C505-M505</f>
        <v/>
      </c>
      <c r="S505" s="76">
        <f>C505-O505</f>
        <v/>
      </c>
      <c r="T505" s="76">
        <f>E505-O505</f>
        <v/>
      </c>
      <c r="U505" s="76">
        <f>G505-O505</f>
        <v/>
      </c>
      <c r="V505" s="76">
        <f>G505-K505</f>
        <v/>
      </c>
      <c r="W505" s="76">
        <f>C505-K505</f>
        <v/>
      </c>
      <c r="X505" s="76">
        <f>I505-G505</f>
        <v/>
      </c>
      <c r="Y505" s="77">
        <f>G505-M505</f>
        <v/>
      </c>
    </row>
    <row r="506">
      <c r="A506" s="74" t="n">
        <v>44566</v>
      </c>
      <c r="B506" s="75" t="n">
        <v>34.79</v>
      </c>
      <c r="C506" s="81" t="n">
        <v>0.3461927480916031</v>
      </c>
      <c r="D506" s="75" t="n">
        <v>38</v>
      </c>
      <c r="E506" s="85" t="n">
        <v>0.3781352235550709</v>
      </c>
      <c r="F506" s="75" t="n">
        <v>32.2</v>
      </c>
      <c r="G506" s="81" t="n">
        <v>0.3212079803224925</v>
      </c>
      <c r="H506" s="78" t="n">
        <v>35.5</v>
      </c>
      <c r="I506" s="81" t="n">
        <v>0.3547812991991238</v>
      </c>
      <c r="J506" s="78" t="n">
        <v>31.25</v>
      </c>
      <c r="K506" s="81" t="n">
        <v>0.3107758327089435</v>
      </c>
      <c r="L506" s="75" t="n">
        <v>36.8</v>
      </c>
      <c r="M506" s="81" t="n">
        <v>0.3677732904374016</v>
      </c>
      <c r="N506" s="78" t="n">
        <v>36.1</v>
      </c>
      <c r="O506" s="81" t="n">
        <v>0.3607776028475597</v>
      </c>
      <c r="P506" s="76">
        <f>C506-G506</f>
        <v/>
      </c>
      <c r="Q506" s="76">
        <f>E506-C506</f>
        <v/>
      </c>
      <c r="R506" s="76">
        <f>C506-M506</f>
        <v/>
      </c>
      <c r="S506" s="76">
        <f>C506-O506</f>
        <v/>
      </c>
      <c r="T506" s="76">
        <f>E506-O506</f>
        <v/>
      </c>
      <c r="U506" s="76">
        <f>G506-O506</f>
        <v/>
      </c>
      <c r="V506" s="76">
        <f>G506-K506</f>
        <v/>
      </c>
      <c r="W506" s="76">
        <f>C506-K506</f>
        <v/>
      </c>
      <c r="X506" s="76">
        <f>I506-G506</f>
        <v/>
      </c>
      <c r="Y506" s="77">
        <f>G506-M506</f>
        <v/>
      </c>
    </row>
    <row r="507">
      <c r="A507" s="74" t="n">
        <v>44565</v>
      </c>
      <c r="B507" s="75" t="n">
        <v>34.6</v>
      </c>
      <c r="C507" s="81" t="n">
        <v>0.3443114588729246</v>
      </c>
      <c r="D507" s="75" t="n">
        <v>38.3</v>
      </c>
      <c r="E507" s="85" t="n">
        <v>0.3811308923362142</v>
      </c>
      <c r="F507" s="75" t="n">
        <v>32.75</v>
      </c>
      <c r="G507" s="81" t="n">
        <v>0.3266989163557851</v>
      </c>
      <c r="H507" s="78" t="n">
        <v>35.99</v>
      </c>
      <c r="I507" s="81" t="n">
        <v>0.3596795115323141</v>
      </c>
      <c r="J507" s="78" t="n">
        <v>31.32</v>
      </c>
      <c r="K507" s="81" t="n">
        <v>0.3114815180630153</v>
      </c>
      <c r="L507" s="75" t="n">
        <v>37.1</v>
      </c>
      <c r="M507" s="81" t="n">
        <v>0.3707727112489262</v>
      </c>
      <c r="N507" s="78" t="n">
        <v>36</v>
      </c>
      <c r="O507" s="81" t="n">
        <v>0.3597794502684998</v>
      </c>
      <c r="P507" s="76">
        <f>C507-G507</f>
        <v/>
      </c>
      <c r="Q507" s="76">
        <f>E507-C507</f>
        <v/>
      </c>
      <c r="R507" s="76">
        <f>C507-M507</f>
        <v/>
      </c>
      <c r="S507" s="76">
        <f>C507-O507</f>
        <v/>
      </c>
      <c r="T507" s="76">
        <f>E507-O507</f>
        <v/>
      </c>
      <c r="U507" s="76">
        <f>G507-O507</f>
        <v/>
      </c>
      <c r="V507" s="76">
        <f>G507-K507</f>
        <v/>
      </c>
      <c r="W507" s="76">
        <f>C507-K507</f>
        <v/>
      </c>
      <c r="X507" s="76">
        <f>I507-G507</f>
        <v/>
      </c>
      <c r="Y507" s="77">
        <f>G507-M507</f>
        <v/>
      </c>
    </row>
    <row r="508">
      <c r="A508" s="74" t="n">
        <v>44564</v>
      </c>
      <c r="B508" s="75" t="n">
        <v>35.15</v>
      </c>
      <c r="C508" s="81" t="n">
        <v>0.3497941545340531</v>
      </c>
      <c r="D508" s="75" t="n">
        <v>38</v>
      </c>
      <c r="E508" s="85" t="n">
        <v>0.3781558427395169</v>
      </c>
      <c r="F508" s="75" t="n">
        <v>33</v>
      </c>
      <c r="G508" s="81" t="n">
        <v>0.329197299734893</v>
      </c>
      <c r="H508" s="78" t="n">
        <v>36.3</v>
      </c>
      <c r="I508" s="81" t="n">
        <v>0.3627788539862686</v>
      </c>
      <c r="J508" s="78" t="n">
        <v>32</v>
      </c>
      <c r="K508" s="81" t="n">
        <v>0.3182539628476646</v>
      </c>
      <c r="L508" s="75" t="n">
        <v>37.4</v>
      </c>
      <c r="M508" s="81" t="n">
        <v>0.3737721525919132</v>
      </c>
      <c r="N508" s="78" t="n">
        <v>36.25</v>
      </c>
      <c r="O508" s="81" t="n">
        <v>0.362279158595103</v>
      </c>
      <c r="P508" s="76">
        <f>C508-G508</f>
        <v/>
      </c>
      <c r="Q508" s="76">
        <f>E508-C508</f>
        <v/>
      </c>
      <c r="R508" s="76">
        <f>C508-M508</f>
        <v/>
      </c>
      <c r="S508" s="76">
        <f>C508-O508</f>
        <v/>
      </c>
      <c r="T508" s="76">
        <f>E508-O508</f>
        <v/>
      </c>
      <c r="U508" s="76">
        <f>G508-O508</f>
        <v/>
      </c>
      <c r="V508" s="76">
        <f>G508-K508</f>
        <v/>
      </c>
      <c r="W508" s="76">
        <f>C508-K508</f>
        <v/>
      </c>
      <c r="X508" s="76">
        <f>I508-G508</f>
        <v/>
      </c>
      <c r="Y508" s="77">
        <f>G508-M508</f>
        <v/>
      </c>
    </row>
    <row r="509">
      <c r="A509" s="74" t="n">
        <v>44560</v>
      </c>
      <c r="B509" s="75" t="n">
        <v>34.8</v>
      </c>
      <c r="C509" s="81" t="n">
        <v>0.3463489120357746</v>
      </c>
      <c r="D509" s="75" t="n">
        <v>39</v>
      </c>
      <c r="E509" s="85" t="n">
        <v>0.388149642798713</v>
      </c>
      <c r="F509" s="75" t="n">
        <v>32.7</v>
      </c>
      <c r="G509" s="81" t="n">
        <v>0.3262224287315167</v>
      </c>
      <c r="H509" s="78" t="n">
        <v>36.31</v>
      </c>
      <c r="I509" s="81" t="n">
        <v>0.3628837610464997</v>
      </c>
      <c r="J509" s="78" t="n">
        <v>31.99</v>
      </c>
      <c r="K509" s="81" t="n">
        <v>0.318193523773189</v>
      </c>
      <c r="L509" s="75" t="n">
        <v>37.5</v>
      </c>
      <c r="M509" s="81" t="n">
        <v>0.3747766741736089</v>
      </c>
      <c r="N509" s="78" t="n">
        <v>36.5</v>
      </c>
      <c r="O509" s="81" t="n">
        <v>0.3647826295289793</v>
      </c>
      <c r="P509" s="76">
        <f>C509-G509</f>
        <v/>
      </c>
      <c r="Q509" s="76">
        <f>E509-C509</f>
        <v/>
      </c>
      <c r="R509" s="76">
        <f>C509-M509</f>
        <v/>
      </c>
      <c r="S509" s="76">
        <f>C509-O509</f>
        <v/>
      </c>
      <c r="T509" s="76">
        <f>E509-O509</f>
        <v/>
      </c>
      <c r="U509" s="76">
        <f>G509-O509</f>
        <v/>
      </c>
      <c r="V509" s="76">
        <f>G509-K509</f>
        <v/>
      </c>
      <c r="W509" s="76">
        <f>C509-K509</f>
        <v/>
      </c>
      <c r="X509" s="76">
        <f>I509-G509</f>
        <v/>
      </c>
      <c r="Y509" s="77">
        <f>G509-M509</f>
        <v/>
      </c>
    </row>
    <row r="510">
      <c r="A510" s="74" t="n">
        <v>44559</v>
      </c>
      <c r="B510" s="75" t="n">
        <v>34.71</v>
      </c>
      <c r="C510" s="81" t="n">
        <v>0.3454626019142149</v>
      </c>
      <c r="D510" s="75" t="n">
        <v>39</v>
      </c>
      <c r="E510" s="85" t="n">
        <v>0.3881602268699043</v>
      </c>
      <c r="F510" s="75" t="n">
        <v>33.21</v>
      </c>
      <c r="G510" s="81" t="n">
        <v>0.3313148292402935</v>
      </c>
      <c r="H510" s="78" t="n">
        <v>36.6</v>
      </c>
      <c r="I510" s="81" t="n">
        <v>0.3657832859299114</v>
      </c>
      <c r="J510" s="78" t="n">
        <v>32.35</v>
      </c>
      <c r="K510" s="81" t="n">
        <v>0.3217841850134727</v>
      </c>
      <c r="L510" s="75" t="n">
        <v>37.9</v>
      </c>
      <c r="M510" s="81" t="n">
        <v>0.3787755884356186</v>
      </c>
      <c r="N510" s="78" t="n">
        <v>36</v>
      </c>
      <c r="O510" s="81" t="n">
        <v>0.359786838619585</v>
      </c>
      <c r="P510" s="76">
        <f>C510-G510</f>
        <v/>
      </c>
      <c r="Q510" s="76">
        <f>E510-C510</f>
        <v/>
      </c>
      <c r="R510" s="76">
        <f>C510-M510</f>
        <v/>
      </c>
      <c r="S510" s="76">
        <f>C510-O510</f>
        <v/>
      </c>
      <c r="T510" s="76">
        <f>E510-O510</f>
        <v/>
      </c>
      <c r="U510" s="76">
        <f>G510-O510</f>
        <v/>
      </c>
      <c r="V510" s="76">
        <f>G510-K510</f>
        <v/>
      </c>
      <c r="W510" s="76">
        <f>C510-K510</f>
        <v/>
      </c>
      <c r="X510" s="76">
        <f>I510-G510</f>
        <v/>
      </c>
      <c r="Y510" s="77">
        <f>G510-M510</f>
        <v/>
      </c>
    </row>
    <row r="511">
      <c r="A511" s="74" t="n">
        <v>44558</v>
      </c>
      <c r="B511" s="75" t="n">
        <v>35.49</v>
      </c>
      <c r="C511" s="81" t="n">
        <v>0.3532354384816754</v>
      </c>
      <c r="D511" s="75" t="n">
        <v>37.5</v>
      </c>
      <c r="E511" s="85" t="n">
        <v>0.373241164921466</v>
      </c>
      <c r="F511" s="75" t="n">
        <v>33.5</v>
      </c>
      <c r="G511" s="81" t="n">
        <v>0.3342125403159679</v>
      </c>
      <c r="H511" s="78" t="n">
        <v>36.92</v>
      </c>
      <c r="I511" s="81" t="n">
        <v>0.3689826540530921</v>
      </c>
      <c r="J511" s="78" t="n">
        <v>33.2</v>
      </c>
      <c r="K511" s="81" t="n">
        <v>0.330249226702277</v>
      </c>
      <c r="L511" s="75" t="n">
        <v>37.47</v>
      </c>
      <c r="M511" s="81" t="n">
        <v>0.3744794162342729</v>
      </c>
      <c r="N511" s="78" t="n">
        <v>36</v>
      </c>
      <c r="O511" s="81" t="n">
        <v>0.3597880700409348</v>
      </c>
      <c r="P511" s="76">
        <f>C511-G511</f>
        <v/>
      </c>
      <c r="Q511" s="76">
        <f>E511-C511</f>
        <v/>
      </c>
      <c r="R511" s="76">
        <f>C511-M511</f>
        <v/>
      </c>
      <c r="S511" s="76">
        <f>C511-O511</f>
        <v/>
      </c>
      <c r="T511" s="76">
        <f>E511-O511</f>
        <v/>
      </c>
      <c r="U511" s="76">
        <f>G511-O511</f>
        <v/>
      </c>
      <c r="V511" s="76">
        <f>G511-K511</f>
        <v/>
      </c>
      <c r="W511" s="76">
        <f>C511-K511</f>
        <v/>
      </c>
      <c r="X511" s="76">
        <f>I511-G511</f>
        <v/>
      </c>
      <c r="Y511" s="77">
        <f>G511-M511</f>
        <v/>
      </c>
    </row>
    <row r="512">
      <c r="A512" s="74" t="n">
        <v>44557</v>
      </c>
      <c r="B512" s="75" t="n">
        <v>34.4</v>
      </c>
      <c r="C512" s="81" t="n">
        <v>0.3423958986665212</v>
      </c>
      <c r="D512" s="75" t="n">
        <v>38.4</v>
      </c>
      <c r="E512" s="85" t="n">
        <v>0.3822093752556516</v>
      </c>
      <c r="F512" s="75" t="n">
        <v>32.9</v>
      </c>
      <c r="G512" s="81" t="n">
        <v>0.3282311298191907</v>
      </c>
      <c r="H512" s="78" t="n">
        <v>36.75</v>
      </c>
      <c r="I512" s="81" t="n">
        <v>0.3672849119180206</v>
      </c>
      <c r="J512" s="78" t="n">
        <v>32.4</v>
      </c>
      <c r="K512" s="81" t="n">
        <v>0.3223012955689022</v>
      </c>
      <c r="L512" s="75" t="n">
        <v>37.2</v>
      </c>
      <c r="M512" s="81" t="n">
        <v>0.3717822781864046</v>
      </c>
      <c r="N512" s="78" t="n">
        <v>35.5</v>
      </c>
      <c r="O512" s="81" t="n">
        <v>0.3547922278391764</v>
      </c>
      <c r="P512" s="76">
        <f>C512-G512</f>
        <v/>
      </c>
      <c r="Q512" s="76">
        <f>E512-C512</f>
        <v/>
      </c>
      <c r="R512" s="76">
        <f>C512-M512</f>
        <v/>
      </c>
      <c r="S512" s="76">
        <f>C512-O512</f>
        <v/>
      </c>
      <c r="T512" s="76">
        <f>E512-O512</f>
        <v/>
      </c>
      <c r="U512" s="76">
        <f>G512-O512</f>
        <v/>
      </c>
      <c r="V512" s="76">
        <f>G512-K512</f>
        <v/>
      </c>
      <c r="W512" s="76">
        <f>C512-K512</f>
        <v/>
      </c>
      <c r="X512" s="76">
        <f>I512-G512</f>
        <v/>
      </c>
      <c r="Y512" s="77">
        <f>G512-M512</f>
        <v/>
      </c>
    </row>
    <row r="513">
      <c r="A513" s="74" t="n">
        <v>44553</v>
      </c>
      <c r="B513" s="75" t="n">
        <v>34.1</v>
      </c>
      <c r="C513" s="81" t="n">
        <v>0.3394469141189626</v>
      </c>
      <c r="D513" s="75" t="n">
        <v>38.4</v>
      </c>
      <c r="E513" s="85" t="n">
        <v>0.3822510704448141</v>
      </c>
      <c r="F513" s="75" t="n">
        <v>32</v>
      </c>
      <c r="G513" s="81" t="n">
        <v>0.3192696160837536</v>
      </c>
      <c r="H513" s="78" t="n">
        <v>35.76</v>
      </c>
      <c r="I513" s="81" t="n">
        <v>0.3573955990923</v>
      </c>
      <c r="J513" s="78" t="n">
        <v>32</v>
      </c>
      <c r="K513" s="81" t="n">
        <v>0.3183613114687073</v>
      </c>
      <c r="L513" s="75" t="n">
        <v>36</v>
      </c>
      <c r="M513" s="81" t="n">
        <v>0.3597942272741275</v>
      </c>
      <c r="N513" s="78" t="n">
        <v>34.2</v>
      </c>
      <c r="O513" s="81" t="n">
        <v>0.3418045159104211</v>
      </c>
      <c r="P513" s="76">
        <f>C513-G513</f>
        <v/>
      </c>
      <c r="Q513" s="76">
        <f>E513-C513</f>
        <v/>
      </c>
      <c r="R513" s="76">
        <f>C513-M513</f>
        <v/>
      </c>
      <c r="S513" s="76">
        <f>C513-O513</f>
        <v/>
      </c>
      <c r="T513" s="76">
        <f>E513-O513</f>
        <v/>
      </c>
      <c r="U513" s="76">
        <f>G513-O513</f>
        <v/>
      </c>
      <c r="V513" s="76">
        <f>G513-K513</f>
        <v/>
      </c>
      <c r="W513" s="76">
        <f>C513-K513</f>
        <v/>
      </c>
      <c r="X513" s="76">
        <f>I513-G513</f>
        <v/>
      </c>
      <c r="Y513" s="77">
        <f>G513-M513</f>
        <v/>
      </c>
    </row>
    <row r="514">
      <c r="A514" s="74" t="n">
        <v>44552</v>
      </c>
      <c r="B514" s="75" t="n">
        <v>34.98</v>
      </c>
      <c r="C514" s="81" t="n">
        <v>0.3482163312060219</v>
      </c>
      <c r="D514" s="75" t="n">
        <v>38.4</v>
      </c>
      <c r="E514" s="85" t="n">
        <v>0.3822614956635575</v>
      </c>
      <c r="F514" s="75" t="n">
        <v>32.2</v>
      </c>
      <c r="G514" s="81" t="n">
        <v>0.3212694420905886</v>
      </c>
      <c r="H514" s="78" t="n">
        <v>35.5</v>
      </c>
      <c r="I514" s="81" t="n">
        <v>0.3547982995968045</v>
      </c>
      <c r="J514" s="78" t="n">
        <v>31.84</v>
      </c>
      <c r="K514" s="81" t="n">
        <v>0.3167792186552366</v>
      </c>
      <c r="L514" s="75" t="n">
        <v>36.1</v>
      </c>
      <c r="M514" s="81" t="n">
        <v>0.3607948905759055</v>
      </c>
      <c r="N514" s="78" t="n">
        <v>35.5</v>
      </c>
      <c r="O514" s="81" t="n">
        <v>0.3547982995968045</v>
      </c>
      <c r="P514" s="76">
        <f>C514-G514</f>
        <v/>
      </c>
      <c r="Q514" s="76">
        <f>E514-C514</f>
        <v/>
      </c>
      <c r="R514" s="76">
        <f>C514-M514</f>
        <v/>
      </c>
      <c r="S514" s="76">
        <f>C514-O514</f>
        <v/>
      </c>
      <c r="T514" s="76">
        <f>E514-O514</f>
        <v/>
      </c>
      <c r="U514" s="76">
        <f>G514-O514</f>
        <v/>
      </c>
      <c r="V514" s="76">
        <f>G514-K514</f>
        <v/>
      </c>
      <c r="W514" s="76">
        <f>C514-K514</f>
        <v/>
      </c>
      <c r="X514" s="76">
        <f>I514-G514</f>
        <v/>
      </c>
      <c r="Y514" s="77">
        <f>G514-M514</f>
        <v/>
      </c>
    </row>
    <row r="515">
      <c r="A515" s="74" t="n">
        <v>44551</v>
      </c>
      <c r="B515" s="75" t="n">
        <v>34.09</v>
      </c>
      <c r="C515" s="81" t="n">
        <v>0.3393658802672849</v>
      </c>
      <c r="D515" s="75" t="n">
        <v>38.4</v>
      </c>
      <c r="E515" s="85" t="n">
        <v>0.382271921450975</v>
      </c>
      <c r="F515" s="75" t="n">
        <v>31.8</v>
      </c>
      <c r="G515" s="81" t="n">
        <v>0.3172828538235495</v>
      </c>
      <c r="H515" s="78" t="n">
        <v>35.75</v>
      </c>
      <c r="I515" s="81" t="n">
        <v>0.3572981020998409</v>
      </c>
      <c r="J515" s="78" t="n">
        <v>31</v>
      </c>
      <c r="K515" s="81" t="n">
        <v>0.3084314360188766</v>
      </c>
      <c r="L515" s="75" t="n">
        <v>35.65</v>
      </c>
      <c r="M515" s="81" t="n">
        <v>0.3562986668492119</v>
      </c>
      <c r="N515" s="78" t="n">
        <v>34.5</v>
      </c>
      <c r="O515" s="81" t="n">
        <v>0.3448051614669793</v>
      </c>
      <c r="P515" s="76">
        <f>C515-G515</f>
        <v/>
      </c>
      <c r="Q515" s="76">
        <f>E515-C515</f>
        <v/>
      </c>
      <c r="R515" s="76">
        <f>C515-M515</f>
        <v/>
      </c>
      <c r="S515" s="76">
        <f>C515-O515</f>
        <v/>
      </c>
      <c r="T515" s="76">
        <f>E515-O515</f>
        <v/>
      </c>
      <c r="U515" s="76">
        <f>G515-O515</f>
        <v/>
      </c>
      <c r="V515" s="76">
        <f>G515-K515</f>
        <v/>
      </c>
      <c r="W515" s="76">
        <f>C515-K515</f>
        <v/>
      </c>
      <c r="X515" s="76">
        <f>I515-G515</f>
        <v/>
      </c>
      <c r="Y515" s="77">
        <f>G515-M515</f>
        <v/>
      </c>
    </row>
    <row r="516">
      <c r="A516" s="74" t="n">
        <v>44550</v>
      </c>
      <c r="B516" s="75" t="n">
        <v>33.99</v>
      </c>
      <c r="C516" s="81" t="n">
        <v>0.3383796094261401</v>
      </c>
      <c r="D516" s="75" t="n">
        <v>38.5</v>
      </c>
      <c r="E516" s="85" t="n">
        <v>0.3832778747545276</v>
      </c>
      <c r="F516" s="75" t="n">
        <v>31.8</v>
      </c>
      <c r="G516" s="81" t="n">
        <v>0.3172871904215188</v>
      </c>
      <c r="H516" s="78" t="n">
        <v>35.52</v>
      </c>
      <c r="I516" s="81" t="n">
        <v>0.3550006160923317</v>
      </c>
      <c r="J516" s="78" t="n">
        <v>31.11</v>
      </c>
      <c r="K516" s="81" t="n">
        <v>0.3095353623464951</v>
      </c>
      <c r="L516" s="75" t="n">
        <v>35.71</v>
      </c>
      <c r="M516" s="81" t="n">
        <v>0.3568995495680508</v>
      </c>
      <c r="N516" s="78" t="n">
        <v>34.7</v>
      </c>
      <c r="O516" s="81" t="n">
        <v>0.3468052189865966</v>
      </c>
      <c r="P516" s="76">
        <f>C516-G516</f>
        <v/>
      </c>
      <c r="Q516" s="76">
        <f>E516-C516</f>
        <v/>
      </c>
      <c r="R516" s="76">
        <f>C516-M516</f>
        <v/>
      </c>
      <c r="S516" s="76">
        <f>C516-O516</f>
        <v/>
      </c>
      <c r="T516" s="76">
        <f>E516-O516</f>
        <v/>
      </c>
      <c r="U516" s="76">
        <f>G516-O516</f>
        <v/>
      </c>
      <c r="V516" s="76">
        <f>G516-K516</f>
        <v/>
      </c>
      <c r="W516" s="76">
        <f>C516-K516</f>
        <v/>
      </c>
      <c r="X516" s="76">
        <f>I516-G516</f>
        <v/>
      </c>
      <c r="Y516" s="77">
        <f>G516-M516</f>
        <v/>
      </c>
    </row>
    <row r="517">
      <c r="A517" s="74" t="n">
        <v>44547</v>
      </c>
      <c r="B517" s="75" t="n">
        <v>34.5</v>
      </c>
      <c r="C517" s="81" t="n">
        <v>0.34348490221216</v>
      </c>
      <c r="D517" s="75" t="n">
        <v>38.2</v>
      </c>
      <c r="E517" s="85" t="n">
        <v>0.380322413463899</v>
      </c>
      <c r="F517" s="75" t="n">
        <v>32.08</v>
      </c>
      <c r="G517" s="81" t="n">
        <v>0.3200940391738768</v>
      </c>
      <c r="H517" s="78" t="n">
        <v>36.2</v>
      </c>
      <c r="I517" s="81" t="n">
        <v>0.3618005141001024</v>
      </c>
      <c r="J517" s="78" t="n">
        <v>32</v>
      </c>
      <c r="K517" s="81" t="n">
        <v>0.3184198957910915</v>
      </c>
      <c r="L517" s="75" t="n">
        <v>36.4</v>
      </c>
      <c r="M517" s="81" t="n">
        <v>0.3637994119680587</v>
      </c>
      <c r="N517" s="78" t="n">
        <v>35</v>
      </c>
      <c r="O517" s="81" t="n">
        <v>0.3498071268923642</v>
      </c>
      <c r="P517" s="76">
        <f>C517-G517</f>
        <v/>
      </c>
      <c r="Q517" s="76">
        <f>E517-C517</f>
        <v/>
      </c>
      <c r="R517" s="76">
        <f>C517-M517</f>
        <v/>
      </c>
      <c r="S517" s="76">
        <f>C517-O517</f>
        <v/>
      </c>
      <c r="T517" s="76">
        <f>E517-O517</f>
        <v/>
      </c>
      <c r="U517" s="76">
        <f>G517-O517</f>
        <v/>
      </c>
      <c r="V517" s="76">
        <f>G517-K517</f>
        <v/>
      </c>
      <c r="W517" s="76">
        <f>C517-K517</f>
        <v/>
      </c>
      <c r="X517" s="76">
        <f>I517-G517</f>
        <v/>
      </c>
      <c r="Y517" s="77">
        <f>G517-M517</f>
        <v/>
      </c>
    </row>
    <row r="518">
      <c r="A518" s="74" t="n">
        <v>44546</v>
      </c>
      <c r="B518" s="75" t="n">
        <v>35.2</v>
      </c>
      <c r="C518" s="81" t="n">
        <v>0.3504637206764867</v>
      </c>
      <c r="D518" s="75" t="n">
        <v>38.5</v>
      </c>
      <c r="E518" s="85" t="n">
        <v>0.3833196944899073</v>
      </c>
      <c r="F518" s="75" t="n">
        <v>33.12</v>
      </c>
      <c r="G518" s="81" t="n">
        <v>0.3304756697648988</v>
      </c>
      <c r="H518" s="78" t="n">
        <v>36.91</v>
      </c>
      <c r="I518" s="81" t="n">
        <v>0.3688978641840087</v>
      </c>
      <c r="J518" s="78" t="n">
        <v>33</v>
      </c>
      <c r="K518" s="81" t="n">
        <v>0.3283805888767721</v>
      </c>
      <c r="L518" s="75" t="n">
        <v>37.5</v>
      </c>
      <c r="M518" s="81" t="n">
        <v>0.3747946330777656</v>
      </c>
      <c r="N518" s="78" t="n">
        <v>36</v>
      </c>
      <c r="O518" s="81" t="n">
        <v>0.359802847754655</v>
      </c>
      <c r="P518" s="76">
        <f>C518-G518</f>
        <v/>
      </c>
      <c r="Q518" s="76">
        <f>E518-C518</f>
        <v/>
      </c>
      <c r="R518" s="76">
        <f>C518-M518</f>
        <v/>
      </c>
      <c r="S518" s="76">
        <f>C518-O518</f>
        <v/>
      </c>
      <c r="T518" s="76">
        <f>E518-O518</f>
        <v/>
      </c>
      <c r="U518" s="76">
        <f>G518-O518</f>
        <v/>
      </c>
      <c r="V518" s="76">
        <f>G518-K518</f>
        <v/>
      </c>
      <c r="W518" s="76">
        <f>C518-K518</f>
        <v/>
      </c>
      <c r="X518" s="76">
        <f>I518-G518</f>
        <v/>
      </c>
      <c r="Y518" s="77">
        <f>G518-M518</f>
        <v/>
      </c>
    </row>
    <row r="519">
      <c r="A519" s="74" t="n">
        <v>44545</v>
      </c>
      <c r="B519" s="75" t="n">
        <v>35.1</v>
      </c>
      <c r="C519" s="81" t="n">
        <v>0.34947761804741</v>
      </c>
      <c r="D519" s="75" t="n">
        <v>39</v>
      </c>
      <c r="E519" s="85" t="n">
        <v>0.3883084644971221</v>
      </c>
      <c r="F519" s="75" t="n">
        <v>33.11</v>
      </c>
      <c r="G519" s="81" t="n">
        <v>0.3303804043248267</v>
      </c>
      <c r="H519" s="78" t="n">
        <v>37.15</v>
      </c>
      <c r="I519" s="81" t="n">
        <v>0.3712978207072176</v>
      </c>
      <c r="J519" s="78" t="n">
        <v>32.6</v>
      </c>
      <c r="K519" s="81" t="n">
        <v>0.3244101679781619</v>
      </c>
      <c r="L519" s="75" t="n">
        <v>37.3</v>
      </c>
      <c r="M519" s="81" t="n">
        <v>0.3727970043709076</v>
      </c>
      <c r="N519" s="78" t="n">
        <v>36</v>
      </c>
      <c r="O519" s="81" t="n">
        <v>0.3598040792855945</v>
      </c>
      <c r="P519" s="76">
        <f>C519-G519</f>
        <v/>
      </c>
      <c r="Q519" s="76">
        <f>E519-C519</f>
        <v/>
      </c>
      <c r="R519" s="76">
        <f>C519-M519</f>
        <v/>
      </c>
      <c r="S519" s="76">
        <f>C519-O519</f>
        <v/>
      </c>
      <c r="T519" s="76">
        <f>E519-O519</f>
        <v/>
      </c>
      <c r="U519" s="76">
        <f>G519-O519</f>
        <v/>
      </c>
      <c r="V519" s="76">
        <f>G519-K519</f>
        <v/>
      </c>
      <c r="W519" s="76">
        <f>C519-K519</f>
        <v/>
      </c>
      <c r="X519" s="76">
        <f>I519-G519</f>
        <v/>
      </c>
      <c r="Y519" s="77">
        <f>G519-M519</f>
        <v/>
      </c>
    </row>
    <row r="520">
      <c r="A520" s="74" t="n">
        <v>44544</v>
      </c>
      <c r="B520" s="75" t="n">
        <v>35.4</v>
      </c>
      <c r="C520" s="81" t="n">
        <v>0.3524742211795515</v>
      </c>
      <c r="D520" s="75" t="n">
        <v>39</v>
      </c>
      <c r="E520" s="85" t="n">
        <v>0.3883190572317093</v>
      </c>
      <c r="F520" s="75" t="n">
        <v>32.95</v>
      </c>
      <c r="G520" s="81" t="n">
        <v>0.3287883758440636</v>
      </c>
      <c r="H520" s="78" t="n">
        <v>37.6</v>
      </c>
      <c r="I520" s="81" t="n">
        <v>0.3757966579727408</v>
      </c>
      <c r="J520" s="78" t="n">
        <v>31.86</v>
      </c>
      <c r="K520" s="81" t="n">
        <v>0.3170559808058019</v>
      </c>
      <c r="L520" s="75" t="n">
        <v>37</v>
      </c>
      <c r="M520" s="81" t="n">
        <v>0.3697999027923247</v>
      </c>
      <c r="N520" s="78" t="n">
        <v>36</v>
      </c>
      <c r="O520" s="81" t="n">
        <v>0.3598053108249646</v>
      </c>
      <c r="P520" s="76">
        <f>C520-G520</f>
        <v/>
      </c>
      <c r="Q520" s="76">
        <f>E520-C520</f>
        <v/>
      </c>
      <c r="R520" s="76">
        <f>C520-M520</f>
        <v/>
      </c>
      <c r="S520" s="76">
        <f>C520-O520</f>
        <v/>
      </c>
      <c r="T520" s="76">
        <f>E520-O520</f>
        <v/>
      </c>
      <c r="U520" s="76">
        <f>G520-O520</f>
        <v/>
      </c>
      <c r="V520" s="76">
        <f>G520-K520</f>
        <v/>
      </c>
      <c r="W520" s="76">
        <f>C520-K520</f>
        <v/>
      </c>
      <c r="X520" s="76">
        <f>I520-G520</f>
        <v/>
      </c>
      <c r="Y520" s="77">
        <f>G520-M520</f>
        <v/>
      </c>
    </row>
    <row r="521">
      <c r="A521" s="74" t="n">
        <v>44543</v>
      </c>
      <c r="B521" s="75" t="n">
        <v>35.5</v>
      </c>
      <c r="C521" s="81" t="n">
        <v>0.353479553700521</v>
      </c>
      <c r="D521" s="75" t="n">
        <v>39</v>
      </c>
      <c r="E521" s="85" t="n">
        <v>0.3883296505442344</v>
      </c>
      <c r="F521" s="75" t="n">
        <v>33.05</v>
      </c>
      <c r="G521" s="81" t="n">
        <v>0.3297907240592151</v>
      </c>
      <c r="H521" s="78" t="n">
        <v>37.05</v>
      </c>
      <c r="I521" s="81" t="n">
        <v>0.3703008998586376</v>
      </c>
      <c r="J521" s="78" t="n">
        <v>32.39</v>
      </c>
      <c r="K521" s="81" t="n">
        <v>0.3223401826094958</v>
      </c>
      <c r="L521" s="75" t="n">
        <v>37.05</v>
      </c>
      <c r="M521" s="81" t="n">
        <v>0.3703008998586376</v>
      </c>
      <c r="N521" s="78" t="n">
        <v>36</v>
      </c>
      <c r="O521" s="81" t="n">
        <v>0.3598065423727653</v>
      </c>
      <c r="P521" s="76">
        <f>C521-G521</f>
        <v/>
      </c>
      <c r="Q521" s="76">
        <f>E521-C521</f>
        <v/>
      </c>
      <c r="R521" s="76">
        <f>C521-M521</f>
        <v/>
      </c>
      <c r="S521" s="76">
        <f>C521-O521</f>
        <v/>
      </c>
      <c r="T521" s="76">
        <f>E521-O521</f>
        <v/>
      </c>
      <c r="U521" s="76">
        <f>G521-O521</f>
        <v/>
      </c>
      <c r="V521" s="76">
        <f>G521-K521</f>
        <v/>
      </c>
      <c r="W521" s="76">
        <f>C521-K521</f>
        <v/>
      </c>
      <c r="X521" s="76">
        <f>I521-G521</f>
        <v/>
      </c>
      <c r="Y521" s="77">
        <f>G521-M521</f>
        <v/>
      </c>
    </row>
    <row r="522">
      <c r="A522" s="74" t="n">
        <v>44540</v>
      </c>
      <c r="B522" s="75" t="n">
        <v>36.5</v>
      </c>
      <c r="C522" s="81" t="n">
        <v>0.3634664702351721</v>
      </c>
      <c r="D522" s="75" t="n">
        <v>39</v>
      </c>
      <c r="E522" s="85" t="n">
        <v>0.38836143394991</v>
      </c>
      <c r="F522" s="75" t="n">
        <v>33.46</v>
      </c>
      <c r="G522" s="81" t="n">
        <v>0.3338956174645269</v>
      </c>
      <c r="H522" s="78" t="n">
        <v>36.9</v>
      </c>
      <c r="I522" s="81" t="n">
        <v>0.3688054929934212</v>
      </c>
      <c r="J522" s="78" t="n">
        <v>32.8</v>
      </c>
      <c r="K522" s="81" t="n">
        <v>0.3264504782095942</v>
      </c>
      <c r="L522" s="75" t="n">
        <v>37.8</v>
      </c>
      <c r="M522" s="81" t="n">
        <v>0.3778007489200901</v>
      </c>
      <c r="N522" s="78" t="n">
        <v>36.2</v>
      </c>
      <c r="O522" s="81" t="n">
        <v>0.3618091828282344</v>
      </c>
      <c r="P522" s="76">
        <f>C522-G522</f>
        <v/>
      </c>
      <c r="Q522" s="76">
        <f>E522-C522</f>
        <v/>
      </c>
      <c r="R522" s="76">
        <f>C522-M522</f>
        <v/>
      </c>
      <c r="S522" s="76">
        <f>C522-O522</f>
        <v/>
      </c>
      <c r="T522" s="76">
        <f>E522-O522</f>
        <v/>
      </c>
      <c r="U522" s="76">
        <f>G522-O522</f>
        <v/>
      </c>
      <c r="V522" s="76">
        <f>G522-K522</f>
        <v/>
      </c>
      <c r="W522" s="76">
        <f>C522-K522</f>
        <v/>
      </c>
      <c r="X522" s="76">
        <f>I522-G522</f>
        <v/>
      </c>
      <c r="Y522" s="77">
        <f>G522-M522</f>
        <v/>
      </c>
    </row>
    <row r="523">
      <c r="A523" s="74" t="n">
        <v>44539</v>
      </c>
      <c r="B523" s="75" t="n">
        <v>37.2</v>
      </c>
      <c r="C523" s="81" t="n">
        <v>0.3704471666712139</v>
      </c>
      <c r="D523" s="75" t="n">
        <v>39</v>
      </c>
      <c r="E523" s="85" t="n">
        <v>0.3883720295746597</v>
      </c>
      <c r="F523" s="75" t="n">
        <v>34.1</v>
      </c>
      <c r="G523" s="81" t="n">
        <v>0.3402867961669378</v>
      </c>
      <c r="H523" s="78" t="n">
        <v>38.01</v>
      </c>
      <c r="I523" s="81" t="n">
        <v>0.3799009423144722</v>
      </c>
      <c r="J523" s="78" t="n">
        <v>33</v>
      </c>
      <c r="K523" s="81" t="n">
        <v>0.3284511055740566</v>
      </c>
      <c r="L523" s="75" t="n">
        <v>38.5</v>
      </c>
      <c r="M523" s="81" t="n">
        <v>0.384798376193296</v>
      </c>
      <c r="N523" s="78" t="n">
        <v>36.9</v>
      </c>
      <c r="O523" s="81" t="n">
        <v>0.3688067553644837</v>
      </c>
      <c r="P523" s="76">
        <f>C523-G523</f>
        <v/>
      </c>
      <c r="Q523" s="76">
        <f>E523-C523</f>
        <v/>
      </c>
      <c r="R523" s="76">
        <f>C523-M523</f>
        <v/>
      </c>
      <c r="S523" s="76">
        <f>C523-O523</f>
        <v/>
      </c>
      <c r="T523" s="76">
        <f>E523-O523</f>
        <v/>
      </c>
      <c r="U523" s="76">
        <f>G523-O523</f>
        <v/>
      </c>
      <c r="V523" s="76">
        <f>G523-K523</f>
        <v/>
      </c>
      <c r="W523" s="76">
        <f>C523-K523</f>
        <v/>
      </c>
      <c r="X523" s="76">
        <f>I523-G523</f>
        <v/>
      </c>
      <c r="Y523" s="77">
        <f>G523-M523</f>
        <v/>
      </c>
    </row>
    <row r="524">
      <c r="A524" s="74" t="n">
        <v>44537</v>
      </c>
      <c r="B524" s="75" t="n">
        <v>37.05</v>
      </c>
      <c r="C524" s="81" t="n">
        <v>0.3689735614307931</v>
      </c>
      <c r="D524" s="75" t="n">
        <v>39.4</v>
      </c>
      <c r="E524" s="85" t="n">
        <v>0.3923767427901012</v>
      </c>
      <c r="F524" s="75" t="n">
        <v>34.3</v>
      </c>
      <c r="G524" s="81" t="n">
        <v>0.3422919714016213</v>
      </c>
      <c r="H524" s="78" t="n">
        <v>38.21</v>
      </c>
      <c r="I524" s="81" t="n">
        <v>0.3819025093188111</v>
      </c>
      <c r="J524" s="78" t="n">
        <v>33.35</v>
      </c>
      <c r="K524" s="81" t="n">
        <v>0.3319550448426672</v>
      </c>
      <c r="L524" s="75" t="n">
        <v>38</v>
      </c>
      <c r="M524" s="81" t="n">
        <v>0.3798035947164309</v>
      </c>
      <c r="N524" s="78" t="n">
        <v>36.9</v>
      </c>
      <c r="O524" s="81" t="n">
        <v>0.3688092801325342</v>
      </c>
      <c r="P524" s="76">
        <f>C524-G524</f>
        <v/>
      </c>
      <c r="Q524" s="76">
        <f>E524-C524</f>
        <v/>
      </c>
      <c r="R524" s="76">
        <f>C524-M524</f>
        <v/>
      </c>
      <c r="S524" s="76">
        <f>C524-O524</f>
        <v/>
      </c>
      <c r="T524" s="76">
        <f>E524-O524</f>
        <v/>
      </c>
      <c r="U524" s="76">
        <f>G524-O524</f>
        <v/>
      </c>
      <c r="V524" s="76">
        <f>G524-K524</f>
        <v/>
      </c>
      <c r="W524" s="76">
        <f>C524-K524</f>
        <v/>
      </c>
      <c r="X524" s="76">
        <f>I524-G524</f>
        <v/>
      </c>
      <c r="Y524" s="77">
        <f>G524-M524</f>
        <v/>
      </c>
    </row>
    <row r="525">
      <c r="A525" s="74" t="n">
        <v>44536</v>
      </c>
      <c r="B525" s="75" t="n">
        <v>35.4</v>
      </c>
      <c r="C525" s="81" t="n">
        <v>0.3525511596180081</v>
      </c>
      <c r="D525" s="75" t="n">
        <v>38.4</v>
      </c>
      <c r="E525" s="85" t="n">
        <v>0.3824283765347885</v>
      </c>
      <c r="F525" s="75" t="n">
        <v>33.11</v>
      </c>
      <c r="G525" s="81" t="n">
        <v>0.3304210526315789</v>
      </c>
      <c r="H525" s="78" t="n">
        <v>37.29</v>
      </c>
      <c r="I525" s="81" t="n">
        <v>0.3727085401334931</v>
      </c>
      <c r="J525" s="78" t="n">
        <v>32</v>
      </c>
      <c r="K525" s="81" t="n">
        <v>0.3185273564002045</v>
      </c>
      <c r="L525" s="75" t="n">
        <v>36.33</v>
      </c>
      <c r="M525" s="81" t="n">
        <v>0.3631134691083348</v>
      </c>
      <c r="N525" s="78" t="n">
        <v>35.4</v>
      </c>
      <c r="O525" s="81" t="n">
        <v>0.3538182440527126</v>
      </c>
      <c r="P525" s="76">
        <f>C525-G525</f>
        <v/>
      </c>
      <c r="Q525" s="76">
        <f>E525-C525</f>
        <v/>
      </c>
      <c r="R525" s="76">
        <f>C525-M525</f>
        <v/>
      </c>
      <c r="S525" s="76">
        <f>C525-O525</f>
        <v/>
      </c>
      <c r="T525" s="76">
        <f>E525-O525</f>
        <v/>
      </c>
      <c r="U525" s="76">
        <f>G525-O525</f>
        <v/>
      </c>
      <c r="V525" s="76">
        <f>G525-K525</f>
        <v/>
      </c>
      <c r="W525" s="76">
        <f>C525-K525</f>
        <v/>
      </c>
      <c r="X525" s="76">
        <f>I525-G525</f>
        <v/>
      </c>
      <c r="Y525" s="77">
        <f>G525-M525</f>
        <v/>
      </c>
    </row>
    <row r="526">
      <c r="A526" s="74" t="n">
        <v>44533</v>
      </c>
      <c r="B526" s="75" t="n">
        <v>35.15</v>
      </c>
      <c r="C526" s="81" t="n">
        <v>0.3500900482986329</v>
      </c>
      <c r="D526" s="75" t="n">
        <v>37.7</v>
      </c>
      <c r="E526" s="85" t="n">
        <v>0.3754877616175949</v>
      </c>
      <c r="F526" s="75" t="n">
        <v>32.35</v>
      </c>
      <c r="G526" s="81" t="n">
        <v>0.3228498776436491</v>
      </c>
      <c r="H526" s="78" t="n">
        <v>37.15</v>
      </c>
      <c r="I526" s="81" t="n">
        <v>0.3713130718439689</v>
      </c>
      <c r="J526" s="78" t="n">
        <v>31.23</v>
      </c>
      <c r="K526" s="81" t="n">
        <v>0.3108914064018165</v>
      </c>
      <c r="L526" s="75" t="n">
        <v>37</v>
      </c>
      <c r="M526" s="81" t="n">
        <v>0.369813826600992</v>
      </c>
      <c r="N526" s="78" t="n">
        <v>34.75</v>
      </c>
      <c r="O526" s="81" t="n">
        <v>0.3473251479563371</v>
      </c>
      <c r="P526" s="76">
        <f>C526-G526</f>
        <v/>
      </c>
      <c r="Q526" s="76">
        <f>E526-C526</f>
        <v/>
      </c>
      <c r="R526" s="76">
        <f>C526-M526</f>
        <v/>
      </c>
      <c r="S526" s="76">
        <f>C526-O526</f>
        <v/>
      </c>
      <c r="T526" s="76">
        <f>E526-O526</f>
        <v/>
      </c>
      <c r="U526" s="76">
        <f>G526-O526</f>
        <v/>
      </c>
      <c r="V526" s="76">
        <f>G526-K526</f>
        <v/>
      </c>
      <c r="W526" s="76">
        <f>C526-K526</f>
        <v/>
      </c>
      <c r="X526" s="76">
        <f>I526-G526</f>
        <v/>
      </c>
      <c r="Y526" s="77">
        <f>G526-M526</f>
        <v/>
      </c>
    </row>
    <row r="527">
      <c r="A527" s="74" t="n">
        <v>44532</v>
      </c>
      <c r="B527" s="75" t="n">
        <v>34.2</v>
      </c>
      <c r="C527" s="81" t="n">
        <v>0.3406374501992032</v>
      </c>
      <c r="D527" s="75" t="n">
        <v>37.7</v>
      </c>
      <c r="E527" s="85" t="n">
        <v>0.3754980079681275</v>
      </c>
      <c r="F527" s="75" t="n">
        <v>31.19</v>
      </c>
      <c r="G527" s="81" t="n">
        <v>0.3112774451097804</v>
      </c>
      <c r="H527" s="78" t="n">
        <v>35.6</v>
      </c>
      <c r="I527" s="81" t="n">
        <v>0.3558220889555223</v>
      </c>
      <c r="J527" s="78" t="n">
        <v>30.8</v>
      </c>
      <c r="K527" s="81" t="n">
        <v>0.3066202090592335</v>
      </c>
      <c r="L527" s="75" t="n">
        <v>35.8</v>
      </c>
      <c r="M527" s="81" t="n">
        <v>0.3578210894552724</v>
      </c>
      <c r="N527" s="78" t="n">
        <v>34.4</v>
      </c>
      <c r="O527" s="81" t="n">
        <v>0.3438280859570215</v>
      </c>
      <c r="P527" s="76">
        <f>C527-G527</f>
        <v/>
      </c>
      <c r="Q527" s="76">
        <f>E527-C527</f>
        <v/>
      </c>
      <c r="R527" s="76">
        <f>C527-M527</f>
        <v/>
      </c>
      <c r="S527" s="76">
        <f>C527-O527</f>
        <v/>
      </c>
      <c r="T527" s="76">
        <f>E527-O527</f>
        <v/>
      </c>
      <c r="U527" s="76">
        <f>G527-O527</f>
        <v/>
      </c>
      <c r="V527" s="76">
        <f>G527-K527</f>
        <v/>
      </c>
      <c r="W527" s="76">
        <f>C527-K527</f>
        <v/>
      </c>
      <c r="X527" s="76">
        <f>I527-G527</f>
        <v/>
      </c>
      <c r="Y527" s="77">
        <f>G527-M527</f>
        <v/>
      </c>
    </row>
    <row r="528">
      <c r="A528" s="74" t="n">
        <v>44531</v>
      </c>
      <c r="B528" s="75" t="n">
        <v>34</v>
      </c>
      <c r="C528" s="81" t="n">
        <v>0.338654659571565</v>
      </c>
      <c r="D528" s="75" t="n">
        <v>37.15</v>
      </c>
      <c r="E528" s="85" t="n">
        <v>0.3700300177377541</v>
      </c>
      <c r="F528" s="75" t="n">
        <v>31.6</v>
      </c>
      <c r="G528" s="81" t="n">
        <v>0.3153735730398524</v>
      </c>
      <c r="H528" s="78" t="n">
        <v>35.04</v>
      </c>
      <c r="I528" s="81" t="n">
        <v>0.3502260863612247</v>
      </c>
      <c r="J528" s="78" t="n">
        <v>30.61</v>
      </c>
      <c r="K528" s="81" t="n">
        <v>0.304738071290977</v>
      </c>
      <c r="L528" s="75" t="n">
        <v>35</v>
      </c>
      <c r="M528" s="81" t="n">
        <v>0.3498262848927758</v>
      </c>
      <c r="N528" s="78" t="n">
        <v>34.02</v>
      </c>
      <c r="O528" s="81" t="n">
        <v>0.3400311489157782</v>
      </c>
      <c r="P528" s="76">
        <f>C528-G528</f>
        <v/>
      </c>
      <c r="Q528" s="76">
        <f>E528-C528</f>
        <v/>
      </c>
      <c r="R528" s="76">
        <f>C528-M528</f>
        <v/>
      </c>
      <c r="S528" s="76">
        <f>C528-O528</f>
        <v/>
      </c>
      <c r="T528" s="76">
        <f>E528-O528</f>
        <v/>
      </c>
      <c r="U528" s="76">
        <f>G528-O528</f>
        <v/>
      </c>
      <c r="V528" s="76">
        <f>G528-K528</f>
        <v/>
      </c>
      <c r="W528" s="76">
        <f>C528-K528</f>
        <v/>
      </c>
      <c r="X528" s="76">
        <f>I528-G528</f>
        <v/>
      </c>
      <c r="Y528" s="77">
        <f>G528-M528</f>
        <v/>
      </c>
    </row>
    <row r="529">
      <c r="A529" s="74" t="n">
        <v>44530</v>
      </c>
      <c r="B529" s="75" t="n">
        <v>32</v>
      </c>
      <c r="C529" s="81" t="n">
        <v>0.3187424953607685</v>
      </c>
      <c r="D529" s="75" t="n">
        <v>36.6</v>
      </c>
      <c r="E529" s="85" t="n">
        <v>0.364561729068879</v>
      </c>
      <c r="F529" s="75" t="n">
        <v>29.34</v>
      </c>
      <c r="G529" s="81" t="n">
        <v>0.2928223777753473</v>
      </c>
      <c r="H529" s="78" t="n">
        <v>33.36</v>
      </c>
      <c r="I529" s="81" t="n">
        <v>0.3334355660222356</v>
      </c>
      <c r="J529" s="78" t="n">
        <v>29.4</v>
      </c>
      <c r="K529" s="81" t="n">
        <v>0.2927008892040805</v>
      </c>
      <c r="L529" s="75" t="n">
        <v>33.5</v>
      </c>
      <c r="M529" s="81" t="n">
        <v>0.3348348759515855</v>
      </c>
      <c r="N529" s="78" t="n">
        <v>32</v>
      </c>
      <c r="O529" s="81" t="n">
        <v>0.3198422695656936</v>
      </c>
      <c r="P529" s="76">
        <f>C529-G529</f>
        <v/>
      </c>
      <c r="Q529" s="76">
        <f>E529-C529</f>
        <v/>
      </c>
      <c r="R529" s="76">
        <f>C529-M529</f>
        <v/>
      </c>
      <c r="S529" s="76">
        <f>C529-O529</f>
        <v/>
      </c>
      <c r="T529" s="76">
        <f>E529-O529</f>
        <v/>
      </c>
      <c r="U529" s="76">
        <f>G529-O529</f>
        <v/>
      </c>
      <c r="V529" s="76">
        <f>G529-K529</f>
        <v/>
      </c>
      <c r="W529" s="76">
        <f>C529-K529</f>
        <v/>
      </c>
      <c r="X529" s="76">
        <f>I529-G529</f>
        <v/>
      </c>
      <c r="Y529" s="77">
        <f>G529-M529</f>
        <v/>
      </c>
    </row>
    <row r="530">
      <c r="A530" s="74" t="n">
        <v>44529</v>
      </c>
      <c r="B530" s="75" t="n">
        <v>32</v>
      </c>
      <c r="C530" s="81" t="n">
        <v>0.3187511939524602</v>
      </c>
      <c r="D530" s="75" t="n">
        <v>36.55</v>
      </c>
      <c r="E530" s="85" t="n">
        <v>0.3640736293425756</v>
      </c>
      <c r="F530" s="75" t="n">
        <v>30.11</v>
      </c>
      <c r="G530" s="81" t="n">
        <v>0.3005113271263142</v>
      </c>
      <c r="H530" s="78" t="n">
        <v>33.96</v>
      </c>
      <c r="I530" s="81" t="n">
        <v>0.339433770448034</v>
      </c>
      <c r="J530" s="78" t="n">
        <v>29.6</v>
      </c>
      <c r="K530" s="81" t="n">
        <v>0.2947010948320246</v>
      </c>
      <c r="L530" s="75" t="n">
        <v>33.45</v>
      </c>
      <c r="M530" s="81" t="n">
        <v>0.3343362668282314</v>
      </c>
      <c r="N530" s="78" t="n">
        <v>32.5</v>
      </c>
      <c r="O530" s="81" t="n">
        <v>0.3248409169482069</v>
      </c>
      <c r="P530" s="76">
        <f>C530-G530</f>
        <v/>
      </c>
      <c r="Q530" s="76">
        <f>E530-C530</f>
        <v/>
      </c>
      <c r="R530" s="76">
        <f>C530-M530</f>
        <v/>
      </c>
      <c r="S530" s="76">
        <f>C530-O530</f>
        <v/>
      </c>
      <c r="T530" s="76">
        <f>E530-O530</f>
        <v/>
      </c>
      <c r="U530" s="76">
        <f>G530-O530</f>
        <v/>
      </c>
      <c r="V530" s="76">
        <f>G530-K530</f>
        <v/>
      </c>
      <c r="W530" s="76">
        <f>C530-K530</f>
        <v/>
      </c>
      <c r="X530" s="76">
        <f>I530-G530</f>
        <v/>
      </c>
      <c r="Y530" s="77">
        <f>G530-M530</f>
        <v/>
      </c>
    </row>
    <row r="531">
      <c r="A531" s="74" t="n">
        <v>44526</v>
      </c>
      <c r="B531" s="75" t="n">
        <v>31.84</v>
      </c>
      <c r="C531" s="81" t="n">
        <v>0.3171834061135371</v>
      </c>
      <c r="D531" s="75" t="n">
        <v>37</v>
      </c>
      <c r="E531" s="85" t="n">
        <v>0.3685862445414847</v>
      </c>
      <c r="F531" s="75" t="n">
        <v>29.25</v>
      </c>
      <c r="G531" s="81" t="n">
        <v>0.2919401148482362</v>
      </c>
      <c r="H531" s="78" t="n">
        <v>34.1</v>
      </c>
      <c r="I531" s="81" t="n">
        <v>0.3408365851988773</v>
      </c>
      <c r="J531" s="78" t="n">
        <v>29.25</v>
      </c>
      <c r="K531" s="81" t="n">
        <v>0.291243265361795</v>
      </c>
      <c r="L531" s="75" t="n">
        <v>33.15</v>
      </c>
      <c r="M531" s="81" t="n">
        <v>0.3313411378106387</v>
      </c>
      <c r="N531" s="78" t="n">
        <v>32.1</v>
      </c>
      <c r="O531" s="81" t="n">
        <v>0.3208461696446909</v>
      </c>
      <c r="P531" s="76">
        <f>C531-G531</f>
        <v/>
      </c>
      <c r="Q531" s="76">
        <f>E531-C531</f>
        <v/>
      </c>
      <c r="R531" s="76">
        <f>C531-M531</f>
        <v/>
      </c>
      <c r="S531" s="76">
        <f>C531-O531</f>
        <v/>
      </c>
      <c r="T531" s="76">
        <f>E531-O531</f>
        <v/>
      </c>
      <c r="U531" s="76">
        <f>G531-O531</f>
        <v/>
      </c>
      <c r="V531" s="76">
        <f>G531-K531</f>
        <v/>
      </c>
      <c r="W531" s="76">
        <f>C531-K531</f>
        <v/>
      </c>
      <c r="X531" s="76">
        <f>I531-G531</f>
        <v/>
      </c>
      <c r="Y531" s="77">
        <f>G531-M531</f>
        <v/>
      </c>
    </row>
    <row r="532">
      <c r="A532" s="74" t="n">
        <v>44525</v>
      </c>
      <c r="B532" s="75" t="n">
        <v>32.29</v>
      </c>
      <c r="C532" s="81" t="n">
        <v>0.3216749911296706</v>
      </c>
      <c r="D532" s="75" t="n">
        <v>37.5</v>
      </c>
      <c r="E532" s="85" t="n">
        <v>0.3735773356259723</v>
      </c>
      <c r="F532" s="75" t="n">
        <v>29.9</v>
      </c>
      <c r="G532" s="81" t="n">
        <v>0.2984317532369871</v>
      </c>
      <c r="H532" s="78" t="n">
        <v>34.74</v>
      </c>
      <c r="I532" s="81" t="n">
        <v>0.3472347067662996</v>
      </c>
      <c r="J532" s="78" t="n">
        <v>30</v>
      </c>
      <c r="K532" s="81" t="n">
        <v>0.2987202089677444</v>
      </c>
      <c r="L532" s="75" t="n">
        <v>33.5</v>
      </c>
      <c r="M532" s="81" t="n">
        <v>0.3348406066974967</v>
      </c>
      <c r="N532" s="78" t="n">
        <v>32.5</v>
      </c>
      <c r="O532" s="81" t="n">
        <v>0.3248453647065267</v>
      </c>
      <c r="P532" s="76">
        <f>C532-G532</f>
        <v/>
      </c>
      <c r="Q532" s="76">
        <f>E532-C532</f>
        <v/>
      </c>
      <c r="R532" s="76">
        <f>C532-M532</f>
        <v/>
      </c>
      <c r="S532" s="76">
        <f>C532-O532</f>
        <v/>
      </c>
      <c r="T532" s="76">
        <f>E532-O532</f>
        <v/>
      </c>
      <c r="U532" s="76">
        <f>G532-O532</f>
        <v/>
      </c>
      <c r="V532" s="76">
        <f>G532-K532</f>
        <v/>
      </c>
      <c r="W532" s="76">
        <f>C532-K532</f>
        <v/>
      </c>
      <c r="X532" s="76">
        <f>I532-G532</f>
        <v/>
      </c>
      <c r="Y532" s="77">
        <f>G532-M532</f>
        <v/>
      </c>
    </row>
    <row r="533">
      <c r="A533" s="74" t="n">
        <v>44524</v>
      </c>
      <c r="B533" s="75" t="n">
        <v>32.75</v>
      </c>
      <c r="C533" s="81" t="n">
        <v>0.3262664446749277</v>
      </c>
      <c r="D533" s="75" t="n">
        <v>39</v>
      </c>
      <c r="E533" s="85" t="n">
        <v>0.388531033353349</v>
      </c>
      <c r="F533" s="75" t="n">
        <v>30.15</v>
      </c>
      <c r="G533" s="81" t="n">
        <v>0.3009311165194564</v>
      </c>
      <c r="H533" s="78" t="n">
        <v>34.58</v>
      </c>
      <c r="I533" s="81" t="n">
        <v>0.3456366511717065</v>
      </c>
      <c r="J533" s="78" t="n">
        <v>30</v>
      </c>
      <c r="K533" s="81" t="n">
        <v>0.2987293771015066</v>
      </c>
      <c r="L533" s="75" t="n">
        <v>33.5</v>
      </c>
      <c r="M533" s="81" t="n">
        <v>0.3348417528702189</v>
      </c>
      <c r="N533" s="78" t="n">
        <v>32.6</v>
      </c>
      <c r="O533" s="81" t="n">
        <v>0.3258460042856459</v>
      </c>
      <c r="P533" s="76">
        <f>C533-G533</f>
        <v/>
      </c>
      <c r="Q533" s="76">
        <f>E533-C533</f>
        <v/>
      </c>
      <c r="R533" s="76">
        <f>C533-M533</f>
        <v/>
      </c>
      <c r="S533" s="76">
        <f>C533-O533</f>
        <v/>
      </c>
      <c r="T533" s="76">
        <f>E533-O533</f>
        <v/>
      </c>
      <c r="U533" s="76">
        <f>G533-O533</f>
        <v/>
      </c>
      <c r="V533" s="76">
        <f>G533-K533</f>
        <v/>
      </c>
      <c r="W533" s="76">
        <f>C533-K533</f>
        <v/>
      </c>
      <c r="X533" s="76">
        <f>I533-G533</f>
        <v/>
      </c>
      <c r="Y533" s="77">
        <f>G533-M533</f>
        <v/>
      </c>
    </row>
    <row r="534">
      <c r="A534" s="74" t="n">
        <v>44523</v>
      </c>
      <c r="B534" s="75" t="n">
        <v>32.9</v>
      </c>
      <c r="C534" s="81" t="n">
        <v>0.3277697409722412</v>
      </c>
      <c r="D534" s="75" t="n">
        <v>39</v>
      </c>
      <c r="E534" s="85" t="n">
        <v>0.3885416382345716</v>
      </c>
      <c r="F534" s="75" t="n">
        <v>30.22</v>
      </c>
      <c r="G534" s="81" t="n">
        <v>0.3016339199037423</v>
      </c>
      <c r="H534" s="78" t="n">
        <v>34.59</v>
      </c>
      <c r="I534" s="81" t="n">
        <v>0.3457377874079627</v>
      </c>
      <c r="J534" s="78" t="n">
        <v>30</v>
      </c>
      <c r="K534" s="81" t="n">
        <v>0.2987385457980514</v>
      </c>
      <c r="L534" s="75" t="n">
        <v>33.6</v>
      </c>
      <c r="M534" s="81" t="n">
        <v>0.3358424300927305</v>
      </c>
      <c r="N534" s="78" t="n">
        <v>32.55</v>
      </c>
      <c r="O534" s="81" t="n">
        <v>0.3253473541523326</v>
      </c>
      <c r="P534" s="76">
        <f>C534-G534</f>
        <v/>
      </c>
      <c r="Q534" s="76">
        <f>E534-C534</f>
        <v/>
      </c>
      <c r="R534" s="76">
        <f>C534-M534</f>
        <v/>
      </c>
      <c r="S534" s="76">
        <f>C534-O534</f>
        <v/>
      </c>
      <c r="T534" s="76">
        <f>E534-O534</f>
        <v/>
      </c>
      <c r="U534" s="76">
        <f>G534-O534</f>
        <v/>
      </c>
      <c r="V534" s="76">
        <f>G534-K534</f>
        <v/>
      </c>
      <c r="W534" s="76">
        <f>C534-K534</f>
        <v/>
      </c>
      <c r="X534" s="76">
        <f>I534-G534</f>
        <v/>
      </c>
      <c r="Y534" s="77">
        <f>G534-M534</f>
        <v/>
      </c>
    </row>
    <row r="535">
      <c r="A535" s="74" t="n">
        <v>44519</v>
      </c>
      <c r="B535" s="75" t="n">
        <v>34.3</v>
      </c>
      <c r="C535" s="81" t="n">
        <v>0.3417547020446046</v>
      </c>
      <c r="D535" s="75" t="n">
        <v>38.8</v>
      </c>
      <c r="E535" s="85" t="n">
        <v>0.3865913247618267</v>
      </c>
      <c r="F535" s="75" t="n">
        <v>31.4</v>
      </c>
      <c r="G535" s="81" t="n">
        <v>0.3134289581994448</v>
      </c>
      <c r="H535" s="78" t="n">
        <v>35.46</v>
      </c>
      <c r="I535" s="81" t="n">
        <v>0.3544385605186679</v>
      </c>
      <c r="J535" s="78" t="n">
        <v>31.49</v>
      </c>
      <c r="K535" s="81" t="n">
        <v>0.3136143957816758</v>
      </c>
      <c r="L535" s="75" t="n">
        <v>35.25</v>
      </c>
      <c r="M535" s="81" t="n">
        <v>0.3523395165900463</v>
      </c>
      <c r="N535" s="78" t="n">
        <v>32.81</v>
      </c>
      <c r="O535" s="81" t="n">
        <v>0.3279506252289197</v>
      </c>
      <c r="P535" s="76">
        <f>C535-G535</f>
        <v/>
      </c>
      <c r="Q535" s="76">
        <f>E535-C535</f>
        <v/>
      </c>
      <c r="R535" s="76">
        <f>C535-M535</f>
        <v/>
      </c>
      <c r="S535" s="76">
        <f>C535-O535</f>
        <v/>
      </c>
      <c r="T535" s="76">
        <f>E535-O535</f>
        <v/>
      </c>
      <c r="U535" s="76">
        <f>G535-O535</f>
        <v/>
      </c>
      <c r="V535" s="76">
        <f>G535-K535</f>
        <v/>
      </c>
      <c r="W535" s="76">
        <f>C535-K535</f>
        <v/>
      </c>
      <c r="X535" s="76">
        <f>I535-G535</f>
        <v/>
      </c>
      <c r="Y535" s="77">
        <f>G535-M535</f>
        <v/>
      </c>
    </row>
    <row r="536">
      <c r="A536" s="74" t="n">
        <v>44518</v>
      </c>
      <c r="B536" s="75" t="n">
        <v>34.5</v>
      </c>
      <c r="C536" s="81" t="n">
        <v>0.3437568246341996</v>
      </c>
      <c r="D536" s="75" t="n">
        <v>38.9</v>
      </c>
      <c r="E536" s="85" t="n">
        <v>0.3875982747324743</v>
      </c>
      <c r="F536" s="75" t="n">
        <v>31.21</v>
      </c>
      <c r="G536" s="81" t="n">
        <v>0.3115366734124597</v>
      </c>
      <c r="H536" s="78" t="n">
        <v>35.6</v>
      </c>
      <c r="I536" s="81" t="n">
        <v>0.3558391412101379</v>
      </c>
      <c r="J536" s="78" t="n">
        <v>31.15</v>
      </c>
      <c r="K536" s="81" t="n">
        <v>0.3102377996370929</v>
      </c>
      <c r="L536" s="75" t="n">
        <v>35.25</v>
      </c>
      <c r="M536" s="81" t="n">
        <v>0.3523407226870045</v>
      </c>
      <c r="N536" s="78" t="n">
        <v>35.15</v>
      </c>
      <c r="O536" s="81" t="n">
        <v>0.3513411745375378</v>
      </c>
      <c r="P536" s="76">
        <f>C536-G536</f>
        <v/>
      </c>
      <c r="Q536" s="76">
        <f>E536-C536</f>
        <v/>
      </c>
      <c r="R536" s="76">
        <f>C536-M536</f>
        <v/>
      </c>
      <c r="S536" s="76">
        <f>C536-O536</f>
        <v/>
      </c>
      <c r="T536" s="76">
        <f>E536-O536</f>
        <v/>
      </c>
      <c r="U536" s="76">
        <f>G536-O536</f>
        <v/>
      </c>
      <c r="V536" s="76">
        <f>G536-K536</f>
        <v/>
      </c>
      <c r="W536" s="76">
        <f>C536-K536</f>
        <v/>
      </c>
      <c r="X536" s="76">
        <f>I536-G536</f>
        <v/>
      </c>
      <c r="Y536" s="77">
        <f>G536-M536</f>
        <v/>
      </c>
    </row>
    <row r="537">
      <c r="A537" s="74" t="n">
        <v>44517</v>
      </c>
      <c r="B537" s="75" t="n">
        <v>34.75</v>
      </c>
      <c r="C537" s="81" t="n">
        <v>0.3462572684338402</v>
      </c>
      <c r="D537" s="75" t="n">
        <v>39.25</v>
      </c>
      <c r="E537" s="85" t="n">
        <v>0.3910963391662799</v>
      </c>
      <c r="F537" s="75" t="n">
        <v>32.57</v>
      </c>
      <c r="G537" s="81" t="n">
        <v>0.3251165716317294</v>
      </c>
      <c r="H537" s="78" t="n">
        <v>36.39</v>
      </c>
      <c r="I537" s="81" t="n">
        <v>0.363736816702096</v>
      </c>
      <c r="J537" s="78" t="n">
        <v>31.2</v>
      </c>
      <c r="K537" s="81" t="n">
        <v>0.3107453125906016</v>
      </c>
      <c r="L537" s="75" t="n">
        <v>35.9</v>
      </c>
      <c r="M537" s="81" t="n">
        <v>0.3588390140039913</v>
      </c>
      <c r="N537" s="78" t="n">
        <v>35.4</v>
      </c>
      <c r="O537" s="81" t="n">
        <v>0.3538412561487825</v>
      </c>
      <c r="P537" s="76">
        <f>C537-G537</f>
        <v/>
      </c>
      <c r="Q537" s="76">
        <f>E537-C537</f>
        <v/>
      </c>
      <c r="R537" s="76">
        <f>C537-M537</f>
        <v/>
      </c>
      <c r="S537" s="76">
        <f>C537-O537</f>
        <v/>
      </c>
      <c r="T537" s="76">
        <f>E537-O537</f>
        <v/>
      </c>
      <c r="U537" s="76">
        <f>G537-O537</f>
        <v/>
      </c>
      <c r="V537" s="76">
        <f>G537-K537</f>
        <v/>
      </c>
      <c r="W537" s="76">
        <f>C537-K537</f>
        <v/>
      </c>
      <c r="X537" s="76">
        <f>I537-G537</f>
        <v/>
      </c>
      <c r="Y537" s="77">
        <f>G537-M537</f>
        <v/>
      </c>
    </row>
    <row r="538">
      <c r="A538" s="74" t="n">
        <v>44516</v>
      </c>
      <c r="B538" s="75" t="n">
        <v>37</v>
      </c>
      <c r="C538" s="81" t="n">
        <v>0.3686868686868687</v>
      </c>
      <c r="D538" s="75" t="n">
        <v>39.25</v>
      </c>
      <c r="E538" s="85" t="n">
        <v>0.3911070161070161</v>
      </c>
      <c r="F538" s="75" t="n">
        <v>32.85</v>
      </c>
      <c r="G538" s="81" t="n">
        <v>0.3279160399288938</v>
      </c>
      <c r="H538" s="78" t="n">
        <v>37</v>
      </c>
      <c r="I538" s="81" t="n">
        <v>0.3698353472768973</v>
      </c>
      <c r="J538" s="78" t="n">
        <v>32.2</v>
      </c>
      <c r="K538" s="81" t="n">
        <v>0.320714943548112</v>
      </c>
      <c r="L538" s="75" t="n">
        <v>36.1</v>
      </c>
      <c r="M538" s="81" t="n">
        <v>0.3608393523431349</v>
      </c>
      <c r="N538" s="78" t="n">
        <v>35.95</v>
      </c>
      <c r="O538" s="81" t="n">
        <v>0.3593400198541745</v>
      </c>
      <c r="P538" s="76">
        <f>C538-G538</f>
        <v/>
      </c>
      <c r="Q538" s="76">
        <f>E538-C538</f>
        <v/>
      </c>
      <c r="R538" s="76">
        <f>C538-M538</f>
        <v/>
      </c>
      <c r="S538" s="76">
        <f>C538-O538</f>
        <v/>
      </c>
      <c r="T538" s="76">
        <f>E538-O538</f>
        <v/>
      </c>
      <c r="U538" s="76">
        <f>G538-O538</f>
        <v/>
      </c>
      <c r="V538" s="76">
        <f>G538-K538</f>
        <v/>
      </c>
      <c r="W538" s="76">
        <f>C538-K538</f>
        <v/>
      </c>
      <c r="X538" s="76">
        <f>I538-G538</f>
        <v/>
      </c>
      <c r="Y538" s="77">
        <f>G538-M538</f>
        <v/>
      </c>
    </row>
    <row r="539">
      <c r="A539" s="74" t="n">
        <v>44515</v>
      </c>
      <c r="B539" s="75" t="n">
        <v>38.2</v>
      </c>
      <c r="C539" s="81" t="n">
        <v>0.3806546725272326</v>
      </c>
      <c r="D539" s="75" t="n">
        <v>38.8</v>
      </c>
      <c r="E539" s="85" t="n">
        <v>0.3866335417292309</v>
      </c>
      <c r="F539" s="75" t="n">
        <v>35.19</v>
      </c>
      <c r="G539" s="81" t="n">
        <v>0.3512792462634522</v>
      </c>
      <c r="H539" s="78" t="n">
        <v>37.55</v>
      </c>
      <c r="I539" s="81" t="n">
        <v>0.3753341845554532</v>
      </c>
      <c r="J539" s="78" t="n">
        <v>33.7</v>
      </c>
      <c r="K539" s="81" t="n">
        <v>0.3356653852320057</v>
      </c>
      <c r="L539" s="75" t="n">
        <v>37.65</v>
      </c>
      <c r="M539" s="81" t="n">
        <v>0.3763337429697154</v>
      </c>
      <c r="N539" s="78" t="n">
        <v>36.5</v>
      </c>
      <c r="O539" s="81" t="n">
        <v>0.3648388212057002</v>
      </c>
      <c r="P539" s="76">
        <f>C539-G539</f>
        <v/>
      </c>
      <c r="Q539" s="76">
        <f>E539-C539</f>
        <v/>
      </c>
      <c r="R539" s="76">
        <f>C539-M539</f>
        <v/>
      </c>
      <c r="S539" s="76">
        <f>C539-O539</f>
        <v/>
      </c>
      <c r="T539" s="76">
        <f>E539-O539</f>
        <v/>
      </c>
      <c r="U539" s="76">
        <f>G539-O539</f>
        <v/>
      </c>
      <c r="V539" s="76">
        <f>G539-K539</f>
        <v/>
      </c>
      <c r="W539" s="76">
        <f>C539-K539</f>
        <v/>
      </c>
      <c r="X539" s="76">
        <f>I539-G539</f>
        <v/>
      </c>
      <c r="Y539" s="77">
        <f>G539-M539</f>
        <v/>
      </c>
    </row>
    <row r="540">
      <c r="A540" s="74" t="n">
        <v>44512</v>
      </c>
      <c r="B540" s="75" t="n">
        <v>38.68</v>
      </c>
      <c r="C540" s="81" t="n">
        <v>0.385469338721127</v>
      </c>
      <c r="D540" s="75" t="n">
        <v>38.5</v>
      </c>
      <c r="E540" s="85" t="n">
        <v>0.383675531043521</v>
      </c>
      <c r="F540" s="75" t="n">
        <v>35.82</v>
      </c>
      <c r="G540" s="81" t="n">
        <v>0.3575828022864644</v>
      </c>
      <c r="H540" s="78" t="n">
        <v>37.25</v>
      </c>
      <c r="I540" s="81" t="n">
        <v>0.3723393330275292</v>
      </c>
      <c r="J540" s="78" t="n">
        <v>34</v>
      </c>
      <c r="K540" s="81" t="n">
        <v>0.3386846971009845</v>
      </c>
      <c r="L540" s="75" t="n">
        <v>38.11</v>
      </c>
      <c r="M540" s="81" t="n">
        <v>0.3809356236692386</v>
      </c>
      <c r="N540" s="78" t="n">
        <v>37.16</v>
      </c>
      <c r="O540" s="81" t="n">
        <v>0.3714397212161875</v>
      </c>
      <c r="P540" s="76">
        <f>C540-G540</f>
        <v/>
      </c>
      <c r="Q540" s="76">
        <f>E540-C540</f>
        <v/>
      </c>
      <c r="R540" s="76">
        <f>C540-M540</f>
        <v/>
      </c>
      <c r="S540" s="76">
        <f>C540-O540</f>
        <v/>
      </c>
      <c r="T540" s="76">
        <f>E540-O540</f>
        <v/>
      </c>
      <c r="U540" s="76">
        <f>G540-O540</f>
        <v/>
      </c>
      <c r="V540" s="76">
        <f>G540-K540</f>
        <v/>
      </c>
      <c r="W540" s="76">
        <f>C540-K540</f>
        <v/>
      </c>
      <c r="X540" s="76">
        <f>I540-G540</f>
        <v/>
      </c>
      <c r="Y540" s="77">
        <f>G540-M540</f>
        <v/>
      </c>
    </row>
    <row r="541">
      <c r="A541" s="74" t="n">
        <v>44511</v>
      </c>
      <c r="B541" s="75" t="n">
        <v>38.1</v>
      </c>
      <c r="C541" s="81" t="n">
        <v>0.3796996587030717</v>
      </c>
      <c r="D541" s="75" t="n">
        <v>39</v>
      </c>
      <c r="E541" s="85" t="n">
        <v>0.3886689419795222</v>
      </c>
      <c r="F541" s="75" t="n">
        <v>35.9</v>
      </c>
      <c r="G541" s="81" t="n">
        <v>0.3583863247863248</v>
      </c>
      <c r="H541" s="78" t="n">
        <v>37.25</v>
      </c>
      <c r="I541" s="81" t="n">
        <v>0.3723406076166025</v>
      </c>
      <c r="J541" s="78" t="n">
        <v>34.1</v>
      </c>
      <c r="K541" s="81" t="n">
        <v>0.3396912579957356</v>
      </c>
      <c r="L541" s="75" t="n">
        <v>38.55</v>
      </c>
      <c r="M541" s="81" t="n">
        <v>0.3853350449293966</v>
      </c>
      <c r="N541" s="78" t="n">
        <v>36.5</v>
      </c>
      <c r="O541" s="81" t="n">
        <v>0.3648438168592212</v>
      </c>
      <c r="P541" s="76">
        <f>C541-G541</f>
        <v/>
      </c>
      <c r="Q541" s="76">
        <f>E541-C541</f>
        <v/>
      </c>
      <c r="R541" s="76">
        <f>C541-M541</f>
        <v/>
      </c>
      <c r="S541" s="76">
        <f>C541-O541</f>
        <v/>
      </c>
      <c r="T541" s="76">
        <f>E541-O541</f>
        <v/>
      </c>
      <c r="U541" s="76">
        <f>G541-O541</f>
        <v/>
      </c>
      <c r="V541" s="76">
        <f>G541-K541</f>
        <v/>
      </c>
      <c r="W541" s="76">
        <f>C541-K541</f>
        <v/>
      </c>
      <c r="X541" s="76">
        <f>I541-G541</f>
        <v/>
      </c>
      <c r="Y541" s="77">
        <f>G541-M541</f>
        <v/>
      </c>
    </row>
    <row r="542">
      <c r="A542" s="74" t="n">
        <v>44510</v>
      </c>
      <c r="B542" s="75" t="n">
        <v>38.23</v>
      </c>
      <c r="C542" s="81" t="n">
        <v>0.381005624726955</v>
      </c>
      <c r="D542" s="75" t="n">
        <v>39</v>
      </c>
      <c r="E542" s="85" t="n">
        <v>0.3886795543905636</v>
      </c>
      <c r="F542" s="75" t="n">
        <v>35.87</v>
      </c>
      <c r="G542" s="81" t="n">
        <v>0.3580917345878234</v>
      </c>
      <c r="H542" s="78" t="n">
        <v>36.6</v>
      </c>
      <c r="I542" s="81" t="n">
        <v>0.3658446413167011</v>
      </c>
      <c r="J542" s="78" t="n">
        <v>34.3</v>
      </c>
      <c r="K542" s="81" t="n">
        <v>0.3416940733361536</v>
      </c>
      <c r="L542" s="75" t="n">
        <v>38.6</v>
      </c>
      <c r="M542" s="81" t="n">
        <v>0.3858361517711657</v>
      </c>
      <c r="N542" s="78" t="n">
        <v>37</v>
      </c>
      <c r="O542" s="81" t="n">
        <v>0.369842943407594</v>
      </c>
      <c r="P542" s="76">
        <f>C542-G542</f>
        <v/>
      </c>
      <c r="Q542" s="76">
        <f>E542-C542</f>
        <v/>
      </c>
      <c r="R542" s="76">
        <f>C542-M542</f>
        <v/>
      </c>
      <c r="S542" s="76">
        <f>C542-O542</f>
        <v/>
      </c>
      <c r="T542" s="76">
        <f>E542-O542</f>
        <v/>
      </c>
      <c r="U542" s="76">
        <f>G542-O542</f>
        <v/>
      </c>
      <c r="V542" s="76">
        <f>G542-K542</f>
        <v/>
      </c>
      <c r="W542" s="76">
        <f>C542-K542</f>
        <v/>
      </c>
      <c r="X542" s="76">
        <f>I542-G542</f>
        <v/>
      </c>
      <c r="Y542" s="77">
        <f>G542-M542</f>
        <v/>
      </c>
    </row>
    <row r="543">
      <c r="A543" s="74" t="n">
        <v>44509</v>
      </c>
      <c r="B543" s="75" t="n">
        <v>38.14</v>
      </c>
      <c r="C543" s="81" t="n">
        <v>0.3801190508696721</v>
      </c>
      <c r="D543" s="75" t="n">
        <v>37.4</v>
      </c>
      <c r="E543" s="85" t="n">
        <v>0.3727439041039783</v>
      </c>
      <c r="F543" s="75" t="n">
        <v>35.91</v>
      </c>
      <c r="G543" s="81" t="n">
        <v>0.3584959588638321</v>
      </c>
      <c r="H543" s="78" t="n">
        <v>36.65</v>
      </c>
      <c r="I543" s="81" t="n">
        <v>0.3663456831540139</v>
      </c>
      <c r="J543" s="78" t="n">
        <v>34.54</v>
      </c>
      <c r="K543" s="81" t="n">
        <v>0.3440955009604001</v>
      </c>
      <c r="L543" s="75" t="n">
        <v>38.7</v>
      </c>
      <c r="M543" s="81" t="n">
        <v>0.386837051515971</v>
      </c>
      <c r="N543" s="78" t="n">
        <v>37.43</v>
      </c>
      <c r="O543" s="81" t="n">
        <v>0.3741423989210024</v>
      </c>
      <c r="P543" s="76">
        <f>C543-G543</f>
        <v/>
      </c>
      <c r="Q543" s="76">
        <f>E543-C543</f>
        <v/>
      </c>
      <c r="R543" s="76">
        <f>C543-M543</f>
        <v/>
      </c>
      <c r="S543" s="76">
        <f>C543-O543</f>
        <v/>
      </c>
      <c r="T543" s="76">
        <f>E543-O543</f>
        <v/>
      </c>
      <c r="U543" s="76">
        <f>G543-O543</f>
        <v/>
      </c>
      <c r="V543" s="76">
        <f>G543-K543</f>
        <v/>
      </c>
      <c r="W543" s="76">
        <f>C543-K543</f>
        <v/>
      </c>
      <c r="X543" s="76">
        <f>I543-G543</f>
        <v/>
      </c>
      <c r="Y543" s="77">
        <f>G543-M543</f>
        <v/>
      </c>
    </row>
    <row r="544">
      <c r="A544" s="74" t="n">
        <v>44508</v>
      </c>
      <c r="B544" s="75" t="n">
        <v>38</v>
      </c>
      <c r="C544" s="81" t="n">
        <v>0.3787340942602807</v>
      </c>
      <c r="D544" s="75" t="n">
        <v>37.95</v>
      </c>
      <c r="E544" s="85" t="n">
        <v>0.3782357599257277</v>
      </c>
      <c r="F544" s="75" t="n">
        <v>35.99</v>
      </c>
      <c r="G544" s="81" t="n">
        <v>0.3592995268181943</v>
      </c>
      <c r="H544" s="78" t="n">
        <v>36.95</v>
      </c>
      <c r="I544" s="81" t="n">
        <v>0.3693456843373659</v>
      </c>
      <c r="J544" s="78" t="n">
        <v>35</v>
      </c>
      <c r="K544" s="81" t="n">
        <v>0.3486888344512757</v>
      </c>
      <c r="L544" s="75" t="n">
        <v>38.55</v>
      </c>
      <c r="M544" s="81" t="n">
        <v>0.3853390021977119</v>
      </c>
      <c r="N544" s="78" t="n">
        <v>37.5</v>
      </c>
      <c r="O544" s="81" t="n">
        <v>0.3748433873518598</v>
      </c>
      <c r="P544" s="76">
        <f>C544-G544</f>
        <v/>
      </c>
      <c r="Q544" s="76">
        <f>E544-C544</f>
        <v/>
      </c>
      <c r="R544" s="76">
        <f>C544-M544</f>
        <v/>
      </c>
      <c r="S544" s="76">
        <f>C544-O544</f>
        <v/>
      </c>
      <c r="T544" s="76">
        <f>E544-O544</f>
        <v/>
      </c>
      <c r="U544" s="76">
        <f>G544-O544</f>
        <v/>
      </c>
      <c r="V544" s="76">
        <f>G544-K544</f>
        <v/>
      </c>
      <c r="W544" s="76">
        <f>C544-K544</f>
        <v/>
      </c>
      <c r="X544" s="76">
        <f>I544-G544</f>
        <v/>
      </c>
      <c r="Y544" s="77">
        <f>G544-M544</f>
        <v/>
      </c>
    </row>
    <row r="545">
      <c r="A545" s="74" t="n">
        <v>44505</v>
      </c>
      <c r="B545" s="75" t="n">
        <v>38.21</v>
      </c>
      <c r="C545" s="81" t="n">
        <v>0.3808582976050684</v>
      </c>
      <c r="D545" s="75" t="n">
        <v>37.4</v>
      </c>
      <c r="E545" s="85" t="n">
        <v>0.3727846200060078</v>
      </c>
      <c r="F545" s="75" t="n">
        <v>35.85</v>
      </c>
      <c r="G545" s="81" t="n">
        <v>0.3579165469987281</v>
      </c>
      <c r="H545" s="78" t="n">
        <v>36.33</v>
      </c>
      <c r="I545" s="81" t="n">
        <v>0.3631520031220153</v>
      </c>
      <c r="J545" s="78" t="n">
        <v>34.45</v>
      </c>
      <c r="K545" s="81" t="n">
        <v>0.3432410576276739</v>
      </c>
      <c r="L545" s="75" t="n">
        <v>38.53</v>
      </c>
      <c r="M545" s="81" t="n">
        <v>0.3851430410209538</v>
      </c>
      <c r="N545" s="78" t="n">
        <v>37.5</v>
      </c>
      <c r="O545" s="81" t="n">
        <v>0.3748472369137235</v>
      </c>
      <c r="P545" s="76">
        <f>C545-G545</f>
        <v/>
      </c>
      <c r="Q545" s="76">
        <f>E545-C545</f>
        <v/>
      </c>
      <c r="R545" s="76">
        <f>C545-M545</f>
        <v/>
      </c>
      <c r="S545" s="76">
        <f>C545-O545</f>
        <v/>
      </c>
      <c r="T545" s="76">
        <f>E545-O545</f>
        <v/>
      </c>
      <c r="U545" s="76">
        <f>G545-O545</f>
        <v/>
      </c>
      <c r="V545" s="76">
        <f>G545-K545</f>
        <v/>
      </c>
      <c r="W545" s="76">
        <f>C545-K545</f>
        <v/>
      </c>
      <c r="X545" s="76">
        <f>I545-G545</f>
        <v/>
      </c>
      <c r="Y545" s="77">
        <f>G545-M545</f>
        <v/>
      </c>
    </row>
    <row r="546">
      <c r="A546" s="74" t="n">
        <v>44504</v>
      </c>
      <c r="B546" s="75" t="n">
        <v>37.55</v>
      </c>
      <c r="C546" s="81" t="n">
        <v>0.374289966683052</v>
      </c>
      <c r="D546" s="75" t="n">
        <v>37.8</v>
      </c>
      <c r="E546" s="85" t="n">
        <v>0.376781910535802</v>
      </c>
      <c r="F546" s="75" t="n">
        <v>35.7</v>
      </c>
      <c r="G546" s="81" t="n">
        <v>0.3564238627971225</v>
      </c>
      <c r="H546" s="78" t="n">
        <v>36.63</v>
      </c>
      <c r="I546" s="81" t="n">
        <v>0.3661520344518311</v>
      </c>
      <c r="J546" s="78" t="n">
        <v>34.1</v>
      </c>
      <c r="K546" s="81" t="n">
        <v>0.3397642819608138</v>
      </c>
      <c r="L546" s="75" t="n">
        <v>38.4</v>
      </c>
      <c r="M546" s="81" t="n">
        <v>0.3838448846014282</v>
      </c>
      <c r="N546" s="78" t="n">
        <v>37.23</v>
      </c>
      <c r="O546" s="81" t="n">
        <v>0.3721496107737284</v>
      </c>
      <c r="P546" s="76">
        <f>C546-G546</f>
        <v/>
      </c>
      <c r="Q546" s="76">
        <f>E546-C546</f>
        <v/>
      </c>
      <c r="R546" s="76">
        <f>C546-M546</f>
        <v/>
      </c>
      <c r="S546" s="76">
        <f>C546-O546</f>
        <v/>
      </c>
      <c r="T546" s="76">
        <f>E546-O546</f>
        <v/>
      </c>
      <c r="U546" s="76">
        <f>G546-O546</f>
        <v/>
      </c>
      <c r="V546" s="76">
        <f>G546-K546</f>
        <v/>
      </c>
      <c r="W546" s="76">
        <f>C546-K546</f>
        <v/>
      </c>
      <c r="X546" s="76">
        <f>I546-G546</f>
        <v/>
      </c>
      <c r="Y546" s="77">
        <f>G546-M546</f>
        <v/>
      </c>
    </row>
    <row r="547">
      <c r="A547" s="74" t="n">
        <v>44503</v>
      </c>
      <c r="B547" s="75" t="n">
        <v>37.1</v>
      </c>
      <c r="C547" s="81" t="n">
        <v>0.3698145670043969</v>
      </c>
      <c r="D547" s="75" t="n">
        <v>37.85</v>
      </c>
      <c r="E547" s="85" t="n">
        <v>0.37729060272551</v>
      </c>
      <c r="F547" s="75" t="n">
        <v>35.58</v>
      </c>
      <c r="G547" s="81" t="n">
        <v>0.3552306577129806</v>
      </c>
      <c r="H547" s="78" t="n">
        <v>35.7</v>
      </c>
      <c r="I547" s="81" t="n">
        <v>0.3568570127722796</v>
      </c>
      <c r="J547" s="78" t="n">
        <v>33.7</v>
      </c>
      <c r="K547" s="81" t="n">
        <v>0.3357890893456133</v>
      </c>
      <c r="L547" s="75" t="n">
        <v>37.9</v>
      </c>
      <c r="M547" s="81" t="n">
        <v>0.3788482012344369</v>
      </c>
      <c r="N547" s="78" t="n">
        <v>36.15</v>
      </c>
      <c r="O547" s="81" t="n">
        <v>0.3613552104122663</v>
      </c>
      <c r="P547" s="76">
        <f>C547-G547</f>
        <v/>
      </c>
      <c r="Q547" s="76">
        <f>E547-C547</f>
        <v/>
      </c>
      <c r="R547" s="76">
        <f>C547-M547</f>
        <v/>
      </c>
      <c r="S547" s="76">
        <f>C547-O547</f>
        <v/>
      </c>
      <c r="T547" s="76">
        <f>E547-O547</f>
        <v/>
      </c>
      <c r="U547" s="76">
        <f>G547-O547</f>
        <v/>
      </c>
      <c r="V547" s="76">
        <f>G547-K547</f>
        <v/>
      </c>
      <c r="W547" s="76">
        <f>C547-K547</f>
        <v/>
      </c>
      <c r="X547" s="76">
        <f>I547-G547</f>
        <v/>
      </c>
      <c r="Y547" s="77">
        <f>G547-M547</f>
        <v/>
      </c>
    </row>
    <row r="548">
      <c r="A548" s="74" t="n">
        <v>44502</v>
      </c>
      <c r="B548" s="75" t="n">
        <v>37.13</v>
      </c>
      <c r="C548" s="81" t="n">
        <v>0.3701237164081276</v>
      </c>
      <c r="D548" s="75" t="n">
        <v>37.5</v>
      </c>
      <c r="E548" s="85" t="n">
        <v>0.3738119947563907</v>
      </c>
      <c r="F548" s="75" t="n">
        <v>35.69</v>
      </c>
      <c r="G548" s="81" t="n">
        <v>0.3563337709940368</v>
      </c>
      <c r="H548" s="78" t="n">
        <v>35.78</v>
      </c>
      <c r="I548" s="81" t="n">
        <v>0.3576579167180162</v>
      </c>
      <c r="J548" s="78" t="n">
        <v>33.5</v>
      </c>
      <c r="K548" s="81" t="n">
        <v>0.333806527347429</v>
      </c>
      <c r="L548" s="75" t="n">
        <v>38.05</v>
      </c>
      <c r="M548" s="81" t="n">
        <v>0.3803489024907913</v>
      </c>
      <c r="N548" s="78" t="n">
        <v>36</v>
      </c>
      <c r="O548" s="81" t="n">
        <v>0.3598570430924701</v>
      </c>
      <c r="P548" s="76">
        <f>C548-G548</f>
        <v/>
      </c>
      <c r="Q548" s="76">
        <f>E548-C548</f>
        <v/>
      </c>
      <c r="R548" s="76">
        <f>C548-M548</f>
        <v/>
      </c>
      <c r="S548" s="76">
        <f>C548-O548</f>
        <v/>
      </c>
      <c r="T548" s="76">
        <f>E548-O548</f>
        <v/>
      </c>
      <c r="U548" s="76">
        <f>G548-O548</f>
        <v/>
      </c>
      <c r="V548" s="76">
        <f>G548-K548</f>
        <v/>
      </c>
      <c r="W548" s="76">
        <f>C548-K548</f>
        <v/>
      </c>
      <c r="X548" s="76">
        <f>I548-G548</f>
        <v/>
      </c>
      <c r="Y548" s="77">
        <f>G548-M548</f>
        <v/>
      </c>
    </row>
    <row r="549">
      <c r="A549" s="74" t="n">
        <v>44501</v>
      </c>
      <c r="B549" s="75" t="n">
        <v>36.16</v>
      </c>
      <c r="C549" s="81" t="n">
        <v>0.3604642905912877</v>
      </c>
      <c r="D549" s="75" t="n">
        <v>38.1</v>
      </c>
      <c r="E549" s="85" t="n">
        <v>0.379803359278984</v>
      </c>
      <c r="F549" s="75" t="n">
        <v>35.66</v>
      </c>
      <c r="G549" s="81" t="n">
        <v>0.3560391164603706</v>
      </c>
      <c r="H549" s="78" t="n">
        <v>35.95</v>
      </c>
      <c r="I549" s="81" t="n">
        <v>0.3593584718347226</v>
      </c>
      <c r="J549" s="78" t="n">
        <v>33.5</v>
      </c>
      <c r="K549" s="81" t="n">
        <v>0.3338167795655809</v>
      </c>
      <c r="L549" s="75" t="n">
        <v>37.9</v>
      </c>
      <c r="M549" s="81" t="n">
        <v>0.3788507950635879</v>
      </c>
      <c r="N549" s="78" t="n">
        <v>36.9</v>
      </c>
      <c r="O549" s="81" t="n">
        <v>0.368854731869298</v>
      </c>
      <c r="P549" s="76">
        <f>C549-G549</f>
        <v/>
      </c>
      <c r="Q549" s="76">
        <f>E549-C549</f>
        <v/>
      </c>
      <c r="R549" s="76">
        <f>C549-M549</f>
        <v/>
      </c>
      <c r="S549" s="76">
        <f>C549-O549</f>
        <v/>
      </c>
      <c r="T549" s="76">
        <f>E549-O549</f>
        <v/>
      </c>
      <c r="U549" s="76">
        <f>G549-O549</f>
        <v/>
      </c>
      <c r="V549" s="76">
        <f>G549-K549</f>
        <v/>
      </c>
      <c r="W549" s="76">
        <f>C549-K549</f>
        <v/>
      </c>
      <c r="X549" s="76">
        <f>I549-G549</f>
        <v/>
      </c>
      <c r="Y549" s="77">
        <f>G549-M549</f>
        <v/>
      </c>
    </row>
    <row r="550">
      <c r="A550" s="74" t="n">
        <v>44498</v>
      </c>
      <c r="B550" s="75" t="n">
        <v>36.6</v>
      </c>
      <c r="C550" s="81" t="n">
        <v>0.3648803670927565</v>
      </c>
      <c r="D550" s="75" t="n">
        <v>38.2</v>
      </c>
      <c r="E550" s="85" t="n">
        <v>0.3808314213918934</v>
      </c>
      <c r="F550" s="75" t="n">
        <v>35.7</v>
      </c>
      <c r="G550" s="81" t="n">
        <v>0.3564531130320605</v>
      </c>
      <c r="H550" s="78" t="n">
        <v>36.58</v>
      </c>
      <c r="I550" s="81" t="n">
        <v>0.3656597469463767</v>
      </c>
      <c r="J550" s="78" t="n">
        <v>33.85</v>
      </c>
      <c r="K550" s="81" t="n">
        <v>0.3373354993720308</v>
      </c>
      <c r="L550" s="75" t="n">
        <v>37.7</v>
      </c>
      <c r="M550" s="81" t="n">
        <v>0.3768554527030728</v>
      </c>
      <c r="N550" s="78" t="n">
        <v>36.6</v>
      </c>
      <c r="O550" s="81" t="n">
        <v>0.3658596702634606</v>
      </c>
      <c r="P550" s="76">
        <f>C550-G550</f>
        <v/>
      </c>
      <c r="Q550" s="76">
        <f>E550-C550</f>
        <v/>
      </c>
      <c r="R550" s="76">
        <f>C550-M550</f>
        <v/>
      </c>
      <c r="S550" s="76">
        <f>C550-O550</f>
        <v/>
      </c>
      <c r="T550" s="76">
        <f>E550-O550</f>
        <v/>
      </c>
      <c r="U550" s="76">
        <f>G550-O550</f>
        <v/>
      </c>
      <c r="V550" s="76">
        <f>G550-K550</f>
        <v/>
      </c>
      <c r="W550" s="76">
        <f>C550-K550</f>
        <v/>
      </c>
      <c r="X550" s="76">
        <f>I550-G550</f>
        <v/>
      </c>
      <c r="Y550" s="77">
        <f>G550-M550</f>
        <v/>
      </c>
    </row>
    <row r="551">
      <c r="A551" s="74" t="n">
        <v>44497</v>
      </c>
      <c r="B551" s="75" t="n">
        <v>37</v>
      </c>
      <c r="C551" s="81" t="n">
        <v>0.3688782060036601</v>
      </c>
      <c r="D551" s="75" t="n">
        <v>38.6</v>
      </c>
      <c r="E551" s="85" t="n">
        <v>0.3848296959930076</v>
      </c>
      <c r="F551" s="75" t="n">
        <v>35.82</v>
      </c>
      <c r="G551" s="81" t="n">
        <v>0.3576561666507092</v>
      </c>
      <c r="H551" s="78" t="n">
        <v>37</v>
      </c>
      <c r="I551" s="81" t="n">
        <v>0.3698594027612791</v>
      </c>
      <c r="J551" s="78" t="n">
        <v>33.65</v>
      </c>
      <c r="K551" s="81" t="n">
        <v>0.3353526803845747</v>
      </c>
      <c r="L551" s="75" t="n">
        <v>37.4</v>
      </c>
      <c r="M551" s="81" t="n">
        <v>0.3738578827911307</v>
      </c>
      <c r="N551" s="78" t="n">
        <v>36.3</v>
      </c>
      <c r="O551" s="81" t="n">
        <v>0.3628620627090386</v>
      </c>
      <c r="P551" s="76">
        <f>C551-G551</f>
        <v/>
      </c>
      <c r="Q551" s="76">
        <f>E551-C551</f>
        <v/>
      </c>
      <c r="R551" s="76">
        <f>C551-M551</f>
        <v/>
      </c>
      <c r="S551" s="76">
        <f>C551-O551</f>
        <v/>
      </c>
      <c r="T551" s="76">
        <f>E551-O551</f>
        <v/>
      </c>
      <c r="U551" s="76">
        <f>G551-O551</f>
        <v/>
      </c>
      <c r="V551" s="76">
        <f>G551-K551</f>
        <v/>
      </c>
      <c r="W551" s="76">
        <f>C551-K551</f>
        <v/>
      </c>
      <c r="X551" s="76">
        <f>I551-G551</f>
        <v/>
      </c>
      <c r="Y551" s="77">
        <f>G551-M551</f>
        <v/>
      </c>
    </row>
    <row r="552">
      <c r="A552" s="74" t="n">
        <v>44496</v>
      </c>
      <c r="B552" s="75" t="n">
        <v>36.93</v>
      </c>
      <c r="C552" s="81" t="n">
        <v>0.3681903851406719</v>
      </c>
      <c r="D552" s="75" t="n">
        <v>39</v>
      </c>
      <c r="E552" s="85" t="n">
        <v>0.3888281890193936</v>
      </c>
      <c r="F552" s="75" t="n">
        <v>35.87</v>
      </c>
      <c r="G552" s="81" t="n">
        <v>0.358160306387635</v>
      </c>
      <c r="H552" s="78" t="n">
        <v>37.01</v>
      </c>
      <c r="I552" s="81" t="n">
        <v>0.3699606312690424</v>
      </c>
      <c r="J552" s="78" t="n">
        <v>33.45</v>
      </c>
      <c r="K552" s="81" t="n">
        <v>0.3333697395815557</v>
      </c>
      <c r="L552" s="75" t="n">
        <v>37.3</v>
      </c>
      <c r="M552" s="81" t="n">
        <v>0.3728595392146793</v>
      </c>
      <c r="N552" s="78" t="n">
        <v>36.13</v>
      </c>
      <c r="O552" s="81" t="n">
        <v>0.3611639450891788</v>
      </c>
      <c r="P552" s="76">
        <f>C552-G552</f>
        <v/>
      </c>
      <c r="Q552" s="76">
        <f>E552-C552</f>
        <v/>
      </c>
      <c r="R552" s="76">
        <f>C552-M552</f>
        <v/>
      </c>
      <c r="S552" s="76">
        <f>C552-O552</f>
        <v/>
      </c>
      <c r="T552" s="76">
        <f>E552-O552</f>
        <v/>
      </c>
      <c r="U552" s="76">
        <f>G552-O552</f>
        <v/>
      </c>
      <c r="V552" s="76">
        <f>G552-K552</f>
        <v/>
      </c>
      <c r="W552" s="76">
        <f>C552-K552</f>
        <v/>
      </c>
      <c r="X552" s="76">
        <f>I552-G552</f>
        <v/>
      </c>
      <c r="Y552" s="77">
        <f>G552-M552</f>
        <v/>
      </c>
    </row>
    <row r="553">
      <c r="A553" s="74" t="n">
        <v>44495</v>
      </c>
      <c r="B553" s="75" t="n">
        <v>37.12</v>
      </c>
      <c r="C553" s="81" t="n">
        <v>0.3700947854352755</v>
      </c>
      <c r="D553" s="75" t="n">
        <v>39</v>
      </c>
      <c r="E553" s="85" t="n">
        <v>0.3888388101286569</v>
      </c>
      <c r="F553" s="75" t="n">
        <v>35.88</v>
      </c>
      <c r="G553" s="81" t="n">
        <v>0.3582650562858198</v>
      </c>
      <c r="H553" s="78" t="n">
        <v>37.3</v>
      </c>
      <c r="I553" s="81" t="n">
        <v>0.3728608156544304</v>
      </c>
      <c r="J553" s="78" t="n">
        <v>33.6</v>
      </c>
      <c r="K553" s="81" t="n">
        <v>0.3348749577617661</v>
      </c>
      <c r="L553" s="75" t="n">
        <v>37.25</v>
      </c>
      <c r="M553" s="81" t="n">
        <v>0.3723610022286201</v>
      </c>
      <c r="N553" s="78" t="n">
        <v>35.85</v>
      </c>
      <c r="O553" s="81" t="n">
        <v>0.3583662263059337</v>
      </c>
      <c r="P553" s="76">
        <f>C553-G553</f>
        <v/>
      </c>
      <c r="Q553" s="76">
        <f>E553-C553</f>
        <v/>
      </c>
      <c r="R553" s="76">
        <f>C553-M553</f>
        <v/>
      </c>
      <c r="S553" s="76">
        <f>C553-O553</f>
        <v/>
      </c>
      <c r="T553" s="76">
        <f>E553-O553</f>
        <v/>
      </c>
      <c r="U553" s="76">
        <f>G553-O553</f>
        <v/>
      </c>
      <c r="V553" s="76">
        <f>G553-K553</f>
        <v/>
      </c>
      <c r="W553" s="76">
        <f>C553-K553</f>
        <v/>
      </c>
      <c r="X553" s="76">
        <f>I553-G553</f>
        <v/>
      </c>
      <c r="Y553" s="77">
        <f>G553-M553</f>
        <v/>
      </c>
    </row>
    <row r="554">
      <c r="A554" s="74" t="n">
        <v>44494</v>
      </c>
      <c r="B554" s="75" t="n">
        <v>36.9</v>
      </c>
      <c r="C554" s="81" t="n">
        <v>0.3679113854895105</v>
      </c>
      <c r="D554" s="75" t="n">
        <v>38.8</v>
      </c>
      <c r="E554" s="85" t="n">
        <v>0.3868553321678321</v>
      </c>
      <c r="F554" s="75" t="n">
        <v>35.87</v>
      </c>
      <c r="G554" s="81" t="n">
        <v>0.3581701045029271</v>
      </c>
      <c r="H554" s="78" t="n">
        <v>37.45</v>
      </c>
      <c r="I554" s="81" t="n">
        <v>0.3743615375135224</v>
      </c>
      <c r="J554" s="78" t="n">
        <v>33</v>
      </c>
      <c r="K554" s="81" t="n">
        <v>0.3289051513455211</v>
      </c>
      <c r="L554" s="75" t="n">
        <v>37</v>
      </c>
      <c r="M554" s="81" t="n">
        <v>0.3698632012817177</v>
      </c>
      <c r="N554" s="78" t="n">
        <v>35.72</v>
      </c>
      <c r="O554" s="81" t="n">
        <v>0.3570679337779177</v>
      </c>
      <c r="P554" s="76">
        <f>C554-G554</f>
        <v/>
      </c>
      <c r="Q554" s="76">
        <f>E554-C554</f>
        <v/>
      </c>
      <c r="R554" s="76">
        <f>C554-M554</f>
        <v/>
      </c>
      <c r="S554" s="76">
        <f>C554-O554</f>
        <v/>
      </c>
      <c r="T554" s="76">
        <f>E554-O554</f>
        <v/>
      </c>
      <c r="U554" s="76">
        <f>G554-O554</f>
        <v/>
      </c>
      <c r="V554" s="76">
        <f>G554-K554</f>
        <v/>
      </c>
      <c r="W554" s="76">
        <f>C554-K554</f>
        <v/>
      </c>
      <c r="X554" s="76">
        <f>I554-G554</f>
        <v/>
      </c>
      <c r="Y554" s="77">
        <f>G554-M554</f>
        <v/>
      </c>
    </row>
    <row r="555">
      <c r="A555" s="74" t="n">
        <v>44491</v>
      </c>
      <c r="B555" s="75" t="n">
        <v>36.81</v>
      </c>
      <c r="C555" s="81" t="n">
        <v>0.3670441196557848</v>
      </c>
      <c r="D555" s="75" t="n">
        <v>39</v>
      </c>
      <c r="E555" s="85" t="n">
        <v>0.3888813003688021</v>
      </c>
      <c r="F555" s="75" t="n">
        <v>35.82</v>
      </c>
      <c r="G555" s="81" t="n">
        <v>0.3576855208262089</v>
      </c>
      <c r="H555" s="78" t="n">
        <v>37.7</v>
      </c>
      <c r="I555" s="81" t="n">
        <v>0.376864483661697</v>
      </c>
      <c r="J555" s="78" t="n">
        <v>33.2</v>
      </c>
      <c r="K555" s="81" t="n">
        <v>0.3309290139787333</v>
      </c>
      <c r="L555" s="75" t="n">
        <v>36.75</v>
      </c>
      <c r="M555" s="81" t="n">
        <v>0.3673678985296383</v>
      </c>
      <c r="N555" s="78" t="n">
        <v>35.61</v>
      </c>
      <c r="O555" s="81" t="n">
        <v>0.3559719963711679</v>
      </c>
      <c r="P555" s="76">
        <f>C555-G555</f>
        <v/>
      </c>
      <c r="Q555" s="76">
        <f>E555-C555</f>
        <v/>
      </c>
      <c r="R555" s="76">
        <f>C555-M555</f>
        <v/>
      </c>
      <c r="S555" s="76">
        <f>C555-O555</f>
        <v/>
      </c>
      <c r="T555" s="76">
        <f>E555-O555</f>
        <v/>
      </c>
      <c r="U555" s="76">
        <f>G555-O555</f>
        <v/>
      </c>
      <c r="V555" s="76">
        <f>G555-K555</f>
        <v/>
      </c>
      <c r="W555" s="76">
        <f>C555-K555</f>
        <v/>
      </c>
      <c r="X555" s="76">
        <f>I555-G555</f>
        <v/>
      </c>
      <c r="Y555" s="77">
        <f>G555-M555</f>
        <v/>
      </c>
    </row>
    <row r="556">
      <c r="A556" s="74" t="n">
        <v>44490</v>
      </c>
      <c r="B556" s="75" t="n">
        <v>36.88</v>
      </c>
      <c r="C556" s="81" t="n">
        <v>0.3677521582340728</v>
      </c>
      <c r="D556" s="75" t="n">
        <v>39</v>
      </c>
      <c r="E556" s="85" t="n">
        <v>0.3888919243798492</v>
      </c>
      <c r="F556" s="75" t="n">
        <v>35.85</v>
      </c>
      <c r="G556" s="81" t="n">
        <v>0.3579899868680236</v>
      </c>
      <c r="H556" s="78" t="n">
        <v>37.65</v>
      </c>
      <c r="I556" s="81" t="n">
        <v>0.3763659518527648</v>
      </c>
      <c r="J556" s="78" t="n">
        <v>33.2</v>
      </c>
      <c r="K556" s="81" t="n">
        <v>0.3309391812546085</v>
      </c>
      <c r="L556" s="75" t="n">
        <v>36.75</v>
      </c>
      <c r="M556" s="81" t="n">
        <v>0.3673691561909457</v>
      </c>
      <c r="N556" s="78" t="n">
        <v>35.6</v>
      </c>
      <c r="O556" s="81" t="n">
        <v>0.3558732506230658</v>
      </c>
      <c r="P556" s="76">
        <f>C556-G556</f>
        <v/>
      </c>
      <c r="Q556" s="76">
        <f>E556-C556</f>
        <v/>
      </c>
      <c r="R556" s="76">
        <f>C556-M556</f>
        <v/>
      </c>
      <c r="S556" s="76">
        <f>C556-O556</f>
        <v/>
      </c>
      <c r="T556" s="76">
        <f>E556-O556</f>
        <v/>
      </c>
      <c r="U556" s="76">
        <f>G556-O556</f>
        <v/>
      </c>
      <c r="V556" s="76">
        <f>G556-K556</f>
        <v/>
      </c>
      <c r="W556" s="76">
        <f>C556-K556</f>
        <v/>
      </c>
      <c r="X556" s="76">
        <f>I556-G556</f>
        <v/>
      </c>
      <c r="Y556" s="77">
        <f>G556-M556</f>
        <v/>
      </c>
    </row>
    <row r="557">
      <c r="A557" s="74" t="n">
        <v>44489</v>
      </c>
      <c r="B557" s="75" t="n">
        <v>37.3</v>
      </c>
      <c r="C557" s="81" t="n">
        <v>0.3719503865803349</v>
      </c>
      <c r="D557" s="75" t="n">
        <v>39.5</v>
      </c>
      <c r="E557" s="85" t="n">
        <v>0.3938884790864137</v>
      </c>
      <c r="F557" s="75" t="n">
        <v>35.84</v>
      </c>
      <c r="G557" s="81" t="n">
        <v>0.3578950248279825</v>
      </c>
      <c r="H557" s="78" t="n">
        <v>37.75</v>
      </c>
      <c r="I557" s="81" t="n">
        <v>0.3773668877074183</v>
      </c>
      <c r="J557" s="78" t="n">
        <v>33.2</v>
      </c>
      <c r="K557" s="81" t="n">
        <v>0.3309493491552503</v>
      </c>
      <c r="L557" s="75" t="n">
        <v>36.75</v>
      </c>
      <c r="M557" s="81" t="n">
        <v>0.3673704138608642</v>
      </c>
      <c r="N557" s="78" t="n">
        <v>35.8</v>
      </c>
      <c r="O557" s="81" t="n">
        <v>0.3578737637066377</v>
      </c>
      <c r="P557" s="76">
        <f>C557-G557</f>
        <v/>
      </c>
      <c r="Q557" s="76">
        <f>E557-C557</f>
        <v/>
      </c>
      <c r="R557" s="76">
        <f>C557-M557</f>
        <v/>
      </c>
      <c r="S557" s="76">
        <f>C557-O557</f>
        <v/>
      </c>
      <c r="T557" s="76">
        <f>E557-O557</f>
        <v/>
      </c>
      <c r="U557" s="76">
        <f>G557-O557</f>
        <v/>
      </c>
      <c r="V557" s="76">
        <f>G557-K557</f>
        <v/>
      </c>
      <c r="W557" s="76">
        <f>C557-K557</f>
        <v/>
      </c>
      <c r="X557" s="76">
        <f>I557-G557</f>
        <v/>
      </c>
      <c r="Y557" s="77">
        <f>G557-M557</f>
        <v/>
      </c>
    </row>
    <row r="558">
      <c r="A558" s="74" t="n">
        <v>44488</v>
      </c>
      <c r="B558" s="75" t="n">
        <v>37.06</v>
      </c>
      <c r="C558" s="81" t="n">
        <v>0.3695672367630184</v>
      </c>
      <c r="D558" s="75" t="n">
        <v>39.5</v>
      </c>
      <c r="E558" s="85" t="n">
        <v>0.3938992404786624</v>
      </c>
      <c r="F558" s="75" t="n">
        <v>35.82</v>
      </c>
      <c r="G558" s="81" t="n">
        <v>0.3577001997209379</v>
      </c>
      <c r="H558" s="78" t="n">
        <v>37.35</v>
      </c>
      <c r="I558" s="81" t="n">
        <v>0.3733695763808533</v>
      </c>
      <c r="J558" s="78" t="n">
        <v>33.5</v>
      </c>
      <c r="K558" s="81" t="n">
        <v>0.3339501157320479</v>
      </c>
      <c r="L558" s="75" t="n">
        <v>37</v>
      </c>
      <c r="M558" s="81" t="n">
        <v>0.3698707985566685</v>
      </c>
      <c r="N558" s="78" t="n">
        <v>36.01</v>
      </c>
      <c r="O558" s="81" t="n">
        <v>0.3599742555682604</v>
      </c>
      <c r="P558" s="76">
        <f>C558-G558</f>
        <v/>
      </c>
      <c r="Q558" s="76">
        <f>E558-C558</f>
        <v/>
      </c>
      <c r="R558" s="76">
        <f>C558-M558</f>
        <v/>
      </c>
      <c r="S558" s="76">
        <f>C558-O558</f>
        <v/>
      </c>
      <c r="T558" s="76">
        <f>E558-O558</f>
        <v/>
      </c>
      <c r="U558" s="76">
        <f>G558-O558</f>
        <v/>
      </c>
      <c r="V558" s="76">
        <f>G558-K558</f>
        <v/>
      </c>
      <c r="W558" s="76">
        <f>C558-K558</f>
        <v/>
      </c>
      <c r="X558" s="76">
        <f>I558-G558</f>
        <v/>
      </c>
      <c r="Y558" s="77">
        <f>G558-M558</f>
        <v/>
      </c>
    </row>
    <row r="559">
      <c r="A559" s="74" t="n">
        <v>44487</v>
      </c>
      <c r="B559" s="75" t="n">
        <v>37.02</v>
      </c>
      <c r="C559" s="81" t="n">
        <v>0.3691784377476026</v>
      </c>
      <c r="D559" s="75" t="n">
        <v>39.5</v>
      </c>
      <c r="E559" s="85" t="n">
        <v>0.3939100024589492</v>
      </c>
      <c r="F559" s="75" t="n">
        <v>35.85</v>
      </c>
      <c r="G559" s="81" t="n">
        <v>0.358004678458571</v>
      </c>
      <c r="H559" s="78" t="n">
        <v>37.4</v>
      </c>
      <c r="I559" s="81" t="n">
        <v>0.3738706817162556</v>
      </c>
      <c r="J559" s="78" t="n">
        <v>33.1</v>
      </c>
      <c r="K559" s="81" t="n">
        <v>0.3299727901839821</v>
      </c>
      <c r="L559" s="75" t="n">
        <v>37.3</v>
      </c>
      <c r="M559" s="81" t="n">
        <v>0.3728710274870678</v>
      </c>
      <c r="N559" s="78" t="n">
        <v>36.4</v>
      </c>
      <c r="O559" s="81" t="n">
        <v>0.3638741394243772</v>
      </c>
      <c r="P559" s="76">
        <f>C559-G559</f>
        <v/>
      </c>
      <c r="Q559" s="76">
        <f>E559-C559</f>
        <v/>
      </c>
      <c r="R559" s="76">
        <f>C559-M559</f>
        <v/>
      </c>
      <c r="S559" s="76">
        <f>C559-O559</f>
        <v/>
      </c>
      <c r="T559" s="76">
        <f>E559-O559</f>
        <v/>
      </c>
      <c r="U559" s="76">
        <f>G559-O559</f>
        <v/>
      </c>
      <c r="V559" s="76">
        <f>G559-K559</f>
        <v/>
      </c>
      <c r="W559" s="76">
        <f>C559-K559</f>
        <v/>
      </c>
      <c r="X559" s="76">
        <f>I559-G559</f>
        <v/>
      </c>
      <c r="Y559" s="77">
        <f>G559-M559</f>
        <v/>
      </c>
    </row>
    <row r="560">
      <c r="A560" s="74" t="n">
        <v>44484</v>
      </c>
      <c r="B560" s="75" t="n">
        <v>37.5</v>
      </c>
      <c r="C560" s="81" t="n">
        <v>0.3739958467675829</v>
      </c>
      <c r="D560" s="75" t="n">
        <v>40.61</v>
      </c>
      <c r="E560" s="85" t="n">
        <v>0.4050125689928412</v>
      </c>
      <c r="F560" s="75" t="n">
        <v>35.97</v>
      </c>
      <c r="G560" s="81" t="n">
        <v>0.3592177624558812</v>
      </c>
      <c r="H560" s="78" t="n">
        <v>37.75</v>
      </c>
      <c r="I560" s="81" t="n">
        <v>0.3773733473012482</v>
      </c>
      <c r="J560" s="78" t="n">
        <v>33.45</v>
      </c>
      <c r="K560" s="81" t="n">
        <v>0.3334926694026946</v>
      </c>
      <c r="L560" s="75" t="n">
        <v>37</v>
      </c>
      <c r="M560" s="81" t="n">
        <v>0.3698758635800314</v>
      </c>
      <c r="N560" s="78" t="n">
        <v>37.2</v>
      </c>
      <c r="O560" s="81" t="n">
        <v>0.3718751925723559</v>
      </c>
      <c r="P560" s="76">
        <f>C560-G560</f>
        <v/>
      </c>
      <c r="Q560" s="76">
        <f>E560-C560</f>
        <v/>
      </c>
      <c r="R560" s="76">
        <f>C560-M560</f>
        <v/>
      </c>
      <c r="S560" s="76">
        <f>C560-O560</f>
        <v/>
      </c>
      <c r="T560" s="76">
        <f>E560-O560</f>
        <v/>
      </c>
      <c r="U560" s="76">
        <f>G560-O560</f>
        <v/>
      </c>
      <c r="V560" s="76">
        <f>G560-K560</f>
        <v/>
      </c>
      <c r="W560" s="76">
        <f>C560-K560</f>
        <v/>
      </c>
      <c r="X560" s="76">
        <f>I560-G560</f>
        <v/>
      </c>
      <c r="Y560" s="77">
        <f>G560-M560</f>
        <v/>
      </c>
    </row>
    <row r="561">
      <c r="A561" s="74" t="n">
        <v>44483</v>
      </c>
      <c r="B561" s="75" t="n">
        <v>37.4</v>
      </c>
      <c r="C561" s="81" t="n">
        <v>0.3730087165614668</v>
      </c>
      <c r="D561" s="75" t="n">
        <v>40.5</v>
      </c>
      <c r="E561" s="85" t="n">
        <v>0.4039265513566686</v>
      </c>
      <c r="F561" s="75" t="n">
        <v>36.07</v>
      </c>
      <c r="G561" s="81" t="n">
        <v>0.3602213497133945</v>
      </c>
      <c r="H561" s="78" t="n">
        <v>38.2</v>
      </c>
      <c r="I561" s="81" t="n">
        <v>0.3818731448799543</v>
      </c>
      <c r="J561" s="78" t="n">
        <v>32.5</v>
      </c>
      <c r="K561" s="81" t="n">
        <v>0.3240312353818891</v>
      </c>
      <c r="L561" s="75" t="n">
        <v>37</v>
      </c>
      <c r="M561" s="81" t="n">
        <v>0.3698771298575473</v>
      </c>
      <c r="N561" s="78" t="n">
        <v>37.1</v>
      </c>
      <c r="O561" s="81" t="n">
        <v>0.3708767977760812</v>
      </c>
      <c r="P561" s="76">
        <f>C561-G561</f>
        <v/>
      </c>
      <c r="Q561" s="76">
        <f>E561-C561</f>
        <v/>
      </c>
      <c r="R561" s="76">
        <f>C561-M561</f>
        <v/>
      </c>
      <c r="S561" s="76">
        <f>C561-O561</f>
        <v/>
      </c>
      <c r="T561" s="76">
        <f>E561-O561</f>
        <v/>
      </c>
      <c r="U561" s="76">
        <f>G561-O561</f>
        <v/>
      </c>
      <c r="V561" s="76">
        <f>G561-K561</f>
        <v/>
      </c>
      <c r="W561" s="76">
        <f>C561-K561</f>
        <v/>
      </c>
      <c r="X561" s="76">
        <f>I561-G561</f>
        <v/>
      </c>
      <c r="Y561" s="77">
        <f>G561-M561</f>
        <v/>
      </c>
    </row>
    <row r="562">
      <c r="A562" s="74" t="n">
        <v>44482</v>
      </c>
      <c r="B562" s="75" t="n">
        <v>37</v>
      </c>
      <c r="C562" s="81" t="n">
        <v>0.3690294021204503</v>
      </c>
      <c r="D562" s="75" t="n">
        <v>40.56</v>
      </c>
      <c r="E562" s="85" t="n">
        <v>0.4045360148650126</v>
      </c>
      <c r="F562" s="75" t="n">
        <v>36.11</v>
      </c>
      <c r="G562" s="81" t="n">
        <v>0.3606257524351538</v>
      </c>
      <c r="H562" s="78" t="n">
        <v>38.11</v>
      </c>
      <c r="I562" s="81" t="n">
        <v>0.3809747480280456</v>
      </c>
      <c r="J562" s="78" t="n">
        <v>33.8</v>
      </c>
      <c r="K562" s="81" t="n">
        <v>0.3370028409090909</v>
      </c>
      <c r="L562" s="75" t="n">
        <v>37.5</v>
      </c>
      <c r="M562" s="81" t="n">
        <v>0.3748767528483786</v>
      </c>
      <c r="N562" s="78" t="n">
        <v>36.6</v>
      </c>
      <c r="O562" s="81" t="n">
        <v>0.3658797107800175</v>
      </c>
      <c r="P562" s="76">
        <f>C562-G562</f>
        <v/>
      </c>
      <c r="Q562" s="76">
        <f>E562-C562</f>
        <v/>
      </c>
      <c r="R562" s="76">
        <f>C562-M562</f>
        <v/>
      </c>
      <c r="S562" s="76">
        <f>C562-O562</f>
        <v/>
      </c>
      <c r="T562" s="76">
        <f>E562-O562</f>
        <v/>
      </c>
      <c r="U562" s="76">
        <f>G562-O562</f>
        <v/>
      </c>
      <c r="V562" s="76">
        <f>G562-K562</f>
        <v/>
      </c>
      <c r="W562" s="76">
        <f>C562-K562</f>
        <v/>
      </c>
      <c r="X562" s="76">
        <f>I562-G562</f>
        <v/>
      </c>
      <c r="Y562" s="77">
        <f>G562-M562</f>
        <v/>
      </c>
    </row>
    <row r="563">
      <c r="A563" s="74" t="n">
        <v>44481</v>
      </c>
      <c r="B563" s="75" t="n">
        <v>37.65</v>
      </c>
      <c r="C563" s="81" t="n">
        <v>0.3755226123787402</v>
      </c>
      <c r="D563" s="75" t="n">
        <v>40.5</v>
      </c>
      <c r="E563" s="85" t="n">
        <v>0.4039486268615931</v>
      </c>
      <c r="F563" s="75" t="n">
        <v>36.17</v>
      </c>
      <c r="G563" s="81" t="n">
        <v>0.3612299062863397</v>
      </c>
      <c r="H563" s="78" t="n">
        <v>38.74</v>
      </c>
      <c r="I563" s="81" t="n">
        <v>0.3872740033208374</v>
      </c>
      <c r="J563" s="78" t="n">
        <v>33.6</v>
      </c>
      <c r="K563" s="81" t="n">
        <v>0.335019036724659</v>
      </c>
      <c r="L563" s="75" t="n">
        <v>38.4</v>
      </c>
      <c r="M563" s="81" t="n">
        <v>0.3838751091254557</v>
      </c>
      <c r="N563" s="78" t="n">
        <v>36.89</v>
      </c>
      <c r="O563" s="81" t="n">
        <v>0.3687800201989079</v>
      </c>
      <c r="P563" s="76">
        <f>C563-G563</f>
        <v/>
      </c>
      <c r="Q563" s="76">
        <f>E563-C563</f>
        <v/>
      </c>
      <c r="R563" s="76">
        <f>C563-M563</f>
        <v/>
      </c>
      <c r="S563" s="76">
        <f>C563-O563</f>
        <v/>
      </c>
      <c r="T563" s="76">
        <f>E563-O563</f>
        <v/>
      </c>
      <c r="U563" s="76">
        <f>G563-O563</f>
        <v/>
      </c>
      <c r="V563" s="76">
        <f>G563-K563</f>
        <v/>
      </c>
      <c r="W563" s="76">
        <f>C563-K563</f>
        <v/>
      </c>
      <c r="X563" s="76">
        <f>I563-G563</f>
        <v/>
      </c>
      <c r="Y563" s="77">
        <f>G563-M563</f>
        <v/>
      </c>
    </row>
    <row r="564">
      <c r="A564" s="74" t="n">
        <v>44476</v>
      </c>
      <c r="B564" s="75" t="n">
        <v>37.45</v>
      </c>
      <c r="C564" s="81" t="n">
        <v>0.3735788466794207</v>
      </c>
      <c r="D564" s="75" t="n">
        <v>41</v>
      </c>
      <c r="E564" s="85" t="n">
        <v>0.4089915277398196</v>
      </c>
      <c r="F564" s="75" t="n">
        <v>36.39</v>
      </c>
      <c r="G564" s="81" t="n">
        <v>0.3634519086058284</v>
      </c>
      <c r="H564" s="78" t="n">
        <v>39.15</v>
      </c>
      <c r="I564" s="81" t="n">
        <v>0.3913793693724537</v>
      </c>
      <c r="J564" s="78" t="n">
        <v>34</v>
      </c>
      <c r="K564" s="81" t="n">
        <v>0.3390594583518323</v>
      </c>
      <c r="L564" s="75" t="n">
        <v>37.25</v>
      </c>
      <c r="M564" s="81" t="n">
        <v>0.3723852237324112</v>
      </c>
      <c r="N564" s="78" t="n">
        <v>36.8</v>
      </c>
      <c r="O564" s="81" t="n">
        <v>0.3678866102913485</v>
      </c>
      <c r="P564" s="76">
        <f>C564-G564</f>
        <v/>
      </c>
      <c r="Q564" s="76">
        <f>E564-C564</f>
        <v/>
      </c>
      <c r="R564" s="76">
        <f>C564-M564</f>
        <v/>
      </c>
      <c r="S564" s="76">
        <f>C564-O564</f>
        <v/>
      </c>
      <c r="T564" s="76">
        <f>E564-O564</f>
        <v/>
      </c>
      <c r="U564" s="76">
        <f>G564-O564</f>
        <v/>
      </c>
      <c r="V564" s="76">
        <f>G564-K564</f>
        <v/>
      </c>
      <c r="W564" s="76">
        <f>C564-K564</f>
        <v/>
      </c>
      <c r="X564" s="76">
        <f>I564-G564</f>
        <v/>
      </c>
      <c r="Y564" s="77">
        <f>G564-M564</f>
        <v/>
      </c>
    </row>
    <row r="565">
      <c r="A565" s="74" t="n">
        <v>44475</v>
      </c>
      <c r="B565" s="75" t="n">
        <v>38</v>
      </c>
      <c r="C565" s="81" t="n">
        <v>0.379075678482604</v>
      </c>
      <c r="D565" s="75" t="n">
        <v>41.7</v>
      </c>
      <c r="E565" s="85" t="n">
        <v>0.4159856787559102</v>
      </c>
      <c r="F565" s="75" t="n">
        <v>36.38</v>
      </c>
      <c r="G565" s="81" t="n">
        <v>0.3633570031058025</v>
      </c>
      <c r="H565" s="78" t="n">
        <v>39.5</v>
      </c>
      <c r="I565" s="81" t="n">
        <v>0.3948796428485838</v>
      </c>
      <c r="J565" s="78" t="n">
        <v>33.1</v>
      </c>
      <c r="K565" s="81" t="n">
        <v>0.3300945010433708</v>
      </c>
      <c r="L565" s="75" t="n">
        <v>37.35</v>
      </c>
      <c r="M565" s="81" t="n">
        <v>0.3733861939340407</v>
      </c>
      <c r="N565" s="78" t="n">
        <v>36.9</v>
      </c>
      <c r="O565" s="81" t="n">
        <v>0.3688875650914618</v>
      </c>
      <c r="P565" s="76">
        <f>C565-G565</f>
        <v/>
      </c>
      <c r="Q565" s="76">
        <f>E565-C565</f>
        <v/>
      </c>
      <c r="R565" s="76">
        <f>C565-M565</f>
        <v/>
      </c>
      <c r="S565" s="76">
        <f>C565-O565</f>
        <v/>
      </c>
      <c r="T565" s="76">
        <f>E565-O565</f>
        <v/>
      </c>
      <c r="U565" s="76">
        <f>G565-O565</f>
        <v/>
      </c>
      <c r="V565" s="76">
        <f>G565-K565</f>
        <v/>
      </c>
      <c r="W565" s="76">
        <f>C565-K565</f>
        <v/>
      </c>
      <c r="X565" s="76">
        <f>I565-G565</f>
        <v/>
      </c>
      <c r="Y565" s="77">
        <f>G565-M565</f>
        <v/>
      </c>
    </row>
    <row r="566">
      <c r="A566" s="74" t="n">
        <v>44474</v>
      </c>
      <c r="B566" s="75" t="n">
        <v>38.5</v>
      </c>
      <c r="C566" s="81" t="n">
        <v>0.3840740133377064</v>
      </c>
      <c r="D566" s="75" t="n">
        <v>41.7</v>
      </c>
      <c r="E566" s="85" t="n">
        <v>0.4159970482125288</v>
      </c>
      <c r="F566" s="75" t="n">
        <v>36.69</v>
      </c>
      <c r="G566" s="81" t="n">
        <v>0.3664582421190893</v>
      </c>
      <c r="H566" s="78" t="n">
        <v>40</v>
      </c>
      <c r="I566" s="81" t="n">
        <v>0.399879488373367</v>
      </c>
      <c r="J566" s="78" t="n">
        <v>34.45</v>
      </c>
      <c r="K566" s="81" t="n">
        <v>0.3435681302767836</v>
      </c>
      <c r="L566" s="75" t="n">
        <v>38</v>
      </c>
      <c r="M566" s="81" t="n">
        <v>0.3798855139546986</v>
      </c>
      <c r="N566" s="78" t="n">
        <v>37.38</v>
      </c>
      <c r="O566" s="81" t="n">
        <v>0.3736873818849114</v>
      </c>
      <c r="P566" s="76">
        <f>C566-G566</f>
        <v/>
      </c>
      <c r="Q566" s="76">
        <f>E566-C566</f>
        <v/>
      </c>
      <c r="R566" s="76">
        <f>C566-M566</f>
        <v/>
      </c>
      <c r="S566" s="76">
        <f>C566-O566</f>
        <v/>
      </c>
      <c r="T566" s="76">
        <f>E566-O566</f>
        <v/>
      </c>
      <c r="U566" s="76">
        <f>G566-O566</f>
        <v/>
      </c>
      <c r="V566" s="76">
        <f>G566-K566</f>
        <v/>
      </c>
      <c r="W566" s="76">
        <f>C566-K566</f>
        <v/>
      </c>
      <c r="X566" s="76">
        <f>I566-G566</f>
        <v/>
      </c>
      <c r="Y566" s="77">
        <f>G566-M566</f>
        <v/>
      </c>
    </row>
    <row r="567">
      <c r="A567" s="74" t="n">
        <v>44473</v>
      </c>
      <c r="B567" s="75" t="n">
        <v>38.15</v>
      </c>
      <c r="C567" s="81" t="n">
        <v>0.3805928335201028</v>
      </c>
      <c r="D567" s="75" t="n">
        <v>41.5</v>
      </c>
      <c r="E567" s="85" t="n">
        <v>0.4140131740782245</v>
      </c>
      <c r="F567" s="75" t="n">
        <v>36.87</v>
      </c>
      <c r="G567" s="81" t="n">
        <v>0.3682611134675113</v>
      </c>
      <c r="H567" s="78" t="n">
        <v>39.74</v>
      </c>
      <c r="I567" s="81" t="n">
        <v>0.3972816318425675</v>
      </c>
      <c r="J567" s="78" t="n">
        <v>34.37</v>
      </c>
      <c r="K567" s="81" t="n">
        <v>0.3427808308542504</v>
      </c>
      <c r="L567" s="75" t="n">
        <v>37.8</v>
      </c>
      <c r="M567" s="81" t="n">
        <v>0.3778874102579026</v>
      </c>
      <c r="N567" s="78" t="n">
        <v>37.1</v>
      </c>
      <c r="O567" s="81" t="n">
        <v>0.3708894952531266</v>
      </c>
      <c r="P567" s="76">
        <f>C567-G567</f>
        <v/>
      </c>
      <c r="Q567" s="76">
        <f>E567-C567</f>
        <v/>
      </c>
      <c r="R567" s="76">
        <f>C567-M567</f>
        <v/>
      </c>
      <c r="S567" s="76">
        <f>C567-O567</f>
        <v/>
      </c>
      <c r="T567" s="76">
        <f>E567-O567</f>
        <v/>
      </c>
      <c r="U567" s="76">
        <f>G567-O567</f>
        <v/>
      </c>
      <c r="V567" s="76">
        <f>G567-K567</f>
        <v/>
      </c>
      <c r="W567" s="76">
        <f>C567-K567</f>
        <v/>
      </c>
      <c r="X567" s="76">
        <f>I567-G567</f>
        <v/>
      </c>
      <c r="Y567" s="77">
        <f>G567-M567</f>
        <v/>
      </c>
    </row>
    <row r="568">
      <c r="A568" s="74" t="n">
        <v>44470</v>
      </c>
      <c r="B568" s="75" t="n">
        <v>38.2</v>
      </c>
      <c r="C568" s="81" t="n">
        <v>0.3811228952547562</v>
      </c>
      <c r="D568" s="75" t="n">
        <v>42.08</v>
      </c>
      <c r="E568" s="85" t="n">
        <v>0.4198338071287995</v>
      </c>
      <c r="F568" s="75" t="n">
        <v>36.98</v>
      </c>
      <c r="G568" s="81" t="n">
        <v>0.3693749657927863</v>
      </c>
      <c r="H568" s="78" t="n">
        <v>39.99</v>
      </c>
      <c r="I568" s="81" t="n">
        <v>0.3997849933580751</v>
      </c>
      <c r="J568" s="78" t="n">
        <v>34.4</v>
      </c>
      <c r="K568" s="81" t="n">
        <v>0.3431116697864433</v>
      </c>
      <c r="L568" s="75" t="n">
        <v>38</v>
      </c>
      <c r="M568" s="81" t="n">
        <v>0.3798907163692636</v>
      </c>
      <c r="N568" s="78" t="n">
        <v>37.1</v>
      </c>
      <c r="O568" s="81" t="n">
        <v>0.3708933046657811</v>
      </c>
      <c r="P568" s="76">
        <f>C568-G568</f>
        <v/>
      </c>
      <c r="Q568" s="76">
        <f>E568-C568</f>
        <v/>
      </c>
      <c r="R568" s="76">
        <f>C568-M568</f>
        <v/>
      </c>
      <c r="S568" s="76">
        <f>C568-O568</f>
        <v/>
      </c>
      <c r="T568" s="76">
        <f>E568-O568</f>
        <v/>
      </c>
      <c r="U568" s="76">
        <f>G568-O568</f>
        <v/>
      </c>
      <c r="V568" s="76">
        <f>G568-K568</f>
        <v/>
      </c>
      <c r="W568" s="76">
        <f>C568-K568</f>
        <v/>
      </c>
      <c r="X568" s="76">
        <f>I568-G568</f>
        <v/>
      </c>
      <c r="Y568" s="77">
        <f>G568-M568</f>
        <v/>
      </c>
    </row>
    <row r="569">
      <c r="A569" s="74" t="n">
        <v>44469</v>
      </c>
      <c r="B569" s="75" t="n">
        <v>39</v>
      </c>
      <c r="C569" s="81" t="n">
        <v>0.3891151627805265</v>
      </c>
      <c r="D569" s="75" t="n">
        <v>41.4</v>
      </c>
      <c r="E569" s="85" t="n">
        <v>0.4130607112593281</v>
      </c>
      <c r="F569" s="75" t="n">
        <v>37.12</v>
      </c>
      <c r="G569" s="81" t="n">
        <v>0.3707784300042417</v>
      </c>
      <c r="H569" s="78" t="n">
        <v>40</v>
      </c>
      <c r="I569" s="81" t="n">
        <v>0.3998863336791255</v>
      </c>
      <c r="J569" s="78" t="n">
        <v>34.5</v>
      </c>
      <c r="K569" s="81" t="n">
        <v>0.344119666469682</v>
      </c>
      <c r="L569" s="75" t="n">
        <v>38</v>
      </c>
      <c r="M569" s="81" t="n">
        <v>0.3798920169951692</v>
      </c>
      <c r="N569" s="78" t="n">
        <v>37.5</v>
      </c>
      <c r="O569" s="81" t="n">
        <v>0.3748934378241801</v>
      </c>
      <c r="P569" s="76">
        <f>C569-G569</f>
        <v/>
      </c>
      <c r="Q569" s="76">
        <f>E569-C569</f>
        <v/>
      </c>
      <c r="R569" s="76">
        <f>C569-M569</f>
        <v/>
      </c>
      <c r="S569" s="76">
        <f>C569-O569</f>
        <v/>
      </c>
      <c r="T569" s="76">
        <f>E569-O569</f>
        <v/>
      </c>
      <c r="U569" s="76">
        <f>G569-O569</f>
        <v/>
      </c>
      <c r="V569" s="76">
        <f>G569-K569</f>
        <v/>
      </c>
      <c r="W569" s="76">
        <f>C569-K569</f>
        <v/>
      </c>
      <c r="X569" s="76">
        <f>I569-G569</f>
        <v/>
      </c>
      <c r="Y569" s="77">
        <f>G569-M569</f>
        <v/>
      </c>
    </row>
    <row r="570">
      <c r="A570" s="74" t="n">
        <v>44468</v>
      </c>
      <c r="B570" s="75" t="n">
        <v>38.9</v>
      </c>
      <c r="C570" s="81" t="n">
        <v>0.3881280411131157</v>
      </c>
      <c r="D570" s="75" t="n">
        <v>41.75</v>
      </c>
      <c r="E570" s="85" t="n">
        <v>0.416564157235799</v>
      </c>
      <c r="F570" s="75" t="n">
        <v>37.23</v>
      </c>
      <c r="G570" s="81" t="n">
        <v>0.3718822692318218</v>
      </c>
      <c r="H570" s="78" t="n">
        <v>40.15</v>
      </c>
      <c r="I570" s="81" t="n">
        <v>0.4013872816537821</v>
      </c>
      <c r="J570" s="78" t="n">
        <v>34.75</v>
      </c>
      <c r="K570" s="81" t="n">
        <v>0.3466239435946136</v>
      </c>
      <c r="L570" s="75" t="n">
        <v>38.2</v>
      </c>
      <c r="M570" s="81" t="n">
        <v>0.3818927561438227</v>
      </c>
      <c r="N570" s="78" t="n">
        <v>37.8</v>
      </c>
      <c r="O570" s="81" t="n">
        <v>0.3778938791161386</v>
      </c>
      <c r="P570" s="76">
        <f>C570-G570</f>
        <v/>
      </c>
      <c r="Q570" s="76">
        <f>E570-C570</f>
        <v/>
      </c>
      <c r="R570" s="76">
        <f>C570-M570</f>
        <v/>
      </c>
      <c r="S570" s="76">
        <f>C570-O570</f>
        <v/>
      </c>
      <c r="T570" s="76">
        <f>E570-O570</f>
        <v/>
      </c>
      <c r="U570" s="76">
        <f>G570-O570</f>
        <v/>
      </c>
      <c r="V570" s="76">
        <f>G570-K570</f>
        <v/>
      </c>
      <c r="W570" s="76">
        <f>C570-K570</f>
        <v/>
      </c>
      <c r="X570" s="76">
        <f>I570-G570</f>
        <v/>
      </c>
      <c r="Y570" s="77">
        <f>G570-M570</f>
        <v/>
      </c>
    </row>
    <row r="571">
      <c r="A571" s="74" t="n">
        <v>44467</v>
      </c>
      <c r="B571" s="75" t="n">
        <v>38.45</v>
      </c>
      <c r="C571" s="81" t="n">
        <v>0.3836486154014379</v>
      </c>
      <c r="D571" s="75" t="n">
        <v>41.2</v>
      </c>
      <c r="E571" s="85" t="n">
        <v>0.4110877231349608</v>
      </c>
      <c r="F571" s="75" t="n">
        <v>37.12</v>
      </c>
      <c r="G571" s="81" t="n">
        <v>0.3707885770583325</v>
      </c>
      <c r="H571" s="78" t="n">
        <v>39.55</v>
      </c>
      <c r="I571" s="81" t="n">
        <v>0.3953903198085462</v>
      </c>
      <c r="J571" s="78" t="n">
        <v>34.5</v>
      </c>
      <c r="K571" s="81" t="n">
        <v>0.3441408264982287</v>
      </c>
      <c r="L571" s="75" t="n">
        <v>37.9</v>
      </c>
      <c r="M571" s="81" t="n">
        <v>0.3788948955940304</v>
      </c>
      <c r="N571" s="78" t="n">
        <v>37.9</v>
      </c>
      <c r="O571" s="81" t="n">
        <v>0.3788948955940304</v>
      </c>
      <c r="P571" s="76">
        <f>C571-G571</f>
        <v/>
      </c>
      <c r="Q571" s="76">
        <f>E571-C571</f>
        <v/>
      </c>
      <c r="R571" s="76">
        <f>C571-M571</f>
        <v/>
      </c>
      <c r="S571" s="76">
        <f>C571-O571</f>
        <v/>
      </c>
      <c r="T571" s="76">
        <f>E571-O571</f>
        <v/>
      </c>
      <c r="U571" s="76">
        <f>G571-O571</f>
        <v/>
      </c>
      <c r="V571" s="76">
        <f>G571-K571</f>
        <v/>
      </c>
      <c r="W571" s="76">
        <f>C571-K571</f>
        <v/>
      </c>
      <c r="X571" s="76">
        <f>I571-G571</f>
        <v/>
      </c>
      <c r="Y571" s="77">
        <f>G571-M571</f>
        <v/>
      </c>
    </row>
    <row r="572">
      <c r="A572" s="74" t="n">
        <v>44466</v>
      </c>
      <c r="B572" s="75" t="n">
        <v>38.45</v>
      </c>
      <c r="C572" s="81" t="n">
        <v>0.3836591033351558</v>
      </c>
      <c r="D572" s="75" t="n">
        <v>40.7</v>
      </c>
      <c r="E572" s="85" t="n">
        <v>0.4061098961180973</v>
      </c>
      <c r="F572" s="75" t="n">
        <v>37.2</v>
      </c>
      <c r="G572" s="81" t="n">
        <v>0.3715927750410509</v>
      </c>
      <c r="H572" s="78" t="n">
        <v>39.1</v>
      </c>
      <c r="I572" s="81" t="n">
        <v>0.3908929060531361</v>
      </c>
      <c r="J572" s="78" t="n">
        <v>34.1</v>
      </c>
      <c r="K572" s="81" t="n">
        <v>0.3401612462421427</v>
      </c>
      <c r="L572" s="75" t="n">
        <v>37.8</v>
      </c>
      <c r="M572" s="81" t="n">
        <v>0.3778964667214462</v>
      </c>
      <c r="N572" s="78" t="n">
        <v>37.4</v>
      </c>
      <c r="O572" s="81" t="n">
        <v>0.3738975623116954</v>
      </c>
      <c r="P572" s="76">
        <f>C572-G572</f>
        <v/>
      </c>
      <c r="Q572" s="76">
        <f>E572-C572</f>
        <v/>
      </c>
      <c r="R572" s="76">
        <f>C572-M572</f>
        <v/>
      </c>
      <c r="S572" s="76">
        <f>C572-O572</f>
        <v/>
      </c>
      <c r="T572" s="76">
        <f>E572-O572</f>
        <v/>
      </c>
      <c r="U572" s="76">
        <f>G572-O572</f>
        <v/>
      </c>
      <c r="V572" s="76">
        <f>G572-K572</f>
        <v/>
      </c>
      <c r="W572" s="76">
        <f>C572-K572</f>
        <v/>
      </c>
      <c r="X572" s="76">
        <f>I572-G572</f>
        <v/>
      </c>
      <c r="Y572" s="77">
        <f>G572-M572</f>
        <v/>
      </c>
    </row>
    <row r="573">
      <c r="A573" s="74" t="n">
        <v>44463</v>
      </c>
      <c r="B573" s="75" t="n">
        <v>38.56</v>
      </c>
      <c r="C573" s="81" t="n">
        <v>0.3847882549142904</v>
      </c>
      <c r="D573" s="75" t="n">
        <v>40.9</v>
      </c>
      <c r="E573" s="85" t="n">
        <v>0.4081389944500642</v>
      </c>
      <c r="F573" s="75" t="n">
        <v>37.36</v>
      </c>
      <c r="G573" s="81" t="n">
        <v>0.3732063439933221</v>
      </c>
      <c r="H573" s="78" t="n">
        <v>38.6</v>
      </c>
      <c r="I573" s="81" t="n">
        <v>0.3858982391629605</v>
      </c>
      <c r="J573" s="78" t="n">
        <v>34.44</v>
      </c>
      <c r="K573" s="81" t="n">
        <v>0.3435845749642116</v>
      </c>
      <c r="L573" s="75" t="n">
        <v>37.35</v>
      </c>
      <c r="M573" s="81" t="n">
        <v>0.3734015345268543</v>
      </c>
      <c r="N573" s="78" t="n">
        <v>37.95</v>
      </c>
      <c r="O573" s="81" t="n">
        <v>0.3793999527521852</v>
      </c>
      <c r="P573" s="76">
        <f>C573-G573</f>
        <v/>
      </c>
      <c r="Q573" s="76">
        <f>E573-C573</f>
        <v/>
      </c>
      <c r="R573" s="76">
        <f>C573-M573</f>
        <v/>
      </c>
      <c r="S573" s="76">
        <f>C573-O573</f>
        <v/>
      </c>
      <c r="T573" s="76">
        <f>E573-O573</f>
        <v/>
      </c>
      <c r="U573" s="76">
        <f>G573-O573</f>
        <v/>
      </c>
      <c r="V573" s="76">
        <f>G573-K573</f>
        <v/>
      </c>
      <c r="W573" s="76">
        <f>C573-K573</f>
        <v/>
      </c>
      <c r="X573" s="76">
        <f>I573-G573</f>
        <v/>
      </c>
      <c r="Y573" s="77">
        <f>G573-M573</f>
        <v/>
      </c>
    </row>
    <row r="574">
      <c r="A574" s="74" t="n">
        <v>44462</v>
      </c>
      <c r="B574" s="75" t="n">
        <v>39.3</v>
      </c>
      <c r="C574" s="81" t="n">
        <v>0.3921833989501312</v>
      </c>
      <c r="D574" s="75" t="n">
        <v>41.41</v>
      </c>
      <c r="E574" s="85" t="n">
        <v>0.4132395559930008</v>
      </c>
      <c r="F574" s="75" t="n">
        <v>37.64</v>
      </c>
      <c r="G574" s="81" t="n">
        <v>0.3760085390552302</v>
      </c>
      <c r="H574" s="78" t="n">
        <v>39.1</v>
      </c>
      <c r="I574" s="81" t="n">
        <v>0.3908982593571536</v>
      </c>
      <c r="J574" s="78" t="n">
        <v>34.55</v>
      </c>
      <c r="K574" s="81" t="n">
        <v>0.3446925694605786</v>
      </c>
      <c r="L574" s="75" t="n">
        <v>38</v>
      </c>
      <c r="M574" s="81" t="n">
        <v>0.3799011216258782</v>
      </c>
      <c r="N574" s="78" t="n">
        <v>37.9</v>
      </c>
      <c r="O574" s="81" t="n">
        <v>0.3789013818321258</v>
      </c>
      <c r="P574" s="76">
        <f>C574-G574</f>
        <v/>
      </c>
      <c r="Q574" s="76">
        <f>E574-C574</f>
        <v/>
      </c>
      <c r="R574" s="76">
        <f>C574-M574</f>
        <v/>
      </c>
      <c r="S574" s="76">
        <f>C574-O574</f>
        <v/>
      </c>
      <c r="T574" s="76">
        <f>E574-O574</f>
        <v/>
      </c>
      <c r="U574" s="76">
        <f>G574-O574</f>
        <v/>
      </c>
      <c r="V574" s="76">
        <f>G574-K574</f>
        <v/>
      </c>
      <c r="W574" s="76">
        <f>C574-K574</f>
        <v/>
      </c>
      <c r="X574" s="76">
        <f>I574-G574</f>
        <v/>
      </c>
      <c r="Y574" s="77">
        <f>G574-M574</f>
        <v/>
      </c>
    </row>
    <row r="575">
      <c r="A575" s="74" t="n">
        <v>44461</v>
      </c>
      <c r="B575" s="75" t="n">
        <v>39.6</v>
      </c>
      <c r="C575" s="81" t="n">
        <v>0.395187969924812</v>
      </c>
      <c r="D575" s="75" t="n">
        <v>41.5</v>
      </c>
      <c r="E575" s="85" t="n">
        <v>0.414149008885851</v>
      </c>
      <c r="F575" s="75" t="n">
        <v>37.69</v>
      </c>
      <c r="G575" s="81" t="n">
        <v>0.3765131713992473</v>
      </c>
      <c r="H575" s="78" t="n">
        <v>39.4</v>
      </c>
      <c r="I575" s="81" t="n">
        <v>0.3938988273559873</v>
      </c>
      <c r="J575" s="78" t="n">
        <v>34.25</v>
      </c>
      <c r="K575" s="81" t="n">
        <v>0.3417100879815495</v>
      </c>
      <c r="L575" s="75" t="n">
        <v>38.36</v>
      </c>
      <c r="M575" s="81" t="n">
        <v>0.3835014979029359</v>
      </c>
      <c r="N575" s="78" t="n">
        <v>38.2</v>
      </c>
      <c r="O575" s="81" t="n">
        <v>0.3819019087563126</v>
      </c>
      <c r="P575" s="76">
        <f>C575-G575</f>
        <v/>
      </c>
      <c r="Q575" s="76">
        <f>E575-C575</f>
        <v/>
      </c>
      <c r="R575" s="76">
        <f>C575-M575</f>
        <v/>
      </c>
      <c r="S575" s="76">
        <f>C575-O575</f>
        <v/>
      </c>
      <c r="T575" s="76">
        <f>E575-O575</f>
        <v/>
      </c>
      <c r="U575" s="76">
        <f>G575-O575</f>
        <v/>
      </c>
      <c r="V575" s="76">
        <f>G575-K575</f>
        <v/>
      </c>
      <c r="W575" s="76">
        <f>C575-K575</f>
        <v/>
      </c>
      <c r="X575" s="76">
        <f>I575-G575</f>
        <v/>
      </c>
      <c r="Y575" s="77">
        <f>G575-M575</f>
        <v/>
      </c>
    </row>
    <row r="576">
      <c r="A576" s="74" t="n">
        <v>44460</v>
      </c>
      <c r="B576" s="75" t="n">
        <v>39.8</v>
      </c>
      <c r="C576" s="81" t="n">
        <v>0.3971947284956526</v>
      </c>
      <c r="D576" s="75" t="n">
        <v>41.2</v>
      </c>
      <c r="E576" s="85" t="n">
        <v>0.4111664023623339</v>
      </c>
      <c r="F576" s="75" t="n">
        <v>37.76</v>
      </c>
      <c r="G576" s="81" t="n">
        <v>0.3772176150203903</v>
      </c>
      <c r="H576" s="78" t="n">
        <v>39.64</v>
      </c>
      <c r="I576" s="81" t="n">
        <v>0.3962995679177195</v>
      </c>
      <c r="J576" s="78" t="n">
        <v>35</v>
      </c>
      <c r="K576" s="81" t="n">
        <v>0.3492035289374236</v>
      </c>
      <c r="L576" s="75" t="n">
        <v>38.74</v>
      </c>
      <c r="M576" s="81" t="n">
        <v>0.3873018481617673</v>
      </c>
      <c r="N576" s="78" t="n">
        <v>38.5</v>
      </c>
      <c r="O576" s="81" t="n">
        <v>0.3849024562268466</v>
      </c>
      <c r="P576" s="76">
        <f>C576-G576</f>
        <v/>
      </c>
      <c r="Q576" s="76">
        <f>E576-C576</f>
        <v/>
      </c>
      <c r="R576" s="76">
        <f>C576-M576</f>
        <v/>
      </c>
      <c r="S576" s="76">
        <f>C576-O576</f>
        <v/>
      </c>
      <c r="T576" s="76">
        <f>E576-O576</f>
        <v/>
      </c>
      <c r="U576" s="76">
        <f>G576-O576</f>
        <v/>
      </c>
      <c r="V576" s="76">
        <f>G576-K576</f>
        <v/>
      </c>
      <c r="W576" s="76">
        <f>C576-K576</f>
        <v/>
      </c>
      <c r="X576" s="76">
        <f>I576-G576</f>
        <v/>
      </c>
      <c r="Y576" s="77">
        <f>G576-M576</f>
        <v/>
      </c>
    </row>
    <row r="577">
      <c r="A577" s="74" t="n">
        <v>44459</v>
      </c>
      <c r="B577" s="75" t="n">
        <v>40</v>
      </c>
      <c r="C577" s="81" t="n">
        <v>0.3992015968063872</v>
      </c>
      <c r="D577" s="75" t="n">
        <v>43.5</v>
      </c>
      <c r="E577" s="85" t="n">
        <v>0.4341317365269461</v>
      </c>
      <c r="F577" s="75" t="n">
        <v>37.88</v>
      </c>
      <c r="G577" s="81" t="n">
        <v>0.3784215784215784</v>
      </c>
      <c r="H577" s="78" t="n">
        <v>40.04</v>
      </c>
      <c r="I577" s="81" t="n">
        <v>0.4002999250187453</v>
      </c>
      <c r="J577" s="78" t="n">
        <v>35.15</v>
      </c>
      <c r="K577" s="81" t="n">
        <v>0.3507109004739337</v>
      </c>
      <c r="L577" s="75" t="n">
        <v>38.62</v>
      </c>
      <c r="M577" s="81" t="n">
        <v>0.3861034741314671</v>
      </c>
      <c r="N577" s="78" t="n">
        <v>38.5</v>
      </c>
      <c r="O577" s="81" t="n">
        <v>0.3849037740564859</v>
      </c>
      <c r="P577" s="76">
        <f>C577-G577</f>
        <v/>
      </c>
      <c r="Q577" s="76">
        <f>E577-C577</f>
        <v/>
      </c>
      <c r="R577" s="76">
        <f>C577-M577</f>
        <v/>
      </c>
      <c r="S577" s="76">
        <f>C577-O577</f>
        <v/>
      </c>
      <c r="T577" s="76">
        <f>E577-O577</f>
        <v/>
      </c>
      <c r="U577" s="76">
        <f>G577-O577</f>
        <v/>
      </c>
      <c r="V577" s="76">
        <f>G577-K577</f>
        <v/>
      </c>
      <c r="W577" s="76">
        <f>C577-K577</f>
        <v/>
      </c>
      <c r="X577" s="76">
        <f>I577-G577</f>
        <v/>
      </c>
      <c r="Y577" s="77">
        <f>G577-M577</f>
        <v/>
      </c>
    </row>
    <row r="578">
      <c r="A578" s="74" t="n">
        <v>44456</v>
      </c>
      <c r="B578" s="75" t="n">
        <v>40.1</v>
      </c>
      <c r="C578" s="81" t="n">
        <v>0.4002324309543342</v>
      </c>
      <c r="D578" s="75" t="n">
        <v>43.5</v>
      </c>
      <c r="E578" s="85" t="n">
        <v>0.4341673502871206</v>
      </c>
      <c r="F578" s="75" t="n">
        <v>38.1</v>
      </c>
      <c r="G578" s="81" t="n">
        <v>0.3806350075270289</v>
      </c>
      <c r="H578" s="78" t="n">
        <v>40.85</v>
      </c>
      <c r="I578" s="81" t="n">
        <v>0.4084020953880919</v>
      </c>
      <c r="J578" s="78" t="n">
        <v>35.8</v>
      </c>
      <c r="K578" s="81" t="n">
        <v>0.3572292656255339</v>
      </c>
      <c r="L578" s="75" t="n">
        <v>39.2</v>
      </c>
      <c r="M578" s="81" t="n">
        <v>0.3919060499195399</v>
      </c>
      <c r="N578" s="78" t="n">
        <v>39.15</v>
      </c>
      <c r="O578" s="81" t="n">
        <v>0.3914061697538261</v>
      </c>
      <c r="P578" s="76">
        <f>C578-G578</f>
        <v/>
      </c>
      <c r="Q578" s="76">
        <f>E578-C578</f>
        <v/>
      </c>
      <c r="R578" s="76">
        <f>C578-M578</f>
        <v/>
      </c>
      <c r="S578" s="76">
        <f>C578-O578</f>
        <v/>
      </c>
      <c r="T578" s="76">
        <f>E578-O578</f>
        <v/>
      </c>
      <c r="U578" s="76">
        <f>G578-O578</f>
        <v/>
      </c>
      <c r="V578" s="76">
        <f>G578-K578</f>
        <v/>
      </c>
      <c r="W578" s="76">
        <f>C578-K578</f>
        <v/>
      </c>
      <c r="X578" s="76">
        <f>I578-G578</f>
        <v/>
      </c>
      <c r="Y578" s="77">
        <f>G578-M578</f>
        <v/>
      </c>
    </row>
    <row r="579">
      <c r="A579" s="74" t="n">
        <v>44455</v>
      </c>
      <c r="B579" s="75" t="n">
        <v>40.2</v>
      </c>
      <c r="C579" s="81" t="n">
        <v>0.4012414886926085</v>
      </c>
      <c r="D579" s="75" t="n">
        <v>43</v>
      </c>
      <c r="E579" s="85" t="n">
        <v>0.4291886570592578</v>
      </c>
      <c r="F579" s="75" t="n">
        <v>38.18</v>
      </c>
      <c r="G579" s="81" t="n">
        <v>0.3814394613310707</v>
      </c>
      <c r="H579" s="78" t="n">
        <v>41.29</v>
      </c>
      <c r="I579" s="81" t="n">
        <v>0.4128024542145863</v>
      </c>
      <c r="J579" s="78" t="n">
        <v>35.8</v>
      </c>
      <c r="K579" s="81" t="n">
        <v>0.3572402527501444</v>
      </c>
      <c r="L579" s="75" t="n">
        <v>39.5</v>
      </c>
      <c r="M579" s="81" t="n">
        <v>0.3949066830098367</v>
      </c>
      <c r="N579" s="78" t="n">
        <v>39.25</v>
      </c>
      <c r="O579" s="81" t="n">
        <v>0.3924072736236985</v>
      </c>
      <c r="P579" s="76">
        <f>C579-G579</f>
        <v/>
      </c>
      <c r="Q579" s="76">
        <f>E579-C579</f>
        <v/>
      </c>
      <c r="R579" s="76">
        <f>C579-M579</f>
        <v/>
      </c>
      <c r="S579" s="76">
        <f>C579-O579</f>
        <v/>
      </c>
      <c r="T579" s="76">
        <f>E579-O579</f>
        <v/>
      </c>
      <c r="U579" s="76">
        <f>G579-O579</f>
        <v/>
      </c>
      <c r="V579" s="76">
        <f>G579-K579</f>
        <v/>
      </c>
      <c r="W579" s="76">
        <f>C579-K579</f>
        <v/>
      </c>
      <c r="X579" s="76">
        <f>I579-G579</f>
        <v/>
      </c>
      <c r="Y579" s="77">
        <f>G579-M579</f>
        <v/>
      </c>
    </row>
    <row r="580">
      <c r="A580" s="74" t="n">
        <v>44454</v>
      </c>
      <c r="B580" s="75" t="n">
        <v>39.8</v>
      </c>
      <c r="C580" s="81" t="n">
        <v>0.3972598993655655</v>
      </c>
      <c r="D580" s="75" t="n">
        <v>43.5</v>
      </c>
      <c r="E580" s="85" t="n">
        <v>0.4341910960402538</v>
      </c>
      <c r="F580" s="75" t="n">
        <v>38.16</v>
      </c>
      <c r="G580" s="81" t="n">
        <v>0.3812448677943833</v>
      </c>
      <c r="H580" s="78" t="n">
        <v>41.41</v>
      </c>
      <c r="I580" s="81" t="n">
        <v>0.4140035882054864</v>
      </c>
      <c r="J580" s="78" t="n">
        <v>35.6</v>
      </c>
      <c r="K580" s="81" t="n">
        <v>0.3552554235643104</v>
      </c>
      <c r="L580" s="75" t="n">
        <v>39.45</v>
      </c>
      <c r="M580" s="81" t="n">
        <v>0.3944081515263569</v>
      </c>
      <c r="N580" s="78" t="n">
        <v>39.3</v>
      </c>
      <c r="O580" s="81" t="n">
        <v>0.3929085007600969</v>
      </c>
      <c r="P580" s="76">
        <f>C580-G580</f>
        <v/>
      </c>
      <c r="Q580" s="76">
        <f>E580-C580</f>
        <v/>
      </c>
      <c r="R580" s="76">
        <f>C580-M580</f>
        <v/>
      </c>
      <c r="S580" s="76">
        <f>C580-O580</f>
        <v/>
      </c>
      <c r="T580" s="76">
        <f>E580-O580</f>
        <v/>
      </c>
      <c r="U580" s="76">
        <f>G580-O580</f>
        <v/>
      </c>
      <c r="V580" s="76">
        <f>G580-K580</f>
        <v/>
      </c>
      <c r="W580" s="76">
        <f>C580-K580</f>
        <v/>
      </c>
      <c r="X580" s="76">
        <f>I580-G580</f>
        <v/>
      </c>
      <c r="Y580" s="77">
        <f>G580-M580</f>
        <v/>
      </c>
    </row>
    <row r="581">
      <c r="A581" s="74" t="n">
        <v>44453</v>
      </c>
      <c r="B581" s="75" t="n">
        <v>39.35</v>
      </c>
      <c r="C581" s="81" t="n">
        <v>0.3927790083955479</v>
      </c>
      <c r="D581" s="75" t="n">
        <v>43</v>
      </c>
      <c r="E581" s="85" t="n">
        <v>0.4292121311565072</v>
      </c>
      <c r="F581" s="75" t="n">
        <v>38.27</v>
      </c>
      <c r="G581" s="81" t="n">
        <v>0.3823490768746493</v>
      </c>
      <c r="H581" s="78" t="n">
        <v>41.1</v>
      </c>
      <c r="I581" s="81" t="n">
        <v>0.4109057168389445</v>
      </c>
      <c r="J581" s="78" t="n">
        <v>35.62</v>
      </c>
      <c r="K581" s="81" t="n">
        <v>0.3554659384900359</v>
      </c>
      <c r="L581" s="75" t="n">
        <v>39.4</v>
      </c>
      <c r="M581" s="81" t="n">
        <v>0.3939096166290611</v>
      </c>
      <c r="N581" s="78" t="n">
        <v>39.4</v>
      </c>
      <c r="O581" s="81" t="n">
        <v>0.3939096166290611</v>
      </c>
      <c r="P581" s="76">
        <f>C581-G581</f>
        <v/>
      </c>
      <c r="Q581" s="76">
        <f>E581-C581</f>
        <v/>
      </c>
      <c r="R581" s="76">
        <f>C581-M581</f>
        <v/>
      </c>
      <c r="S581" s="76">
        <f>C581-O581</f>
        <v/>
      </c>
      <c r="T581" s="76">
        <f>E581-O581</f>
        <v/>
      </c>
      <c r="U581" s="76">
        <f>G581-O581</f>
        <v/>
      </c>
      <c r="V581" s="76">
        <f>G581-K581</f>
        <v/>
      </c>
      <c r="W581" s="76">
        <f>C581-K581</f>
        <v/>
      </c>
      <c r="X581" s="76">
        <f>I581-G581</f>
        <v/>
      </c>
      <c r="Y581" s="77">
        <f>G581-M581</f>
        <v/>
      </c>
    </row>
    <row r="582">
      <c r="A582" s="74" t="n">
        <v>44452</v>
      </c>
      <c r="B582" s="75" t="n">
        <v>39.6</v>
      </c>
      <c r="C582" s="81" t="n">
        <v>0.395285237652464</v>
      </c>
      <c r="D582" s="75" t="n">
        <v>43.4</v>
      </c>
      <c r="E582" s="85" t="n">
        <v>0.4332166493463873</v>
      </c>
      <c r="F582" s="75" t="n">
        <v>38.43</v>
      </c>
      <c r="G582" s="81" t="n">
        <v>0.3839528645334355</v>
      </c>
      <c r="H582" s="78" t="n">
        <v>41.57</v>
      </c>
      <c r="I582" s="81" t="n">
        <v>0.4156060616436011</v>
      </c>
      <c r="J582" s="78" t="n">
        <v>35.61</v>
      </c>
      <c r="K582" s="81" t="n">
        <v>0.3553770754014094</v>
      </c>
      <c r="L582" s="75" t="n">
        <v>39.65</v>
      </c>
      <c r="M582" s="81" t="n">
        <v>0.3964104003889531</v>
      </c>
      <c r="N582" s="78" t="n">
        <v>39.5</v>
      </c>
      <c r="O582" s="81" t="n">
        <v>0.3949107393534338</v>
      </c>
      <c r="P582" s="76">
        <f>C582-G582</f>
        <v/>
      </c>
      <c r="Q582" s="76">
        <f>E582-C582</f>
        <v/>
      </c>
      <c r="R582" s="76">
        <f>C582-M582</f>
        <v/>
      </c>
      <c r="S582" s="76">
        <f>C582-O582</f>
        <v/>
      </c>
      <c r="T582" s="76">
        <f>E582-O582</f>
        <v/>
      </c>
      <c r="U582" s="76">
        <f>G582-O582</f>
        <v/>
      </c>
      <c r="V582" s="76">
        <f>G582-K582</f>
        <v/>
      </c>
      <c r="W582" s="76">
        <f>C582-K582</f>
        <v/>
      </c>
      <c r="X582" s="76">
        <f>I582-G582</f>
        <v/>
      </c>
      <c r="Y582" s="77">
        <f>G582-M582</f>
        <v/>
      </c>
    </row>
    <row r="583">
      <c r="A583" s="74" t="n">
        <v>44449</v>
      </c>
      <c r="B583" s="75" t="n">
        <v>38.9</v>
      </c>
      <c r="C583" s="81" t="n">
        <v>0.3883297322429778</v>
      </c>
      <c r="D583" s="75" t="n">
        <v>41.75</v>
      </c>
      <c r="E583" s="85" t="n">
        <v>0.4167806252222192</v>
      </c>
      <c r="F583" s="75" t="n">
        <v>37.68</v>
      </c>
      <c r="G583" s="81" t="n">
        <v>0.376475096834239</v>
      </c>
      <c r="H583" s="78" t="n">
        <v>39.5</v>
      </c>
      <c r="I583" s="81" t="n">
        <v>0.3949147957803625</v>
      </c>
      <c r="J583" s="78" t="n">
        <v>34.51</v>
      </c>
      <c r="K583" s="81" t="n">
        <v>0.3444311901205536</v>
      </c>
      <c r="L583" s="75" t="n">
        <v>38.6</v>
      </c>
      <c r="M583" s="81" t="n">
        <v>0.3859167371423289</v>
      </c>
      <c r="N583" s="78" t="n">
        <v>38.95</v>
      </c>
      <c r="O583" s="81" t="n">
        <v>0.3894159821682309</v>
      </c>
      <c r="P583" s="76">
        <f>C583-G583</f>
        <v/>
      </c>
      <c r="Q583" s="76">
        <f>E583-C583</f>
        <v/>
      </c>
      <c r="R583" s="76">
        <f>C583-M583</f>
        <v/>
      </c>
      <c r="S583" s="76">
        <f>C583-O583</f>
        <v/>
      </c>
      <c r="T583" s="76">
        <f>E583-O583</f>
        <v/>
      </c>
      <c r="U583" s="76">
        <f>G583-O583</f>
        <v/>
      </c>
      <c r="V583" s="76">
        <f>G583-K583</f>
        <v/>
      </c>
      <c r="W583" s="76">
        <f>C583-K583</f>
        <v/>
      </c>
      <c r="X583" s="76">
        <f>I583-G583</f>
        <v/>
      </c>
      <c r="Y583" s="77">
        <f>G583-M583</f>
        <v/>
      </c>
    </row>
    <row r="584">
      <c r="A584" s="74" t="n">
        <v>44448</v>
      </c>
      <c r="B584" s="75" t="n">
        <v>38.7</v>
      </c>
      <c r="C584" s="81" t="n">
        <v>0.3863437448717248</v>
      </c>
      <c r="D584" s="75" t="n">
        <v>41.75</v>
      </c>
      <c r="E584" s="85" t="n">
        <v>0.416792024506318</v>
      </c>
      <c r="F584" s="75" t="n">
        <v>37.74</v>
      </c>
      <c r="G584" s="81" t="n">
        <v>0.3770797404943746</v>
      </c>
      <c r="H584" s="78" t="n">
        <v>40.1</v>
      </c>
      <c r="I584" s="81" t="n">
        <v>0.4009148742390314</v>
      </c>
      <c r="J584" s="78" t="n">
        <v>35.6</v>
      </c>
      <c r="K584" s="81" t="n">
        <v>0.3553209961785356</v>
      </c>
      <c r="L584" s="75" t="n">
        <v>38.9</v>
      </c>
      <c r="M584" s="81" t="n">
        <v>0.3889174216433497</v>
      </c>
      <c r="N584" s="78" t="n">
        <v>38.8</v>
      </c>
      <c r="O584" s="81" t="n">
        <v>0.3879176339270429</v>
      </c>
      <c r="P584" s="76">
        <f>C584-G584</f>
        <v/>
      </c>
      <c r="Q584" s="76">
        <f>E584-C584</f>
        <v/>
      </c>
      <c r="R584" s="76">
        <f>C584-M584</f>
        <v/>
      </c>
      <c r="S584" s="76">
        <f>C584-O584</f>
        <v/>
      </c>
      <c r="T584" s="76">
        <f>E584-O584</f>
        <v/>
      </c>
      <c r="U584" s="76">
        <f>G584-O584</f>
        <v/>
      </c>
      <c r="V584" s="76">
        <f>G584-K584</f>
        <v/>
      </c>
      <c r="W584" s="76">
        <f>C584-K584</f>
        <v/>
      </c>
      <c r="X584" s="76">
        <f>I584-G584</f>
        <v/>
      </c>
      <c r="Y584" s="77">
        <f>G584-M584</f>
        <v/>
      </c>
    </row>
    <row r="585">
      <c r="A585" s="74" t="n">
        <v>44447</v>
      </c>
      <c r="B585" s="75" t="n">
        <v>38.8</v>
      </c>
      <c r="C585" s="81" t="n">
        <v>0.3873526435272558</v>
      </c>
      <c r="D585" s="75" t="n">
        <v>42.5</v>
      </c>
      <c r="E585" s="85" t="n">
        <v>0.4242909110801127</v>
      </c>
      <c r="F585" s="75" t="n">
        <v>37.79</v>
      </c>
      <c r="G585" s="81" t="n">
        <v>0.3775844841981358</v>
      </c>
      <c r="H585" s="78" t="n">
        <v>40.35</v>
      </c>
      <c r="I585" s="81" t="n">
        <v>0.403415724797217</v>
      </c>
      <c r="J585" s="78" t="n">
        <v>35.87</v>
      </c>
      <c r="K585" s="81" t="n">
        <v>0.3580268604575643</v>
      </c>
      <c r="L585" s="75" t="n">
        <v>39.15</v>
      </c>
      <c r="M585" s="81" t="n">
        <v>0.3914182311229503</v>
      </c>
      <c r="N585" s="78" t="n">
        <v>39.05</v>
      </c>
      <c r="O585" s="81" t="n">
        <v>0.3904184399834281</v>
      </c>
      <c r="P585" s="76">
        <f>C585-G585</f>
        <v/>
      </c>
      <c r="Q585" s="76">
        <f>E585-C585</f>
        <v/>
      </c>
      <c r="R585" s="76">
        <f>C585-M585</f>
        <v/>
      </c>
      <c r="S585" s="76">
        <f>C585-O585</f>
        <v/>
      </c>
      <c r="T585" s="76">
        <f>E585-O585</f>
        <v/>
      </c>
      <c r="U585" s="76">
        <f>G585-O585</f>
        <v/>
      </c>
      <c r="V585" s="76">
        <f>G585-K585</f>
        <v/>
      </c>
      <c r="W585" s="76">
        <f>C585-K585</f>
        <v/>
      </c>
      <c r="X585" s="76">
        <f>I585-G585</f>
        <v/>
      </c>
      <c r="Y585" s="77">
        <f>G585-M585</f>
        <v/>
      </c>
    </row>
    <row r="586">
      <c r="A586" s="74" t="n">
        <v>44446</v>
      </c>
      <c r="B586" s="75" t="n">
        <v>39</v>
      </c>
      <c r="C586" s="81" t="n">
        <v>0.3893599562363239</v>
      </c>
      <c r="D586" s="75" t="n">
        <v>43</v>
      </c>
      <c r="E586" s="85" t="n">
        <v>0.4292943107221007</v>
      </c>
      <c r="F586" s="75" t="n">
        <v>37.85</v>
      </c>
      <c r="G586" s="81" t="n">
        <v>0.3781891595948536</v>
      </c>
      <c r="H586" s="78" t="n">
        <v>41.22</v>
      </c>
      <c r="I586" s="81" t="n">
        <v>0.4121153187701157</v>
      </c>
      <c r="J586" s="78" t="n">
        <v>36.35</v>
      </c>
      <c r="K586" s="81" t="n">
        <v>0.3628290148355781</v>
      </c>
      <c r="L586" s="75" t="n">
        <v>39.7</v>
      </c>
      <c r="M586" s="81" t="n">
        <v>0.3969184414161474</v>
      </c>
      <c r="N586" s="78" t="n">
        <v>39.4</v>
      </c>
      <c r="O586" s="81" t="n">
        <v>0.3939190577278641</v>
      </c>
      <c r="P586" s="76">
        <f>C586-G586</f>
        <v/>
      </c>
      <c r="Q586" s="76">
        <f>E586-C586</f>
        <v/>
      </c>
      <c r="R586" s="76">
        <f>C586-M586</f>
        <v/>
      </c>
      <c r="S586" s="76">
        <f>C586-O586</f>
        <v/>
      </c>
      <c r="T586" s="76">
        <f>E586-O586</f>
        <v/>
      </c>
      <c r="U586" s="76">
        <f>G586-O586</f>
        <v/>
      </c>
      <c r="V586" s="76">
        <f>G586-K586</f>
        <v/>
      </c>
      <c r="W586" s="76">
        <f>C586-K586</f>
        <v/>
      </c>
      <c r="X586" s="76">
        <f>I586-G586</f>
        <v/>
      </c>
      <c r="Y586" s="77">
        <f>G586-M586</f>
        <v/>
      </c>
    </row>
    <row r="587">
      <c r="A587" s="74" t="n">
        <v>44445</v>
      </c>
      <c r="B587" s="75" t="n">
        <v>38.6</v>
      </c>
      <c r="C587" s="81" t="n">
        <v>0.3853770617358243</v>
      </c>
      <c r="D587" s="75" t="n">
        <v>42.75</v>
      </c>
      <c r="E587" s="85" t="n">
        <v>0.4268100878032769</v>
      </c>
      <c r="F587" s="75" t="n">
        <v>37.76</v>
      </c>
      <c r="G587" s="81" t="n">
        <v>0.377295062894373</v>
      </c>
      <c r="H587" s="78" t="n">
        <v>41.39</v>
      </c>
      <c r="I587" s="81" t="n">
        <v>0.4138163864150737</v>
      </c>
      <c r="J587" s="78" t="n">
        <v>35.95</v>
      </c>
      <c r="K587" s="81" t="n">
        <v>0.3588474383911449</v>
      </c>
      <c r="L587" s="75" t="n">
        <v>39.6</v>
      </c>
      <c r="M587" s="81" t="n">
        <v>0.3959200024652553</v>
      </c>
      <c r="N587" s="78" t="n">
        <v>39.35</v>
      </c>
      <c r="O587" s="81" t="n">
        <v>0.3934205075001969</v>
      </c>
      <c r="P587" s="76">
        <f>C587-G587</f>
        <v/>
      </c>
      <c r="Q587" s="76">
        <f>E587-C587</f>
        <v/>
      </c>
      <c r="R587" s="76">
        <f>C587-M587</f>
        <v/>
      </c>
      <c r="S587" s="76">
        <f>C587-O587</f>
        <v/>
      </c>
      <c r="T587" s="76">
        <f>E587-O587</f>
        <v/>
      </c>
      <c r="U587" s="76">
        <f>G587-O587</f>
        <v/>
      </c>
      <c r="V587" s="76">
        <f>G587-K587</f>
        <v/>
      </c>
      <c r="W587" s="76">
        <f>C587-K587</f>
        <v/>
      </c>
      <c r="X587" s="76">
        <f>I587-G587</f>
        <v/>
      </c>
      <c r="Y587" s="77">
        <f>G587-M587</f>
        <v/>
      </c>
    </row>
    <row r="588">
      <c r="A588" s="74" t="n">
        <v>44442</v>
      </c>
      <c r="B588" s="75" t="n">
        <v>38.5</v>
      </c>
      <c r="C588" s="81" t="n">
        <v>0.3844102199365357</v>
      </c>
      <c r="D588" s="75" t="n">
        <v>42.25</v>
      </c>
      <c r="E588" s="85" t="n">
        <v>0.421852773826458</v>
      </c>
      <c r="F588" s="75" t="n">
        <v>37.62</v>
      </c>
      <c r="G588" s="81" t="n">
        <v>0.375911629434954</v>
      </c>
      <c r="H588" s="78" t="n">
        <v>40.92</v>
      </c>
      <c r="I588" s="81" t="n">
        <v>0.4091215383351138</v>
      </c>
      <c r="J588" s="78" t="n">
        <v>35.7</v>
      </c>
      <c r="K588" s="81" t="n">
        <v>0.3563848699504965</v>
      </c>
      <c r="L588" s="75" t="n">
        <v>39.25</v>
      </c>
      <c r="M588" s="81" t="n">
        <v>0.3924247404607336</v>
      </c>
      <c r="N588" s="78" t="n">
        <v>39.25</v>
      </c>
      <c r="O588" s="81" t="n">
        <v>0.3924247404607336</v>
      </c>
      <c r="P588" s="76">
        <f>C588-G588</f>
        <v/>
      </c>
      <c r="Q588" s="76">
        <f>E588-C588</f>
        <v/>
      </c>
      <c r="R588" s="76">
        <f>C588-M588</f>
        <v/>
      </c>
      <c r="S588" s="76">
        <f>C588-O588</f>
        <v/>
      </c>
      <c r="T588" s="76">
        <f>E588-O588</f>
        <v/>
      </c>
      <c r="U588" s="76">
        <f>G588-O588</f>
        <v/>
      </c>
      <c r="V588" s="76">
        <f>G588-K588</f>
        <v/>
      </c>
      <c r="W588" s="76">
        <f>C588-K588</f>
        <v/>
      </c>
      <c r="X588" s="76">
        <f>I588-G588</f>
        <v/>
      </c>
      <c r="Y588" s="77">
        <f>G588-M588</f>
        <v/>
      </c>
    </row>
    <row r="589">
      <c r="A589" s="74" t="n">
        <v>44441</v>
      </c>
      <c r="B589" s="75" t="n">
        <v>38.4</v>
      </c>
      <c r="C589" s="81" t="n">
        <v>0.3834222404595815</v>
      </c>
      <c r="D589" s="75" t="n">
        <v>43.4</v>
      </c>
      <c r="E589" s="85" t="n">
        <v>0.4333470113527561</v>
      </c>
      <c r="F589" s="75" t="n">
        <v>37.46</v>
      </c>
      <c r="G589" s="81" t="n">
        <v>0.3743179796044077</v>
      </c>
      <c r="H589" s="78" t="n">
        <v>40.95</v>
      </c>
      <c r="I589" s="81" t="n">
        <v>0.4094228826762083</v>
      </c>
      <c r="J589" s="78" t="n">
        <v>35.8</v>
      </c>
      <c r="K589" s="81" t="n">
        <v>0.3573941434896323</v>
      </c>
      <c r="L589" s="75" t="n">
        <v>39.4</v>
      </c>
      <c r="M589" s="81" t="n">
        <v>0.3939258016469501</v>
      </c>
      <c r="N589" s="78" t="n">
        <v>39.2</v>
      </c>
      <c r="O589" s="81" t="n">
        <v>0.3919261782883361</v>
      </c>
      <c r="P589" s="76">
        <f>C589-G589</f>
        <v/>
      </c>
      <c r="Q589" s="76">
        <f>E589-C589</f>
        <v/>
      </c>
      <c r="R589" s="76">
        <f>C589-M589</f>
        <v/>
      </c>
      <c r="S589" s="76">
        <f>C589-O589</f>
        <v/>
      </c>
      <c r="T589" s="76">
        <f>E589-O589</f>
        <v/>
      </c>
      <c r="U589" s="76">
        <f>G589-O589</f>
        <v/>
      </c>
      <c r="V589" s="76">
        <f>G589-K589</f>
        <v/>
      </c>
      <c r="W589" s="76">
        <f>C589-K589</f>
        <v/>
      </c>
      <c r="X589" s="76">
        <f>I589-G589</f>
        <v/>
      </c>
      <c r="Y589" s="77">
        <f>G589-M589</f>
        <v/>
      </c>
    </row>
    <row r="590">
      <c r="A590" s="74" t="n">
        <v>44440</v>
      </c>
      <c r="B590" s="75" t="n">
        <v>37.94</v>
      </c>
      <c r="C590" s="81" t="n">
        <v>0.3788395250861739</v>
      </c>
      <c r="D590" s="75" t="n">
        <v>42.5</v>
      </c>
      <c r="E590" s="85" t="n">
        <v>0.424372161733326</v>
      </c>
      <c r="F590" s="75" t="n">
        <v>36.88</v>
      </c>
      <c r="G590" s="81" t="n">
        <v>0.3685273906972925</v>
      </c>
      <c r="H590" s="78" t="n">
        <v>40.68</v>
      </c>
      <c r="I590" s="81" t="n">
        <v>0.4067247837728639</v>
      </c>
      <c r="J590" s="78" t="n">
        <v>35.6</v>
      </c>
      <c r="K590" s="81" t="n">
        <v>0.3554084639948579</v>
      </c>
      <c r="L590" s="75" t="n">
        <v>38.7</v>
      </c>
      <c r="M590" s="81" t="n">
        <v>0.3869284447396715</v>
      </c>
      <c r="N590" s="78" t="n">
        <v>38.6</v>
      </c>
      <c r="O590" s="81" t="n">
        <v>0.3859286296369849</v>
      </c>
      <c r="P590" s="76">
        <f>C590-G590</f>
        <v/>
      </c>
      <c r="Q590" s="76">
        <f>E590-C590</f>
        <v/>
      </c>
      <c r="R590" s="76">
        <f>C590-M590</f>
        <v/>
      </c>
      <c r="S590" s="76">
        <f>C590-O590</f>
        <v/>
      </c>
      <c r="T590" s="76">
        <f>E590-O590</f>
        <v/>
      </c>
      <c r="U590" s="76">
        <f>G590-O590</f>
        <v/>
      </c>
      <c r="V590" s="76">
        <f>G590-K590</f>
        <v/>
      </c>
      <c r="W590" s="76">
        <f>C590-K590</f>
        <v/>
      </c>
      <c r="X590" s="76">
        <f>I590-G590</f>
        <v/>
      </c>
      <c r="Y590" s="77">
        <f>G590-M590</f>
        <v/>
      </c>
    </row>
    <row r="591">
      <c r="A591" s="74" t="n">
        <v>44439</v>
      </c>
      <c r="B591" s="75" t="n">
        <v>37.57</v>
      </c>
      <c r="C591" s="81" t="n">
        <v>0.3751552540147183</v>
      </c>
      <c r="D591" s="75" t="n">
        <v>42.1</v>
      </c>
      <c r="E591" s="85" t="n">
        <v>0.4203895713074167</v>
      </c>
      <c r="F591" s="75" t="n">
        <v>36.31</v>
      </c>
      <c r="G591" s="81" t="n">
        <v>0.3628365707089374</v>
      </c>
      <c r="H591" s="78" t="n">
        <v>40.32</v>
      </c>
      <c r="I591" s="81" t="n">
        <v>0.4031268297192633</v>
      </c>
      <c r="J591" s="78" t="n">
        <v>35</v>
      </c>
      <c r="K591" s="81" t="n">
        <v>0.3494291858847021</v>
      </c>
      <c r="L591" s="75" t="n">
        <v>38.45</v>
      </c>
      <c r="M591" s="81" t="n">
        <v>0.3844302232813908</v>
      </c>
      <c r="N591" s="78" t="n">
        <v>38.4</v>
      </c>
      <c r="O591" s="81" t="n">
        <v>0.383930314018346</v>
      </c>
      <c r="P591" s="76">
        <f>C591-G591</f>
        <v/>
      </c>
      <c r="Q591" s="76">
        <f>E591-C591</f>
        <v/>
      </c>
      <c r="R591" s="76">
        <f>C591-M591</f>
        <v/>
      </c>
      <c r="S591" s="76">
        <f>C591-O591</f>
        <v/>
      </c>
      <c r="T591" s="76">
        <f>E591-O591</f>
        <v/>
      </c>
      <c r="U591" s="76">
        <f>G591-O591</f>
        <v/>
      </c>
      <c r="V591" s="76">
        <f>G591-K591</f>
        <v/>
      </c>
      <c r="W591" s="76">
        <f>C591-K591</f>
        <v/>
      </c>
      <c r="X591" s="76">
        <f>I591-G591</f>
        <v/>
      </c>
      <c r="Y591" s="77">
        <f>G591-M591</f>
        <v/>
      </c>
    </row>
    <row r="592">
      <c r="A592" s="74" t="n">
        <v>44438</v>
      </c>
      <c r="B592" s="75" t="n">
        <v>37.26</v>
      </c>
      <c r="C592" s="81" t="n">
        <v>0.37206992777413</v>
      </c>
      <c r="D592" s="75" t="n">
        <v>42.5</v>
      </c>
      <c r="E592" s="85" t="n">
        <v>0.4243953819216459</v>
      </c>
      <c r="F592" s="75" t="n">
        <v>36.01</v>
      </c>
      <c r="G592" s="81" t="n">
        <v>0.3598436730000547</v>
      </c>
      <c r="H592" s="78" t="n">
        <v>40.2</v>
      </c>
      <c r="I592" s="81" t="n">
        <v>0.4019284237053676</v>
      </c>
      <c r="J592" s="78" t="n">
        <v>35</v>
      </c>
      <c r="K592" s="81" t="n">
        <v>0.3494399387283395</v>
      </c>
      <c r="L592" s="75" t="n">
        <v>38.4</v>
      </c>
      <c r="M592" s="81" t="n">
        <v>0.3839316286140824</v>
      </c>
      <c r="N592" s="78" t="n">
        <v>38.2</v>
      </c>
      <c r="O592" s="81" t="n">
        <v>0.3819319847150508</v>
      </c>
      <c r="P592" s="76">
        <f>C592-G592</f>
        <v/>
      </c>
      <c r="Q592" s="76">
        <f>E592-C592</f>
        <v/>
      </c>
      <c r="R592" s="76">
        <f>C592-M592</f>
        <v/>
      </c>
      <c r="S592" s="76">
        <f>C592-O592</f>
        <v/>
      </c>
      <c r="T592" s="76">
        <f>E592-O592</f>
        <v/>
      </c>
      <c r="U592" s="76">
        <f>G592-O592</f>
        <v/>
      </c>
      <c r="V592" s="76">
        <f>G592-K592</f>
        <v/>
      </c>
      <c r="W592" s="76">
        <f>C592-K592</f>
        <v/>
      </c>
      <c r="X592" s="76">
        <f>I592-G592</f>
        <v/>
      </c>
      <c r="Y592" s="77">
        <f>G592-M592</f>
        <v/>
      </c>
    </row>
    <row r="593">
      <c r="A593" s="74" t="n">
        <v>44435</v>
      </c>
      <c r="B593" s="75" t="n">
        <v>36.7</v>
      </c>
      <c r="C593" s="81" t="n">
        <v>0.3665079755944075</v>
      </c>
      <c r="D593" s="75" t="n">
        <v>42.1</v>
      </c>
      <c r="E593" s="85" t="n">
        <v>0.4204355796328217</v>
      </c>
      <c r="F593" s="75" t="n">
        <v>35.63</v>
      </c>
      <c r="G593" s="81" t="n">
        <v>0.3560610001505839</v>
      </c>
      <c r="H593" s="78" t="n">
        <v>39.6</v>
      </c>
      <c r="I593" s="81" t="n">
        <v>0.3959335590945355</v>
      </c>
      <c r="J593" s="78" t="n">
        <v>34.13</v>
      </c>
      <c r="K593" s="81" t="n">
        <v>0.3407853207997511</v>
      </c>
      <c r="L593" s="75" t="n">
        <v>37.8</v>
      </c>
      <c r="M593" s="81" t="n">
        <v>0.377936579135693</v>
      </c>
      <c r="N593" s="78" t="n">
        <v>37.38</v>
      </c>
      <c r="O593" s="81" t="n">
        <v>0.3737372838119631</v>
      </c>
      <c r="P593" s="76">
        <f>C593-G593</f>
        <v/>
      </c>
      <c r="Q593" s="76">
        <f>E593-C593</f>
        <v/>
      </c>
      <c r="R593" s="76">
        <f>C593-M593</f>
        <v/>
      </c>
      <c r="S593" s="76">
        <f>C593-O593</f>
        <v/>
      </c>
      <c r="T593" s="76">
        <f>E593-O593</f>
        <v/>
      </c>
      <c r="U593" s="76">
        <f>G593-O593</f>
        <v/>
      </c>
      <c r="V593" s="76">
        <f>G593-K593</f>
        <v/>
      </c>
      <c r="W593" s="76">
        <f>C593-K593</f>
        <v/>
      </c>
      <c r="X593" s="76">
        <f>I593-G593</f>
        <v/>
      </c>
      <c r="Y593" s="77">
        <f>G593-M593</f>
        <v/>
      </c>
    </row>
    <row r="594">
      <c r="A594" s="74" t="n">
        <v>44434</v>
      </c>
      <c r="B594" s="75" t="n">
        <v>36.58</v>
      </c>
      <c r="C594" s="81" t="n">
        <v>0.365319579730765</v>
      </c>
      <c r="D594" s="75" t="n">
        <v>41.7</v>
      </c>
      <c r="E594" s="85" t="n">
        <v>0.4164523366531684</v>
      </c>
      <c r="F594" s="75" t="n">
        <v>35.42</v>
      </c>
      <c r="G594" s="81" t="n">
        <v>0.3539672544080605</v>
      </c>
      <c r="H594" s="78" t="n">
        <v>39.3</v>
      </c>
      <c r="I594" s="81" t="n">
        <v>0.392935407878157</v>
      </c>
      <c r="J594" s="78" t="n">
        <v>34</v>
      </c>
      <c r="K594" s="81" t="n">
        <v>0.3394977293866608</v>
      </c>
      <c r="L594" s="75" t="n">
        <v>37.5</v>
      </c>
      <c r="M594" s="81" t="n">
        <v>0.3749383662959513</v>
      </c>
      <c r="N594" s="78" t="n">
        <v>37.1</v>
      </c>
      <c r="O594" s="81" t="n">
        <v>0.3709390237221279</v>
      </c>
      <c r="P594" s="76">
        <f>C594-G594</f>
        <v/>
      </c>
      <c r="Q594" s="76">
        <f>E594-C594</f>
        <v/>
      </c>
      <c r="R594" s="76">
        <f>C594-M594</f>
        <v/>
      </c>
      <c r="S594" s="76">
        <f>C594-O594</f>
        <v/>
      </c>
      <c r="T594" s="76">
        <f>E594-O594</f>
        <v/>
      </c>
      <c r="U594" s="76">
        <f>G594-O594</f>
        <v/>
      </c>
      <c r="V594" s="76">
        <f>G594-K594</f>
        <v/>
      </c>
      <c r="W594" s="76">
        <f>C594-K594</f>
        <v/>
      </c>
      <c r="X594" s="76">
        <f>I594-G594</f>
        <v/>
      </c>
      <c r="Y594" s="77">
        <f>G594-M594</f>
        <v/>
      </c>
    </row>
    <row r="595">
      <c r="A595" s="74" t="n">
        <v>44433</v>
      </c>
      <c r="B595" s="75" t="n">
        <v>36.7</v>
      </c>
      <c r="C595" s="81" t="n">
        <v>0.3665280323966399</v>
      </c>
      <c r="D595" s="75" t="n">
        <v>41.4</v>
      </c>
      <c r="E595" s="85" t="n">
        <v>0.4134675896790434</v>
      </c>
      <c r="F595" s="75" t="n">
        <v>35.37</v>
      </c>
      <c r="G595" s="81" t="n">
        <v>0.3534724218653743</v>
      </c>
      <c r="H595" s="78" t="n">
        <v>39.49</v>
      </c>
      <c r="I595" s="81" t="n">
        <v>0.3948364475580985</v>
      </c>
      <c r="J595" s="78" t="n">
        <v>33.5</v>
      </c>
      <c r="K595" s="81" t="n">
        <v>0.3345154108944919</v>
      </c>
      <c r="L595" s="75" t="n">
        <v>37.67</v>
      </c>
      <c r="M595" s="81" t="n">
        <v>0.3766393765387078</v>
      </c>
      <c r="N595" s="78" t="n">
        <v>37.15</v>
      </c>
      <c r="O595" s="81" t="n">
        <v>0.3714402133903105</v>
      </c>
      <c r="P595" s="76">
        <f>C595-G595</f>
        <v/>
      </c>
      <c r="Q595" s="76">
        <f>E595-C595</f>
        <v/>
      </c>
      <c r="R595" s="76">
        <f>C595-M595</f>
        <v/>
      </c>
      <c r="S595" s="76">
        <f>C595-O595</f>
        <v/>
      </c>
      <c r="T595" s="76">
        <f>E595-O595</f>
        <v/>
      </c>
      <c r="U595" s="76">
        <f>G595-O595</f>
        <v/>
      </c>
      <c r="V595" s="76">
        <f>G595-K595</f>
        <v/>
      </c>
      <c r="W595" s="76">
        <f>C595-K595</f>
        <v/>
      </c>
      <c r="X595" s="76">
        <f>I595-G595</f>
        <v/>
      </c>
      <c r="Y595" s="77">
        <f>G595-M595</f>
        <v/>
      </c>
    </row>
    <row r="596">
      <c r="A596" s="74" t="n">
        <v>44432</v>
      </c>
      <c r="B596" s="75" t="n">
        <v>36.7</v>
      </c>
      <c r="C596" s="81" t="n">
        <v>0.3665380616209709</v>
      </c>
      <c r="D596" s="75" t="n">
        <v>41</v>
      </c>
      <c r="E596" s="85" t="n">
        <v>0.4094839380506758</v>
      </c>
      <c r="F596" s="75" t="n">
        <v>35.39</v>
      </c>
      <c r="G596" s="81" t="n">
        <v>0.3536771349560551</v>
      </c>
      <c r="H596" s="78" t="n">
        <v>39.59</v>
      </c>
      <c r="I596" s="81" t="n">
        <v>0.395837642015299</v>
      </c>
      <c r="J596" s="78" t="n">
        <v>33.8</v>
      </c>
      <c r="K596" s="81" t="n">
        <v>0.3375214593008543</v>
      </c>
      <c r="L596" s="75" t="n">
        <v>37.75</v>
      </c>
      <c r="M596" s="81" t="n">
        <v>0.3774405401888744</v>
      </c>
      <c r="N596" s="78" t="n">
        <v>37.15</v>
      </c>
      <c r="O596" s="81" t="n">
        <v>0.371441485245475</v>
      </c>
      <c r="P596" s="76">
        <f>C596-G596</f>
        <v/>
      </c>
      <c r="Q596" s="76">
        <f>E596-C596</f>
        <v/>
      </c>
      <c r="R596" s="76">
        <f>C596-M596</f>
        <v/>
      </c>
      <c r="S596" s="76">
        <f>C596-O596</f>
        <v/>
      </c>
      <c r="T596" s="76">
        <f>E596-O596</f>
        <v/>
      </c>
      <c r="U596" s="76">
        <f>G596-O596</f>
        <v/>
      </c>
      <c r="V596" s="76">
        <f>G596-K596</f>
        <v/>
      </c>
      <c r="W596" s="76">
        <f>C596-K596</f>
        <v/>
      </c>
      <c r="X596" s="76">
        <f>I596-G596</f>
        <v/>
      </c>
      <c r="Y596" s="77">
        <f>G596-M596</f>
        <v/>
      </c>
    </row>
    <row r="597">
      <c r="A597" s="74" t="n">
        <v>44431</v>
      </c>
      <c r="B597" s="75" t="n">
        <v>36.45</v>
      </c>
      <c r="C597" s="81" t="n">
        <v>0.3640511697906691</v>
      </c>
      <c r="D597" s="75" t="n">
        <v>40</v>
      </c>
      <c r="E597" s="85" t="n">
        <v>0.399507456560405</v>
      </c>
      <c r="F597" s="75" t="n">
        <v>35.26</v>
      </c>
      <c r="G597" s="81" t="n">
        <v>0.3523827777397495</v>
      </c>
      <c r="H597" s="78" t="n">
        <v>38.75</v>
      </c>
      <c r="I597" s="81" t="n">
        <v>0.3874402917358626</v>
      </c>
      <c r="J597" s="78" t="n">
        <v>32.9</v>
      </c>
      <c r="K597" s="81" t="n">
        <v>0.3285443135377302</v>
      </c>
      <c r="L597" s="75" t="n">
        <v>37.4</v>
      </c>
      <c r="M597" s="81" t="n">
        <v>0.3739423718947422</v>
      </c>
      <c r="N597" s="78" t="n">
        <v>37</v>
      </c>
      <c r="O597" s="81" t="n">
        <v>0.369942988238114</v>
      </c>
      <c r="P597" s="76">
        <f>C597-G597</f>
        <v/>
      </c>
      <c r="Q597" s="76">
        <f>E597-C597</f>
        <v/>
      </c>
      <c r="R597" s="76">
        <f>C597-M597</f>
        <v/>
      </c>
      <c r="S597" s="76">
        <f>C597-O597</f>
        <v/>
      </c>
      <c r="T597" s="76">
        <f>E597-O597</f>
        <v/>
      </c>
      <c r="U597" s="76">
        <f>G597-O597</f>
        <v/>
      </c>
      <c r="V597" s="76">
        <f>G597-K597</f>
        <v/>
      </c>
      <c r="W597" s="76">
        <f>C597-K597</f>
        <v/>
      </c>
      <c r="X597" s="76">
        <f>I597-G597</f>
        <v/>
      </c>
      <c r="Y597" s="77">
        <f>G597-M597</f>
        <v/>
      </c>
    </row>
    <row r="598">
      <c r="A598" s="74" t="n">
        <v>44428</v>
      </c>
      <c r="B598" s="75" t="n">
        <v>36.21</v>
      </c>
      <c r="C598" s="81" t="n">
        <v>0.3616838158830935</v>
      </c>
      <c r="D598" s="75" t="n">
        <v>39</v>
      </c>
      <c r="E598" s="85" t="n">
        <v>0.3895517486727601</v>
      </c>
      <c r="F598" s="75" t="n">
        <v>35.27</v>
      </c>
      <c r="G598" s="81" t="n">
        <v>0.3524971933955807</v>
      </c>
      <c r="H598" s="78" t="n">
        <v>37.99</v>
      </c>
      <c r="I598" s="81" t="n">
        <v>0.379845364707816</v>
      </c>
      <c r="J598" s="78" t="n">
        <v>32.7</v>
      </c>
      <c r="K598" s="81" t="n">
        <v>0.326577239053554</v>
      </c>
      <c r="L598" s="75" t="n">
        <v>37.2</v>
      </c>
      <c r="M598" s="81" t="n">
        <v>0.3719465008457688</v>
      </c>
      <c r="N598" s="78" t="n">
        <v>36.6</v>
      </c>
      <c r="O598" s="81" t="n">
        <v>0.3659473637353531</v>
      </c>
      <c r="P598" s="76">
        <f>C598-G598</f>
        <v/>
      </c>
      <c r="Q598" s="76">
        <f>E598-C598</f>
        <v/>
      </c>
      <c r="R598" s="76">
        <f>C598-M598</f>
        <v/>
      </c>
      <c r="S598" s="76">
        <f>C598-O598</f>
        <v/>
      </c>
      <c r="T598" s="76">
        <f>E598-O598</f>
        <v/>
      </c>
      <c r="U598" s="76">
        <f>G598-O598</f>
        <v/>
      </c>
      <c r="V598" s="76">
        <f>G598-K598</f>
        <v/>
      </c>
      <c r="W598" s="76">
        <f>C598-K598</f>
        <v/>
      </c>
      <c r="X598" s="76">
        <f>I598-G598</f>
        <v/>
      </c>
      <c r="Y598" s="77">
        <f>G598-M598</f>
        <v/>
      </c>
    </row>
    <row r="599">
      <c r="A599" s="74" t="n">
        <v>44427</v>
      </c>
      <c r="B599" s="75" t="n">
        <v>36.15</v>
      </c>
      <c r="C599" s="81" t="n">
        <v>0.3610943871267891</v>
      </c>
      <c r="D599" s="75" t="n">
        <v>40</v>
      </c>
      <c r="E599" s="85" t="n">
        <v>0.3995511890752853</v>
      </c>
      <c r="F599" s="75" t="n">
        <v>35.26</v>
      </c>
      <c r="G599" s="81" t="n">
        <v>0.3524020755466108</v>
      </c>
      <c r="H599" s="78" t="n">
        <v>37.91</v>
      </c>
      <c r="I599" s="81" t="n">
        <v>0.3790467776784766</v>
      </c>
      <c r="J599" s="78" t="n">
        <v>33.2</v>
      </c>
      <c r="K599" s="81" t="n">
        <v>0.3315809815678133</v>
      </c>
      <c r="L599" s="75" t="n">
        <v>37.25</v>
      </c>
      <c r="M599" s="81" t="n">
        <v>0.3724477042607031</v>
      </c>
      <c r="N599" s="78" t="n">
        <v>36.7</v>
      </c>
      <c r="O599" s="81" t="n">
        <v>0.3669484764125586</v>
      </c>
      <c r="P599" s="76">
        <f>C599-G599</f>
        <v/>
      </c>
      <c r="Q599" s="76">
        <f>E599-C599</f>
        <v/>
      </c>
      <c r="R599" s="76">
        <f>C599-M599</f>
        <v/>
      </c>
      <c r="S599" s="76">
        <f>C599-O599</f>
        <v/>
      </c>
      <c r="T599" s="76">
        <f>E599-O599</f>
        <v/>
      </c>
      <c r="U599" s="76">
        <f>G599-O599</f>
        <v/>
      </c>
      <c r="V599" s="76">
        <f>G599-K599</f>
        <v/>
      </c>
      <c r="W599" s="76">
        <f>C599-K599</f>
        <v/>
      </c>
      <c r="X599" s="76">
        <f>I599-G599</f>
        <v/>
      </c>
      <c r="Y599" s="77">
        <f>G599-M599</f>
        <v/>
      </c>
    </row>
    <row r="600">
      <c r="A600" s="74" t="n">
        <v>44426</v>
      </c>
      <c r="B600" s="75" t="n">
        <v>36</v>
      </c>
      <c r="C600" s="81" t="n">
        <v>0.3596059113300493</v>
      </c>
      <c r="D600" s="75" t="n">
        <v>40</v>
      </c>
      <c r="E600" s="85" t="n">
        <v>0.3995621237000547</v>
      </c>
      <c r="F600" s="75" t="n">
        <v>35.11</v>
      </c>
      <c r="G600" s="81" t="n">
        <v>0.350907721796276</v>
      </c>
      <c r="H600" s="78" t="n">
        <v>38.25</v>
      </c>
      <c r="I600" s="81" t="n">
        <v>0.3824476099164498</v>
      </c>
      <c r="J600" s="78" t="n">
        <v>33.18</v>
      </c>
      <c r="K600" s="81" t="n">
        <v>0.3313914352168559</v>
      </c>
      <c r="L600" s="75" t="n">
        <v>37.65</v>
      </c>
      <c r="M600" s="81" t="n">
        <v>0.376448431721682</v>
      </c>
      <c r="N600" s="78" t="n">
        <v>36.66</v>
      </c>
      <c r="O600" s="81" t="n">
        <v>0.366549787700315</v>
      </c>
      <c r="P600" s="76">
        <f>C600-G600</f>
        <v/>
      </c>
      <c r="Q600" s="76">
        <f>E600-C600</f>
        <v/>
      </c>
      <c r="R600" s="76">
        <f>C600-M600</f>
        <v/>
      </c>
      <c r="S600" s="76">
        <f>C600-O600</f>
        <v/>
      </c>
      <c r="T600" s="76">
        <f>E600-O600</f>
        <v/>
      </c>
      <c r="U600" s="76">
        <f>G600-O600</f>
        <v/>
      </c>
      <c r="V600" s="76">
        <f>G600-K600</f>
        <v/>
      </c>
      <c r="W600" s="76">
        <f>C600-K600</f>
        <v/>
      </c>
      <c r="X600" s="76">
        <f>I600-G600</f>
        <v/>
      </c>
      <c r="Y600" s="77">
        <f>G600-M600</f>
        <v/>
      </c>
    </row>
    <row r="601">
      <c r="A601" s="74" t="n">
        <v>44425</v>
      </c>
      <c r="B601" s="75" t="n">
        <v>36.09</v>
      </c>
      <c r="C601" s="81" t="n">
        <v>0.3605147924135855</v>
      </c>
      <c r="D601" s="75" t="n">
        <v>39.81</v>
      </c>
      <c r="E601" s="85" t="n">
        <v>0.3976750868934563</v>
      </c>
      <c r="F601" s="75" t="n">
        <v>35.27</v>
      </c>
      <c r="G601" s="81" t="n">
        <v>0.3525116718465477</v>
      </c>
      <c r="H601" s="78" t="n">
        <v>38.4</v>
      </c>
      <c r="I601" s="81" t="n">
        <v>0.383948719177918</v>
      </c>
      <c r="J601" s="78" t="n">
        <v>32.7</v>
      </c>
      <c r="K601" s="81" t="n">
        <v>0.3266074000088934</v>
      </c>
      <c r="L601" s="75" t="n">
        <v>37.75</v>
      </c>
      <c r="M601" s="81" t="n">
        <v>0.3774495872126668</v>
      </c>
      <c r="N601" s="78" t="n">
        <v>36.4</v>
      </c>
      <c r="O601" s="81" t="n">
        <v>0.3639513900540681</v>
      </c>
      <c r="P601" s="76">
        <f>C601-G601</f>
        <v/>
      </c>
      <c r="Q601" s="76">
        <f>E601-C601</f>
        <v/>
      </c>
      <c r="R601" s="76">
        <f>C601-M601</f>
        <v/>
      </c>
      <c r="S601" s="76">
        <f>C601-O601</f>
        <v/>
      </c>
      <c r="T601" s="76">
        <f>E601-O601</f>
        <v/>
      </c>
      <c r="U601" s="76">
        <f>G601-O601</f>
        <v/>
      </c>
      <c r="V601" s="76">
        <f>G601-K601</f>
        <v/>
      </c>
      <c r="W601" s="76">
        <f>C601-K601</f>
        <v/>
      </c>
      <c r="X601" s="76">
        <f>I601-G601</f>
        <v/>
      </c>
      <c r="Y601" s="77">
        <f>G601-M601</f>
        <v/>
      </c>
    </row>
    <row r="602">
      <c r="A602" s="74" t="n">
        <v>44421</v>
      </c>
      <c r="B602" s="75" t="n">
        <v>36.15</v>
      </c>
      <c r="C602" s="81" t="n">
        <v>0.3611536882441495</v>
      </c>
      <c r="D602" s="75" t="n">
        <v>40.6</v>
      </c>
      <c r="E602" s="85" t="n">
        <v>0.4056110578896948</v>
      </c>
      <c r="F602" s="75" t="n">
        <v>35.12</v>
      </c>
      <c r="G602" s="81" t="n">
        <v>0.3510316971315123</v>
      </c>
      <c r="H602" s="78" t="n">
        <v>38.8</v>
      </c>
      <c r="I602" s="81" t="n">
        <v>0.3879534987244679</v>
      </c>
      <c r="J602" s="78" t="n">
        <v>33.25</v>
      </c>
      <c r="K602" s="81" t="n">
        <v>0.3321416964575886</v>
      </c>
      <c r="L602" s="75" t="n">
        <v>37.75</v>
      </c>
      <c r="M602" s="81" t="n">
        <v>0.3774547571352749</v>
      </c>
      <c r="N602" s="78" t="n">
        <v>37.4</v>
      </c>
      <c r="O602" s="81" t="n">
        <v>0.3739551766055438</v>
      </c>
      <c r="P602" s="76">
        <f>C602-G602</f>
        <v/>
      </c>
      <c r="Q602" s="76">
        <f>E602-C602</f>
        <v/>
      </c>
      <c r="R602" s="76">
        <f>C602-M602</f>
        <v/>
      </c>
      <c r="S602" s="76">
        <f>C602-O602</f>
        <v/>
      </c>
      <c r="T602" s="76">
        <f>E602-O602</f>
        <v/>
      </c>
      <c r="U602" s="76">
        <f>G602-O602</f>
        <v/>
      </c>
      <c r="V602" s="76">
        <f>G602-K602</f>
        <v/>
      </c>
      <c r="W602" s="76">
        <f>C602-K602</f>
        <v/>
      </c>
      <c r="X602" s="76">
        <f>I602-G602</f>
        <v/>
      </c>
      <c r="Y602" s="77">
        <f>G602-M602</f>
        <v/>
      </c>
    </row>
    <row r="603">
      <c r="A603" s="74" t="n">
        <v>44420</v>
      </c>
      <c r="B603" s="75" t="n">
        <v>37.02</v>
      </c>
      <c r="C603" s="81" t="n">
        <v>0.3698554770898342</v>
      </c>
      <c r="D603" s="75" t="n">
        <v>40.7</v>
      </c>
      <c r="E603" s="85" t="n">
        <v>0.4066212295396069</v>
      </c>
      <c r="F603" s="75" t="n">
        <v>35.68</v>
      </c>
      <c r="G603" s="81" t="n">
        <v>0.3566338965413369</v>
      </c>
      <c r="H603" s="78" t="n">
        <v>39.14</v>
      </c>
      <c r="I603" s="81" t="n">
        <v>0.3913544313333379</v>
      </c>
      <c r="J603" s="78" t="n">
        <v>33.8</v>
      </c>
      <c r="K603" s="81" t="n">
        <v>0.3376461653199044</v>
      </c>
      <c r="L603" s="75" t="n">
        <v>38.4</v>
      </c>
      <c r="M603" s="81" t="n">
        <v>0.3839552928768568</v>
      </c>
      <c r="N603" s="78" t="n">
        <v>37.9</v>
      </c>
      <c r="O603" s="81" t="n">
        <v>0.378955875000856</v>
      </c>
      <c r="P603" s="76">
        <f>C603-G603</f>
        <v/>
      </c>
      <c r="Q603" s="76">
        <f>E603-C603</f>
        <v/>
      </c>
      <c r="R603" s="76">
        <f>C603-M603</f>
        <v/>
      </c>
      <c r="S603" s="76">
        <f>C603-O603</f>
        <v/>
      </c>
      <c r="T603" s="76">
        <f>E603-O603</f>
        <v/>
      </c>
      <c r="U603" s="76">
        <f>G603-O603</f>
        <v/>
      </c>
      <c r="V603" s="76">
        <f>G603-K603</f>
        <v/>
      </c>
      <c r="W603" s="76">
        <f>C603-K603</f>
        <v/>
      </c>
      <c r="X603" s="76">
        <f>I603-G603</f>
        <v/>
      </c>
      <c r="Y603" s="77">
        <f>G603-M603</f>
        <v/>
      </c>
    </row>
    <row r="604">
      <c r="A604" s="74" t="n">
        <v>44419</v>
      </c>
      <c r="B604" s="75" t="n">
        <v>36.65</v>
      </c>
      <c r="C604" s="81" t="n">
        <v>0.3661689431472915</v>
      </c>
      <c r="D604" s="75" t="n">
        <v>40.5</v>
      </c>
      <c r="E604" s="85" t="n">
        <v>0.4046341663701311</v>
      </c>
      <c r="F604" s="75" t="n">
        <v>35.53</v>
      </c>
      <c r="G604" s="81" t="n">
        <v>0.3551394575055112</v>
      </c>
      <c r="H604" s="78" t="n">
        <v>38.7</v>
      </c>
      <c r="I604" s="81" t="n">
        <v>0.3869562686408728</v>
      </c>
      <c r="J604" s="78" t="n">
        <v>33.03</v>
      </c>
      <c r="K604" s="81" t="n">
        <v>0.3299643855393658</v>
      </c>
      <c r="L604" s="75" t="n">
        <v>37.81</v>
      </c>
      <c r="M604" s="81" t="n">
        <v>0.3780572743491318</v>
      </c>
      <c r="N604" s="78" t="n">
        <v>37.55</v>
      </c>
      <c r="O604" s="81" t="n">
        <v>0.3754575681515445</v>
      </c>
      <c r="P604" s="76">
        <f>C604-G604</f>
        <v/>
      </c>
      <c r="Q604" s="76">
        <f>E604-C604</f>
        <v/>
      </c>
      <c r="R604" s="76">
        <f>C604-M604</f>
        <v/>
      </c>
      <c r="S604" s="76">
        <f>C604-O604</f>
        <v/>
      </c>
      <c r="T604" s="76">
        <f>E604-O604</f>
        <v/>
      </c>
      <c r="U604" s="76">
        <f>G604-O604</f>
        <v/>
      </c>
      <c r="V604" s="76">
        <f>G604-K604</f>
        <v/>
      </c>
      <c r="W604" s="76">
        <f>C604-K604</f>
        <v/>
      </c>
      <c r="X604" s="76">
        <f>I604-G604</f>
        <v/>
      </c>
      <c r="Y604" s="77">
        <f>G604-M604</f>
        <v/>
      </c>
    </row>
    <row r="605">
      <c r="A605" s="74" t="n">
        <v>44418</v>
      </c>
      <c r="B605" s="75" t="n">
        <v>36.5</v>
      </c>
      <c r="C605" s="81" t="n">
        <v>0.3646802803022008</v>
      </c>
      <c r="D605" s="75" t="n">
        <v>40.5</v>
      </c>
      <c r="E605" s="85" t="n">
        <v>0.4046452425270995</v>
      </c>
      <c r="F605" s="75" t="n">
        <v>35.35</v>
      </c>
      <c r="G605" s="81" t="n">
        <v>0.353345108993318</v>
      </c>
      <c r="H605" s="78" t="n">
        <v>38.69</v>
      </c>
      <c r="I605" s="81" t="n">
        <v>0.3868576046460662</v>
      </c>
      <c r="J605" s="78" t="n">
        <v>32.91</v>
      </c>
      <c r="K605" s="81" t="n">
        <v>0.3287757280490475</v>
      </c>
      <c r="L605" s="75" t="n">
        <v>37.74</v>
      </c>
      <c r="M605" s="81" t="n">
        <v>0.3773586456278764</v>
      </c>
      <c r="N605" s="78" t="n">
        <v>37.5</v>
      </c>
      <c r="O605" s="81" t="n">
        <v>0.3749589086127548</v>
      </c>
      <c r="P605" s="76">
        <f>C605-G605</f>
        <v/>
      </c>
      <c r="Q605" s="76">
        <f>E605-C605</f>
        <v/>
      </c>
      <c r="R605" s="76">
        <f>C605-M605</f>
        <v/>
      </c>
      <c r="S605" s="76">
        <f>C605-O605</f>
        <v/>
      </c>
      <c r="T605" s="76">
        <f>E605-O605</f>
        <v/>
      </c>
      <c r="U605" s="76">
        <f>G605-O605</f>
        <v/>
      </c>
      <c r="V605" s="76">
        <f>G605-K605</f>
        <v/>
      </c>
      <c r="W605" s="76">
        <f>C605-K605</f>
        <v/>
      </c>
      <c r="X605" s="76">
        <f>I605-G605</f>
        <v/>
      </c>
      <c r="Y605" s="77">
        <f>G605-M605</f>
        <v/>
      </c>
    </row>
    <row r="606">
      <c r="A606" s="74" t="n">
        <v>44417</v>
      </c>
      <c r="B606" s="75" t="n">
        <v>36.12</v>
      </c>
      <c r="C606" s="81" t="n">
        <v>0.360893487722756</v>
      </c>
      <c r="D606" s="75" t="n">
        <v>40.05</v>
      </c>
      <c r="E606" s="85" t="n">
        <v>0.400160137965016</v>
      </c>
      <c r="F606" s="75" t="n">
        <v>35.1</v>
      </c>
      <c r="G606" s="81" t="n">
        <v>0.3508510084758527</v>
      </c>
      <c r="H606" s="78" t="n">
        <v>38.33</v>
      </c>
      <c r="I606" s="81" t="n">
        <v>0.3832593115114491</v>
      </c>
      <c r="J606" s="78" t="n">
        <v>32.7</v>
      </c>
      <c r="K606" s="81" t="n">
        <v>0.326687856465911</v>
      </c>
      <c r="L606" s="75" t="n">
        <v>37.4</v>
      </c>
      <c r="M606" s="81" t="n">
        <v>0.3739602987354082</v>
      </c>
      <c r="N606" s="78" t="n">
        <v>37.08</v>
      </c>
      <c r="O606" s="81" t="n">
        <v>0.3707606384253727</v>
      </c>
      <c r="P606" s="76">
        <f>C606-G606</f>
        <v/>
      </c>
      <c r="Q606" s="76">
        <f>E606-C606</f>
        <v/>
      </c>
      <c r="R606" s="76">
        <f>C606-M606</f>
        <v/>
      </c>
      <c r="S606" s="76">
        <f>C606-O606</f>
        <v/>
      </c>
      <c r="T606" s="76">
        <f>E606-O606</f>
        <v/>
      </c>
      <c r="U606" s="76">
        <f>G606-O606</f>
        <v/>
      </c>
      <c r="V606" s="76">
        <f>G606-K606</f>
        <v/>
      </c>
      <c r="W606" s="76">
        <f>C606-K606</f>
        <v/>
      </c>
      <c r="X606" s="76">
        <f>I606-G606</f>
        <v/>
      </c>
      <c r="Y606" s="77">
        <f>G606-M606</f>
        <v/>
      </c>
    </row>
    <row r="607">
      <c r="A607" s="74" t="n">
        <v>44413</v>
      </c>
      <c r="B607" s="75" t="n">
        <v>36.25</v>
      </c>
      <c r="C607" s="81" t="n">
        <v>0.3622320475264872</v>
      </c>
      <c r="D607" s="75" t="n">
        <v>40.4</v>
      </c>
      <c r="E607" s="85" t="n">
        <v>0.4037013715881403</v>
      </c>
      <c r="F607" s="75" t="n">
        <v>34.97</v>
      </c>
      <c r="G607" s="81" t="n">
        <v>0.34957070672491</v>
      </c>
      <c r="H607" s="78" t="n">
        <v>38.4</v>
      </c>
      <c r="I607" s="81" t="n">
        <v>0.383964496433549</v>
      </c>
      <c r="J607" s="78" t="n">
        <v>32.75</v>
      </c>
      <c r="K607" s="81" t="n">
        <v>0.327227683811075</v>
      </c>
      <c r="L607" s="75" t="n">
        <v>37.4</v>
      </c>
      <c r="M607" s="81" t="n">
        <v>0.3739654210055919</v>
      </c>
      <c r="N607" s="78" t="n">
        <v>37</v>
      </c>
      <c r="O607" s="81" t="n">
        <v>0.3699657908344092</v>
      </c>
      <c r="P607" s="76">
        <f>C607-G607</f>
        <v/>
      </c>
      <c r="Q607" s="76">
        <f>E607-C607</f>
        <v/>
      </c>
      <c r="R607" s="76">
        <f>C607-M607</f>
        <v/>
      </c>
      <c r="S607" s="76">
        <f>C607-O607</f>
        <v/>
      </c>
      <c r="T607" s="76">
        <f>E607-O607</f>
        <v/>
      </c>
      <c r="U607" s="76">
        <f>G607-O607</f>
        <v/>
      </c>
      <c r="V607" s="76">
        <f>G607-K607</f>
        <v/>
      </c>
      <c r="W607" s="76">
        <f>C607-K607</f>
        <v/>
      </c>
      <c r="X607" s="76">
        <f>I607-G607</f>
        <v/>
      </c>
      <c r="Y607" s="77">
        <f>G607-M607</f>
        <v/>
      </c>
    </row>
    <row r="608">
      <c r="A608" s="74" t="n">
        <v>44412</v>
      </c>
      <c r="B608" s="75" t="n">
        <v>36.3</v>
      </c>
      <c r="C608" s="81" t="n">
        <v>0.3627416087170782</v>
      </c>
      <c r="D608" s="75" t="n">
        <v>41</v>
      </c>
      <c r="E608" s="85" t="n">
        <v>0.4097081530964244</v>
      </c>
      <c r="F608" s="75" t="n">
        <v>35.19</v>
      </c>
      <c r="G608" s="81" t="n">
        <v>0.3517747103771259</v>
      </c>
      <c r="H608" s="78" t="n">
        <v>38.7</v>
      </c>
      <c r="I608" s="81" t="n">
        <v>0.3869655441638759</v>
      </c>
      <c r="J608" s="78" t="n">
        <v>33.02</v>
      </c>
      <c r="K608" s="81" t="n">
        <v>0.3299355995537823</v>
      </c>
      <c r="L608" s="75" t="n">
        <v>37.7</v>
      </c>
      <c r="M608" s="81" t="n">
        <v>0.3769664344955587</v>
      </c>
      <c r="N608" s="78" t="n">
        <v>37.15</v>
      </c>
      <c r="O608" s="81" t="n">
        <v>0.3714669241779842</v>
      </c>
      <c r="P608" s="76">
        <f>C608-G608</f>
        <v/>
      </c>
      <c r="Q608" s="76">
        <f>E608-C608</f>
        <v/>
      </c>
      <c r="R608" s="76">
        <f>C608-M608</f>
        <v/>
      </c>
      <c r="S608" s="76">
        <f>C608-O608</f>
        <v/>
      </c>
      <c r="T608" s="76">
        <f>E608-O608</f>
        <v/>
      </c>
      <c r="U608" s="76">
        <f>G608-O608</f>
        <v/>
      </c>
      <c r="V608" s="76">
        <f>G608-K608</f>
        <v/>
      </c>
      <c r="W608" s="76">
        <f>C608-K608</f>
        <v/>
      </c>
      <c r="X608" s="76">
        <f>I608-G608</f>
        <v/>
      </c>
      <c r="Y608" s="77">
        <f>G608-M608</f>
        <v/>
      </c>
    </row>
    <row r="609">
      <c r="A609" s="74" t="n">
        <v>44411</v>
      </c>
      <c r="B609" s="75" t="n">
        <v>36.43</v>
      </c>
      <c r="C609" s="81" t="n">
        <v>0.364050650239562</v>
      </c>
      <c r="D609" s="75" t="n">
        <v>40.5</v>
      </c>
      <c r="E609" s="85" t="n">
        <v>0.4047227926078029</v>
      </c>
      <c r="F609" s="75" t="n">
        <v>35.41</v>
      </c>
      <c r="G609" s="81" t="n">
        <v>0.3539787743923314</v>
      </c>
      <c r="H609" s="78" t="n">
        <v>38.79</v>
      </c>
      <c r="I609" s="81" t="n">
        <v>0.3878667922266929</v>
      </c>
      <c r="J609" s="78" t="n">
        <v>33.43</v>
      </c>
      <c r="K609" s="81" t="n">
        <v>0.3340426041577552</v>
      </c>
      <c r="L609" s="75" t="n">
        <v>38.15</v>
      </c>
      <c r="M609" s="81" t="n">
        <v>0.3814673401249893</v>
      </c>
      <c r="N609" s="78" t="n">
        <v>37.6</v>
      </c>
      <c r="O609" s="81" t="n">
        <v>0.3759678109750877</v>
      </c>
      <c r="P609" s="76">
        <f>C609-G609</f>
        <v/>
      </c>
      <c r="Q609" s="76">
        <f>E609-C609</f>
        <v/>
      </c>
      <c r="R609" s="76">
        <f>C609-M609</f>
        <v/>
      </c>
      <c r="S609" s="76">
        <f>C609-O609</f>
        <v/>
      </c>
      <c r="T609" s="76">
        <f>E609-O609</f>
        <v/>
      </c>
      <c r="U609" s="76">
        <f>G609-O609</f>
        <v/>
      </c>
      <c r="V609" s="76">
        <f>G609-K609</f>
        <v/>
      </c>
      <c r="W609" s="76">
        <f>C609-K609</f>
        <v/>
      </c>
      <c r="X609" s="76">
        <f>I609-G609</f>
        <v/>
      </c>
      <c r="Y609" s="77">
        <f>G609-M609</f>
        <v/>
      </c>
    </row>
    <row r="610">
      <c r="A610" s="74" t="n">
        <v>44410</v>
      </c>
      <c r="B610" s="75" t="n">
        <v>36.65</v>
      </c>
      <c r="C610" s="81" t="n">
        <v>0.366259172051254</v>
      </c>
      <c r="D610" s="75" t="n">
        <v>40.01</v>
      </c>
      <c r="E610" s="85" t="n">
        <v>0.3998370934180265</v>
      </c>
      <c r="F610" s="75" t="n">
        <v>35.59</v>
      </c>
      <c r="G610" s="81" t="n">
        <v>0.3557830302366345</v>
      </c>
      <c r="H610" s="78" t="n">
        <v>38.96</v>
      </c>
      <c r="I610" s="81" t="n">
        <v>0.3895679807139139</v>
      </c>
      <c r="J610" s="78" t="n">
        <v>33.7</v>
      </c>
      <c r="K610" s="81" t="n">
        <v>0.3367508965970378</v>
      </c>
      <c r="L610" s="75" t="n">
        <v>38.23</v>
      </c>
      <c r="M610" s="81" t="n">
        <v>0.3822685806646029</v>
      </c>
      <c r="N610" s="78" t="n">
        <v>37.9</v>
      </c>
      <c r="O610" s="81" t="n">
        <v>0.3789688518751883</v>
      </c>
      <c r="P610" s="76">
        <f>C610-G610</f>
        <v/>
      </c>
      <c r="Q610" s="76">
        <f>E610-C610</f>
        <v/>
      </c>
      <c r="R610" s="76">
        <f>C610-M610</f>
        <v/>
      </c>
      <c r="S610" s="76">
        <f>C610-O610</f>
        <v/>
      </c>
      <c r="T610" s="76">
        <f>E610-O610</f>
        <v/>
      </c>
      <c r="U610" s="76">
        <f>G610-O610</f>
        <v/>
      </c>
      <c r="V610" s="76">
        <f>G610-K610</f>
        <v/>
      </c>
      <c r="W610" s="76">
        <f>C610-K610</f>
        <v/>
      </c>
      <c r="X610" s="76">
        <f>I610-G610</f>
        <v/>
      </c>
      <c r="Y610" s="77">
        <f>G610-M610</f>
        <v/>
      </c>
    </row>
    <row r="611">
      <c r="A611" s="74" t="n">
        <v>44409</v>
      </c>
      <c r="B611" s="75" t="n">
        <v>36.75</v>
      </c>
      <c r="C611" s="81" t="n">
        <v>0.3672685704898283</v>
      </c>
      <c r="D611" s="75" t="n">
        <v>40.5</v>
      </c>
      <c r="E611" s="85" t="n">
        <v>0.4047449552336884</v>
      </c>
      <c r="F611" s="75" t="n">
        <v>35.78</v>
      </c>
      <c r="G611" s="81" t="n">
        <v>0.3576873040001096</v>
      </c>
      <c r="H611" s="78" t="n">
        <v>39</v>
      </c>
      <c r="I611" s="81" t="n">
        <v>0.3899692832413885</v>
      </c>
      <c r="J611" s="78" t="n">
        <v>33.6</v>
      </c>
      <c r="K611" s="81" t="n">
        <v>0.3357619769546931</v>
      </c>
      <c r="L611" s="75" t="n">
        <v>38.3</v>
      </c>
      <c r="M611" s="81" t="n">
        <v>0.3829698345678251</v>
      </c>
      <c r="N611" s="78" t="n">
        <v>38.05</v>
      </c>
      <c r="O611" s="81" t="n">
        <v>0.3804700314701239</v>
      </c>
      <c r="P611" s="76">
        <f>C611-G611</f>
        <v/>
      </c>
      <c r="Q611" s="76">
        <f>E611-C611</f>
        <v/>
      </c>
      <c r="R611" s="76">
        <f>C611-M611</f>
        <v/>
      </c>
      <c r="S611" s="76">
        <f>C611-O611</f>
        <v/>
      </c>
      <c r="T611" s="76">
        <f>E611-O611</f>
        <v/>
      </c>
      <c r="U611" s="76">
        <f>G611-O611</f>
        <v/>
      </c>
      <c r="V611" s="76">
        <f>G611-K611</f>
        <v/>
      </c>
      <c r="W611" s="76">
        <f>C611-K611</f>
        <v/>
      </c>
      <c r="X611" s="76">
        <f>I611-G611</f>
        <v/>
      </c>
      <c r="Y611" s="77">
        <f>G611-M611</f>
        <v/>
      </c>
    </row>
    <row r="612">
      <c r="A612" s="74" t="n">
        <v>44407</v>
      </c>
      <c r="B612" s="75" t="n">
        <v>36.8</v>
      </c>
      <c r="C612" s="81" t="n">
        <v>0.3677883957175324</v>
      </c>
      <c r="D612" s="75" t="n">
        <v>40.9</v>
      </c>
      <c r="E612" s="85" t="n">
        <v>0.4087648202404096</v>
      </c>
      <c r="F612" s="75" t="n">
        <v>35.87</v>
      </c>
      <c r="G612" s="81" t="n">
        <v>0.3585968420043549</v>
      </c>
      <c r="H612" s="78" t="n">
        <v>38.82</v>
      </c>
      <c r="I612" s="81" t="n">
        <v>0.3881720835145417</v>
      </c>
      <c r="J612" s="78" t="n">
        <v>33.58</v>
      </c>
      <c r="K612" s="81" t="n">
        <v>0.3355827905910215</v>
      </c>
      <c r="L612" s="75" t="n">
        <v>38.48</v>
      </c>
      <c r="M612" s="81" t="n">
        <v>0.3847723280175055</v>
      </c>
      <c r="N612" s="78" t="n">
        <v>38.1</v>
      </c>
      <c r="O612" s="81" t="n">
        <v>0.380972601285524</v>
      </c>
      <c r="P612" s="76">
        <f>C612-G612</f>
        <v/>
      </c>
      <c r="Q612" s="76">
        <f>E612-C612</f>
        <v/>
      </c>
      <c r="R612" s="76">
        <f>C612-M612</f>
        <v/>
      </c>
      <c r="S612" s="76">
        <f>C612-O612</f>
        <v/>
      </c>
      <c r="T612" s="76">
        <f>E612-O612</f>
        <v/>
      </c>
      <c r="U612" s="76">
        <f>G612-O612</f>
        <v/>
      </c>
      <c r="V612" s="76">
        <f>G612-K612</f>
        <v/>
      </c>
      <c r="W612" s="76">
        <f>C612-K612</f>
        <v/>
      </c>
      <c r="X612" s="76">
        <f>I612-G612</f>
        <v/>
      </c>
      <c r="Y612" s="77">
        <f>G612-M612</f>
        <v/>
      </c>
    </row>
    <row r="613">
      <c r="A613" s="74" t="n">
        <v>44406</v>
      </c>
      <c r="B613" s="75" t="n">
        <v>36.86</v>
      </c>
      <c r="C613" s="81" t="n">
        <v>0.3683981380065717</v>
      </c>
      <c r="D613" s="75" t="n">
        <v>41</v>
      </c>
      <c r="E613" s="85" t="n">
        <v>0.4097754654983571</v>
      </c>
      <c r="F613" s="75" t="n">
        <v>35.91</v>
      </c>
      <c r="G613" s="81" t="n">
        <v>0.3590016433853738</v>
      </c>
      <c r="H613" s="78" t="n">
        <v>38.68</v>
      </c>
      <c r="I613" s="81" t="n">
        <v>0.3867735086637901</v>
      </c>
      <c r="J613" s="78" t="n">
        <v>33.5</v>
      </c>
      <c r="K613" s="81" t="n">
        <v>0.3347936203710042</v>
      </c>
      <c r="L613" s="75" t="n">
        <v>38.45</v>
      </c>
      <c r="M613" s="81" t="n">
        <v>0.3844736661872475</v>
      </c>
      <c r="N613" s="78" t="n">
        <v>38.15</v>
      </c>
      <c r="O613" s="81" t="n">
        <v>0.3814738716526265</v>
      </c>
      <c r="P613" s="76">
        <f>C613-G613</f>
        <v/>
      </c>
      <c r="Q613" s="76">
        <f>E613-C613</f>
        <v/>
      </c>
      <c r="R613" s="76">
        <f>C613-M613</f>
        <v/>
      </c>
      <c r="S613" s="76">
        <f>C613-O613</f>
        <v/>
      </c>
      <c r="T613" s="76">
        <f>E613-O613</f>
        <v/>
      </c>
      <c r="U613" s="76">
        <f>G613-O613</f>
        <v/>
      </c>
      <c r="V613" s="76">
        <f>G613-K613</f>
        <v/>
      </c>
      <c r="W613" s="76">
        <f>C613-K613</f>
        <v/>
      </c>
      <c r="X613" s="76">
        <f>I613-G613</f>
        <v/>
      </c>
      <c r="Y613" s="77">
        <f>G613-M613</f>
        <v/>
      </c>
    </row>
    <row r="614">
      <c r="A614" s="74" t="n">
        <v>44405</v>
      </c>
      <c r="B614" s="75" t="n">
        <v>36.98</v>
      </c>
      <c r="C614" s="81" t="n">
        <v>0.3696076015224951</v>
      </c>
      <c r="D614" s="75" t="n">
        <v>40.3</v>
      </c>
      <c r="E614" s="85" t="n">
        <v>0.4027903283222432</v>
      </c>
      <c r="F614" s="75" t="n">
        <v>36.01</v>
      </c>
      <c r="G614" s="81" t="n">
        <v>0.3600062997302072</v>
      </c>
      <c r="H614" s="78" t="n">
        <v>38.69</v>
      </c>
      <c r="I614" s="81" t="n">
        <v>0.3868748266379927</v>
      </c>
      <c r="J614" s="78" t="n">
        <v>33.71</v>
      </c>
      <c r="K614" s="81" t="n">
        <v>0.3369027042382715</v>
      </c>
      <c r="L614" s="75" t="n">
        <v>38.45</v>
      </c>
      <c r="M614" s="81" t="n">
        <v>0.3844749827922156</v>
      </c>
      <c r="N614" s="78" t="n">
        <v>38</v>
      </c>
      <c r="O614" s="81" t="n">
        <v>0.3799752755813834</v>
      </c>
      <c r="P614" s="76">
        <f>C614-G614</f>
        <v/>
      </c>
      <c r="Q614" s="76">
        <f>E614-C614</f>
        <v/>
      </c>
      <c r="R614" s="76">
        <f>C614-M614</f>
        <v/>
      </c>
      <c r="S614" s="76">
        <f>C614-O614</f>
        <v/>
      </c>
      <c r="T614" s="76">
        <f>E614-O614</f>
        <v/>
      </c>
      <c r="U614" s="76">
        <f>G614-O614</f>
        <v/>
      </c>
      <c r="V614" s="76">
        <f>G614-K614</f>
        <v/>
      </c>
      <c r="W614" s="76">
        <f>C614-K614</f>
        <v/>
      </c>
      <c r="X614" s="76">
        <f>I614-G614</f>
        <v/>
      </c>
      <c r="Y614" s="77">
        <f>G614-M614</f>
        <v/>
      </c>
    </row>
    <row r="615">
      <c r="A615" s="74" t="n">
        <v>44404</v>
      </c>
      <c r="B615" s="75" t="n">
        <v>37.05</v>
      </c>
      <c r="C615" s="81" t="n">
        <v>0.3703173777315296</v>
      </c>
      <c r="D615" s="75" t="n">
        <v>40.3</v>
      </c>
      <c r="E615" s="85" t="n">
        <v>0.4028013582342954</v>
      </c>
      <c r="F615" s="75" t="n">
        <v>36.12</v>
      </c>
      <c r="G615" s="81" t="n">
        <v>0.3611109589416308</v>
      </c>
      <c r="H615" s="78" t="n">
        <v>38.62</v>
      </c>
      <c r="I615" s="81" t="n">
        <v>0.38617619461814</v>
      </c>
      <c r="J615" s="78" t="n">
        <v>33.45</v>
      </c>
      <c r="K615" s="81" t="n">
        <v>0.334314524133871</v>
      </c>
      <c r="L615" s="75" t="n">
        <v>38.4</v>
      </c>
      <c r="M615" s="81" t="n">
        <v>0.3839763302262189</v>
      </c>
      <c r="N615" s="78" t="n">
        <v>38.3</v>
      </c>
      <c r="O615" s="81" t="n">
        <v>0.3829763918662548</v>
      </c>
      <c r="P615" s="76">
        <f>C615-G615</f>
        <v/>
      </c>
      <c r="Q615" s="76">
        <f>E615-C615</f>
        <v/>
      </c>
      <c r="R615" s="76">
        <f>C615-M615</f>
        <v/>
      </c>
      <c r="S615" s="76">
        <f>C615-O615</f>
        <v/>
      </c>
      <c r="T615" s="76">
        <f>E615-O615</f>
        <v/>
      </c>
      <c r="U615" s="76">
        <f>G615-O615</f>
        <v/>
      </c>
      <c r="V615" s="76">
        <f>G615-K615</f>
        <v/>
      </c>
      <c r="W615" s="76">
        <f>C615-K615</f>
        <v/>
      </c>
      <c r="X615" s="76">
        <f>I615-G615</f>
        <v/>
      </c>
      <c r="Y615" s="77">
        <f>G615-M615</f>
        <v/>
      </c>
    </row>
    <row r="616">
      <c r="A616" s="74" t="n">
        <v>44403</v>
      </c>
      <c r="B616" s="75" t="n">
        <v>37.06</v>
      </c>
      <c r="C616" s="81" t="n">
        <v>0.3704274721362653</v>
      </c>
      <c r="D616" s="75" t="n">
        <v>40.55</v>
      </c>
      <c r="E616" s="85" t="n">
        <v>0.4053112249089465</v>
      </c>
      <c r="F616" s="75" t="n">
        <v>36.22</v>
      </c>
      <c r="G616" s="81" t="n">
        <v>0.3621156716928934</v>
      </c>
      <c r="H616" s="78" t="n">
        <v>38.6</v>
      </c>
      <c r="I616" s="81" t="n">
        <v>0.3859775287055206</v>
      </c>
      <c r="J616" s="78" t="n">
        <v>33.5</v>
      </c>
      <c r="K616" s="81" t="n">
        <v>0.3348245611032575</v>
      </c>
      <c r="L616" s="75" t="n">
        <v>38.45</v>
      </c>
      <c r="M616" s="81" t="n">
        <v>0.3844776160292038</v>
      </c>
      <c r="N616" s="78" t="n">
        <v>38.3</v>
      </c>
      <c r="O616" s="81" t="n">
        <v>0.3829777033528869</v>
      </c>
      <c r="P616" s="76">
        <f>C616-G616</f>
        <v/>
      </c>
      <c r="Q616" s="76">
        <f>E616-C616</f>
        <v/>
      </c>
      <c r="R616" s="76">
        <f>C616-M616</f>
        <v/>
      </c>
      <c r="S616" s="76">
        <f>C616-O616</f>
        <v/>
      </c>
      <c r="T616" s="76">
        <f>E616-O616</f>
        <v/>
      </c>
      <c r="U616" s="76">
        <f>G616-O616</f>
        <v/>
      </c>
      <c r="V616" s="76">
        <f>G616-K616</f>
        <v/>
      </c>
      <c r="W616" s="76">
        <f>C616-K616</f>
        <v/>
      </c>
      <c r="X616" s="76">
        <f>I616-G616</f>
        <v/>
      </c>
      <c r="Y616" s="77">
        <f>G616-M616</f>
        <v/>
      </c>
    </row>
    <row r="617">
      <c r="A617" s="74" t="n">
        <v>44400</v>
      </c>
      <c r="B617" s="75" t="n">
        <v>37</v>
      </c>
      <c r="C617" s="81" t="n">
        <v>0.3698581366051378</v>
      </c>
      <c r="D617" s="75" t="n">
        <v>40.55</v>
      </c>
      <c r="E617" s="85" t="n">
        <v>0.4053445253875226</v>
      </c>
      <c r="F617" s="75" t="n">
        <v>36.28</v>
      </c>
      <c r="G617" s="81" t="n">
        <v>0.3627304352589915</v>
      </c>
      <c r="H617" s="78" t="n">
        <v>38.95</v>
      </c>
      <c r="I617" s="81" t="n">
        <v>0.3894813262377831</v>
      </c>
      <c r="J617" s="78" t="n">
        <v>33.34</v>
      </c>
      <c r="K617" s="81" t="n">
        <v>0.3332561976681295</v>
      </c>
      <c r="L617" s="75" t="n">
        <v>38.59</v>
      </c>
      <c r="M617" s="81" t="n">
        <v>0.3858814988322478</v>
      </c>
      <c r="N617" s="78" t="n">
        <v>38.5</v>
      </c>
      <c r="O617" s="81" t="n">
        <v>0.3849815419808639</v>
      </c>
      <c r="P617" s="76">
        <f>C617-G617</f>
        <v/>
      </c>
      <c r="Q617" s="76">
        <f>E617-C617</f>
        <v/>
      </c>
      <c r="R617" s="76">
        <f>C617-M617</f>
        <v/>
      </c>
      <c r="S617" s="76">
        <f>C617-O617</f>
        <v/>
      </c>
      <c r="T617" s="76">
        <f>E617-O617</f>
        <v/>
      </c>
      <c r="U617" s="76">
        <f>G617-O617</f>
        <v/>
      </c>
      <c r="V617" s="76">
        <f>G617-K617</f>
        <v/>
      </c>
      <c r="W617" s="76">
        <f>C617-K617</f>
        <v/>
      </c>
      <c r="X617" s="76">
        <f>I617-G617</f>
        <v/>
      </c>
      <c r="Y617" s="77">
        <f>G617-M617</f>
        <v/>
      </c>
    </row>
    <row r="618">
      <c r="A618" s="74" t="n">
        <v>44399</v>
      </c>
      <c r="B618" s="75" t="n">
        <v>37.2</v>
      </c>
      <c r="C618" s="81" t="n">
        <v>0.3718675540218553</v>
      </c>
      <c r="D618" s="75" t="n">
        <v>40.6</v>
      </c>
      <c r="E618" s="85" t="n">
        <v>0.4058554487442829</v>
      </c>
      <c r="F618" s="75" t="n">
        <v>36.3</v>
      </c>
      <c r="G618" s="81" t="n">
        <v>0.3629353676742498</v>
      </c>
      <c r="H618" s="78" t="n">
        <v>38.58</v>
      </c>
      <c r="I618" s="81" t="n">
        <v>0.3857828247372548</v>
      </c>
      <c r="J618" s="78" t="n">
        <v>33.3</v>
      </c>
      <c r="K618" s="81" t="n">
        <v>0.3328666253590171</v>
      </c>
      <c r="L618" s="75" t="n">
        <v>38.55</v>
      </c>
      <c r="M618" s="81" t="n">
        <v>0.3854828380928246</v>
      </c>
      <c r="N618" s="78" t="n">
        <v>38.21</v>
      </c>
      <c r="O618" s="81" t="n">
        <v>0.3820829894559489</v>
      </c>
      <c r="P618" s="76">
        <f>C618-G618</f>
        <v/>
      </c>
      <c r="Q618" s="76">
        <f>E618-C618</f>
        <v/>
      </c>
      <c r="R618" s="76">
        <f>C618-M618</f>
        <v/>
      </c>
      <c r="S618" s="76">
        <f>C618-O618</f>
        <v/>
      </c>
      <c r="T618" s="76">
        <f>E618-O618</f>
        <v/>
      </c>
      <c r="U618" s="76">
        <f>G618-O618</f>
        <v/>
      </c>
      <c r="V618" s="76">
        <f>G618-K618</f>
        <v/>
      </c>
      <c r="W618" s="76">
        <f>C618-K618</f>
        <v/>
      </c>
      <c r="X618" s="76">
        <f>I618-G618</f>
        <v/>
      </c>
      <c r="Y618" s="77">
        <f>G618-M618</f>
        <v/>
      </c>
    </row>
    <row r="619">
      <c r="A619" s="74" t="n">
        <v>44398</v>
      </c>
      <c r="B619" s="75" t="n">
        <v>37.2</v>
      </c>
      <c r="C619" s="81" t="n">
        <v>0.3718777388255916</v>
      </c>
      <c r="D619" s="75" t="n">
        <v>40.05</v>
      </c>
      <c r="E619" s="85" t="n">
        <v>0.4003683720420683</v>
      </c>
      <c r="F619" s="75" t="n">
        <v>36.32</v>
      </c>
      <c r="G619" s="81" t="n">
        <v>0.3631403057031721</v>
      </c>
      <c r="H619" s="78" t="n">
        <v>38.39</v>
      </c>
      <c r="I619" s="81" t="n">
        <v>0.3838842239360026</v>
      </c>
      <c r="J619" s="78" t="n">
        <v>33.26</v>
      </c>
      <c r="K619" s="81" t="n">
        <v>0.3324770290440522</v>
      </c>
      <c r="L619" s="75" t="n">
        <v>38.15</v>
      </c>
      <c r="M619" s="81" t="n">
        <v>0.3814843225620865</v>
      </c>
      <c r="N619" s="78" t="n">
        <v>37.85</v>
      </c>
      <c r="O619" s="81" t="n">
        <v>0.3784844458446913</v>
      </c>
      <c r="P619" s="76">
        <f>C619-G619</f>
        <v/>
      </c>
      <c r="Q619" s="76">
        <f>E619-C619</f>
        <v/>
      </c>
      <c r="R619" s="76">
        <f>C619-M619</f>
        <v/>
      </c>
      <c r="S619" s="76">
        <f>C619-O619</f>
        <v/>
      </c>
      <c r="T619" s="76">
        <f>E619-O619</f>
        <v/>
      </c>
      <c r="U619" s="76">
        <f>G619-O619</f>
        <v/>
      </c>
      <c r="V619" s="76">
        <f>G619-K619</f>
        <v/>
      </c>
      <c r="W619" s="76">
        <f>C619-K619</f>
        <v/>
      </c>
      <c r="X619" s="76">
        <f>I619-G619</f>
        <v/>
      </c>
      <c r="Y619" s="77">
        <f>G619-M619</f>
        <v/>
      </c>
    </row>
    <row r="620">
      <c r="A620" s="74" t="n">
        <v>44397</v>
      </c>
      <c r="B620" s="75" t="n">
        <v>37</v>
      </c>
      <c r="C620" s="81" t="n">
        <v>0.3698885267453644</v>
      </c>
      <c r="D620" s="75" t="n">
        <v>40.9</v>
      </c>
      <c r="E620" s="85" t="n">
        <v>0.4088767768617677</v>
      </c>
      <c r="F620" s="75" t="n">
        <v>36.19</v>
      </c>
      <c r="G620" s="81" t="n">
        <v>0.3618454753393324</v>
      </c>
      <c r="H620" s="78" t="n">
        <v>38.23</v>
      </c>
      <c r="I620" s="81" t="n">
        <v>0.382285598830181</v>
      </c>
      <c r="J620" s="78" t="n">
        <v>33.12</v>
      </c>
      <c r="K620" s="81" t="n">
        <v>0.3310877476472018</v>
      </c>
      <c r="L620" s="75" t="n">
        <v>38.2</v>
      </c>
      <c r="M620" s="81" t="n">
        <v>0.3819856101311253</v>
      </c>
      <c r="N620" s="78" t="n">
        <v>37.6</v>
      </c>
      <c r="O620" s="81" t="n">
        <v>0.3759858361500081</v>
      </c>
      <c r="P620" s="76">
        <f>C620-G620</f>
        <v/>
      </c>
      <c r="Q620" s="76">
        <f>E620-C620</f>
        <v/>
      </c>
      <c r="R620" s="76">
        <f>C620-M620</f>
        <v/>
      </c>
      <c r="S620" s="76">
        <f>C620-O620</f>
        <v/>
      </c>
      <c r="T620" s="76">
        <f>E620-O620</f>
        <v/>
      </c>
      <c r="U620" s="76">
        <f>G620-O620</f>
        <v/>
      </c>
      <c r="V620" s="76">
        <f>G620-K620</f>
        <v/>
      </c>
      <c r="W620" s="76">
        <f>C620-K620</f>
        <v/>
      </c>
      <c r="X620" s="76">
        <f>I620-G620</f>
        <v/>
      </c>
      <c r="Y620" s="77">
        <f>G620-M620</f>
        <v/>
      </c>
    </row>
    <row r="621">
      <c r="A621" s="74" t="n">
        <v>44396</v>
      </c>
      <c r="B621" s="75" t="n">
        <v>36.6</v>
      </c>
      <c r="C621" s="81" t="n">
        <v>0.3658997534921939</v>
      </c>
      <c r="D621" s="75" t="n">
        <v>39.9</v>
      </c>
      <c r="E621" s="85" t="n">
        <v>0.3988907148726376</v>
      </c>
      <c r="F621" s="75" t="n">
        <v>35.84</v>
      </c>
      <c r="G621" s="81" t="n">
        <v>0.3583509108341323</v>
      </c>
      <c r="H621" s="78" t="n">
        <v>38.03</v>
      </c>
      <c r="I621" s="81" t="n">
        <v>0.3802869764734085</v>
      </c>
      <c r="J621" s="78" t="n">
        <v>32.94</v>
      </c>
      <c r="K621" s="81" t="n">
        <v>0.3292985038857886</v>
      </c>
      <c r="L621" s="75" t="n">
        <v>37.65</v>
      </c>
      <c r="M621" s="81" t="n">
        <v>0.3764871066059381</v>
      </c>
      <c r="N621" s="78" t="n">
        <v>36.6</v>
      </c>
      <c r="O621" s="81" t="n">
        <v>0.365987466182665</v>
      </c>
      <c r="P621" s="76">
        <f>C621-G621</f>
        <v/>
      </c>
      <c r="Q621" s="76">
        <f>E621-C621</f>
        <v/>
      </c>
      <c r="R621" s="76">
        <f>C621-M621</f>
        <v/>
      </c>
      <c r="S621" s="76">
        <f>C621-O621</f>
        <v/>
      </c>
      <c r="T621" s="76">
        <f>E621-O621</f>
        <v/>
      </c>
      <c r="U621" s="76">
        <f>G621-O621</f>
        <v/>
      </c>
      <c r="V621" s="76">
        <f>G621-K621</f>
        <v/>
      </c>
      <c r="W621" s="76">
        <f>C621-K621</f>
        <v/>
      </c>
      <c r="X621" s="76">
        <f>I621-G621</f>
        <v/>
      </c>
      <c r="Y621" s="77">
        <f>G621-M621</f>
        <v/>
      </c>
    </row>
    <row r="622">
      <c r="A622" s="74" t="n">
        <v>44393</v>
      </c>
      <c r="B622" s="75" t="n">
        <v>36.4</v>
      </c>
      <c r="C622" s="81" t="n">
        <v>0.3639302051661325</v>
      </c>
      <c r="D622" s="75" t="n">
        <v>39.71</v>
      </c>
      <c r="E622" s="85" t="n">
        <v>0.3970238584381078</v>
      </c>
      <c r="F622" s="75" t="n">
        <v>35.57</v>
      </c>
      <c r="G622" s="81" t="n">
        <v>0.3556658950511595</v>
      </c>
      <c r="H622" s="78" t="n">
        <v>37.79</v>
      </c>
      <c r="I622" s="81" t="n">
        <v>0.3778909409705932</v>
      </c>
      <c r="J622" s="78" t="n">
        <v>32.65</v>
      </c>
      <c r="K622" s="81" t="n">
        <v>0.3264295717019958</v>
      </c>
      <c r="L622" s="75" t="n">
        <v>37.2</v>
      </c>
      <c r="M622" s="81" t="n">
        <v>0.3719910824055588</v>
      </c>
      <c r="N622" s="78" t="n">
        <v>36.75</v>
      </c>
      <c r="O622" s="81" t="n">
        <v>0.3674911902796851</v>
      </c>
      <c r="P622" s="76">
        <f>C622-G622</f>
        <v/>
      </c>
      <c r="Q622" s="76">
        <f>E622-C622</f>
        <v/>
      </c>
      <c r="R622" s="76">
        <f>C622-M622</f>
        <v/>
      </c>
      <c r="S622" s="76">
        <f>C622-O622</f>
        <v/>
      </c>
      <c r="T622" s="76">
        <f>E622-O622</f>
        <v/>
      </c>
      <c r="U622" s="76">
        <f>G622-O622</f>
        <v/>
      </c>
      <c r="V622" s="76">
        <f>G622-K622</f>
        <v/>
      </c>
      <c r="W622" s="76">
        <f>C622-K622</f>
        <v/>
      </c>
      <c r="X622" s="76">
        <f>I622-G622</f>
        <v/>
      </c>
      <c r="Y622" s="77">
        <f>G622-M622</f>
        <v/>
      </c>
    </row>
    <row r="623">
      <c r="A623" s="74" t="n">
        <v>44392</v>
      </c>
      <c r="B623" s="75" t="n">
        <v>36.37</v>
      </c>
      <c r="C623" s="81" t="n">
        <v>0.3636402235249</v>
      </c>
      <c r="D623" s="75" t="n">
        <v>39.5</v>
      </c>
      <c r="E623" s="85" t="n">
        <v>0.3949350791650688</v>
      </c>
      <c r="F623" s="75" t="n">
        <v>35.29</v>
      </c>
      <c r="G623" s="81" t="n">
        <v>0.352870996904364</v>
      </c>
      <c r="H623" s="78" t="n">
        <v>37.55</v>
      </c>
      <c r="I623" s="81" t="n">
        <v>0.375492284405115</v>
      </c>
      <c r="J623" s="78" t="n">
        <v>32.72</v>
      </c>
      <c r="K623" s="81" t="n">
        <v>0.3271395015990193</v>
      </c>
      <c r="L623" s="75" t="n">
        <v>37</v>
      </c>
      <c r="M623" s="81" t="n">
        <v>0.3699923974164914</v>
      </c>
      <c r="N623" s="78" t="n">
        <v>36.35</v>
      </c>
      <c r="O623" s="81" t="n">
        <v>0.3634925309753909</v>
      </c>
      <c r="P623" s="76">
        <f>C623-G623</f>
        <v/>
      </c>
      <c r="Q623" s="76">
        <f>E623-C623</f>
        <v/>
      </c>
      <c r="R623" s="76">
        <f>C623-M623</f>
        <v/>
      </c>
      <c r="S623" s="76">
        <f>C623-O623</f>
        <v/>
      </c>
      <c r="T623" s="76">
        <f>E623-O623</f>
        <v/>
      </c>
      <c r="U623" s="76">
        <f>G623-O623</f>
        <v/>
      </c>
      <c r="V623" s="76">
        <f>G623-K623</f>
        <v/>
      </c>
      <c r="W623" s="76">
        <f>C623-K623</f>
        <v/>
      </c>
      <c r="X623" s="76">
        <f>I623-G623</f>
        <v/>
      </c>
      <c r="Y623" s="77">
        <f>G623-M623</f>
        <v/>
      </c>
    </row>
    <row r="624">
      <c r="A624" s="74" t="n">
        <v>44391</v>
      </c>
      <c r="B624" s="75" t="n">
        <v>36.4</v>
      </c>
      <c r="C624" s="81" t="n">
        <v>0.3639501438159156</v>
      </c>
      <c r="D624" s="75" t="n">
        <v>39.5</v>
      </c>
      <c r="E624" s="85" t="n">
        <v>0.3949458978222161</v>
      </c>
      <c r="F624" s="75" t="n">
        <v>35.09</v>
      </c>
      <c r="G624" s="81" t="n">
        <v>0.3508759673994932</v>
      </c>
      <c r="H624" s="78" t="n">
        <v>37.7</v>
      </c>
      <c r="I624" s="81" t="n">
        <v>0.3769935446310851</v>
      </c>
      <c r="J624" s="78" t="n">
        <v>32.6</v>
      </c>
      <c r="K624" s="81" t="n">
        <v>0.3259497680152031</v>
      </c>
      <c r="L624" s="75" t="n">
        <v>36.82</v>
      </c>
      <c r="M624" s="81" t="n">
        <v>0.3681936953134364</v>
      </c>
      <c r="N624" s="78" t="n">
        <v>36.28</v>
      </c>
      <c r="O624" s="81" t="n">
        <v>0.3627937877776066</v>
      </c>
      <c r="P624" s="76">
        <f>C624-G624</f>
        <v/>
      </c>
      <c r="Q624" s="76">
        <f>E624-C624</f>
        <v/>
      </c>
      <c r="R624" s="76">
        <f>C624-M624</f>
        <v/>
      </c>
      <c r="S624" s="76">
        <f>C624-O624</f>
        <v/>
      </c>
      <c r="T624" s="76">
        <f>E624-O624</f>
        <v/>
      </c>
      <c r="U624" s="76">
        <f>G624-O624</f>
        <v/>
      </c>
      <c r="V624" s="76">
        <f>G624-K624</f>
        <v/>
      </c>
      <c r="W624" s="76">
        <f>C624-K624</f>
        <v/>
      </c>
      <c r="X624" s="76">
        <f>I624-G624</f>
        <v/>
      </c>
      <c r="Y624" s="77">
        <f>G624-M624</f>
        <v/>
      </c>
    </row>
    <row r="625">
      <c r="A625" s="74" t="n">
        <v>44390</v>
      </c>
      <c r="B625" s="75" t="n">
        <v>36.05</v>
      </c>
      <c r="C625" s="81" t="n">
        <v>0.3604604974797282</v>
      </c>
      <c r="D625" s="75" t="n">
        <v>39.31</v>
      </c>
      <c r="E625" s="85" t="n">
        <v>0.3930569252684638</v>
      </c>
      <c r="F625" s="75" t="n">
        <v>34.75</v>
      </c>
      <c r="G625" s="81" t="n">
        <v>0.3474809599474001</v>
      </c>
      <c r="H625" s="78" t="n">
        <v>37.41</v>
      </c>
      <c r="I625" s="81" t="n">
        <v>0.3740948754126656</v>
      </c>
      <c r="J625" s="78" t="n">
        <v>32.75</v>
      </c>
      <c r="K625" s="81" t="n">
        <v>0.3274596282650084</v>
      </c>
      <c r="L625" s="75" t="n">
        <v>36.5</v>
      </c>
      <c r="M625" s="81" t="n">
        <v>0.3649950000684922</v>
      </c>
      <c r="N625" s="78" t="n">
        <v>36</v>
      </c>
      <c r="O625" s="81" t="n">
        <v>0.3599950685607046</v>
      </c>
      <c r="P625" s="76">
        <f>C625-G625</f>
        <v/>
      </c>
      <c r="Q625" s="76">
        <f>E625-C625</f>
        <v/>
      </c>
      <c r="R625" s="76">
        <f>C625-M625</f>
        <v/>
      </c>
      <c r="S625" s="76">
        <f>C625-O625</f>
        <v/>
      </c>
      <c r="T625" s="76">
        <f>E625-O625</f>
        <v/>
      </c>
      <c r="U625" s="76">
        <f>G625-O625</f>
        <v/>
      </c>
      <c r="V625" s="76">
        <f>G625-K625</f>
        <v/>
      </c>
      <c r="W625" s="76">
        <f>C625-K625</f>
        <v/>
      </c>
      <c r="X625" s="76">
        <f>I625-G625</f>
        <v/>
      </c>
      <c r="Y625" s="77">
        <f>G625-M625</f>
        <v/>
      </c>
    </row>
    <row r="626">
      <c r="A626" s="74" t="n">
        <v>44389</v>
      </c>
      <c r="B626" s="75" t="n">
        <v>35.8</v>
      </c>
      <c r="C626" s="81" t="n">
        <v>0.357970577760732</v>
      </c>
      <c r="D626" s="75" t="n">
        <v>39.15</v>
      </c>
      <c r="E626" s="85" t="n">
        <v>0.3914678245623647</v>
      </c>
      <c r="F626" s="75" t="n">
        <v>34.29</v>
      </c>
      <c r="G626" s="81" t="n">
        <v>0.3428859087982686</v>
      </c>
      <c r="H626" s="78" t="n">
        <v>37.1</v>
      </c>
      <c r="I626" s="81" t="n">
        <v>0.3709961883953247</v>
      </c>
      <c r="J626" s="78" t="n">
        <v>31.9</v>
      </c>
      <c r="K626" s="81" t="n">
        <v>0.3189705061518284</v>
      </c>
      <c r="L626" s="75" t="n">
        <v>35.96</v>
      </c>
      <c r="M626" s="81" t="n">
        <v>0.3595963055174091</v>
      </c>
      <c r="N626" s="78" t="n">
        <v>35.25</v>
      </c>
      <c r="O626" s="81" t="n">
        <v>0.3524963784618651</v>
      </c>
      <c r="P626" s="76">
        <f>C626-G626</f>
        <v/>
      </c>
      <c r="Q626" s="76">
        <f>E626-C626</f>
        <v/>
      </c>
      <c r="R626" s="76">
        <f>C626-M626</f>
        <v/>
      </c>
      <c r="S626" s="76">
        <f>C626-O626</f>
        <v/>
      </c>
      <c r="T626" s="76">
        <f>E626-O626</f>
        <v/>
      </c>
      <c r="U626" s="76">
        <f>G626-O626</f>
        <v/>
      </c>
      <c r="V626" s="76">
        <f>G626-K626</f>
        <v/>
      </c>
      <c r="W626" s="76">
        <f>C626-K626</f>
        <v/>
      </c>
      <c r="X626" s="76">
        <f>I626-G626</f>
        <v/>
      </c>
      <c r="Y626" s="77">
        <f>G626-M626</f>
        <v/>
      </c>
    </row>
    <row r="627">
      <c r="A627" s="51" t="n">
        <v>44385</v>
      </c>
      <c r="B627" s="52" t="n">
        <v>35.54</v>
      </c>
      <c r="C627" s="82" t="n">
        <v>0.3524165285663832</v>
      </c>
      <c r="D627" s="52" t="n">
        <v>39.04</v>
      </c>
      <c r="E627" s="86" t="n">
        <v>0.3871227145535059</v>
      </c>
      <c r="F627" s="52" t="n">
        <v>33.86</v>
      </c>
      <c r="G627" s="82" t="n">
        <v>0.3371727891527643</v>
      </c>
      <c r="H627" s="54" t="n">
        <v>36.85</v>
      </c>
      <c r="I627" s="82" t="n">
        <v>0.3681104584532122</v>
      </c>
      <c r="J627" s="54" t="n">
        <v>31.5</v>
      </c>
      <c r="K627" s="82" t="n">
        <v>0.3120282514816084</v>
      </c>
      <c r="L627" s="52" t="n">
        <v>35.66</v>
      </c>
      <c r="M627" s="82" t="n">
        <v>0.3562230379495671</v>
      </c>
      <c r="N627" s="54" t="n">
        <v>35.05</v>
      </c>
      <c r="O627" s="82" t="n">
        <v>0.3501294862628246</v>
      </c>
      <c r="P627" s="55">
        <f>C627-G627</f>
        <v/>
      </c>
      <c r="Q627" s="55">
        <f>E627-C627</f>
        <v/>
      </c>
      <c r="R627" s="55">
        <f>C627-M627</f>
        <v/>
      </c>
      <c r="S627" s="53">
        <f>C627-O627</f>
        <v/>
      </c>
      <c r="T627" s="55">
        <f>E627-O627</f>
        <v/>
      </c>
      <c r="U627" s="55">
        <f>G627-O627</f>
        <v/>
      </c>
      <c r="V627" s="55">
        <f>G627-K627</f>
        <v/>
      </c>
      <c r="W627" s="55">
        <f>C627-K627</f>
        <v/>
      </c>
      <c r="X627" s="64">
        <f>I627-G627</f>
        <v/>
      </c>
      <c r="Y627" s="72">
        <f>G627-M627</f>
        <v/>
      </c>
    </row>
    <row r="628">
      <c r="A628" s="51" t="n">
        <v>44384</v>
      </c>
      <c r="B628" s="52" t="n">
        <v>35.6</v>
      </c>
      <c r="C628" s="82" t="n">
        <v>0.3530210823733971</v>
      </c>
      <c r="D628" s="52" t="n">
        <v>38.9</v>
      </c>
      <c r="E628" s="86" t="n">
        <v>0.3857449467507064</v>
      </c>
      <c r="F628" s="52" t="n">
        <v>33.76</v>
      </c>
      <c r="G628" s="82" t="n">
        <v>0.3361815900038195</v>
      </c>
      <c r="H628" s="54" t="n">
        <v>37.01</v>
      </c>
      <c r="I628" s="82" t="n">
        <v>0.3697100318841769</v>
      </c>
      <c r="J628" s="54" t="n">
        <v>31.26</v>
      </c>
      <c r="K628" s="82" t="n">
        <v>0.3096603476585293</v>
      </c>
      <c r="L628" s="52" t="n">
        <v>35.7</v>
      </c>
      <c r="M628" s="82" t="n">
        <v>0.3566238351328052</v>
      </c>
      <c r="N628" s="54" t="n">
        <v>34.7</v>
      </c>
      <c r="O628" s="82" t="n">
        <v>0.346634371963819</v>
      </c>
      <c r="P628" s="55">
        <f>C628-G628</f>
        <v/>
      </c>
      <c r="Q628" s="55">
        <f>E628-C628</f>
        <v/>
      </c>
      <c r="R628" s="55">
        <f>C628-M628</f>
        <v/>
      </c>
      <c r="S628" s="53">
        <f>C628-O628</f>
        <v/>
      </c>
      <c r="T628" s="55">
        <f>E628-O628</f>
        <v/>
      </c>
      <c r="U628" s="55">
        <f>G628-O628</f>
        <v/>
      </c>
      <c r="V628" s="55">
        <f>G628-K628</f>
        <v/>
      </c>
      <c r="W628" s="55">
        <f>C628-K628</f>
        <v/>
      </c>
      <c r="X628" s="64">
        <f>I628-G628</f>
        <v/>
      </c>
      <c r="Y628" s="72">
        <f>G628-M628</f>
        <v/>
      </c>
    </row>
    <row r="629">
      <c r="A629" s="51" t="n">
        <v>44383</v>
      </c>
      <c r="B629" s="52" t="n">
        <v>36.3</v>
      </c>
      <c r="C629" s="82" t="n">
        <v>0.3599722878800228</v>
      </c>
      <c r="D629" s="52" t="n">
        <v>39.8</v>
      </c>
      <c r="E629" s="86" t="n">
        <v>0.3946803597141847</v>
      </c>
      <c r="F629" s="52" t="n">
        <v>33.77</v>
      </c>
      <c r="G629" s="82" t="n">
        <v>0.3362857571582523</v>
      </c>
      <c r="H629" s="54" t="n">
        <v>37.02</v>
      </c>
      <c r="I629" s="82" t="n">
        <v>0.3698111916580855</v>
      </c>
      <c r="J629" s="54" t="n">
        <v>31.08</v>
      </c>
      <c r="K629" s="82" t="n">
        <v>0.3078866750575886</v>
      </c>
      <c r="L629" s="52" t="n">
        <v>35.4</v>
      </c>
      <c r="M629" s="82" t="n">
        <v>0.3536282059615404</v>
      </c>
      <c r="N629" s="54" t="n">
        <v>34.6</v>
      </c>
      <c r="O629" s="82" t="n">
        <v>0.3456366080867034</v>
      </c>
      <c r="P629" s="55">
        <f>C629-G629</f>
        <v/>
      </c>
      <c r="Q629" s="55">
        <f>E629-C629</f>
        <v/>
      </c>
      <c r="R629" s="55">
        <f>C629-M629</f>
        <v/>
      </c>
      <c r="S629" s="53">
        <f>C629-O629</f>
        <v/>
      </c>
      <c r="T629" s="55">
        <f>E629-O629</f>
        <v/>
      </c>
      <c r="U629" s="55">
        <f>G629-O629</f>
        <v/>
      </c>
      <c r="V629" s="55">
        <f>G629-K629</f>
        <v/>
      </c>
      <c r="W629" s="55">
        <f>C629-K629</f>
        <v/>
      </c>
      <c r="X629" s="64">
        <f>I629-G629</f>
        <v/>
      </c>
      <c r="Y629" s="72">
        <f>G629-M629</f>
        <v/>
      </c>
    </row>
    <row r="630">
      <c r="A630" s="51" t="n">
        <v>44382</v>
      </c>
      <c r="B630" s="52" t="n">
        <v>36.4</v>
      </c>
      <c r="C630" s="82" t="n">
        <v>0.3609737542791936</v>
      </c>
      <c r="D630" s="52" t="n">
        <v>39.55</v>
      </c>
      <c r="E630" s="86" t="n">
        <v>0.3922118676302777</v>
      </c>
      <c r="F630" s="52" t="n">
        <v>33.8</v>
      </c>
      <c r="G630" s="82" t="n">
        <v>0.3365890922980384</v>
      </c>
      <c r="H630" s="54" t="n">
        <v>37.45</v>
      </c>
      <c r="I630" s="82" t="n">
        <v>0.3741079553618469</v>
      </c>
      <c r="J630" s="54" t="n">
        <v>31.5</v>
      </c>
      <c r="K630" s="82" t="n">
        <v>0.3120568338343161</v>
      </c>
      <c r="L630" s="52" t="n">
        <v>35.66</v>
      </c>
      <c r="M630" s="82" t="n">
        <v>0.3562266939440175</v>
      </c>
      <c r="N630" s="54" t="n">
        <v>34.9</v>
      </c>
      <c r="O630" s="82" t="n">
        <v>0.3486346499900789</v>
      </c>
      <c r="P630" s="55">
        <f>C630-G630</f>
        <v/>
      </c>
      <c r="Q630" s="55">
        <f>E630-C630</f>
        <v/>
      </c>
      <c r="R630" s="55">
        <f>C630-M630</f>
        <v/>
      </c>
      <c r="S630" s="53">
        <f>C630-O630</f>
        <v/>
      </c>
      <c r="T630" s="55">
        <f>E630-O630</f>
        <v/>
      </c>
      <c r="U630" s="55">
        <f>G630-O630</f>
        <v/>
      </c>
      <c r="V630" s="55">
        <f>G630-K630</f>
        <v/>
      </c>
      <c r="W630" s="55">
        <f>C630-K630</f>
        <v/>
      </c>
      <c r="X630" s="64">
        <f>I630-G630</f>
        <v/>
      </c>
      <c r="Y630" s="72">
        <f>G630-M630</f>
        <v/>
      </c>
    </row>
    <row r="631">
      <c r="A631" s="51" t="n">
        <v>44379</v>
      </c>
      <c r="B631" s="52" t="n">
        <v>36.5</v>
      </c>
      <c r="C631" s="82" t="n">
        <v>0.3619949460641795</v>
      </c>
      <c r="D631" s="52" t="n">
        <v>39.7</v>
      </c>
      <c r="E631" s="86" t="n">
        <v>0.3937314892807652</v>
      </c>
      <c r="F631" s="52" t="n">
        <v>34.06</v>
      </c>
      <c r="G631" s="82" t="n">
        <v>0.3391921203770651</v>
      </c>
      <c r="H631" s="54" t="n">
        <v>37.22</v>
      </c>
      <c r="I631" s="82" t="n">
        <v>0.371814179122349</v>
      </c>
      <c r="J631" s="54" t="n">
        <v>31.75</v>
      </c>
      <c r="K631" s="82" t="n">
        <v>0.3145622898478931</v>
      </c>
      <c r="L631" s="52" t="n">
        <v>35.73</v>
      </c>
      <c r="M631" s="82" t="n">
        <v>0.3569296243966021</v>
      </c>
      <c r="N631" s="54" t="n">
        <v>34.75</v>
      </c>
      <c r="O631" s="82" t="n">
        <v>0.3471397830333592</v>
      </c>
      <c r="P631" s="55">
        <f>C631-G631</f>
        <v/>
      </c>
      <c r="Q631" s="55">
        <f>E631-C631</f>
        <v/>
      </c>
      <c r="R631" s="55">
        <f>C631-M631</f>
        <v/>
      </c>
      <c r="S631" s="53">
        <f>C631-O631</f>
        <v/>
      </c>
      <c r="T631" s="55">
        <f>E631-O631</f>
        <v/>
      </c>
      <c r="U631" s="55">
        <f>G631-O631</f>
        <v/>
      </c>
      <c r="V631" s="55">
        <f>G631-K631</f>
        <v/>
      </c>
      <c r="W631" s="55">
        <f>C631-K631</f>
        <v/>
      </c>
      <c r="X631" s="64">
        <f>I631-G631</f>
        <v/>
      </c>
      <c r="Y631" s="72">
        <f>G631-M631</f>
        <v/>
      </c>
    </row>
    <row r="632">
      <c r="A632" s="51" t="n">
        <v>44378</v>
      </c>
      <c r="B632" s="52" t="n">
        <v>36.25</v>
      </c>
      <c r="C632" s="82" t="n">
        <v>0.3595252975381772</v>
      </c>
      <c r="D632" s="52" t="n">
        <v>40</v>
      </c>
      <c r="E632" s="86" t="n">
        <v>0.396717569697299</v>
      </c>
      <c r="F632" s="52" t="n">
        <v>33.8</v>
      </c>
      <c r="G632" s="82" t="n">
        <v>0.336607459550899</v>
      </c>
      <c r="H632" s="54" t="n">
        <v>37.54</v>
      </c>
      <c r="I632" s="82" t="n">
        <v>0.3750121449733494</v>
      </c>
      <c r="J632" s="54" t="n">
        <v>31.35</v>
      </c>
      <c r="K632" s="82" t="n">
        <v>0.310608785347349</v>
      </c>
      <c r="L632" s="52" t="n">
        <v>35.25</v>
      </c>
      <c r="M632" s="82" t="n">
        <v>0.352135804749882</v>
      </c>
      <c r="N632" s="54" t="n">
        <v>34.35</v>
      </c>
      <c r="O632" s="82" t="n">
        <v>0.3431451033520126</v>
      </c>
      <c r="P632" s="55">
        <f>C632-G632</f>
        <v/>
      </c>
      <c r="Q632" s="55">
        <f>E632-C632</f>
        <v/>
      </c>
      <c r="R632" s="55">
        <f>C632-M632</f>
        <v/>
      </c>
      <c r="S632" s="53">
        <f>C632-O632</f>
        <v/>
      </c>
      <c r="T632" s="55">
        <f>E632-O632</f>
        <v/>
      </c>
      <c r="U632" s="55">
        <f>G632-O632</f>
        <v/>
      </c>
      <c r="V632" s="55">
        <f>G632-K632</f>
        <v/>
      </c>
      <c r="W632" s="55">
        <f>C632-K632</f>
        <v/>
      </c>
      <c r="X632" s="64">
        <f>I632-G632</f>
        <v/>
      </c>
      <c r="Y632" s="72">
        <f>G632-M632</f>
        <v/>
      </c>
    </row>
    <row r="633">
      <c r="A633" s="51" t="n">
        <v>44377</v>
      </c>
      <c r="B633" s="52" t="n">
        <v>36.36</v>
      </c>
      <c r="C633" s="82" t="n">
        <v>0.3606260699437515</v>
      </c>
      <c r="D633" s="52" t="n">
        <v>39.55</v>
      </c>
      <c r="E633" s="86" t="n">
        <v>0.3922651558381565</v>
      </c>
      <c r="F633" s="52" t="n">
        <v>33.93</v>
      </c>
      <c r="G633" s="82" t="n">
        <v>0.337906713414551</v>
      </c>
      <c r="H633" s="54" t="n">
        <v>37.59</v>
      </c>
      <c r="I633" s="82" t="n">
        <v>0.375512913058799</v>
      </c>
      <c r="J633" s="54" t="n">
        <v>31.3</v>
      </c>
      <c r="K633" s="82" t="n">
        <v>0.3101228669636829</v>
      </c>
      <c r="L633" s="52" t="n">
        <v>35.01</v>
      </c>
      <c r="M633" s="82" t="n">
        <v>0.3497394808775885</v>
      </c>
      <c r="N633" s="54" t="n">
        <v>33.9</v>
      </c>
      <c r="O633" s="82" t="n">
        <v>0.3386509112182305</v>
      </c>
      <c r="P633" s="55">
        <f>C633-G633</f>
        <v/>
      </c>
      <c r="Q633" s="55">
        <f>E633-C633</f>
        <v/>
      </c>
      <c r="R633" s="55">
        <f>C633-M633</f>
        <v/>
      </c>
      <c r="S633" s="53">
        <f>C633-O633</f>
        <v/>
      </c>
      <c r="T633" s="55">
        <f>E633-O633</f>
        <v/>
      </c>
      <c r="U633" s="55">
        <f>G633-O633</f>
        <v/>
      </c>
      <c r="V633" s="55">
        <f>G633-K633</f>
        <v/>
      </c>
      <c r="W633" s="55">
        <f>C633-K633</f>
        <v/>
      </c>
      <c r="X633" s="64">
        <f>I633-G633</f>
        <v/>
      </c>
      <c r="Y633" s="72">
        <f>G633-M633</f>
        <v/>
      </c>
    </row>
    <row r="634">
      <c r="A634" s="51" t="n">
        <v>44376</v>
      </c>
      <c r="B634" s="52" t="n">
        <v>36.72</v>
      </c>
      <c r="C634" s="82" t="n">
        <v>0.3642065217391304</v>
      </c>
      <c r="D634" s="52" t="n">
        <v>39.5</v>
      </c>
      <c r="E634" s="86" t="n">
        <v>0.3917798913043478</v>
      </c>
      <c r="F634" s="52" t="n">
        <v>34.15</v>
      </c>
      <c r="G634" s="82" t="n">
        <v>0.3401023192360164</v>
      </c>
      <c r="H634" s="54" t="n">
        <v>37.4</v>
      </c>
      <c r="I634" s="82" t="n">
        <v>0.373616147793363</v>
      </c>
      <c r="J634" s="54" t="n">
        <v>31.4</v>
      </c>
      <c r="K634" s="82" t="n">
        <v>0.3111231761112996</v>
      </c>
      <c r="L634" s="52" t="n">
        <v>35.35</v>
      </c>
      <c r="M634" s="82" t="n">
        <v>0.3531371878207321</v>
      </c>
      <c r="N634" s="54" t="n">
        <v>34.1</v>
      </c>
      <c r="O634" s="82" t="n">
        <v>0.3406500171057133</v>
      </c>
      <c r="P634" s="55">
        <f>C634-G634</f>
        <v/>
      </c>
      <c r="Q634" s="55">
        <f>E634-C634</f>
        <v/>
      </c>
      <c r="R634" s="55">
        <f>C634-M634</f>
        <v/>
      </c>
      <c r="S634" s="53">
        <f>C634-O634</f>
        <v/>
      </c>
      <c r="T634" s="55">
        <f>E634-O634</f>
        <v/>
      </c>
      <c r="U634" s="55">
        <f>G634-O634</f>
        <v/>
      </c>
      <c r="V634" s="55">
        <f>G634-K634</f>
        <v/>
      </c>
      <c r="W634" s="55">
        <f>C634-K634</f>
        <v/>
      </c>
      <c r="X634" s="64">
        <f>I634-G634</f>
        <v/>
      </c>
      <c r="Y634" s="72">
        <f>G634-M634</f>
        <v/>
      </c>
    </row>
    <row r="635">
      <c r="A635" s="51" t="n">
        <v>44375</v>
      </c>
      <c r="B635" s="52" t="n">
        <v>37.24</v>
      </c>
      <c r="C635" s="82" t="n">
        <v>0.3693741677762983</v>
      </c>
      <c r="D635" s="52" t="n">
        <v>40.5</v>
      </c>
      <c r="E635" s="86" t="n">
        <v>0.4017092855784125</v>
      </c>
      <c r="F635" s="52" t="n">
        <v>34.85</v>
      </c>
      <c r="G635" s="82" t="n">
        <v>0.3470784048895619</v>
      </c>
      <c r="H635" s="54" t="n">
        <v>37.53</v>
      </c>
      <c r="I635" s="82" t="n">
        <v>0.3749160961891762</v>
      </c>
      <c r="J635" s="54" t="n">
        <v>32</v>
      </c>
      <c r="K635" s="82" t="n">
        <v>0.3170778883644224</v>
      </c>
      <c r="L635" s="52" t="n">
        <v>36</v>
      </c>
      <c r="M635" s="82" t="n">
        <v>0.3596317469440539</v>
      </c>
      <c r="N635" s="54" t="n">
        <v>34.5</v>
      </c>
      <c r="O635" s="82" t="n">
        <v>0.3446470908213849</v>
      </c>
      <c r="P635" s="55">
        <f>C635-G635</f>
        <v/>
      </c>
      <c r="Q635" s="55">
        <f>E635-C635</f>
        <v/>
      </c>
      <c r="R635" s="55">
        <f>C635-M635</f>
        <v/>
      </c>
      <c r="S635" s="53">
        <f>C635-O635</f>
        <v/>
      </c>
      <c r="T635" s="55">
        <f>E635-O635</f>
        <v/>
      </c>
      <c r="U635" s="55">
        <f>G635-O635</f>
        <v/>
      </c>
      <c r="V635" s="55">
        <f>G635-K635</f>
        <v/>
      </c>
      <c r="W635" s="55">
        <f>C635-K635</f>
        <v/>
      </c>
      <c r="X635" s="64">
        <f>I635-G635</f>
        <v/>
      </c>
      <c r="Y635" s="72">
        <f>G635-M635</f>
        <v/>
      </c>
    </row>
    <row r="636">
      <c r="A636" s="51" t="n">
        <v>44372</v>
      </c>
      <c r="B636" s="52" t="n">
        <v>37.45</v>
      </c>
      <c r="C636" s="82" t="n">
        <v>0.3714873899336885</v>
      </c>
      <c r="D636" s="52" t="n">
        <v>40</v>
      </c>
      <c r="E636" s="86" t="n">
        <v>0.3967822589411892</v>
      </c>
      <c r="F636" s="52" t="n">
        <v>34.99</v>
      </c>
      <c r="G636" s="82" t="n">
        <v>0.3484869569962891</v>
      </c>
      <c r="H636" s="54" t="n">
        <v>37.51</v>
      </c>
      <c r="I636" s="82" t="n">
        <v>0.3747201467006048</v>
      </c>
      <c r="J636" s="54" t="n">
        <v>32.06</v>
      </c>
      <c r="K636" s="82" t="n">
        <v>0.3177015176607934</v>
      </c>
      <c r="L636" s="52" t="n">
        <v>36.2</v>
      </c>
      <c r="M636" s="82" t="n">
        <v>0.3616334127049293</v>
      </c>
      <c r="N636" s="54" t="n">
        <v>34.75</v>
      </c>
      <c r="O636" s="82" t="n">
        <v>0.3471480964501738</v>
      </c>
      <c r="P636" s="55">
        <f>C636-G636</f>
        <v/>
      </c>
      <c r="Q636" s="55">
        <f>E636-C636</f>
        <v/>
      </c>
      <c r="R636" s="55">
        <f>C636-M636</f>
        <v/>
      </c>
      <c r="S636" s="53">
        <f>C636-O636</f>
        <v/>
      </c>
      <c r="T636" s="55">
        <f>E636-O636</f>
        <v/>
      </c>
      <c r="U636" s="55">
        <f>G636-O636</f>
        <v/>
      </c>
      <c r="V636" s="55">
        <f>G636-K636</f>
        <v/>
      </c>
      <c r="W636" s="55">
        <f>C636-K636</f>
        <v/>
      </c>
      <c r="X636" s="64">
        <f>I636-G636</f>
        <v/>
      </c>
      <c r="Y636" s="72">
        <f>G636-M636</f>
        <v/>
      </c>
    </row>
    <row r="637">
      <c r="A637" s="51" t="n">
        <v>44371</v>
      </c>
      <c r="B637" s="52" t="n">
        <v>38.16</v>
      </c>
      <c r="C637" s="82" t="n">
        <v>0.378540562576437</v>
      </c>
      <c r="D637" s="52" t="n">
        <v>40.7</v>
      </c>
      <c r="E637" s="86" t="n">
        <v>0.4037369207772796</v>
      </c>
      <c r="F637" s="52" t="n">
        <v>36</v>
      </c>
      <c r="G637" s="82" t="n">
        <v>0.3585510607817723</v>
      </c>
      <c r="H637" s="54" t="n">
        <v>38.45</v>
      </c>
      <c r="I637" s="82" t="n">
        <v>0.3841119417027319</v>
      </c>
      <c r="J637" s="54" t="n">
        <v>32.95</v>
      </c>
      <c r="K637" s="82" t="n">
        <v>0.3265310278121872</v>
      </c>
      <c r="L637" s="52" t="n">
        <v>37.11</v>
      </c>
      <c r="M637" s="82" t="n">
        <v>0.3707254657110111</v>
      </c>
      <c r="N637" s="54" t="n">
        <v>35.75</v>
      </c>
      <c r="O637" s="82" t="n">
        <v>0.3571391915701603</v>
      </c>
      <c r="P637" s="55">
        <f>C637-G637</f>
        <v/>
      </c>
      <c r="Q637" s="55">
        <f>E637-C637</f>
        <v/>
      </c>
      <c r="R637" s="55">
        <f>C637-M637</f>
        <v/>
      </c>
      <c r="S637" s="53">
        <f>C637-O637</f>
        <v/>
      </c>
      <c r="T637" s="55">
        <f>E637-O637</f>
        <v/>
      </c>
      <c r="U637" s="55">
        <f>G637-O637</f>
        <v/>
      </c>
      <c r="V637" s="55">
        <f>G637-K637</f>
        <v/>
      </c>
      <c r="W637" s="55">
        <f>C637-K637</f>
        <v/>
      </c>
      <c r="X637" s="64">
        <f>I637-G637</f>
        <v/>
      </c>
      <c r="Y637" s="72">
        <f>G637-M637</f>
        <v/>
      </c>
    </row>
    <row r="638">
      <c r="A638" s="51" t="n">
        <v>44370</v>
      </c>
      <c r="B638" s="52" t="n">
        <v>38.55</v>
      </c>
      <c r="C638" s="82" t="n">
        <v>0.3824196879926074</v>
      </c>
      <c r="D638" s="52" t="n">
        <v>41.6</v>
      </c>
      <c r="E638" s="86" t="n">
        <v>0.4126759797793119</v>
      </c>
      <c r="F638" s="52" t="n">
        <v>36.54</v>
      </c>
      <c r="G638" s="82" t="n">
        <v>0.3639342920293612</v>
      </c>
      <c r="H638" s="54" t="n">
        <v>38.92</v>
      </c>
      <c r="I638" s="82" t="n">
        <v>0.3888085283994882</v>
      </c>
      <c r="J638" s="54" t="n">
        <v>33.3</v>
      </c>
      <c r="K638" s="82" t="n">
        <v>0.3300095708070023</v>
      </c>
      <c r="L638" s="52" t="n">
        <v>37.35</v>
      </c>
      <c r="M638" s="82" t="n">
        <v>0.3731243200339385</v>
      </c>
      <c r="N638" s="54" t="n">
        <v>36</v>
      </c>
      <c r="O638" s="82" t="n">
        <v>0.3596378988278925</v>
      </c>
      <c r="P638" s="55">
        <f>C638-G638</f>
        <v/>
      </c>
      <c r="Q638" s="55">
        <f>E638-C638</f>
        <v/>
      </c>
      <c r="R638" s="55">
        <f>C638-M638</f>
        <v/>
      </c>
      <c r="S638" s="53">
        <f>C638-O638</f>
        <v/>
      </c>
      <c r="T638" s="55">
        <f>E638-O638</f>
        <v/>
      </c>
      <c r="U638" s="55">
        <f>G638-O638</f>
        <v/>
      </c>
      <c r="V638" s="55">
        <f>G638-K638</f>
        <v/>
      </c>
      <c r="W638" s="55">
        <f>C638-K638</f>
        <v/>
      </c>
      <c r="X638" s="64">
        <f>I638-G638</f>
        <v/>
      </c>
      <c r="Y638" s="72">
        <f>G638-M638</f>
        <v/>
      </c>
    </row>
    <row r="639">
      <c r="A639" s="51" t="n">
        <v>44369</v>
      </c>
      <c r="B639" s="52" t="n">
        <v>38.6</v>
      </c>
      <c r="C639" s="82" t="n">
        <v>0.3829261000733835</v>
      </c>
      <c r="D639" s="52" t="n">
        <v>42.15</v>
      </c>
      <c r="E639" s="86" t="n">
        <v>0.4181433968417905</v>
      </c>
      <c r="F639" s="52" t="n">
        <v>36.65</v>
      </c>
      <c r="G639" s="82" t="n">
        <v>0.3650348600821361</v>
      </c>
      <c r="H639" s="54" t="n">
        <v>38.75</v>
      </c>
      <c r="I639" s="82" t="n">
        <v>0.3871115627127574</v>
      </c>
      <c r="J639" s="54" t="n">
        <v>33.35</v>
      </c>
      <c r="K639" s="82" t="n">
        <v>0.3305151763016865</v>
      </c>
      <c r="L639" s="52" t="n">
        <v>37.32</v>
      </c>
      <c r="M639" s="82" t="n">
        <v>0.3728258973016801</v>
      </c>
      <c r="N639" s="54" t="n">
        <v>36.2</v>
      </c>
      <c r="O639" s="82" t="n">
        <v>0.361637124392305</v>
      </c>
      <c r="P639" s="55">
        <f>C639-G639</f>
        <v/>
      </c>
      <c r="Q639" s="55">
        <f>E639-C639</f>
        <v/>
      </c>
      <c r="R639" s="55">
        <f>C639-M639</f>
        <v/>
      </c>
      <c r="S639" s="53">
        <f>C639-O639</f>
        <v/>
      </c>
      <c r="T639" s="55">
        <f>E639-O639</f>
        <v/>
      </c>
      <c r="U639" s="55">
        <f>G639-O639</f>
        <v/>
      </c>
      <c r="V639" s="55">
        <f>G639-K639</f>
        <v/>
      </c>
      <c r="W639" s="55">
        <f>C639-K639</f>
        <v/>
      </c>
      <c r="X639" s="64">
        <f>I639-G639</f>
        <v/>
      </c>
      <c r="Y639" s="72">
        <f>G639-M639</f>
        <v/>
      </c>
    </row>
    <row r="640">
      <c r="A640" s="51" t="n">
        <v>44365</v>
      </c>
      <c r="B640" s="52" t="n">
        <v>39.21</v>
      </c>
      <c r="C640" s="82" t="n">
        <v>0.3890198157057816</v>
      </c>
      <c r="D640" s="52" t="n">
        <v>43.2</v>
      </c>
      <c r="E640" s="86" t="n">
        <v>0.4286063769061405</v>
      </c>
      <c r="F640" s="52" t="n">
        <v>37.3</v>
      </c>
      <c r="G640" s="82" t="n">
        <v>0.3715291517144455</v>
      </c>
      <c r="H640" s="54" t="n">
        <v>39.71</v>
      </c>
      <c r="I640" s="82" t="n">
        <v>0.3967073683922419</v>
      </c>
      <c r="J640" s="54" t="n">
        <v>33.81</v>
      </c>
      <c r="K640" s="82" t="n">
        <v>0.3351149520877391</v>
      </c>
      <c r="L640" s="52" t="n">
        <v>37.9</v>
      </c>
      <c r="M640" s="82" t="n">
        <v>0.3786252647208755</v>
      </c>
      <c r="N640" s="54" t="n">
        <v>36.9</v>
      </c>
      <c r="O640" s="82" t="n">
        <v>0.3686351521952588</v>
      </c>
      <c r="P640" s="55">
        <f>C640-G640</f>
        <v/>
      </c>
      <c r="Q640" s="55">
        <f>E640-C640</f>
        <v/>
      </c>
      <c r="R640" s="55">
        <f>C640-M640</f>
        <v/>
      </c>
      <c r="S640" s="53">
        <f>C640-O640</f>
        <v/>
      </c>
      <c r="T640" s="55">
        <f>E640-O640</f>
        <v/>
      </c>
      <c r="U640" s="55">
        <f>G640-O640</f>
        <v/>
      </c>
      <c r="V640" s="55">
        <f>G640-K640</f>
        <v/>
      </c>
      <c r="W640" s="55">
        <f>C640-K640</f>
        <v/>
      </c>
      <c r="X640" s="64">
        <f>I640-G640</f>
        <v/>
      </c>
      <c r="Y640" s="72">
        <f>G640-M640</f>
        <v/>
      </c>
    </row>
    <row r="641">
      <c r="A641" s="51" t="n">
        <v>44364</v>
      </c>
      <c r="B641" s="52" t="n">
        <v>39.32</v>
      </c>
      <c r="C641" s="82" t="n">
        <v>0.3901217788409264</v>
      </c>
      <c r="D641" s="52" t="n">
        <v>43.1</v>
      </c>
      <c r="E641" s="86" t="n">
        <v>0.4276258562574753</v>
      </c>
      <c r="F641" s="52" t="n">
        <v>37.53</v>
      </c>
      <c r="G641" s="82" t="n">
        <v>0.3738251828403013</v>
      </c>
      <c r="H641" s="54" t="n">
        <v>39.68</v>
      </c>
      <c r="I641" s="82" t="n">
        <v>0.3964090212393256</v>
      </c>
      <c r="J641" s="54" t="n">
        <v>34.14</v>
      </c>
      <c r="K641" s="82" t="n">
        <v>0.3383961546817293</v>
      </c>
      <c r="L641" s="52" t="n">
        <v>37.98</v>
      </c>
      <c r="M641" s="82" t="n">
        <v>0.3794257718414714</v>
      </c>
      <c r="N641" s="54" t="n">
        <v>37</v>
      </c>
      <c r="O641" s="82" t="n">
        <v>0.3696354280709437</v>
      </c>
      <c r="P641" s="55">
        <f>C641-G641</f>
        <v/>
      </c>
      <c r="Q641" s="55">
        <f>E641-C641</f>
        <v/>
      </c>
      <c r="R641" s="55">
        <f>C641-M641</f>
        <v/>
      </c>
      <c r="S641" s="53">
        <f>C641-O641</f>
        <v/>
      </c>
      <c r="T641" s="55">
        <f>E641-O641</f>
        <v/>
      </c>
      <c r="U641" s="55">
        <f>G641-O641</f>
        <v/>
      </c>
      <c r="V641" s="55">
        <f>G641-K641</f>
        <v/>
      </c>
      <c r="W641" s="55">
        <f>C641-K641</f>
        <v/>
      </c>
      <c r="X641" s="64">
        <f>I641-G641</f>
        <v/>
      </c>
      <c r="Y641" s="72">
        <f>G641-M641</f>
        <v/>
      </c>
    </row>
    <row r="642">
      <c r="A642" s="51" t="n">
        <v>44363</v>
      </c>
      <c r="B642" s="52" t="n">
        <v>39.49</v>
      </c>
      <c r="C642" s="82" t="n">
        <v>0.3918191208850953</v>
      </c>
      <c r="D642" s="52" t="n">
        <v>43.5</v>
      </c>
      <c r="E642" s="86" t="n">
        <v>0.4316062739554734</v>
      </c>
      <c r="F642" s="52" t="n">
        <v>37.96</v>
      </c>
      <c r="G642" s="82" t="n">
        <v>0.3781134444035095</v>
      </c>
      <c r="H642" s="54" t="n">
        <v>40.08</v>
      </c>
      <c r="I642" s="82" t="n">
        <v>0.4004064498250007</v>
      </c>
      <c r="J642" s="54" t="n">
        <v>34.44</v>
      </c>
      <c r="K642" s="82" t="n">
        <v>0.3413801882661253</v>
      </c>
      <c r="L642" s="52" t="n">
        <v>38.54</v>
      </c>
      <c r="M642" s="82" t="n">
        <v>0.3850215712638605</v>
      </c>
      <c r="N642" s="54" t="n">
        <v>37.2</v>
      </c>
      <c r="O642" s="82" t="n">
        <v>0.3716347288794918</v>
      </c>
      <c r="P642" s="55">
        <f>C642-G642</f>
        <v/>
      </c>
      <c r="Q642" s="55">
        <f>E642-C642</f>
        <v/>
      </c>
      <c r="R642" s="55">
        <f>C642-M642</f>
        <v/>
      </c>
      <c r="S642" s="53">
        <f>C642-O642</f>
        <v/>
      </c>
      <c r="T642" s="55">
        <f>E642-O642</f>
        <v/>
      </c>
      <c r="U642" s="55">
        <f>G642-O642</f>
        <v/>
      </c>
      <c r="V642" s="55">
        <f>G642-K642</f>
        <v/>
      </c>
      <c r="W642" s="55">
        <f>C642-K642</f>
        <v/>
      </c>
      <c r="X642" s="64">
        <f>I642-G642</f>
        <v/>
      </c>
      <c r="Y642" s="72">
        <f>G642-M642</f>
        <v/>
      </c>
    </row>
    <row r="643">
      <c r="A643" s="51" t="n">
        <v>44362</v>
      </c>
      <c r="B643" s="52" t="n">
        <v>39.7</v>
      </c>
      <c r="C643" s="82" t="n">
        <v>0.3939134453324635</v>
      </c>
      <c r="D643" s="52" t="n">
        <v>44</v>
      </c>
      <c r="E643" s="86" t="n">
        <v>0.4365791333659544</v>
      </c>
      <c r="F643" s="52" t="n">
        <v>38.06</v>
      </c>
      <c r="G643" s="82" t="n">
        <v>0.3791147013072074</v>
      </c>
      <c r="H643" s="54" t="n">
        <v>40.33</v>
      </c>
      <c r="I643" s="82" t="n">
        <v>0.4029053735040337</v>
      </c>
      <c r="J643" s="54" t="n">
        <v>34.73</v>
      </c>
      <c r="K643" s="82" t="n">
        <v>0.3442652779946634</v>
      </c>
      <c r="L643" s="52" t="n">
        <v>38.25</v>
      </c>
      <c r="M643" s="82" t="n">
        <v>0.3821257261723107</v>
      </c>
      <c r="N643" s="54" t="n">
        <v>38.28</v>
      </c>
      <c r="O643" s="82" t="n">
        <v>0.3824254326242105</v>
      </c>
      <c r="P643" s="55">
        <f>C643-G643</f>
        <v/>
      </c>
      <c r="Q643" s="55">
        <f>E643-C643</f>
        <v/>
      </c>
      <c r="R643" s="55">
        <f>C643-M643</f>
        <v/>
      </c>
      <c r="S643" s="53">
        <f>C643-O643</f>
        <v/>
      </c>
      <c r="T643" s="55">
        <f>E643-O643</f>
        <v/>
      </c>
      <c r="U643" s="55">
        <f>G643-O643</f>
        <v/>
      </c>
      <c r="V643" s="55">
        <f>G643-K643</f>
        <v/>
      </c>
      <c r="W643" s="55">
        <f>C643-K643</f>
        <v/>
      </c>
      <c r="X643" s="64">
        <f>I643-G643</f>
        <v/>
      </c>
      <c r="Y643" s="72">
        <f>G643-M643</f>
        <v/>
      </c>
    </row>
    <row r="644">
      <c r="A644" s="51" t="n">
        <v>44361</v>
      </c>
      <c r="B644" s="52" t="n">
        <v>39.85</v>
      </c>
      <c r="C644" s="82" t="n">
        <v>0.3954125322821803</v>
      </c>
      <c r="D644" s="52" t="n">
        <v>45.25</v>
      </c>
      <c r="E644" s="86" t="n">
        <v>0.4489941552263151</v>
      </c>
      <c r="F644" s="52" t="n">
        <v>38.3</v>
      </c>
      <c r="G644" s="82" t="n">
        <v>0.3815105410384116</v>
      </c>
      <c r="H644" s="54" t="n">
        <v>40.62</v>
      </c>
      <c r="I644" s="82" t="n">
        <v>0.4058039242520143</v>
      </c>
      <c r="J644" s="54" t="n">
        <v>35.09</v>
      </c>
      <c r="K644" s="82" t="n">
        <v>0.347844448593689</v>
      </c>
      <c r="L644" s="52" t="n">
        <v>38.7</v>
      </c>
      <c r="M644" s="82" t="n">
        <v>0.3866226457053903</v>
      </c>
      <c r="N644" s="54" t="n">
        <v>38</v>
      </c>
      <c r="O644" s="82" t="n">
        <v>0.379629471235267</v>
      </c>
      <c r="P644" s="55">
        <f>C644-G644</f>
        <v/>
      </c>
      <c r="Q644" s="55">
        <f>E644-C644</f>
        <v/>
      </c>
      <c r="R644" s="55">
        <f>C644-M644</f>
        <v/>
      </c>
      <c r="S644" s="53">
        <f>C644-O644</f>
        <v/>
      </c>
      <c r="T644" s="55">
        <f>E644-O644</f>
        <v/>
      </c>
      <c r="U644" s="55">
        <f>G644-O644</f>
        <v/>
      </c>
      <c r="V644" s="55">
        <f>G644-K644</f>
        <v/>
      </c>
      <c r="W644" s="55">
        <f>C644-K644</f>
        <v/>
      </c>
      <c r="X644" s="64">
        <f>I644-G644</f>
        <v/>
      </c>
      <c r="Y644" s="72">
        <f>G644-M644</f>
        <v/>
      </c>
    </row>
    <row r="645">
      <c r="A645" s="51" t="n">
        <v>44358</v>
      </c>
      <c r="B645" s="52" t="n">
        <v>39.9</v>
      </c>
      <c r="C645" s="82" t="n">
        <v>0.3959409493774129</v>
      </c>
      <c r="D645" s="52" t="n">
        <v>44.9</v>
      </c>
      <c r="E645" s="86" t="n">
        <v>0.4455576097003969</v>
      </c>
      <c r="F645" s="52" t="n">
        <v>38.3</v>
      </c>
      <c r="G645" s="82" t="n">
        <v>0.3815261592205453</v>
      </c>
      <c r="H645" s="54" t="n">
        <v>40.6</v>
      </c>
      <c r="I645" s="82" t="n">
        <v>0.405608282412191</v>
      </c>
      <c r="J645" s="54" t="n">
        <v>35.15</v>
      </c>
      <c r="K645" s="82" t="n">
        <v>0.3484711650109663</v>
      </c>
      <c r="L645" s="52" t="n">
        <v>38.66</v>
      </c>
      <c r="M645" s="82" t="n">
        <v>0.386226999952101</v>
      </c>
      <c r="N645" s="54" t="n">
        <v>37.7</v>
      </c>
      <c r="O645" s="82" t="n">
        <v>0.3766362622398917</v>
      </c>
      <c r="P645" s="55">
        <f>C645-G645</f>
        <v/>
      </c>
      <c r="Q645" s="55">
        <f>E645-C645</f>
        <v/>
      </c>
      <c r="R645" s="55">
        <f>C645-M645</f>
        <v/>
      </c>
      <c r="S645" s="53">
        <f>C645-O645</f>
        <v/>
      </c>
      <c r="T645" s="55">
        <f>E645-O645</f>
        <v/>
      </c>
      <c r="U645" s="55">
        <f>G645-O645</f>
        <v/>
      </c>
      <c r="V645" s="55">
        <f>G645-K645</f>
        <v/>
      </c>
      <c r="W645" s="55">
        <f>C645-K645</f>
        <v/>
      </c>
      <c r="X645" s="64">
        <f>I645-G645</f>
        <v/>
      </c>
      <c r="Y645" s="72">
        <f>G645-M645</f>
        <v/>
      </c>
    </row>
    <row r="646">
      <c r="A646" s="51" t="n">
        <v>44357</v>
      </c>
      <c r="B646" s="52" t="n">
        <v>39.5</v>
      </c>
      <c r="C646" s="82" t="n">
        <v>0.3919822734564041</v>
      </c>
      <c r="D646" s="52" t="n">
        <v>44</v>
      </c>
      <c r="E646" s="86" t="n">
        <v>0.4366384818248552</v>
      </c>
      <c r="F646" s="52" t="n">
        <v>37.97</v>
      </c>
      <c r="G646" s="82" t="n">
        <v>0.3782440195958024</v>
      </c>
      <c r="H646" s="54" t="n">
        <v>40.46</v>
      </c>
      <c r="I646" s="82" t="n">
        <v>0.4042110161112081</v>
      </c>
      <c r="J646" s="54" t="n">
        <v>35.05</v>
      </c>
      <c r="K646" s="82" t="n">
        <v>0.3474903999266625</v>
      </c>
      <c r="L646" s="52" t="n">
        <v>38.33</v>
      </c>
      <c r="M646" s="82" t="n">
        <v>0.3829314940074791</v>
      </c>
      <c r="N646" s="54" t="n">
        <v>37</v>
      </c>
      <c r="O646" s="82" t="n">
        <v>0.3696442806751037</v>
      </c>
      <c r="P646" s="55">
        <f>C646-G646</f>
        <v/>
      </c>
      <c r="Q646" s="55">
        <f>E646-C646</f>
        <v/>
      </c>
      <c r="R646" s="55">
        <f>C646-M646</f>
        <v/>
      </c>
      <c r="S646" s="53">
        <f>C646-O646</f>
        <v/>
      </c>
      <c r="T646" s="55">
        <f>E646-O646</f>
        <v/>
      </c>
      <c r="U646" s="55">
        <f>G646-O646</f>
        <v/>
      </c>
      <c r="V646" s="55">
        <f>G646-K646</f>
        <v/>
      </c>
      <c r="W646" s="55">
        <f>C646-K646</f>
        <v/>
      </c>
      <c r="X646" s="64">
        <f>I646-G646</f>
        <v/>
      </c>
      <c r="Y646" s="72">
        <f>G646-M646</f>
        <v/>
      </c>
    </row>
    <row r="647">
      <c r="A647" s="51" t="n">
        <v>44356</v>
      </c>
      <c r="B647" s="52" t="n">
        <v>39.3</v>
      </c>
      <c r="C647" s="82" t="n">
        <v>0.3900081566068515</v>
      </c>
      <c r="D647" s="52" t="n">
        <v>44</v>
      </c>
      <c r="E647" s="86" t="n">
        <v>0.4366503534529635</v>
      </c>
      <c r="F647" s="52" t="n">
        <v>37.65</v>
      </c>
      <c r="G647" s="82" t="n">
        <v>0.3750614082969432</v>
      </c>
      <c r="H647" s="54" t="n">
        <v>40.47</v>
      </c>
      <c r="I647" s="82" t="n">
        <v>0.4043123032708362</v>
      </c>
      <c r="J647" s="54" t="n">
        <v>34.74</v>
      </c>
      <c r="K647" s="82" t="n">
        <v>0.3444275431210105</v>
      </c>
      <c r="L647" s="52" t="n">
        <v>38.15</v>
      </c>
      <c r="M647" s="82" t="n">
        <v>0.3811345285342822</v>
      </c>
      <c r="N647" s="54" t="n">
        <v>36.4</v>
      </c>
      <c r="O647" s="82" t="n">
        <v>0.363651293280416</v>
      </c>
      <c r="P647" s="55">
        <f>C647-G647</f>
        <v/>
      </c>
      <c r="Q647" s="55">
        <f>E647-C647</f>
        <v/>
      </c>
      <c r="R647" s="55">
        <f>C647-M647</f>
        <v/>
      </c>
      <c r="S647" s="53">
        <f>C647-O647</f>
        <v/>
      </c>
      <c r="T647" s="55">
        <f>E647-O647</f>
        <v/>
      </c>
      <c r="U647" s="55">
        <f>G647-O647</f>
        <v/>
      </c>
      <c r="V647" s="55">
        <f>G647-K647</f>
        <v/>
      </c>
      <c r="W647" s="55">
        <f>C647-K647</f>
        <v/>
      </c>
      <c r="X647" s="64">
        <f>I647-G647</f>
        <v/>
      </c>
      <c r="Y647" s="72">
        <f>G647-M647</f>
        <v/>
      </c>
    </row>
    <row r="648">
      <c r="A648" s="51" t="n">
        <v>44355</v>
      </c>
      <c r="B648" s="52" t="n">
        <v>38.75</v>
      </c>
      <c r="C648" s="82" t="n">
        <v>0.3845604828842546</v>
      </c>
      <c r="D648" s="52" t="n">
        <v>42.5</v>
      </c>
      <c r="E648" s="86" t="n">
        <v>0.4217760134859567</v>
      </c>
      <c r="F648" s="52" t="n">
        <v>37.02</v>
      </c>
      <c r="G648" s="82" t="n">
        <v>0.368790512970974</v>
      </c>
      <c r="H648" s="54" t="n">
        <v>39.96</v>
      </c>
      <c r="I648" s="82" t="n">
        <v>0.3992185548739389</v>
      </c>
      <c r="J648" s="54" t="n">
        <v>34.09</v>
      </c>
      <c r="K648" s="82" t="n">
        <v>0.3379934875098044</v>
      </c>
      <c r="L648" s="52" t="n">
        <v>37.55</v>
      </c>
      <c r="M648" s="82" t="n">
        <v>0.375141559947858</v>
      </c>
      <c r="N648" s="54" t="n">
        <v>35.9</v>
      </c>
      <c r="O648" s="82" t="n">
        <v>0.3586573103096699</v>
      </c>
      <c r="P648" s="55">
        <f>C648-G648</f>
        <v/>
      </c>
      <c r="Q648" s="55">
        <f>E648-C648</f>
        <v/>
      </c>
      <c r="R648" s="55">
        <f>C648-M648</f>
        <v/>
      </c>
      <c r="S648" s="53">
        <f>C648-O648</f>
        <v/>
      </c>
      <c r="T648" s="55">
        <f>E648-O648</f>
        <v/>
      </c>
      <c r="U648" s="55">
        <f>G648-O648</f>
        <v/>
      </c>
      <c r="V648" s="55">
        <f>G648-K648</f>
        <v/>
      </c>
      <c r="W648" s="55">
        <f>C648-K648</f>
        <v/>
      </c>
      <c r="X648" s="64">
        <f>I648-G648</f>
        <v/>
      </c>
      <c r="Y648" s="72">
        <f>G648-M648</f>
        <v/>
      </c>
    </row>
    <row r="649">
      <c r="A649" s="51" t="n">
        <v>44354</v>
      </c>
      <c r="B649" s="52" t="n">
        <v>38.17</v>
      </c>
      <c r="C649" s="82" t="n">
        <v>0.378814780575344</v>
      </c>
      <c r="D649" s="52" t="n">
        <v>42.35</v>
      </c>
      <c r="E649" s="86" t="n">
        <v>0.4202988199467073</v>
      </c>
      <c r="F649" s="52" t="n">
        <v>36.5</v>
      </c>
      <c r="G649" s="82" t="n">
        <v>0.3636152733426131</v>
      </c>
      <c r="H649" s="54" t="n">
        <v>39.53</v>
      </c>
      <c r="I649" s="82" t="n">
        <v>0.3949240107021398</v>
      </c>
      <c r="J649" s="54" t="n">
        <v>33.8</v>
      </c>
      <c r="K649" s="82" t="n">
        <v>0.3351284541361348</v>
      </c>
      <c r="L649" s="52" t="n">
        <v>37.3</v>
      </c>
      <c r="M649" s="82" t="n">
        <v>0.3726452213303772</v>
      </c>
      <c r="N649" s="54" t="n">
        <v>35.35</v>
      </c>
      <c r="O649" s="82" t="n">
        <v>0.3531637687407195</v>
      </c>
      <c r="P649" s="55">
        <f>C649-G649</f>
        <v/>
      </c>
      <c r="Q649" s="55">
        <f>E649-C649</f>
        <v/>
      </c>
      <c r="R649" s="55">
        <f>C649-M649</f>
        <v/>
      </c>
      <c r="S649" s="53">
        <f>C649-O649</f>
        <v/>
      </c>
      <c r="T649" s="55">
        <f>E649-O649</f>
        <v/>
      </c>
      <c r="U649" s="55">
        <f>G649-O649</f>
        <v/>
      </c>
      <c r="V649" s="55">
        <f>G649-K649</f>
        <v/>
      </c>
      <c r="W649" s="55">
        <f>C649-K649</f>
        <v/>
      </c>
      <c r="X649" s="64">
        <f>I649-G649</f>
        <v/>
      </c>
      <c r="Y649" s="72">
        <f>G649-M649</f>
        <v/>
      </c>
    </row>
    <row r="650">
      <c r="A650" s="51" t="n">
        <v>44351</v>
      </c>
      <c r="B650" s="52" t="n">
        <v>38.05</v>
      </c>
      <c r="C650" s="82" t="n">
        <v>0.3776546566961251</v>
      </c>
      <c r="D650" s="52" t="n">
        <v>41.73</v>
      </c>
      <c r="E650" s="86" t="n">
        <v>0.4141794697484704</v>
      </c>
      <c r="F650" s="52" t="n">
        <v>35.85</v>
      </c>
      <c r="G650" s="82" t="n">
        <v>0.3571545547594678</v>
      </c>
      <c r="H650" s="54" t="n">
        <v>39.12</v>
      </c>
      <c r="I650" s="82" t="n">
        <v>0.3908319219912753</v>
      </c>
      <c r="J650" s="54" t="n">
        <v>33.54</v>
      </c>
      <c r="K650" s="82" t="n">
        <v>0.332581034043637</v>
      </c>
      <c r="L650" s="52" t="n">
        <v>37.01</v>
      </c>
      <c r="M650" s="82" t="n">
        <v>0.3697517748695577</v>
      </c>
      <c r="N650" s="54" t="n">
        <v>34.61</v>
      </c>
      <c r="O650" s="82" t="n">
        <v>0.3457743563424857</v>
      </c>
      <c r="P650" s="55">
        <f>C650-G650</f>
        <v/>
      </c>
      <c r="Q650" s="55">
        <f>E650-C650</f>
        <v/>
      </c>
      <c r="R650" s="55">
        <f>C650-M650</f>
        <v/>
      </c>
      <c r="S650" s="53">
        <f>C650-O650</f>
        <v/>
      </c>
      <c r="T650" s="55">
        <f>E650-O650</f>
        <v/>
      </c>
      <c r="U650" s="55">
        <f>G650-O650</f>
        <v/>
      </c>
      <c r="V650" s="55">
        <f>G650-K650</f>
        <v/>
      </c>
      <c r="W650" s="55">
        <f>C650-K650</f>
        <v/>
      </c>
      <c r="X650" s="64">
        <f>I650-G650</f>
        <v/>
      </c>
      <c r="Y650" s="72">
        <f>G650-M650</f>
        <v/>
      </c>
    </row>
    <row r="651">
      <c r="A651" s="51" t="n">
        <v>44350</v>
      </c>
      <c r="B651" s="52" t="n">
        <v>38.2</v>
      </c>
      <c r="C651" s="82" t="n">
        <v>0.3791537499320172</v>
      </c>
      <c r="D651" s="52" t="n">
        <v>41.8</v>
      </c>
      <c r="E651" s="86" t="n">
        <v>0.4148855169413172</v>
      </c>
      <c r="F651" s="52" t="n">
        <v>36.05</v>
      </c>
      <c r="G651" s="82" t="n">
        <v>0.3591519502142642</v>
      </c>
      <c r="H651" s="54" t="n">
        <v>38.86</v>
      </c>
      <c r="I651" s="82" t="n">
        <v>0.3882356966408234</v>
      </c>
      <c r="J651" s="54" t="n">
        <v>33.27</v>
      </c>
      <c r="K651" s="82" t="n">
        <v>0.3299138100833373</v>
      </c>
      <c r="L651" s="52" t="n">
        <v>36.96</v>
      </c>
      <c r="M651" s="82" t="n">
        <v>0.3692535086938968</v>
      </c>
      <c r="N651" s="54" t="n">
        <v>34.5</v>
      </c>
      <c r="O651" s="82" t="n">
        <v>0.3446765706152446</v>
      </c>
      <c r="P651" s="55">
        <f>C651-G651</f>
        <v/>
      </c>
      <c r="Q651" s="55">
        <f>E651-C651</f>
        <v/>
      </c>
      <c r="R651" s="55">
        <f>C651-M651</f>
        <v/>
      </c>
      <c r="S651" s="53">
        <f>C651-O651</f>
        <v/>
      </c>
      <c r="T651" s="55">
        <f>E651-O651</f>
        <v/>
      </c>
      <c r="U651" s="55">
        <f>G651-O651</f>
        <v/>
      </c>
      <c r="V651" s="55">
        <f>G651-K651</f>
        <v/>
      </c>
      <c r="W651" s="55">
        <f>C651-K651</f>
        <v/>
      </c>
      <c r="X651" s="64">
        <f>I651-G651</f>
        <v/>
      </c>
      <c r="Y651" s="72">
        <f>G651-M651</f>
        <v/>
      </c>
    </row>
    <row r="652">
      <c r="A652" s="51" t="n">
        <v>44349</v>
      </c>
      <c r="B652" s="52" t="n">
        <v>38.35</v>
      </c>
      <c r="C652" s="82" t="n">
        <v>0.3806529247001876</v>
      </c>
      <c r="D652" s="52" t="n">
        <v>41.9</v>
      </c>
      <c r="E652" s="86" t="n">
        <v>0.4158893753569194</v>
      </c>
      <c r="F652" s="52" t="n">
        <v>36.3</v>
      </c>
      <c r="G652" s="82" t="n">
        <v>0.3616475372920448</v>
      </c>
      <c r="H652" s="54" t="n">
        <v>39.51</v>
      </c>
      <c r="I652" s="82" t="n">
        <v>0.3947309535947556</v>
      </c>
      <c r="J652" s="54" t="n">
        <v>34.2</v>
      </c>
      <c r="K652" s="82" t="n">
        <v>0.3391462930071284</v>
      </c>
      <c r="L652" s="52" t="n">
        <v>37.6</v>
      </c>
      <c r="M652" s="82" t="n">
        <v>0.3756487941068796</v>
      </c>
      <c r="N652" s="54" t="n">
        <v>35.36</v>
      </c>
      <c r="O652" s="82" t="n">
        <v>0.3532697170111505</v>
      </c>
      <c r="P652" s="55">
        <f>C652-G652</f>
        <v/>
      </c>
      <c r="Q652" s="55">
        <f>E652-C652</f>
        <v/>
      </c>
      <c r="R652" s="55">
        <f>C652-M652</f>
        <v/>
      </c>
      <c r="S652" s="53">
        <f>C652-O652</f>
        <v/>
      </c>
      <c r="T652" s="55">
        <f>E652-O652</f>
        <v/>
      </c>
      <c r="U652" s="55">
        <f>G652-O652</f>
        <v/>
      </c>
      <c r="V652" s="55">
        <f>G652-K652</f>
        <v/>
      </c>
      <c r="W652" s="55">
        <f>C652-K652</f>
        <v/>
      </c>
      <c r="X652" s="64">
        <f>I652-G652</f>
        <v/>
      </c>
      <c r="Y652" s="72">
        <f>G652-M652</f>
        <v/>
      </c>
    </row>
    <row r="653">
      <c r="A653" s="51" t="n">
        <v>44348</v>
      </c>
      <c r="B653" s="52" t="n">
        <v>37.85</v>
      </c>
      <c r="C653" s="82" t="n">
        <v>0.3757002610682041</v>
      </c>
      <c r="D653" s="52" t="n">
        <v>40.8</v>
      </c>
      <c r="E653" s="86" t="n">
        <v>0.4049820515609703</v>
      </c>
      <c r="F653" s="52" t="n">
        <v>35.6</v>
      </c>
      <c r="G653" s="82" t="n">
        <v>0.3546784583469811</v>
      </c>
      <c r="H653" s="54" t="n">
        <v>38.8</v>
      </c>
      <c r="I653" s="82" t="n">
        <v>0.3876389116986916</v>
      </c>
      <c r="J653" s="54" t="n">
        <v>33.71</v>
      </c>
      <c r="K653" s="82" t="n">
        <v>0.334297397163506</v>
      </c>
      <c r="L653" s="52" t="n">
        <v>36.8</v>
      </c>
      <c r="M653" s="82" t="n">
        <v>0.3676575244977281</v>
      </c>
      <c r="N653" s="54" t="n">
        <v>34.9</v>
      </c>
      <c r="O653" s="82" t="n">
        <v>0.3486752066568128</v>
      </c>
      <c r="P653" s="55">
        <f>C653-G653</f>
        <v/>
      </c>
      <c r="Q653" s="55">
        <f>E653-C653</f>
        <v/>
      </c>
      <c r="R653" s="55">
        <f>C653-M653</f>
        <v/>
      </c>
      <c r="S653" s="53">
        <f>C653-O653</f>
        <v/>
      </c>
      <c r="T653" s="55">
        <f>E653-O653</f>
        <v/>
      </c>
      <c r="U653" s="55">
        <f>G653-O653</f>
        <v/>
      </c>
      <c r="V653" s="55">
        <f>G653-K653</f>
        <v/>
      </c>
      <c r="W653" s="55">
        <f>C653-K653</f>
        <v/>
      </c>
      <c r="X653" s="64">
        <f>I653-G653</f>
        <v/>
      </c>
      <c r="Y653" s="72">
        <f>G653-M653</f>
        <v/>
      </c>
    </row>
    <row r="654">
      <c r="A654" s="51" t="n">
        <v>44347</v>
      </c>
      <c r="B654" s="52" t="n">
        <v>37.6</v>
      </c>
      <c r="C654" s="82" t="n">
        <v>0.3732289032117702</v>
      </c>
      <c r="D654" s="52" t="n">
        <v>40.5</v>
      </c>
      <c r="E654" s="86" t="n">
        <v>0.4020151750020396</v>
      </c>
      <c r="F654" s="52" t="n">
        <v>35.3</v>
      </c>
      <c r="G654" s="82" t="n">
        <v>0.3516943947810184</v>
      </c>
      <c r="H654" s="54" t="n">
        <v>38.58</v>
      </c>
      <c r="I654" s="82" t="n">
        <v>0.3854422778859346</v>
      </c>
      <c r="J654" s="54" t="n">
        <v>33.4</v>
      </c>
      <c r="K654" s="82" t="n">
        <v>0.3312332945024266</v>
      </c>
      <c r="L654" s="52" t="n">
        <v>36.25</v>
      </c>
      <c r="M654" s="82" t="n">
        <v>0.36216388215047</v>
      </c>
      <c r="N654" s="54" t="n">
        <v>34.4</v>
      </c>
      <c r="O654" s="82" t="n">
        <v>0.3436810357510666</v>
      </c>
      <c r="P654" s="55">
        <f>C654-G654</f>
        <v/>
      </c>
      <c r="Q654" s="55">
        <f>E654-C654</f>
        <v/>
      </c>
      <c r="R654" s="55">
        <f>C654-M654</f>
        <v/>
      </c>
      <c r="S654" s="53">
        <f>C654-O654</f>
        <v/>
      </c>
      <c r="T654" s="55">
        <f>E654-O654</f>
        <v/>
      </c>
      <c r="U654" s="55">
        <f>G654-O654</f>
        <v/>
      </c>
      <c r="V654" s="55">
        <f>G654-K654</f>
        <v/>
      </c>
      <c r="W654" s="55">
        <f>C654-K654</f>
        <v/>
      </c>
      <c r="X654" s="64">
        <f>I654-G654</f>
        <v/>
      </c>
      <c r="Y654" s="72">
        <f>G654-M654</f>
        <v/>
      </c>
    </row>
    <row r="655">
      <c r="A655" s="51" t="n">
        <v>44344</v>
      </c>
      <c r="B655" s="52" t="n">
        <v>37.64</v>
      </c>
      <c r="C655" s="82" t="n">
        <v>0.3736564403829417</v>
      </c>
      <c r="D655" s="52" t="n">
        <v>40.01</v>
      </c>
      <c r="E655" s="86" t="n">
        <v>0.3971836923411662</v>
      </c>
      <c r="F655" s="52" t="n">
        <v>35.35</v>
      </c>
      <c r="G655" s="82" t="n">
        <v>0.3522069662062565</v>
      </c>
      <c r="H655" s="54" t="n">
        <v>38.55</v>
      </c>
      <c r="I655" s="82" t="n">
        <v>0.3851465093681142</v>
      </c>
      <c r="J655" s="54" t="n">
        <v>33.5</v>
      </c>
      <c r="K655" s="82" t="n">
        <v>0.3322554787169001</v>
      </c>
      <c r="L655" s="52" t="n">
        <v>36.32</v>
      </c>
      <c r="M655" s="82" t="n">
        <v>0.362866957723733</v>
      </c>
      <c r="N655" s="54" t="n">
        <v>34.6</v>
      </c>
      <c r="O655" s="82" t="n">
        <v>0.3456827295495915</v>
      </c>
      <c r="P655" s="55">
        <f>C655-G655</f>
        <v/>
      </c>
      <c r="Q655" s="55">
        <f>E655-C655</f>
        <v/>
      </c>
      <c r="R655" s="55">
        <f>C655-M655</f>
        <v/>
      </c>
      <c r="S655" s="53">
        <f>C655-O655</f>
        <v/>
      </c>
      <c r="T655" s="55">
        <f>E655-O655</f>
        <v/>
      </c>
      <c r="U655" s="55">
        <f>G655-O655</f>
        <v/>
      </c>
      <c r="V655" s="55">
        <f>G655-K655</f>
        <v/>
      </c>
      <c r="W655" s="55">
        <f>C655-K655</f>
        <v/>
      </c>
      <c r="X655" s="64">
        <f>I655-G655</f>
        <v/>
      </c>
      <c r="Y655" s="72">
        <f>G655-M655</f>
        <v/>
      </c>
    </row>
    <row r="656">
      <c r="A656" s="51" t="n">
        <v>44343</v>
      </c>
      <c r="B656" s="52" t="n">
        <v>38.1</v>
      </c>
      <c r="C656" s="82" t="n">
        <v>0.3782331982484293</v>
      </c>
      <c r="D656" s="52" t="n">
        <v>41</v>
      </c>
      <c r="E656" s="86" t="n">
        <v>0.4070226017896483</v>
      </c>
      <c r="F656" s="52" t="n">
        <v>35.66</v>
      </c>
      <c r="G656" s="82" t="n">
        <v>0.355300476339962</v>
      </c>
      <c r="H656" s="54" t="n">
        <v>38.71</v>
      </c>
      <c r="I656" s="82" t="n">
        <v>0.3867463654808788</v>
      </c>
      <c r="J656" s="54" t="n">
        <v>33.8</v>
      </c>
      <c r="K656" s="82" t="n">
        <v>0.3352411490372041</v>
      </c>
      <c r="L656" s="52" t="n">
        <v>36.65</v>
      </c>
      <c r="M656" s="82" t="n">
        <v>0.3661651845743789</v>
      </c>
      <c r="N656" s="54" t="n">
        <v>35.25</v>
      </c>
      <c r="O656" s="82" t="n">
        <v>0.3521779742495731</v>
      </c>
      <c r="P656" s="55">
        <f>C656-G656</f>
        <v/>
      </c>
      <c r="Q656" s="55">
        <f>E656-C656</f>
        <v/>
      </c>
      <c r="R656" s="55">
        <f>C656-M656</f>
        <v/>
      </c>
      <c r="S656" s="53">
        <f>C656-O656</f>
        <v/>
      </c>
      <c r="T656" s="55">
        <f>E656-O656</f>
        <v/>
      </c>
      <c r="U656" s="55">
        <f>G656-O656</f>
        <v/>
      </c>
      <c r="V656" s="55">
        <f>G656-K656</f>
        <v/>
      </c>
      <c r="W656" s="55">
        <f>C656-K656</f>
        <v/>
      </c>
      <c r="X656" s="64">
        <f>I656-G656</f>
        <v/>
      </c>
      <c r="Y656" s="72">
        <f>G656-M656</f>
        <v/>
      </c>
    </row>
    <row r="657">
      <c r="A657" s="51" t="n">
        <v>44342</v>
      </c>
      <c r="B657" s="52" t="n">
        <v>37.77</v>
      </c>
      <c r="C657" s="82" t="n">
        <v>0.3749673611488876</v>
      </c>
      <c r="D657" s="52" t="n">
        <v>40.6</v>
      </c>
      <c r="E657" s="86" t="n">
        <v>0.4030626121960507</v>
      </c>
      <c r="F657" s="52" t="n">
        <v>35.45</v>
      </c>
      <c r="G657" s="82" t="n">
        <v>0.3532129500723392</v>
      </c>
      <c r="H657" s="54" t="n">
        <v>38.75</v>
      </c>
      <c r="I657" s="82" t="n">
        <v>0.3871473246973647</v>
      </c>
      <c r="J657" s="54" t="n">
        <v>33.45</v>
      </c>
      <c r="K657" s="82" t="n">
        <v>0.3317798596438786</v>
      </c>
      <c r="L657" s="52" t="n">
        <v>36.65</v>
      </c>
      <c r="M657" s="82" t="n">
        <v>0.366166437423443</v>
      </c>
      <c r="N657" s="54" t="n">
        <v>34.7</v>
      </c>
      <c r="O657" s="82" t="n">
        <v>0.3466841849548015</v>
      </c>
      <c r="P657" s="55">
        <f>C657-G657</f>
        <v/>
      </c>
      <c r="Q657" s="55">
        <f>E657-C657</f>
        <v/>
      </c>
      <c r="R657" s="55">
        <f>C657-M657</f>
        <v/>
      </c>
      <c r="S657" s="53">
        <f>C657-O657</f>
        <v/>
      </c>
      <c r="T657" s="55">
        <f>E657-O657</f>
        <v/>
      </c>
      <c r="U657" s="55">
        <f>G657-O657</f>
        <v/>
      </c>
      <c r="V657" s="55">
        <f>G657-K657</f>
        <v/>
      </c>
      <c r="W657" s="55">
        <f>C657-K657</f>
        <v/>
      </c>
      <c r="X657" s="64">
        <f>I657-G657</f>
        <v/>
      </c>
      <c r="Y657" s="72">
        <f>G657-M657</f>
        <v/>
      </c>
    </row>
    <row r="658">
      <c r="A658" s="51" t="n">
        <v>44337</v>
      </c>
      <c r="B658" s="52" t="n">
        <v>36.93</v>
      </c>
      <c r="C658" s="82" t="n">
        <v>0.3666780011425151</v>
      </c>
      <c r="D658" s="52" t="n">
        <v>40.3</v>
      </c>
      <c r="E658" s="86" t="n">
        <v>0.4001387339843856</v>
      </c>
      <c r="F658" s="52" t="n">
        <v>34.4</v>
      </c>
      <c r="G658" s="82" t="n">
        <v>0.3427744639030316</v>
      </c>
      <c r="H658" s="54" t="n">
        <v>37.5</v>
      </c>
      <c r="I658" s="82" t="n">
        <v>0.3746651109795696</v>
      </c>
      <c r="J658" s="54" t="n">
        <v>32.25</v>
      </c>
      <c r="K658" s="82" t="n">
        <v>0.3199263459362865</v>
      </c>
      <c r="L658" s="52" t="n">
        <v>35.07</v>
      </c>
      <c r="M658" s="82" t="n">
        <v>0.3503868117880935</v>
      </c>
      <c r="N658" s="54" t="n">
        <v>33.36</v>
      </c>
      <c r="O658" s="82" t="n">
        <v>0.3333020827274251</v>
      </c>
      <c r="P658" s="55">
        <f>C658-G658</f>
        <v/>
      </c>
      <c r="Q658" s="55">
        <f>E658-C658</f>
        <v/>
      </c>
      <c r="R658" s="55">
        <f>C658-M658</f>
        <v/>
      </c>
      <c r="S658" s="53">
        <f>C658-O658</f>
        <v/>
      </c>
      <c r="T658" s="55">
        <f>E658-O658</f>
        <v/>
      </c>
      <c r="U658" s="55">
        <f>G658-O658</f>
        <v/>
      </c>
      <c r="V658" s="55">
        <f>G658-K658</f>
        <v/>
      </c>
      <c r="W658" s="55">
        <f>C658-K658</f>
        <v/>
      </c>
      <c r="X658" s="64">
        <f>I658-G658</f>
        <v/>
      </c>
      <c r="Y658" s="72">
        <f>G658-M658</f>
        <v/>
      </c>
    </row>
    <row r="659">
      <c r="A659" s="51" t="n">
        <v>44336</v>
      </c>
      <c r="B659" s="52" t="n">
        <v>37.29</v>
      </c>
      <c r="C659" s="82" t="n">
        <v>0.370262513601741</v>
      </c>
      <c r="D659" s="52" t="n">
        <v>40.3</v>
      </c>
      <c r="E659" s="86" t="n">
        <v>0.4001496191512514</v>
      </c>
      <c r="F659" s="52" t="n">
        <v>34.78</v>
      </c>
      <c r="G659" s="82" t="n">
        <v>0.3465656565656566</v>
      </c>
      <c r="H659" s="54" t="n">
        <v>37.99</v>
      </c>
      <c r="I659" s="82" t="n">
        <v>0.3795620338055157</v>
      </c>
      <c r="J659" s="54" t="n">
        <v>32.8</v>
      </c>
      <c r="K659" s="82" t="n">
        <v>0.3253924033430726</v>
      </c>
      <c r="L659" s="52" t="n">
        <v>35.25</v>
      </c>
      <c r="M659" s="82" t="n">
        <v>0.3521864093615274</v>
      </c>
      <c r="N659" s="54" t="n">
        <v>33</v>
      </c>
      <c r="O659" s="82" t="n">
        <v>0.3297064257852597</v>
      </c>
      <c r="P659" s="55">
        <f>C659-G659</f>
        <v/>
      </c>
      <c r="Q659" s="55">
        <f>E659-C659</f>
        <v/>
      </c>
      <c r="R659" s="55">
        <f>C659-M659</f>
        <v/>
      </c>
      <c r="S659" s="53">
        <f>C659-O659</f>
        <v/>
      </c>
      <c r="T659" s="55">
        <f>E659-O659</f>
        <v/>
      </c>
      <c r="U659" s="55">
        <f>G659-O659</f>
        <v/>
      </c>
      <c r="V659" s="55">
        <f>G659-K659</f>
        <v/>
      </c>
      <c r="W659" s="55">
        <f>C659-K659</f>
        <v/>
      </c>
      <c r="X659" s="64">
        <f>I659-G659</f>
        <v/>
      </c>
      <c r="Y659" s="72">
        <f>G659-M659</f>
        <v/>
      </c>
    </row>
    <row r="660">
      <c r="A660" s="51" t="n">
        <v>44335</v>
      </c>
      <c r="B660" s="52" t="n">
        <v>37.45</v>
      </c>
      <c r="C660" s="82" t="n">
        <v>0.3718613128757584</v>
      </c>
      <c r="D660" s="52" t="n">
        <v>40.1</v>
      </c>
      <c r="E660" s="86" t="n">
        <v>0.3981745966974075</v>
      </c>
      <c r="F660" s="52" t="n">
        <v>35.07</v>
      </c>
      <c r="G660" s="82" t="n">
        <v>0.3494601345909717</v>
      </c>
      <c r="H660" s="54" t="n">
        <v>37.9</v>
      </c>
      <c r="I660" s="82" t="n">
        <v>0.3786641301037778</v>
      </c>
      <c r="J660" s="54" t="n">
        <v>32.9</v>
      </c>
      <c r="K660" s="82" t="n">
        <v>0.3263944334779551</v>
      </c>
      <c r="L660" s="52" t="n">
        <v>35.15</v>
      </c>
      <c r="M660" s="82" t="n">
        <v>0.3511885006107596</v>
      </c>
      <c r="N660" s="54" t="n">
        <v>33.6</v>
      </c>
      <c r="O660" s="82" t="n">
        <v>0.3357022367146948</v>
      </c>
      <c r="P660" s="55">
        <f>C660-G660</f>
        <v/>
      </c>
      <c r="Q660" s="55">
        <f>E660-C660</f>
        <v/>
      </c>
      <c r="R660" s="55">
        <f>C660-M660</f>
        <v/>
      </c>
      <c r="S660" s="53">
        <f>C660-O660</f>
        <v/>
      </c>
      <c r="T660" s="55">
        <f>E660-O660</f>
        <v/>
      </c>
      <c r="U660" s="55">
        <f>G660-O660</f>
        <v/>
      </c>
      <c r="V660" s="55">
        <f>G660-K660</f>
        <v/>
      </c>
      <c r="W660" s="55">
        <f>C660-K660</f>
        <v/>
      </c>
      <c r="X660" s="64">
        <f>I660-G660</f>
        <v/>
      </c>
      <c r="Y660" s="72">
        <f>G660-M660</f>
        <v/>
      </c>
    </row>
    <row r="661">
      <c r="A661" s="51" t="n">
        <v>44334</v>
      </c>
      <c r="B661" s="52" t="n">
        <v>38</v>
      </c>
      <c r="C661" s="82" t="n">
        <v>0.3773328255073726</v>
      </c>
      <c r="D661" s="52" t="n">
        <v>40.25</v>
      </c>
      <c r="E661" s="86" t="n">
        <v>0.399674900701888</v>
      </c>
      <c r="F661" s="52" t="n">
        <v>35.7</v>
      </c>
      <c r="G661" s="82" t="n">
        <v>0.3557427175189058</v>
      </c>
      <c r="H661" s="54" t="n">
        <v>38.38</v>
      </c>
      <c r="I661" s="82" t="n">
        <v>0.3834611884020284</v>
      </c>
      <c r="J661" s="54" t="n">
        <v>32.9</v>
      </c>
      <c r="K661" s="82" t="n">
        <v>0.3264044142130048</v>
      </c>
      <c r="L661" s="52" t="n">
        <v>35.5</v>
      </c>
      <c r="M661" s="82" t="n">
        <v>0.354686612513601</v>
      </c>
      <c r="N661" s="54" t="n">
        <v>33.5</v>
      </c>
      <c r="O661" s="82" t="n">
        <v>0.3347042681466376</v>
      </c>
      <c r="P661" s="55">
        <f>C661-G661</f>
        <v/>
      </c>
      <c r="Q661" s="55">
        <f>E661-C661</f>
        <v/>
      </c>
      <c r="R661" s="55">
        <f>C661-M661</f>
        <v/>
      </c>
      <c r="S661" s="53">
        <f>C661-O661</f>
        <v/>
      </c>
      <c r="T661" s="55">
        <f>E661-O661</f>
        <v/>
      </c>
      <c r="U661" s="55">
        <f>G661-O661</f>
        <v/>
      </c>
      <c r="V661" s="55">
        <f>G661-K661</f>
        <v/>
      </c>
      <c r="W661" s="55">
        <f>C661-K661</f>
        <v/>
      </c>
      <c r="X661" s="64">
        <f>I661-G661</f>
        <v/>
      </c>
      <c r="Y661" s="72">
        <f>G661-M661</f>
        <v/>
      </c>
    </row>
    <row r="662">
      <c r="A662" s="51" t="n">
        <v>44333</v>
      </c>
      <c r="B662" s="52" t="n">
        <v>38.05</v>
      </c>
      <c r="C662" s="82" t="n">
        <v>0.3778395951791495</v>
      </c>
      <c r="D662" s="52" t="n">
        <v>40.7</v>
      </c>
      <c r="E662" s="86" t="n">
        <v>0.4041543107435319</v>
      </c>
      <c r="F662" s="52" t="n">
        <v>35.7</v>
      </c>
      <c r="G662" s="82" t="n">
        <v>0.355747573610713</v>
      </c>
      <c r="H662" s="54" t="n">
        <v>38.38</v>
      </c>
      <c r="I662" s="82" t="n">
        <v>0.3834625004704764</v>
      </c>
      <c r="J662" s="54" t="n">
        <v>32.9</v>
      </c>
      <c r="K662" s="82" t="n">
        <v>0.3264143955584701</v>
      </c>
      <c r="L662" s="52" t="n">
        <v>35.2</v>
      </c>
      <c r="M662" s="82" t="n">
        <v>0.3516904642147152</v>
      </c>
      <c r="N662" s="54" t="n">
        <v>33.79</v>
      </c>
      <c r="O662" s="82" t="n">
        <v>0.3376028632333871</v>
      </c>
      <c r="P662" s="55">
        <f>C662-G662</f>
        <v/>
      </c>
      <c r="Q662" s="55">
        <f>E662-C662</f>
        <v/>
      </c>
      <c r="R662" s="55">
        <f>C662-M662</f>
        <v/>
      </c>
      <c r="S662" s="53">
        <f>C662-O662</f>
        <v/>
      </c>
      <c r="T662" s="55">
        <f>E662-O662</f>
        <v/>
      </c>
      <c r="U662" s="55">
        <f>G662-O662</f>
        <v/>
      </c>
      <c r="V662" s="55">
        <f>G662-K662</f>
        <v/>
      </c>
      <c r="W662" s="55">
        <f>C662-K662</f>
        <v/>
      </c>
      <c r="X662" s="64">
        <f>I662-G662</f>
        <v/>
      </c>
      <c r="Y662" s="72">
        <f>G662-M662</f>
        <v/>
      </c>
    </row>
    <row r="663">
      <c r="A663" s="51" t="n">
        <v>44330</v>
      </c>
      <c r="B663" s="52" t="n">
        <v>37.42</v>
      </c>
      <c r="C663" s="82" t="n">
        <v>0.3716139739892257</v>
      </c>
      <c r="D663" s="52" t="n">
        <v>39.5</v>
      </c>
      <c r="E663" s="86" t="n">
        <v>0.3922702290907112</v>
      </c>
      <c r="F663" s="52" t="n">
        <v>35.09</v>
      </c>
      <c r="G663" s="82" t="n">
        <v>0.3496832937450515</v>
      </c>
      <c r="H663" s="54" t="n">
        <v>37.45</v>
      </c>
      <c r="I663" s="82" t="n">
        <v>0.3741745194248839</v>
      </c>
      <c r="J663" s="54" t="n">
        <v>32.45</v>
      </c>
      <c r="K663" s="82" t="n">
        <v>0.3219792990492242</v>
      </c>
      <c r="L663" s="52" t="n">
        <v>34.5</v>
      </c>
      <c r="M663" s="82" t="n">
        <v>0.3447001580816687</v>
      </c>
      <c r="N663" s="54" t="n">
        <v>33.05</v>
      </c>
      <c r="O663" s="82" t="n">
        <v>0.3302127601333087</v>
      </c>
      <c r="P663" s="55">
        <f>C663-G663</f>
        <v/>
      </c>
      <c r="Q663" s="55">
        <f>E663-C663</f>
        <v/>
      </c>
      <c r="R663" s="55">
        <f>C663-M663</f>
        <v/>
      </c>
      <c r="S663" s="53">
        <f>C663-O663</f>
        <v/>
      </c>
      <c r="T663" s="55">
        <f>E663-O663</f>
        <v/>
      </c>
      <c r="U663" s="55">
        <f>G663-O663</f>
        <v/>
      </c>
      <c r="V663" s="55">
        <f>G663-K663</f>
        <v/>
      </c>
      <c r="W663" s="55">
        <f>C663-K663</f>
        <v/>
      </c>
      <c r="X663" s="64">
        <f>I663-G663</f>
        <v/>
      </c>
      <c r="Y663" s="72">
        <f>G663-M663</f>
        <v/>
      </c>
    </row>
    <row r="664">
      <c r="A664" s="51" t="n">
        <v>44329</v>
      </c>
      <c r="B664" s="52" t="n">
        <v>36.45</v>
      </c>
      <c r="C664" s="82" t="n">
        <v>0.3619908578891519</v>
      </c>
      <c r="D664" s="52" t="n">
        <v>38.71</v>
      </c>
      <c r="E664" s="86" t="n">
        <v>0.3844352841944875</v>
      </c>
      <c r="F664" s="52" t="n">
        <v>34.22</v>
      </c>
      <c r="G664" s="82" t="n">
        <v>0.3410181152990321</v>
      </c>
      <c r="H664" s="54" t="n">
        <v>36.45</v>
      </c>
      <c r="I664" s="82" t="n">
        <v>0.3641844566180673</v>
      </c>
      <c r="J664" s="54" t="n">
        <v>31.2</v>
      </c>
      <c r="K664" s="82" t="n">
        <v>0.3095858663775966</v>
      </c>
      <c r="L664" s="52" t="n">
        <v>33.53</v>
      </c>
      <c r="M664" s="82" t="n">
        <v>0.3350097347161535</v>
      </c>
      <c r="N664" s="54" t="n">
        <v>32.21</v>
      </c>
      <c r="O664" s="82" t="n">
        <v>0.3218211618015897</v>
      </c>
      <c r="P664" s="55">
        <f>C664-G664</f>
        <v/>
      </c>
      <c r="Q664" s="55">
        <f>E664-C664</f>
        <v/>
      </c>
      <c r="R664" s="55">
        <f>C664-M664</f>
        <v/>
      </c>
      <c r="S664" s="53">
        <f>C664-O664</f>
        <v/>
      </c>
      <c r="T664" s="55">
        <f>E664-O664</f>
        <v/>
      </c>
      <c r="U664" s="55">
        <f>G664-O664</f>
        <v/>
      </c>
      <c r="V664" s="55">
        <f>G664-K664</f>
        <v/>
      </c>
      <c r="W664" s="55">
        <f>C664-K664</f>
        <v/>
      </c>
      <c r="X664" s="64">
        <f>I664-G664</f>
        <v/>
      </c>
      <c r="Y664" s="72">
        <f>G664-M664</f>
        <v/>
      </c>
    </row>
    <row r="665">
      <c r="A665" s="51" t="n">
        <v>44328</v>
      </c>
      <c r="B665" s="52" t="n">
        <v>36.31</v>
      </c>
      <c r="C665" s="82" t="n">
        <v>0.3606103069220723</v>
      </c>
      <c r="D665" s="52" t="n">
        <v>39.19</v>
      </c>
      <c r="E665" s="86" t="n">
        <v>0.3892128319547235</v>
      </c>
      <c r="F665" s="52" t="n">
        <v>34.11</v>
      </c>
      <c r="G665" s="82" t="n">
        <v>0.3399265549063507</v>
      </c>
      <c r="H665" s="54" t="n">
        <v>36.4</v>
      </c>
      <c r="I665" s="82" t="n">
        <v>0.3636861338844559</v>
      </c>
      <c r="J665" s="54" t="n">
        <v>31.32</v>
      </c>
      <c r="K665" s="82" t="n">
        <v>0.3107860861527587</v>
      </c>
      <c r="L665" s="52" t="n">
        <v>33.4</v>
      </c>
      <c r="M665" s="82" t="n">
        <v>0.3337120019709018</v>
      </c>
      <c r="N665" s="54" t="n">
        <v>32.25</v>
      </c>
      <c r="O665" s="82" t="n">
        <v>0.3222219180707061</v>
      </c>
      <c r="P665" s="55">
        <f>C665-G665</f>
        <v/>
      </c>
      <c r="Q665" s="55">
        <f>E665-C665</f>
        <v/>
      </c>
      <c r="R665" s="55">
        <f>C665-M665</f>
        <v/>
      </c>
      <c r="S665" s="53">
        <f>C665-O665</f>
        <v/>
      </c>
      <c r="T665" s="55">
        <f>E665-O665</f>
        <v/>
      </c>
      <c r="U665" s="55">
        <f>G665-O665</f>
        <v/>
      </c>
      <c r="V665" s="55">
        <f>G665-K665</f>
        <v/>
      </c>
      <c r="W665" s="55">
        <f>C665-K665</f>
        <v/>
      </c>
      <c r="X665" s="64">
        <f>I665-G665</f>
        <v/>
      </c>
      <c r="Y665" s="72">
        <f>G665-M665</f>
        <v/>
      </c>
    </row>
    <row r="666">
      <c r="A666" s="51" t="n">
        <v>44327</v>
      </c>
      <c r="B666" s="52" t="n">
        <v>35.99</v>
      </c>
      <c r="C666" s="82" t="n">
        <v>0.3574419743680444</v>
      </c>
      <c r="D666" s="52" t="n">
        <v>38.82</v>
      </c>
      <c r="E666" s="86" t="n">
        <v>0.3855486925525836</v>
      </c>
      <c r="F666" s="52" t="n">
        <v>33.82</v>
      </c>
      <c r="G666" s="82" t="n">
        <v>0.3370411325442656</v>
      </c>
      <c r="H666" s="54" t="n">
        <v>35.9</v>
      </c>
      <c r="I666" s="82" t="n">
        <v>0.3586916725691272</v>
      </c>
      <c r="J666" s="54" t="n">
        <v>31.01</v>
      </c>
      <c r="K666" s="82" t="n">
        <v>0.3077193900611366</v>
      </c>
      <c r="L666" s="52" t="n">
        <v>33.15</v>
      </c>
      <c r="M666" s="82" t="n">
        <v>0.3312152909656425</v>
      </c>
      <c r="N666" s="54" t="n">
        <v>32</v>
      </c>
      <c r="O666" s="82" t="n">
        <v>0.3197251677496399</v>
      </c>
      <c r="P666" s="55">
        <f>C666-G666</f>
        <v/>
      </c>
      <c r="Q666" s="55">
        <f>E666-C666</f>
        <v/>
      </c>
      <c r="R666" s="55">
        <f>C666-M666</f>
        <v/>
      </c>
      <c r="S666" s="53">
        <f>C666-O666</f>
        <v/>
      </c>
      <c r="T666" s="55">
        <f>E666-O666</f>
        <v/>
      </c>
      <c r="U666" s="55">
        <f>G666-O666</f>
        <v/>
      </c>
      <c r="V666" s="55">
        <f>G666-K666</f>
        <v/>
      </c>
      <c r="W666" s="55">
        <f>C666-K666</f>
        <v/>
      </c>
      <c r="X666" s="64">
        <f>I666-G666</f>
        <v/>
      </c>
      <c r="Y666" s="72">
        <f>G666-M666</f>
        <v/>
      </c>
    </row>
    <row r="667">
      <c r="A667" s="51" t="n">
        <v>44326</v>
      </c>
      <c r="B667" s="52" t="n">
        <v>36.4</v>
      </c>
      <c r="C667" s="82" t="n">
        <v>0.3615238095238095</v>
      </c>
      <c r="D667" s="52" t="n">
        <v>39.5</v>
      </c>
      <c r="E667" s="86" t="n">
        <v>0.392312925170068</v>
      </c>
      <c r="F667" s="52" t="n">
        <v>34.4</v>
      </c>
      <c r="G667" s="82" t="n">
        <v>0.3428259385665529</v>
      </c>
      <c r="H667" s="54" t="n">
        <v>36.48</v>
      </c>
      <c r="I667" s="82" t="n">
        <v>0.3644879384088965</v>
      </c>
      <c r="J667" s="54" t="n">
        <v>31.4</v>
      </c>
      <c r="K667" s="82" t="n">
        <v>0.3115989804587935</v>
      </c>
      <c r="L667" s="52" t="n">
        <v>33.54</v>
      </c>
      <c r="M667" s="82" t="n">
        <v>0.3351130881094953</v>
      </c>
      <c r="N667" s="54" t="n">
        <v>32.25</v>
      </c>
      <c r="O667" s="82" t="n">
        <v>0.322224123182207</v>
      </c>
      <c r="P667" s="55">
        <f>C667-G667</f>
        <v/>
      </c>
      <c r="Q667" s="55">
        <f>E667-C667</f>
        <v/>
      </c>
      <c r="R667" s="55">
        <f>C667-M667</f>
        <v/>
      </c>
      <c r="S667" s="53">
        <f>C667-O667</f>
        <v/>
      </c>
      <c r="T667" s="55">
        <f>E667-O667</f>
        <v/>
      </c>
      <c r="U667" s="55">
        <f>G667-O667</f>
        <v/>
      </c>
      <c r="V667" s="55">
        <f>G667-K667</f>
        <v/>
      </c>
      <c r="W667" s="55">
        <f>C667-K667</f>
        <v/>
      </c>
      <c r="X667" s="64">
        <f>I667-G667</f>
        <v/>
      </c>
      <c r="Y667" s="72">
        <f>G667-M667</f>
        <v/>
      </c>
    </row>
    <row r="668">
      <c r="A668" s="51" t="n">
        <v>44323</v>
      </c>
      <c r="B668" s="52" t="n">
        <v>36.3</v>
      </c>
      <c r="C668" s="82" t="n">
        <v>0.3605600457180178</v>
      </c>
      <c r="D668" s="52" t="n">
        <v>38.8</v>
      </c>
      <c r="E668" s="86" t="n">
        <v>0.3853920047895066</v>
      </c>
      <c r="F668" s="52" t="n">
        <v>34.3</v>
      </c>
      <c r="G668" s="82" t="n">
        <v>0.3418433519461548</v>
      </c>
      <c r="H668" s="54" t="n">
        <v>36.32</v>
      </c>
      <c r="I668" s="82" t="n">
        <v>0.3628930322638043</v>
      </c>
      <c r="J668" s="54" t="n">
        <v>31.35</v>
      </c>
      <c r="K668" s="82" t="n">
        <v>0.3111313527494451</v>
      </c>
      <c r="L668" s="52" t="n">
        <v>33.45</v>
      </c>
      <c r="M668" s="82" t="n">
        <v>0.3342172888002272</v>
      </c>
      <c r="N668" s="54" t="n">
        <v>32.3</v>
      </c>
      <c r="O668" s="82" t="n">
        <v>0.3227270083183061</v>
      </c>
      <c r="P668" s="55">
        <f>C668-G668</f>
        <v/>
      </c>
      <c r="Q668" s="55">
        <f>E668-C668</f>
        <v/>
      </c>
      <c r="R668" s="55">
        <f>C668-M668</f>
        <v/>
      </c>
      <c r="S668" s="53">
        <f>C668-O668</f>
        <v/>
      </c>
      <c r="T668" s="55">
        <f>E668-O668</f>
        <v/>
      </c>
      <c r="U668" s="55">
        <f>G668-O668</f>
        <v/>
      </c>
      <c r="V668" s="55">
        <f>G668-K668</f>
        <v/>
      </c>
      <c r="W668" s="55">
        <f>C668-K668</f>
        <v/>
      </c>
      <c r="X668" s="64">
        <f>I668-G668</f>
        <v/>
      </c>
      <c r="Y668" s="72">
        <f>G668-M668</f>
        <v/>
      </c>
    </row>
    <row r="669">
      <c r="A669" s="51" t="n">
        <v>44322</v>
      </c>
      <c r="B669" s="52" t="n">
        <v>36.54</v>
      </c>
      <c r="C669" s="82" t="n">
        <v>0.3629537908888042</v>
      </c>
      <c r="D669" s="52" t="n">
        <v>39.2</v>
      </c>
      <c r="E669" s="86" t="n">
        <v>0.3893757143634682</v>
      </c>
      <c r="F669" s="52" t="n">
        <v>34.77</v>
      </c>
      <c r="G669" s="82" t="n">
        <v>0.3465322338421211</v>
      </c>
      <c r="H669" s="54" t="n">
        <v>36.53</v>
      </c>
      <c r="I669" s="82" t="n">
        <v>0.3649925063131745</v>
      </c>
      <c r="J669" s="54" t="n">
        <v>31.56</v>
      </c>
      <c r="K669" s="82" t="n">
        <v>0.3132250674678975</v>
      </c>
      <c r="L669" s="52" t="n">
        <v>33.52</v>
      </c>
      <c r="M669" s="82" t="n">
        <v>0.3349178431869042</v>
      </c>
      <c r="N669" s="54" t="n">
        <v>32.49</v>
      </c>
      <c r="O669" s="82" t="n">
        <v>0.324626513279908</v>
      </c>
      <c r="P669" s="55">
        <f>C669-G669</f>
        <v/>
      </c>
      <c r="Q669" s="55">
        <f>E669-C669</f>
        <v/>
      </c>
      <c r="R669" s="55">
        <f>C669-M669</f>
        <v/>
      </c>
      <c r="S669" s="53">
        <f>C669-O669</f>
        <v/>
      </c>
      <c r="T669" s="55">
        <f>E669-O669</f>
        <v/>
      </c>
      <c r="U669" s="55">
        <f>G669-O669</f>
        <v/>
      </c>
      <c r="V669" s="55">
        <f>G669-K669</f>
        <v/>
      </c>
      <c r="W669" s="55">
        <f>C669-K669</f>
        <v/>
      </c>
      <c r="X669" s="64">
        <f>I669-G669</f>
        <v/>
      </c>
      <c r="Y669" s="72">
        <f>G669-M669</f>
        <v/>
      </c>
    </row>
    <row r="670">
      <c r="A670" s="51" t="n">
        <v>44321</v>
      </c>
      <c r="B670" s="52" t="n">
        <v>36.6</v>
      </c>
      <c r="C670" s="82" t="n">
        <v>0.3635596679820384</v>
      </c>
      <c r="D670" s="52" t="n">
        <v>38.75</v>
      </c>
      <c r="E670" s="86" t="n">
        <v>0.3849163151449177</v>
      </c>
      <c r="F670" s="52" t="n">
        <v>35.04</v>
      </c>
      <c r="G670" s="82" t="n">
        <v>0.3492279336473479</v>
      </c>
      <c r="H670" s="54" t="n">
        <v>36.82</v>
      </c>
      <c r="I670" s="82" t="n">
        <v>0.3678913240602919</v>
      </c>
      <c r="J670" s="54" t="n">
        <v>31.8</v>
      </c>
      <c r="K670" s="82" t="n">
        <v>0.3156166618514301</v>
      </c>
      <c r="L670" s="52" t="n">
        <v>33.87</v>
      </c>
      <c r="M670" s="82" t="n">
        <v>0.3384160550223271</v>
      </c>
      <c r="N670" s="54" t="n">
        <v>32.8</v>
      </c>
      <c r="O670" s="82" t="n">
        <v>0.3277250252356755</v>
      </c>
      <c r="P670" s="55">
        <f>C670-G670</f>
        <v/>
      </c>
      <c r="Q670" s="55">
        <f>E670-C670</f>
        <v/>
      </c>
      <c r="R670" s="55">
        <f>C670-M670</f>
        <v/>
      </c>
      <c r="S670" s="53">
        <f>C670-O670</f>
        <v/>
      </c>
      <c r="T670" s="55">
        <f>E670-O670</f>
        <v/>
      </c>
      <c r="U670" s="55">
        <f>G670-O670</f>
        <v/>
      </c>
      <c r="V670" s="55">
        <f>G670-K670</f>
        <v/>
      </c>
      <c r="W670" s="55">
        <f>C670-K670</f>
        <v/>
      </c>
      <c r="X670" s="64">
        <f>I670-G670</f>
        <v/>
      </c>
      <c r="Y670" s="72">
        <f>G670-M670</f>
        <v/>
      </c>
    </row>
    <row r="671">
      <c r="A671" s="51" t="n">
        <v>44320</v>
      </c>
      <c r="B671" s="52" t="n">
        <v>36.75</v>
      </c>
      <c r="C671" s="82" t="n">
        <v>0.3650596015676029</v>
      </c>
      <c r="D671" s="52" t="n">
        <v>36.61</v>
      </c>
      <c r="E671" s="86" t="n">
        <v>0.3636688983235358</v>
      </c>
      <c r="F671" s="52" t="n">
        <v>35.12</v>
      </c>
      <c r="G671" s="82" t="n">
        <v>0.3500300365900278</v>
      </c>
      <c r="H671" s="54" t="n">
        <v>37.05</v>
      </c>
      <c r="I671" s="82" t="n">
        <v>0.3701906625970079</v>
      </c>
      <c r="J671" s="54" t="n">
        <v>32.01</v>
      </c>
      <c r="K671" s="82" t="n">
        <v>0.3177106418850018</v>
      </c>
      <c r="L671" s="52" t="n">
        <v>33.65</v>
      </c>
      <c r="M671" s="82" t="n">
        <v>0.3362190498350693</v>
      </c>
      <c r="N671" s="54" t="n">
        <v>32.83</v>
      </c>
      <c r="O671" s="82" t="n">
        <v>0.3280258961689547</v>
      </c>
      <c r="P671" s="55">
        <f>C671-G671</f>
        <v/>
      </c>
      <c r="Q671" s="55">
        <f>E671-C671</f>
        <v/>
      </c>
      <c r="R671" s="55">
        <f>C671-M671</f>
        <v/>
      </c>
      <c r="S671" s="53">
        <f>C671-O671</f>
        <v/>
      </c>
      <c r="T671" s="55">
        <f>E671-O671</f>
        <v/>
      </c>
      <c r="U671" s="55">
        <f>G671-O671</f>
        <v/>
      </c>
      <c r="V671" s="55">
        <f>G671-K671</f>
        <v/>
      </c>
      <c r="W671" s="55">
        <f>C671-K671</f>
        <v/>
      </c>
      <c r="X671" s="64">
        <f>I671-G671</f>
        <v/>
      </c>
      <c r="Y671" s="72">
        <f>G671-M671</f>
        <v/>
      </c>
    </row>
    <row r="672">
      <c r="A672" s="51" t="n">
        <v>44319</v>
      </c>
      <c r="B672" s="52" t="n">
        <v>36.77</v>
      </c>
      <c r="C672" s="82" t="n">
        <v>0.3652682143537545</v>
      </c>
      <c r="D672" s="52" t="n">
        <v>39.56</v>
      </c>
      <c r="E672" s="86" t="n">
        <v>0.3929836975750483</v>
      </c>
      <c r="F672" s="52" t="n">
        <v>35.18</v>
      </c>
      <c r="G672" s="82" t="n">
        <v>0.3506328249798615</v>
      </c>
      <c r="H672" s="54" t="n">
        <v>37.07</v>
      </c>
      <c r="I672" s="82" t="n">
        <v>0.3703917630191313</v>
      </c>
      <c r="J672" s="54" t="n">
        <v>32</v>
      </c>
      <c r="K672" s="82" t="n">
        <v>0.3176211049434544</v>
      </c>
      <c r="L672" s="52" t="n">
        <v>33.65</v>
      </c>
      <c r="M672" s="82" t="n">
        <v>0.3362202003127534</v>
      </c>
      <c r="N672" s="54" t="n">
        <v>32.55</v>
      </c>
      <c r="O672" s="82" t="n">
        <v>0.325229346810702</v>
      </c>
      <c r="P672" s="55">
        <f>C672-G672</f>
        <v/>
      </c>
      <c r="Q672" s="55">
        <f>E672-C672</f>
        <v/>
      </c>
      <c r="R672" s="55">
        <f>C672-M672</f>
        <v/>
      </c>
      <c r="S672" s="53">
        <f>C672-O672</f>
        <v/>
      </c>
      <c r="T672" s="55">
        <f>E672-O672</f>
        <v/>
      </c>
      <c r="U672" s="55">
        <f>G672-O672</f>
        <v/>
      </c>
      <c r="V672" s="55">
        <f>G672-K672</f>
        <v/>
      </c>
      <c r="W672" s="55">
        <f>C672-K672</f>
        <v/>
      </c>
      <c r="X672" s="64">
        <f>I672-G672</f>
        <v/>
      </c>
      <c r="Y672" s="72">
        <f>G672-M672</f>
        <v/>
      </c>
    </row>
    <row r="673">
      <c r="A673" s="51" t="n">
        <v>44316</v>
      </c>
      <c r="B673" s="52" t="n">
        <v>36.85</v>
      </c>
      <c r="C673" s="82" t="n">
        <v>0.3660928143712575</v>
      </c>
      <c r="D673" s="52" t="n">
        <v>39</v>
      </c>
      <c r="E673" s="86" t="n">
        <v>0.3874523679912901</v>
      </c>
      <c r="F673" s="52" t="n">
        <v>35.16</v>
      </c>
      <c r="G673" s="82" t="n">
        <v>0.3504478427089022</v>
      </c>
      <c r="H673" s="54" t="n">
        <v>37.21</v>
      </c>
      <c r="I673" s="82" t="n">
        <v>0.3717944155488639</v>
      </c>
      <c r="J673" s="54" t="n">
        <v>32</v>
      </c>
      <c r="K673" s="82" t="n">
        <v>0.3176502583627958</v>
      </c>
      <c r="L673" s="52" t="n">
        <v>34.06</v>
      </c>
      <c r="M673" s="82" t="n">
        <v>0.3403202846975089</v>
      </c>
      <c r="N673" s="54" t="n">
        <v>32.95</v>
      </c>
      <c r="O673" s="82" t="n">
        <v>0.3292294004927457</v>
      </c>
      <c r="P673" s="55">
        <f>C673-G673</f>
        <v/>
      </c>
      <c r="Q673" s="55">
        <f>E673-C673</f>
        <v/>
      </c>
      <c r="R673" s="55">
        <f>C673-M673</f>
        <v/>
      </c>
      <c r="S673" s="53">
        <f>C673-O673</f>
        <v/>
      </c>
      <c r="T673" s="55">
        <f>E673-O673</f>
        <v/>
      </c>
      <c r="U673" s="55">
        <f>G673-O673</f>
        <v/>
      </c>
      <c r="V673" s="55">
        <f>G673-K673</f>
        <v/>
      </c>
      <c r="W673" s="55">
        <f>C673-K673</f>
        <v/>
      </c>
      <c r="X673" s="64">
        <f>I673-G673</f>
        <v/>
      </c>
      <c r="Y673" s="72">
        <f>G673-M673</f>
        <v/>
      </c>
    </row>
    <row r="674">
      <c r="A674" s="51" t="n">
        <v>44315</v>
      </c>
      <c r="B674" s="52" t="n">
        <v>36.8</v>
      </c>
      <c r="C674" s="82" t="n">
        <v>0.3656060317373908</v>
      </c>
      <c r="D674" s="52" t="n">
        <v>39.7</v>
      </c>
      <c r="E674" s="86" t="n">
        <v>0.3944173766297395</v>
      </c>
      <c r="F674" s="52" t="n">
        <v>35.23</v>
      </c>
      <c r="G674" s="82" t="n">
        <v>0.3511503433962779</v>
      </c>
      <c r="H674" s="54" t="n">
        <v>36.75</v>
      </c>
      <c r="I674" s="82" t="n">
        <v>0.3671994497654317</v>
      </c>
      <c r="J674" s="54" t="n">
        <v>31.75</v>
      </c>
      <c r="K674" s="82" t="n">
        <v>0.3151782587854537</v>
      </c>
      <c r="L674" s="52" t="n">
        <v>33.9</v>
      </c>
      <c r="M674" s="82" t="n">
        <v>0.3387227577428064</v>
      </c>
      <c r="N674" s="54" t="n">
        <v>32.75</v>
      </c>
      <c r="O674" s="82" t="n">
        <v>0.327232162716133</v>
      </c>
      <c r="P674" s="55">
        <f>C674-G674</f>
        <v/>
      </c>
      <c r="Q674" s="55">
        <f>E674-C674</f>
        <v/>
      </c>
      <c r="R674" s="55">
        <f>C674-M674</f>
        <v/>
      </c>
      <c r="S674" s="53">
        <f>C674-O674</f>
        <v/>
      </c>
      <c r="T674" s="55">
        <f>E674-O674</f>
        <v/>
      </c>
      <c r="U674" s="55">
        <f>G674-O674</f>
        <v/>
      </c>
      <c r="V674" s="55">
        <f>G674-K674</f>
        <v/>
      </c>
      <c r="W674" s="55">
        <f>C674-K674</f>
        <v/>
      </c>
      <c r="X674" s="64">
        <f>I674-G674</f>
        <v/>
      </c>
      <c r="Y674" s="72">
        <f>G674-M674</f>
        <v/>
      </c>
    </row>
    <row r="675">
      <c r="A675" s="51" t="n">
        <v>44314</v>
      </c>
      <c r="B675" s="52" t="n">
        <v>37.25</v>
      </c>
      <c r="C675" s="82" t="n">
        <v>0.3700868310740922</v>
      </c>
      <c r="D675" s="52" t="n">
        <v>39.25</v>
      </c>
      <c r="E675" s="86" t="n">
        <v>0.389957264957265</v>
      </c>
      <c r="F675" s="52" t="n">
        <v>35.35</v>
      </c>
      <c r="G675" s="82" t="n">
        <v>0.3523512384281384</v>
      </c>
      <c r="H675" s="54" t="n">
        <v>36.96</v>
      </c>
      <c r="I675" s="82" t="n">
        <v>0.3692989960237889</v>
      </c>
      <c r="J675" s="54" t="n">
        <v>32.2</v>
      </c>
      <c r="K675" s="82" t="n">
        <v>0.3196551325550245</v>
      </c>
      <c r="L675" s="52" t="n">
        <v>34.3</v>
      </c>
      <c r="M675" s="82" t="n">
        <v>0.3427206591887434</v>
      </c>
      <c r="N675" s="54" t="n">
        <v>33.15</v>
      </c>
      <c r="O675" s="82" t="n">
        <v>0.3312300248427651</v>
      </c>
      <c r="P675" s="55">
        <f>C675-G675</f>
        <v/>
      </c>
      <c r="Q675" s="55">
        <f>E675-C675</f>
        <v/>
      </c>
      <c r="R675" s="55">
        <f>C675-M675</f>
        <v/>
      </c>
      <c r="S675" s="53">
        <f>C675-O675</f>
        <v/>
      </c>
      <c r="T675" s="55">
        <f>E675-O675</f>
        <v/>
      </c>
      <c r="U675" s="55">
        <f>G675-O675</f>
        <v/>
      </c>
      <c r="V675" s="55">
        <f>G675-K675</f>
        <v/>
      </c>
      <c r="W675" s="55">
        <f>C675-K675</f>
        <v/>
      </c>
      <c r="X675" s="64">
        <f>I675-G675</f>
        <v/>
      </c>
      <c r="Y675" s="72">
        <f>G675-M675</f>
        <v/>
      </c>
    </row>
    <row r="676">
      <c r="A676" s="51" t="n">
        <v>44313</v>
      </c>
      <c r="B676" s="52" t="n">
        <v>36.98</v>
      </c>
      <c r="C676" s="82" t="n">
        <v>0.3674143234341399</v>
      </c>
      <c r="D676" s="52" t="n">
        <v>39.4</v>
      </c>
      <c r="E676" s="86" t="n">
        <v>0.3914582029017067</v>
      </c>
      <c r="F676" s="52" t="n">
        <v>35.25</v>
      </c>
      <c r="G676" s="82" t="n">
        <v>0.3513592856070019</v>
      </c>
      <c r="H676" s="54" t="n">
        <v>37.14</v>
      </c>
      <c r="I676" s="82" t="n">
        <v>0.3710987999466187</v>
      </c>
      <c r="J676" s="54" t="n">
        <v>32.05</v>
      </c>
      <c r="K676" s="82" t="n">
        <v>0.3181757912236981</v>
      </c>
      <c r="L676" s="52" t="n">
        <v>33.9</v>
      </c>
      <c r="M676" s="82" t="n">
        <v>0.3387250758801931</v>
      </c>
      <c r="N676" s="54" t="n">
        <v>32.95</v>
      </c>
      <c r="O676" s="82" t="n">
        <v>0.3292327802434326</v>
      </c>
      <c r="P676" s="55">
        <f>C676-G676</f>
        <v/>
      </c>
      <c r="Q676" s="55">
        <f>E676-C676</f>
        <v/>
      </c>
      <c r="R676" s="55">
        <f>C676-M676</f>
        <v/>
      </c>
      <c r="S676" s="53">
        <f>C676-O676</f>
        <v/>
      </c>
      <c r="T676" s="55">
        <f>E676-O676</f>
        <v/>
      </c>
      <c r="U676" s="55">
        <f>G676-O676</f>
        <v/>
      </c>
      <c r="V676" s="55">
        <f>G676-K676</f>
        <v/>
      </c>
      <c r="W676" s="55">
        <f>C676-K676</f>
        <v/>
      </c>
      <c r="X676" s="64">
        <f>I676-G676</f>
        <v/>
      </c>
      <c r="Y676" s="72">
        <f>G676-M676</f>
        <v/>
      </c>
    </row>
    <row r="677">
      <c r="A677" s="51" t="n">
        <v>44312</v>
      </c>
      <c r="B677" s="52" t="n">
        <v>36.84</v>
      </c>
      <c r="C677" s="82" t="n">
        <v>0.366033318815331</v>
      </c>
      <c r="D677" s="52" t="n">
        <v>39.5</v>
      </c>
      <c r="E677" s="86" t="n">
        <v>0.3924624346689896</v>
      </c>
      <c r="F677" s="52" t="n">
        <v>34.87</v>
      </c>
      <c r="G677" s="82" t="n">
        <v>0.3475763285815719</v>
      </c>
      <c r="H677" s="54" t="n">
        <v>36.85</v>
      </c>
      <c r="I677" s="82" t="n">
        <v>0.368202411749408</v>
      </c>
      <c r="J677" s="54" t="n">
        <v>31.5</v>
      </c>
      <c r="K677" s="82" t="n">
        <v>0.3127252451347051</v>
      </c>
      <c r="L677" s="52" t="n">
        <v>33.75</v>
      </c>
      <c r="M677" s="82" t="n">
        <v>0.3372274463105162</v>
      </c>
      <c r="N677" s="54" t="n">
        <v>32.8</v>
      </c>
      <c r="O677" s="82" t="n">
        <v>0.3277351181921461</v>
      </c>
      <c r="P677" s="55">
        <f>C677-G677</f>
        <v/>
      </c>
      <c r="Q677" s="55">
        <f>E677-C677</f>
        <v/>
      </c>
      <c r="R677" s="55">
        <f>C677-M677</f>
        <v/>
      </c>
      <c r="S677" s="53">
        <f>C677-O677</f>
        <v/>
      </c>
      <c r="T677" s="55">
        <f>E677-O677</f>
        <v/>
      </c>
      <c r="U677" s="55">
        <f>G677-O677</f>
        <v/>
      </c>
      <c r="V677" s="55">
        <f>G677-K677</f>
        <v/>
      </c>
      <c r="W677" s="55">
        <f>C677-K677</f>
        <v/>
      </c>
      <c r="X677" s="64">
        <f>I677-G677</f>
        <v/>
      </c>
      <c r="Y677" s="72">
        <f>G677-M677</f>
        <v/>
      </c>
    </row>
    <row r="678">
      <c r="A678" s="51" t="n">
        <v>44309</v>
      </c>
      <c r="B678" s="52" t="n">
        <v>36.55</v>
      </c>
      <c r="C678" s="82" t="n">
        <v>0.3631816078185827</v>
      </c>
      <c r="D678" s="52" t="n">
        <v>39.75</v>
      </c>
      <c r="E678" s="86" t="n">
        <v>0.3949786295701413</v>
      </c>
      <c r="F678" s="52" t="n">
        <v>34.22</v>
      </c>
      <c r="G678" s="82" t="n">
        <v>0.3411112476615733</v>
      </c>
      <c r="H678" s="54" t="n">
        <v>36.66</v>
      </c>
      <c r="I678" s="82" t="n">
        <v>0.3663077065218507</v>
      </c>
      <c r="J678" s="54" t="n">
        <v>31.5</v>
      </c>
      <c r="K678" s="82" t="n">
        <v>0.312753955327664</v>
      </c>
      <c r="L678" s="52" t="n">
        <v>33.87</v>
      </c>
      <c r="M678" s="82" t="n">
        <v>0.3384299514428555</v>
      </c>
      <c r="N678" s="54" t="n">
        <v>32.8</v>
      </c>
      <c r="O678" s="82" t="n">
        <v>0.327738482649119</v>
      </c>
      <c r="P678" s="55">
        <f>C678-G678</f>
        <v/>
      </c>
      <c r="Q678" s="55">
        <f>E678-C678</f>
        <v/>
      </c>
      <c r="R678" s="55">
        <f>C678-M678</f>
        <v/>
      </c>
      <c r="S678" s="53">
        <f>C678-O678</f>
        <v/>
      </c>
      <c r="T678" s="55">
        <f>E678-O678</f>
        <v/>
      </c>
      <c r="U678" s="55">
        <f>G678-O678</f>
        <v/>
      </c>
      <c r="V678" s="55">
        <f>G678-K678</f>
        <v/>
      </c>
      <c r="W678" s="55">
        <f>C678-K678</f>
        <v/>
      </c>
      <c r="X678" s="64">
        <f>I678-G678</f>
        <v/>
      </c>
      <c r="Y678" s="72">
        <f>G678-M678</f>
        <v/>
      </c>
    </row>
    <row r="679">
      <c r="A679" s="51" t="n">
        <v>44308</v>
      </c>
      <c r="B679" s="52" t="n">
        <v>36.6</v>
      </c>
      <c r="C679" s="82" t="n">
        <v>0.363688337144724</v>
      </c>
      <c r="D679" s="52" t="n">
        <v>39.8</v>
      </c>
      <c r="E679" s="86" t="n">
        <v>0.3954862245453555</v>
      </c>
      <c r="F679" s="52" t="n">
        <v>34.37</v>
      </c>
      <c r="G679" s="82" t="n">
        <v>0.3426111535940572</v>
      </c>
      <c r="H679" s="54" t="n">
        <v>36.7</v>
      </c>
      <c r="I679" s="82" t="n">
        <v>0.3667086424484656</v>
      </c>
      <c r="J679" s="54" t="n">
        <v>31.16</v>
      </c>
      <c r="K679" s="82" t="n">
        <v>0.3093876662767607</v>
      </c>
      <c r="L679" s="52" t="n">
        <v>34.2</v>
      </c>
      <c r="M679" s="82" t="n">
        <v>0.3417284896931206</v>
      </c>
      <c r="N679" s="54" t="n">
        <v>33.45</v>
      </c>
      <c r="O679" s="82" t="n">
        <v>0.334234443866517</v>
      </c>
      <c r="P679" s="55">
        <f>C679-G679</f>
        <v/>
      </c>
      <c r="Q679" s="55">
        <f>E679-C679</f>
        <v/>
      </c>
      <c r="R679" s="55">
        <f>C679-M679</f>
        <v/>
      </c>
      <c r="S679" s="53">
        <f>C679-O679</f>
        <v/>
      </c>
      <c r="T679" s="55">
        <f>E679-O679</f>
        <v/>
      </c>
      <c r="U679" s="55">
        <f>G679-O679</f>
        <v/>
      </c>
      <c r="V679" s="55">
        <f>G679-K679</f>
        <v/>
      </c>
      <c r="W679" s="55">
        <f>C679-K679</f>
        <v/>
      </c>
      <c r="X679" s="64">
        <f>I679-G679</f>
        <v/>
      </c>
      <c r="Y679" s="72">
        <f>G679-M679</f>
        <v/>
      </c>
    </row>
    <row r="680">
      <c r="A680" s="51" t="n">
        <v>44307</v>
      </c>
      <c r="B680" s="52" t="n">
        <v>36.4</v>
      </c>
      <c r="C680" s="82" t="n">
        <v>0.3617108164765457</v>
      </c>
      <c r="D680" s="52" t="n">
        <v>39</v>
      </c>
      <c r="E680" s="86" t="n">
        <v>0.3875473033677275</v>
      </c>
      <c r="F680" s="52" t="n">
        <v>34.35</v>
      </c>
      <c r="G680" s="82" t="n">
        <v>0.342416462973331</v>
      </c>
      <c r="H680" s="54" t="n">
        <v>36.63</v>
      </c>
      <c r="I680" s="82" t="n">
        <v>0.3660104506366539</v>
      </c>
      <c r="J680" s="54" t="n">
        <v>30.95</v>
      </c>
      <c r="K680" s="82" t="n">
        <v>0.3073119807942764</v>
      </c>
      <c r="L680" s="52" t="n">
        <v>33.8</v>
      </c>
      <c r="M680" s="82" t="n">
        <v>0.3377328209532869</v>
      </c>
      <c r="N680" s="54" t="n">
        <v>33</v>
      </c>
      <c r="O680" s="82" t="n">
        <v>0.3297391447177062</v>
      </c>
      <c r="P680" s="55">
        <f>C680-G680</f>
        <v/>
      </c>
      <c r="Q680" s="55">
        <f>E680-C680</f>
        <v/>
      </c>
      <c r="R680" s="55">
        <f>C680-M680</f>
        <v/>
      </c>
      <c r="S680" s="53">
        <f>C680-O680</f>
        <v/>
      </c>
      <c r="T680" s="55">
        <f>E680-O680</f>
        <v/>
      </c>
      <c r="U680" s="55">
        <f>G680-O680</f>
        <v/>
      </c>
      <c r="V680" s="55">
        <f>G680-K680</f>
        <v/>
      </c>
      <c r="W680" s="55">
        <f>C680-K680</f>
        <v/>
      </c>
      <c r="X680" s="64">
        <f>I680-G680</f>
        <v/>
      </c>
      <c r="Y680" s="72">
        <f>G680-M680</f>
        <v/>
      </c>
    </row>
    <row r="681">
      <c r="A681" s="51" t="n">
        <v>44306</v>
      </c>
      <c r="B681" s="52" t="n">
        <v>36.15</v>
      </c>
      <c r="C681" s="82" t="n">
        <v>0.3592363190852164</v>
      </c>
      <c r="D681" s="52" t="n">
        <v>39.35</v>
      </c>
      <c r="E681" s="86" t="n">
        <v>0.3910359379254016</v>
      </c>
      <c r="F681" s="52" t="n">
        <v>34.26</v>
      </c>
      <c r="G681" s="82" t="n">
        <v>0.3415239655878738</v>
      </c>
      <c r="H681" s="54" t="n">
        <v>36.2</v>
      </c>
      <c r="I681" s="82" t="n">
        <v>0.3617150874311331</v>
      </c>
      <c r="J681" s="54" t="n">
        <v>30.86</v>
      </c>
      <c r="K681" s="82" t="n">
        <v>0.3064277212908491</v>
      </c>
      <c r="L681" s="52" t="n">
        <v>33.65</v>
      </c>
      <c r="M681" s="82" t="n">
        <v>0.3362351572391609</v>
      </c>
      <c r="N681" s="54" t="n">
        <v>33</v>
      </c>
      <c r="O681" s="82" t="n">
        <v>0.3297402730725798</v>
      </c>
      <c r="P681" s="55">
        <f>C681-G681</f>
        <v/>
      </c>
      <c r="Q681" s="55">
        <f>E681-C681</f>
        <v/>
      </c>
      <c r="R681" s="55">
        <f>C681-M681</f>
        <v/>
      </c>
      <c r="S681" s="53">
        <f>C681-O681</f>
        <v/>
      </c>
      <c r="T681" s="55">
        <f>E681-O681</f>
        <v/>
      </c>
      <c r="U681" s="55">
        <f>G681-O681</f>
        <v/>
      </c>
      <c r="V681" s="55">
        <f>G681-K681</f>
        <v/>
      </c>
      <c r="W681" s="55">
        <f>C681-K681</f>
        <v/>
      </c>
      <c r="X681" s="64">
        <f>I681-G681</f>
        <v/>
      </c>
      <c r="Y681" s="72">
        <f>G681-M681</f>
        <v/>
      </c>
    </row>
    <row r="682">
      <c r="A682" s="51" t="n">
        <v>44305</v>
      </c>
      <c r="B682" s="52" t="n">
        <v>36.2</v>
      </c>
      <c r="C682" s="82" t="n">
        <v>0.3597429823844919</v>
      </c>
      <c r="D682" s="52" t="n">
        <v>39.31</v>
      </c>
      <c r="E682" s="86" t="n">
        <v>0.3906490783849275</v>
      </c>
      <c r="F682" s="52" t="n">
        <v>34.37</v>
      </c>
      <c r="G682" s="82" t="n">
        <v>0.3426251894741154</v>
      </c>
      <c r="H682" s="54" t="n">
        <v>36.49</v>
      </c>
      <c r="I682" s="82" t="n">
        <v>0.3646140526778657</v>
      </c>
      <c r="J682" s="54" t="n">
        <v>30.8</v>
      </c>
      <c r="K682" s="82" t="n">
        <v>0.3058413050353498</v>
      </c>
      <c r="L682" s="52" t="n">
        <v>33.5</v>
      </c>
      <c r="M682" s="82" t="n">
        <v>0.3347374832751027</v>
      </c>
      <c r="N682" s="54" t="n">
        <v>33.15</v>
      </c>
      <c r="O682" s="82" t="n">
        <v>0.3312402259871539</v>
      </c>
      <c r="P682" s="55">
        <f>C682-G682</f>
        <v/>
      </c>
      <c r="Q682" s="55">
        <f>E682-C682</f>
        <v/>
      </c>
      <c r="R682" s="55">
        <f>C682-M682</f>
        <v/>
      </c>
      <c r="S682" s="53">
        <f>C682-O682</f>
        <v/>
      </c>
      <c r="T682" s="55">
        <f>E682-O682</f>
        <v/>
      </c>
      <c r="U682" s="55">
        <f>G682-O682</f>
        <v/>
      </c>
      <c r="V682" s="55">
        <f>G682-K682</f>
        <v/>
      </c>
      <c r="W682" s="55">
        <f>C682-K682</f>
        <v/>
      </c>
      <c r="X682" s="64">
        <f>I682-G682</f>
        <v/>
      </c>
      <c r="Y682" s="72">
        <f>G682-M682</f>
        <v/>
      </c>
    </row>
    <row r="683">
      <c r="A683" s="51" t="n">
        <v>44302</v>
      </c>
      <c r="B683" s="52" t="n">
        <v>36.2</v>
      </c>
      <c r="C683" s="82" t="n">
        <v>0.3597723683493983</v>
      </c>
      <c r="D683" s="52" t="n">
        <v>38.91</v>
      </c>
      <c r="E683" s="86" t="n">
        <v>0.3867056036595327</v>
      </c>
      <c r="F683" s="52" t="n">
        <v>34.2</v>
      </c>
      <c r="G683" s="82" t="n">
        <v>0.34094447327452</v>
      </c>
      <c r="H683" s="54" t="n">
        <v>36.4</v>
      </c>
      <c r="I683" s="82" t="n">
        <v>0.3637184918521966</v>
      </c>
      <c r="J683" s="54" t="n">
        <v>31</v>
      </c>
      <c r="K683" s="82" t="n">
        <v>0.3078555541195916</v>
      </c>
      <c r="L683" s="52" t="n">
        <v>33.6</v>
      </c>
      <c r="M683" s="82" t="n">
        <v>0.3357401463251046</v>
      </c>
      <c r="N683" s="54" t="n">
        <v>33.15</v>
      </c>
      <c r="O683" s="82" t="n">
        <v>0.3312436265082505</v>
      </c>
      <c r="P683" s="55">
        <f>C683-G683</f>
        <v/>
      </c>
      <c r="Q683" s="55">
        <f>E683-C683</f>
        <v/>
      </c>
      <c r="R683" s="55">
        <f>C683-M683</f>
        <v/>
      </c>
      <c r="S683" s="53">
        <f>C683-O683</f>
        <v/>
      </c>
      <c r="T683" s="55">
        <f>E683-O683</f>
        <v/>
      </c>
      <c r="U683" s="55">
        <f>G683-O683</f>
        <v/>
      </c>
      <c r="V683" s="55">
        <f>G683-K683</f>
        <v/>
      </c>
      <c r="W683" s="55">
        <f>C683-K683</f>
        <v/>
      </c>
      <c r="X683" s="64">
        <f>I683-G683</f>
        <v/>
      </c>
      <c r="Y683" s="72">
        <f>G683-M683</f>
        <v/>
      </c>
    </row>
    <row r="684">
      <c r="A684" s="51" t="n">
        <v>44301</v>
      </c>
      <c r="B684" s="52" t="n">
        <v>36.1</v>
      </c>
      <c r="C684" s="82" t="n">
        <v>0.3587882913546631</v>
      </c>
      <c r="D684" s="52" t="n">
        <v>39</v>
      </c>
      <c r="E684" s="86" t="n">
        <v>0.3876106194690265</v>
      </c>
      <c r="F684" s="52" t="n">
        <v>34.25</v>
      </c>
      <c r="G684" s="82" t="n">
        <v>0.3414475930351656</v>
      </c>
      <c r="H684" s="54" t="n">
        <v>35.98</v>
      </c>
      <c r="I684" s="82" t="n">
        <v>0.3595229703139703</v>
      </c>
      <c r="J684" s="54" t="n">
        <v>30.78</v>
      </c>
      <c r="K684" s="82" t="n">
        <v>0.3056801292407109</v>
      </c>
      <c r="L684" s="52" t="n">
        <v>33.5</v>
      </c>
      <c r="M684" s="82" t="n">
        <v>0.3347420651894944</v>
      </c>
      <c r="N684" s="54" t="n">
        <v>33.1</v>
      </c>
      <c r="O684" s="82" t="n">
        <v>0.3307451450081273</v>
      </c>
      <c r="P684" s="55">
        <f>C684-G684</f>
        <v/>
      </c>
      <c r="Q684" s="55">
        <f>E684-C684</f>
        <v/>
      </c>
      <c r="R684" s="55">
        <f>C684-M684</f>
        <v/>
      </c>
      <c r="S684" s="53">
        <f>C684-O684</f>
        <v/>
      </c>
      <c r="T684" s="55">
        <f>E684-O684</f>
        <v/>
      </c>
      <c r="U684" s="55">
        <f>G684-O684</f>
        <v/>
      </c>
      <c r="V684" s="55">
        <f>G684-K684</f>
        <v/>
      </c>
      <c r="W684" s="55">
        <f>C684-K684</f>
        <v/>
      </c>
      <c r="X684" s="64">
        <f>I684-G684</f>
        <v/>
      </c>
      <c r="Y684" s="72">
        <f>G684-M684</f>
        <v/>
      </c>
    </row>
    <row r="685">
      <c r="A685" s="51" t="n">
        <v>44300</v>
      </c>
      <c r="B685" s="52" t="n">
        <v>36.37</v>
      </c>
      <c r="C685" s="82" t="n">
        <v>0.3614815924191264</v>
      </c>
      <c r="D685" s="52" t="n">
        <v>39.2</v>
      </c>
      <c r="E685" s="86" t="n">
        <v>0.3896089750571833</v>
      </c>
      <c r="F685" s="52" t="n">
        <v>34.57</v>
      </c>
      <c r="G685" s="82" t="n">
        <v>0.3446424669507265</v>
      </c>
      <c r="H685" s="54" t="n">
        <v>36.1</v>
      </c>
      <c r="I685" s="82" t="n">
        <v>0.3607232807709155</v>
      </c>
      <c r="J685" s="54" t="n">
        <v>30.72</v>
      </c>
      <c r="K685" s="82" t="n">
        <v>0.3050936003482804</v>
      </c>
      <c r="L685" s="52" t="n">
        <v>33.65</v>
      </c>
      <c r="M685" s="82" t="n">
        <v>0.3362420608848007</v>
      </c>
      <c r="N685" s="54" t="n">
        <v>33.48</v>
      </c>
      <c r="O685" s="82" t="n">
        <v>0.3345433639947437</v>
      </c>
      <c r="P685" s="55">
        <f>C685-G685</f>
        <v/>
      </c>
      <c r="Q685" s="55">
        <f>E685-C685</f>
        <v/>
      </c>
      <c r="R685" s="55">
        <f>C685-M685</f>
        <v/>
      </c>
      <c r="S685" s="53">
        <f>C685-O685</f>
        <v/>
      </c>
      <c r="T685" s="55">
        <f>E685-O685</f>
        <v/>
      </c>
      <c r="U685" s="55">
        <f>G685-O685</f>
        <v/>
      </c>
      <c r="V685" s="55">
        <f>G685-K685</f>
        <v/>
      </c>
      <c r="W685" s="55">
        <f>C685-K685</f>
        <v/>
      </c>
      <c r="X685" s="64">
        <f>I685-G685</f>
        <v/>
      </c>
      <c r="Y685" s="72">
        <f>G685-M685</f>
        <v/>
      </c>
    </row>
    <row r="686">
      <c r="A686" s="51" t="n">
        <v>44299</v>
      </c>
      <c r="B686" s="52" t="n">
        <v>36.4</v>
      </c>
      <c r="C686" s="82" t="n">
        <v>0.3617896141382784</v>
      </c>
      <c r="D686" s="52" t="n">
        <v>39.9</v>
      </c>
      <c r="E686" s="86" t="n">
        <v>0.3965770770361898</v>
      </c>
      <c r="F686" s="52" t="n">
        <v>34.82</v>
      </c>
      <c r="G686" s="82" t="n">
        <v>0.347139559974325</v>
      </c>
      <c r="H686" s="54" t="n">
        <v>36.39</v>
      </c>
      <c r="I686" s="82" t="n">
        <v>0.3636223021459639</v>
      </c>
      <c r="J686" s="54" t="n">
        <v>30.85</v>
      </c>
      <c r="K686" s="82" t="n">
        <v>0.3063940654474213</v>
      </c>
      <c r="L686" s="52" t="n">
        <v>33.84</v>
      </c>
      <c r="M686" s="82" t="n">
        <v>0.3381417615998741</v>
      </c>
      <c r="N686" s="54" t="n">
        <v>33.5</v>
      </c>
      <c r="O686" s="82" t="n">
        <v>0.3347443561937288</v>
      </c>
      <c r="P686" s="55">
        <f>C686-G686</f>
        <v/>
      </c>
      <c r="Q686" s="55">
        <f>E686-C686</f>
        <v/>
      </c>
      <c r="R686" s="55">
        <f>C686-M686</f>
        <v/>
      </c>
      <c r="S686" s="53">
        <f>C686-O686</f>
        <v/>
      </c>
      <c r="T686" s="55">
        <f>E686-O686</f>
        <v/>
      </c>
      <c r="U686" s="55">
        <f>G686-O686</f>
        <v/>
      </c>
      <c r="V686" s="55">
        <f>G686-K686</f>
        <v/>
      </c>
      <c r="W686" s="55">
        <f>C686-K686</f>
        <v/>
      </c>
      <c r="X686" s="64">
        <f>I686-G686</f>
        <v/>
      </c>
      <c r="Y686" s="72">
        <f>G686-M686</f>
        <v/>
      </c>
    </row>
    <row r="687">
      <c r="A687" s="51" t="n">
        <v>44298</v>
      </c>
      <c r="B687" s="52" t="n">
        <v>36.25</v>
      </c>
      <c r="C687" s="82" t="n">
        <v>0.3603085343935515</v>
      </c>
      <c r="D687" s="52" t="n">
        <v>38.6</v>
      </c>
      <c r="E687" s="86" t="n">
        <v>0.3836664669680301</v>
      </c>
      <c r="F687" s="52" t="n">
        <v>34.65</v>
      </c>
      <c r="G687" s="82" t="n">
        <v>0.345449455081806</v>
      </c>
      <c r="H687" s="54" t="n">
        <v>35.92</v>
      </c>
      <c r="I687" s="82" t="n">
        <v>0.3589271170548419</v>
      </c>
      <c r="J687" s="54" t="n">
        <v>30.6</v>
      </c>
      <c r="K687" s="82" t="n">
        <v>0.3039204348328901</v>
      </c>
      <c r="L687" s="52" t="n">
        <v>33.7</v>
      </c>
      <c r="M687" s="82" t="n">
        <v>0.3367439823148155</v>
      </c>
      <c r="N687" s="54" t="n">
        <v>33.5</v>
      </c>
      <c r="O687" s="82" t="n">
        <v>0.3347455017076059</v>
      </c>
      <c r="P687" s="55">
        <f>C687-G687</f>
        <v/>
      </c>
      <c r="Q687" s="55">
        <f>E687-C687</f>
        <v/>
      </c>
      <c r="R687" s="55">
        <f>C687-M687</f>
        <v/>
      </c>
      <c r="S687" s="53">
        <f>C687-O687</f>
        <v/>
      </c>
      <c r="T687" s="55">
        <f>E687-O687</f>
        <v/>
      </c>
      <c r="U687" s="55">
        <f>G687-O687</f>
        <v/>
      </c>
      <c r="V687" s="55">
        <f>G687-K687</f>
        <v/>
      </c>
      <c r="W687" s="55">
        <f>C687-K687</f>
        <v/>
      </c>
      <c r="X687" s="64">
        <f>I687-G687</f>
        <v/>
      </c>
      <c r="Y687" s="72">
        <f>G687-M687</f>
        <v/>
      </c>
    </row>
    <row r="688">
      <c r="A688" s="51" t="n">
        <v>44295</v>
      </c>
      <c r="B688" s="52" t="n">
        <v>35.62</v>
      </c>
      <c r="C688" s="82" t="n">
        <v>0.3540755467196819</v>
      </c>
      <c r="D688" s="52" t="n">
        <v>37.77</v>
      </c>
      <c r="E688" s="86" t="n">
        <v>0.3754473161033798</v>
      </c>
      <c r="F688" s="52" t="n">
        <v>34.18</v>
      </c>
      <c r="G688" s="82" t="n">
        <v>0.340777666999003</v>
      </c>
      <c r="H688" s="54" t="n">
        <v>35.15</v>
      </c>
      <c r="I688" s="82" t="n">
        <v>0.3512365725705721</v>
      </c>
      <c r="J688" s="54" t="n">
        <v>30.19</v>
      </c>
      <c r="K688" s="82" t="n">
        <v>0.2998758380928731</v>
      </c>
      <c r="L688" s="52" t="n">
        <v>33.1</v>
      </c>
      <c r="M688" s="82" t="n">
        <v>0.330751936047964</v>
      </c>
      <c r="N688" s="54" t="n">
        <v>33.13</v>
      </c>
      <c r="O688" s="82" t="n">
        <v>0.3310517112165876</v>
      </c>
      <c r="P688" s="55">
        <f>C688-G688</f>
        <v/>
      </c>
      <c r="Q688" s="55">
        <f>E688-C688</f>
        <v/>
      </c>
      <c r="R688" s="55">
        <f>C688-M688</f>
        <v/>
      </c>
      <c r="S688" s="53">
        <f>C688-O688</f>
        <v/>
      </c>
      <c r="T688" s="55">
        <f>E688-O688</f>
        <v/>
      </c>
      <c r="U688" s="55">
        <f>G688-O688</f>
        <v/>
      </c>
      <c r="V688" s="55">
        <f>G688-K688</f>
        <v/>
      </c>
      <c r="W688" s="55">
        <f>C688-K688</f>
        <v/>
      </c>
      <c r="X688" s="64">
        <f>I688-G688</f>
        <v/>
      </c>
      <c r="Y688" s="72">
        <f>G688-M688</f>
        <v/>
      </c>
    </row>
    <row r="689">
      <c r="A689" s="51" t="n">
        <v>44294</v>
      </c>
      <c r="B689" s="52" t="n">
        <v>35.88</v>
      </c>
      <c r="C689" s="82" t="n">
        <v>0.3566697532545346</v>
      </c>
      <c r="D689" s="52" t="n">
        <v>37.51</v>
      </c>
      <c r="E689" s="86" t="n">
        <v>0.3728729778310365</v>
      </c>
      <c r="F689" s="52" t="n">
        <v>34.39</v>
      </c>
      <c r="G689" s="82" t="n">
        <v>0.3428760687262695</v>
      </c>
      <c r="H689" s="54" t="n">
        <v>35.38</v>
      </c>
      <c r="I689" s="82" t="n">
        <v>0.3535360586959052</v>
      </c>
      <c r="J689" s="54" t="n">
        <v>30.4</v>
      </c>
      <c r="K689" s="82" t="n">
        <v>0.3019710030548166</v>
      </c>
      <c r="L689" s="52" t="n">
        <v>33.31</v>
      </c>
      <c r="M689" s="82" t="n">
        <v>0.3328515012764443</v>
      </c>
      <c r="N689" s="54" t="n">
        <v>33.1</v>
      </c>
      <c r="O689" s="82" t="n">
        <v>0.3307530679150497</v>
      </c>
      <c r="P689" s="55">
        <f>C689-G689</f>
        <v/>
      </c>
      <c r="Q689" s="55">
        <f>E689-C689</f>
        <v/>
      </c>
      <c r="R689" s="55">
        <f>C689-M689</f>
        <v/>
      </c>
      <c r="S689" s="53">
        <f>C689-O689</f>
        <v/>
      </c>
      <c r="T689" s="55">
        <f>E689-O689</f>
        <v/>
      </c>
      <c r="U689" s="55">
        <f>G689-O689</f>
        <v/>
      </c>
      <c r="V689" s="55">
        <f>G689-K689</f>
        <v/>
      </c>
      <c r="W689" s="55">
        <f>C689-K689</f>
        <v/>
      </c>
      <c r="X689" s="64">
        <f>I689-G689</f>
        <v/>
      </c>
      <c r="Y689" s="72">
        <f>G689-M689</f>
        <v/>
      </c>
    </row>
    <row r="690">
      <c r="A690" s="51" t="n">
        <v>44293</v>
      </c>
      <c r="B690" s="52" t="n">
        <v>35.79</v>
      </c>
      <c r="C690" s="82" t="n">
        <v>0.3557847863387532</v>
      </c>
      <c r="D690" s="52" t="n">
        <v>37.9</v>
      </c>
      <c r="E690" s="86" t="n">
        <v>0.3767600838848489</v>
      </c>
      <c r="F690" s="52" t="n">
        <v>34.57</v>
      </c>
      <c r="G690" s="82" t="n">
        <v>0.344675416911373</v>
      </c>
      <c r="H690" s="54" t="n">
        <v>35.29</v>
      </c>
      <c r="I690" s="82" t="n">
        <v>0.352637936875678</v>
      </c>
      <c r="J690" s="54" t="n">
        <v>30.36</v>
      </c>
      <c r="K690" s="82" t="n">
        <v>0.3015829061108408</v>
      </c>
      <c r="L690" s="52" t="n">
        <v>32.42</v>
      </c>
      <c r="M690" s="82" t="n">
        <v>0.3239592494618725</v>
      </c>
      <c r="N690" s="54" t="n">
        <v>33.2</v>
      </c>
      <c r="O690" s="82" t="n">
        <v>0.3317534571910601</v>
      </c>
      <c r="P690" s="55">
        <f>C690-G690</f>
        <v/>
      </c>
      <c r="Q690" s="55">
        <f>E690-C690</f>
        <v/>
      </c>
      <c r="R690" s="55">
        <f>C690-M690</f>
        <v/>
      </c>
      <c r="S690" s="53">
        <f>C690-O690</f>
        <v/>
      </c>
      <c r="T690" s="55">
        <f>E690-O690</f>
        <v/>
      </c>
      <c r="U690" s="55">
        <f>G690-O690</f>
        <v/>
      </c>
      <c r="V690" s="55">
        <f>G690-K690</f>
        <v/>
      </c>
      <c r="W690" s="55">
        <f>C690-K690</f>
        <v/>
      </c>
      <c r="X690" s="64">
        <f>I690-G690</f>
        <v/>
      </c>
      <c r="Y690" s="72">
        <f>G690-M690</f>
        <v/>
      </c>
    </row>
    <row r="691">
      <c r="A691" s="51" t="n">
        <v>44292</v>
      </c>
      <c r="B691" s="52" t="n">
        <v>35.9</v>
      </c>
      <c r="C691" s="82" t="n">
        <v>0.3568880052293278</v>
      </c>
      <c r="D691" s="52" t="n">
        <v>38.7</v>
      </c>
      <c r="E691" s="86" t="n">
        <v>0.384723281403203</v>
      </c>
      <c r="F691" s="52" t="n">
        <v>34.63</v>
      </c>
      <c r="G691" s="82" t="n">
        <v>0.345278354458042</v>
      </c>
      <c r="H691" s="54" t="n">
        <v>35.4</v>
      </c>
      <c r="I691" s="82" t="n">
        <v>0.3537383305500041</v>
      </c>
      <c r="J691" s="54" t="n">
        <v>30.5</v>
      </c>
      <c r="K691" s="82" t="n">
        <v>0.3029828810929973</v>
      </c>
      <c r="L691" s="52" t="n">
        <v>33.7</v>
      </c>
      <c r="M691" s="82" t="n">
        <v>0.3367508965970378</v>
      </c>
      <c r="N691" s="54" t="n">
        <v>33</v>
      </c>
      <c r="O691" s="82" t="n">
        <v>0.3297560708516987</v>
      </c>
      <c r="P691" s="55">
        <f>C691-G691</f>
        <v/>
      </c>
      <c r="Q691" s="55">
        <f>E691-C691</f>
        <v/>
      </c>
      <c r="R691" s="55">
        <f>C691-M691</f>
        <v/>
      </c>
      <c r="S691" s="53">
        <f>C691-O691</f>
        <v/>
      </c>
      <c r="T691" s="55">
        <f>E691-O691</f>
        <v/>
      </c>
      <c r="U691" s="55">
        <f>G691-O691</f>
        <v/>
      </c>
      <c r="V691" s="55">
        <f>G691-K691</f>
        <v/>
      </c>
      <c r="W691" s="55">
        <f>C691-K691</f>
        <v/>
      </c>
      <c r="X691" s="64">
        <f>I691-G691</f>
        <v/>
      </c>
      <c r="Y691" s="72">
        <f>G691-M691</f>
        <v/>
      </c>
    </row>
    <row r="692">
      <c r="A692" s="51" t="n">
        <v>44291</v>
      </c>
      <c r="B692" s="52" t="n">
        <v>36.16</v>
      </c>
      <c r="C692" s="82" t="n">
        <v>0.3594825003404603</v>
      </c>
      <c r="D692" s="52" t="n">
        <v>38.84</v>
      </c>
      <c r="E692" s="86" t="n">
        <v>0.3861255617594989</v>
      </c>
      <c r="F692" s="52" t="n">
        <v>34.85</v>
      </c>
      <c r="G692" s="82" t="n">
        <v>0.3474766099842929</v>
      </c>
      <c r="H692" s="54" t="n">
        <v>35.35</v>
      </c>
      <c r="I692" s="82" t="n">
        <v>0.3532399089711343</v>
      </c>
      <c r="J692" s="54" t="n">
        <v>30.6</v>
      </c>
      <c r="K692" s="82" t="n">
        <v>0.3039855750421012</v>
      </c>
      <c r="L692" s="52" t="n">
        <v>33.9</v>
      </c>
      <c r="M692" s="82" t="n">
        <v>0.3387505774857553</v>
      </c>
      <c r="N692" s="54" t="n">
        <v>33.25</v>
      </c>
      <c r="O692" s="82" t="n">
        <v>0.3322553599233441</v>
      </c>
      <c r="P692" s="55">
        <f>C692-G692</f>
        <v/>
      </c>
      <c r="Q692" s="55">
        <f>E692-C692</f>
        <v/>
      </c>
      <c r="R692" s="55">
        <f>C692-M692</f>
        <v/>
      </c>
      <c r="S692" s="53">
        <f>C692-O692</f>
        <v/>
      </c>
      <c r="T692" s="55">
        <f>E692-O692</f>
        <v/>
      </c>
      <c r="U692" s="55">
        <f>G692-O692</f>
        <v/>
      </c>
      <c r="V692" s="55">
        <f>G692-K692</f>
        <v/>
      </c>
      <c r="W692" s="55">
        <f>C692-K692</f>
        <v/>
      </c>
      <c r="X692" s="64">
        <f>I692-G692</f>
        <v/>
      </c>
      <c r="Y692" s="72">
        <f>G692-M692</f>
        <v/>
      </c>
    </row>
    <row r="693">
      <c r="A693" s="51" t="n">
        <v>44286</v>
      </c>
      <c r="B693" s="52" t="n">
        <v>36</v>
      </c>
      <c r="C693" s="82" t="n">
        <v>0.3579406156360664</v>
      </c>
      <c r="D693" s="52" t="n">
        <v>38.85</v>
      </c>
      <c r="E693" s="86" t="n">
        <v>0.3862775810405884</v>
      </c>
      <c r="F693" s="52" t="n">
        <v>34.05</v>
      </c>
      <c r="G693" s="82" t="n">
        <v>0.3395232891681464</v>
      </c>
      <c r="H693" s="54" t="n">
        <v>35.01</v>
      </c>
      <c r="I693" s="82" t="n">
        <v>0.3498483967010027</v>
      </c>
      <c r="J693" s="54" t="n">
        <v>30.49</v>
      </c>
      <c r="K693" s="82" t="n">
        <v>0.3029391949368812</v>
      </c>
      <c r="L693" s="52" t="n">
        <v>33.9</v>
      </c>
      <c r="M693" s="82" t="n">
        <v>0.338756373840731</v>
      </c>
      <c r="N693" s="54" t="n">
        <v>33.55</v>
      </c>
      <c r="O693" s="82" t="n">
        <v>0.3352588891550597</v>
      </c>
      <c r="P693" s="55">
        <f>C693-G693</f>
        <v/>
      </c>
      <c r="Q693" s="55">
        <f>E693-C693</f>
        <v/>
      </c>
      <c r="R693" s="55">
        <f>C693-M693</f>
        <v/>
      </c>
      <c r="S693" s="53">
        <f>C693-O693</f>
        <v/>
      </c>
      <c r="T693" s="55">
        <f>E693-O693</f>
        <v/>
      </c>
      <c r="U693" s="55">
        <f>G693-O693</f>
        <v/>
      </c>
      <c r="V693" s="55">
        <f>G693-K693</f>
        <v/>
      </c>
      <c r="W693" s="55">
        <f>C693-K693</f>
        <v/>
      </c>
      <c r="X693" s="64">
        <f>I693-G693</f>
        <v/>
      </c>
      <c r="Y693" s="72">
        <f>G693-M693</f>
        <v/>
      </c>
    </row>
    <row r="694">
      <c r="A694" s="51" t="n">
        <v>44285</v>
      </c>
      <c r="B694" s="52" t="n">
        <v>35.8</v>
      </c>
      <c r="C694" s="82" t="n">
        <v>0.3559617532485221</v>
      </c>
      <c r="D694" s="52" t="n">
        <v>38.1</v>
      </c>
      <c r="E694" s="86" t="n">
        <v>0.3788308044348798</v>
      </c>
      <c r="F694" s="52" t="n">
        <v>34.29</v>
      </c>
      <c r="G694" s="82" t="n">
        <v>0.3419210752776298</v>
      </c>
      <c r="H694" s="54" t="n">
        <v>35.09</v>
      </c>
      <c r="I694" s="82" t="n">
        <v>0.3506490217618212</v>
      </c>
      <c r="J694" s="54" t="n">
        <v>30.69</v>
      </c>
      <c r="K694" s="82" t="n">
        <v>0.3049356712410806</v>
      </c>
      <c r="L694" s="52" t="n">
        <v>34</v>
      </c>
      <c r="M694" s="82" t="n">
        <v>0.3397568178940416</v>
      </c>
      <c r="N694" s="54" t="n">
        <v>33.9</v>
      </c>
      <c r="O694" s="82" t="n">
        <v>0.3387575331355297</v>
      </c>
      <c r="P694" s="55">
        <f>C694-G694</f>
        <v/>
      </c>
      <c r="Q694" s="55">
        <f>E694-C694</f>
        <v/>
      </c>
      <c r="R694" s="55">
        <f>C694-M694</f>
        <v/>
      </c>
      <c r="S694" s="53">
        <f>C694-O694</f>
        <v/>
      </c>
      <c r="T694" s="55">
        <f>E694-O694</f>
        <v/>
      </c>
      <c r="U694" s="55">
        <f>G694-O694</f>
        <v/>
      </c>
      <c r="V694" s="55">
        <f>G694-K694</f>
        <v/>
      </c>
      <c r="W694" s="55">
        <f>C694-K694</f>
        <v/>
      </c>
      <c r="X694" s="64">
        <f>I694-G694</f>
        <v/>
      </c>
      <c r="Y694" s="72">
        <f>G694-M694</f>
        <v/>
      </c>
    </row>
    <row r="695">
      <c r="A695" s="51" t="n">
        <v>44284</v>
      </c>
      <c r="B695" s="52" t="n">
        <v>36.18</v>
      </c>
      <c r="C695" s="82" t="n">
        <v>0.3597499182739458</v>
      </c>
      <c r="D695" s="52" t="n">
        <v>38.11</v>
      </c>
      <c r="E695" s="86" t="n">
        <v>0.3789405579165305</v>
      </c>
      <c r="F695" s="52" t="n">
        <v>34.67</v>
      </c>
      <c r="G695" s="82" t="n">
        <v>0.3457149491858814</v>
      </c>
      <c r="H695" s="54" t="n">
        <v>35.65</v>
      </c>
      <c r="I695" s="82" t="n">
        <v>0.3562462355582325</v>
      </c>
      <c r="J695" s="54" t="n">
        <v>30.81</v>
      </c>
      <c r="K695" s="82" t="n">
        <v>0.3061373659280231</v>
      </c>
      <c r="L695" s="52" t="n">
        <v>34.31</v>
      </c>
      <c r="M695" s="82" t="n">
        <v>0.3428557739692274</v>
      </c>
      <c r="N695" s="54" t="n">
        <v>33.8</v>
      </c>
      <c r="O695" s="82" t="n">
        <v>0.3377594042599792</v>
      </c>
      <c r="P695" s="55">
        <f>C695-G695</f>
        <v/>
      </c>
      <c r="Q695" s="55">
        <f>E695-C695</f>
        <v/>
      </c>
      <c r="R695" s="55">
        <f>C695-M695</f>
        <v/>
      </c>
      <c r="S695" s="53">
        <f>C695-O695</f>
        <v/>
      </c>
      <c r="T695" s="55">
        <f>E695-O695</f>
        <v/>
      </c>
      <c r="U695" s="55">
        <f>G695-O695</f>
        <v/>
      </c>
      <c r="V695" s="55">
        <f>G695-K695</f>
        <v/>
      </c>
      <c r="W695" s="55">
        <f>C695-K695</f>
        <v/>
      </c>
      <c r="X695" s="64">
        <f>I695-G695</f>
        <v/>
      </c>
      <c r="Y695" s="72">
        <f>G695-M695</f>
        <v/>
      </c>
    </row>
    <row r="696">
      <c r="A696" s="51" t="n">
        <v>44281</v>
      </c>
      <c r="B696" s="52" t="n">
        <v>36.5</v>
      </c>
      <c r="C696" s="82" t="n">
        <v>0.3629614493938156</v>
      </c>
      <c r="D696" s="52" t="n">
        <v>39.1</v>
      </c>
      <c r="E696" s="86" t="n">
        <v>0.3888162375698134</v>
      </c>
      <c r="F696" s="52" t="n">
        <v>35.32</v>
      </c>
      <c r="G696" s="82" t="n">
        <v>0.3522109145550167</v>
      </c>
      <c r="H696" s="54" t="n">
        <v>36.21</v>
      </c>
      <c r="I696" s="82" t="n">
        <v>0.3618459643058812</v>
      </c>
      <c r="J696" s="54" t="n">
        <v>31.2</v>
      </c>
      <c r="K696" s="82" t="n">
        <v>0.3100410080144294</v>
      </c>
      <c r="L696" s="52" t="n">
        <v>34.74</v>
      </c>
      <c r="M696" s="82" t="n">
        <v>0.3471562772710939</v>
      </c>
      <c r="N696" s="54" t="n">
        <v>34.35</v>
      </c>
      <c r="O696" s="82" t="n">
        <v>0.3432590133639055</v>
      </c>
      <c r="P696" s="55">
        <f>C696-G696</f>
        <v/>
      </c>
      <c r="Q696" s="55">
        <f>E696-C696</f>
        <v/>
      </c>
      <c r="R696" s="55">
        <f>C696-M696</f>
        <v/>
      </c>
      <c r="S696" s="53">
        <f>C696-O696</f>
        <v/>
      </c>
      <c r="T696" s="55">
        <f>E696-O696</f>
        <v/>
      </c>
      <c r="U696" s="55">
        <f>G696-O696</f>
        <v/>
      </c>
      <c r="V696" s="55">
        <f>G696-K696</f>
        <v/>
      </c>
      <c r="W696" s="55">
        <f>C696-K696</f>
        <v/>
      </c>
      <c r="X696" s="64">
        <f>I696-G696</f>
        <v/>
      </c>
      <c r="Y696" s="72">
        <f>G696-M696</f>
        <v/>
      </c>
    </row>
    <row r="697">
      <c r="A697" s="51" t="n">
        <v>44280</v>
      </c>
      <c r="B697" s="52" t="n">
        <v>36.4</v>
      </c>
      <c r="C697" s="82" t="n">
        <v>0.3619768962510898</v>
      </c>
      <c r="D697" s="52" t="n">
        <v>38.81</v>
      </c>
      <c r="E697" s="86" t="n">
        <v>0.3859429489973845</v>
      </c>
      <c r="F697" s="52" t="n">
        <v>35.33</v>
      </c>
      <c r="G697" s="82" t="n">
        <v>0.35231544724332</v>
      </c>
      <c r="H697" s="54" t="n">
        <v>36.3</v>
      </c>
      <c r="I697" s="82" t="n">
        <v>0.3627465743110977</v>
      </c>
      <c r="J697" s="54" t="n">
        <v>31.51</v>
      </c>
      <c r="K697" s="82" t="n">
        <v>0.3131311343742768</v>
      </c>
      <c r="L697" s="52" t="n">
        <v>34.8</v>
      </c>
      <c r="M697" s="82" t="n">
        <v>0.3477570464470027</v>
      </c>
      <c r="N697" s="54" t="n">
        <v>34.6</v>
      </c>
      <c r="O697" s="82" t="n">
        <v>0.3457584427317901</v>
      </c>
      <c r="P697" s="55">
        <f>C697-G697</f>
        <v/>
      </c>
      <c r="Q697" s="55">
        <f>E697-C697</f>
        <v/>
      </c>
      <c r="R697" s="55">
        <f>C697-M697</f>
        <v/>
      </c>
      <c r="S697" s="53">
        <f>C697-O697</f>
        <v/>
      </c>
      <c r="T697" s="55">
        <f>E697-O697</f>
        <v/>
      </c>
      <c r="U697" s="55">
        <f>G697-O697</f>
        <v/>
      </c>
      <c r="V697" s="55">
        <f>G697-K697</f>
        <v/>
      </c>
      <c r="W697" s="55">
        <f>C697-K697</f>
        <v/>
      </c>
      <c r="X697" s="64">
        <f>I697-G697</f>
        <v/>
      </c>
      <c r="Y697" s="72">
        <f>G697-M697</f>
        <v/>
      </c>
    </row>
    <row r="698">
      <c r="A698" s="51" t="n">
        <v>44278</v>
      </c>
      <c r="B698" s="52" t="n">
        <v>37.25</v>
      </c>
      <c r="C698" s="82" t="n">
        <v>0.3704498392458176</v>
      </c>
      <c r="D698" s="52" t="n">
        <v>40</v>
      </c>
      <c r="E698" s="86" t="n">
        <v>0.39779848509618</v>
      </c>
      <c r="F698" s="52" t="n">
        <v>36</v>
      </c>
      <c r="G698" s="82" t="n">
        <v>0.3590065845195486</v>
      </c>
      <c r="H698" s="54" t="n">
        <v>37.08</v>
      </c>
      <c r="I698" s="82" t="n">
        <v>0.3705436649988706</v>
      </c>
      <c r="J698" s="54" t="n">
        <v>32.74</v>
      </c>
      <c r="K698" s="82" t="n">
        <v>0.3253742112464179</v>
      </c>
      <c r="L698" s="52" t="n">
        <v>35.32</v>
      </c>
      <c r="M698" s="82" t="n">
        <v>0.3529558319244906</v>
      </c>
      <c r="N698" s="54" t="n">
        <v>35.25</v>
      </c>
      <c r="O698" s="82" t="n">
        <v>0.352256315836305</v>
      </c>
      <c r="P698" s="55">
        <f>C698-G698</f>
        <v/>
      </c>
      <c r="Q698" s="55">
        <f>E698-C698</f>
        <v/>
      </c>
      <c r="R698" s="55">
        <f>C698-M698</f>
        <v/>
      </c>
      <c r="S698" s="53">
        <f>C698-O698</f>
        <v/>
      </c>
      <c r="T698" s="55">
        <f>E698-O698</f>
        <v/>
      </c>
      <c r="U698" s="55">
        <f>G698-O698</f>
        <v/>
      </c>
      <c r="V698" s="55">
        <f>G698-K698</f>
        <v/>
      </c>
      <c r="W698" s="55">
        <f>C698-K698</f>
        <v/>
      </c>
      <c r="X698" s="64">
        <f>I698-G698</f>
        <v/>
      </c>
      <c r="Y698" s="72">
        <f>G698-M698</f>
        <v/>
      </c>
    </row>
    <row r="699">
      <c r="A699" s="51" t="n">
        <v>44277</v>
      </c>
      <c r="B699" s="52" t="n">
        <v>37.55</v>
      </c>
      <c r="C699" s="82" t="n">
        <v>0.3734435029018283</v>
      </c>
      <c r="D699" s="52" t="n">
        <v>40</v>
      </c>
      <c r="E699" s="86" t="n">
        <v>0.3978093239966213</v>
      </c>
      <c r="F699" s="52" t="n">
        <v>36.41</v>
      </c>
      <c r="G699" s="82" t="n">
        <v>0.3631002308711629</v>
      </c>
      <c r="H699" s="54" t="n">
        <v>37.55</v>
      </c>
      <c r="I699" s="82" t="n">
        <v>0.3752417000626281</v>
      </c>
      <c r="J699" s="54" t="n">
        <v>32.75</v>
      </c>
      <c r="K699" s="82" t="n">
        <v>0.3254835624504355</v>
      </c>
      <c r="L699" s="52" t="n">
        <v>35.3</v>
      </c>
      <c r="M699" s="82" t="n">
        <v>0.3527571774223907</v>
      </c>
      <c r="N699" s="54" t="n">
        <v>34.85</v>
      </c>
      <c r="O699" s="82" t="n">
        <v>0.3482602728943433</v>
      </c>
      <c r="P699" s="55">
        <f>C699-G699</f>
        <v/>
      </c>
      <c r="Q699" s="55">
        <f>E699-C699</f>
        <v/>
      </c>
      <c r="R699" s="55">
        <f>C699-M699</f>
        <v/>
      </c>
      <c r="S699" s="53">
        <f>C699-O699</f>
        <v/>
      </c>
      <c r="T699" s="55">
        <f>E699-O699</f>
        <v/>
      </c>
      <c r="U699" s="55">
        <f>G699-O699</f>
        <v/>
      </c>
      <c r="V699" s="55">
        <f>G699-K699</f>
        <v/>
      </c>
      <c r="W699" s="55">
        <f>C699-K699</f>
        <v/>
      </c>
      <c r="X699" s="64">
        <f>I699-G699</f>
        <v/>
      </c>
      <c r="Y699" s="72">
        <f>G699-M699</f>
        <v/>
      </c>
    </row>
    <row r="700">
      <c r="A700" s="51" t="n">
        <v>44274</v>
      </c>
      <c r="B700" s="52" t="n">
        <v>37</v>
      </c>
      <c r="C700" s="82" t="n">
        <v>0.3680037059240285</v>
      </c>
      <c r="D700" s="52" t="n">
        <v>39.6</v>
      </c>
      <c r="E700" s="86" t="n">
        <v>0.3938634257997711</v>
      </c>
      <c r="F700" s="52" t="n">
        <v>35.92</v>
      </c>
      <c r="G700" s="82" t="n">
        <v>0.3582283668952704</v>
      </c>
      <c r="H700" s="54" t="n">
        <v>36.95</v>
      </c>
      <c r="I700" s="82" t="n">
        <v>0.3692496184094347</v>
      </c>
      <c r="J700" s="54" t="n">
        <v>32.16</v>
      </c>
      <c r="K700" s="82" t="n">
        <v>0.3196492637397798</v>
      </c>
      <c r="L700" s="52" t="n">
        <v>34.45</v>
      </c>
      <c r="M700" s="82" t="n">
        <v>0.344266558977132</v>
      </c>
      <c r="N700" s="54" t="n">
        <v>34.25</v>
      </c>
      <c r="O700" s="82" t="n">
        <v>0.3422679142225477</v>
      </c>
      <c r="P700" s="55">
        <f>C700-G700</f>
        <v/>
      </c>
      <c r="Q700" s="55">
        <f>E700-C700</f>
        <v/>
      </c>
      <c r="R700" s="55">
        <f>C700-M700</f>
        <v/>
      </c>
      <c r="S700" s="53">
        <f>C700-O700</f>
        <v/>
      </c>
      <c r="T700" s="55">
        <f>E700-O700</f>
        <v/>
      </c>
      <c r="U700" s="55">
        <f>G700-O700</f>
        <v/>
      </c>
      <c r="V700" s="55">
        <f>G700-K700</f>
        <v/>
      </c>
      <c r="W700" s="55">
        <f>C700-K700</f>
        <v/>
      </c>
      <c r="X700" s="64">
        <f>I700-G700</f>
        <v/>
      </c>
      <c r="Y700" s="72">
        <f>G700-M700</f>
        <v/>
      </c>
    </row>
    <row r="701">
      <c r="A701" s="51" t="n">
        <v>44273</v>
      </c>
      <c r="B701" s="52" t="n">
        <v>36.72</v>
      </c>
      <c r="C701" s="82" t="n">
        <v>0.3652287652941657</v>
      </c>
      <c r="D701" s="52" t="n">
        <v>39.79</v>
      </c>
      <c r="E701" s="86" t="n">
        <v>0.3957639589067226</v>
      </c>
      <c r="F701" s="52" t="n">
        <v>35.82</v>
      </c>
      <c r="G701" s="82" t="n">
        <v>0.3572359522931268</v>
      </c>
      <c r="H701" s="54" t="n">
        <v>36.61</v>
      </c>
      <c r="I701" s="82" t="n">
        <v>0.3658531743994634</v>
      </c>
      <c r="J701" s="54" t="n">
        <v>31.6</v>
      </c>
      <c r="K701" s="82" t="n">
        <v>0.3140928540063246</v>
      </c>
      <c r="L701" s="52" t="n">
        <v>33.92</v>
      </c>
      <c r="M701" s="82" t="n">
        <v>0.3389713104515105</v>
      </c>
      <c r="N701" s="54" t="n">
        <v>33.95</v>
      </c>
      <c r="O701" s="82" t="n">
        <v>0.339271108190707</v>
      </c>
      <c r="P701" s="55">
        <f>C701-G701</f>
        <v/>
      </c>
      <c r="Q701" s="55">
        <f>E701-C701</f>
        <v/>
      </c>
      <c r="R701" s="55">
        <f>C701-M701</f>
        <v/>
      </c>
      <c r="S701" s="53">
        <f>C701-O701</f>
        <v/>
      </c>
      <c r="T701" s="55">
        <f>E701-O701</f>
        <v/>
      </c>
      <c r="U701" s="55">
        <f>G701-O701</f>
        <v/>
      </c>
      <c r="V701" s="55">
        <f>G701-K701</f>
        <v/>
      </c>
      <c r="W701" s="55">
        <f>C701-K701</f>
        <v/>
      </c>
      <c r="X701" s="64">
        <f>I701-G701</f>
        <v/>
      </c>
      <c r="Y701" s="72">
        <f>G701-M701</f>
        <v/>
      </c>
    </row>
    <row r="702">
      <c r="A702" s="51" t="n">
        <v>44272</v>
      </c>
      <c r="B702" s="52" t="n">
        <v>36.84</v>
      </c>
      <c r="C702" s="82" t="n">
        <v>0.3664323086984958</v>
      </c>
      <c r="D702" s="52" t="n">
        <v>39.85</v>
      </c>
      <c r="E702" s="86" t="n">
        <v>0.3963715391323305</v>
      </c>
      <c r="F702" s="52" t="n">
        <v>35.8</v>
      </c>
      <c r="G702" s="82" t="n">
        <v>0.3570413683807858</v>
      </c>
      <c r="H702" s="54" t="n">
        <v>36.88</v>
      </c>
      <c r="I702" s="82" t="n">
        <v>0.3685526153677668</v>
      </c>
      <c r="J702" s="54" t="n">
        <v>31.66</v>
      </c>
      <c r="K702" s="82" t="n">
        <v>0.3146988739260086</v>
      </c>
      <c r="L702" s="52" t="n">
        <v>34.05</v>
      </c>
      <c r="M702" s="82" t="n">
        <v>0.3402715985160645</v>
      </c>
      <c r="N702" s="54" t="n">
        <v>33.75</v>
      </c>
      <c r="O702" s="82" t="n">
        <v>0.3372736108639406</v>
      </c>
      <c r="P702" s="55">
        <f>C702-G702</f>
        <v/>
      </c>
      <c r="Q702" s="55">
        <f>E702-C702</f>
        <v/>
      </c>
      <c r="R702" s="55">
        <f>C702-M702</f>
        <v/>
      </c>
      <c r="S702" s="53">
        <f>C702-O702</f>
        <v/>
      </c>
      <c r="T702" s="55">
        <f>E702-O702</f>
        <v/>
      </c>
      <c r="U702" s="55">
        <f>G702-O702</f>
        <v/>
      </c>
      <c r="V702" s="55">
        <f>G702-K702</f>
        <v/>
      </c>
      <c r="W702" s="55">
        <f>C702-K702</f>
        <v/>
      </c>
      <c r="X702" s="64">
        <f>I702-G702</f>
        <v/>
      </c>
      <c r="Y702" s="72">
        <f>G702-M702</f>
        <v/>
      </c>
    </row>
    <row r="703">
      <c r="A703" s="51" t="n">
        <v>44271</v>
      </c>
      <c r="B703" s="52" t="n">
        <v>36.65</v>
      </c>
      <c r="C703" s="82" t="n">
        <v>0.3645523913339692</v>
      </c>
      <c r="D703" s="52" t="n">
        <v>39.99</v>
      </c>
      <c r="E703" s="86" t="n">
        <v>0.3977749012126993</v>
      </c>
      <c r="F703" s="52" t="n">
        <v>35.4</v>
      </c>
      <c r="G703" s="82" t="n">
        <v>0.3530569027939067</v>
      </c>
      <c r="H703" s="54" t="n">
        <v>36.3</v>
      </c>
      <c r="I703" s="82" t="n">
        <v>0.3627577473947193</v>
      </c>
      <c r="J703" s="54" t="n">
        <v>31.29</v>
      </c>
      <c r="K703" s="82" t="n">
        <v>0.3110306207553914</v>
      </c>
      <c r="L703" s="52" t="n">
        <v>34.25</v>
      </c>
      <c r="M703" s="82" t="n">
        <v>0.3422714283269734</v>
      </c>
      <c r="N703" s="54" t="n">
        <v>33.49</v>
      </c>
      <c r="O703" s="82" t="n">
        <v>0.3346765002823457</v>
      </c>
      <c r="P703" s="55">
        <f>C703-G703</f>
        <v/>
      </c>
      <c r="Q703" s="55">
        <f>E703-C703</f>
        <v/>
      </c>
      <c r="R703" s="55">
        <f>C703-M703</f>
        <v/>
      </c>
      <c r="S703" s="53">
        <f>C703-O703</f>
        <v/>
      </c>
      <c r="T703" s="55">
        <f>E703-O703</f>
        <v/>
      </c>
      <c r="U703" s="55">
        <f>G703-O703</f>
        <v/>
      </c>
      <c r="V703" s="55">
        <f>G703-K703</f>
        <v/>
      </c>
      <c r="W703" s="55">
        <f>C703-K703</f>
        <v/>
      </c>
      <c r="X703" s="64">
        <f>I703-G703</f>
        <v/>
      </c>
      <c r="Y703" s="72">
        <f>G703-M703</f>
        <v/>
      </c>
    </row>
    <row r="704">
      <c r="A704" s="51" t="n">
        <v>44270</v>
      </c>
      <c r="B704" s="52" t="n">
        <v>36.48</v>
      </c>
      <c r="C704" s="82" t="n">
        <v>0.3628713141112988</v>
      </c>
      <c r="D704" s="52" t="n">
        <v>38.7</v>
      </c>
      <c r="E704" s="86" t="n">
        <v>0.384953943423993</v>
      </c>
      <c r="F704" s="52" t="n">
        <v>34.96</v>
      </c>
      <c r="G704" s="82" t="n">
        <v>0.3486733885291144</v>
      </c>
      <c r="H704" s="54" t="n">
        <v>35.95</v>
      </c>
      <c r="I704" s="82" t="n">
        <v>0.3592613126895146</v>
      </c>
      <c r="J704" s="54" t="n">
        <v>30.95</v>
      </c>
      <c r="K704" s="82" t="n">
        <v>0.307660359630429</v>
      </c>
      <c r="L704" s="52" t="n">
        <v>33.65</v>
      </c>
      <c r="M704" s="82" t="n">
        <v>0.336276583365846</v>
      </c>
      <c r="N704" s="54" t="n">
        <v>33.45</v>
      </c>
      <c r="O704" s="82" t="n">
        <v>0.3342779112507444</v>
      </c>
      <c r="P704" s="55">
        <f>C704-G704</f>
        <v/>
      </c>
      <c r="Q704" s="55">
        <f>E704-C704</f>
        <v/>
      </c>
      <c r="R704" s="55">
        <f>C704-M704</f>
        <v/>
      </c>
      <c r="S704" s="53">
        <f>C704-O704</f>
        <v/>
      </c>
      <c r="T704" s="55">
        <f>E704-O704</f>
        <v/>
      </c>
      <c r="U704" s="55">
        <f>G704-O704</f>
        <v/>
      </c>
      <c r="V704" s="55">
        <f>G704-K704</f>
        <v/>
      </c>
      <c r="W704" s="55">
        <f>C704-K704</f>
        <v/>
      </c>
      <c r="X704" s="64">
        <f>I704-G704</f>
        <v/>
      </c>
      <c r="Y704" s="72">
        <f>G704-M704</f>
        <v/>
      </c>
    </row>
    <row r="705">
      <c r="A705" s="51" t="n">
        <v>44267</v>
      </c>
      <c r="B705" s="52" t="n">
        <v>35.51</v>
      </c>
      <c r="C705" s="82" t="n">
        <v>0.3532514785642256</v>
      </c>
      <c r="D705" s="52" t="n">
        <v>37.8</v>
      </c>
      <c r="E705" s="86" t="n">
        <v>0.3760322694938813</v>
      </c>
      <c r="F705" s="52" t="n">
        <v>34.39</v>
      </c>
      <c r="G705" s="82" t="n">
        <v>0.3430025549589431</v>
      </c>
      <c r="H705" s="54" t="n">
        <v>35.31</v>
      </c>
      <c r="I705" s="82" t="n">
        <v>0.3528691848824912</v>
      </c>
      <c r="J705" s="54" t="n">
        <v>30.5</v>
      </c>
      <c r="K705" s="82" t="n">
        <v>0.3032149775806128</v>
      </c>
      <c r="L705" s="52" t="n">
        <v>32.75</v>
      </c>
      <c r="M705" s="82" t="n">
        <v>0.3272859191419311</v>
      </c>
      <c r="N705" s="54" t="n">
        <v>32.5</v>
      </c>
      <c r="O705" s="82" t="n">
        <v>0.3247875533469546</v>
      </c>
      <c r="P705" s="55">
        <f>C705-G705</f>
        <v/>
      </c>
      <c r="Q705" s="55">
        <f>E705-C705</f>
        <v/>
      </c>
      <c r="R705" s="55">
        <f>C705-M705</f>
        <v/>
      </c>
      <c r="S705" s="53">
        <f>C705-O705</f>
        <v/>
      </c>
      <c r="T705" s="55">
        <f>E705-O705</f>
        <v/>
      </c>
      <c r="U705" s="55">
        <f>G705-O705</f>
        <v/>
      </c>
      <c r="V705" s="55">
        <f>G705-K705</f>
        <v/>
      </c>
      <c r="W705" s="55">
        <f>C705-K705</f>
        <v/>
      </c>
      <c r="X705" s="64">
        <f>I705-G705</f>
        <v/>
      </c>
      <c r="Y705" s="72">
        <f>G705-M705</f>
        <v/>
      </c>
    </row>
    <row r="706">
      <c r="A706" s="51" t="n">
        <v>44266</v>
      </c>
      <c r="B706" s="52" t="n">
        <v>34.95</v>
      </c>
      <c r="C706" s="82" t="n">
        <v>0.3476901062959935</v>
      </c>
      <c r="D706" s="52" t="n">
        <v>37.2</v>
      </c>
      <c r="E706" s="86" t="n">
        <v>0.370073589533933</v>
      </c>
      <c r="F706" s="52" t="n">
        <v>33.51</v>
      </c>
      <c r="G706" s="82" t="n">
        <v>0.334230086077333</v>
      </c>
      <c r="H706" s="54" t="n">
        <v>34.65</v>
      </c>
      <c r="I706" s="82" t="n">
        <v>0.3462746842807762</v>
      </c>
      <c r="J706" s="54" t="n">
        <v>30.26</v>
      </c>
      <c r="K706" s="82" t="n">
        <v>0.3008382418031392</v>
      </c>
      <c r="L706" s="52" t="n">
        <v>32.05</v>
      </c>
      <c r="M706" s="82" t="n">
        <v>0.3202915910879907</v>
      </c>
      <c r="N706" s="54" t="n">
        <v>31.5</v>
      </c>
      <c r="O706" s="82" t="n">
        <v>0.3147951675279784</v>
      </c>
      <c r="P706" s="55">
        <f>C706-G706</f>
        <v/>
      </c>
      <c r="Q706" s="55">
        <f>E706-C706</f>
        <v/>
      </c>
      <c r="R706" s="55">
        <f>C706-M706</f>
        <v/>
      </c>
      <c r="S706" s="53">
        <f>C706-O706</f>
        <v/>
      </c>
      <c r="T706" s="55">
        <f>E706-O706</f>
        <v/>
      </c>
      <c r="U706" s="55">
        <f>G706-O706</f>
        <v/>
      </c>
      <c r="V706" s="55">
        <f>G706-K706</f>
        <v/>
      </c>
      <c r="W706" s="55">
        <f>C706-K706</f>
        <v/>
      </c>
      <c r="X706" s="64">
        <f>I706-G706</f>
        <v/>
      </c>
      <c r="Y706" s="72">
        <f>G706-M706</f>
        <v/>
      </c>
    </row>
    <row r="707">
      <c r="A707" s="51" t="n">
        <v>44265</v>
      </c>
      <c r="B707" s="52" t="n">
        <v>35</v>
      </c>
      <c r="C707" s="82" t="n">
        <v>0.3481970072773856</v>
      </c>
      <c r="D707" s="52" t="n">
        <v>37</v>
      </c>
      <c r="E707" s="86" t="n">
        <v>0.3680939791218076</v>
      </c>
      <c r="F707" s="52" t="n">
        <v>33.51</v>
      </c>
      <c r="G707" s="82" t="n">
        <v>0.3342346527483638</v>
      </c>
      <c r="H707" s="54" t="n">
        <v>34.39</v>
      </c>
      <c r="I707" s="82" t="n">
        <v>0.3436775511740688</v>
      </c>
      <c r="J707" s="54" t="n">
        <v>29.8</v>
      </c>
      <c r="K707" s="82" t="n">
        <v>0.2962741018927413</v>
      </c>
      <c r="L707" s="52" t="n">
        <v>32.1</v>
      </c>
      <c r="M707" s="82" t="n">
        <v>0.3207923638466883</v>
      </c>
      <c r="N707" s="54" t="n">
        <v>31.42</v>
      </c>
      <c r="O707" s="82" t="n">
        <v>0.3139967623695622</v>
      </c>
      <c r="P707" s="55">
        <f>C707-G707</f>
        <v/>
      </c>
      <c r="Q707" s="55">
        <f>E707-C707</f>
        <v/>
      </c>
      <c r="R707" s="55">
        <f>C707-M707</f>
        <v/>
      </c>
      <c r="S707" s="53">
        <f>C707-O707</f>
        <v/>
      </c>
      <c r="T707" s="55">
        <f>E707-O707</f>
        <v/>
      </c>
      <c r="U707" s="55">
        <f>G707-O707</f>
        <v/>
      </c>
      <c r="V707" s="55">
        <f>G707-K707</f>
        <v/>
      </c>
      <c r="W707" s="55">
        <f>C707-K707</f>
        <v/>
      </c>
      <c r="X707" s="64">
        <f>I707-G707</f>
        <v/>
      </c>
      <c r="Y707" s="72">
        <f>G707-M707</f>
        <v/>
      </c>
    </row>
    <row r="708">
      <c r="A708" s="51" t="n">
        <v>44264</v>
      </c>
      <c r="B708" s="52" t="n">
        <v>36.25</v>
      </c>
      <c r="C708" s="82" t="n">
        <v>0.3606424443959878</v>
      </c>
      <c r="D708" s="52" t="n">
        <v>38.3</v>
      </c>
      <c r="E708" s="86" t="n">
        <v>0.3810373964238988</v>
      </c>
      <c r="F708" s="52" t="n">
        <v>35.14</v>
      </c>
      <c r="G708" s="82" t="n">
        <v>0.3504973492922337</v>
      </c>
      <c r="H708" s="54" t="n">
        <v>35.26</v>
      </c>
      <c r="I708" s="82" t="n">
        <v>0.3523731296288691</v>
      </c>
      <c r="J708" s="54" t="n">
        <v>30.52</v>
      </c>
      <c r="K708" s="82" t="n">
        <v>0.3034417008294404</v>
      </c>
      <c r="L708" s="52" t="n">
        <v>32.6</v>
      </c>
      <c r="M708" s="82" t="n">
        <v>0.3257902446370146</v>
      </c>
      <c r="N708" s="54" t="n">
        <v>31.98</v>
      </c>
      <c r="O708" s="82" t="n">
        <v>0.3195942338494394</v>
      </c>
      <c r="P708" s="55">
        <f>C708-G708</f>
        <v/>
      </c>
      <c r="Q708" s="55">
        <f>E708-C708</f>
        <v/>
      </c>
      <c r="R708" s="55">
        <f>C708-M708</f>
        <v/>
      </c>
      <c r="S708" s="53">
        <f>C708-O708</f>
        <v/>
      </c>
      <c r="T708" s="55">
        <f>E708-O708</f>
        <v/>
      </c>
      <c r="U708" s="55">
        <f>G708-O708</f>
        <v/>
      </c>
      <c r="V708" s="55">
        <f>G708-K708</f>
        <v/>
      </c>
      <c r="W708" s="55">
        <f>C708-K708</f>
        <v/>
      </c>
      <c r="X708" s="64">
        <f>I708-G708</f>
        <v/>
      </c>
      <c r="Y708" s="72">
        <f>G708-M708</f>
        <v/>
      </c>
    </row>
    <row r="709">
      <c r="A709" s="51" t="n">
        <v>44263</v>
      </c>
      <c r="B709" s="52" t="n">
        <v>36.89</v>
      </c>
      <c r="C709" s="82" t="n">
        <v>0.3670196527380271</v>
      </c>
      <c r="D709" s="52" t="n">
        <v>39.8</v>
      </c>
      <c r="E709" s="86" t="n">
        <v>0.3959713249925041</v>
      </c>
      <c r="F709" s="52" t="n">
        <v>35.7</v>
      </c>
      <c r="G709" s="82" t="n">
        <v>0.3560878298058399</v>
      </c>
      <c r="H709" s="54" t="n">
        <v>36.08</v>
      </c>
      <c r="I709" s="82" t="n">
        <v>0.3605690876048558</v>
      </c>
      <c r="J709" s="54" t="n">
        <v>31.65</v>
      </c>
      <c r="K709" s="82" t="n">
        <v>0.3146862433303936</v>
      </c>
      <c r="L709" s="52" t="n">
        <v>33.05</v>
      </c>
      <c r="M709" s="82" t="n">
        <v>0.33028847963804</v>
      </c>
      <c r="N709" s="54" t="n">
        <v>32</v>
      </c>
      <c r="O709" s="82" t="n">
        <v>0.3197951996495395</v>
      </c>
      <c r="P709" s="55">
        <f>C709-G709</f>
        <v/>
      </c>
      <c r="Q709" s="55">
        <f>E709-C709</f>
        <v/>
      </c>
      <c r="R709" s="55">
        <f>C709-M709</f>
        <v/>
      </c>
      <c r="S709" s="53">
        <f>C709-O709</f>
        <v/>
      </c>
      <c r="T709" s="55">
        <f>E709-O709</f>
        <v/>
      </c>
      <c r="U709" s="55">
        <f>G709-O709</f>
        <v/>
      </c>
      <c r="V709" s="55">
        <f>G709-K709</f>
        <v/>
      </c>
      <c r="W709" s="55">
        <f>C709-K709</f>
        <v/>
      </c>
      <c r="X709" s="64">
        <f>I709-G709</f>
        <v/>
      </c>
      <c r="Y709" s="72">
        <f>G709-M709</f>
        <v/>
      </c>
    </row>
    <row r="710">
      <c r="A710" s="51" t="n">
        <v>44260</v>
      </c>
      <c r="B710" s="52" t="n">
        <v>37.51</v>
      </c>
      <c r="C710" s="82" t="n">
        <v>0.3732185694035547</v>
      </c>
      <c r="D710" s="52" t="n">
        <v>38.5</v>
      </c>
      <c r="E710" s="86" t="n">
        <v>0.3830689128775488</v>
      </c>
      <c r="F710" s="52" t="n">
        <v>35.75</v>
      </c>
      <c r="G710" s="82" t="n">
        <v>0.3566011696545693</v>
      </c>
      <c r="H710" s="54" t="n">
        <v>36.08</v>
      </c>
      <c r="I710" s="82" t="n">
        <v>0.3605727897489253</v>
      </c>
      <c r="J710" s="54" t="n">
        <v>31.65</v>
      </c>
      <c r="K710" s="82" t="n">
        <v>0.3147151769417277</v>
      </c>
      <c r="L710" s="52" t="n">
        <v>33.5</v>
      </c>
      <c r="M710" s="82" t="n">
        <v>0.3347890370451496</v>
      </c>
      <c r="N710" s="54" t="n">
        <v>32.26</v>
      </c>
      <c r="O710" s="82" t="n">
        <v>0.3223968458231799</v>
      </c>
      <c r="P710" s="55">
        <f>C710-G710</f>
        <v/>
      </c>
      <c r="Q710" s="55">
        <f>E710-C710</f>
        <v/>
      </c>
      <c r="R710" s="55">
        <f>C710-M710</f>
        <v/>
      </c>
      <c r="S710" s="53">
        <f>C710-O710</f>
        <v/>
      </c>
      <c r="T710" s="55">
        <f>E710-O710</f>
        <v/>
      </c>
      <c r="U710" s="55">
        <f>G710-O710</f>
        <v/>
      </c>
      <c r="V710" s="55">
        <f>G710-K710</f>
        <v/>
      </c>
      <c r="W710" s="55">
        <f>C710-K710</f>
        <v/>
      </c>
      <c r="X710" s="64">
        <f>I710-G710</f>
        <v/>
      </c>
      <c r="Y710" s="72">
        <f>G710-M710</f>
        <v/>
      </c>
    </row>
    <row r="711">
      <c r="A711" s="51" t="n">
        <v>44259</v>
      </c>
      <c r="B711" s="52" t="n">
        <v>37.8</v>
      </c>
      <c r="C711" s="82" t="n">
        <v>0.3761142763677998</v>
      </c>
      <c r="D711" s="52" t="n">
        <v>40.4</v>
      </c>
      <c r="E711" s="86" t="n">
        <v>0.4019845705095003</v>
      </c>
      <c r="F711" s="52" t="n">
        <v>36.38</v>
      </c>
      <c r="G711" s="82" t="n">
        <v>0.3628902887282566</v>
      </c>
      <c r="H711" s="54" t="n">
        <v>36.98</v>
      </c>
      <c r="I711" s="82" t="n">
        <v>0.3695683869355849</v>
      </c>
      <c r="J711" s="54" t="n">
        <v>32.56</v>
      </c>
      <c r="K711" s="82" t="n">
        <v>0.3237737828072482</v>
      </c>
      <c r="L711" s="52" t="n">
        <v>33.8</v>
      </c>
      <c r="M711" s="82" t="n">
        <v>0.3377883039054291</v>
      </c>
      <c r="N711" s="54" t="n">
        <v>32.3</v>
      </c>
      <c r="O711" s="82" t="n">
        <v>0.3227976987025254</v>
      </c>
      <c r="P711" s="55">
        <f>C711-G711</f>
        <v/>
      </c>
      <c r="Q711" s="55">
        <f>E711-C711</f>
        <v/>
      </c>
      <c r="R711" s="55">
        <f>C711-M711</f>
        <v/>
      </c>
      <c r="S711" s="53">
        <f>C711-O711</f>
        <v/>
      </c>
      <c r="T711" s="55">
        <f>E711-O711</f>
        <v/>
      </c>
      <c r="U711" s="55">
        <f>G711-O711</f>
        <v/>
      </c>
      <c r="V711" s="55">
        <f>G711-K711</f>
        <v/>
      </c>
      <c r="W711" s="55">
        <f>C711-K711</f>
        <v/>
      </c>
      <c r="X711" s="64">
        <f>I711-G711</f>
        <v/>
      </c>
      <c r="Y711" s="72">
        <f>G711-M711</f>
        <v/>
      </c>
    </row>
    <row r="712">
      <c r="A712" s="51" t="n">
        <v>44258</v>
      </c>
      <c r="B712" s="52" t="n">
        <v>37.5</v>
      </c>
      <c r="C712" s="82" t="n">
        <v>0.3731394144266943</v>
      </c>
      <c r="D712" s="52" t="n">
        <v>40.75</v>
      </c>
      <c r="E712" s="86" t="n">
        <v>0.4054781636770078</v>
      </c>
      <c r="F712" s="52" t="n">
        <v>36.22</v>
      </c>
      <c r="G712" s="82" t="n">
        <v>0.3612992265857725</v>
      </c>
      <c r="H712" s="54" t="n">
        <v>37</v>
      </c>
      <c r="I712" s="82" t="n">
        <v>0.3697695272124908</v>
      </c>
      <c r="J712" s="54" t="n">
        <v>31.85</v>
      </c>
      <c r="K712" s="82" t="n">
        <v>0.3167233123778257</v>
      </c>
      <c r="L712" s="52" t="n">
        <v>33.55</v>
      </c>
      <c r="M712" s="82" t="n">
        <v>0.3352910172426775</v>
      </c>
      <c r="N712" s="54" t="n">
        <v>32.04</v>
      </c>
      <c r="O712" s="82" t="n">
        <v>0.3202004230240056</v>
      </c>
      <c r="P712" s="55">
        <f>C712-G712</f>
        <v/>
      </c>
      <c r="Q712" s="55">
        <f>E712-C712</f>
        <v/>
      </c>
      <c r="R712" s="55">
        <f>C712-M712</f>
        <v/>
      </c>
      <c r="S712" s="53">
        <f>C712-O712</f>
        <v/>
      </c>
      <c r="T712" s="55">
        <f>E712-O712</f>
        <v/>
      </c>
      <c r="U712" s="55">
        <f>G712-O712</f>
        <v/>
      </c>
      <c r="V712" s="55">
        <f>G712-K712</f>
        <v/>
      </c>
      <c r="W712" s="55">
        <f>C712-K712</f>
        <v/>
      </c>
      <c r="X712" s="64">
        <f>I712-G712</f>
        <v/>
      </c>
      <c r="Y712" s="72">
        <f>G712-M712</f>
        <v/>
      </c>
    </row>
    <row r="713">
      <c r="A713" s="51" t="n">
        <v>44257</v>
      </c>
      <c r="B713" s="52" t="n">
        <v>37.69</v>
      </c>
      <c r="C713" s="82" t="n">
        <v>0.3750402115536653</v>
      </c>
      <c r="D713" s="52" t="n">
        <v>41</v>
      </c>
      <c r="E713" s="86" t="n">
        <v>0.4079768817644012</v>
      </c>
      <c r="F713" s="52" t="n">
        <v>36.29</v>
      </c>
      <c r="G713" s="82" t="n">
        <v>0.3620024323253304</v>
      </c>
      <c r="H713" s="54" t="n">
        <v>36.96</v>
      </c>
      <c r="I713" s="82" t="n">
        <v>0.3693710405536295</v>
      </c>
      <c r="J713" s="54" t="n">
        <v>32.21</v>
      </c>
      <c r="K713" s="82" t="n">
        <v>0.3203130480981102</v>
      </c>
      <c r="L713" s="52" t="n">
        <v>34.45</v>
      </c>
      <c r="M713" s="82" t="n">
        <v>0.3442865894770707</v>
      </c>
      <c r="N713" s="54" t="n">
        <v>32.25</v>
      </c>
      <c r="O713" s="82" t="n">
        <v>0.3223002180155451</v>
      </c>
      <c r="P713" s="55">
        <f>C713-G713</f>
        <v/>
      </c>
      <c r="Q713" s="55">
        <f>E713-C713</f>
        <v/>
      </c>
      <c r="R713" s="55">
        <f>C713-M713</f>
        <v/>
      </c>
      <c r="S713" s="53">
        <f>C713-O713</f>
        <v/>
      </c>
      <c r="T713" s="55">
        <f>E713-O713</f>
        <v/>
      </c>
      <c r="U713" s="55">
        <f>G713-O713</f>
        <v/>
      </c>
      <c r="V713" s="55">
        <f>G713-K713</f>
        <v/>
      </c>
      <c r="W713" s="55">
        <f>C713-K713</f>
        <v/>
      </c>
      <c r="X713" s="64">
        <f>I713-G713</f>
        <v/>
      </c>
      <c r="Y713" s="72">
        <f>G713-M713</f>
        <v/>
      </c>
    </row>
    <row r="714">
      <c r="A714" s="51" t="n">
        <v>44256</v>
      </c>
      <c r="B714" s="52" t="n">
        <v>38.19</v>
      </c>
      <c r="C714" s="82" t="n">
        <v>0.3800258996728462</v>
      </c>
      <c r="D714" s="52" t="n">
        <v>41.5</v>
      </c>
      <c r="E714" s="86" t="n">
        <v>0.41296346782988</v>
      </c>
      <c r="F714" s="52" t="n">
        <v>36.78</v>
      </c>
      <c r="G714" s="82" t="n">
        <v>0.3668953265919651</v>
      </c>
      <c r="H714" s="54" t="n">
        <v>37.79</v>
      </c>
      <c r="I714" s="82" t="n">
        <v>0.3776671914573208</v>
      </c>
      <c r="J714" s="54" t="n">
        <v>33.01</v>
      </c>
      <c r="K714" s="82" t="n">
        <v>0.3282787276071112</v>
      </c>
      <c r="L714" s="52" t="n">
        <v>35.05</v>
      </c>
      <c r="M714" s="82" t="n">
        <v>0.3502840714627969</v>
      </c>
      <c r="N714" s="54" t="n">
        <v>33.2</v>
      </c>
      <c r="O714" s="82" t="n">
        <v>0.3317954685467863</v>
      </c>
      <c r="P714" s="55">
        <f>C714-G714</f>
        <v/>
      </c>
      <c r="Q714" s="55">
        <f>E714-C714</f>
        <v/>
      </c>
      <c r="R714" s="55">
        <f>C714-M714</f>
        <v/>
      </c>
      <c r="S714" s="53">
        <f>C714-O714</f>
        <v/>
      </c>
      <c r="T714" s="55">
        <f>E714-O714</f>
        <v/>
      </c>
      <c r="U714" s="55">
        <f>G714-O714</f>
        <v/>
      </c>
      <c r="V714" s="55">
        <f>G714-K714</f>
        <v/>
      </c>
      <c r="W714" s="55">
        <f>C714-K714</f>
        <v/>
      </c>
      <c r="X714" s="64">
        <f>I714-G714</f>
        <v/>
      </c>
      <c r="Y714" s="72">
        <f>G714-M714</f>
        <v/>
      </c>
    </row>
    <row r="715">
      <c r="A715" s="51" t="n">
        <v>44253</v>
      </c>
      <c r="B715" s="52" t="n">
        <v>38.05</v>
      </c>
      <c r="C715" s="82" t="n">
        <v>0.3786637402186656</v>
      </c>
      <c r="D715" s="52" t="n">
        <v>41.5</v>
      </c>
      <c r="E715" s="86" t="n">
        <v>0.4129972462306077</v>
      </c>
      <c r="F715" s="52" t="n">
        <v>36.78</v>
      </c>
      <c r="G715" s="82" t="n">
        <v>0.366910368011807</v>
      </c>
      <c r="H715" s="54" t="n">
        <v>37.63</v>
      </c>
      <c r="I715" s="82" t="n">
        <v>0.376072038524593</v>
      </c>
      <c r="J715" s="54" t="n">
        <v>33</v>
      </c>
      <c r="K715" s="82" t="n">
        <v>0.3282094600348101</v>
      </c>
      <c r="L715" s="52" t="n">
        <v>34.85</v>
      </c>
      <c r="M715" s="82" t="n">
        <v>0.3482888796859438</v>
      </c>
      <c r="N715" s="54" t="n">
        <v>33.1</v>
      </c>
      <c r="O715" s="82" t="n">
        <v>0.3307994811364344</v>
      </c>
      <c r="P715" s="55">
        <f>C715-G715</f>
        <v/>
      </c>
      <c r="Q715" s="55">
        <f>E715-C715</f>
        <v/>
      </c>
      <c r="R715" s="55">
        <f>C715-M715</f>
        <v/>
      </c>
      <c r="S715" s="53">
        <f>C715-O715</f>
        <v/>
      </c>
      <c r="T715" s="55">
        <f>E715-O715</f>
        <v/>
      </c>
      <c r="U715" s="55">
        <f>G715-O715</f>
        <v/>
      </c>
      <c r="V715" s="55">
        <f>G715-K715</f>
        <v/>
      </c>
      <c r="W715" s="55">
        <f>C715-K715</f>
        <v/>
      </c>
      <c r="X715" s="64">
        <f>I715-G715</f>
        <v/>
      </c>
      <c r="Y715" s="72">
        <f>G715-M715</f>
        <v/>
      </c>
    </row>
    <row r="716">
      <c r="A716" s="51" t="n">
        <v>44252</v>
      </c>
      <c r="B716" s="52" t="n">
        <v>37.92</v>
      </c>
      <c r="C716" s="82" t="n">
        <v>0.3773803031955502</v>
      </c>
      <c r="D716" s="52" t="n">
        <v>42</v>
      </c>
      <c r="E716" s="86" t="n">
        <v>0.4179845130330461</v>
      </c>
      <c r="F716" s="52" t="n">
        <v>36.47</v>
      </c>
      <c r="G716" s="82" t="n">
        <v>0.3638228380889909</v>
      </c>
      <c r="H716" s="54" t="n">
        <v>38.01</v>
      </c>
      <c r="I716" s="82" t="n">
        <v>0.3798710366354526</v>
      </c>
      <c r="J716" s="54" t="n">
        <v>32.9</v>
      </c>
      <c r="K716" s="82" t="n">
        <v>0.3272249168892037</v>
      </c>
      <c r="L716" s="52" t="n">
        <v>34.6</v>
      </c>
      <c r="M716" s="82" t="n">
        <v>0.345791577679207</v>
      </c>
      <c r="N716" s="54" t="n">
        <v>33.2</v>
      </c>
      <c r="O716" s="82" t="n">
        <v>0.3318000109523028</v>
      </c>
      <c r="P716" s="55">
        <f>C716-G716</f>
        <v/>
      </c>
      <c r="Q716" s="55">
        <f>E716-C716</f>
        <v/>
      </c>
      <c r="R716" s="55">
        <f>C716-M716</f>
        <v/>
      </c>
      <c r="S716" s="53">
        <f>C716-O716</f>
        <v/>
      </c>
      <c r="T716" s="55">
        <f>E716-O716</f>
        <v/>
      </c>
      <c r="U716" s="55">
        <f>G716-O716</f>
        <v/>
      </c>
      <c r="V716" s="55">
        <f>G716-K716</f>
        <v/>
      </c>
      <c r="W716" s="55">
        <f>C716-K716</f>
        <v/>
      </c>
      <c r="X716" s="64">
        <f>I716-G716</f>
        <v/>
      </c>
      <c r="Y716" s="72">
        <f>G716-M716</f>
        <v/>
      </c>
    </row>
    <row r="717">
      <c r="A717" s="51" t="n">
        <v>44251</v>
      </c>
      <c r="B717" s="52" t="n">
        <v>37.9</v>
      </c>
      <c r="C717" s="82" t="n">
        <v>0.3771915473755965</v>
      </c>
      <c r="D717" s="52" t="n">
        <v>41.5</v>
      </c>
      <c r="E717" s="86" t="n">
        <v>0.4130197682344922</v>
      </c>
      <c r="F717" s="52" t="n">
        <v>36.08</v>
      </c>
      <c r="G717" s="82" t="n">
        <v>0.3599371370003416</v>
      </c>
      <c r="H717" s="54" t="n">
        <v>38.11</v>
      </c>
      <c r="I717" s="82" t="n">
        <v>0.3808717378283563</v>
      </c>
      <c r="J717" s="54" t="n">
        <v>32.5</v>
      </c>
      <c r="K717" s="82" t="n">
        <v>0.3232564080728945</v>
      </c>
      <c r="L717" s="52" t="n">
        <v>34.3</v>
      </c>
      <c r="M717" s="82" t="n">
        <v>0.3427945580559596</v>
      </c>
      <c r="N717" s="54" t="n">
        <v>33.1</v>
      </c>
      <c r="O717" s="82" t="n">
        <v>0.3308017455292205</v>
      </c>
      <c r="P717" s="55">
        <f>C717-G717</f>
        <v/>
      </c>
      <c r="Q717" s="55">
        <f>E717-C717</f>
        <v/>
      </c>
      <c r="R717" s="55">
        <f>C717-M717</f>
        <v/>
      </c>
      <c r="S717" s="53">
        <f>C717-O717</f>
        <v/>
      </c>
      <c r="T717" s="55">
        <f>E717-O717</f>
        <v/>
      </c>
      <c r="U717" s="55">
        <f>G717-O717</f>
        <v/>
      </c>
      <c r="V717" s="55">
        <f>G717-K717</f>
        <v/>
      </c>
      <c r="W717" s="55">
        <f>C717-K717</f>
        <v/>
      </c>
      <c r="X717" s="64">
        <f>I717-G717</f>
        <v/>
      </c>
      <c r="Y717" s="72">
        <f>G717-M717</f>
        <v/>
      </c>
    </row>
    <row r="718">
      <c r="A718" s="51" t="n">
        <v>44250</v>
      </c>
      <c r="B718" s="52" t="n">
        <v>37.69</v>
      </c>
      <c r="C718" s="82" t="n">
        <v>0.3751117958226536</v>
      </c>
      <c r="D718" s="52" t="n">
        <v>41.8</v>
      </c>
      <c r="E718" s="86" t="n">
        <v>0.4160167966406718</v>
      </c>
      <c r="F718" s="52" t="n">
        <v>35.75</v>
      </c>
      <c r="G718" s="82" t="n">
        <v>0.3566499029710006</v>
      </c>
      <c r="H718" s="54" t="n">
        <v>37.79</v>
      </c>
      <c r="I718" s="82" t="n">
        <v>0.3776749471205514</v>
      </c>
      <c r="J718" s="54" t="n">
        <v>32.11</v>
      </c>
      <c r="K718" s="82" t="n">
        <v>0.3193871224869365</v>
      </c>
      <c r="L718" s="52" t="n">
        <v>34.1</v>
      </c>
      <c r="M718" s="82" t="n">
        <v>0.3407969223818684</v>
      </c>
      <c r="N718" s="54" t="n">
        <v>32.74</v>
      </c>
      <c r="O718" s="82" t="n">
        <v>0.3272050216651721</v>
      </c>
      <c r="P718" s="55">
        <f>C718-G718</f>
        <v/>
      </c>
      <c r="Q718" s="55">
        <f>E718-C718</f>
        <v/>
      </c>
      <c r="R718" s="55">
        <f>C718-M718</f>
        <v/>
      </c>
      <c r="S718" s="53">
        <f>C718-O718</f>
        <v/>
      </c>
      <c r="T718" s="55">
        <f>E718-O718</f>
        <v/>
      </c>
      <c r="U718" s="55">
        <f>G718-O718</f>
        <v/>
      </c>
      <c r="V718" s="55">
        <f>G718-K718</f>
        <v/>
      </c>
      <c r="W718" s="55">
        <f>C718-K718</f>
        <v/>
      </c>
      <c r="X718" s="64">
        <f>I718-G718</f>
        <v/>
      </c>
      <c r="Y718" s="72">
        <f>G718-M718</f>
        <v/>
      </c>
    </row>
    <row r="719">
      <c r="A719" s="51" t="n">
        <v>44249</v>
      </c>
      <c r="B719" s="52" t="n">
        <v>38.25</v>
      </c>
      <c r="C719" s="82" t="n">
        <v>0.3806956071224061</v>
      </c>
      <c r="D719" s="52" t="n">
        <v>42.4</v>
      </c>
      <c r="E719" s="86" t="n">
        <v>0.4219998363918959</v>
      </c>
      <c r="F719" s="52" t="n">
        <v>36.35</v>
      </c>
      <c r="G719" s="82" t="n">
        <v>0.3626405914749976</v>
      </c>
      <c r="H719" s="54" t="n">
        <v>38.42</v>
      </c>
      <c r="I719" s="82" t="n">
        <v>0.3839725094379015</v>
      </c>
      <c r="J719" s="54" t="n">
        <v>32.25</v>
      </c>
      <c r="K719" s="82" t="n">
        <v>0.3207894889237865</v>
      </c>
      <c r="L719" s="52" t="n">
        <v>34.4</v>
      </c>
      <c r="M719" s="82" t="n">
        <v>0.3437963124587145</v>
      </c>
      <c r="N719" s="54" t="n">
        <v>32.74</v>
      </c>
      <c r="O719" s="82" t="n">
        <v>0.3272061415668114</v>
      </c>
      <c r="P719" s="55">
        <f>C719-G719</f>
        <v/>
      </c>
      <c r="Q719" s="55">
        <f>E719-C719</f>
        <v/>
      </c>
      <c r="R719" s="55">
        <f>C719-M719</f>
        <v/>
      </c>
      <c r="S719" s="53">
        <f>C719-O719</f>
        <v/>
      </c>
      <c r="T719" s="55">
        <f>E719-O719</f>
        <v/>
      </c>
      <c r="U719" s="55">
        <f>G719-O719</f>
        <v/>
      </c>
      <c r="V719" s="55">
        <f>G719-K719</f>
        <v/>
      </c>
      <c r="W719" s="55">
        <f>C719-K719</f>
        <v/>
      </c>
      <c r="X719" s="64">
        <f>I719-G719</f>
        <v/>
      </c>
      <c r="Y719" s="72">
        <f>G719-M719</f>
        <v/>
      </c>
    </row>
    <row r="720">
      <c r="A720" s="51" t="n">
        <v>44246</v>
      </c>
      <c r="B720" s="52" t="n">
        <v>38.55</v>
      </c>
      <c r="C720" s="82" t="n">
        <v>0.383712844286883</v>
      </c>
      <c r="D720" s="52" t="n">
        <v>42.21</v>
      </c>
      <c r="E720" s="86" t="n">
        <v>0.4201431688028361</v>
      </c>
      <c r="F720" s="52" t="n">
        <v>36.19</v>
      </c>
      <c r="G720" s="82" t="n">
        <v>0.3610591772584392</v>
      </c>
      <c r="H720" s="54" t="n">
        <v>38.6</v>
      </c>
      <c r="I720" s="82" t="n">
        <v>0.3857754047301229</v>
      </c>
      <c r="J720" s="54" t="n">
        <v>32.5</v>
      </c>
      <c r="K720" s="82" t="n">
        <v>0.3233059653187068</v>
      </c>
      <c r="L720" s="52" t="n">
        <v>34.8</v>
      </c>
      <c r="M720" s="82" t="n">
        <v>0.3477975151452921</v>
      </c>
      <c r="N720" s="54" t="n">
        <v>33</v>
      </c>
      <c r="O720" s="82" t="n">
        <v>0.329807988499846</v>
      </c>
      <c r="P720" s="55">
        <f>C720-G720</f>
        <v/>
      </c>
      <c r="Q720" s="55">
        <f>E720-C720</f>
        <v/>
      </c>
      <c r="R720" s="55">
        <f>C720-M720</f>
        <v/>
      </c>
      <c r="S720" s="53">
        <f>C720-O720</f>
        <v/>
      </c>
      <c r="T720" s="55">
        <f>E720-O720</f>
        <v/>
      </c>
      <c r="U720" s="55">
        <f>G720-O720</f>
        <v/>
      </c>
      <c r="V720" s="55">
        <f>G720-K720</f>
        <v/>
      </c>
      <c r="W720" s="55">
        <f>C720-K720</f>
        <v/>
      </c>
      <c r="X720" s="64">
        <f>I720-G720</f>
        <v/>
      </c>
      <c r="Y720" s="72">
        <f>G720-M720</f>
        <v/>
      </c>
    </row>
    <row r="721">
      <c r="A721" s="51" t="n">
        <v>44245</v>
      </c>
      <c r="B721" s="52" t="n">
        <v>38.95</v>
      </c>
      <c r="C721" s="82" t="n">
        <v>0.3877048733262429</v>
      </c>
      <c r="D721" s="52" t="n">
        <v>42.2</v>
      </c>
      <c r="E721" s="86" t="n">
        <v>0.4200550874035289</v>
      </c>
      <c r="F721" s="52" t="n">
        <v>36.75</v>
      </c>
      <c r="G721" s="82" t="n">
        <v>0.3666511774111987</v>
      </c>
      <c r="H721" s="54" t="n">
        <v>39.05</v>
      </c>
      <c r="I721" s="82" t="n">
        <v>0.3902741221690186</v>
      </c>
      <c r="J721" s="54" t="n">
        <v>33.01</v>
      </c>
      <c r="K721" s="82" t="n">
        <v>0.328389450839974</v>
      </c>
      <c r="L721" s="52" t="n">
        <v>34.78</v>
      </c>
      <c r="M721" s="82" t="n">
        <v>0.3475988212301784</v>
      </c>
      <c r="N721" s="54" t="n">
        <v>32.86</v>
      </c>
      <c r="O721" s="82" t="n">
        <v>0.3284099271312151</v>
      </c>
      <c r="P721" s="55">
        <f>C721-G721</f>
        <v/>
      </c>
      <c r="Q721" s="55">
        <f>E721-C721</f>
        <v/>
      </c>
      <c r="R721" s="55">
        <f>C721-M721</f>
        <v/>
      </c>
      <c r="S721" s="53">
        <f>C721-O721</f>
        <v/>
      </c>
      <c r="T721" s="55">
        <f>E721-O721</f>
        <v/>
      </c>
      <c r="U721" s="55">
        <f>G721-O721</f>
        <v/>
      </c>
      <c r="V721" s="55">
        <f>G721-K721</f>
        <v/>
      </c>
      <c r="W721" s="55">
        <f>C721-K721</f>
        <v/>
      </c>
      <c r="X721" s="64">
        <f>I721-G721</f>
        <v/>
      </c>
      <c r="Y721" s="72">
        <f>G721-M721</f>
        <v/>
      </c>
    </row>
    <row r="722">
      <c r="A722" s="51" t="n">
        <v>44244</v>
      </c>
      <c r="B722" s="52" t="n">
        <v>38.69</v>
      </c>
      <c r="C722" s="82" t="n">
        <v>0.3851273590051271</v>
      </c>
      <c r="D722" s="52" t="n">
        <v>42.4</v>
      </c>
      <c r="E722" s="86" t="n">
        <v>0.4220573797316461</v>
      </c>
      <c r="F722" s="52" t="n">
        <v>36.14</v>
      </c>
      <c r="G722" s="82" t="n">
        <v>0.3605701946205992</v>
      </c>
      <c r="H722" s="54" t="n">
        <v>39.23</v>
      </c>
      <c r="I722" s="82" t="n">
        <v>0.3920744229347498</v>
      </c>
      <c r="J722" s="54" t="n">
        <v>32.9</v>
      </c>
      <c r="K722" s="82" t="n">
        <v>0.3273051868407424</v>
      </c>
      <c r="L722" s="52" t="n">
        <v>34.69</v>
      </c>
      <c r="M722" s="82" t="n">
        <v>0.346700528463076</v>
      </c>
      <c r="N722" s="54" t="n">
        <v>32.85</v>
      </c>
      <c r="O722" s="82" t="n">
        <v>0.3283111086771994</v>
      </c>
      <c r="P722" s="55">
        <f>C722-G722</f>
        <v/>
      </c>
      <c r="Q722" s="55">
        <f>E722-C722</f>
        <v/>
      </c>
      <c r="R722" s="55">
        <f>C722-M722</f>
        <v/>
      </c>
      <c r="S722" s="53">
        <f>C722-O722</f>
        <v/>
      </c>
      <c r="T722" s="55">
        <f>E722-O722</f>
        <v/>
      </c>
      <c r="U722" s="55">
        <f>G722-O722</f>
        <v/>
      </c>
      <c r="V722" s="55">
        <f>G722-K722</f>
        <v/>
      </c>
      <c r="W722" s="55">
        <f>C722-K722</f>
        <v/>
      </c>
      <c r="X722" s="64">
        <f>I722-G722</f>
        <v/>
      </c>
      <c r="Y722" s="72">
        <f>G722-M722</f>
        <v/>
      </c>
    </row>
    <row r="723">
      <c r="A723" s="51" t="n">
        <v>44239</v>
      </c>
      <c r="B723" s="52" t="n">
        <v>39</v>
      </c>
      <c r="C723" s="82" t="n">
        <v>0.3882660993372065</v>
      </c>
      <c r="D723" s="52" t="n">
        <v>43.2</v>
      </c>
      <c r="E723" s="86" t="n">
        <v>0.430079371573521</v>
      </c>
      <c r="F723" s="52" t="n">
        <v>36.45</v>
      </c>
      <c r="G723" s="82" t="n">
        <v>0.3636879296912374</v>
      </c>
      <c r="H723" s="54" t="n">
        <v>39.8</v>
      </c>
      <c r="I723" s="82" t="n">
        <v>0.3977779527181744</v>
      </c>
      <c r="J723" s="54" t="n">
        <v>33.55</v>
      </c>
      <c r="K723" s="82" t="n">
        <v>0.3338228829817322</v>
      </c>
      <c r="L723" s="52" t="n">
        <v>35.3</v>
      </c>
      <c r="M723" s="82" t="n">
        <v>0.352803058566622</v>
      </c>
      <c r="N723" s="54" t="n">
        <v>33.4</v>
      </c>
      <c r="O723" s="82" t="n">
        <v>0.3338136588137444</v>
      </c>
      <c r="P723" s="55">
        <f>C723-G723</f>
        <v/>
      </c>
      <c r="Q723" s="55">
        <f>E723-C723</f>
        <v/>
      </c>
      <c r="R723" s="55">
        <f>C723-M723</f>
        <v/>
      </c>
      <c r="S723" s="53">
        <f>C723-O723</f>
        <v/>
      </c>
      <c r="T723" s="55">
        <f>E723-O723</f>
        <v/>
      </c>
      <c r="U723" s="55">
        <f>G723-O723</f>
        <v/>
      </c>
      <c r="V723" s="55">
        <f>G723-K723</f>
        <v/>
      </c>
      <c r="W723" s="55">
        <f>C723-K723</f>
        <v/>
      </c>
      <c r="X723" s="64">
        <f>I723-G723</f>
        <v/>
      </c>
      <c r="Y723" s="72">
        <f>G723-M723</f>
        <v/>
      </c>
    </row>
    <row r="724">
      <c r="A724" s="51" t="n">
        <v>44238</v>
      </c>
      <c r="B724" s="52" t="n">
        <v>39.1</v>
      </c>
      <c r="C724" s="82" t="n">
        <v>0.3892722710163112</v>
      </c>
      <c r="D724" s="52" t="n">
        <v>42.55</v>
      </c>
      <c r="E724" s="86" t="n">
        <v>0.4236198243412798</v>
      </c>
      <c r="F724" s="52" t="n">
        <v>37.01</v>
      </c>
      <c r="G724" s="82" t="n">
        <v>0.3692805008064295</v>
      </c>
      <c r="H724" s="54" t="n">
        <v>39.58</v>
      </c>
      <c r="I724" s="82" t="n">
        <v>0.395580534087253</v>
      </c>
      <c r="J724" s="54" t="n">
        <v>33.8</v>
      </c>
      <c r="K724" s="82" t="n">
        <v>0.3363207000661083</v>
      </c>
      <c r="L724" s="52" t="n">
        <v>35.5</v>
      </c>
      <c r="M724" s="82" t="n">
        <v>0.3548031571525387</v>
      </c>
      <c r="N724" s="54" t="n">
        <v>33.51</v>
      </c>
      <c r="O724" s="82" t="n">
        <v>0.3349141914417343</v>
      </c>
      <c r="P724" s="55">
        <f>C724-G724</f>
        <v/>
      </c>
      <c r="Q724" s="55">
        <f>E724-C724</f>
        <v/>
      </c>
      <c r="R724" s="55">
        <f>C724-M724</f>
        <v/>
      </c>
      <c r="S724" s="53">
        <f>C724-O724</f>
        <v/>
      </c>
      <c r="T724" s="55">
        <f>E724-O724</f>
        <v/>
      </c>
      <c r="U724" s="55">
        <f>G724-O724</f>
        <v/>
      </c>
      <c r="V724" s="55">
        <f>G724-K724</f>
        <v/>
      </c>
      <c r="W724" s="55">
        <f>C724-K724</f>
        <v/>
      </c>
      <c r="X724" s="64">
        <f>I724-G724</f>
        <v/>
      </c>
      <c r="Y724" s="72">
        <f>G724-M724</f>
        <v/>
      </c>
    </row>
    <row r="725">
      <c r="A725" s="51" t="n">
        <v>44237</v>
      </c>
      <c r="B725" s="52" t="n">
        <v>39.41</v>
      </c>
      <c r="C725" s="82" t="n">
        <v>0.3923692752516298</v>
      </c>
      <c r="D725" s="52" t="n">
        <v>42.8</v>
      </c>
      <c r="E725" s="86" t="n">
        <v>0.4261204004255203</v>
      </c>
      <c r="F725" s="52" t="n">
        <v>37.45</v>
      </c>
      <c r="G725" s="82" t="n">
        <v>0.3736758655567857</v>
      </c>
      <c r="H725" s="54" t="n">
        <v>39.66</v>
      </c>
      <c r="I725" s="82" t="n">
        <v>0.3963814472157475</v>
      </c>
      <c r="J725" s="54" t="n">
        <v>33.89</v>
      </c>
      <c r="K725" s="82" t="n">
        <v>0.3372265708862528</v>
      </c>
      <c r="L725" s="52" t="n">
        <v>35.5</v>
      </c>
      <c r="M725" s="82" t="n">
        <v>0.3548043715622551</v>
      </c>
      <c r="N725" s="54" t="n">
        <v>33.43</v>
      </c>
      <c r="O725" s="82" t="n">
        <v>0.3341157786289067</v>
      </c>
      <c r="P725" s="55">
        <f>C725-G725</f>
        <v/>
      </c>
      <c r="Q725" s="55">
        <f>E725-C725</f>
        <v/>
      </c>
      <c r="R725" s="55">
        <f>C725-M725</f>
        <v/>
      </c>
      <c r="S725" s="53">
        <f>C725-O725</f>
        <v/>
      </c>
      <c r="T725" s="55">
        <f>E725-O725</f>
        <v/>
      </c>
      <c r="U725" s="55">
        <f>G725-O725</f>
        <v/>
      </c>
      <c r="V725" s="55">
        <f>G725-K725</f>
        <v/>
      </c>
      <c r="W725" s="55">
        <f>C725-K725</f>
        <v/>
      </c>
      <c r="X725" s="64">
        <f>I725-G725</f>
        <v/>
      </c>
      <c r="Y725" s="72">
        <f>G725-M725</f>
        <v/>
      </c>
    </row>
    <row r="726">
      <c r="A726" s="51" t="n">
        <v>44236</v>
      </c>
      <c r="B726" s="52" t="n">
        <v>39.47</v>
      </c>
      <c r="C726" s="82" t="n">
        <v>0.3929773595199127</v>
      </c>
      <c r="D726" s="52" t="n">
        <v>42.8</v>
      </c>
      <c r="E726" s="86" t="n">
        <v>0.4261320240043644</v>
      </c>
      <c r="F726" s="52" t="n">
        <v>37.52</v>
      </c>
      <c r="G726" s="82" t="n">
        <v>0.3743794423182067</v>
      </c>
      <c r="H726" s="54" t="n">
        <v>39.89</v>
      </c>
      <c r="I726" s="82" t="n">
        <v>0.3986815443592552</v>
      </c>
      <c r="J726" s="54" t="n">
        <v>33.81</v>
      </c>
      <c r="K726" s="82" t="n">
        <v>0.3364408396946565</v>
      </c>
      <c r="L726" s="52" t="n">
        <v>35.8</v>
      </c>
      <c r="M726" s="82" t="n">
        <v>0.3578039430449069</v>
      </c>
      <c r="N726" s="54" t="n">
        <v>33.68</v>
      </c>
      <c r="O726" s="82" t="n">
        <v>0.3366155531215772</v>
      </c>
      <c r="P726" s="55">
        <f>C726-G726</f>
        <v/>
      </c>
      <c r="Q726" s="55">
        <f>E726-C726</f>
        <v/>
      </c>
      <c r="R726" s="55">
        <f>C726-M726</f>
        <v/>
      </c>
      <c r="S726" s="53">
        <f>C726-O726</f>
        <v/>
      </c>
      <c r="T726" s="55">
        <f>E726-O726</f>
        <v/>
      </c>
      <c r="U726" s="55">
        <f>G726-O726</f>
        <v/>
      </c>
      <c r="V726" s="55">
        <f>G726-K726</f>
        <v/>
      </c>
      <c r="W726" s="55">
        <f>C726-K726</f>
        <v/>
      </c>
      <c r="X726" s="64">
        <f>I726-G726</f>
        <v/>
      </c>
      <c r="Y726" s="72">
        <f>G726-M726</f>
        <v/>
      </c>
    </row>
    <row r="727">
      <c r="A727" s="51" t="n">
        <v>44235</v>
      </c>
      <c r="B727" s="52" t="n">
        <v>39.55</v>
      </c>
      <c r="C727" s="82" t="n">
        <v>0.393784609509261</v>
      </c>
      <c r="D727" s="52" t="n">
        <v>43.12</v>
      </c>
      <c r="E727" s="86" t="n">
        <v>0.4293297689516899</v>
      </c>
      <c r="F727" s="52" t="n">
        <v>37.65</v>
      </c>
      <c r="G727" s="82" t="n">
        <v>0.3756817343047335</v>
      </c>
      <c r="H727" s="54" t="n">
        <v>39.98</v>
      </c>
      <c r="I727" s="82" t="n">
        <v>0.3995824191621685</v>
      </c>
      <c r="J727" s="54" t="n">
        <v>34.11</v>
      </c>
      <c r="K727" s="82" t="n">
        <v>0.3394365285194816</v>
      </c>
      <c r="L727" s="52" t="n">
        <v>36</v>
      </c>
      <c r="M727" s="82" t="n">
        <v>0.3598040792855945</v>
      </c>
      <c r="N727" s="54" t="n">
        <v>33.7</v>
      </c>
      <c r="O727" s="82" t="n">
        <v>0.3368165964423482</v>
      </c>
      <c r="P727" s="55">
        <f>C727-G727</f>
        <v/>
      </c>
      <c r="Q727" s="55">
        <f>E727-C727</f>
        <v/>
      </c>
      <c r="R727" s="55">
        <f>C727-M727</f>
        <v/>
      </c>
      <c r="S727" s="53">
        <f>C727-O727</f>
        <v/>
      </c>
      <c r="T727" s="55">
        <f>E727-O727</f>
        <v/>
      </c>
      <c r="U727" s="55">
        <f>G727-O727</f>
        <v/>
      </c>
      <c r="V727" s="55">
        <f>G727-K727</f>
        <v/>
      </c>
      <c r="W727" s="55">
        <f>C727-K727</f>
        <v/>
      </c>
      <c r="X727" s="64">
        <f>I727-G727</f>
        <v/>
      </c>
      <c r="Y727" s="72">
        <f>G727-M727</f>
        <v/>
      </c>
    </row>
    <row r="728">
      <c r="A728" s="51" t="n">
        <v>44232</v>
      </c>
      <c r="B728" s="52" t="n">
        <v>39.48</v>
      </c>
      <c r="C728" s="82" t="n">
        <v>0.3931198166739415</v>
      </c>
      <c r="D728" s="52" t="n">
        <v>43.52</v>
      </c>
      <c r="E728" s="86" t="n">
        <v>0.4333478830205151</v>
      </c>
      <c r="F728" s="52" t="n">
        <v>37.62</v>
      </c>
      <c r="G728" s="82" t="n">
        <v>0.3753977800863907</v>
      </c>
      <c r="H728" s="54" t="n">
        <v>39.98</v>
      </c>
      <c r="I728" s="82" t="n">
        <v>0.3995865222689248</v>
      </c>
      <c r="J728" s="54" t="n">
        <v>34.11</v>
      </c>
      <c r="K728" s="82" t="n">
        <v>0.3394677645839866</v>
      </c>
      <c r="L728" s="52" t="n">
        <v>36</v>
      </c>
      <c r="M728" s="82" t="n">
        <v>0.3598077739289968</v>
      </c>
      <c r="N728" s="54" t="n">
        <v>33.75</v>
      </c>
      <c r="O728" s="82" t="n">
        <v>0.3373197880584345</v>
      </c>
      <c r="P728" s="55">
        <f>C728-G728</f>
        <v/>
      </c>
      <c r="Q728" s="55">
        <f>E728-C728</f>
        <v/>
      </c>
      <c r="R728" s="55">
        <f>C728-M728</f>
        <v/>
      </c>
      <c r="S728" s="53">
        <f>C728-O728</f>
        <v/>
      </c>
      <c r="T728" s="55">
        <f>E728-O728</f>
        <v/>
      </c>
      <c r="U728" s="55">
        <f>G728-O728</f>
        <v/>
      </c>
      <c r="V728" s="55">
        <f>G728-K728</f>
        <v/>
      </c>
      <c r="W728" s="55">
        <f>C728-K728</f>
        <v/>
      </c>
      <c r="X728" s="64">
        <f>I728-G728</f>
        <v/>
      </c>
      <c r="Y728" s="72">
        <f>G728-M728</f>
        <v/>
      </c>
    </row>
    <row r="729">
      <c r="A729" s="51" t="n">
        <v>44231</v>
      </c>
      <c r="B729" s="52" t="n">
        <v>39.48</v>
      </c>
      <c r="C729" s="82" t="n">
        <v>0.3931305415359432</v>
      </c>
      <c r="D729" s="52" t="n">
        <v>42.75</v>
      </c>
      <c r="E729" s="86" t="n">
        <v>0.4256922657209112</v>
      </c>
      <c r="F729" s="52" t="n">
        <v>37.64</v>
      </c>
      <c r="G729" s="82" t="n">
        <v>0.375602487868225</v>
      </c>
      <c r="H729" s="54" t="n">
        <v>39.72</v>
      </c>
      <c r="I729" s="82" t="n">
        <v>0.3969892693946706</v>
      </c>
      <c r="J729" s="54" t="n">
        <v>34.1</v>
      </c>
      <c r="K729" s="82" t="n">
        <v>0.3393786533512841</v>
      </c>
      <c r="L729" s="52" t="n">
        <v>36.28</v>
      </c>
      <c r="M729" s="82" t="n">
        <v>0.3626075199808321</v>
      </c>
      <c r="N729" s="54" t="n">
        <v>33.69</v>
      </c>
      <c r="O729" s="82" t="n">
        <v>0.3367212609744827</v>
      </c>
      <c r="P729" s="55">
        <f>C729-G729</f>
        <v/>
      </c>
      <c r="Q729" s="55">
        <f>E729-C729</f>
        <v/>
      </c>
      <c r="R729" s="55">
        <f>C729-M729</f>
        <v/>
      </c>
      <c r="S729" s="53">
        <f>C729-O729</f>
        <v/>
      </c>
      <c r="T729" s="55">
        <f>E729-O729</f>
        <v/>
      </c>
      <c r="U729" s="55">
        <f>G729-O729</f>
        <v/>
      </c>
      <c r="V729" s="55">
        <f>G729-K729</f>
        <v/>
      </c>
      <c r="W729" s="55">
        <f>C729-K729</f>
        <v/>
      </c>
      <c r="X729" s="64">
        <f>I729-G729</f>
        <v/>
      </c>
      <c r="Y729" s="72">
        <f>G729-M729</f>
        <v/>
      </c>
    </row>
    <row r="730">
      <c r="A730" s="51" t="n">
        <v>44230</v>
      </c>
      <c r="B730" s="52" t="n">
        <v>39.6</v>
      </c>
      <c r="C730" s="82" t="n">
        <v>0.3943362252414471</v>
      </c>
      <c r="D730" s="52" t="n">
        <v>42.25</v>
      </c>
      <c r="E730" s="86" t="n">
        <v>0.4207248867790691</v>
      </c>
      <c r="F730" s="52" t="n">
        <v>37.78</v>
      </c>
      <c r="G730" s="82" t="n">
        <v>0.3770046750690325</v>
      </c>
      <c r="H730" s="54" t="n">
        <v>39.61</v>
      </c>
      <c r="I730" s="82" t="n">
        <v>0.3958912080615018</v>
      </c>
      <c r="J730" s="54" t="n">
        <v>33.9</v>
      </c>
      <c r="K730" s="82" t="n">
        <v>0.337398512539794</v>
      </c>
      <c r="L730" s="52" t="n">
        <v>36.55</v>
      </c>
      <c r="M730" s="82" t="n">
        <v>0.3653073379108278</v>
      </c>
      <c r="N730" s="54" t="n">
        <v>33.35</v>
      </c>
      <c r="O730" s="82" t="n">
        <v>0.3333242057271165</v>
      </c>
      <c r="P730" s="55">
        <f>C730-G730</f>
        <v/>
      </c>
      <c r="Q730" s="55">
        <f>E730-C730</f>
        <v/>
      </c>
      <c r="R730" s="55">
        <f>C730-M730</f>
        <v/>
      </c>
      <c r="S730" s="53">
        <f>C730-O730</f>
        <v/>
      </c>
      <c r="T730" s="55">
        <f>E730-O730</f>
        <v/>
      </c>
      <c r="U730" s="55">
        <f>G730-O730</f>
        <v/>
      </c>
      <c r="V730" s="55">
        <f>G730-K730</f>
        <v/>
      </c>
      <c r="W730" s="55">
        <f>C730-K730</f>
        <v/>
      </c>
      <c r="X730" s="64">
        <f>I730-G730</f>
        <v/>
      </c>
      <c r="Y730" s="72">
        <f>G730-M730</f>
        <v/>
      </c>
    </row>
    <row r="731">
      <c r="A731" s="51" t="n">
        <v>44229</v>
      </c>
      <c r="B731" s="52" t="n">
        <v>39.85</v>
      </c>
      <c r="C731" s="82" t="n">
        <v>0.3968365481679536</v>
      </c>
      <c r="D731" s="52" t="n">
        <v>42.75</v>
      </c>
      <c r="E731" s="86" t="n">
        <v>0.4257154939568384</v>
      </c>
      <c r="F731" s="52" t="n">
        <v>37.97</v>
      </c>
      <c r="G731" s="82" t="n">
        <v>0.3789058548521592</v>
      </c>
      <c r="H731" s="54" t="n">
        <v>39.94</v>
      </c>
      <c r="I731" s="82" t="n">
        <v>0.399190834939227</v>
      </c>
      <c r="J731" s="54" t="n">
        <v>33.8</v>
      </c>
      <c r="K731" s="82" t="n">
        <v>0.3364135566182761</v>
      </c>
      <c r="L731" s="52" t="n">
        <v>36.65</v>
      </c>
      <c r="M731" s="82" t="n">
        <v>0.3663080646099817</v>
      </c>
      <c r="N731" s="54" t="n">
        <v>33.55</v>
      </c>
      <c r="O731" s="82" t="n">
        <v>0.3353242992541579</v>
      </c>
      <c r="P731" s="55">
        <f>C731-G731</f>
        <v/>
      </c>
      <c r="Q731" s="55">
        <f>E731-C731</f>
        <v/>
      </c>
      <c r="R731" s="55">
        <f>C731-M731</f>
        <v/>
      </c>
      <c r="S731" s="53">
        <f>C731-O731</f>
        <v/>
      </c>
      <c r="T731" s="55">
        <f>E731-O731</f>
        <v/>
      </c>
      <c r="U731" s="55">
        <f>G731-O731</f>
        <v/>
      </c>
      <c r="V731" s="55">
        <f>G731-K731</f>
        <v/>
      </c>
      <c r="W731" s="55">
        <f>C731-K731</f>
        <v/>
      </c>
      <c r="X731" s="64">
        <f>I731-G731</f>
        <v/>
      </c>
      <c r="Y731" s="72">
        <f>G731-M731</f>
        <v/>
      </c>
    </row>
    <row r="732">
      <c r="A732" s="51" t="n">
        <v>44228</v>
      </c>
      <c r="B732" s="52" t="n">
        <v>39.78</v>
      </c>
      <c r="C732" s="82" t="n">
        <v>0.3961502782931354</v>
      </c>
      <c r="D732" s="52" t="n">
        <v>43</v>
      </c>
      <c r="E732" s="86" t="n">
        <v>0.4282167412419513</v>
      </c>
      <c r="F732" s="52" t="n">
        <v>38.09</v>
      </c>
      <c r="G732" s="82" t="n">
        <v>0.38010854111986</v>
      </c>
      <c r="H732" s="54" t="n">
        <v>40.4</v>
      </c>
      <c r="I732" s="82" t="n">
        <v>0.4037898080451272</v>
      </c>
      <c r="J732" s="54" t="n">
        <v>33.8</v>
      </c>
      <c r="K732" s="82" t="n">
        <v>0.3364238771781516</v>
      </c>
      <c r="L732" s="52" t="n">
        <v>36.75</v>
      </c>
      <c r="M732" s="82" t="n">
        <v>0.367308798159862</v>
      </c>
      <c r="N732" s="54" t="n">
        <v>33.6</v>
      </c>
      <c r="O732" s="82" t="n">
        <v>0.3358251868890167</v>
      </c>
      <c r="P732" s="55">
        <f>C732-G732</f>
        <v/>
      </c>
      <c r="Q732" s="55">
        <f>E732-C732</f>
        <v/>
      </c>
      <c r="R732" s="55">
        <f>C732-M732</f>
        <v/>
      </c>
      <c r="S732" s="53">
        <f>C732-O732</f>
        <v/>
      </c>
      <c r="T732" s="55">
        <f>E732-O732</f>
        <v/>
      </c>
      <c r="U732" s="55">
        <f>G732-O732</f>
        <v/>
      </c>
      <c r="V732" s="55">
        <f>G732-K732</f>
        <v/>
      </c>
      <c r="W732" s="55">
        <f>C732-K732</f>
        <v/>
      </c>
      <c r="X732" s="64">
        <f>I732-G732</f>
        <v/>
      </c>
      <c r="Y732" s="72">
        <f>G732-M732</f>
        <v/>
      </c>
    </row>
    <row r="733">
      <c r="A733" s="51" t="n">
        <v>44225</v>
      </c>
      <c r="B733" s="52" t="n">
        <v>39.55</v>
      </c>
      <c r="C733" s="82" t="n">
        <v>0.3938920570820486</v>
      </c>
      <c r="D733" s="52" t="n">
        <v>43</v>
      </c>
      <c r="E733" s="86" t="n">
        <v>0.4282517940462223</v>
      </c>
      <c r="F733" s="52" t="n">
        <v>38.14</v>
      </c>
      <c r="G733" s="82" t="n">
        <v>0.3806231117308507</v>
      </c>
      <c r="H733" s="54" t="n">
        <v>40.04</v>
      </c>
      <c r="I733" s="82" t="n">
        <v>0.4001957905041605</v>
      </c>
      <c r="J733" s="54" t="n">
        <v>33.63</v>
      </c>
      <c r="K733" s="82" t="n">
        <v>0.3347626141589481</v>
      </c>
      <c r="L733" s="52" t="n">
        <v>36.7</v>
      </c>
      <c r="M733" s="82" t="n">
        <v>0.3668128249626047</v>
      </c>
      <c r="N733" s="54" t="n">
        <v>33.49</v>
      </c>
      <c r="O733" s="82" t="n">
        <v>0.3347291964032053</v>
      </c>
      <c r="P733" s="55">
        <f>C733-G733</f>
        <v/>
      </c>
      <c r="Q733" s="55">
        <f>E733-C733</f>
        <v/>
      </c>
      <c r="R733" s="55">
        <f>C733-M733</f>
        <v/>
      </c>
      <c r="S733" s="53">
        <f>C733-O733</f>
        <v/>
      </c>
      <c r="T733" s="55">
        <f>E733-O733</f>
        <v/>
      </c>
      <c r="U733" s="55">
        <f>G733-O733</f>
        <v/>
      </c>
      <c r="V733" s="55">
        <f>G733-K733</f>
        <v/>
      </c>
      <c r="W733" s="55">
        <f>C733-K733</f>
        <v/>
      </c>
      <c r="X733" s="64">
        <f>I733-G733</f>
        <v/>
      </c>
      <c r="Y733" s="72">
        <f>G733-M733</f>
        <v/>
      </c>
    </row>
    <row r="734">
      <c r="A734" s="51" t="n">
        <v>44224</v>
      </c>
      <c r="B734" s="52" t="n">
        <v>39.45</v>
      </c>
      <c r="C734" s="82" t="n">
        <v>0.3929068434839555</v>
      </c>
      <c r="D734" s="52" t="n">
        <v>43</v>
      </c>
      <c r="E734" s="86" t="n">
        <v>0.4282634795896093</v>
      </c>
      <c r="F734" s="52" t="n">
        <v>38.27</v>
      </c>
      <c r="G734" s="82" t="n">
        <v>0.3819256849127796</v>
      </c>
      <c r="H734" s="54" t="n">
        <v>40.04</v>
      </c>
      <c r="I734" s="82" t="n">
        <v>0.4001971603433876</v>
      </c>
      <c r="J734" s="54" t="n">
        <v>33.9</v>
      </c>
      <c r="K734" s="82" t="n">
        <v>0.3374606248210219</v>
      </c>
      <c r="L734" s="52" t="n">
        <v>36.75</v>
      </c>
      <c r="M734" s="82" t="n">
        <v>0.3673138272382491</v>
      </c>
      <c r="N734" s="54" t="n">
        <v>33.7</v>
      </c>
      <c r="O734" s="82" t="n">
        <v>0.3368292783109931</v>
      </c>
      <c r="P734" s="55">
        <f>C734-G734</f>
        <v/>
      </c>
      <c r="Q734" s="55">
        <f>E734-C734</f>
        <v/>
      </c>
      <c r="R734" s="55">
        <f>C734-M734</f>
        <v/>
      </c>
      <c r="S734" s="53">
        <f>C734-O734</f>
        <v/>
      </c>
      <c r="T734" s="55">
        <f>E734-O734</f>
        <v/>
      </c>
      <c r="U734" s="55">
        <f>G734-O734</f>
        <v/>
      </c>
      <c r="V734" s="55">
        <f>G734-K734</f>
        <v/>
      </c>
      <c r="W734" s="55">
        <f>C734-K734</f>
        <v/>
      </c>
      <c r="X734" s="64">
        <f>I734-G734</f>
        <v/>
      </c>
      <c r="Y734" s="72">
        <f>G734-M734</f>
        <v/>
      </c>
    </row>
    <row r="735">
      <c r="A735" s="51" t="n">
        <v>44223</v>
      </c>
      <c r="B735" s="52" t="n">
        <v>39.84</v>
      </c>
      <c r="C735" s="82" t="n">
        <v>0.3968019210303709</v>
      </c>
      <c r="D735" s="52" t="n">
        <v>43</v>
      </c>
      <c r="E735" s="86" t="n">
        <v>0.4282751657707315</v>
      </c>
      <c r="F735" s="52" t="n">
        <v>38.43</v>
      </c>
      <c r="G735" s="82" t="n">
        <v>0.3835276908143875</v>
      </c>
      <c r="H735" s="54" t="n">
        <v>40.3</v>
      </c>
      <c r="I735" s="82" t="n">
        <v>0.4027972219464858</v>
      </c>
      <c r="J735" s="54" t="n">
        <v>34</v>
      </c>
      <c r="K735" s="82" t="n">
        <v>0.3384664687051476</v>
      </c>
      <c r="L735" s="52" t="n">
        <v>36.67</v>
      </c>
      <c r="M735" s="82" t="n">
        <v>0.3665154870664426</v>
      </c>
      <c r="N735" s="54" t="n">
        <v>33.89</v>
      </c>
      <c r="O735" s="82" t="n">
        <v>0.3387294752299356</v>
      </c>
      <c r="P735" s="55">
        <f>C735-G735</f>
        <v/>
      </c>
      <c r="Q735" s="55">
        <f>E735-C735</f>
        <v/>
      </c>
      <c r="R735" s="55">
        <f>C735-M735</f>
        <v/>
      </c>
      <c r="S735" s="53">
        <f>C735-O735</f>
        <v/>
      </c>
      <c r="T735" s="55">
        <f>E735-O735</f>
        <v/>
      </c>
      <c r="U735" s="55">
        <f>G735-O735</f>
        <v/>
      </c>
      <c r="V735" s="55">
        <f>G735-K735</f>
        <v/>
      </c>
      <c r="W735" s="55">
        <f>C735-K735</f>
        <v/>
      </c>
      <c r="X735" s="64">
        <f>I735-G735</f>
        <v/>
      </c>
      <c r="Y735" s="72">
        <f>G735-M735</f>
        <v/>
      </c>
    </row>
    <row r="736">
      <c r="A736" s="51" t="n">
        <v>44222</v>
      </c>
      <c r="B736" s="52" t="n">
        <v>39.85</v>
      </c>
      <c r="C736" s="82" t="n">
        <v>0.3969123505976096</v>
      </c>
      <c r="D736" s="52" t="n">
        <v>43.15</v>
      </c>
      <c r="E736" s="86" t="n">
        <v>0.4297808764940239</v>
      </c>
      <c r="F736" s="52" t="n">
        <v>38.58</v>
      </c>
      <c r="G736" s="82" t="n">
        <v>0.3850299401197604</v>
      </c>
      <c r="H736" s="54" t="n">
        <v>40.4</v>
      </c>
      <c r="I736" s="82" t="n">
        <v>0.4037981009495252</v>
      </c>
      <c r="J736" s="54" t="n">
        <v>34.05</v>
      </c>
      <c r="K736" s="82" t="n">
        <v>0.3389746142359383</v>
      </c>
      <c r="L736" s="52" t="n">
        <v>36.38</v>
      </c>
      <c r="M736" s="82" t="n">
        <v>0.3636181909045478</v>
      </c>
      <c r="N736" s="54" t="n">
        <v>33.6</v>
      </c>
      <c r="O736" s="82" t="n">
        <v>0.335832083958021</v>
      </c>
      <c r="P736" s="55">
        <f>C736-G736</f>
        <v/>
      </c>
      <c r="Q736" s="55">
        <f>E736-C736</f>
        <v/>
      </c>
      <c r="R736" s="55">
        <f>C736-M736</f>
        <v/>
      </c>
      <c r="S736" s="53">
        <f>C736-O736</f>
        <v/>
      </c>
      <c r="T736" s="55">
        <f>E736-O736</f>
        <v/>
      </c>
      <c r="U736" s="55">
        <f>G736-O736</f>
        <v/>
      </c>
      <c r="V736" s="55">
        <f>G736-K736</f>
        <v/>
      </c>
      <c r="W736" s="55">
        <f>C736-K736</f>
        <v/>
      </c>
      <c r="X736" s="64">
        <f>I736-G736</f>
        <v/>
      </c>
      <c r="Y736" s="72">
        <f>G736-M736</f>
        <v/>
      </c>
    </row>
    <row r="737">
      <c r="A737" s="51" t="n">
        <v>44221</v>
      </c>
      <c r="B737" s="52" t="n">
        <v>39.89</v>
      </c>
      <c r="C737" s="82" t="n">
        <v>0.3973215991267567</v>
      </c>
      <c r="D737" s="52" t="n">
        <v>43.37</v>
      </c>
      <c r="E737" s="86" t="n">
        <v>0.4319838995770228</v>
      </c>
      <c r="F737" s="52" t="n">
        <v>38.59</v>
      </c>
      <c r="G737" s="82" t="n">
        <v>0.3851350058103767</v>
      </c>
      <c r="H737" s="54" t="n">
        <v>40.4</v>
      </c>
      <c r="I737" s="82" t="n">
        <v>0.4037994831333755</v>
      </c>
      <c r="J737" s="54" t="n">
        <v>34.2</v>
      </c>
      <c r="K737" s="82" t="n">
        <v>0.3404783416580011</v>
      </c>
      <c r="L737" s="52" t="n">
        <v>36.5</v>
      </c>
      <c r="M737" s="82" t="n">
        <v>0.3648188399596091</v>
      </c>
      <c r="N737" s="54" t="n">
        <v>33.6</v>
      </c>
      <c r="O737" s="82" t="n">
        <v>0.3358332334970648</v>
      </c>
      <c r="P737" s="55">
        <f>C737-G737</f>
        <v/>
      </c>
      <c r="Q737" s="55">
        <f>E737-C737</f>
        <v/>
      </c>
      <c r="R737" s="55">
        <f>C737-M737</f>
        <v/>
      </c>
      <c r="S737" s="53">
        <f>C737-O737</f>
        <v/>
      </c>
      <c r="T737" s="55">
        <f>E737-O737</f>
        <v/>
      </c>
      <c r="U737" s="55">
        <f>G737-O737</f>
        <v/>
      </c>
      <c r="V737" s="55">
        <f>G737-K737</f>
        <v/>
      </c>
      <c r="W737" s="55">
        <f>C737-K737</f>
        <v/>
      </c>
      <c r="X737" s="64">
        <f>I737-G737</f>
        <v/>
      </c>
      <c r="Y737" s="72">
        <f>G737-M737</f>
        <v/>
      </c>
    </row>
    <row r="738">
      <c r="A738" s="51" t="n">
        <v>44218</v>
      </c>
      <c r="B738" s="52" t="n">
        <v>40</v>
      </c>
      <c r="C738" s="82" t="n">
        <v>0.398449866273675</v>
      </c>
      <c r="D738" s="52" t="n">
        <v>43.5</v>
      </c>
      <c r="E738" s="86" t="n">
        <v>0.4333142295726216</v>
      </c>
      <c r="F738" s="52" t="n">
        <v>38.69</v>
      </c>
      <c r="G738" s="82" t="n">
        <v>0.3861488611194662</v>
      </c>
      <c r="H738" s="54" t="n">
        <v>40.5</v>
      </c>
      <c r="I738" s="82" t="n">
        <v>0.4048031436767052</v>
      </c>
      <c r="J738" s="54" t="n">
        <v>34.04</v>
      </c>
      <c r="K738" s="82" t="n">
        <v>0.3389166592789094</v>
      </c>
      <c r="L738" s="52" t="n">
        <v>36.2</v>
      </c>
      <c r="M738" s="82" t="n">
        <v>0.3618240444715242</v>
      </c>
      <c r="N738" s="54" t="n">
        <v>33.7</v>
      </c>
      <c r="O738" s="82" t="n">
        <v>0.3368361960964189</v>
      </c>
      <c r="P738" s="55">
        <f>C738-G738</f>
        <v/>
      </c>
      <c r="Q738" s="55">
        <f>E738-C738</f>
        <v/>
      </c>
      <c r="R738" s="55">
        <f>C738-M738</f>
        <v/>
      </c>
      <c r="S738" s="53">
        <f>C738-O738</f>
        <v/>
      </c>
      <c r="T738" s="55">
        <f>E738-O738</f>
        <v/>
      </c>
      <c r="U738" s="55">
        <f>G738-O738</f>
        <v/>
      </c>
      <c r="V738" s="55">
        <f>G738-K738</f>
        <v/>
      </c>
      <c r="W738" s="55">
        <f>C738-K738</f>
        <v/>
      </c>
      <c r="X738" s="64">
        <f>I738-G738</f>
        <v/>
      </c>
      <c r="Y738" s="72">
        <f>G738-M738</f>
        <v/>
      </c>
    </row>
    <row r="739">
      <c r="A739" s="51" t="n">
        <v>44217</v>
      </c>
      <c r="B739" s="52" t="n">
        <v>39.9</v>
      </c>
      <c r="C739" s="82" t="n">
        <v>0.3974645888485576</v>
      </c>
      <c r="D739" s="52" t="n">
        <v>43.05</v>
      </c>
      <c r="E739" s="86" t="n">
        <v>0.4288433721787069</v>
      </c>
      <c r="F739" s="52" t="n">
        <v>38.69</v>
      </c>
      <c r="G739" s="82" t="n">
        <v>0.386154140632477</v>
      </c>
      <c r="H739" s="54" t="n">
        <v>39.9</v>
      </c>
      <c r="I739" s="82" t="n">
        <v>0.3988074251816759</v>
      </c>
      <c r="J739" s="54" t="n">
        <v>33.7</v>
      </c>
      <c r="K739" s="82" t="n">
        <v>0.3355417722295913</v>
      </c>
      <c r="L739" s="52" t="n">
        <v>36.01</v>
      </c>
      <c r="M739" s="82" t="n">
        <v>0.3599262000198534</v>
      </c>
      <c r="N739" s="54" t="n">
        <v>33.4</v>
      </c>
      <c r="O739" s="82" t="n">
        <v>0.3338387970192476</v>
      </c>
      <c r="P739" s="55">
        <f>C739-G739</f>
        <v/>
      </c>
      <c r="Q739" s="55">
        <f>E739-C739</f>
        <v/>
      </c>
      <c r="R739" s="55">
        <f>C739-M739</f>
        <v/>
      </c>
      <c r="S739" s="53">
        <f>C739-O739</f>
        <v/>
      </c>
      <c r="T739" s="55">
        <f>E739-O739</f>
        <v/>
      </c>
      <c r="U739" s="55">
        <f>G739-O739</f>
        <v/>
      </c>
      <c r="V739" s="55">
        <f>G739-K739</f>
        <v/>
      </c>
      <c r="W739" s="55">
        <f>C739-K739</f>
        <v/>
      </c>
      <c r="X739" s="64">
        <f>I739-G739</f>
        <v/>
      </c>
      <c r="Y739" s="72">
        <f>G739-M739</f>
        <v/>
      </c>
    </row>
    <row r="740">
      <c r="A740" s="51" t="n">
        <v>44216</v>
      </c>
      <c r="B740" s="52" t="n">
        <v>39.97</v>
      </c>
      <c r="C740" s="82" t="n">
        <v>0.3981727620087336</v>
      </c>
      <c r="D740" s="52" t="n">
        <v>42.87</v>
      </c>
      <c r="E740" s="86" t="n">
        <v>0.4270619541484716</v>
      </c>
      <c r="F740" s="52" t="n">
        <v>38.74</v>
      </c>
      <c r="G740" s="82" t="n">
        <v>0.3866584632212196</v>
      </c>
      <c r="H740" s="54" t="n">
        <v>40.12</v>
      </c>
      <c r="I740" s="82" t="n">
        <v>0.4010077360169781</v>
      </c>
      <c r="J740" s="54" t="n">
        <v>34.1</v>
      </c>
      <c r="K740" s="82" t="n">
        <v>0.3395348837209303</v>
      </c>
      <c r="L740" s="52" t="n">
        <v>36.36</v>
      </c>
      <c r="M740" s="82" t="n">
        <v>0.3634257547751078</v>
      </c>
      <c r="N740" s="54" t="n">
        <v>33.87</v>
      </c>
      <c r="O740" s="82" t="n">
        <v>0.3385376874101458</v>
      </c>
      <c r="P740" s="55">
        <f>C740-G740</f>
        <v/>
      </c>
      <c r="Q740" s="55">
        <f>E740-C740</f>
        <v/>
      </c>
      <c r="R740" s="55">
        <f>C740-M740</f>
        <v/>
      </c>
      <c r="S740" s="53">
        <f>C740-O740</f>
        <v/>
      </c>
      <c r="T740" s="55">
        <f>E740-O740</f>
        <v/>
      </c>
      <c r="U740" s="55">
        <f>G740-O740</f>
        <v/>
      </c>
      <c r="V740" s="55">
        <f>G740-K740</f>
        <v/>
      </c>
      <c r="W740" s="55">
        <f>C740-K740</f>
        <v/>
      </c>
      <c r="X740" s="64">
        <f>I740-G740</f>
        <v/>
      </c>
      <c r="Y740" s="72">
        <f>G740-M740</f>
        <v/>
      </c>
    </row>
    <row r="741">
      <c r="A741" s="51" t="n">
        <v>44215</v>
      </c>
      <c r="B741" s="52" t="n">
        <v>40.2</v>
      </c>
      <c r="C741" s="82" t="n">
        <v>0.4004749037910423</v>
      </c>
      <c r="D741" s="52" t="n">
        <v>43.1</v>
      </c>
      <c r="E741" s="86" t="n">
        <v>0.4293648844127842</v>
      </c>
      <c r="F741" s="52" t="n">
        <v>38.79</v>
      </c>
      <c r="G741" s="82" t="n">
        <v>0.3871627996007602</v>
      </c>
      <c r="H741" s="54" t="n">
        <v>39.95</v>
      </c>
      <c r="I741" s="82" t="n">
        <v>0.3993099175392536</v>
      </c>
      <c r="J741" s="54" t="n">
        <v>34.4</v>
      </c>
      <c r="K741" s="82" t="n">
        <v>0.3425325062830135</v>
      </c>
      <c r="L741" s="52" t="n">
        <v>35.85</v>
      </c>
      <c r="M741" s="82" t="n">
        <v>0.3583294253762764</v>
      </c>
      <c r="N741" s="54" t="n">
        <v>33.85</v>
      </c>
      <c r="O741" s="82" t="n">
        <v>0.3383389413943363</v>
      </c>
      <c r="P741" s="55">
        <f>C741-G741</f>
        <v/>
      </c>
      <c r="Q741" s="55">
        <f>E741-C741</f>
        <v/>
      </c>
      <c r="R741" s="55">
        <f>C741-M741</f>
        <v/>
      </c>
      <c r="S741" s="53">
        <f>C741-O741</f>
        <v/>
      </c>
      <c r="T741" s="55">
        <f>E741-O741</f>
        <v/>
      </c>
      <c r="U741" s="55">
        <f>G741-O741</f>
        <v/>
      </c>
      <c r="V741" s="55">
        <f>G741-K741</f>
        <v/>
      </c>
      <c r="W741" s="55">
        <f>C741-K741</f>
        <v/>
      </c>
      <c r="X741" s="64">
        <f>I741-G741</f>
        <v/>
      </c>
      <c r="Y741" s="72">
        <f>G741-M741</f>
        <v/>
      </c>
    </row>
    <row r="742">
      <c r="A742" s="51" t="n">
        <v>44214</v>
      </c>
      <c r="B742" s="52" t="n">
        <v>40.1</v>
      </c>
      <c r="C742" s="82" t="n">
        <v>0.3994896009607511</v>
      </c>
      <c r="D742" s="52" t="n">
        <v>42</v>
      </c>
      <c r="E742" s="86" t="n">
        <v>0.4184180359189912</v>
      </c>
      <c r="F742" s="52" t="n">
        <v>38.8</v>
      </c>
      <c r="G742" s="82" t="n">
        <v>0.3872679045092838</v>
      </c>
      <c r="H742" s="52" t="n">
        <v>39.68</v>
      </c>
      <c r="I742" s="82" t="n">
        <v>0.3966125598176204</v>
      </c>
      <c r="J742" s="52" t="n">
        <v>34.25</v>
      </c>
      <c r="K742" s="82" t="n">
        <v>0.3410493721908867</v>
      </c>
      <c r="L742" s="52" t="n">
        <v>35.8</v>
      </c>
      <c r="M742" s="82" t="n">
        <v>0.3578308881419055</v>
      </c>
      <c r="N742" s="54" t="n">
        <v>33.8</v>
      </c>
      <c r="O742" s="82" t="n">
        <v>0.3378403357317432</v>
      </c>
      <c r="P742" s="55">
        <f>C742-G742</f>
        <v/>
      </c>
      <c r="Q742" s="55">
        <f>E742-C742</f>
        <v/>
      </c>
      <c r="R742" s="55">
        <f>C742-M742</f>
        <v/>
      </c>
      <c r="S742" s="53">
        <f>C742-O742</f>
        <v/>
      </c>
      <c r="T742" s="55">
        <f>E742-O742</f>
        <v/>
      </c>
      <c r="U742" s="55">
        <f>G742-O742</f>
        <v/>
      </c>
      <c r="V742" s="55">
        <f>G742-K742</f>
        <v/>
      </c>
      <c r="W742" s="55">
        <f>C742-K742</f>
        <v/>
      </c>
      <c r="X742" s="64">
        <f>I742-G742</f>
        <v/>
      </c>
      <c r="Y742" s="72">
        <f>G742-M742</f>
        <v/>
      </c>
    </row>
    <row r="743">
      <c r="A743" s="51" t="n">
        <v>44211</v>
      </c>
      <c r="B743" s="52" t="n">
        <v>40.08</v>
      </c>
      <c r="C743" s="82" t="n">
        <v>0.399323051726491</v>
      </c>
      <c r="D743" s="52" t="n">
        <v>42</v>
      </c>
      <c r="E743" s="86" t="n">
        <v>0.4184522997133888</v>
      </c>
      <c r="F743" s="52" t="n">
        <v>38.69</v>
      </c>
      <c r="G743" s="82" t="n">
        <v>0.3861858207424625</v>
      </c>
      <c r="H743" s="52" t="n">
        <v>39.09</v>
      </c>
      <c r="I743" s="82" t="n">
        <v>0.3907193592003697</v>
      </c>
      <c r="J743" s="52" t="n">
        <v>34.25</v>
      </c>
      <c r="K743" s="82" t="n">
        <v>0.3410807769043194</v>
      </c>
      <c r="L743" s="52" t="n">
        <v>35.7</v>
      </c>
      <c r="M743" s="82" t="n">
        <v>0.3568350249028703</v>
      </c>
      <c r="N743" s="54" t="n">
        <v>33.65</v>
      </c>
      <c r="O743" s="82" t="n">
        <v>0.3363444982627894</v>
      </c>
      <c r="P743" s="55">
        <f>C743-G743</f>
        <v/>
      </c>
      <c r="Q743" s="55">
        <f>E743-C743</f>
        <v/>
      </c>
      <c r="R743" s="55">
        <f>C743-M743</f>
        <v/>
      </c>
      <c r="S743" s="53">
        <f>C743-O743</f>
        <v/>
      </c>
      <c r="T743" s="55">
        <f>E743-O743</f>
        <v/>
      </c>
      <c r="U743" s="55">
        <f>G743-O743</f>
        <v/>
      </c>
      <c r="V743" s="55">
        <f>G743-K743</f>
        <v/>
      </c>
      <c r="W743" s="55">
        <f>C743-K743</f>
        <v/>
      </c>
      <c r="X743" s="64">
        <f>I743-G743</f>
        <v/>
      </c>
      <c r="Y743" s="72">
        <f>G743-M743</f>
        <v/>
      </c>
    </row>
    <row r="744">
      <c r="A744" s="51" t="n">
        <v>44210</v>
      </c>
      <c r="B744" s="52" t="n">
        <v>40.23</v>
      </c>
      <c r="C744" s="82" t="n">
        <v>0.400828465360048</v>
      </c>
      <c r="D744" s="52" t="n">
        <v>41.66</v>
      </c>
      <c r="E744" s="86" t="n">
        <v>0.4150761587596222</v>
      </c>
      <c r="F744" s="52" t="n">
        <v>38.75</v>
      </c>
      <c r="G744" s="82" t="n">
        <v>0.3867900019142943</v>
      </c>
      <c r="H744" s="52" t="n">
        <v>39</v>
      </c>
      <c r="I744" s="82" t="n">
        <v>0.3898211094908501</v>
      </c>
      <c r="J744" s="52" t="n">
        <v>34.39</v>
      </c>
      <c r="K744" s="82" t="n">
        <v>0.3424854880186626</v>
      </c>
      <c r="L744" s="52" t="n">
        <v>35.69</v>
      </c>
      <c r="M744" s="82" t="n">
        <v>0.3567362922494471</v>
      </c>
      <c r="N744" s="54" t="n">
        <v>33.8</v>
      </c>
      <c r="O744" s="82" t="n">
        <v>0.3378449615587367</v>
      </c>
      <c r="P744" s="55">
        <f>C744-G744</f>
        <v/>
      </c>
      <c r="Q744" s="55">
        <f>E744-C744</f>
        <v/>
      </c>
      <c r="R744" s="55">
        <f>C744-M744</f>
        <v/>
      </c>
      <c r="S744" s="53">
        <f>C744-O744</f>
        <v/>
      </c>
      <c r="T744" s="55">
        <f>E744-O744</f>
        <v/>
      </c>
      <c r="U744" s="55">
        <f>G744-O744</f>
        <v/>
      </c>
      <c r="V744" s="55">
        <f>G744-K744</f>
        <v/>
      </c>
      <c r="W744" s="55">
        <f>C744-K744</f>
        <v/>
      </c>
      <c r="X744" s="64">
        <f>I744-G744</f>
        <v/>
      </c>
      <c r="Y744" s="72">
        <f>G744-M744</f>
        <v/>
      </c>
    </row>
    <row r="745">
      <c r="A745" s="51" t="n">
        <v>44209</v>
      </c>
      <c r="B745" s="52" t="n">
        <v>40.54</v>
      </c>
      <c r="C745" s="82" t="n">
        <v>0.403928152212486</v>
      </c>
      <c r="D745" s="52" t="n">
        <v>42.2</v>
      </c>
      <c r="E745" s="86" t="n">
        <v>0.4204678841481724</v>
      </c>
      <c r="F745" s="52" t="n">
        <v>38.98</v>
      </c>
      <c r="G745" s="82" t="n">
        <v>0.389091107981349</v>
      </c>
      <c r="H745" s="52" t="n">
        <v>39.36</v>
      </c>
      <c r="I745" s="82" t="n">
        <v>0.3934208049073538</v>
      </c>
      <c r="J745" s="52" t="n">
        <v>34.4</v>
      </c>
      <c r="K745" s="82" t="n">
        <v>0.3425955927243458</v>
      </c>
      <c r="L745" s="52" t="n">
        <v>36.22</v>
      </c>
      <c r="M745" s="82" t="n">
        <v>0.362035100450822</v>
      </c>
      <c r="N745" s="54" t="n">
        <v>34.25</v>
      </c>
      <c r="O745" s="82" t="n">
        <v>0.3423440693108961</v>
      </c>
      <c r="P745" s="55">
        <f>C745-G745</f>
        <v/>
      </c>
      <c r="Q745" s="55">
        <f>E745-C745</f>
        <v/>
      </c>
      <c r="R745" s="55">
        <f>C745-M745</f>
        <v/>
      </c>
      <c r="S745" s="53">
        <f>C745-O745</f>
        <v/>
      </c>
      <c r="T745" s="55">
        <f>E745-O745</f>
        <v/>
      </c>
      <c r="U745" s="55">
        <f>G745-O745</f>
        <v/>
      </c>
      <c r="V745" s="55">
        <f>G745-K745</f>
        <v/>
      </c>
      <c r="W745" s="55">
        <f>C745-K745</f>
        <v/>
      </c>
      <c r="X745" s="64">
        <f>I745-G745</f>
        <v/>
      </c>
      <c r="Y745" s="72">
        <f>G745-M745</f>
        <v/>
      </c>
    </row>
    <row r="746">
      <c r="A746" s="51" t="n">
        <v>44208</v>
      </c>
      <c r="B746" s="52" t="n">
        <v>40.95</v>
      </c>
      <c r="C746" s="82" t="n">
        <v>0.4080244048918978</v>
      </c>
      <c r="D746" s="52" t="n">
        <v>43.01</v>
      </c>
      <c r="E746" s="86" t="n">
        <v>0.4285501747106355</v>
      </c>
      <c r="F746" s="52" t="n">
        <v>39.04</v>
      </c>
      <c r="G746" s="82" t="n">
        <v>0.3896953454028332</v>
      </c>
      <c r="H746" s="52" t="n">
        <v>40.35</v>
      </c>
      <c r="I746" s="82" t="n">
        <v>0.4033176783098052</v>
      </c>
      <c r="J746" s="52" t="n">
        <v>34.8</v>
      </c>
      <c r="K746" s="82" t="n">
        <v>0.3465899013602193</v>
      </c>
      <c r="L746" s="52" t="n">
        <v>36.35</v>
      </c>
      <c r="M746" s="82" t="n">
        <v>0.363335752331138</v>
      </c>
      <c r="N746" s="54" t="n">
        <v>34.7</v>
      </c>
      <c r="O746" s="82" t="n">
        <v>0.3468432078649378</v>
      </c>
      <c r="P746" s="55">
        <f>C746-G746</f>
        <v/>
      </c>
      <c r="Q746" s="55">
        <f>E746-C746</f>
        <v/>
      </c>
      <c r="R746" s="55">
        <f>C746-M746</f>
        <v/>
      </c>
      <c r="S746" s="53">
        <f>C746-O746</f>
        <v/>
      </c>
      <c r="T746" s="55">
        <f>E746-O746</f>
        <v/>
      </c>
      <c r="U746" s="55">
        <f>G746-O746</f>
        <v/>
      </c>
      <c r="V746" s="55">
        <f>G746-K746</f>
        <v/>
      </c>
      <c r="W746" s="55">
        <f>C746-K746</f>
        <v/>
      </c>
      <c r="X746" s="64">
        <f>I746-G746</f>
        <v/>
      </c>
      <c r="Y746" s="72">
        <f>G746-M746</f>
        <v/>
      </c>
    </row>
    <row r="747">
      <c r="A747" s="51" t="n">
        <v>44207</v>
      </c>
      <c r="B747" s="52" t="n">
        <v>40.77</v>
      </c>
      <c r="C747" s="82" t="n">
        <v>0.4062419808359041</v>
      </c>
      <c r="D747" s="52" t="n">
        <v>43.1</v>
      </c>
      <c r="E747" s="86" t="n">
        <v>0.4294586552373673</v>
      </c>
      <c r="F747" s="52" t="n">
        <v>39.04</v>
      </c>
      <c r="G747" s="82" t="n">
        <v>0.3897006741327207</v>
      </c>
      <c r="H747" s="52" t="n">
        <v>40.27</v>
      </c>
      <c r="I747" s="82" t="n">
        <v>0.4025194176585162</v>
      </c>
      <c r="J747" s="52" t="n">
        <v>35</v>
      </c>
      <c r="K747" s="82" t="n">
        <v>0.3485924980984313</v>
      </c>
      <c r="L747" s="52" t="n">
        <v>36.39</v>
      </c>
      <c r="M747" s="82" t="n">
        <v>0.363736816702096</v>
      </c>
      <c r="N747" s="54" t="n">
        <v>34.5</v>
      </c>
      <c r="O747" s="82" t="n">
        <v>0.3448452920094067</v>
      </c>
      <c r="P747" s="55">
        <f>C747-G747</f>
        <v/>
      </c>
      <c r="Q747" s="55">
        <f>E747-C747</f>
        <v/>
      </c>
      <c r="R747" s="55">
        <f>C747-M747</f>
        <v/>
      </c>
      <c r="S747" s="53">
        <f>C747-O747</f>
        <v/>
      </c>
      <c r="T747" s="55">
        <f>E747-O747</f>
        <v/>
      </c>
      <c r="U747" s="55">
        <f>G747-O747</f>
        <v/>
      </c>
      <c r="V747" s="55">
        <f>G747-K747</f>
        <v/>
      </c>
      <c r="W747" s="55">
        <f>C747-K747</f>
        <v/>
      </c>
      <c r="X747" s="64">
        <f>I747-G747</f>
        <v/>
      </c>
      <c r="Y747" s="72">
        <f>G747-M747</f>
        <v/>
      </c>
    </row>
    <row r="748">
      <c r="A748" s="51" t="n">
        <v>44204</v>
      </c>
      <c r="B748" s="52" t="n">
        <v>40.85</v>
      </c>
      <c r="C748" s="82" t="n">
        <v>0.4070724582286775</v>
      </c>
      <c r="D748" s="52" t="n">
        <v>43</v>
      </c>
      <c r="E748" s="86" t="n">
        <v>0.4284973244512395</v>
      </c>
      <c r="F748" s="52" t="n">
        <v>39.5</v>
      </c>
      <c r="G748" s="82" t="n">
        <v>0.3943086095613171</v>
      </c>
      <c r="H748" s="52" t="n">
        <v>40.46</v>
      </c>
      <c r="I748" s="82" t="n">
        <v>0.4044227188081937</v>
      </c>
      <c r="J748" s="52" t="n">
        <v>35</v>
      </c>
      <c r="K748" s="82" t="n">
        <v>0.3486246043008405</v>
      </c>
      <c r="L748" s="52" t="n">
        <v>37</v>
      </c>
      <c r="M748" s="82" t="n">
        <v>0.3698378792857925</v>
      </c>
      <c r="N748" s="54" t="n">
        <v>34.6</v>
      </c>
      <c r="O748" s="82" t="n">
        <v>0.3458483952240114</v>
      </c>
      <c r="P748" s="55">
        <f>C748-G748</f>
        <v/>
      </c>
      <c r="Q748" s="55">
        <f>E748-C748</f>
        <v/>
      </c>
      <c r="R748" s="55">
        <f>C748-M748</f>
        <v/>
      </c>
      <c r="S748" s="53">
        <f>C748-O748</f>
        <v/>
      </c>
      <c r="T748" s="55">
        <f>E748-O748</f>
        <v/>
      </c>
      <c r="U748" s="55">
        <f>G748-O748</f>
        <v/>
      </c>
      <c r="V748" s="55">
        <f>G748-K748</f>
        <v/>
      </c>
      <c r="W748" s="55">
        <f>C748-K748</f>
        <v/>
      </c>
      <c r="X748" s="64">
        <f>I748-G748</f>
        <v/>
      </c>
      <c r="Y748" s="72">
        <f>G748-M748</f>
        <v/>
      </c>
    </row>
    <row r="749">
      <c r="A749" s="51" t="n">
        <v>44203</v>
      </c>
      <c r="B749" s="52" t="n">
        <v>41.23</v>
      </c>
      <c r="C749" s="82" t="n">
        <v>0.4108703961558413</v>
      </c>
      <c r="D749" s="52" t="n">
        <v>43</v>
      </c>
      <c r="E749" s="86" t="n">
        <v>0.4285090233980397</v>
      </c>
      <c r="F749" s="52" t="n">
        <v>39.55</v>
      </c>
      <c r="G749" s="82" t="n">
        <v>0.3948131333160119</v>
      </c>
      <c r="H749" s="52" t="n">
        <v>40.6</v>
      </c>
      <c r="I749" s="82" t="n">
        <v>0.4058234945759892</v>
      </c>
      <c r="J749" s="52" t="n">
        <v>35.11</v>
      </c>
      <c r="K749" s="82" t="n">
        <v>0.349731018649601</v>
      </c>
      <c r="L749" s="52" t="n">
        <v>37.11</v>
      </c>
      <c r="M749" s="82" t="n">
        <v>0.3709386670865754</v>
      </c>
      <c r="N749" s="54" t="n">
        <v>34.85</v>
      </c>
      <c r="O749" s="82" t="n">
        <v>0.3483484922653504</v>
      </c>
      <c r="P749" s="55">
        <f>C749-G749</f>
        <v/>
      </c>
      <c r="Q749" s="55">
        <f>E749-C749</f>
        <v/>
      </c>
      <c r="R749" s="55">
        <f>C749-M749</f>
        <v/>
      </c>
      <c r="S749" s="53">
        <f>C749-O749</f>
        <v/>
      </c>
      <c r="T749" s="55">
        <f>E749-O749</f>
        <v/>
      </c>
      <c r="U749" s="55">
        <f>G749-O749</f>
        <v/>
      </c>
      <c r="V749" s="55">
        <f>G749-K749</f>
        <v/>
      </c>
      <c r="W749" s="55">
        <f>C749-K749</f>
        <v/>
      </c>
      <c r="X749" s="64">
        <f>I749-G749</f>
        <v/>
      </c>
      <c r="Y749" s="72">
        <f>G749-M749</f>
        <v/>
      </c>
    </row>
    <row r="750">
      <c r="A750" s="51" t="n">
        <v>44202</v>
      </c>
      <c r="B750" s="52" t="n">
        <v>41.5</v>
      </c>
      <c r="C750" s="82" t="n">
        <v>0.4135723256702888</v>
      </c>
      <c r="D750" s="52" t="n">
        <v>43.85</v>
      </c>
      <c r="E750" s="86" t="n">
        <v>0.436991481461257</v>
      </c>
      <c r="F750" s="52" t="n">
        <v>40.1</v>
      </c>
      <c r="G750" s="82" t="n">
        <v>0.4003090556026584</v>
      </c>
      <c r="H750" s="52" t="n">
        <v>40.95</v>
      </c>
      <c r="I750" s="82" t="n">
        <v>0.409323374160465</v>
      </c>
      <c r="J750" s="52" t="n">
        <v>35.75</v>
      </c>
      <c r="K750" s="82" t="n">
        <v>0.3561169976870646</v>
      </c>
      <c r="L750" s="52" t="n">
        <v>37.38</v>
      </c>
      <c r="M750" s="82" t="n">
        <v>0.3736387723105783</v>
      </c>
      <c r="N750" s="54" t="n">
        <v>34.6</v>
      </c>
      <c r="O750" s="82" t="n">
        <v>0.345850763026913</v>
      </c>
      <c r="P750" s="55">
        <f>C750-G750</f>
        <v/>
      </c>
      <c r="Q750" s="55">
        <f>E750-C750</f>
        <v/>
      </c>
      <c r="R750" s="55">
        <f>C750-M750</f>
        <v/>
      </c>
      <c r="S750" s="53">
        <f>C750-O750</f>
        <v/>
      </c>
      <c r="T750" s="55">
        <f>E750-O750</f>
        <v/>
      </c>
      <c r="U750" s="55">
        <f>G750-O750</f>
        <v/>
      </c>
      <c r="V750" s="55">
        <f>G750-K750</f>
        <v/>
      </c>
      <c r="W750" s="55">
        <f>C750-K750</f>
        <v/>
      </c>
      <c r="X750" s="64">
        <f>I750-G750</f>
        <v/>
      </c>
      <c r="Y750" s="72">
        <f>G750-M750</f>
        <v/>
      </c>
    </row>
    <row r="751">
      <c r="A751" s="51" t="n">
        <v>44201</v>
      </c>
      <c r="B751" s="52" t="n">
        <v>41.25</v>
      </c>
      <c r="C751" s="82" t="n">
        <v>0.4110921501706485</v>
      </c>
      <c r="D751" s="52" t="n">
        <v>42.8</v>
      </c>
      <c r="E751" s="86" t="n">
        <v>0.4265392491467577</v>
      </c>
      <c r="F751" s="52" t="n">
        <v>40.25</v>
      </c>
      <c r="G751" s="82" t="n">
        <v>0.4018119658119658</v>
      </c>
      <c r="H751" s="52" t="n">
        <v>40.27</v>
      </c>
      <c r="I751" s="82" t="n">
        <v>0.4025276850663244</v>
      </c>
      <c r="J751" s="52" t="n">
        <v>35.64</v>
      </c>
      <c r="K751" s="82" t="n">
        <v>0.3550321535181237</v>
      </c>
      <c r="L751" s="52" t="n">
        <v>36.9</v>
      </c>
      <c r="M751" s="82" t="n">
        <v>0.3688421052631579</v>
      </c>
      <c r="N751" s="54" t="n">
        <v>34.5</v>
      </c>
      <c r="O751" s="82" t="n">
        <v>0.3448523748395378</v>
      </c>
      <c r="P751" s="55">
        <f>C751-G751</f>
        <v/>
      </c>
      <c r="Q751" s="55">
        <f>E751-C751</f>
        <v/>
      </c>
      <c r="R751" s="55">
        <f>C751-M751</f>
        <v/>
      </c>
      <c r="S751" s="53">
        <f>C751-O751</f>
        <v/>
      </c>
      <c r="T751" s="55">
        <f>E751-O751</f>
        <v/>
      </c>
      <c r="U751" s="55">
        <f>G751-O751</f>
        <v/>
      </c>
      <c r="V751" s="55">
        <f>G751-K751</f>
        <v/>
      </c>
      <c r="W751" s="55">
        <f>C751-K751</f>
        <v/>
      </c>
      <c r="X751" s="64">
        <f>I751-G751</f>
        <v/>
      </c>
      <c r="Y751" s="72">
        <f>G751-M751</f>
        <v/>
      </c>
    </row>
    <row r="752">
      <c r="A752" s="51" t="n">
        <v>44200</v>
      </c>
      <c r="B752" s="52" t="n">
        <v>41.36</v>
      </c>
      <c r="C752" s="82" t="n">
        <v>0.4121996505024028</v>
      </c>
      <c r="D752" s="52" t="n">
        <v>43.11</v>
      </c>
      <c r="E752" s="86" t="n">
        <v>0.4296403997378768</v>
      </c>
      <c r="F752" s="52" t="n">
        <v>40.55</v>
      </c>
      <c r="G752" s="82" t="n">
        <v>0.4048123735025436</v>
      </c>
      <c r="H752" s="52" t="n">
        <v>40.5</v>
      </c>
      <c r="I752" s="82" t="n">
        <v>0.404828086702907</v>
      </c>
      <c r="J752" s="52" t="n">
        <v>36.1</v>
      </c>
      <c r="K752" s="82" t="n">
        <v>0.3596255407415495</v>
      </c>
      <c r="L752" s="52" t="n">
        <v>37.23</v>
      </c>
      <c r="M752" s="82" t="n">
        <v>0.3721419671098574</v>
      </c>
      <c r="N752" s="54" t="n">
        <v>34.8</v>
      </c>
      <c r="O752" s="82" t="n">
        <v>0.347852281907683</v>
      </c>
      <c r="P752" s="55">
        <f>C752-G752</f>
        <v/>
      </c>
      <c r="Q752" s="55">
        <f>E752-C752</f>
        <v/>
      </c>
      <c r="R752" s="55">
        <f>C752-M752</f>
        <v/>
      </c>
      <c r="S752" s="53">
        <f>C752-O752</f>
        <v/>
      </c>
      <c r="T752" s="55">
        <f>E752-O752</f>
        <v/>
      </c>
      <c r="U752" s="55">
        <f>G752-O752</f>
        <v/>
      </c>
      <c r="V752" s="55">
        <f>G752-K752</f>
        <v/>
      </c>
      <c r="W752" s="55">
        <f>C752-K752</f>
        <v/>
      </c>
      <c r="X752" s="64">
        <f>I752-G752</f>
        <v/>
      </c>
      <c r="Y752" s="72">
        <f>G752-M752</f>
        <v/>
      </c>
    </row>
    <row r="753">
      <c r="A753" s="51" t="n">
        <v>44195</v>
      </c>
      <c r="B753" s="52" t="n">
        <v>42.35</v>
      </c>
      <c r="C753" s="82" t="n">
        <v>0.4221237608891559</v>
      </c>
      <c r="D753" s="52" t="n">
        <v>44.9</v>
      </c>
      <c r="E753" s="86" t="n">
        <v>0.4475408940713837</v>
      </c>
      <c r="F753" s="52" t="n">
        <v>40.94</v>
      </c>
      <c r="G753" s="82" t="n">
        <v>0.4087337080649352</v>
      </c>
      <c r="H753" s="52" t="n">
        <v>41.59</v>
      </c>
      <c r="I753" s="82" t="n">
        <v>0.4157305755531137</v>
      </c>
      <c r="J753" s="52" t="n">
        <v>36.5</v>
      </c>
      <c r="K753" s="82" t="n">
        <v>0.3636661423341102</v>
      </c>
      <c r="L753" s="52" t="n">
        <v>38.2</v>
      </c>
      <c r="M753" s="82" t="n">
        <v>0.381844385336113</v>
      </c>
      <c r="N753" s="54" t="n">
        <v>35.9</v>
      </c>
      <c r="O753" s="82" t="n">
        <v>0.3588537548054047</v>
      </c>
      <c r="P753" s="55">
        <f>C753-G753</f>
        <v/>
      </c>
      <c r="Q753" s="55">
        <f>E753-C753</f>
        <v/>
      </c>
      <c r="R753" s="55">
        <f>C753-M753</f>
        <v/>
      </c>
      <c r="S753" s="53">
        <f>C753-O753</f>
        <v/>
      </c>
      <c r="T753" s="55">
        <f>E753-O753</f>
        <v/>
      </c>
      <c r="U753" s="55">
        <f>G753-O753</f>
        <v/>
      </c>
      <c r="V753" s="55">
        <f>G753-K753</f>
        <v/>
      </c>
      <c r="W753" s="55">
        <f>C753-K753</f>
        <v/>
      </c>
      <c r="X753" s="64">
        <f>I753-G753</f>
        <v/>
      </c>
      <c r="Y753" s="72">
        <f>G753-M753</f>
        <v/>
      </c>
    </row>
    <row r="754">
      <c r="A754" s="51" t="n">
        <v>44194</v>
      </c>
      <c r="B754" s="52" t="n">
        <v>42.35</v>
      </c>
      <c r="C754" s="82" t="n">
        <v>0.4221352886558523</v>
      </c>
      <c r="D754" s="52" t="n">
        <v>44.78</v>
      </c>
      <c r="E754" s="86" t="n">
        <v>0.4463569829045825</v>
      </c>
      <c r="F754" s="52" t="n">
        <v>40.93</v>
      </c>
      <c r="G754" s="82" t="n">
        <v>0.4086394595038157</v>
      </c>
      <c r="H754" s="52" t="n">
        <v>41.19</v>
      </c>
      <c r="I754" s="82" t="n">
        <v>0.4117336144982507</v>
      </c>
      <c r="J754" s="52" t="n">
        <v>36.6</v>
      </c>
      <c r="K754" s="82" t="n">
        <v>0.3646736867966506</v>
      </c>
      <c r="L754" s="52" t="n">
        <v>38.8</v>
      </c>
      <c r="M754" s="82" t="n">
        <v>0.3878432688160264</v>
      </c>
      <c r="N754" s="54" t="n">
        <v>35.75</v>
      </c>
      <c r="O754" s="82" t="n">
        <v>0.357355589179715</v>
      </c>
      <c r="P754" s="55">
        <f>C754-G754</f>
        <v/>
      </c>
      <c r="Q754" s="55">
        <f>E754-C754</f>
        <v/>
      </c>
      <c r="R754" s="55">
        <f>C754-M754</f>
        <v/>
      </c>
      <c r="S754" s="53">
        <f>C754-O754</f>
        <v/>
      </c>
      <c r="T754" s="55">
        <f>E754-O754</f>
        <v/>
      </c>
      <c r="U754" s="55">
        <f>G754-O754</f>
        <v/>
      </c>
      <c r="V754" s="55">
        <f>G754-K754</f>
        <v/>
      </c>
      <c r="W754" s="55">
        <f>C754-K754</f>
        <v/>
      </c>
      <c r="X754" s="64">
        <f>I754-G754</f>
        <v/>
      </c>
      <c r="Y754" s="72">
        <f>G754-M754</f>
        <v/>
      </c>
    </row>
    <row r="755">
      <c r="A755" s="51" t="n">
        <v>44193</v>
      </c>
      <c r="B755" s="52" t="n">
        <v>42.24</v>
      </c>
      <c r="C755" s="82" t="n">
        <v>0.4210503318130923</v>
      </c>
      <c r="D755" s="52" t="n">
        <v>44</v>
      </c>
      <c r="E755" s="86" t="n">
        <v>0.4385940956386378</v>
      </c>
      <c r="F755" s="52" t="n">
        <v>40.9</v>
      </c>
      <c r="G755" s="82" t="n">
        <v>0.4083455283996881</v>
      </c>
      <c r="H755" s="52" t="n">
        <v>41.89</v>
      </c>
      <c r="I755" s="82" t="n">
        <v>0.4187322203089858</v>
      </c>
      <c r="J755" s="52" t="n">
        <v>36.75</v>
      </c>
      <c r="K755" s="82" t="n">
        <v>0.3661794965415812</v>
      </c>
      <c r="L755" s="52" t="n">
        <v>39</v>
      </c>
      <c r="M755" s="82" t="n">
        <v>0.3898437954655155</v>
      </c>
      <c r="N755" s="54" t="n">
        <v>35.7</v>
      </c>
      <c r="O755" s="82" t="n">
        <v>0.3568570127722796</v>
      </c>
      <c r="P755" s="55">
        <f>C755-G755</f>
        <v/>
      </c>
      <c r="Q755" s="55">
        <f>E755-C755</f>
        <v/>
      </c>
      <c r="R755" s="55">
        <f>C755-M755</f>
        <v/>
      </c>
      <c r="S755" s="53">
        <f>C755-O755</f>
        <v/>
      </c>
      <c r="T755" s="55">
        <f>E755-O755</f>
        <v/>
      </c>
      <c r="U755" s="55">
        <f>G755-O755</f>
        <v/>
      </c>
      <c r="V755" s="55">
        <f>G755-K755</f>
        <v/>
      </c>
      <c r="W755" s="55">
        <f>C755-K755</f>
        <v/>
      </c>
      <c r="X755" s="64">
        <f>I755-G755</f>
        <v/>
      </c>
      <c r="Y755" s="72">
        <f>G755-M755</f>
        <v/>
      </c>
    </row>
    <row r="756">
      <c r="A756" s="51" t="n">
        <v>44188</v>
      </c>
      <c r="B756" s="52" t="n">
        <v>42.27</v>
      </c>
      <c r="C756" s="82" t="n">
        <v>0.4214069157653229</v>
      </c>
      <c r="D756" s="52" t="n">
        <v>44</v>
      </c>
      <c r="E756" s="86" t="n">
        <v>0.4386539932262646</v>
      </c>
      <c r="F756" s="52" t="n">
        <v>40.62</v>
      </c>
      <c r="G756" s="82" t="n">
        <v>0.4055777437356384</v>
      </c>
      <c r="H756" s="52" t="n">
        <v>41.3</v>
      </c>
      <c r="I756" s="82" t="n">
        <v>0.4128416497781672</v>
      </c>
      <c r="J756" s="52" t="n">
        <v>36.3</v>
      </c>
      <c r="K756" s="82" t="n">
        <v>0.3617512149838912</v>
      </c>
      <c r="L756" s="52" t="n">
        <v>38.58</v>
      </c>
      <c r="M756" s="82" t="n">
        <v>0.3856520786547625</v>
      </c>
      <c r="N756" s="54" t="n">
        <v>35.7</v>
      </c>
      <c r="O756" s="82" t="n">
        <v>0.356863120994687</v>
      </c>
      <c r="P756" s="55">
        <f>C756-G756</f>
        <v/>
      </c>
      <c r="Q756" s="55">
        <f>E756-C756</f>
        <v/>
      </c>
      <c r="R756" s="55">
        <f>C756-M756</f>
        <v/>
      </c>
      <c r="S756" s="53">
        <f>C756-O756</f>
        <v/>
      </c>
      <c r="T756" s="55">
        <f>E756-O756</f>
        <v/>
      </c>
      <c r="U756" s="55">
        <f>G756-O756</f>
        <v/>
      </c>
      <c r="V756" s="55">
        <f>G756-K756</f>
        <v/>
      </c>
      <c r="W756" s="55">
        <f>C756-K756</f>
        <v/>
      </c>
      <c r="X756" s="64">
        <f>I756-G756</f>
        <v/>
      </c>
      <c r="Y756" s="72">
        <f>G756-M756</f>
        <v/>
      </c>
    </row>
    <row r="757">
      <c r="A757" s="51" t="n">
        <v>44187</v>
      </c>
      <c r="B757" s="52" t="n">
        <v>42.3</v>
      </c>
      <c r="C757" s="82" t="n">
        <v>0.4217175165933735</v>
      </c>
      <c r="D757" s="52" t="n">
        <v>43.51</v>
      </c>
      <c r="E757" s="86" t="n">
        <v>0.4337808308978175</v>
      </c>
      <c r="F757" s="52" t="n">
        <v>40.71</v>
      </c>
      <c r="G757" s="82" t="n">
        <v>0.4064819247445665</v>
      </c>
      <c r="H757" s="52" t="n">
        <v>41.25</v>
      </c>
      <c r="I757" s="82" t="n">
        <v>0.412343253078453</v>
      </c>
      <c r="J757" s="52" t="n">
        <v>36.5</v>
      </c>
      <c r="K757" s="82" t="n">
        <v>0.3637555076979785</v>
      </c>
      <c r="L757" s="52" t="n">
        <v>38.65</v>
      </c>
      <c r="M757" s="82" t="n">
        <v>0.3863531328844172</v>
      </c>
      <c r="N757" s="54" t="n">
        <v>35.95</v>
      </c>
      <c r="O757" s="82" t="n">
        <v>0.3593633926829185</v>
      </c>
      <c r="P757" s="55">
        <f>C757-G757</f>
        <v/>
      </c>
      <c r="Q757" s="55">
        <f>E757-C757</f>
        <v/>
      </c>
      <c r="R757" s="55">
        <f>C757-M757</f>
        <v/>
      </c>
      <c r="S757" s="53">
        <f>C757-O757</f>
        <v/>
      </c>
      <c r="T757" s="55">
        <f>E757-O757</f>
        <v/>
      </c>
      <c r="U757" s="55">
        <f>G757-O757</f>
        <v/>
      </c>
      <c r="V757" s="55">
        <f>G757-K757</f>
        <v/>
      </c>
      <c r="W757" s="55">
        <f>C757-K757</f>
        <v/>
      </c>
      <c r="X757" s="64">
        <f>I757-G757</f>
        <v/>
      </c>
      <c r="Y757" s="72">
        <f>G757-M757</f>
        <v/>
      </c>
    </row>
    <row r="758">
      <c r="A758" s="51" t="n">
        <v>44186</v>
      </c>
      <c r="B758" s="52" t="n">
        <v>42.21</v>
      </c>
      <c r="C758" s="82" t="n">
        <v>0.4208317399617591</v>
      </c>
      <c r="D758" s="52" t="n">
        <v>44.38</v>
      </c>
      <c r="E758" s="86" t="n">
        <v>0.4424665391969407</v>
      </c>
      <c r="F758" s="52" t="n">
        <v>40.74</v>
      </c>
      <c r="G758" s="82" t="n">
        <v>0.4067870332375872</v>
      </c>
      <c r="H758" s="52" t="n">
        <v>41.15</v>
      </c>
      <c r="I758" s="82" t="n">
        <v>0.4113450412515833</v>
      </c>
      <c r="J758" s="52" t="n">
        <v>37</v>
      </c>
      <c r="K758" s="82" t="n">
        <v>0.3687497866821393</v>
      </c>
      <c r="L758" s="52" t="n">
        <v>38.61</v>
      </c>
      <c r="M758" s="82" t="n">
        <v>0.385954606141522</v>
      </c>
      <c r="N758" s="54" t="n">
        <v>35.55</v>
      </c>
      <c r="O758" s="82" t="n">
        <v>0.3553661291979049</v>
      </c>
      <c r="P758" s="55">
        <f>C758-G758</f>
        <v/>
      </c>
      <c r="Q758" s="55">
        <f>E758-C758</f>
        <v/>
      </c>
      <c r="R758" s="55">
        <f>C758-M758</f>
        <v/>
      </c>
      <c r="S758" s="53">
        <f>C758-O758</f>
        <v/>
      </c>
      <c r="T758" s="55">
        <f>E758-O758</f>
        <v/>
      </c>
      <c r="U758" s="55">
        <f>G758-O758</f>
        <v/>
      </c>
      <c r="V758" s="55">
        <f>G758-K758</f>
        <v/>
      </c>
      <c r="W758" s="55">
        <f>C758-K758</f>
        <v/>
      </c>
      <c r="X758" s="64">
        <f>I758-G758</f>
        <v/>
      </c>
      <c r="Y758" s="72">
        <f>G758-M758</f>
        <v/>
      </c>
    </row>
    <row r="759">
      <c r="A759" s="51" t="n">
        <v>44183</v>
      </c>
      <c r="B759" s="52" t="n">
        <v>41.75</v>
      </c>
      <c r="C759" s="82" t="n">
        <v>0.4162796732865299</v>
      </c>
      <c r="D759" s="52" t="n">
        <v>43.5</v>
      </c>
      <c r="E759" s="86" t="n">
        <v>0.4337285218674024</v>
      </c>
      <c r="F759" s="52" t="n">
        <v>40.22</v>
      </c>
      <c r="G759" s="82" t="n">
        <v>0.4016113368076928</v>
      </c>
      <c r="H759" s="52" t="n">
        <v>41.4</v>
      </c>
      <c r="I759" s="82" t="n">
        <v>0.4138483500908913</v>
      </c>
      <c r="J759" s="52" t="n">
        <v>36.18</v>
      </c>
      <c r="K759" s="82" t="n">
        <v>0.3606107255865075</v>
      </c>
      <c r="L759" s="52" t="n">
        <v>38.26</v>
      </c>
      <c r="M759" s="82" t="n">
        <v>0.3824598520405194</v>
      </c>
      <c r="N759" s="54" t="n">
        <v>35.5</v>
      </c>
      <c r="O759" s="82" t="n">
        <v>0.35486996203446</v>
      </c>
      <c r="P759" s="55">
        <f>C759-G759</f>
        <v/>
      </c>
      <c r="Q759" s="55">
        <f>E759-C759</f>
        <v/>
      </c>
      <c r="R759" s="55">
        <f>C759-M759</f>
        <v/>
      </c>
      <c r="S759" s="53">
        <f>C759-O759</f>
        <v/>
      </c>
      <c r="T759" s="55">
        <f>E759-O759</f>
        <v/>
      </c>
      <c r="U759" s="55">
        <f>G759-O759</f>
        <v/>
      </c>
      <c r="V759" s="55">
        <f>G759-K759</f>
        <v/>
      </c>
      <c r="W759" s="55">
        <f>C759-K759</f>
        <v/>
      </c>
      <c r="X759" s="64">
        <f>I759-G759</f>
        <v/>
      </c>
      <c r="Y759" s="72">
        <f>G759-M759</f>
        <v/>
      </c>
    </row>
    <row r="760">
      <c r="A760" s="51" t="n">
        <v>44182</v>
      </c>
      <c r="B760" s="52" t="n">
        <v>41.57</v>
      </c>
      <c r="C760" s="82" t="n">
        <v>0.4144962574441348</v>
      </c>
      <c r="D760" s="52" t="n">
        <v>43.47</v>
      </c>
      <c r="E760" s="86" t="n">
        <v>0.4334412391411244</v>
      </c>
      <c r="F760" s="52" t="n">
        <v>39.84</v>
      </c>
      <c r="G760" s="82" t="n">
        <v>0.3978223401635981</v>
      </c>
      <c r="H760" s="52" t="n">
        <v>41.01</v>
      </c>
      <c r="I760" s="82" t="n">
        <v>0.4099511821051262</v>
      </c>
      <c r="J760" s="52" t="n">
        <v>35.85</v>
      </c>
      <c r="K760" s="82" t="n">
        <v>0.3573325505028093</v>
      </c>
      <c r="L760" s="52" t="n">
        <v>37.9</v>
      </c>
      <c r="M760" s="82" t="n">
        <v>0.3788624677343156</v>
      </c>
      <c r="N760" s="54" t="n">
        <v>35.05</v>
      </c>
      <c r="O760" s="82" t="n">
        <v>0.3503728098703895</v>
      </c>
      <c r="P760" s="55">
        <f>C760-G760</f>
        <v/>
      </c>
      <c r="Q760" s="55">
        <f>E760-C760</f>
        <v/>
      </c>
      <c r="R760" s="55">
        <f>C760-M760</f>
        <v/>
      </c>
      <c r="S760" s="53">
        <f>C760-O760</f>
        <v/>
      </c>
      <c r="T760" s="55">
        <f>E760-O760</f>
        <v/>
      </c>
      <c r="U760" s="55">
        <f>G760-O760</f>
        <v/>
      </c>
      <c r="V760" s="55">
        <f>G760-K760</f>
        <v/>
      </c>
      <c r="W760" s="55">
        <f>C760-K760</f>
        <v/>
      </c>
      <c r="X760" s="64">
        <f>I760-G760</f>
        <v/>
      </c>
      <c r="Y760" s="72">
        <f>G760-M760</f>
        <v/>
      </c>
    </row>
    <row r="761">
      <c r="A761" s="51" t="n">
        <v>44181</v>
      </c>
      <c r="B761" s="52" t="n">
        <v>41.55</v>
      </c>
      <c r="C761" s="82" t="n">
        <v>0.4143081546236853</v>
      </c>
      <c r="D761" s="52" t="n">
        <v>43.48</v>
      </c>
      <c r="E761" s="86" t="n">
        <v>0.4335527933342439</v>
      </c>
      <c r="F761" s="52" t="n">
        <v>39.78</v>
      </c>
      <c r="G761" s="82" t="n">
        <v>0.3972286437316189</v>
      </c>
      <c r="H761" s="52" t="n">
        <v>40.8</v>
      </c>
      <c r="I761" s="82" t="n">
        <v>0.4078533404084148</v>
      </c>
      <c r="J761" s="52" t="n">
        <v>35.1</v>
      </c>
      <c r="K761" s="82" t="n">
        <v>0.3498677226100463</v>
      </c>
      <c r="L761" s="52" t="n">
        <v>37.28</v>
      </c>
      <c r="M761" s="82" t="n">
        <v>0.3726659933927868</v>
      </c>
      <c r="N761" s="54" t="n">
        <v>34.8</v>
      </c>
      <c r="O761" s="82" t="n">
        <v>0.3478749079954126</v>
      </c>
      <c r="P761" s="55">
        <f>C761-G761</f>
        <v/>
      </c>
      <c r="Q761" s="55">
        <f>E761-C761</f>
        <v/>
      </c>
      <c r="R761" s="55">
        <f>C761-M761</f>
        <v/>
      </c>
      <c r="S761" s="53">
        <f>C761-O761</f>
        <v/>
      </c>
      <c r="T761" s="55">
        <f>E761-O761</f>
        <v/>
      </c>
      <c r="U761" s="55">
        <f>G761-O761</f>
        <v/>
      </c>
      <c r="V761" s="55">
        <f>G761-K761</f>
        <v/>
      </c>
      <c r="W761" s="55">
        <f>C761-K761</f>
        <v/>
      </c>
      <c r="X761" s="64">
        <f>I761-G761</f>
        <v/>
      </c>
      <c r="Y761" s="72">
        <f>G761-M761</f>
        <v/>
      </c>
    </row>
    <row r="762">
      <c r="A762" s="51" t="n">
        <v>44180</v>
      </c>
      <c r="B762" s="52" t="n">
        <v>41.75</v>
      </c>
      <c r="C762" s="82" t="n">
        <v>0.4163137908425309</v>
      </c>
      <c r="D762" s="52" t="n">
        <v>43.9</v>
      </c>
      <c r="E762" s="86" t="n">
        <v>0.4377527046224456</v>
      </c>
      <c r="F762" s="52" t="n">
        <v>40.03</v>
      </c>
      <c r="G762" s="82" t="n">
        <v>0.3997305209017291</v>
      </c>
      <c r="H762" s="52" t="n">
        <v>40.66</v>
      </c>
      <c r="I762" s="82" t="n">
        <v>0.4064552351217374</v>
      </c>
      <c r="J762" s="52" t="n">
        <v>35.1</v>
      </c>
      <c r="K762" s="82" t="n">
        <v>0.3498784717480952</v>
      </c>
      <c r="L762" s="52" t="n">
        <v>37</v>
      </c>
      <c r="M762" s="82" t="n">
        <v>0.3698682660970066</v>
      </c>
      <c r="N762" s="54" t="n">
        <v>34.8</v>
      </c>
      <c r="O762" s="82" t="n">
        <v>0.347876098923671</v>
      </c>
      <c r="P762" s="55">
        <f>C762-G762</f>
        <v/>
      </c>
      <c r="Q762" s="55">
        <f>E762-C762</f>
        <v/>
      </c>
      <c r="R762" s="55">
        <f>C762-M762</f>
        <v/>
      </c>
      <c r="S762" s="53">
        <f>C762-O762</f>
        <v/>
      </c>
      <c r="T762" s="55">
        <f>E762-O762</f>
        <v/>
      </c>
      <c r="U762" s="55">
        <f>G762-O762</f>
        <v/>
      </c>
      <c r="V762" s="55">
        <f>G762-K762</f>
        <v/>
      </c>
      <c r="W762" s="55">
        <f>C762-K762</f>
        <v/>
      </c>
      <c r="X762" s="64">
        <f>I762-G762</f>
        <v/>
      </c>
      <c r="Y762" s="72">
        <f>G762-M762</f>
        <v/>
      </c>
    </row>
    <row r="763">
      <c r="A763" s="51" t="n">
        <v>44179</v>
      </c>
      <c r="B763" s="52" t="n">
        <v>42.1</v>
      </c>
      <c r="C763" s="82" t="n">
        <v>0.4198153156845068</v>
      </c>
      <c r="D763" s="52" t="n">
        <v>44.3</v>
      </c>
      <c r="E763" s="86" t="n">
        <v>0.4417534081905855</v>
      </c>
      <c r="F763" s="52" t="n">
        <v>40.33</v>
      </c>
      <c r="G763" s="82" t="n">
        <v>0.4027317620343898</v>
      </c>
      <c r="H763" s="52" t="n">
        <v>41.5</v>
      </c>
      <c r="I763" s="82" t="n">
        <v>0.4148536646319962</v>
      </c>
      <c r="J763" s="52" t="n">
        <v>35.6</v>
      </c>
      <c r="K763" s="82" t="n">
        <v>0.3548733984917744</v>
      </c>
      <c r="L763" s="52" t="n">
        <v>37.42</v>
      </c>
      <c r="M763" s="82" t="n">
        <v>0.3740680513380554</v>
      </c>
      <c r="N763" s="54" t="n">
        <v>34.8</v>
      </c>
      <c r="O763" s="82" t="n">
        <v>0.3478772898600836</v>
      </c>
      <c r="P763" s="55">
        <f>C763-G763</f>
        <v/>
      </c>
      <c r="Q763" s="55">
        <f>E763-C763</f>
        <v/>
      </c>
      <c r="R763" s="55">
        <f>C763-M763</f>
        <v/>
      </c>
      <c r="S763" s="53">
        <f>C763-O763</f>
        <v/>
      </c>
      <c r="T763" s="55">
        <f>E763-O763</f>
        <v/>
      </c>
      <c r="U763" s="55">
        <f>G763-O763</f>
        <v/>
      </c>
      <c r="V763" s="55">
        <f>G763-K763</f>
        <v/>
      </c>
      <c r="W763" s="55">
        <f>C763-K763</f>
        <v/>
      </c>
      <c r="X763" s="64">
        <f>I763-G763</f>
        <v/>
      </c>
      <c r="Y763" s="72">
        <f>G763-M763</f>
        <v/>
      </c>
    </row>
    <row r="764">
      <c r="A764" s="51" t="n">
        <v>44176</v>
      </c>
      <c r="B764" s="52" t="n">
        <v>41.92</v>
      </c>
      <c r="C764" s="82" t="n">
        <v>0.4180546448087432</v>
      </c>
      <c r="D764" s="52" t="n">
        <v>43.69</v>
      </c>
      <c r="E764" s="86" t="n">
        <v>0.4357062841530054</v>
      </c>
      <c r="F764" s="52" t="n">
        <v>39.85</v>
      </c>
      <c r="G764" s="82" t="n">
        <v>0.3979548563611491</v>
      </c>
      <c r="H764" s="52" t="n">
        <v>40.79</v>
      </c>
      <c r="I764" s="82" t="n">
        <v>0.4077603560424512</v>
      </c>
      <c r="J764" s="52" t="n">
        <v>35.6</v>
      </c>
      <c r="K764" s="82" t="n">
        <v>0.3549061113007853</v>
      </c>
      <c r="L764" s="52" t="n">
        <v>37.32</v>
      </c>
      <c r="M764" s="82" t="n">
        <v>0.3730722355357754</v>
      </c>
      <c r="N764" s="54" t="n">
        <v>34.92</v>
      </c>
      <c r="O764" s="82" t="n">
        <v>0.3490804519000342</v>
      </c>
      <c r="P764" s="55">
        <f>C764-G764</f>
        <v/>
      </c>
      <c r="Q764" s="55">
        <f>E764-C764</f>
        <v/>
      </c>
      <c r="R764" s="55">
        <f>C764-M764</f>
        <v/>
      </c>
      <c r="S764" s="53">
        <f>C764-O764</f>
        <v/>
      </c>
      <c r="T764" s="55">
        <f>E764-O764</f>
        <v/>
      </c>
      <c r="U764" s="55">
        <f>G764-O764</f>
        <v/>
      </c>
      <c r="V764" s="55">
        <f>G764-K764</f>
        <v/>
      </c>
      <c r="W764" s="55">
        <f>C764-K764</f>
        <v/>
      </c>
      <c r="X764" s="64">
        <f>I764-G764</f>
        <v/>
      </c>
      <c r="Y764" s="72">
        <f>G764-M764</f>
        <v/>
      </c>
    </row>
    <row r="765">
      <c r="A765" s="51" t="n">
        <v>44175</v>
      </c>
      <c r="B765" s="52" t="n">
        <v>42.12</v>
      </c>
      <c r="C765" s="82" t="n">
        <v>0.4200606573950108</v>
      </c>
      <c r="D765" s="52" t="n">
        <v>43.5</v>
      </c>
      <c r="E765" s="86" t="n">
        <v>0.4338233285062433</v>
      </c>
      <c r="F765" s="52" t="n">
        <v>39.67</v>
      </c>
      <c r="G765" s="82" t="n">
        <v>0.396162738204353</v>
      </c>
      <c r="H765" s="52" t="n">
        <v>40.6</v>
      </c>
      <c r="I765" s="82" t="n">
        <v>0.4058623959684902</v>
      </c>
      <c r="J765" s="52" t="n">
        <v>35.51</v>
      </c>
      <c r="K765" s="82" t="n">
        <v>0.3540197547893243</v>
      </c>
      <c r="L765" s="52" t="n">
        <v>37.35</v>
      </c>
      <c r="M765" s="82" t="n">
        <v>0.3733734110695346</v>
      </c>
      <c r="N765" s="54" t="n">
        <v>34.75</v>
      </c>
      <c r="O765" s="82" t="n">
        <v>0.3473822231503703</v>
      </c>
      <c r="P765" s="55">
        <f>C765-G765</f>
        <v/>
      </c>
      <c r="Q765" s="55">
        <f>E765-C765</f>
        <v/>
      </c>
      <c r="R765" s="55">
        <f>C765-M765</f>
        <v/>
      </c>
      <c r="S765" s="53">
        <f>C765-O765</f>
        <v/>
      </c>
      <c r="T765" s="55">
        <f>E765-O765</f>
        <v/>
      </c>
      <c r="U765" s="55">
        <f>G765-O765</f>
        <v/>
      </c>
      <c r="V765" s="55">
        <f>G765-K765</f>
        <v/>
      </c>
      <c r="W765" s="55">
        <f>C765-K765</f>
        <v/>
      </c>
      <c r="X765" s="64">
        <f>I765-G765</f>
        <v/>
      </c>
      <c r="Y765" s="72">
        <f>G765-M765</f>
        <v/>
      </c>
    </row>
    <row r="766">
      <c r="A766" s="51" t="n">
        <v>44174</v>
      </c>
      <c r="B766" s="52" t="n">
        <v>41.7</v>
      </c>
      <c r="C766" s="82" t="n">
        <v>0.4158833816055523</v>
      </c>
      <c r="D766" s="52" t="n">
        <v>43.5</v>
      </c>
      <c r="E766" s="86" t="n">
        <v>0.4338351822503962</v>
      </c>
      <c r="F766" s="52" t="n">
        <v>39.12</v>
      </c>
      <c r="G766" s="82" t="n">
        <v>0.3906755314782894</v>
      </c>
      <c r="H766" s="52" t="n">
        <v>40</v>
      </c>
      <c r="I766" s="82" t="n">
        <v>0.3998657984648988</v>
      </c>
      <c r="J766" s="52" t="n">
        <v>34.9</v>
      </c>
      <c r="K766" s="82" t="n">
        <v>0.3479490033528861</v>
      </c>
      <c r="L766" s="52" t="n">
        <v>37.13</v>
      </c>
      <c r="M766" s="82" t="n">
        <v>0.3711754274250423</v>
      </c>
      <c r="N766" s="54" t="n">
        <v>34.47</v>
      </c>
      <c r="O766" s="82" t="n">
        <v>0.3445843518271265</v>
      </c>
      <c r="P766" s="55">
        <f>C766-G766</f>
        <v/>
      </c>
      <c r="Q766" s="55">
        <f>E766-C766</f>
        <v/>
      </c>
      <c r="R766" s="55">
        <f>C766-M766</f>
        <v/>
      </c>
      <c r="S766" s="53">
        <f>C766-O766</f>
        <v/>
      </c>
      <c r="T766" s="55">
        <f>E766-O766</f>
        <v/>
      </c>
      <c r="U766" s="55">
        <f>G766-O766</f>
        <v/>
      </c>
      <c r="V766" s="55">
        <f>G766-K766</f>
        <v/>
      </c>
      <c r="W766" s="55">
        <f>C766-K766</f>
        <v/>
      </c>
      <c r="X766" s="64">
        <f>I766-G766</f>
        <v/>
      </c>
      <c r="Y766" s="72">
        <f>G766-M766</f>
        <v/>
      </c>
    </row>
    <row r="767">
      <c r="A767" s="51" t="n">
        <v>44169</v>
      </c>
      <c r="B767" s="52" t="n">
        <v>41.76</v>
      </c>
      <c r="C767" s="82" t="n">
        <v>0.4165386822616347</v>
      </c>
      <c r="D767" s="52" t="n">
        <v>43.7</v>
      </c>
      <c r="E767" s="86" t="n">
        <v>0.4358893777498429</v>
      </c>
      <c r="F767" s="52" t="n">
        <v>38.6</v>
      </c>
      <c r="G767" s="82" t="n">
        <v>0.3855088722586295</v>
      </c>
      <c r="H767" s="52" t="n">
        <v>39.94</v>
      </c>
      <c r="I767" s="82" t="n">
        <v>0.3992728343370091</v>
      </c>
      <c r="J767" s="52" t="n">
        <v>35.3</v>
      </c>
      <c r="K767" s="82" t="n">
        <v>0.3519910393836844</v>
      </c>
      <c r="L767" s="52" t="n">
        <v>37.13</v>
      </c>
      <c r="M767" s="82" t="n">
        <v>0.3711817811450463</v>
      </c>
      <c r="N767" s="54" t="n">
        <v>34.47</v>
      </c>
      <c r="O767" s="82" t="n">
        <v>0.3445902503654658</v>
      </c>
      <c r="P767" s="55">
        <f>C767-G767</f>
        <v/>
      </c>
      <c r="Q767" s="55">
        <f>E767-C767</f>
        <v/>
      </c>
      <c r="R767" s="55">
        <f>C767-M767</f>
        <v/>
      </c>
      <c r="S767" s="53">
        <f>C767-O767</f>
        <v/>
      </c>
      <c r="T767" s="55">
        <f>E767-O767</f>
        <v/>
      </c>
      <c r="U767" s="55">
        <f>G767-O767</f>
        <v/>
      </c>
      <c r="V767" s="55">
        <f>G767-K767</f>
        <v/>
      </c>
      <c r="W767" s="55">
        <f>C767-K767</f>
        <v/>
      </c>
      <c r="X767" s="64">
        <f>I767-G767</f>
        <v/>
      </c>
      <c r="Y767" s="72">
        <f>G767-M767</f>
        <v/>
      </c>
    </row>
    <row r="768">
      <c r="A768" s="51" t="n">
        <v>44168</v>
      </c>
      <c r="B768" s="52" t="n">
        <v>41.8</v>
      </c>
      <c r="C768" s="82" t="n">
        <v>0.4169490599038041</v>
      </c>
      <c r="D768" s="52" t="n">
        <v>44</v>
      </c>
      <c r="E768" s="86" t="n">
        <v>0.4388937472671622</v>
      </c>
      <c r="F768" s="52" t="n">
        <v>38.84</v>
      </c>
      <c r="G768" s="82" t="n">
        <v>0.3879111257045915</v>
      </c>
      <c r="H768" s="52" t="n">
        <v>40.5</v>
      </c>
      <c r="I768" s="82" t="n">
        <v>0.404872437451214</v>
      </c>
      <c r="J768" s="52" t="n">
        <v>35.68</v>
      </c>
      <c r="K768" s="82" t="n">
        <v>0.3557911128717199</v>
      </c>
      <c r="L768" s="52" t="n">
        <v>37.39</v>
      </c>
      <c r="M768" s="82" t="n">
        <v>0.3737822329950837</v>
      </c>
      <c r="N768" s="54" t="n">
        <v>34.7</v>
      </c>
      <c r="O768" s="82" t="n">
        <v>0.3468907056680772</v>
      </c>
      <c r="P768" s="55">
        <f>C768-G768</f>
        <v/>
      </c>
      <c r="Q768" s="55">
        <f>E768-C768</f>
        <v/>
      </c>
      <c r="R768" s="55">
        <f>C768-M768</f>
        <v/>
      </c>
      <c r="S768" s="53">
        <f>C768-O768</f>
        <v/>
      </c>
      <c r="T768" s="55">
        <f>E768-O768</f>
        <v/>
      </c>
      <c r="U768" s="55">
        <f>G768-O768</f>
        <v/>
      </c>
      <c r="V768" s="55">
        <f>G768-K768</f>
        <v/>
      </c>
      <c r="W768" s="55">
        <f>C768-K768</f>
        <v/>
      </c>
      <c r="X768" s="64">
        <f>I768-G768</f>
        <v/>
      </c>
      <c r="Y768" s="72">
        <f>G768-M768</f>
        <v/>
      </c>
    </row>
    <row r="769">
      <c r="A769" s="51" t="n">
        <v>44167</v>
      </c>
      <c r="B769" s="52" t="n">
        <v>41.76</v>
      </c>
      <c r="C769" s="82" t="n">
        <v>0.4165614495367713</v>
      </c>
      <c r="D769" s="52" t="n">
        <v>44</v>
      </c>
      <c r="E769" s="86" t="n">
        <v>0.4389057418490886</v>
      </c>
      <c r="F769" s="52" t="n">
        <v>38.65</v>
      </c>
      <c r="G769" s="82" t="n">
        <v>0.3860187984840815</v>
      </c>
      <c r="H769" s="52" t="n">
        <v>40.61</v>
      </c>
      <c r="I769" s="82" t="n">
        <v>0.405973480867264</v>
      </c>
      <c r="J769" s="52" t="n">
        <v>35.6</v>
      </c>
      <c r="K769" s="82" t="n">
        <v>0.3550042859240691</v>
      </c>
      <c r="L769" s="52" t="n">
        <v>37.98</v>
      </c>
      <c r="M769" s="82" t="n">
        <v>0.379681674546631</v>
      </c>
      <c r="N769" s="54" t="n">
        <v>34.7</v>
      </c>
      <c r="O769" s="82" t="n">
        <v>0.3468918932798341</v>
      </c>
      <c r="P769" s="55">
        <f>C769-G769</f>
        <v/>
      </c>
      <c r="Q769" s="55">
        <f>E769-C769</f>
        <v/>
      </c>
      <c r="R769" s="55">
        <f>C769-M769</f>
        <v/>
      </c>
      <c r="S769" s="53">
        <f>C769-O769</f>
        <v/>
      </c>
      <c r="T769" s="55">
        <f>E769-O769</f>
        <v/>
      </c>
      <c r="U769" s="55">
        <f>G769-O769</f>
        <v/>
      </c>
      <c r="V769" s="55">
        <f>G769-K769</f>
        <v/>
      </c>
      <c r="W769" s="55">
        <f>C769-K769</f>
        <v/>
      </c>
      <c r="X769" s="64">
        <f>I769-G769</f>
        <v/>
      </c>
      <c r="Y769" s="72">
        <f>G769-M769</f>
        <v/>
      </c>
    </row>
    <row r="770">
      <c r="A770" s="51" t="n">
        <v>44166</v>
      </c>
      <c r="B770" s="52" t="n">
        <v>41.86</v>
      </c>
      <c r="C770" s="82" t="n">
        <v>0.4175703744192402</v>
      </c>
      <c r="D770" s="52" t="n">
        <v>44.22</v>
      </c>
      <c r="E770" s="86" t="n">
        <v>0.4411123257720689</v>
      </c>
      <c r="F770" s="52" t="n">
        <v>38.48</v>
      </c>
      <c r="G770" s="82" t="n">
        <v>0.3843261732111096</v>
      </c>
      <c r="H770" s="52" t="n">
        <v>40.68</v>
      </c>
      <c r="I770" s="82" t="n">
        <v>0.4066746550720668</v>
      </c>
      <c r="J770" s="52" t="n">
        <v>35.36</v>
      </c>
      <c r="K770" s="82" t="n">
        <v>0.3526218366859055</v>
      </c>
      <c r="L770" s="52" t="n">
        <v>36.95</v>
      </c>
      <c r="M770" s="82" t="n">
        <v>0.3693861481050362</v>
      </c>
      <c r="N770" s="54" t="n">
        <v>34.6</v>
      </c>
      <c r="O770" s="82" t="n">
        <v>0.345893389023931</v>
      </c>
      <c r="P770" s="55">
        <f>C770-G770</f>
        <v/>
      </c>
      <c r="Q770" s="55">
        <f>E770-C770</f>
        <v/>
      </c>
      <c r="R770" s="55">
        <f>C770-M770</f>
        <v/>
      </c>
      <c r="S770" s="53">
        <f>C770-O770</f>
        <v/>
      </c>
      <c r="T770" s="55">
        <f>E770-O770</f>
        <v/>
      </c>
      <c r="U770" s="55">
        <f>G770-O770</f>
        <v/>
      </c>
      <c r="V770" s="55">
        <f>G770-K770</f>
        <v/>
      </c>
      <c r="W770" s="55">
        <f>C770-K770</f>
        <v/>
      </c>
      <c r="X770" s="64">
        <f>I770-G770</f>
        <v/>
      </c>
      <c r="Y770" s="72">
        <f>G770-M770</f>
        <v/>
      </c>
    </row>
    <row r="771">
      <c r="A771" s="51" t="n">
        <v>44165</v>
      </c>
      <c r="B771" s="52" t="n">
        <v>42.2</v>
      </c>
      <c r="C771" s="82" t="n">
        <v>0.4209735166306814</v>
      </c>
      <c r="D771" s="52" t="n">
        <v>44.16</v>
      </c>
      <c r="E771" s="86" t="n">
        <v>0.440525841099784</v>
      </c>
      <c r="F771" s="52" t="n">
        <v>38.61</v>
      </c>
      <c r="G771" s="82" t="n">
        <v>0.3856298485408201</v>
      </c>
      <c r="H771" s="52" t="n">
        <v>40.7</v>
      </c>
      <c r="I771" s="82" t="n">
        <v>0.406875986428794</v>
      </c>
      <c r="J771" s="52" t="n">
        <v>35.99</v>
      </c>
      <c r="K771" s="82" t="n">
        <v>0.3589154408625654</v>
      </c>
      <c r="L771" s="52" t="n">
        <v>37.15</v>
      </c>
      <c r="M771" s="82" t="n">
        <v>0.3713868033373389</v>
      </c>
      <c r="N771" s="54" t="n">
        <v>35</v>
      </c>
      <c r="O771" s="82" t="n">
        <v>0.3498933544227958</v>
      </c>
      <c r="P771" s="55">
        <f>C771-G771</f>
        <v/>
      </c>
      <c r="Q771" s="55">
        <f>E771-C771</f>
        <v/>
      </c>
      <c r="R771" s="55">
        <f>C771-M771</f>
        <v/>
      </c>
      <c r="S771" s="53">
        <f>C771-O771</f>
        <v/>
      </c>
      <c r="T771" s="55">
        <f>E771-O771</f>
        <v/>
      </c>
      <c r="U771" s="55">
        <f>G771-O771</f>
        <v/>
      </c>
      <c r="V771" s="55">
        <f>G771-K771</f>
        <v/>
      </c>
      <c r="W771" s="55">
        <f>C771-K771</f>
        <v/>
      </c>
      <c r="X771" s="64">
        <f>I771-G771</f>
        <v/>
      </c>
      <c r="Y771" s="72">
        <f>G771-M771</f>
        <v/>
      </c>
    </row>
    <row r="772">
      <c r="A772" s="51" t="n">
        <v>44162</v>
      </c>
      <c r="B772" s="52" t="n">
        <v>42.97</v>
      </c>
      <c r="C772" s="82" t="n">
        <v>0.4286899360411086</v>
      </c>
      <c r="D772" s="52" t="n">
        <v>45.1</v>
      </c>
      <c r="E772" s="86" t="n">
        <v>0.4499398677089597</v>
      </c>
      <c r="F772" s="52" t="n">
        <v>39.01</v>
      </c>
      <c r="G772" s="82" t="n">
        <v>0.3896409709109815</v>
      </c>
      <c r="H772" s="52" t="n">
        <v>41.49</v>
      </c>
      <c r="I772" s="82" t="n">
        <v>0.4147778394034634</v>
      </c>
      <c r="J772" s="52" t="n">
        <v>36.23</v>
      </c>
      <c r="K772" s="82" t="n">
        <v>0.3613421956867754</v>
      </c>
      <c r="L772" s="52" t="n">
        <v>37.5</v>
      </c>
      <c r="M772" s="82" t="n">
        <v>0.3748895873133255</v>
      </c>
      <c r="N772" s="54" t="n">
        <v>35</v>
      </c>
      <c r="O772" s="82" t="n">
        <v>0.3498969481591038</v>
      </c>
      <c r="P772" s="55">
        <f>C772-G772</f>
        <v/>
      </c>
      <c r="Q772" s="55">
        <f>E772-C772</f>
        <v/>
      </c>
      <c r="R772" s="55">
        <f>C772-M772</f>
        <v/>
      </c>
      <c r="S772" s="53">
        <f>C772-O772</f>
        <v/>
      </c>
      <c r="T772" s="55">
        <f>E772-O772</f>
        <v/>
      </c>
      <c r="U772" s="55">
        <f>G772-O772</f>
        <v/>
      </c>
      <c r="V772" s="55">
        <f>G772-K772</f>
        <v/>
      </c>
      <c r="W772" s="55">
        <f>C772-K772</f>
        <v/>
      </c>
      <c r="X772" s="64">
        <f>I772-G772</f>
        <v/>
      </c>
      <c r="Y772" s="72">
        <f>G772-M772</f>
        <v/>
      </c>
    </row>
    <row r="773">
      <c r="A773" s="51" t="n">
        <v>44161</v>
      </c>
      <c r="B773" s="52" t="n">
        <v>43.2</v>
      </c>
      <c r="C773" s="82" t="n">
        <v>0.4309963099630997</v>
      </c>
      <c r="D773" s="52" t="n">
        <v>45.1</v>
      </c>
      <c r="E773" s="86" t="n">
        <v>0.4499521661883286</v>
      </c>
      <c r="F773" s="52" t="n">
        <v>39</v>
      </c>
      <c r="G773" s="82" t="n">
        <v>0.3895464185537388</v>
      </c>
      <c r="H773" s="52" t="n">
        <v>41.2</v>
      </c>
      <c r="I773" s="82" t="n">
        <v>0.4118801033945598</v>
      </c>
      <c r="J773" s="52" t="n">
        <v>35.71</v>
      </c>
      <c r="K773" s="82" t="n">
        <v>0.3561668915341656</v>
      </c>
      <c r="L773" s="52" t="n">
        <v>37.51</v>
      </c>
      <c r="M773" s="82" t="n">
        <v>0.3749908417070373</v>
      </c>
      <c r="N773" s="54" t="n">
        <v>34.9</v>
      </c>
      <c r="O773" s="82" t="n">
        <v>0.3488984370987897</v>
      </c>
      <c r="P773" s="55">
        <f>C773-G773</f>
        <v/>
      </c>
      <c r="Q773" s="55">
        <f>E773-C773</f>
        <v/>
      </c>
      <c r="R773" s="55">
        <f>C773-M773</f>
        <v/>
      </c>
      <c r="S773" s="53">
        <f>C773-O773</f>
        <v/>
      </c>
      <c r="T773" s="55">
        <f>E773-O773</f>
        <v/>
      </c>
      <c r="U773" s="55">
        <f>G773-O773</f>
        <v/>
      </c>
      <c r="V773" s="55">
        <f>G773-K773</f>
        <v/>
      </c>
      <c r="W773" s="55">
        <f>C773-K773</f>
        <v/>
      </c>
      <c r="X773" s="64">
        <f>I773-G773</f>
        <v/>
      </c>
      <c r="Y773" s="72">
        <f>G773-M773</f>
        <v/>
      </c>
    </row>
    <row r="774">
      <c r="A774" s="51" t="n">
        <v>44160</v>
      </c>
      <c r="B774" s="52" t="n">
        <v>43.39</v>
      </c>
      <c r="C774" s="82" t="n">
        <v>0.4329037284058605</v>
      </c>
      <c r="D774" s="52" t="n">
        <v>45</v>
      </c>
      <c r="E774" s="86" t="n">
        <v>0.4489667614257599</v>
      </c>
      <c r="F774" s="52" t="n">
        <v>39.2</v>
      </c>
      <c r="G774" s="82" t="n">
        <v>0.3915494499480051</v>
      </c>
      <c r="H774" s="52" t="n">
        <v>41.6</v>
      </c>
      <c r="I774" s="82" t="n">
        <v>0.4158803631831939</v>
      </c>
      <c r="J774" s="52" t="n">
        <v>36.4</v>
      </c>
      <c r="K774" s="82" t="n">
        <v>0.363060022681004</v>
      </c>
      <c r="L774" s="52" t="n">
        <v>38</v>
      </c>
      <c r="M774" s="82" t="n">
        <v>0.3798907163692636</v>
      </c>
      <c r="N774" s="54" t="n">
        <v>35.4</v>
      </c>
      <c r="O774" s="82" t="n">
        <v>0.3538897124526261</v>
      </c>
      <c r="P774" s="55">
        <f>C774-G774</f>
        <v/>
      </c>
      <c r="Q774" s="55">
        <f>E774-C774</f>
        <v/>
      </c>
      <c r="R774" s="55">
        <f>C774-M774</f>
        <v/>
      </c>
      <c r="S774" s="53">
        <f>C774-O774</f>
        <v/>
      </c>
      <c r="T774" s="55">
        <f>E774-O774</f>
        <v/>
      </c>
      <c r="U774" s="55">
        <f>G774-O774</f>
        <v/>
      </c>
      <c r="V774" s="55">
        <f>G774-K774</f>
        <v/>
      </c>
      <c r="W774" s="55">
        <f>C774-K774</f>
        <v/>
      </c>
      <c r="X774" s="64">
        <f>I774-G774</f>
        <v/>
      </c>
      <c r="Y774" s="72">
        <f>G774-M774</f>
        <v/>
      </c>
    </row>
    <row r="775">
      <c r="A775" s="51" t="n">
        <v>44159</v>
      </c>
      <c r="B775" s="52" t="n">
        <v>42.65</v>
      </c>
      <c r="C775" s="82" t="n">
        <v>0.4255323510920373</v>
      </c>
      <c r="D775" s="52" t="n">
        <v>44.31</v>
      </c>
      <c r="E775" s="86" t="n">
        <v>0.4420946887898751</v>
      </c>
      <c r="F775" s="52" t="n">
        <v>38.85</v>
      </c>
      <c r="G775" s="82" t="n">
        <v>0.3880587824801938</v>
      </c>
      <c r="H775" s="52" t="n">
        <v>41.2</v>
      </c>
      <c r="I775" s="82" t="n">
        <v>0.4118829236894992</v>
      </c>
      <c r="J775" s="52" t="n">
        <v>36.18</v>
      </c>
      <c r="K775" s="82" t="n">
        <v>0.3608767980542926</v>
      </c>
      <c r="L775" s="56" t="n">
        <v>38.05</v>
      </c>
      <c r="M775" s="82" t="n">
        <v>0.3803918749122681</v>
      </c>
      <c r="N775" s="54" t="n">
        <v>35</v>
      </c>
      <c r="O775" s="82" t="n">
        <v>0.3499005419692348</v>
      </c>
      <c r="P775" s="55">
        <f>C775-G775</f>
        <v/>
      </c>
      <c r="Q775" s="55">
        <f>E775-C775</f>
        <v/>
      </c>
      <c r="R775" s="55">
        <f>C775-M775</f>
        <v/>
      </c>
      <c r="S775" s="53">
        <f>C775-O775</f>
        <v/>
      </c>
      <c r="T775" s="55">
        <f>E775-O775</f>
        <v/>
      </c>
      <c r="U775" s="55">
        <f>G775-O775</f>
        <v/>
      </c>
      <c r="V775" s="55">
        <f>G775-K775</f>
        <v/>
      </c>
      <c r="W775" s="55">
        <f>C775-K775</f>
        <v/>
      </c>
      <c r="X775" s="64">
        <f>I775-G775</f>
        <v/>
      </c>
      <c r="Y775" s="72">
        <f>G775-M775</f>
        <v/>
      </c>
    </row>
    <row r="776">
      <c r="A776" s="51" t="n">
        <v>44155</v>
      </c>
      <c r="B776" s="52" t="n">
        <v>42.2</v>
      </c>
      <c r="C776" s="82" t="n">
        <v>0.4210886027502119</v>
      </c>
      <c r="D776" s="52" t="n">
        <v>44.01</v>
      </c>
      <c r="E776" s="86" t="n">
        <v>0.4391495120150906</v>
      </c>
      <c r="F776" s="52" t="n">
        <v>39.05</v>
      </c>
      <c r="G776" s="82" t="n">
        <v>0.3900778609450047</v>
      </c>
      <c r="H776" s="52" t="n">
        <v>40.85</v>
      </c>
      <c r="I776" s="82" t="n">
        <v>0.4083895110569401</v>
      </c>
      <c r="J776" s="52" t="n">
        <v>36.75</v>
      </c>
      <c r="K776" s="82" t="n">
        <v>0.3666073362463317</v>
      </c>
      <c r="L776" s="52" t="n">
        <v>38.79</v>
      </c>
      <c r="M776" s="82" t="n">
        <v>0.3877950828371776</v>
      </c>
      <c r="N776" s="54" t="n">
        <v>35.2</v>
      </c>
      <c r="O776" s="82" t="n">
        <v>0.351904792881378</v>
      </c>
      <c r="P776" s="55">
        <f>C776-G776</f>
        <v/>
      </c>
      <c r="Q776" s="55">
        <f>E776-C776</f>
        <v/>
      </c>
      <c r="R776" s="55">
        <f>C776-M776</f>
        <v/>
      </c>
      <c r="S776" s="53">
        <f>C776-O776</f>
        <v/>
      </c>
      <c r="T776" s="55">
        <f>E776-O776</f>
        <v/>
      </c>
      <c r="U776" s="55">
        <f>G776-O776</f>
        <v/>
      </c>
      <c r="V776" s="55">
        <f>G776-K776</f>
        <v/>
      </c>
      <c r="W776" s="55">
        <f>C776-K776</f>
        <v/>
      </c>
      <c r="X776" s="64">
        <f>I776-G776</f>
        <v/>
      </c>
      <c r="Y776" s="72">
        <f>G776-M776</f>
        <v/>
      </c>
    </row>
    <row r="777">
      <c r="A777" s="51" t="n">
        <v>44154</v>
      </c>
      <c r="B777" s="52" t="n">
        <v>42.3</v>
      </c>
      <c r="C777" s="82" t="n">
        <v>0.4220979823937886</v>
      </c>
      <c r="D777" s="52" t="n">
        <v>44.5</v>
      </c>
      <c r="E777" s="86" t="n">
        <v>0.4440510689485483</v>
      </c>
      <c r="F777" s="52" t="n">
        <v>39.43</v>
      </c>
      <c r="G777" s="82" t="n">
        <v>0.3938791428336845</v>
      </c>
      <c r="H777" s="52" t="n">
        <v>40.9</v>
      </c>
      <c r="I777" s="82" t="n">
        <v>0.4088907757516828</v>
      </c>
      <c r="J777" s="52" t="n">
        <v>36.89</v>
      </c>
      <c r="K777" s="82" t="n">
        <v>0.3680152510061428</v>
      </c>
      <c r="L777" s="52" t="n">
        <v>39</v>
      </c>
      <c r="M777" s="82" t="n">
        <v>0.3898958497387684</v>
      </c>
      <c r="N777" s="54" t="n">
        <v>35.25</v>
      </c>
      <c r="O777" s="82" t="n">
        <v>0.3524058641869637</v>
      </c>
      <c r="P777" s="55">
        <f>C777-G777</f>
        <v/>
      </c>
      <c r="Q777" s="55">
        <f>E777-C777</f>
        <v/>
      </c>
      <c r="R777" s="55">
        <f>C777-M777</f>
        <v/>
      </c>
      <c r="S777" s="53">
        <f>C777-O777</f>
        <v/>
      </c>
      <c r="T777" s="55">
        <f>E777-O777</f>
        <v/>
      </c>
      <c r="U777" s="55">
        <f>G777-O777</f>
        <v/>
      </c>
      <c r="V777" s="55">
        <f>G777-K777</f>
        <v/>
      </c>
      <c r="W777" s="55">
        <f>C777-K777</f>
        <v/>
      </c>
      <c r="X777" s="64">
        <f>I777-G777</f>
        <v/>
      </c>
      <c r="Y777" s="72">
        <f>G777-M777</f>
        <v/>
      </c>
    </row>
    <row r="778">
      <c r="A778" s="51" t="n">
        <v>44153</v>
      </c>
      <c r="B778" s="52" t="n">
        <v>43.5</v>
      </c>
      <c r="C778" s="82" t="n">
        <v>0.4340842606009241</v>
      </c>
      <c r="D778" s="52" t="n">
        <v>44.5</v>
      </c>
      <c r="E778" s="86" t="n">
        <v>0.4440632091204855</v>
      </c>
      <c r="F778" s="52" t="n">
        <v>39.74</v>
      </c>
      <c r="G778" s="82" t="n">
        <v>0.3969812663355091</v>
      </c>
      <c r="H778" s="52" t="n">
        <v>41.41</v>
      </c>
      <c r="I778" s="82" t="n">
        <v>0.4139908311849272</v>
      </c>
      <c r="J778" s="52" t="n">
        <v>37.5</v>
      </c>
      <c r="K778" s="82" t="n">
        <v>0.3741121243077217</v>
      </c>
      <c r="L778" s="52" t="n">
        <v>39.4</v>
      </c>
      <c r="M778" s="82" t="n">
        <v>0.3938961301300684</v>
      </c>
      <c r="N778" s="54" t="n">
        <v>35.65</v>
      </c>
      <c r="O778" s="82" t="n">
        <v>0.3564060162217497</v>
      </c>
      <c r="P778" s="55">
        <f>C778-G778</f>
        <v/>
      </c>
      <c r="Q778" s="55">
        <f>E778-C778</f>
        <v/>
      </c>
      <c r="R778" s="55">
        <f>C778-M778</f>
        <v/>
      </c>
      <c r="S778" s="53">
        <f>C778-O778</f>
        <v/>
      </c>
      <c r="T778" s="55">
        <f>E778-O778</f>
        <v/>
      </c>
      <c r="U778" s="55">
        <f>G778-O778</f>
        <v/>
      </c>
      <c r="V778" s="55">
        <f>G778-K778</f>
        <v/>
      </c>
      <c r="W778" s="55">
        <f>C778-K778</f>
        <v/>
      </c>
      <c r="X778" s="64">
        <f>I778-G778</f>
        <v/>
      </c>
      <c r="Y778" s="72">
        <f>G778-M778</f>
        <v/>
      </c>
    </row>
    <row r="779">
      <c r="A779" s="51" t="n">
        <v>44152</v>
      </c>
      <c r="B779" s="52" t="n">
        <v>44.05</v>
      </c>
      <c r="C779" s="82" t="n">
        <v>0.4395847003499562</v>
      </c>
      <c r="D779" s="52" t="n">
        <v>45.7</v>
      </c>
      <c r="E779" s="86" t="n">
        <v>0.4560504155730534</v>
      </c>
      <c r="F779" s="52" t="n">
        <v>40.18</v>
      </c>
      <c r="G779" s="82" t="n">
        <v>0.4013821227215502</v>
      </c>
      <c r="H779" s="52" t="n">
        <v>41.69</v>
      </c>
      <c r="I779" s="82" t="n">
        <v>0.4167915200153384</v>
      </c>
      <c r="J779" s="52" t="n">
        <v>37.2</v>
      </c>
      <c r="K779" s="82" t="n">
        <v>0.3711306391876563</v>
      </c>
      <c r="L779" s="52" t="n">
        <v>39.65</v>
      </c>
      <c r="M779" s="82" t="n">
        <v>0.3963968282227913</v>
      </c>
      <c r="N779" s="54" t="n">
        <v>35.8</v>
      </c>
      <c r="O779" s="82" t="n">
        <v>0.3579068461633274</v>
      </c>
      <c r="P779" s="55">
        <f>C779-G779</f>
        <v/>
      </c>
      <c r="Q779" s="55">
        <f>E779-C779</f>
        <v/>
      </c>
      <c r="R779" s="55">
        <f>C779-M779</f>
        <v/>
      </c>
      <c r="S779" s="53">
        <f>C779-O779</f>
        <v/>
      </c>
      <c r="T779" s="55">
        <f>E779-O779</f>
        <v/>
      </c>
      <c r="U779" s="55">
        <f>G779-O779</f>
        <v/>
      </c>
      <c r="V779" s="55">
        <f>G779-K779</f>
        <v/>
      </c>
      <c r="W779" s="55">
        <f>C779-K779</f>
        <v/>
      </c>
      <c r="X779" s="64">
        <f>I779-G779</f>
        <v/>
      </c>
      <c r="Y779" s="72">
        <f>G779-M779</f>
        <v/>
      </c>
    </row>
    <row r="780">
      <c r="A780" s="51" t="n">
        <v>44151</v>
      </c>
      <c r="B780" s="52" t="n">
        <v>45</v>
      </c>
      <c r="C780" s="82" t="n">
        <v>0.4490772385509227</v>
      </c>
      <c r="D780" s="52" t="n">
        <v>46.01</v>
      </c>
      <c r="E780" s="86" t="n">
        <v>0.4591565276828434</v>
      </c>
      <c r="F780" s="52" t="n">
        <v>40.26</v>
      </c>
      <c r="G780" s="82" t="n">
        <v>0.402186794389326</v>
      </c>
      <c r="H780" s="52" t="n">
        <v>42.84</v>
      </c>
      <c r="I780" s="82" t="n">
        <v>0.4282899940083883</v>
      </c>
      <c r="J780" s="52" t="n">
        <v>37.25</v>
      </c>
      <c r="K780" s="82" t="n">
        <v>0.3716408986076706</v>
      </c>
      <c r="L780" s="52" t="n">
        <v>39.8</v>
      </c>
      <c r="M780" s="82" t="n">
        <v>0.3978978002225456</v>
      </c>
      <c r="N780" s="54" t="n">
        <v>36.18</v>
      </c>
      <c r="O780" s="82" t="n">
        <v>0.3617070957801934</v>
      </c>
      <c r="P780" s="55">
        <f>C780-G780</f>
        <v/>
      </c>
      <c r="Q780" s="55">
        <f>E780-C780</f>
        <v/>
      </c>
      <c r="R780" s="55">
        <f>C780-M780</f>
        <v/>
      </c>
      <c r="S780" s="53">
        <f>C780-O780</f>
        <v/>
      </c>
      <c r="T780" s="55">
        <f>E780-O780</f>
        <v/>
      </c>
      <c r="U780" s="55">
        <f>G780-O780</f>
        <v/>
      </c>
      <c r="V780" s="55">
        <f>G780-K780</f>
        <v/>
      </c>
      <c r="W780" s="55">
        <f>C780-K780</f>
        <v/>
      </c>
      <c r="X780" s="64">
        <f>I780-G780</f>
        <v/>
      </c>
      <c r="Y780" s="72">
        <f>G780-M780</f>
        <v/>
      </c>
    </row>
    <row r="781">
      <c r="A781" s="51" t="n">
        <v>44148</v>
      </c>
      <c r="B781" s="52" t="n">
        <v>45</v>
      </c>
      <c r="C781" s="82" t="n">
        <v>0.4491140763425571</v>
      </c>
      <c r="D781" s="52" t="n">
        <v>46.25</v>
      </c>
      <c r="E781" s="86" t="n">
        <v>0.4615894673520726</v>
      </c>
      <c r="F781" s="52" t="n">
        <v>39.9</v>
      </c>
      <c r="G781" s="82" t="n">
        <v>0.398606853514342</v>
      </c>
      <c r="H781" s="52" t="n">
        <v>42.5</v>
      </c>
      <c r="I781" s="82" t="n">
        <v>0.424895231312827</v>
      </c>
      <c r="J781" s="52" t="n">
        <v>36.83</v>
      </c>
      <c r="K781" s="82" t="n">
        <v>0.3674844864820535</v>
      </c>
      <c r="L781" s="52" t="n">
        <v>39.67</v>
      </c>
      <c r="M781" s="82" t="n">
        <v>0.3966022076748199</v>
      </c>
      <c r="N781" s="54" t="n">
        <v>35.89</v>
      </c>
      <c r="O781" s="82" t="n">
        <v>0.3588115259251143</v>
      </c>
      <c r="P781" s="55">
        <f>C781-G781</f>
        <v/>
      </c>
      <c r="Q781" s="55">
        <f>E781-C781</f>
        <v/>
      </c>
      <c r="R781" s="55">
        <f>C781-M781</f>
        <v/>
      </c>
      <c r="S781" s="53">
        <f>C781-O781</f>
        <v/>
      </c>
      <c r="T781" s="55">
        <f>E781-O781</f>
        <v/>
      </c>
      <c r="U781" s="55">
        <f>G781-O781</f>
        <v/>
      </c>
      <c r="V781" s="55">
        <f>G781-K781</f>
        <v/>
      </c>
      <c r="W781" s="55">
        <f>C781-K781</f>
        <v/>
      </c>
      <c r="X781" s="64">
        <f>I781-G781</f>
        <v/>
      </c>
      <c r="Y781" s="72">
        <f>G781-M781</f>
        <v/>
      </c>
    </row>
    <row r="782">
      <c r="A782" s="51" t="n">
        <v>44147</v>
      </c>
      <c r="B782" s="52" t="n">
        <v>44</v>
      </c>
      <c r="C782" s="82" t="n">
        <v>0.4391457712395067</v>
      </c>
      <c r="D782" s="52" t="n">
        <v>46.25</v>
      </c>
      <c r="E782" s="86" t="n">
        <v>0.4616020890869815</v>
      </c>
      <c r="F782" s="52" t="n">
        <v>39.47</v>
      </c>
      <c r="G782" s="82" t="n">
        <v>0.3943164867047119</v>
      </c>
      <c r="H782" s="52" t="n">
        <v>42.25</v>
      </c>
      <c r="I782" s="82" t="n">
        <v>0.4223972938086972</v>
      </c>
      <c r="J782" s="52" t="n">
        <v>36.6</v>
      </c>
      <c r="K782" s="82" t="n">
        <v>0.3652008105549842</v>
      </c>
      <c r="L782" s="52" t="n">
        <v>39</v>
      </c>
      <c r="M782" s="82" t="n">
        <v>0.3899051942849512</v>
      </c>
      <c r="N782" s="54" t="n">
        <v>35.65</v>
      </c>
      <c r="O782" s="82" t="n">
        <v>0.3564133378527823</v>
      </c>
      <c r="P782" s="55">
        <f>C782-G782</f>
        <v/>
      </c>
      <c r="Q782" s="55">
        <f>E782-C782</f>
        <v/>
      </c>
      <c r="R782" s="55">
        <f>C782-M782</f>
        <v/>
      </c>
      <c r="S782" s="53">
        <f>C782-O782</f>
        <v/>
      </c>
      <c r="T782" s="55">
        <f>E782-O782</f>
        <v/>
      </c>
      <c r="U782" s="55">
        <f>G782-O782</f>
        <v/>
      </c>
      <c r="V782" s="55">
        <f>G782-K782</f>
        <v/>
      </c>
      <c r="W782" s="55">
        <f>C782-K782</f>
        <v/>
      </c>
      <c r="X782" s="64">
        <f>I782-G782</f>
        <v/>
      </c>
      <c r="Y782" s="72">
        <f>G782-M782</f>
        <v/>
      </c>
    </row>
    <row r="783">
      <c r="A783" s="51" t="n">
        <v>44146</v>
      </c>
      <c r="B783" s="52" t="n">
        <v>44.8</v>
      </c>
      <c r="C783" s="82" t="n">
        <v>0.4471424665025977</v>
      </c>
      <c r="D783" s="52" t="n">
        <v>46.2</v>
      </c>
      <c r="E783" s="86" t="n">
        <v>0.4611156685808039</v>
      </c>
      <c r="F783" s="52" t="n">
        <v>39.2</v>
      </c>
      <c r="G783" s="82" t="n">
        <v>0.3916244696866019</v>
      </c>
      <c r="H783" s="52" t="n">
        <v>41.9</v>
      </c>
      <c r="I783" s="82" t="n">
        <v>0.4188995788680795</v>
      </c>
      <c r="J783" s="52" t="n">
        <v>37.3</v>
      </c>
      <c r="K783" s="82" t="n">
        <v>0.3721969722858217</v>
      </c>
      <c r="L783" s="52" t="n">
        <v>38.45</v>
      </c>
      <c r="M783" s="82" t="n">
        <v>0.3844078474338344</v>
      </c>
      <c r="N783" s="54" t="n">
        <v>35.39</v>
      </c>
      <c r="O783" s="82" t="n">
        <v>0.353815181292156</v>
      </c>
      <c r="P783" s="55">
        <f>C783-G783</f>
        <v/>
      </c>
      <c r="Q783" s="55">
        <f>E783-C783</f>
        <v/>
      </c>
      <c r="R783" s="55">
        <f>C783-M783</f>
        <v/>
      </c>
      <c r="S783" s="53">
        <f>C783-O783</f>
        <v/>
      </c>
      <c r="T783" s="55">
        <f>E783-O783</f>
        <v/>
      </c>
      <c r="U783" s="55">
        <f>G783-O783</f>
        <v/>
      </c>
      <c r="V783" s="55">
        <f>G783-K783</f>
        <v/>
      </c>
      <c r="W783" s="55">
        <f>C783-K783</f>
        <v/>
      </c>
      <c r="X783" s="64">
        <f>I783-G783</f>
        <v/>
      </c>
      <c r="Y783" s="72">
        <f>G783-M783</f>
        <v/>
      </c>
    </row>
    <row r="784">
      <c r="A784" s="51" t="n">
        <v>44145</v>
      </c>
      <c r="B784" s="52" t="n">
        <v>45.15</v>
      </c>
      <c r="C784" s="82" t="n">
        <v>0.4506480899122207</v>
      </c>
      <c r="D784" s="52" t="n">
        <v>46.49</v>
      </c>
      <c r="E784" s="86" t="n">
        <v>0.4640228062019744</v>
      </c>
      <c r="F784" s="52" t="n">
        <v>38.4</v>
      </c>
      <c r="G784" s="82" t="n">
        <v>0.3836373838426693</v>
      </c>
      <c r="H784" s="52" t="n">
        <v>41.5</v>
      </c>
      <c r="I784" s="82" t="n">
        <v>0.4149019580989424</v>
      </c>
      <c r="J784" s="52" t="n">
        <v>37.1</v>
      </c>
      <c r="K784" s="82" t="n">
        <v>0.3702126641628591</v>
      </c>
      <c r="L784" s="52" t="n">
        <v>38.5</v>
      </c>
      <c r="M784" s="82" t="n">
        <v>0.3849090454652839</v>
      </c>
      <c r="N784" s="54" t="n">
        <v>35.2</v>
      </c>
      <c r="O784" s="82" t="n">
        <v>0.3519168415682596</v>
      </c>
      <c r="P784" s="55">
        <f>C784-G784</f>
        <v/>
      </c>
      <c r="Q784" s="55">
        <f>E784-C784</f>
        <v/>
      </c>
      <c r="R784" s="55">
        <f>C784-M784</f>
        <v/>
      </c>
      <c r="S784" s="53">
        <f>C784-O784</f>
        <v/>
      </c>
      <c r="T784" s="55">
        <f>E784-O784</f>
        <v/>
      </c>
      <c r="U784" s="55">
        <f>G784-O784</f>
        <v/>
      </c>
      <c r="V784" s="55">
        <f>G784-K784</f>
        <v/>
      </c>
      <c r="W784" s="55">
        <f>C784-K784</f>
        <v/>
      </c>
      <c r="X784" s="64">
        <f>I784-G784</f>
        <v/>
      </c>
      <c r="Y784" s="72">
        <f>G784-M784</f>
        <v/>
      </c>
    </row>
    <row r="785">
      <c r="A785" s="51" t="n">
        <v>44144</v>
      </c>
      <c r="B785" s="52" t="n">
        <v>45.7</v>
      </c>
      <c r="C785" s="82" t="n">
        <v>0.4561501859549333</v>
      </c>
      <c r="D785" s="52" t="n">
        <v>46</v>
      </c>
      <c r="E785" s="86" t="n">
        <v>0.459144607306935</v>
      </c>
      <c r="F785" s="52" t="n">
        <v>38.35</v>
      </c>
      <c r="G785" s="82" t="n">
        <v>0.3831430995784749</v>
      </c>
      <c r="H785" s="52" t="n">
        <v>41.64</v>
      </c>
      <c r="I785" s="82" t="n">
        <v>0.4163030527137516</v>
      </c>
      <c r="J785" s="52" t="n">
        <v>37.25</v>
      </c>
      <c r="K785" s="82" t="n">
        <v>0.3717209137014203</v>
      </c>
      <c r="L785" s="52" t="n">
        <v>37.9</v>
      </c>
      <c r="M785" s="82" t="n">
        <v>0.3789117602750045</v>
      </c>
      <c r="N785" s="54" t="n">
        <v>34.75</v>
      </c>
      <c r="O785" s="82" t="n">
        <v>0.3474190941835463</v>
      </c>
      <c r="P785" s="55">
        <f>C785-G785</f>
        <v/>
      </c>
      <c r="Q785" s="55">
        <f>E785-C785</f>
        <v/>
      </c>
      <c r="R785" s="55">
        <f>C785-M785</f>
        <v/>
      </c>
      <c r="S785" s="53">
        <f>C785-O785</f>
        <v/>
      </c>
      <c r="T785" s="55">
        <f>E785-O785</f>
        <v/>
      </c>
      <c r="U785" s="55">
        <f>G785-O785</f>
        <v/>
      </c>
      <c r="V785" s="55">
        <f>G785-K785</f>
        <v/>
      </c>
      <c r="W785" s="55">
        <f>C785-K785</f>
        <v/>
      </c>
      <c r="X785" s="64">
        <f>I785-G785</f>
        <v/>
      </c>
      <c r="Y785" s="72">
        <f>G785-M785</f>
        <v/>
      </c>
    </row>
    <row r="786">
      <c r="A786" s="51" t="n">
        <v>44141</v>
      </c>
      <c r="B786" s="52" t="n">
        <v>45.41</v>
      </c>
      <c r="C786" s="82" t="n">
        <v>0.4532927663065773</v>
      </c>
      <c r="D786" s="52" t="n">
        <v>45.6</v>
      </c>
      <c r="E786" s="86" t="n">
        <v>0.455189388759743</v>
      </c>
      <c r="F786" s="52" t="n">
        <v>38</v>
      </c>
      <c r="G786" s="82" t="n">
        <v>0.3796619448436324</v>
      </c>
      <c r="H786" s="52" t="n">
        <v>40.5</v>
      </c>
      <c r="I786" s="82" t="n">
        <v>0.4049098659544964</v>
      </c>
      <c r="J786" s="52" t="n">
        <v>35.8</v>
      </c>
      <c r="K786" s="82" t="n">
        <v>0.3572842080079293</v>
      </c>
      <c r="L786" s="52" t="n">
        <v>37.38</v>
      </c>
      <c r="M786" s="82" t="n">
        <v>0.3737168096142982</v>
      </c>
      <c r="N786" s="54" t="n">
        <v>34.59</v>
      </c>
      <c r="O786" s="82" t="n">
        <v>0.345823018848544</v>
      </c>
      <c r="P786" s="55">
        <f>C786-G786</f>
        <v/>
      </c>
      <c r="Q786" s="55">
        <f>E786-C786</f>
        <v/>
      </c>
      <c r="R786" s="55">
        <f>C786-M786</f>
        <v/>
      </c>
      <c r="S786" s="53">
        <f>C786-O786</f>
        <v/>
      </c>
      <c r="T786" s="55">
        <f>E786-O786</f>
        <v/>
      </c>
      <c r="U786" s="55">
        <f>G786-O786</f>
        <v/>
      </c>
      <c r="V786" s="55">
        <f>G786-K786</f>
        <v/>
      </c>
      <c r="W786" s="55">
        <f>C786-K786</f>
        <v/>
      </c>
      <c r="X786" s="64">
        <f>I786-G786</f>
        <v/>
      </c>
      <c r="Y786" s="72">
        <f>G786-M786</f>
        <v/>
      </c>
    </row>
    <row r="787">
      <c r="A787" s="51" t="n">
        <v>44140</v>
      </c>
      <c r="B787" s="52" t="n">
        <v>45.5</v>
      </c>
      <c r="C787" s="82" t="n">
        <v>0.454203588228859</v>
      </c>
      <c r="D787" s="52" t="n">
        <v>46.5</v>
      </c>
      <c r="E787" s="86" t="n">
        <v>0.4641860846734493</v>
      </c>
      <c r="F787" s="52" t="n">
        <v>37.99</v>
      </c>
      <c r="G787" s="82" t="n">
        <v>0.3795672287309756</v>
      </c>
      <c r="H787" s="52" t="n">
        <v>40.65</v>
      </c>
      <c r="I787" s="82" t="n">
        <v>0.4064109236331763</v>
      </c>
      <c r="J787" s="52" t="n">
        <v>36.25</v>
      </c>
      <c r="K787" s="82" t="n">
        <v>0.3617863392759488</v>
      </c>
      <c r="L787" s="52" t="n">
        <v>37.4</v>
      </c>
      <c r="M787" s="82" t="n">
        <v>0.3739180453599211</v>
      </c>
      <c r="N787" s="54" t="n">
        <v>34.61</v>
      </c>
      <c r="O787" s="82" t="n">
        <v>0.346024159088419</v>
      </c>
      <c r="P787" s="55">
        <f>C787-G787</f>
        <v/>
      </c>
      <c r="Q787" s="55">
        <f>E787-C787</f>
        <v/>
      </c>
      <c r="R787" s="55">
        <f>C787-M787</f>
        <v/>
      </c>
      <c r="S787" s="53">
        <f>C787-O787</f>
        <v/>
      </c>
      <c r="T787" s="55">
        <f>E787-O787</f>
        <v/>
      </c>
      <c r="U787" s="55">
        <f>G787-O787</f>
        <v/>
      </c>
      <c r="V787" s="55">
        <f>G787-K787</f>
        <v/>
      </c>
      <c r="W787" s="55">
        <f>C787-K787</f>
        <v/>
      </c>
      <c r="X787" s="64">
        <f>I787-G787</f>
        <v/>
      </c>
      <c r="Y787" s="72">
        <f>G787-M787</f>
        <v/>
      </c>
    </row>
    <row r="788">
      <c r="A788" s="51" t="n">
        <v>44139</v>
      </c>
      <c r="B788" s="52" t="n">
        <v>44.9</v>
      </c>
      <c r="C788" s="82" t="n">
        <v>0.4482263490413806</v>
      </c>
      <c r="D788" s="52" t="n">
        <v>45.45</v>
      </c>
      <c r="E788" s="86" t="n">
        <v>0.4537168722479009</v>
      </c>
      <c r="F788" s="52" t="n">
        <v>38.39</v>
      </c>
      <c r="G788" s="82" t="n">
        <v>0.3835689747204468</v>
      </c>
      <c r="H788" s="52" t="n">
        <v>40.92</v>
      </c>
      <c r="I788" s="82" t="n">
        <v>0.4091117327425932</v>
      </c>
      <c r="J788" s="52" t="n">
        <v>35.6</v>
      </c>
      <c r="K788" s="82" t="n">
        <v>0.355310065728534</v>
      </c>
      <c r="L788" s="52" t="n">
        <v>37.25</v>
      </c>
      <c r="M788" s="82" t="n">
        <v>0.3724196491852785</v>
      </c>
      <c r="N788" s="54" t="n">
        <v>34</v>
      </c>
      <c r="O788" s="82" t="n">
        <v>0.3399266596590462</v>
      </c>
      <c r="P788" s="55">
        <f>C788-G788</f>
        <v/>
      </c>
      <c r="Q788" s="55">
        <f>E788-C788</f>
        <v/>
      </c>
      <c r="R788" s="55">
        <f>C788-M788</f>
        <v/>
      </c>
      <c r="S788" s="53">
        <f>C788-O788</f>
        <v/>
      </c>
      <c r="T788" s="55">
        <f>E788-O788</f>
        <v/>
      </c>
      <c r="U788" s="55">
        <f>G788-O788</f>
        <v/>
      </c>
      <c r="V788" s="55">
        <f>G788-K788</f>
        <v/>
      </c>
      <c r="W788" s="55">
        <f>C788-K788</f>
        <v/>
      </c>
      <c r="X788" s="64">
        <f>I788-G788</f>
        <v/>
      </c>
      <c r="Y788" s="72">
        <f>G788-M788</f>
        <v/>
      </c>
    </row>
    <row r="789">
      <c r="A789" s="51" t="n">
        <v>44138</v>
      </c>
      <c r="B789" s="52" t="n">
        <v>44.8</v>
      </c>
      <c r="C789" s="82" t="n">
        <v>0.4472403041409113</v>
      </c>
      <c r="D789" s="52" t="n">
        <v>44.76</v>
      </c>
      <c r="E789" s="86" t="n">
        <v>0.4468409824407855</v>
      </c>
      <c r="F789" s="52" t="n">
        <v>38.38</v>
      </c>
      <c r="G789" s="82" t="n">
        <v>0.3834743094905697</v>
      </c>
      <c r="H789" s="52" t="n">
        <v>41.15</v>
      </c>
      <c r="I789" s="82" t="n">
        <v>0.411412645260253</v>
      </c>
      <c r="J789" s="52" t="n">
        <v>35.5</v>
      </c>
      <c r="K789" s="82" t="n">
        <v>0.3543229034926408</v>
      </c>
      <c r="L789" s="52" t="n">
        <v>36.85</v>
      </c>
      <c r="M789" s="82" t="n">
        <v>0.3684217734590601</v>
      </c>
      <c r="N789" s="54" t="n">
        <v>34.02</v>
      </c>
      <c r="O789" s="82" t="n">
        <v>0.3401277810875774</v>
      </c>
      <c r="P789" s="55">
        <f>C789-G789</f>
        <v/>
      </c>
      <c r="Q789" s="55">
        <f>E789-C789</f>
        <v/>
      </c>
      <c r="R789" s="55">
        <f>C789-M789</f>
        <v/>
      </c>
      <c r="S789" s="53">
        <f>C789-O789</f>
        <v/>
      </c>
      <c r="T789" s="55">
        <f>E789-O789</f>
        <v/>
      </c>
      <c r="U789" s="55">
        <f>G789-O789</f>
        <v/>
      </c>
      <c r="V789" s="55">
        <f>G789-K789</f>
        <v/>
      </c>
      <c r="W789" s="55">
        <f>C789-K789</f>
        <v/>
      </c>
      <c r="X789" s="64">
        <f>I789-G789</f>
        <v/>
      </c>
      <c r="Y789" s="72">
        <f>G789-M789</f>
        <v/>
      </c>
    </row>
    <row r="790">
      <c r="A790" s="51" t="n">
        <v>44137</v>
      </c>
      <c r="B790" s="52" t="n">
        <v>43.71</v>
      </c>
      <c r="C790" s="82" t="n">
        <v>0.4363707229014524</v>
      </c>
      <c r="D790" s="52" t="n">
        <v>44.83</v>
      </c>
      <c r="E790" s="86" t="n">
        <v>0.4475520363228577</v>
      </c>
      <c r="F790" s="52" t="n">
        <v>38.64</v>
      </c>
      <c r="G790" s="82" t="n">
        <v>0.3860773873886205</v>
      </c>
      <c r="H790" s="52" t="n">
        <v>40.47</v>
      </c>
      <c r="I790" s="82" t="n">
        <v>0.4046154741646437</v>
      </c>
      <c r="J790" s="52" t="n">
        <v>35.06</v>
      </c>
      <c r="K790" s="82" t="n">
        <v>0.3499420609880738</v>
      </c>
      <c r="L790" s="52" t="n">
        <v>36.25</v>
      </c>
      <c r="M790" s="82" t="n">
        <v>0.3624242880768059</v>
      </c>
      <c r="N790" s="54" t="n">
        <v>33.6</v>
      </c>
      <c r="O790" s="82" t="n">
        <v>0.335929822879467</v>
      </c>
      <c r="P790" s="55">
        <f>C790-G790</f>
        <v/>
      </c>
      <c r="Q790" s="55">
        <f>E790-C790</f>
        <v/>
      </c>
      <c r="R790" s="55">
        <f>C790-M790</f>
        <v/>
      </c>
      <c r="S790" s="53">
        <f>C790-O790</f>
        <v/>
      </c>
      <c r="T790" s="55">
        <f>E790-O790</f>
        <v/>
      </c>
      <c r="U790" s="55">
        <f>G790-O790</f>
        <v/>
      </c>
      <c r="V790" s="55">
        <f>G790-K790</f>
        <v/>
      </c>
      <c r="W790" s="55">
        <f>C790-K790</f>
        <v/>
      </c>
      <c r="X790" s="64">
        <f>I790-G790</f>
        <v/>
      </c>
      <c r="Y790" s="72">
        <f>G790-M790</f>
        <v/>
      </c>
    </row>
    <row r="791">
      <c r="A791" s="51" t="n">
        <v>44134</v>
      </c>
      <c r="B791" s="52" t="n">
        <v>44.9</v>
      </c>
      <c r="C791" s="82" t="n">
        <v>0.4482876524974014</v>
      </c>
      <c r="D791" s="52" t="n">
        <v>46.5</v>
      </c>
      <c r="E791" s="86" t="n">
        <v>0.4642622681765961</v>
      </c>
      <c r="F791" s="52" t="n">
        <v>38.05</v>
      </c>
      <c r="G791" s="82" t="n">
        <v>0.3801979249363519</v>
      </c>
      <c r="H791" s="52" t="n">
        <v>39.85</v>
      </c>
      <c r="I791" s="82" t="n">
        <v>0.3984208616096803</v>
      </c>
      <c r="J791" s="52" t="n">
        <v>35.1</v>
      </c>
      <c r="K791" s="82" t="n">
        <v>0.3503736471103028</v>
      </c>
      <c r="L791" s="52" t="n">
        <v>35.98</v>
      </c>
      <c r="M791" s="82" t="n">
        <v>0.3597285470694177</v>
      </c>
      <c r="N791" s="54" t="n">
        <v>33.5</v>
      </c>
      <c r="O791" s="82" t="n">
        <v>0.3349334721185518</v>
      </c>
      <c r="P791" s="55">
        <f>C791-G791</f>
        <v/>
      </c>
      <c r="Q791" s="55">
        <f>E791-C791</f>
        <v/>
      </c>
      <c r="R791" s="55">
        <f>C791-M791</f>
        <v/>
      </c>
      <c r="S791" s="53">
        <f>C791-O791</f>
        <v/>
      </c>
      <c r="T791" s="55">
        <f>E791-O791</f>
        <v/>
      </c>
      <c r="U791" s="55">
        <f>G791-O791</f>
        <v/>
      </c>
      <c r="V791" s="55">
        <f>G791-K791</f>
        <v/>
      </c>
      <c r="W791" s="55">
        <f>C791-K791</f>
        <v/>
      </c>
      <c r="X791" s="64">
        <f>I791-G791</f>
        <v/>
      </c>
      <c r="Y791" s="72">
        <f>G791-M791</f>
        <v/>
      </c>
    </row>
    <row r="792">
      <c r="A792" s="51" t="n">
        <v>44133</v>
      </c>
      <c r="B792" s="52" t="n">
        <v>45.45</v>
      </c>
      <c r="C792" s="82" t="n">
        <v>0.4537913395519326</v>
      </c>
      <c r="D792" s="52" t="n">
        <v>46.7</v>
      </c>
      <c r="E792" s="86" t="n">
        <v>0.4662718494405996</v>
      </c>
      <c r="F792" s="52" t="n">
        <v>38.74</v>
      </c>
      <c r="G792" s="82" t="n">
        <v>0.3870977455959046</v>
      </c>
      <c r="H792" s="52" t="n">
        <v>39.58</v>
      </c>
      <c r="I792" s="82" t="n">
        <v>0.3957227527503193</v>
      </c>
      <c r="J792" s="52" t="n">
        <v>35.01</v>
      </c>
      <c r="K792" s="82" t="n">
        <v>0.3494860057501717</v>
      </c>
      <c r="L792" s="52" t="n">
        <v>36.09</v>
      </c>
      <c r="M792" s="82" t="n">
        <v>0.360829564091941</v>
      </c>
      <c r="N792" s="54" t="n">
        <v>33.65</v>
      </c>
      <c r="O792" s="82" t="n">
        <v>0.3364343261760547</v>
      </c>
      <c r="P792" s="55">
        <f>C792-G792</f>
        <v/>
      </c>
      <c r="Q792" s="55">
        <f>E792-C792</f>
        <v/>
      </c>
      <c r="R792" s="55">
        <f>C792-M792</f>
        <v/>
      </c>
      <c r="S792" s="53">
        <f>C792-O792</f>
        <v/>
      </c>
      <c r="T792" s="55">
        <f>E792-O792</f>
        <v/>
      </c>
      <c r="U792" s="55">
        <f>G792-O792</f>
        <v/>
      </c>
      <c r="V792" s="55">
        <f>G792-K792</f>
        <v/>
      </c>
      <c r="W792" s="55">
        <f>C792-K792</f>
        <v/>
      </c>
      <c r="X792" s="64">
        <f>I792-G792</f>
        <v/>
      </c>
      <c r="Y792" s="72">
        <f>G792-M792</f>
        <v/>
      </c>
    </row>
    <row r="793">
      <c r="A793" s="51" t="n">
        <v>44132</v>
      </c>
      <c r="B793" s="52" t="n">
        <v>44.2</v>
      </c>
      <c r="C793" s="82" t="n">
        <v>0.4413229018492177</v>
      </c>
      <c r="D793" s="52" t="n">
        <v>48</v>
      </c>
      <c r="E793" s="86" t="n">
        <v>0.4792646897910056</v>
      </c>
      <c r="F793" s="52" t="n">
        <v>38.8</v>
      </c>
      <c r="G793" s="82" t="n">
        <v>0.3877025843188787</v>
      </c>
      <c r="H793" s="52" t="n">
        <v>40.5</v>
      </c>
      <c r="I793" s="82" t="n">
        <v>0.40492234366012</v>
      </c>
      <c r="J793" s="52" t="n">
        <v>35</v>
      </c>
      <c r="K793" s="82" t="n">
        <v>0.3493969313240161</v>
      </c>
      <c r="L793" s="52" t="n">
        <v>36.1</v>
      </c>
      <c r="M793" s="82" t="n">
        <v>0.3609307803982798</v>
      </c>
      <c r="N793" s="54" t="n">
        <v>33.79</v>
      </c>
      <c r="O793" s="82" t="n">
        <v>0.3378352096858137</v>
      </c>
      <c r="P793" s="55">
        <f>C793-G793</f>
        <v/>
      </c>
      <c r="Q793" s="55">
        <f>E793-C793</f>
        <v/>
      </c>
      <c r="R793" s="55">
        <f>C793-M793</f>
        <v/>
      </c>
      <c r="S793" s="53">
        <f>C793-O793</f>
        <v/>
      </c>
      <c r="T793" s="55">
        <f>E793-O793</f>
        <v/>
      </c>
      <c r="U793" s="55">
        <f>G793-O793</f>
        <v/>
      </c>
      <c r="V793" s="55">
        <f>G793-K793</f>
        <v/>
      </c>
      <c r="W793" s="55">
        <f>C793-K793</f>
        <v/>
      </c>
      <c r="X793" s="64">
        <f>I793-G793</f>
        <v/>
      </c>
      <c r="Y793" s="72">
        <f>G793-M793</f>
        <v/>
      </c>
    </row>
    <row r="794">
      <c r="A794" s="51" t="n">
        <v>44131</v>
      </c>
      <c r="B794" s="52" t="n">
        <v>43</v>
      </c>
      <c r="C794" s="82" t="n">
        <v>0.4293530296813021</v>
      </c>
      <c r="D794" s="52" t="n">
        <v>45</v>
      </c>
      <c r="E794" s="86" t="n">
        <v>0.449322938038572</v>
      </c>
      <c r="F794" s="52" t="n">
        <v>39.22</v>
      </c>
      <c r="G794" s="82" t="n">
        <v>0.3919047293135309</v>
      </c>
      <c r="H794" s="52" t="n">
        <v>40.5</v>
      </c>
      <c r="I794" s="82" t="n">
        <v>0.4049237301193269</v>
      </c>
      <c r="J794" s="52" t="n">
        <v>35.2</v>
      </c>
      <c r="K794" s="82" t="n">
        <v>0.3514042975093591</v>
      </c>
      <c r="L794" s="52" t="n">
        <v>36.6</v>
      </c>
      <c r="M794" s="82" t="n">
        <v>0.3659310746263547</v>
      </c>
      <c r="N794" s="54" t="n">
        <v>34</v>
      </c>
      <c r="O794" s="82" t="n">
        <v>0.3399359709643732</v>
      </c>
      <c r="P794" s="55">
        <f>C794-G794</f>
        <v/>
      </c>
      <c r="Q794" s="55">
        <f>E794-C794</f>
        <v/>
      </c>
      <c r="R794" s="55">
        <f>C794-M794</f>
        <v/>
      </c>
      <c r="S794" s="53">
        <f>C794-O794</f>
        <v/>
      </c>
      <c r="T794" s="55">
        <f>E794-O794</f>
        <v/>
      </c>
      <c r="U794" s="55">
        <f>G794-O794</f>
        <v/>
      </c>
      <c r="V794" s="55">
        <f>G794-K794</f>
        <v/>
      </c>
      <c r="W794" s="55">
        <f>C794-K794</f>
        <v/>
      </c>
      <c r="X794" s="64">
        <f>I794-G794</f>
        <v/>
      </c>
      <c r="Y794" s="72">
        <f>G794-M794</f>
        <v/>
      </c>
    </row>
    <row r="795">
      <c r="A795" s="51" t="n">
        <v>44130</v>
      </c>
      <c r="B795" s="52" t="n">
        <v>40.56</v>
      </c>
      <c r="C795" s="82" t="n">
        <v>0.4050008207036166</v>
      </c>
      <c r="D795" s="52" t="n">
        <v>47</v>
      </c>
      <c r="E795" s="86" t="n">
        <v>0.4693056847403841</v>
      </c>
      <c r="F795" s="52" t="n">
        <v>38.23</v>
      </c>
      <c r="G795" s="82" t="n">
        <v>0.3820174117775891</v>
      </c>
      <c r="H795" s="52" t="n">
        <v>40.5</v>
      </c>
      <c r="I795" s="82" t="n">
        <v>0.4049251165880283</v>
      </c>
      <c r="J795" s="52" t="n">
        <v>34.2</v>
      </c>
      <c r="K795" s="82" t="n">
        <v>0.3414317266467455</v>
      </c>
      <c r="L795" s="52" t="n">
        <v>36</v>
      </c>
      <c r="M795" s="82" t="n">
        <v>0.3599334369671362</v>
      </c>
      <c r="N795" s="54" t="n">
        <v>33.4</v>
      </c>
      <c r="O795" s="82" t="n">
        <v>0.3339382442972875</v>
      </c>
      <c r="P795" s="55">
        <f>C795-G795</f>
        <v/>
      </c>
      <c r="Q795" s="55">
        <f>E795-C795</f>
        <v/>
      </c>
      <c r="R795" s="55">
        <f>C795-M795</f>
        <v/>
      </c>
      <c r="S795" s="53">
        <f>C795-O795</f>
        <v/>
      </c>
      <c r="T795" s="55">
        <f>E795-O795</f>
        <v/>
      </c>
      <c r="U795" s="55">
        <f>G795-O795</f>
        <v/>
      </c>
      <c r="V795" s="55">
        <f>G795-K795</f>
        <v/>
      </c>
      <c r="W795" s="55">
        <f>C795-K795</f>
        <v/>
      </c>
      <c r="X795" s="64">
        <f>I795-G795</f>
        <v/>
      </c>
      <c r="Y795" s="72">
        <f>G795-M795</f>
        <v/>
      </c>
    </row>
    <row r="796">
      <c r="A796" s="51" t="n">
        <v>44127</v>
      </c>
      <c r="B796" s="52" t="n">
        <v>43.66</v>
      </c>
      <c r="C796" s="82" t="n">
        <v>0.4359908073650515</v>
      </c>
      <c r="D796" s="52" t="n">
        <v>49</v>
      </c>
      <c r="E796" s="86" t="n">
        <v>0.4893162977757107</v>
      </c>
      <c r="F796" s="52" t="n">
        <v>40.15</v>
      </c>
      <c r="G796" s="82" t="n">
        <v>0.4012196958289414</v>
      </c>
      <c r="H796" s="52" t="n">
        <v>42.5</v>
      </c>
      <c r="I796" s="82" t="n">
        <v>0.4249257835104143</v>
      </c>
      <c r="J796" s="52" t="n">
        <v>35.45</v>
      </c>
      <c r="K796" s="82" t="n">
        <v>0.3539436297053604</v>
      </c>
      <c r="L796" s="52" t="n">
        <v>37.28</v>
      </c>
      <c r="M796" s="82" t="n">
        <v>0.3727348990416058</v>
      </c>
      <c r="N796" s="54" t="n">
        <v>34.15</v>
      </c>
      <c r="O796" s="82" t="n">
        <v>0.34144036486778</v>
      </c>
      <c r="P796" s="55">
        <f>C796-G796</f>
        <v/>
      </c>
      <c r="Q796" s="55">
        <f>E796-C796</f>
        <v/>
      </c>
      <c r="R796" s="55">
        <f>C796-M796</f>
        <v/>
      </c>
      <c r="S796" s="53">
        <f>C796-O796</f>
        <v/>
      </c>
      <c r="T796" s="55">
        <f>E796-O796</f>
        <v/>
      </c>
      <c r="U796" s="55">
        <f>G796-O796</f>
        <v/>
      </c>
      <c r="V796" s="55">
        <f>G796-K796</f>
        <v/>
      </c>
      <c r="W796" s="55">
        <f>C796-K796</f>
        <v/>
      </c>
      <c r="X796" s="64">
        <f>I796-G796</f>
        <v/>
      </c>
      <c r="Y796" s="72">
        <f>G796-M796</f>
        <v/>
      </c>
    </row>
    <row r="797">
      <c r="A797" s="51" t="n">
        <v>44126</v>
      </c>
      <c r="B797" s="52" t="n">
        <v>42.1</v>
      </c>
      <c r="C797" s="82" t="n">
        <v>0.4204240766073872</v>
      </c>
      <c r="D797" s="52" t="n">
        <v>48</v>
      </c>
      <c r="E797" s="86" t="n">
        <v>0.479343365253078</v>
      </c>
      <c r="F797" s="52" t="n">
        <v>40.1</v>
      </c>
      <c r="G797" s="82" t="n">
        <v>0.40072553045859</v>
      </c>
      <c r="H797" s="52" t="n">
        <v>41.5</v>
      </c>
      <c r="I797" s="82" t="n">
        <v>0.4149289505221709</v>
      </c>
      <c r="J797" s="52" t="n">
        <v>35</v>
      </c>
      <c r="K797" s="82" t="n">
        <v>0.3494614464010942</v>
      </c>
      <c r="L797" s="52" t="n">
        <v>37.74</v>
      </c>
      <c r="M797" s="82" t="n">
        <v>0.3773353877760658</v>
      </c>
      <c r="N797" s="54" t="n">
        <v>34.6</v>
      </c>
      <c r="O797" s="82" t="n">
        <v>0.3459407635678822</v>
      </c>
      <c r="P797" s="55">
        <f>C797-G797</f>
        <v/>
      </c>
      <c r="Q797" s="55">
        <f>E797-C797</f>
        <v/>
      </c>
      <c r="R797" s="55">
        <f>C797-M797</f>
        <v/>
      </c>
      <c r="S797" s="53">
        <f>C797-O797</f>
        <v/>
      </c>
      <c r="T797" s="55">
        <f>E797-O797</f>
        <v/>
      </c>
      <c r="U797" s="55">
        <f>G797-O797</f>
        <v/>
      </c>
      <c r="V797" s="55">
        <f>G797-K797</f>
        <v/>
      </c>
      <c r="W797" s="55">
        <f>C797-K797</f>
        <v/>
      </c>
      <c r="X797" s="64">
        <f>I797-G797</f>
        <v/>
      </c>
      <c r="Y797" s="72">
        <f>G797-M797</f>
        <v/>
      </c>
    </row>
    <row r="798">
      <c r="A798" s="51" t="n">
        <v>44125</v>
      </c>
      <c r="B798" s="52" t="n">
        <v>41.18</v>
      </c>
      <c r="C798" s="82" t="n">
        <v>0.4112479137596104</v>
      </c>
      <c r="D798" s="52" t="n">
        <v>44.3</v>
      </c>
      <c r="E798" s="86" t="n">
        <v>0.4424060849818052</v>
      </c>
      <c r="F798" s="52" t="n">
        <v>40.3</v>
      </c>
      <c r="G798" s="82" t="n">
        <v>0.4027296746019794</v>
      </c>
      <c r="H798" s="52" t="n">
        <v>40.55</v>
      </c>
      <c r="I798" s="82" t="n">
        <v>0.4054319651839246</v>
      </c>
      <c r="J798" s="52" t="n">
        <v>34.5</v>
      </c>
      <c r="K798" s="82" t="n">
        <v>0.3444797412127574</v>
      </c>
      <c r="L798" s="52" t="n">
        <v>36.75</v>
      </c>
      <c r="M798" s="82" t="n">
        <v>0.3674383408263682</v>
      </c>
      <c r="N798" s="54" t="n">
        <v>33.95</v>
      </c>
      <c r="O798" s="82" t="n">
        <v>0.3394430386681687</v>
      </c>
      <c r="P798" s="55">
        <f>C798-G798</f>
        <v/>
      </c>
      <c r="Q798" s="55">
        <f>E798-C798</f>
        <v/>
      </c>
      <c r="R798" s="55">
        <f>C798-M798</f>
        <v/>
      </c>
      <c r="S798" s="53">
        <f>C798-O798</f>
        <v/>
      </c>
      <c r="T798" s="55">
        <f>E798-O798</f>
        <v/>
      </c>
      <c r="U798" s="55">
        <f>G798-O798</f>
        <v/>
      </c>
      <c r="V798" s="55">
        <f>G798-K798</f>
        <v/>
      </c>
      <c r="W798" s="55">
        <f>C798-K798</f>
        <v/>
      </c>
      <c r="X798" s="64">
        <f>I798-G798</f>
        <v/>
      </c>
      <c r="Y798" s="72">
        <f>G798-M798</f>
        <v/>
      </c>
    </row>
    <row r="799">
      <c r="A799" s="51" t="n">
        <v>44124</v>
      </c>
      <c r="B799" s="52" t="n">
        <v>41.7</v>
      </c>
      <c r="C799" s="82" t="n">
        <v>0.4164523366531684</v>
      </c>
      <c r="D799" s="52" t="n">
        <v>44.5</v>
      </c>
      <c r="E799" s="86" t="n">
        <v>0.4444155630951078</v>
      </c>
      <c r="F799" s="52" t="n">
        <v>41.38</v>
      </c>
      <c r="G799" s="82" t="n">
        <v>0.4135280911181689</v>
      </c>
      <c r="H799" s="52" t="n">
        <v>41.7</v>
      </c>
      <c r="I799" s="82" t="n">
        <v>0.4169314633210979</v>
      </c>
      <c r="J799" s="52" t="n">
        <v>36.04</v>
      </c>
      <c r="K799" s="82" t="n">
        <v>0.3598675931498605</v>
      </c>
      <c r="L799" s="52" t="n">
        <v>37.8</v>
      </c>
      <c r="M799" s="82" t="n">
        <v>0.3779378732263189</v>
      </c>
      <c r="N799" s="54" t="n">
        <v>34.8</v>
      </c>
      <c r="O799" s="82" t="n">
        <v>0.3479428039226428</v>
      </c>
      <c r="P799" s="55">
        <f>C799-G799</f>
        <v/>
      </c>
      <c r="Q799" s="55">
        <f>E799-C799</f>
        <v/>
      </c>
      <c r="R799" s="55">
        <f>C799-M799</f>
        <v/>
      </c>
      <c r="S799" s="53">
        <f>C799-O799</f>
        <v/>
      </c>
      <c r="T799" s="55">
        <f>E799-O799</f>
        <v/>
      </c>
      <c r="U799" s="55">
        <f>G799-O799</f>
        <v/>
      </c>
      <c r="V799" s="55">
        <f>G799-K799</f>
        <v/>
      </c>
      <c r="W799" s="55">
        <f>C799-K799</f>
        <v/>
      </c>
      <c r="X799" s="64">
        <f>I799-G799</f>
        <v/>
      </c>
      <c r="Y799" s="72">
        <f>G799-M799</f>
        <v/>
      </c>
    </row>
    <row r="800">
      <c r="A800" s="51" t="n">
        <v>44123</v>
      </c>
      <c r="B800" s="52" t="n">
        <v>43.51</v>
      </c>
      <c r="C800" s="82" t="n">
        <v>0.4345404547568884</v>
      </c>
      <c r="D800" s="52" t="n">
        <v>45.1</v>
      </c>
      <c r="E800" s="86" t="n">
        <v>0.4504200071141271</v>
      </c>
      <c r="F800" s="52" t="n">
        <v>43.35</v>
      </c>
      <c r="G800" s="82" t="n">
        <v>0.433221076840938</v>
      </c>
      <c r="H800" s="52" t="n">
        <v>43.8</v>
      </c>
      <c r="I800" s="82" t="n">
        <v>0.4379295113457765</v>
      </c>
      <c r="J800" s="52" t="n">
        <v>35.95</v>
      </c>
      <c r="K800" s="82" t="n">
        <v>0.3589799707957309</v>
      </c>
      <c r="L800" s="52" t="n">
        <v>38.85</v>
      </c>
      <c r="M800" s="82" t="n">
        <v>0.3884374775293018</v>
      </c>
      <c r="N800" s="54" t="n">
        <v>35.8</v>
      </c>
      <c r="O800" s="82" t="n">
        <v>0.3579423859858173</v>
      </c>
      <c r="P800" s="55">
        <f>C800-G800</f>
        <v/>
      </c>
      <c r="Q800" s="55">
        <f>E800-C800</f>
        <v/>
      </c>
      <c r="R800" s="55">
        <f>C800-M800</f>
        <v/>
      </c>
      <c r="S800" s="53">
        <f>C800-O800</f>
        <v/>
      </c>
      <c r="T800" s="55">
        <f>E800-O800</f>
        <v/>
      </c>
      <c r="U800" s="55">
        <f>G800-O800</f>
        <v/>
      </c>
      <c r="V800" s="55">
        <f>G800-K800</f>
        <v/>
      </c>
      <c r="W800" s="55">
        <f>C800-K800</f>
        <v/>
      </c>
      <c r="X800" s="64">
        <f>I800-G800</f>
        <v/>
      </c>
      <c r="Y800" s="72">
        <f>G800-M800</f>
        <v/>
      </c>
    </row>
    <row r="801">
      <c r="A801" s="51" t="n">
        <v>44120</v>
      </c>
      <c r="B801" s="52" t="n">
        <v>44.3</v>
      </c>
      <c r="C801" s="82" t="n">
        <v>0.44246661558669</v>
      </c>
      <c r="D801" s="52" t="n">
        <v>47</v>
      </c>
      <c r="E801" s="86" t="n">
        <v>0.4694341068301226</v>
      </c>
      <c r="F801" s="52" t="n">
        <v>44.19</v>
      </c>
      <c r="G801" s="82" t="n">
        <v>0.4416338097585017</v>
      </c>
      <c r="H801" s="52" t="n">
        <v>44.3</v>
      </c>
      <c r="I801" s="82" t="n">
        <v>0.4429332566325622</v>
      </c>
      <c r="J801" s="52" t="n">
        <v>37.67</v>
      </c>
      <c r="K801" s="82" t="n">
        <v>0.3761898247582046</v>
      </c>
      <c r="L801" s="52" t="n">
        <v>39.8</v>
      </c>
      <c r="M801" s="82" t="n">
        <v>0.3979400364328662</v>
      </c>
      <c r="N801" s="54" t="n">
        <v>35.8</v>
      </c>
      <c r="O801" s="82" t="n">
        <v>0.3579460629220254</v>
      </c>
      <c r="P801" s="55">
        <f>C801-G801</f>
        <v/>
      </c>
      <c r="Q801" s="55">
        <f>E801-C801</f>
        <v/>
      </c>
      <c r="R801" s="55">
        <f>C801-M801</f>
        <v/>
      </c>
      <c r="S801" s="53">
        <f>C801-O801</f>
        <v/>
      </c>
      <c r="T801" s="55">
        <f>E801-O801</f>
        <v/>
      </c>
      <c r="U801" s="55">
        <f>G801-O801</f>
        <v/>
      </c>
      <c r="V801" s="55">
        <f>G801-K801</f>
        <v/>
      </c>
      <c r="W801" s="55">
        <f>C801-K801</f>
        <v/>
      </c>
      <c r="X801" s="64">
        <f>I801-G801</f>
        <v/>
      </c>
      <c r="Y801" s="72">
        <f>G801-M801</f>
        <v/>
      </c>
    </row>
    <row r="802">
      <c r="A802" s="51" t="n">
        <v>44119</v>
      </c>
      <c r="B802" s="52" t="n">
        <v>44.56</v>
      </c>
      <c r="C802" s="82" t="n">
        <v>0.4450756642859098</v>
      </c>
      <c r="D802" s="52" t="n">
        <v>46.46</v>
      </c>
      <c r="E802" s="86" t="n">
        <v>0.4640533070629122</v>
      </c>
      <c r="F802" s="52" t="n">
        <v>44.4</v>
      </c>
      <c r="G802" s="82" t="n">
        <v>0.4437386197171529</v>
      </c>
      <c r="H802" s="52" t="n">
        <v>44.5</v>
      </c>
      <c r="I802" s="82" t="n">
        <v>0.4449344788267481</v>
      </c>
      <c r="J802" s="52" t="n">
        <v>38</v>
      </c>
      <c r="K802" s="82" t="n">
        <v>0.3794970364619494</v>
      </c>
      <c r="L802" s="52" t="n">
        <v>40.39</v>
      </c>
      <c r="M802" s="82" t="n">
        <v>0.4038405303328619</v>
      </c>
      <c r="N802" s="54" t="n">
        <v>36.5</v>
      </c>
      <c r="O802" s="82" t="n">
        <v>0.3649462579140743</v>
      </c>
      <c r="P802" s="55">
        <f>C802-G802</f>
        <v/>
      </c>
      <c r="Q802" s="55">
        <f>E802-C802</f>
        <v/>
      </c>
      <c r="R802" s="55">
        <f>C802-M802</f>
        <v/>
      </c>
      <c r="S802" s="53">
        <f>C802-O802</f>
        <v/>
      </c>
      <c r="T802" s="55">
        <f>E802-O802</f>
        <v/>
      </c>
      <c r="U802" s="55">
        <f>G802-O802</f>
        <v/>
      </c>
      <c r="V802" s="55">
        <f>G802-K802</f>
        <v/>
      </c>
      <c r="W802" s="55">
        <f>C802-K802</f>
        <v/>
      </c>
      <c r="X802" s="64">
        <f>I802-G802</f>
        <v/>
      </c>
      <c r="Y802" s="72">
        <f>G802-M802</f>
        <v/>
      </c>
    </row>
    <row r="803">
      <c r="A803" s="51" t="n">
        <v>44118</v>
      </c>
      <c r="B803" s="52" t="n">
        <v>44.9</v>
      </c>
      <c r="C803" s="82" t="n">
        <v>0.4484839362924853</v>
      </c>
      <c r="D803" s="52" t="n">
        <v>48.4</v>
      </c>
      <c r="E803" s="86" t="n">
        <v>0.4834437086092715</v>
      </c>
      <c r="F803" s="52" t="n">
        <v>44.45</v>
      </c>
      <c r="G803" s="82" t="n">
        <v>0.4442444073272912</v>
      </c>
      <c r="H803" s="52" t="n">
        <v>45.5</v>
      </c>
      <c r="I803" s="82" t="n">
        <v>0.4549345642065182</v>
      </c>
      <c r="J803" s="52" t="n">
        <v>39.38</v>
      </c>
      <c r="K803" s="82" t="n">
        <v>0.3932908768785613</v>
      </c>
      <c r="L803" s="52" t="n">
        <v>41.08</v>
      </c>
      <c r="M803" s="82" t="n">
        <v>0.4107409208264565</v>
      </c>
      <c r="N803" s="54" t="n">
        <v>38.2</v>
      </c>
      <c r="O803" s="82" t="n">
        <v>0.3819450626964615</v>
      </c>
      <c r="P803" s="55">
        <f>C803-G803</f>
        <v/>
      </c>
      <c r="Q803" s="55">
        <f>E803-C803</f>
        <v/>
      </c>
      <c r="R803" s="55">
        <f>C803-M803</f>
        <v/>
      </c>
      <c r="S803" s="53">
        <f>C803-O803</f>
        <v/>
      </c>
      <c r="T803" s="55">
        <f>E803-O803</f>
        <v/>
      </c>
      <c r="U803" s="55">
        <f>G803-O803</f>
        <v/>
      </c>
      <c r="V803" s="55">
        <f>G803-K803</f>
        <v/>
      </c>
      <c r="W803" s="55">
        <f>C803-K803</f>
        <v/>
      </c>
      <c r="X803" s="64">
        <f>I803-G803</f>
        <v/>
      </c>
      <c r="Y803" s="72">
        <f>G803-M803</f>
        <v/>
      </c>
    </row>
    <row r="804">
      <c r="A804" s="51" t="n">
        <v>44117</v>
      </c>
      <c r="B804" s="52" t="n">
        <v>45.45</v>
      </c>
      <c r="C804" s="82" t="n">
        <v>0.4539900385867929</v>
      </c>
      <c r="D804" s="52" t="n">
        <v>48.4</v>
      </c>
      <c r="E804" s="86" t="n">
        <v>0.4834569387810952</v>
      </c>
      <c r="F804" s="52" t="n">
        <v>44.74</v>
      </c>
      <c r="G804" s="82" t="n">
        <v>0.4471488615982804</v>
      </c>
      <c r="H804" s="52" t="n">
        <v>45.01</v>
      </c>
      <c r="I804" s="82" t="n">
        <v>0.4500368098999798</v>
      </c>
      <c r="J804" s="52" t="n">
        <v>39.7</v>
      </c>
      <c r="K804" s="82" t="n">
        <v>0.3964989448265719</v>
      </c>
      <c r="L804" s="52" t="n">
        <v>41.56</v>
      </c>
      <c r="M804" s="82" t="n">
        <v>0.4155416533979818</v>
      </c>
      <c r="N804" s="54" t="n">
        <v>39.25</v>
      </c>
      <c r="O804" s="82" t="n">
        <v>0.3924448964357744</v>
      </c>
      <c r="P804" s="55">
        <f>C804-G804</f>
        <v/>
      </c>
      <c r="Q804" s="55">
        <f>E804-C804</f>
        <v/>
      </c>
      <c r="R804" s="55">
        <f>C804-M804</f>
        <v/>
      </c>
      <c r="S804" s="53">
        <f>C804-O804</f>
        <v/>
      </c>
      <c r="T804" s="55">
        <f>E804-O804</f>
        <v/>
      </c>
      <c r="U804" s="55">
        <f>G804-O804</f>
        <v/>
      </c>
      <c r="V804" s="55">
        <f>G804-K804</f>
        <v/>
      </c>
      <c r="W804" s="55">
        <f>C804-K804</f>
        <v/>
      </c>
      <c r="X804" s="64">
        <f>I804-G804</f>
        <v/>
      </c>
      <c r="Y804" s="72">
        <f>G804-M804</f>
        <v/>
      </c>
    </row>
    <row r="805">
      <c r="A805" s="51" t="n">
        <v>44113</v>
      </c>
      <c r="B805" s="52" t="n">
        <v>45.63</v>
      </c>
      <c r="C805" s="82" t="n">
        <v>0.4558379177272354</v>
      </c>
      <c r="D805" s="52" t="n">
        <v>48.6</v>
      </c>
      <c r="E805" s="86" t="n">
        <v>0.4855078413662862</v>
      </c>
      <c r="F805" s="52" t="n">
        <v>44.73</v>
      </c>
      <c r="G805" s="82" t="n">
        <v>0.4470734011528403</v>
      </c>
      <c r="H805" s="52" t="n">
        <v>45.02</v>
      </c>
      <c r="I805" s="82" t="n">
        <v>0.4501429613370909</v>
      </c>
      <c r="J805" s="52" t="n">
        <v>40</v>
      </c>
      <c r="K805" s="82" t="n">
        <v>0.3995443552387175</v>
      </c>
      <c r="L805" s="52" t="n">
        <v>41.56</v>
      </c>
      <c r="M805" s="82" t="n">
        <v>0.4155473450281985</v>
      </c>
      <c r="N805" s="54" t="n">
        <v>39.5</v>
      </c>
      <c r="O805" s="82" t="n">
        <v>0.3949499549714591</v>
      </c>
      <c r="P805" s="55">
        <f>C805-G805</f>
        <v/>
      </c>
      <c r="Q805" s="55">
        <f>E805-C805</f>
        <v/>
      </c>
      <c r="R805" s="55">
        <f>C805-M805</f>
        <v/>
      </c>
      <c r="S805" s="53">
        <f>C805-O805</f>
        <v/>
      </c>
      <c r="T805" s="55">
        <f>E805-O805</f>
        <v/>
      </c>
      <c r="U805" s="55">
        <f>G805-O805</f>
        <v/>
      </c>
      <c r="V805" s="55">
        <f>G805-K805</f>
        <v/>
      </c>
      <c r="W805" s="55">
        <f>C805-K805</f>
        <v/>
      </c>
      <c r="X805" s="64">
        <f>I805-G805</f>
        <v/>
      </c>
      <c r="Y805" s="72">
        <f>G805-M805</f>
        <v/>
      </c>
    </row>
    <row r="806">
      <c r="A806" s="51" t="n">
        <v>44112</v>
      </c>
      <c r="B806" s="52" t="n">
        <v>45.32</v>
      </c>
      <c r="C806" s="82" t="n">
        <v>0.452753448653383</v>
      </c>
      <c r="D806" s="52" t="n">
        <v>48.75</v>
      </c>
      <c r="E806" s="86" t="n">
        <v>0.4870196518502299</v>
      </c>
      <c r="F806" s="52" t="n">
        <v>44.7</v>
      </c>
      <c r="G806" s="82" t="n">
        <v>0.4467796702995783</v>
      </c>
      <c r="H806" s="52" t="n">
        <v>44.8</v>
      </c>
      <c r="I806" s="82" t="n">
        <v>0.447944773931981</v>
      </c>
      <c r="J806" s="52" t="n">
        <v>39.88</v>
      </c>
      <c r="K806" s="82" t="n">
        <v>0.3983579863439198</v>
      </c>
      <c r="L806" s="52" t="n">
        <v>41.44</v>
      </c>
      <c r="M806" s="82" t="n">
        <v>0.4143489158870824</v>
      </c>
      <c r="N806" s="54" t="n">
        <v>39.5</v>
      </c>
      <c r="O806" s="82" t="n">
        <v>0.3949513073730636</v>
      </c>
      <c r="P806" s="55">
        <f>C806-G806</f>
        <v/>
      </c>
      <c r="Q806" s="55">
        <f>E806-C806</f>
        <v/>
      </c>
      <c r="R806" s="55">
        <f>C806-M806</f>
        <v/>
      </c>
      <c r="S806" s="53">
        <f>C806-O806</f>
        <v/>
      </c>
      <c r="T806" s="55">
        <f>E806-O806</f>
        <v/>
      </c>
      <c r="U806" s="55">
        <f>G806-O806</f>
        <v/>
      </c>
      <c r="V806" s="55">
        <f>G806-K806</f>
        <v/>
      </c>
      <c r="W806" s="55">
        <f>C806-K806</f>
        <v/>
      </c>
      <c r="X806" s="64">
        <f>I806-G806</f>
        <v/>
      </c>
      <c r="Y806" s="72">
        <f>G806-M806</f>
        <v/>
      </c>
    </row>
    <row r="807">
      <c r="A807" s="51" t="n">
        <v>44111</v>
      </c>
      <c r="B807" s="52" t="n">
        <v>45.44</v>
      </c>
      <c r="C807" s="82" t="n">
        <v>0.4539646913918161</v>
      </c>
      <c r="D807" s="52" t="n">
        <v>47.7</v>
      </c>
      <c r="E807" s="86" t="n">
        <v>0.4765430409196661</v>
      </c>
      <c r="F807" s="52" t="n">
        <v>44.8</v>
      </c>
      <c r="G807" s="82" t="n">
        <v>0.4477853084137742</v>
      </c>
      <c r="H807" s="52" t="n">
        <v>44.5</v>
      </c>
      <c r="I807" s="82" t="n">
        <v>0.4449466673515161</v>
      </c>
      <c r="J807" s="52" t="n">
        <v>40.1</v>
      </c>
      <c r="K807" s="82" t="n">
        <v>0.4005678805398286</v>
      </c>
      <c r="L807" s="52" t="n">
        <v>41.6</v>
      </c>
      <c r="M807" s="82" t="n">
        <v>0.4159501429623162</v>
      </c>
      <c r="N807" s="54" t="n">
        <v>39.9</v>
      </c>
      <c r="O807" s="82" t="n">
        <v>0.3989521803893369</v>
      </c>
      <c r="P807" s="55">
        <f>C807-G807</f>
        <v/>
      </c>
      <c r="Q807" s="55">
        <f>E807-C807</f>
        <v/>
      </c>
      <c r="R807" s="55">
        <f>C807-M807</f>
        <v/>
      </c>
      <c r="S807" s="53">
        <f>C807-O807</f>
        <v/>
      </c>
      <c r="T807" s="55">
        <f>E807-O807</f>
        <v/>
      </c>
      <c r="U807" s="55">
        <f>G807-O807</f>
        <v/>
      </c>
      <c r="V807" s="55">
        <f>G807-K807</f>
        <v/>
      </c>
      <c r="W807" s="55">
        <f>C807-K807</f>
        <v/>
      </c>
      <c r="X807" s="64">
        <f>I807-G807</f>
        <v/>
      </c>
      <c r="Y807" s="72">
        <f>G807-M807</f>
        <v/>
      </c>
    </row>
    <row r="808">
      <c r="A808" s="51" t="n">
        <v>44110</v>
      </c>
      <c r="B808" s="52" t="n">
        <v>45.3</v>
      </c>
      <c r="C808" s="82" t="n">
        <v>0.4525784201018229</v>
      </c>
      <c r="D808" s="52" t="n">
        <v>47.6</v>
      </c>
      <c r="E808" s="86" t="n">
        <v>0.475557015382931</v>
      </c>
      <c r="F808" s="52" t="n">
        <v>44.45</v>
      </c>
      <c r="G808" s="82" t="n">
        <v>0.4442930689815703</v>
      </c>
      <c r="H808" s="52" t="n">
        <v>44</v>
      </c>
      <c r="I808" s="82" t="n">
        <v>0.4399487730880651</v>
      </c>
      <c r="J808" s="52" t="n">
        <v>39.96</v>
      </c>
      <c r="K808" s="82" t="n">
        <v>0.3991816794728812</v>
      </c>
      <c r="L808" s="52" t="n">
        <v>41.4</v>
      </c>
      <c r="M808" s="82" t="n">
        <v>0.4139518001328612</v>
      </c>
      <c r="N808" s="54" t="n">
        <v>39.99</v>
      </c>
      <c r="O808" s="82" t="n">
        <v>0.3998534417225392</v>
      </c>
      <c r="P808" s="55">
        <f>C808-G808</f>
        <v/>
      </c>
      <c r="Q808" s="55">
        <f>E808-C808</f>
        <v/>
      </c>
      <c r="R808" s="55">
        <f>C808-M808</f>
        <v/>
      </c>
      <c r="S808" s="53">
        <f>C808-O808</f>
        <v/>
      </c>
      <c r="T808" s="55">
        <f>E808-O808</f>
        <v/>
      </c>
      <c r="U808" s="55">
        <f>G808-O808</f>
        <v/>
      </c>
      <c r="V808" s="55">
        <f>G808-K808</f>
        <v/>
      </c>
      <c r="W808" s="55">
        <f>C808-K808</f>
        <v/>
      </c>
      <c r="X808" s="64">
        <f>I808-G808</f>
        <v/>
      </c>
      <c r="Y808" s="72">
        <f>G808-M808</f>
        <v/>
      </c>
    </row>
    <row r="809">
      <c r="A809" s="51" t="n">
        <v>44109</v>
      </c>
      <c r="B809" s="52" t="n">
        <v>45.39</v>
      </c>
      <c r="C809" s="82" t="n">
        <v>0.4534899953466729</v>
      </c>
      <c r="D809" s="52" t="n">
        <v>47.99</v>
      </c>
      <c r="E809" s="86" t="n">
        <v>0.4794665097309282</v>
      </c>
      <c r="F809" s="52" t="n">
        <v>44.4</v>
      </c>
      <c r="G809" s="82" t="n">
        <v>0.4437993783632057</v>
      </c>
      <c r="H809" s="52" t="n">
        <v>43.45</v>
      </c>
      <c r="I809" s="82" t="n">
        <v>0.4344509010967939</v>
      </c>
      <c r="J809" s="52" t="n">
        <v>39.5</v>
      </c>
      <c r="K809" s="82" t="n">
        <v>0.3945986445293657</v>
      </c>
      <c r="L809" s="52" t="n">
        <v>41.65</v>
      </c>
      <c r="M809" s="82" t="n">
        <v>0.4164529351134975</v>
      </c>
      <c r="N809" s="54" t="n">
        <v>40</v>
      </c>
      <c r="O809" s="82" t="n">
        <v>0.3999547996288091</v>
      </c>
      <c r="P809" s="55">
        <f>C809-G809</f>
        <v/>
      </c>
      <c r="Q809" s="55">
        <f>E809-C809</f>
        <v/>
      </c>
      <c r="R809" s="55">
        <f>C809-M809</f>
        <v/>
      </c>
      <c r="S809" s="53">
        <f>C809-O809</f>
        <v/>
      </c>
      <c r="T809" s="55">
        <f>E809-O809</f>
        <v/>
      </c>
      <c r="U809" s="55">
        <f>G809-O809</f>
        <v/>
      </c>
      <c r="V809" s="55">
        <f>G809-K809</f>
        <v/>
      </c>
      <c r="W809" s="55">
        <f>C809-K809</f>
        <v/>
      </c>
      <c r="X809" s="64">
        <f>I809-G809</f>
        <v/>
      </c>
      <c r="Y809" s="72">
        <f>G809-M809</f>
        <v/>
      </c>
    </row>
    <row r="810">
      <c r="A810" s="51" t="n">
        <v>44106</v>
      </c>
      <c r="B810" s="52" t="n">
        <v>45.45</v>
      </c>
      <c r="C810" s="82" t="n">
        <v>0.4541267451409801</v>
      </c>
      <c r="D810" s="52" t="n">
        <v>47.32</v>
      </c>
      <c r="E810" s="86" t="n">
        <v>0.4728113879003559</v>
      </c>
      <c r="F810" s="52" t="n">
        <v>44.3</v>
      </c>
      <c r="G810" s="82" t="n">
        <v>0.4428180199917842</v>
      </c>
      <c r="H810" s="52" t="n">
        <v>43.99</v>
      </c>
      <c r="I810" s="82" t="n">
        <v>0.4398548094373866</v>
      </c>
      <c r="J810" s="52" t="n">
        <v>40.05</v>
      </c>
      <c r="K810" s="82" t="n">
        <v>0.4001300167653197</v>
      </c>
      <c r="L810" s="52" t="n">
        <v>42.15</v>
      </c>
      <c r="M810" s="82" t="n">
        <v>0.4214566996541451</v>
      </c>
      <c r="N810" s="54" t="n">
        <v>40</v>
      </c>
      <c r="O810" s="82" t="n">
        <v>0.3999589083313358</v>
      </c>
      <c r="P810" s="55">
        <f>C810-G810</f>
        <v/>
      </c>
      <c r="Q810" s="55">
        <f>E810-C810</f>
        <v/>
      </c>
      <c r="R810" s="55">
        <f>C810-M810</f>
        <v/>
      </c>
      <c r="S810" s="53">
        <f>C810-O810</f>
        <v/>
      </c>
      <c r="T810" s="55">
        <f>E810-O810</f>
        <v/>
      </c>
      <c r="U810" s="55">
        <f>G810-O810</f>
        <v/>
      </c>
      <c r="V810" s="55">
        <f>G810-K810</f>
        <v/>
      </c>
      <c r="W810" s="55">
        <f>C810-K810</f>
        <v/>
      </c>
      <c r="X810" s="64">
        <f>I810-G810</f>
        <v/>
      </c>
      <c r="Y810" s="72">
        <f>G810-M810</f>
        <v/>
      </c>
    </row>
    <row r="811">
      <c r="A811" s="51" t="n">
        <v>44105</v>
      </c>
      <c r="B811" s="52" t="n">
        <v>46.25</v>
      </c>
      <c r="C811" s="82" t="n">
        <v>0.4621328259738838</v>
      </c>
      <c r="D811" s="52" t="n">
        <v>48.32</v>
      </c>
      <c r="E811" s="86" t="n">
        <v>0.4828163924553095</v>
      </c>
      <c r="F811" s="52" t="n">
        <v>44.7</v>
      </c>
      <c r="G811" s="82" t="n">
        <v>0.4468224951731504</v>
      </c>
      <c r="H811" s="52" t="n">
        <v>44.4</v>
      </c>
      <c r="I811" s="82" t="n">
        <v>0.4439559084885405</v>
      </c>
      <c r="J811" s="52" t="n">
        <v>40.8</v>
      </c>
      <c r="K811" s="82" t="n">
        <v>0.4076356407457717</v>
      </c>
      <c r="L811" s="52" t="n">
        <v>42.9</v>
      </c>
      <c r="M811" s="82" t="n">
        <v>0.4289573980666304</v>
      </c>
      <c r="N811" s="54" t="n">
        <v>39.8</v>
      </c>
      <c r="O811" s="82" t="n">
        <v>0.397960476528016</v>
      </c>
      <c r="P811" s="55">
        <f>C811-G811</f>
        <v/>
      </c>
      <c r="Q811" s="55">
        <f>E811-C811</f>
        <v/>
      </c>
      <c r="R811" s="55">
        <f>C811-M811</f>
        <v/>
      </c>
      <c r="S811" s="53">
        <f>C811-O811</f>
        <v/>
      </c>
      <c r="T811" s="55">
        <f>E811-O811</f>
        <v/>
      </c>
      <c r="U811" s="55">
        <f>G811-O811</f>
        <v/>
      </c>
      <c r="V811" s="55">
        <f>G811-K811</f>
        <v/>
      </c>
      <c r="W811" s="55">
        <f>C811-K811</f>
        <v/>
      </c>
      <c r="X811" s="64">
        <f>I811-G811</f>
        <v/>
      </c>
      <c r="Y811" s="72">
        <f>G811-M811</f>
        <v/>
      </c>
    </row>
    <row r="812">
      <c r="A812" s="51" t="n">
        <v>44104</v>
      </c>
      <c r="B812" s="52" t="n">
        <v>45.86</v>
      </c>
      <c r="C812" s="82" t="n">
        <v>0.4582484669294787</v>
      </c>
      <c r="D812" s="52" t="n">
        <v>47.9</v>
      </c>
      <c r="E812" s="86" t="n">
        <v>0.4786328296101621</v>
      </c>
      <c r="F812" s="52" t="n">
        <v>44.6</v>
      </c>
      <c r="G812" s="82" t="n">
        <v>0.4458289970970039</v>
      </c>
      <c r="H812" s="52" t="n">
        <v>44.71</v>
      </c>
      <c r="I812" s="82" t="n">
        <v>0.4470571315079376</v>
      </c>
      <c r="J812" s="52" t="n">
        <v>40.74</v>
      </c>
      <c r="K812" s="82" t="n">
        <v>0.4070487113860641</v>
      </c>
      <c r="L812" s="52" t="n">
        <v>42.4</v>
      </c>
      <c r="M812" s="82" t="n">
        <v>0.4239593463640473</v>
      </c>
      <c r="N812" s="54" t="n">
        <v>39.02</v>
      </c>
      <c r="O812" s="82" t="n">
        <v>0.3901625871491775</v>
      </c>
      <c r="P812" s="55">
        <f>C812-G812</f>
        <v/>
      </c>
      <c r="Q812" s="55">
        <f>E812-C812</f>
        <v/>
      </c>
      <c r="R812" s="55">
        <f>C812-M812</f>
        <v/>
      </c>
      <c r="S812" s="53">
        <f>C812-O812</f>
        <v/>
      </c>
      <c r="T812" s="55">
        <f>E812-O812</f>
        <v/>
      </c>
      <c r="U812" s="55">
        <f>G812-O812</f>
        <v/>
      </c>
      <c r="V812" s="55">
        <f>G812-K812</f>
        <v/>
      </c>
      <c r="W812" s="55">
        <f>C812-K812</f>
        <v/>
      </c>
      <c r="X812" s="64">
        <f>I812-G812</f>
        <v/>
      </c>
      <c r="Y812" s="72">
        <f>G812-M812</f>
        <v/>
      </c>
    </row>
    <row r="813">
      <c r="A813" s="51" t="n">
        <v>44103</v>
      </c>
      <c r="B813" s="52" t="n">
        <v>46</v>
      </c>
      <c r="C813" s="82" t="n">
        <v>0.4596599775508528</v>
      </c>
      <c r="D813" s="52" t="n">
        <v>47.5</v>
      </c>
      <c r="E813" s="86" t="n">
        <v>0.4746488898622936</v>
      </c>
      <c r="F813" s="52" t="n">
        <v>44.67</v>
      </c>
      <c r="G813" s="82" t="n">
        <v>0.4465348432771441</v>
      </c>
      <c r="H813" s="52" t="n">
        <v>44.47</v>
      </c>
      <c r="I813" s="82" t="n">
        <v>0.4446588842812479</v>
      </c>
      <c r="J813" s="52" t="n">
        <v>39.9</v>
      </c>
      <c r="K813" s="82" t="n">
        <v>0.3986682315744089</v>
      </c>
      <c r="L813" s="52" t="n">
        <v>41.8</v>
      </c>
      <c r="M813" s="82" t="n">
        <v>0.4179613528886028</v>
      </c>
      <c r="N813" s="54" t="n">
        <v>39.04</v>
      </c>
      <c r="O813" s="82" t="n">
        <v>0.3903639047074414</v>
      </c>
      <c r="P813" s="55">
        <f>C813-G813</f>
        <v/>
      </c>
      <c r="Q813" s="55">
        <f>E813-C813</f>
        <v/>
      </c>
      <c r="R813" s="55">
        <f>C813-M813</f>
        <v/>
      </c>
      <c r="S813" s="53">
        <f>C813-O813</f>
        <v/>
      </c>
      <c r="T813" s="55">
        <f>E813-O813</f>
        <v/>
      </c>
      <c r="U813" s="55">
        <f>G813-O813</f>
        <v/>
      </c>
      <c r="V813" s="55">
        <f>G813-K813</f>
        <v/>
      </c>
      <c r="W813" s="55">
        <f>C813-K813</f>
        <v/>
      </c>
      <c r="X813" s="64">
        <f>I813-G813</f>
        <v/>
      </c>
      <c r="Y813" s="72">
        <f>G813-M813</f>
        <v/>
      </c>
    </row>
    <row r="814">
      <c r="A814" s="51" t="n">
        <v>44102</v>
      </c>
      <c r="B814" s="52" t="n">
        <v>46.29</v>
      </c>
      <c r="C814" s="82" t="n">
        <v>0.4625704977276461</v>
      </c>
      <c r="D814" s="52" t="n">
        <v>48.3</v>
      </c>
      <c r="E814" s="86" t="n">
        <v>0.4826561901111537</v>
      </c>
      <c r="F814" s="52" t="n">
        <v>44.9</v>
      </c>
      <c r="G814" s="82" t="n">
        <v>0.4488401391285295</v>
      </c>
      <c r="H814" s="52" t="n">
        <v>44.85</v>
      </c>
      <c r="I814" s="82" t="n">
        <v>0.4484600686240267</v>
      </c>
      <c r="J814" s="52" t="n">
        <v>41</v>
      </c>
      <c r="K814" s="82" t="n">
        <v>0.4096717014447326</v>
      </c>
      <c r="L814" s="52" t="n">
        <v>42.43</v>
      </c>
      <c r="M814" s="82" t="n">
        <v>0.424262223226699</v>
      </c>
      <c r="N814" s="54" t="n">
        <v>39.5</v>
      </c>
      <c r="O814" s="82" t="n">
        <v>0.3949648318985296</v>
      </c>
      <c r="P814" s="55">
        <f>C814-G814</f>
        <v/>
      </c>
      <c r="Q814" s="55">
        <f>E814-C814</f>
        <v/>
      </c>
      <c r="R814" s="55">
        <f>C814-M814</f>
        <v/>
      </c>
      <c r="S814" s="53">
        <f>C814-O814</f>
        <v/>
      </c>
      <c r="T814" s="55">
        <f>E814-O814</f>
        <v/>
      </c>
      <c r="U814" s="55">
        <f>G814-O814</f>
        <v/>
      </c>
      <c r="V814" s="55">
        <f>G814-K814</f>
        <v/>
      </c>
      <c r="W814" s="55">
        <f>C814-K814</f>
        <v/>
      </c>
      <c r="X814" s="64">
        <f>I814-G814</f>
        <v/>
      </c>
      <c r="Y814" s="72">
        <f>G814-M814</f>
        <v/>
      </c>
    </row>
    <row r="815">
      <c r="A815" s="51" t="n">
        <v>44099</v>
      </c>
      <c r="B815" s="52" t="n">
        <v>46.44</v>
      </c>
      <c r="C815" s="82" t="n">
        <v>0.4641075486679626</v>
      </c>
      <c r="D815" s="52" t="n">
        <v>48</v>
      </c>
      <c r="E815" s="86" t="n">
        <v>0.4796977247214084</v>
      </c>
      <c r="F815" s="52" t="n">
        <v>45.2</v>
      </c>
      <c r="G815" s="82" t="n">
        <v>0.4518576338961697</v>
      </c>
      <c r="H815" s="52" t="n">
        <v>45.29</v>
      </c>
      <c r="I815" s="82" t="n">
        <v>0.4528643291795509</v>
      </c>
      <c r="J815" s="52" t="n">
        <v>41.5</v>
      </c>
      <c r="K815" s="82" t="n">
        <v>0.4147060132029691</v>
      </c>
      <c r="L815" s="52" t="n">
        <v>42.89</v>
      </c>
      <c r="M815" s="82" t="n">
        <v>0.4288662194416193</v>
      </c>
      <c r="N815" s="54" t="n">
        <v>40</v>
      </c>
      <c r="O815" s="82" t="n">
        <v>0.3999684956321933</v>
      </c>
      <c r="P815" s="55">
        <f>C815-G815</f>
        <v/>
      </c>
      <c r="Q815" s="55">
        <f>E815-C815</f>
        <v/>
      </c>
      <c r="R815" s="55">
        <f>C815-M815</f>
        <v/>
      </c>
      <c r="S815" s="53">
        <f>C815-O815</f>
        <v/>
      </c>
      <c r="T815" s="55">
        <f>E815-O815</f>
        <v/>
      </c>
      <c r="U815" s="55">
        <f>G815-O815</f>
        <v/>
      </c>
      <c r="V815" s="55">
        <f>G815-K815</f>
        <v/>
      </c>
      <c r="W815" s="55">
        <f>C815-K815</f>
        <v/>
      </c>
      <c r="X815" s="64">
        <f>I815-G815</f>
        <v/>
      </c>
      <c r="Y815" s="72">
        <f>G815-M815</f>
        <v/>
      </c>
    </row>
    <row r="816">
      <c r="A816" s="51" t="n">
        <v>44098</v>
      </c>
      <c r="B816" s="52" t="n">
        <v>47.57</v>
      </c>
      <c r="C816" s="82" t="n">
        <v>0.4754134494277422</v>
      </c>
      <c r="D816" s="52" t="n">
        <v>47.8</v>
      </c>
      <c r="E816" s="86" t="n">
        <v>0.4777120639614479</v>
      </c>
      <c r="F816" s="52" t="n">
        <v>46</v>
      </c>
      <c r="G816" s="82" t="n">
        <v>0.459861411629372</v>
      </c>
      <c r="H816" s="52" t="n">
        <v>45.7</v>
      </c>
      <c r="I816" s="82" t="n">
        <v>0.4569655710871099</v>
      </c>
      <c r="J816" s="52" t="n">
        <v>41.9</v>
      </c>
      <c r="K816" s="82" t="n">
        <v>0.4187160760853941</v>
      </c>
      <c r="L816" s="52" t="n">
        <v>43.4</v>
      </c>
      <c r="M816" s="82" t="n">
        <v>0.4339673038332728</v>
      </c>
      <c r="N816" s="54" t="n">
        <v>39.45</v>
      </c>
      <c r="O816" s="82" t="n">
        <v>0.3944702796364657</v>
      </c>
      <c r="P816" s="55">
        <f>C816-G816</f>
        <v/>
      </c>
      <c r="Q816" s="55">
        <f>E816-C816</f>
        <v/>
      </c>
      <c r="R816" s="55">
        <f>C816-M816</f>
        <v/>
      </c>
      <c r="S816" s="53">
        <f>C816-O816</f>
        <v/>
      </c>
      <c r="T816" s="55">
        <f>E816-O816</f>
        <v/>
      </c>
      <c r="U816" s="55">
        <f>G816-O816</f>
        <v/>
      </c>
      <c r="V816" s="55">
        <f>G816-K816</f>
        <v/>
      </c>
      <c r="W816" s="55">
        <f>C816-K816</f>
        <v/>
      </c>
      <c r="X816" s="64">
        <f>I816-G816</f>
        <v/>
      </c>
      <c r="Y816" s="72">
        <f>G816-M816</f>
        <v/>
      </c>
    </row>
    <row r="817">
      <c r="A817" s="51" t="n">
        <v>44097</v>
      </c>
      <c r="B817" s="52" t="n">
        <v>47.6</v>
      </c>
      <c r="C817" s="82" t="n">
        <v>0.4757262944607212</v>
      </c>
      <c r="D817" s="52" t="n">
        <v>47.1</v>
      </c>
      <c r="E817" s="86" t="n">
        <v>0.4707291695189069</v>
      </c>
      <c r="F817" s="52" t="n">
        <v>46.55</v>
      </c>
      <c r="G817" s="82" t="n">
        <v>0.4653661275523479</v>
      </c>
      <c r="H817" s="52" t="n">
        <v>46.3</v>
      </c>
      <c r="I817" s="82" t="n">
        <v>0.4629667044493375</v>
      </c>
      <c r="J817" s="52" t="n">
        <v>39.75</v>
      </c>
      <c r="K817" s="82" t="n">
        <v>0.397242880464357</v>
      </c>
      <c r="L817" s="52" t="n">
        <v>43</v>
      </c>
      <c r="M817" s="82" t="n">
        <v>0.4299690775663394</v>
      </c>
      <c r="N817" s="54" t="n">
        <v>38.55</v>
      </c>
      <c r="O817" s="82" t="n">
        <v>0.38547227767866</v>
      </c>
      <c r="P817" s="55">
        <f>C817-G817</f>
        <v/>
      </c>
      <c r="Q817" s="55">
        <f>E817-C817</f>
        <v/>
      </c>
      <c r="R817" s="55">
        <f>C817-M817</f>
        <v/>
      </c>
      <c r="S817" s="53">
        <f>C817-O817</f>
        <v/>
      </c>
      <c r="T817" s="55">
        <f>E817-O817</f>
        <v/>
      </c>
      <c r="U817" s="55">
        <f>G817-O817</f>
        <v/>
      </c>
      <c r="V817" s="55">
        <f>G817-K817</f>
        <v/>
      </c>
      <c r="W817" s="55">
        <f>C817-K817</f>
        <v/>
      </c>
      <c r="X817" s="64">
        <f>I817-G817</f>
        <v/>
      </c>
      <c r="Y817" s="72">
        <f>G817-M817</f>
        <v/>
      </c>
    </row>
    <row r="818">
      <c r="A818" s="51" t="n">
        <v>44096</v>
      </c>
      <c r="B818" s="52" t="n">
        <v>46.5</v>
      </c>
      <c r="C818" s="82" t="n">
        <v>0.4647453450164293</v>
      </c>
      <c r="D818" s="52" t="n">
        <v>47</v>
      </c>
      <c r="E818" s="86" t="n">
        <v>0.4697426067907995</v>
      </c>
      <c r="F818" s="52" t="n">
        <v>45.39</v>
      </c>
      <c r="G818" s="82" t="n">
        <v>0.4537756778964667</v>
      </c>
      <c r="H818" s="52" t="n">
        <v>45.33</v>
      </c>
      <c r="I818" s="82" t="n">
        <v>0.4532689541812204</v>
      </c>
      <c r="J818" s="52" t="n">
        <v>38.5</v>
      </c>
      <c r="K818" s="82" t="n">
        <v>0.3847628174413033</v>
      </c>
      <c r="L818" s="52" t="n">
        <v>42.65</v>
      </c>
      <c r="M818" s="82" t="n">
        <v>0.4264707896719402</v>
      </c>
      <c r="N818" s="54" t="n">
        <v>37.75</v>
      </c>
      <c r="O818" s="82" t="n">
        <v>0.3774741456064653</v>
      </c>
      <c r="P818" s="55">
        <f>C818-G818</f>
        <v/>
      </c>
      <c r="Q818" s="55">
        <f>E818-C818</f>
        <v/>
      </c>
      <c r="R818" s="55">
        <f>C818-M818</f>
        <v/>
      </c>
      <c r="S818" s="53">
        <f>C818-O818</f>
        <v/>
      </c>
      <c r="T818" s="55">
        <f>E818-O818</f>
        <v/>
      </c>
      <c r="U818" s="55">
        <f>G818-O818</f>
        <v/>
      </c>
      <c r="V818" s="55">
        <f>G818-K818</f>
        <v/>
      </c>
      <c r="W818" s="55">
        <f>C818-K818</f>
        <v/>
      </c>
      <c r="X818" s="64">
        <f>I818-G818</f>
        <v/>
      </c>
      <c r="Y818" s="72">
        <f>G818-M818</f>
        <v/>
      </c>
    </row>
    <row r="819">
      <c r="A819" s="51" t="n">
        <v>44095</v>
      </c>
      <c r="B819" s="52" t="n">
        <v>47.4</v>
      </c>
      <c r="C819" s="82" t="n">
        <v>0.4737533886470057</v>
      </c>
      <c r="D819" s="52" t="n">
        <v>47</v>
      </c>
      <c r="E819" s="86" t="n">
        <v>0.4697554697554698</v>
      </c>
      <c r="F819" s="52" t="n">
        <v>46.12</v>
      </c>
      <c r="G819" s="82" t="n">
        <v>0.4610799928785658</v>
      </c>
      <c r="H819" s="52" t="n">
        <v>45.75</v>
      </c>
      <c r="I819" s="82" t="n">
        <v>0.4574702331012708</v>
      </c>
      <c r="J819" s="52" t="n">
        <v>40.24</v>
      </c>
      <c r="K819" s="82" t="n">
        <v>0.4021644858661537</v>
      </c>
      <c r="L819" s="52" t="n">
        <v>43.35</v>
      </c>
      <c r="M819" s="82" t="n">
        <v>0.4334717946434992</v>
      </c>
      <c r="N819" s="54" t="n">
        <v>38.6</v>
      </c>
      <c r="O819" s="82" t="n">
        <v>0.3859748851958263</v>
      </c>
      <c r="P819" s="55">
        <f>C819-G819</f>
        <v/>
      </c>
      <c r="Q819" s="55">
        <f>E819-C819</f>
        <v/>
      </c>
      <c r="R819" s="55">
        <f>C819-M819</f>
        <v/>
      </c>
      <c r="S819" s="53">
        <f>C819-O819</f>
        <v/>
      </c>
      <c r="T819" s="55">
        <f>E819-O819</f>
        <v/>
      </c>
      <c r="U819" s="55">
        <f>G819-O819</f>
        <v/>
      </c>
      <c r="V819" s="55">
        <f>G819-K819</f>
        <v/>
      </c>
      <c r="W819" s="55">
        <f>C819-K819</f>
        <v/>
      </c>
      <c r="X819" s="64">
        <f>I819-G819</f>
        <v/>
      </c>
      <c r="Y819" s="72">
        <f>G819-M819</f>
        <v/>
      </c>
    </row>
    <row r="820">
      <c r="A820" s="51" t="n">
        <v>44092</v>
      </c>
      <c r="B820" s="52" t="n">
        <v>48.35</v>
      </c>
      <c r="C820" s="82" t="n">
        <v>0.4832881476612992</v>
      </c>
      <c r="D820" s="52" t="n">
        <v>48.45</v>
      </c>
      <c r="E820" s="86" t="n">
        <v>0.4842877094972067</v>
      </c>
      <c r="F820" s="52" t="n">
        <v>47.1</v>
      </c>
      <c r="G820" s="82" t="n">
        <v>0.4708967897447135</v>
      </c>
      <c r="H820" s="52" t="n">
        <v>46.89</v>
      </c>
      <c r="I820" s="82" t="n">
        <v>0.4688743082570818</v>
      </c>
      <c r="J820" s="52" t="n">
        <v>41.6</v>
      </c>
      <c r="K820" s="82" t="n">
        <v>0.4157949504354017</v>
      </c>
      <c r="L820" s="52" t="n">
        <v>44.25</v>
      </c>
      <c r="M820" s="82" t="n">
        <v>0.4424757547531642</v>
      </c>
      <c r="N820" s="54" t="n">
        <v>40</v>
      </c>
      <c r="O820" s="82" t="n">
        <v>0.3999780833926908</v>
      </c>
      <c r="P820" s="55">
        <f>C820-G820</f>
        <v/>
      </c>
      <c r="Q820" s="55">
        <f>E820-C820</f>
        <v/>
      </c>
      <c r="R820" s="55">
        <f>C820-M820</f>
        <v/>
      </c>
      <c r="S820" s="53">
        <f>C820-O820</f>
        <v/>
      </c>
      <c r="T820" s="55">
        <f>E820-O820</f>
        <v/>
      </c>
      <c r="U820" s="55">
        <f>G820-O820</f>
        <v/>
      </c>
      <c r="V820" s="55">
        <f>G820-K820</f>
        <v/>
      </c>
      <c r="W820" s="55">
        <f>C820-K820</f>
        <v/>
      </c>
      <c r="X820" s="64">
        <f>I820-G820</f>
        <v/>
      </c>
      <c r="Y820" s="72">
        <f>G820-M820</f>
        <v/>
      </c>
    </row>
    <row r="821">
      <c r="A821" s="51" t="n">
        <v>44091</v>
      </c>
      <c r="B821" s="52" t="n">
        <v>48.51</v>
      </c>
      <c r="C821" s="82" t="n">
        <v>0.4849007257291524</v>
      </c>
      <c r="D821" s="52" t="n">
        <v>48.01</v>
      </c>
      <c r="E821" s="86" t="n">
        <v>0.4799027796795837</v>
      </c>
      <c r="F821" s="52" t="n">
        <v>46.9</v>
      </c>
      <c r="G821" s="82" t="n">
        <v>0.4689036499349449</v>
      </c>
      <c r="H821" s="52" t="n">
        <v>46.25</v>
      </c>
      <c r="I821" s="82" t="n">
        <v>0.4624762426587675</v>
      </c>
      <c r="J821" s="52" t="n">
        <v>41.75</v>
      </c>
      <c r="K821" s="82" t="n">
        <v>0.4173070669382306</v>
      </c>
      <c r="L821" s="52" t="n">
        <v>44.25</v>
      </c>
      <c r="M821" s="82" t="n">
        <v>0.4424772700032533</v>
      </c>
      <c r="N821" s="54" t="n">
        <v>40</v>
      </c>
      <c r="O821" s="82" t="n">
        <v>0.3999794531102854</v>
      </c>
      <c r="P821" s="55">
        <f>C821-G821</f>
        <v/>
      </c>
      <c r="Q821" s="55">
        <f>E821-C821</f>
        <v/>
      </c>
      <c r="R821" s="55">
        <f>C821-M821</f>
        <v/>
      </c>
      <c r="S821" s="53">
        <f>C821-O821</f>
        <v/>
      </c>
      <c r="T821" s="55">
        <f>E821-O821</f>
        <v/>
      </c>
      <c r="U821" s="55">
        <f>G821-O821</f>
        <v/>
      </c>
      <c r="V821" s="55">
        <f>G821-K821</f>
        <v/>
      </c>
      <c r="W821" s="55">
        <f>C821-K821</f>
        <v/>
      </c>
      <c r="X821" s="64">
        <f>I821-G821</f>
        <v/>
      </c>
      <c r="Y821" s="72">
        <f>G821-M821</f>
        <v/>
      </c>
    </row>
    <row r="822">
      <c r="A822" s="51" t="n">
        <v>44090</v>
      </c>
      <c r="B822" s="52" t="n">
        <v>48.85</v>
      </c>
      <c r="C822" s="82" t="n">
        <v>0.4883127019773238</v>
      </c>
      <c r="D822" s="52" t="n">
        <v>51</v>
      </c>
      <c r="E822" s="86" t="n">
        <v>0.5098044585638385</v>
      </c>
      <c r="F822" s="52" t="n">
        <v>47.96</v>
      </c>
      <c r="G822" s="82" t="n">
        <v>0.4795080395540581</v>
      </c>
      <c r="H822" s="52" t="n">
        <v>48.1</v>
      </c>
      <c r="I822" s="82" t="n">
        <v>0.4809769394618066</v>
      </c>
      <c r="J822" s="52" t="n">
        <v>41.9</v>
      </c>
      <c r="K822" s="82" t="n">
        <v>0.4188192766135161</v>
      </c>
      <c r="L822" s="52" t="n">
        <v>45.15</v>
      </c>
      <c r="M822" s="82" t="n">
        <v>0.4514783537775586</v>
      </c>
      <c r="N822" s="54" t="n">
        <v>41</v>
      </c>
      <c r="O822" s="82" t="n">
        <v>0.4099803434081928</v>
      </c>
      <c r="P822" s="55">
        <f>C822-G822</f>
        <v/>
      </c>
      <c r="Q822" s="55">
        <f>E822-C822</f>
        <v/>
      </c>
      <c r="R822" s="55">
        <f>C822-M822</f>
        <v/>
      </c>
      <c r="S822" s="53">
        <f>C822-O822</f>
        <v/>
      </c>
      <c r="T822" s="55">
        <f>E822-O822</f>
        <v/>
      </c>
      <c r="U822" s="55">
        <f>G822-O822</f>
        <v/>
      </c>
      <c r="V822" s="55">
        <f>G822-K822</f>
        <v/>
      </c>
      <c r="W822" s="55">
        <f>C822-K822</f>
        <v/>
      </c>
      <c r="X822" s="64">
        <f>I822-G822</f>
        <v/>
      </c>
      <c r="Y822" s="72">
        <f>G822-M822</f>
        <v/>
      </c>
    </row>
    <row r="823">
      <c r="A823" s="51" t="n">
        <v>44089</v>
      </c>
      <c r="B823" s="52" t="n">
        <v>51.4</v>
      </c>
      <c r="C823" s="82" t="n">
        <v>0.5138169966861118</v>
      </c>
      <c r="D823" s="52" t="n">
        <v>53.75</v>
      </c>
      <c r="E823" s="86" t="n">
        <v>0.5373086298030838</v>
      </c>
      <c r="F823" s="52" t="n">
        <v>51.08</v>
      </c>
      <c r="G823" s="82" t="n">
        <v>0.5107090518126909</v>
      </c>
      <c r="H823" s="52" t="n">
        <v>50</v>
      </c>
      <c r="I823" s="82" t="n">
        <v>0.4999777407170229</v>
      </c>
      <c r="J823" s="52" t="n">
        <v>44.55</v>
      </c>
      <c r="K823" s="82" t="n">
        <v>0.445321566358685</v>
      </c>
      <c r="L823" s="52" t="n">
        <v>48.35</v>
      </c>
      <c r="M823" s="82" t="n">
        <v>0.4834784752733611</v>
      </c>
      <c r="N823" s="54" t="n">
        <v>43.1</v>
      </c>
      <c r="O823" s="82" t="n">
        <v>0.4309808124980737</v>
      </c>
      <c r="P823" s="55">
        <f>C823-G823</f>
        <v/>
      </c>
      <c r="Q823" s="55">
        <f>E823-C823</f>
        <v/>
      </c>
      <c r="R823" s="55">
        <f>C823-M823</f>
        <v/>
      </c>
      <c r="S823" s="53">
        <f>C823-O823</f>
        <v/>
      </c>
      <c r="T823" s="55">
        <f>E823-O823</f>
        <v/>
      </c>
      <c r="U823" s="55">
        <f>G823-O823</f>
        <v/>
      </c>
      <c r="V823" s="55">
        <f>G823-K823</f>
        <v/>
      </c>
      <c r="W823" s="55">
        <f>C823-K823</f>
        <v/>
      </c>
      <c r="X823" s="64">
        <f>I823-G823</f>
        <v/>
      </c>
      <c r="Y823" s="72">
        <f>G823-M823</f>
        <v/>
      </c>
    </row>
    <row r="824">
      <c r="A824" s="57" t="n">
        <v>44088</v>
      </c>
      <c r="B824" s="58" t="n">
        <v>51.8</v>
      </c>
      <c r="C824" s="83" t="n">
        <v>0.5178297546012269</v>
      </c>
      <c r="D824" s="58" t="n">
        <v>53.75</v>
      </c>
      <c r="E824" s="87" t="n">
        <v>0.5373233457493427</v>
      </c>
      <c r="F824" s="58" t="n">
        <v>51.87</v>
      </c>
      <c r="G824" s="83" t="n">
        <v>0.5186147482605599</v>
      </c>
      <c r="H824" s="52" t="n">
        <v>50</v>
      </c>
      <c r="I824" s="82" t="n">
        <v>0.4999794528991959</v>
      </c>
      <c r="J824" s="58" t="n">
        <v>44.54</v>
      </c>
      <c r="K824" s="82" t="n">
        <v>0.4452353239212894</v>
      </c>
      <c r="L824" s="58" t="n">
        <v>49.2</v>
      </c>
      <c r="M824" s="83" t="n">
        <v>0.4919797816528088</v>
      </c>
      <c r="N824" s="60" t="n">
        <v>43.99</v>
      </c>
      <c r="O824" s="83" t="n">
        <v>0.4398819226607126</v>
      </c>
      <c r="P824" s="61">
        <f>C824-G824</f>
        <v/>
      </c>
      <c r="Q824" s="61">
        <f>E824-C824</f>
        <v/>
      </c>
      <c r="R824" s="61">
        <f>C824-M824</f>
        <v/>
      </c>
      <c r="S824" s="59">
        <f>C824-O824</f>
        <v/>
      </c>
      <c r="T824" s="59">
        <f>E824-O824</f>
        <v/>
      </c>
      <c r="U824" s="59">
        <f>G824-O824</f>
        <v/>
      </c>
      <c r="V824" s="59">
        <f>G824-K824</f>
        <v/>
      </c>
      <c r="W824" s="59">
        <f>C824-K824</f>
        <v/>
      </c>
      <c r="X824" s="59">
        <f>I824-G824</f>
        <v/>
      </c>
      <c r="Y824" s="72">
        <f>G824-M824</f>
        <v/>
      </c>
    </row>
    <row r="825">
      <c r="A825" s="23" t="n"/>
      <c r="B825" s="21" t="n"/>
      <c r="C825" s="21" t="n"/>
      <c r="F825" s="21" t="n"/>
      <c r="G825" s="21" t="n"/>
    </row>
    <row r="826">
      <c r="A826" s="23" t="n"/>
      <c r="B826" s="21" t="n"/>
      <c r="C826" s="21" t="n"/>
      <c r="F826" s="21" t="n"/>
      <c r="G826" s="21" t="n"/>
    </row>
    <row r="827">
      <c r="A827" s="23" t="n"/>
      <c r="B827" s="21" t="n"/>
      <c r="C827" s="21" t="n"/>
      <c r="F827" s="21" t="n"/>
      <c r="G827" s="21" t="n"/>
    </row>
    <row r="828">
      <c r="A828" s="23" t="n"/>
      <c r="B828" s="21" t="n"/>
      <c r="C828" s="21" t="n"/>
      <c r="F828" s="21" t="n"/>
      <c r="G828" s="21" t="n"/>
    </row>
    <row r="829">
      <c r="A829" s="23" t="n"/>
      <c r="B829" s="21" t="n"/>
      <c r="C829" s="21" t="n"/>
      <c r="F829" s="24" t="n"/>
      <c r="G829" s="21" t="n"/>
    </row>
  </sheetData>
  <pageMargins left="0.7" right="0.7" top="0.75" bottom="0.75" header="0.3" footer="0.3"/>
  <pageSetup orientation="portrait" paperSize="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7" t="n">
        <v>374</v>
      </c>
      <c r="C4" s="69">
        <f>B5/C3</f>
        <v/>
      </c>
      <c r="D4" s="67">
        <f>C4</f>
        <v/>
      </c>
      <c r="E4" s="69">
        <f>D5/E3</f>
        <v/>
      </c>
    </row>
    <row r="5">
      <c r="A5" t="inlineStr">
        <is>
          <t>$</t>
        </is>
      </c>
      <c r="B5" s="68">
        <f>B4*B3</f>
        <v/>
      </c>
      <c r="C5">
        <f>C4*C3</f>
        <v/>
      </c>
      <c r="D5">
        <f>D4*D3</f>
        <v/>
      </c>
      <c r="E5" s="68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0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2024-01-31T00:40:41Z</dcterms:modified>
  <cp:lastModifiedBy>Adrian</cp:lastModifiedBy>
</cp:coreProperties>
</file>