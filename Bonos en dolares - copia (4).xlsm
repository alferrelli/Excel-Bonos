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716" firstSheet="3" activeTab="6"/>
  </bookViews>
  <sheets>
    <sheet name="Flujo de Fondos 0124" sheetId="12" r:id="rId1"/>
    <sheet name="Flujo de Fondos 0723" sheetId="1" r:id="rId2"/>
    <sheet name="Flujo de Fondos 0123" sheetId="2" r:id="rId3"/>
    <sheet name="Flujo de Fondos 0722" sheetId="3" r:id="rId4"/>
    <sheet name="Flujo de Fondos 0122" sheetId="4" r:id="rId5"/>
    <sheet name="Flujo de Fondos 0721" sheetId="5" r:id="rId6"/>
    <sheet name="Flujo de Fondos" sheetId="6" r:id="rId7"/>
    <sheet name="Hoja3" sheetId="7" state="hidden" r:id="rId8"/>
    <sheet name="Grafico Paridades bkp" sheetId="8" r:id="rId9"/>
    <sheet name="Paridad usd" sheetId="9" r:id="rId10"/>
    <sheet name="30-38" sheetId="10" r:id="rId11"/>
    <sheet name="Aribtrar" sheetId="11" r:id="rId12"/>
  </sheets>
  <functionGroups builtInGroupCount="18"/>
  <calcPr calcId="162913"/>
  <pivotCaches>
    <pivotCache cacheId="0" r:id="rId13"/>
    <pivotCache cacheId="1" r:id="rId14"/>
  </pivotCaches>
</workbook>
</file>

<file path=xl/calcChain.xml><?xml version="1.0" encoding="utf-8"?>
<calcChain xmlns="http://schemas.openxmlformats.org/spreadsheetml/2006/main">
  <c r="L34" i="12" l="1"/>
  <c r="R10" i="12"/>
  <c r="F10" i="12"/>
  <c r="Q70" i="12"/>
  <c r="P70" i="12"/>
  <c r="O70" i="12"/>
  <c r="K63" i="12"/>
  <c r="J63" i="12"/>
  <c r="I63" i="12"/>
  <c r="E58" i="12"/>
  <c r="D58" i="12"/>
  <c r="C58" i="12"/>
  <c r="R35" i="12"/>
  <c r="N32" i="12"/>
  <c r="N33" i="12" s="1"/>
  <c r="H32" i="12"/>
  <c r="H33" i="12" s="1"/>
  <c r="B32" i="12"/>
  <c r="B33" i="12" s="1"/>
  <c r="W24" i="12"/>
  <c r="V24" i="12"/>
  <c r="U24" i="12"/>
  <c r="Q24" i="12"/>
  <c r="P24" i="12"/>
  <c r="O24" i="12"/>
  <c r="K22" i="12"/>
  <c r="J22" i="12"/>
  <c r="I22" i="12"/>
  <c r="E22" i="12"/>
  <c r="D22" i="12"/>
  <c r="C22" i="12"/>
  <c r="T8" i="12"/>
  <c r="T9" i="12" s="1"/>
  <c r="N8" i="12"/>
  <c r="N9" i="12" s="1"/>
  <c r="H8" i="12"/>
  <c r="H9" i="12" s="1"/>
  <c r="B8" i="12"/>
  <c r="B9" i="12" s="1"/>
  <c r="F6" i="12"/>
  <c r="D5" i="12"/>
  <c r="F4" i="12"/>
  <c r="R10" i="1"/>
  <c r="F10" i="1"/>
  <c r="L35" i="1"/>
  <c r="R35" i="1"/>
  <c r="B10" i="11"/>
  <c r="B5" i="11"/>
  <c r="B6" i="11" s="1"/>
  <c r="Y684" i="9"/>
  <c r="X684" i="9"/>
  <c r="W684" i="9"/>
  <c r="V684" i="9"/>
  <c r="U684" i="9"/>
  <c r="T684" i="9"/>
  <c r="S684" i="9"/>
  <c r="R684" i="9"/>
  <c r="Q684" i="9"/>
  <c r="P684" i="9"/>
  <c r="Y683" i="9"/>
  <c r="X683" i="9"/>
  <c r="W683" i="9"/>
  <c r="V683" i="9"/>
  <c r="U683" i="9"/>
  <c r="T683" i="9"/>
  <c r="S683" i="9"/>
  <c r="R683" i="9"/>
  <c r="Q683" i="9"/>
  <c r="P683" i="9"/>
  <c r="Y682" i="9"/>
  <c r="X682" i="9"/>
  <c r="W682" i="9"/>
  <c r="V682" i="9"/>
  <c r="U682" i="9"/>
  <c r="T682" i="9"/>
  <c r="S682" i="9"/>
  <c r="R682" i="9"/>
  <c r="Q682" i="9"/>
  <c r="P682" i="9"/>
  <c r="Y681" i="9"/>
  <c r="X681" i="9"/>
  <c r="W681" i="9"/>
  <c r="V681" i="9"/>
  <c r="U681" i="9"/>
  <c r="T681" i="9"/>
  <c r="S681" i="9"/>
  <c r="R681" i="9"/>
  <c r="Q681" i="9"/>
  <c r="P681" i="9"/>
  <c r="Y680" i="9"/>
  <c r="X680" i="9"/>
  <c r="W680" i="9"/>
  <c r="V680" i="9"/>
  <c r="U680" i="9"/>
  <c r="T680" i="9"/>
  <c r="S680" i="9"/>
  <c r="R680" i="9"/>
  <c r="Q680" i="9"/>
  <c r="P680" i="9"/>
  <c r="Y679" i="9"/>
  <c r="X679" i="9"/>
  <c r="W679" i="9"/>
  <c r="V679" i="9"/>
  <c r="U679" i="9"/>
  <c r="T679" i="9"/>
  <c r="S679" i="9"/>
  <c r="R679" i="9"/>
  <c r="Q679" i="9"/>
  <c r="P679" i="9"/>
  <c r="Y678" i="9"/>
  <c r="X678" i="9"/>
  <c r="W678" i="9"/>
  <c r="V678" i="9"/>
  <c r="U678" i="9"/>
  <c r="T678" i="9"/>
  <c r="S678" i="9"/>
  <c r="R678" i="9"/>
  <c r="Q678" i="9"/>
  <c r="P678" i="9"/>
  <c r="Y677" i="9"/>
  <c r="X677" i="9"/>
  <c r="W677" i="9"/>
  <c r="V677" i="9"/>
  <c r="U677" i="9"/>
  <c r="T677" i="9"/>
  <c r="S677" i="9"/>
  <c r="R677" i="9"/>
  <c r="Q677" i="9"/>
  <c r="P677" i="9"/>
  <c r="Y676" i="9"/>
  <c r="X676" i="9"/>
  <c r="W676" i="9"/>
  <c r="V676" i="9"/>
  <c r="U676" i="9"/>
  <c r="T676" i="9"/>
  <c r="S676" i="9"/>
  <c r="R676" i="9"/>
  <c r="Q676" i="9"/>
  <c r="P676" i="9"/>
  <c r="Y675" i="9"/>
  <c r="X675" i="9"/>
  <c r="W675" i="9"/>
  <c r="V675" i="9"/>
  <c r="U675" i="9"/>
  <c r="T675" i="9"/>
  <c r="S675" i="9"/>
  <c r="R675" i="9"/>
  <c r="Q675" i="9"/>
  <c r="P675" i="9"/>
  <c r="Y674" i="9"/>
  <c r="X674" i="9"/>
  <c r="W674" i="9"/>
  <c r="V674" i="9"/>
  <c r="U674" i="9"/>
  <c r="T674" i="9"/>
  <c r="S674" i="9"/>
  <c r="R674" i="9"/>
  <c r="Q674" i="9"/>
  <c r="P674" i="9"/>
  <c r="Y673" i="9"/>
  <c r="X673" i="9"/>
  <c r="W673" i="9"/>
  <c r="V673" i="9"/>
  <c r="U673" i="9"/>
  <c r="T673" i="9"/>
  <c r="S673" i="9"/>
  <c r="R673" i="9"/>
  <c r="Q673" i="9"/>
  <c r="P673" i="9"/>
  <c r="Y672" i="9"/>
  <c r="X672" i="9"/>
  <c r="W672" i="9"/>
  <c r="V672" i="9"/>
  <c r="U672" i="9"/>
  <c r="T672" i="9"/>
  <c r="S672" i="9"/>
  <c r="R672" i="9"/>
  <c r="Q672" i="9"/>
  <c r="P672" i="9"/>
  <c r="Y671" i="9"/>
  <c r="X671" i="9"/>
  <c r="W671" i="9"/>
  <c r="V671" i="9"/>
  <c r="U671" i="9"/>
  <c r="T671" i="9"/>
  <c r="S671" i="9"/>
  <c r="R671" i="9"/>
  <c r="Q671" i="9"/>
  <c r="P671" i="9"/>
  <c r="Y670" i="9"/>
  <c r="X670" i="9"/>
  <c r="W670" i="9"/>
  <c r="V670" i="9"/>
  <c r="U670" i="9"/>
  <c r="T670" i="9"/>
  <c r="S670" i="9"/>
  <c r="R670" i="9"/>
  <c r="Q670" i="9"/>
  <c r="P670" i="9"/>
  <c r="Y669" i="9"/>
  <c r="X669" i="9"/>
  <c r="W669" i="9"/>
  <c r="V669" i="9"/>
  <c r="U669" i="9"/>
  <c r="T669" i="9"/>
  <c r="S669" i="9"/>
  <c r="R669" i="9"/>
  <c r="Q669" i="9"/>
  <c r="P669" i="9"/>
  <c r="Y668" i="9"/>
  <c r="X668" i="9"/>
  <c r="W668" i="9"/>
  <c r="V668" i="9"/>
  <c r="U668" i="9"/>
  <c r="T668" i="9"/>
  <c r="S668" i="9"/>
  <c r="R668" i="9"/>
  <c r="Q668" i="9"/>
  <c r="P668" i="9"/>
  <c r="Y667" i="9"/>
  <c r="X667" i="9"/>
  <c r="W667" i="9"/>
  <c r="V667" i="9"/>
  <c r="U667" i="9"/>
  <c r="T667" i="9"/>
  <c r="S667" i="9"/>
  <c r="R667" i="9"/>
  <c r="Q667" i="9"/>
  <c r="P667" i="9"/>
  <c r="Y666" i="9"/>
  <c r="X666" i="9"/>
  <c r="W666" i="9"/>
  <c r="V666" i="9"/>
  <c r="U666" i="9"/>
  <c r="T666" i="9"/>
  <c r="S666" i="9"/>
  <c r="R666" i="9"/>
  <c r="Q666" i="9"/>
  <c r="P666" i="9"/>
  <c r="Y665" i="9"/>
  <c r="X665" i="9"/>
  <c r="W665" i="9"/>
  <c r="V665" i="9"/>
  <c r="U665" i="9"/>
  <c r="T665" i="9"/>
  <c r="S665" i="9"/>
  <c r="R665" i="9"/>
  <c r="Q665" i="9"/>
  <c r="P665" i="9"/>
  <c r="Y664" i="9"/>
  <c r="X664" i="9"/>
  <c r="W664" i="9"/>
  <c r="V664" i="9"/>
  <c r="U664" i="9"/>
  <c r="T664" i="9"/>
  <c r="S664" i="9"/>
  <c r="R664" i="9"/>
  <c r="Q664" i="9"/>
  <c r="P664" i="9"/>
  <c r="Y663" i="9"/>
  <c r="X663" i="9"/>
  <c r="W663" i="9"/>
  <c r="V663" i="9"/>
  <c r="U663" i="9"/>
  <c r="T663" i="9"/>
  <c r="S663" i="9"/>
  <c r="R663" i="9"/>
  <c r="Q663" i="9"/>
  <c r="P663" i="9"/>
  <c r="Y662" i="9"/>
  <c r="X662" i="9"/>
  <c r="W662" i="9"/>
  <c r="V662" i="9"/>
  <c r="U662" i="9"/>
  <c r="T662" i="9"/>
  <c r="S662" i="9"/>
  <c r="R662" i="9"/>
  <c r="Q662" i="9"/>
  <c r="P662" i="9"/>
  <c r="Y661" i="9"/>
  <c r="X661" i="9"/>
  <c r="W661" i="9"/>
  <c r="V661" i="9"/>
  <c r="U661" i="9"/>
  <c r="T661" i="9"/>
  <c r="S661" i="9"/>
  <c r="R661" i="9"/>
  <c r="Q661" i="9"/>
  <c r="P661" i="9"/>
  <c r="Y660" i="9"/>
  <c r="X660" i="9"/>
  <c r="W660" i="9"/>
  <c r="V660" i="9"/>
  <c r="U660" i="9"/>
  <c r="T660" i="9"/>
  <c r="S660" i="9"/>
  <c r="R660" i="9"/>
  <c r="Q660" i="9"/>
  <c r="P660" i="9"/>
  <c r="Y659" i="9"/>
  <c r="X659" i="9"/>
  <c r="W659" i="9"/>
  <c r="V659" i="9"/>
  <c r="U659" i="9"/>
  <c r="T659" i="9"/>
  <c r="S659" i="9"/>
  <c r="R659" i="9"/>
  <c r="Q659" i="9"/>
  <c r="P659" i="9"/>
  <c r="Y658" i="9"/>
  <c r="X658" i="9"/>
  <c r="W658" i="9"/>
  <c r="V658" i="9"/>
  <c r="U658" i="9"/>
  <c r="T658" i="9"/>
  <c r="S658" i="9"/>
  <c r="R658" i="9"/>
  <c r="Q658" i="9"/>
  <c r="P658" i="9"/>
  <c r="Y657" i="9"/>
  <c r="X657" i="9"/>
  <c r="W657" i="9"/>
  <c r="V657" i="9"/>
  <c r="U657" i="9"/>
  <c r="T657" i="9"/>
  <c r="S657" i="9"/>
  <c r="R657" i="9"/>
  <c r="Q657" i="9"/>
  <c r="P657" i="9"/>
  <c r="Y656" i="9"/>
  <c r="X656" i="9"/>
  <c r="W656" i="9"/>
  <c r="V656" i="9"/>
  <c r="U656" i="9"/>
  <c r="T656" i="9"/>
  <c r="S656" i="9"/>
  <c r="R656" i="9"/>
  <c r="Q656" i="9"/>
  <c r="P656" i="9"/>
  <c r="Y655" i="9"/>
  <c r="X655" i="9"/>
  <c r="W655" i="9"/>
  <c r="V655" i="9"/>
  <c r="U655" i="9"/>
  <c r="T655" i="9"/>
  <c r="S655" i="9"/>
  <c r="R655" i="9"/>
  <c r="Q655" i="9"/>
  <c r="P655" i="9"/>
  <c r="Y654" i="9"/>
  <c r="X654" i="9"/>
  <c r="W654" i="9"/>
  <c r="V654" i="9"/>
  <c r="U654" i="9"/>
  <c r="T654" i="9"/>
  <c r="S654" i="9"/>
  <c r="R654" i="9"/>
  <c r="Q654" i="9"/>
  <c r="P654" i="9"/>
  <c r="Y653" i="9"/>
  <c r="X653" i="9"/>
  <c r="W653" i="9"/>
  <c r="V653" i="9"/>
  <c r="U653" i="9"/>
  <c r="T653" i="9"/>
  <c r="S653" i="9"/>
  <c r="R653" i="9"/>
  <c r="Q653" i="9"/>
  <c r="P653" i="9"/>
  <c r="Y652" i="9"/>
  <c r="X652" i="9"/>
  <c r="W652" i="9"/>
  <c r="V652" i="9"/>
  <c r="U652" i="9"/>
  <c r="T652" i="9"/>
  <c r="S652" i="9"/>
  <c r="R652" i="9"/>
  <c r="Q652" i="9"/>
  <c r="P652" i="9"/>
  <c r="Y651" i="9"/>
  <c r="X651" i="9"/>
  <c r="W651" i="9"/>
  <c r="V651" i="9"/>
  <c r="U651" i="9"/>
  <c r="T651" i="9"/>
  <c r="S651" i="9"/>
  <c r="R651" i="9"/>
  <c r="Q651" i="9"/>
  <c r="P651" i="9"/>
  <c r="Y650" i="9"/>
  <c r="X650" i="9"/>
  <c r="W650" i="9"/>
  <c r="V650" i="9"/>
  <c r="U650" i="9"/>
  <c r="T650" i="9"/>
  <c r="S650" i="9"/>
  <c r="R650" i="9"/>
  <c r="Q650" i="9"/>
  <c r="P650" i="9"/>
  <c r="Y649" i="9"/>
  <c r="X649" i="9"/>
  <c r="W649" i="9"/>
  <c r="V649" i="9"/>
  <c r="U649" i="9"/>
  <c r="T649" i="9"/>
  <c r="S649" i="9"/>
  <c r="R649" i="9"/>
  <c r="Q649" i="9"/>
  <c r="P649" i="9"/>
  <c r="Y648" i="9"/>
  <c r="X648" i="9"/>
  <c r="W648" i="9"/>
  <c r="V648" i="9"/>
  <c r="U648" i="9"/>
  <c r="T648" i="9"/>
  <c r="S648" i="9"/>
  <c r="R648" i="9"/>
  <c r="Q648" i="9"/>
  <c r="P648" i="9"/>
  <c r="Y647" i="9"/>
  <c r="X647" i="9"/>
  <c r="W647" i="9"/>
  <c r="V647" i="9"/>
  <c r="U647" i="9"/>
  <c r="T647" i="9"/>
  <c r="S647" i="9"/>
  <c r="R647" i="9"/>
  <c r="Q647" i="9"/>
  <c r="P647" i="9"/>
  <c r="Y646" i="9"/>
  <c r="X646" i="9"/>
  <c r="W646" i="9"/>
  <c r="V646" i="9"/>
  <c r="U646" i="9"/>
  <c r="T646" i="9"/>
  <c r="S646" i="9"/>
  <c r="R646" i="9"/>
  <c r="Q646" i="9"/>
  <c r="P646" i="9"/>
  <c r="Y645" i="9"/>
  <c r="X645" i="9"/>
  <c r="W645" i="9"/>
  <c r="V645" i="9"/>
  <c r="U645" i="9"/>
  <c r="T645" i="9"/>
  <c r="S645" i="9"/>
  <c r="R645" i="9"/>
  <c r="Q645" i="9"/>
  <c r="P645" i="9"/>
  <c r="Y644" i="9"/>
  <c r="X644" i="9"/>
  <c r="W644" i="9"/>
  <c r="V644" i="9"/>
  <c r="U644" i="9"/>
  <c r="T644" i="9"/>
  <c r="S644" i="9"/>
  <c r="R644" i="9"/>
  <c r="Q644" i="9"/>
  <c r="P644" i="9"/>
  <c r="Y643" i="9"/>
  <c r="X643" i="9"/>
  <c r="W643" i="9"/>
  <c r="V643" i="9"/>
  <c r="U643" i="9"/>
  <c r="T643" i="9"/>
  <c r="S643" i="9"/>
  <c r="R643" i="9"/>
  <c r="Q643" i="9"/>
  <c r="P643" i="9"/>
  <c r="Y642" i="9"/>
  <c r="X642" i="9"/>
  <c r="W642" i="9"/>
  <c r="V642" i="9"/>
  <c r="U642" i="9"/>
  <c r="T642" i="9"/>
  <c r="S642" i="9"/>
  <c r="R642" i="9"/>
  <c r="Q642" i="9"/>
  <c r="P642" i="9"/>
  <c r="Y641" i="9"/>
  <c r="X641" i="9"/>
  <c r="W641" i="9"/>
  <c r="V641" i="9"/>
  <c r="U641" i="9"/>
  <c r="T641" i="9"/>
  <c r="S641" i="9"/>
  <c r="R641" i="9"/>
  <c r="Q641" i="9"/>
  <c r="P641" i="9"/>
  <c r="Y640" i="9"/>
  <c r="X640" i="9"/>
  <c r="W640" i="9"/>
  <c r="V640" i="9"/>
  <c r="U640" i="9"/>
  <c r="T640" i="9"/>
  <c r="S640" i="9"/>
  <c r="R640" i="9"/>
  <c r="Q640" i="9"/>
  <c r="P640" i="9"/>
  <c r="Y639" i="9"/>
  <c r="X639" i="9"/>
  <c r="W639" i="9"/>
  <c r="V639" i="9"/>
  <c r="U639" i="9"/>
  <c r="T639" i="9"/>
  <c r="S639" i="9"/>
  <c r="R639" i="9"/>
  <c r="Q639" i="9"/>
  <c r="P639" i="9"/>
  <c r="Y638" i="9"/>
  <c r="X638" i="9"/>
  <c r="W638" i="9"/>
  <c r="V638" i="9"/>
  <c r="U638" i="9"/>
  <c r="T638" i="9"/>
  <c r="S638" i="9"/>
  <c r="R638" i="9"/>
  <c r="Q638" i="9"/>
  <c r="P638" i="9"/>
  <c r="Y637" i="9"/>
  <c r="X637" i="9"/>
  <c r="W637" i="9"/>
  <c r="V637" i="9"/>
  <c r="U637" i="9"/>
  <c r="T637" i="9"/>
  <c r="S637" i="9"/>
  <c r="R637" i="9"/>
  <c r="Q637" i="9"/>
  <c r="P637" i="9"/>
  <c r="Y636" i="9"/>
  <c r="X636" i="9"/>
  <c r="W636" i="9"/>
  <c r="V636" i="9"/>
  <c r="U636" i="9"/>
  <c r="T636" i="9"/>
  <c r="S636" i="9"/>
  <c r="R636" i="9"/>
  <c r="Q636" i="9"/>
  <c r="P636" i="9"/>
  <c r="Y635" i="9"/>
  <c r="X635" i="9"/>
  <c r="W635" i="9"/>
  <c r="V635" i="9"/>
  <c r="U635" i="9"/>
  <c r="T635" i="9"/>
  <c r="S635" i="9"/>
  <c r="R635" i="9"/>
  <c r="Q635" i="9"/>
  <c r="P635" i="9"/>
  <c r="Y634" i="9"/>
  <c r="X634" i="9"/>
  <c r="W634" i="9"/>
  <c r="V634" i="9"/>
  <c r="U634" i="9"/>
  <c r="T634" i="9"/>
  <c r="S634" i="9"/>
  <c r="R634" i="9"/>
  <c r="Q634" i="9"/>
  <c r="P634" i="9"/>
  <c r="Y633" i="9"/>
  <c r="X633" i="9"/>
  <c r="W633" i="9"/>
  <c r="V633" i="9"/>
  <c r="U633" i="9"/>
  <c r="T633" i="9"/>
  <c r="S633" i="9"/>
  <c r="R633" i="9"/>
  <c r="Q633" i="9"/>
  <c r="P633" i="9"/>
  <c r="Y632" i="9"/>
  <c r="X632" i="9"/>
  <c r="W632" i="9"/>
  <c r="V632" i="9"/>
  <c r="U632" i="9"/>
  <c r="T632" i="9"/>
  <c r="S632" i="9"/>
  <c r="R632" i="9"/>
  <c r="Q632" i="9"/>
  <c r="P632" i="9"/>
  <c r="Y631" i="9"/>
  <c r="X631" i="9"/>
  <c r="W631" i="9"/>
  <c r="V631" i="9"/>
  <c r="U631" i="9"/>
  <c r="T631" i="9"/>
  <c r="S631" i="9"/>
  <c r="R631" i="9"/>
  <c r="Q631" i="9"/>
  <c r="P631" i="9"/>
  <c r="Y630" i="9"/>
  <c r="X630" i="9"/>
  <c r="W630" i="9"/>
  <c r="V630" i="9"/>
  <c r="U630" i="9"/>
  <c r="T630" i="9"/>
  <c r="S630" i="9"/>
  <c r="R630" i="9"/>
  <c r="Q630" i="9"/>
  <c r="P630" i="9"/>
  <c r="Y629" i="9"/>
  <c r="X629" i="9"/>
  <c r="W629" i="9"/>
  <c r="V629" i="9"/>
  <c r="U629" i="9"/>
  <c r="T629" i="9"/>
  <c r="S629" i="9"/>
  <c r="R629" i="9"/>
  <c r="Q629" i="9"/>
  <c r="P629" i="9"/>
  <c r="Y628" i="9"/>
  <c r="X628" i="9"/>
  <c r="W628" i="9"/>
  <c r="V628" i="9"/>
  <c r="U628" i="9"/>
  <c r="T628" i="9"/>
  <c r="S628" i="9"/>
  <c r="R628" i="9"/>
  <c r="Q628" i="9"/>
  <c r="P628" i="9"/>
  <c r="Y627" i="9"/>
  <c r="X627" i="9"/>
  <c r="W627" i="9"/>
  <c r="V627" i="9"/>
  <c r="U627" i="9"/>
  <c r="T627" i="9"/>
  <c r="S627" i="9"/>
  <c r="R627" i="9"/>
  <c r="Q627" i="9"/>
  <c r="P627" i="9"/>
  <c r="Y626" i="9"/>
  <c r="X626" i="9"/>
  <c r="W626" i="9"/>
  <c r="V626" i="9"/>
  <c r="U626" i="9"/>
  <c r="T626" i="9"/>
  <c r="S626" i="9"/>
  <c r="R626" i="9"/>
  <c r="Q626" i="9"/>
  <c r="P626" i="9"/>
  <c r="Y625" i="9"/>
  <c r="X625" i="9"/>
  <c r="W625" i="9"/>
  <c r="V625" i="9"/>
  <c r="U625" i="9"/>
  <c r="T625" i="9"/>
  <c r="S625" i="9"/>
  <c r="R625" i="9"/>
  <c r="Q625" i="9"/>
  <c r="P625" i="9"/>
  <c r="Y624" i="9"/>
  <c r="X624" i="9"/>
  <c r="W624" i="9"/>
  <c r="V624" i="9"/>
  <c r="U624" i="9"/>
  <c r="T624" i="9"/>
  <c r="S624" i="9"/>
  <c r="R624" i="9"/>
  <c r="Q624" i="9"/>
  <c r="P624" i="9"/>
  <c r="Y623" i="9"/>
  <c r="X623" i="9"/>
  <c r="W623" i="9"/>
  <c r="V623" i="9"/>
  <c r="U623" i="9"/>
  <c r="T623" i="9"/>
  <c r="S623" i="9"/>
  <c r="R623" i="9"/>
  <c r="Q623" i="9"/>
  <c r="P623" i="9"/>
  <c r="Y622" i="9"/>
  <c r="X622" i="9"/>
  <c r="W622" i="9"/>
  <c r="V622" i="9"/>
  <c r="U622" i="9"/>
  <c r="T622" i="9"/>
  <c r="S622" i="9"/>
  <c r="R622" i="9"/>
  <c r="Q622" i="9"/>
  <c r="P622" i="9"/>
  <c r="Y621" i="9"/>
  <c r="X621" i="9"/>
  <c r="W621" i="9"/>
  <c r="V621" i="9"/>
  <c r="U621" i="9"/>
  <c r="T621" i="9"/>
  <c r="S621" i="9"/>
  <c r="R621" i="9"/>
  <c r="Q621" i="9"/>
  <c r="P621" i="9"/>
  <c r="Y620" i="9"/>
  <c r="X620" i="9"/>
  <c r="W620" i="9"/>
  <c r="V620" i="9"/>
  <c r="U620" i="9"/>
  <c r="T620" i="9"/>
  <c r="S620" i="9"/>
  <c r="R620" i="9"/>
  <c r="Q620" i="9"/>
  <c r="P620" i="9"/>
  <c r="Y619" i="9"/>
  <c r="X619" i="9"/>
  <c r="W619" i="9"/>
  <c r="V619" i="9"/>
  <c r="U619" i="9"/>
  <c r="T619" i="9"/>
  <c r="S619" i="9"/>
  <c r="R619" i="9"/>
  <c r="Q619" i="9"/>
  <c r="P619" i="9"/>
  <c r="Y618" i="9"/>
  <c r="X618" i="9"/>
  <c r="W618" i="9"/>
  <c r="V618" i="9"/>
  <c r="U618" i="9"/>
  <c r="T618" i="9"/>
  <c r="S618" i="9"/>
  <c r="R618" i="9"/>
  <c r="Q618" i="9"/>
  <c r="P618" i="9"/>
  <c r="Y617" i="9"/>
  <c r="X617" i="9"/>
  <c r="W617" i="9"/>
  <c r="V617" i="9"/>
  <c r="U617" i="9"/>
  <c r="T617" i="9"/>
  <c r="S617" i="9"/>
  <c r="R617" i="9"/>
  <c r="Q617" i="9"/>
  <c r="P617" i="9"/>
  <c r="Y616" i="9"/>
  <c r="X616" i="9"/>
  <c r="W616" i="9"/>
  <c r="V616" i="9"/>
  <c r="U616" i="9"/>
  <c r="T616" i="9"/>
  <c r="S616" i="9"/>
  <c r="R616" i="9"/>
  <c r="Q616" i="9"/>
  <c r="P616" i="9"/>
  <c r="Y615" i="9"/>
  <c r="X615" i="9"/>
  <c r="W615" i="9"/>
  <c r="V615" i="9"/>
  <c r="U615" i="9"/>
  <c r="T615" i="9"/>
  <c r="S615" i="9"/>
  <c r="R615" i="9"/>
  <c r="Q615" i="9"/>
  <c r="P615" i="9"/>
  <c r="Y614" i="9"/>
  <c r="X614" i="9"/>
  <c r="W614" i="9"/>
  <c r="V614" i="9"/>
  <c r="U614" i="9"/>
  <c r="T614" i="9"/>
  <c r="S614" i="9"/>
  <c r="R614" i="9"/>
  <c r="Q614" i="9"/>
  <c r="P614" i="9"/>
  <c r="Y613" i="9"/>
  <c r="X613" i="9"/>
  <c r="W613" i="9"/>
  <c r="V613" i="9"/>
  <c r="U613" i="9"/>
  <c r="T613" i="9"/>
  <c r="S613" i="9"/>
  <c r="R613" i="9"/>
  <c r="Q613" i="9"/>
  <c r="P613" i="9"/>
  <c r="Y612" i="9"/>
  <c r="X612" i="9"/>
  <c r="W612" i="9"/>
  <c r="V612" i="9"/>
  <c r="U612" i="9"/>
  <c r="T612" i="9"/>
  <c r="S612" i="9"/>
  <c r="R612" i="9"/>
  <c r="Q612" i="9"/>
  <c r="P612" i="9"/>
  <c r="Y611" i="9"/>
  <c r="X611" i="9"/>
  <c r="W611" i="9"/>
  <c r="V611" i="9"/>
  <c r="U611" i="9"/>
  <c r="T611" i="9"/>
  <c r="S611" i="9"/>
  <c r="R611" i="9"/>
  <c r="Q611" i="9"/>
  <c r="P611" i="9"/>
  <c r="Y610" i="9"/>
  <c r="X610" i="9"/>
  <c r="W610" i="9"/>
  <c r="V610" i="9"/>
  <c r="U610" i="9"/>
  <c r="T610" i="9"/>
  <c r="S610" i="9"/>
  <c r="R610" i="9"/>
  <c r="Q610" i="9"/>
  <c r="P610" i="9"/>
  <c r="Y609" i="9"/>
  <c r="X609" i="9"/>
  <c r="W609" i="9"/>
  <c r="V609" i="9"/>
  <c r="U609" i="9"/>
  <c r="T609" i="9"/>
  <c r="S609" i="9"/>
  <c r="R609" i="9"/>
  <c r="Q609" i="9"/>
  <c r="P609" i="9"/>
  <c r="Y608" i="9"/>
  <c r="X608" i="9"/>
  <c r="W608" i="9"/>
  <c r="V608" i="9"/>
  <c r="U608" i="9"/>
  <c r="T608" i="9"/>
  <c r="S608" i="9"/>
  <c r="R608" i="9"/>
  <c r="Q608" i="9"/>
  <c r="P608" i="9"/>
  <c r="Y607" i="9"/>
  <c r="X607" i="9"/>
  <c r="W607" i="9"/>
  <c r="V607" i="9"/>
  <c r="U607" i="9"/>
  <c r="T607" i="9"/>
  <c r="S607" i="9"/>
  <c r="R607" i="9"/>
  <c r="Q607" i="9"/>
  <c r="P607" i="9"/>
  <c r="Y606" i="9"/>
  <c r="X606" i="9"/>
  <c r="W606" i="9"/>
  <c r="V606" i="9"/>
  <c r="U606" i="9"/>
  <c r="T606" i="9"/>
  <c r="S606" i="9"/>
  <c r="R606" i="9"/>
  <c r="Q606" i="9"/>
  <c r="P606" i="9"/>
  <c r="Y605" i="9"/>
  <c r="X605" i="9"/>
  <c r="W605" i="9"/>
  <c r="V605" i="9"/>
  <c r="U605" i="9"/>
  <c r="T605" i="9"/>
  <c r="S605" i="9"/>
  <c r="R605" i="9"/>
  <c r="Q605" i="9"/>
  <c r="P605" i="9"/>
  <c r="Y604" i="9"/>
  <c r="X604" i="9"/>
  <c r="W604" i="9"/>
  <c r="V604" i="9"/>
  <c r="U604" i="9"/>
  <c r="T604" i="9"/>
  <c r="S604" i="9"/>
  <c r="R604" i="9"/>
  <c r="Q604" i="9"/>
  <c r="P604" i="9"/>
  <c r="Y603" i="9"/>
  <c r="X603" i="9"/>
  <c r="W603" i="9"/>
  <c r="V603" i="9"/>
  <c r="U603" i="9"/>
  <c r="T603" i="9"/>
  <c r="S603" i="9"/>
  <c r="R603" i="9"/>
  <c r="Q603" i="9"/>
  <c r="P603" i="9"/>
  <c r="Y602" i="9"/>
  <c r="X602" i="9"/>
  <c r="W602" i="9"/>
  <c r="V602" i="9"/>
  <c r="U602" i="9"/>
  <c r="T602" i="9"/>
  <c r="S602" i="9"/>
  <c r="R602" i="9"/>
  <c r="Q602" i="9"/>
  <c r="P602" i="9"/>
  <c r="Y601" i="9"/>
  <c r="X601" i="9"/>
  <c r="W601" i="9"/>
  <c r="V601" i="9"/>
  <c r="U601" i="9"/>
  <c r="T601" i="9"/>
  <c r="S601" i="9"/>
  <c r="R601" i="9"/>
  <c r="Q601" i="9"/>
  <c r="P601" i="9"/>
  <c r="Y600" i="9"/>
  <c r="X600" i="9"/>
  <c r="W600" i="9"/>
  <c r="V600" i="9"/>
  <c r="U600" i="9"/>
  <c r="T600" i="9"/>
  <c r="S600" i="9"/>
  <c r="R600" i="9"/>
  <c r="Q600" i="9"/>
  <c r="P600" i="9"/>
  <c r="Y599" i="9"/>
  <c r="X599" i="9"/>
  <c r="W599" i="9"/>
  <c r="V599" i="9"/>
  <c r="U599" i="9"/>
  <c r="T599" i="9"/>
  <c r="S599" i="9"/>
  <c r="R599" i="9"/>
  <c r="Q599" i="9"/>
  <c r="P599" i="9"/>
  <c r="Y598" i="9"/>
  <c r="X598" i="9"/>
  <c r="W598" i="9"/>
  <c r="V598" i="9"/>
  <c r="U598" i="9"/>
  <c r="T598" i="9"/>
  <c r="S598" i="9"/>
  <c r="R598" i="9"/>
  <c r="Q598" i="9"/>
  <c r="P598" i="9"/>
  <c r="Y597" i="9"/>
  <c r="X597" i="9"/>
  <c r="W597" i="9"/>
  <c r="V597" i="9"/>
  <c r="U597" i="9"/>
  <c r="T597" i="9"/>
  <c r="S597" i="9"/>
  <c r="R597" i="9"/>
  <c r="Q597" i="9"/>
  <c r="P597" i="9"/>
  <c r="Y596" i="9"/>
  <c r="X596" i="9"/>
  <c r="W596" i="9"/>
  <c r="V596" i="9"/>
  <c r="U596" i="9"/>
  <c r="T596" i="9"/>
  <c r="S596" i="9"/>
  <c r="R596" i="9"/>
  <c r="Q596" i="9"/>
  <c r="P596" i="9"/>
  <c r="Y595" i="9"/>
  <c r="X595" i="9"/>
  <c r="W595" i="9"/>
  <c r="V595" i="9"/>
  <c r="U595" i="9"/>
  <c r="T595" i="9"/>
  <c r="S595" i="9"/>
  <c r="R595" i="9"/>
  <c r="Q595" i="9"/>
  <c r="P595" i="9"/>
  <c r="Y594" i="9"/>
  <c r="X594" i="9"/>
  <c r="W594" i="9"/>
  <c r="V594" i="9"/>
  <c r="U594" i="9"/>
  <c r="T594" i="9"/>
  <c r="S594" i="9"/>
  <c r="R594" i="9"/>
  <c r="Q594" i="9"/>
  <c r="P594" i="9"/>
  <c r="Y593" i="9"/>
  <c r="X593" i="9"/>
  <c r="W593" i="9"/>
  <c r="V593" i="9"/>
  <c r="U593" i="9"/>
  <c r="T593" i="9"/>
  <c r="S593" i="9"/>
  <c r="R593" i="9"/>
  <c r="Q593" i="9"/>
  <c r="P593" i="9"/>
  <c r="Y592" i="9"/>
  <c r="X592" i="9"/>
  <c r="W592" i="9"/>
  <c r="V592" i="9"/>
  <c r="U592" i="9"/>
  <c r="T592" i="9"/>
  <c r="S592" i="9"/>
  <c r="R592" i="9"/>
  <c r="Q592" i="9"/>
  <c r="P592" i="9"/>
  <c r="Y591" i="9"/>
  <c r="X591" i="9"/>
  <c r="W591" i="9"/>
  <c r="V591" i="9"/>
  <c r="U591" i="9"/>
  <c r="T591" i="9"/>
  <c r="S591" i="9"/>
  <c r="R591" i="9"/>
  <c r="Q591" i="9"/>
  <c r="P591" i="9"/>
  <c r="Y590" i="9"/>
  <c r="X590" i="9"/>
  <c r="W590" i="9"/>
  <c r="V590" i="9"/>
  <c r="U590" i="9"/>
  <c r="T590" i="9"/>
  <c r="S590" i="9"/>
  <c r="R590" i="9"/>
  <c r="Q590" i="9"/>
  <c r="P590" i="9"/>
  <c r="Y589" i="9"/>
  <c r="X589" i="9"/>
  <c r="W589" i="9"/>
  <c r="V589" i="9"/>
  <c r="U589" i="9"/>
  <c r="T589" i="9"/>
  <c r="S589" i="9"/>
  <c r="R589" i="9"/>
  <c r="Q589" i="9"/>
  <c r="P589" i="9"/>
  <c r="Y588" i="9"/>
  <c r="X588" i="9"/>
  <c r="W588" i="9"/>
  <c r="V588" i="9"/>
  <c r="U588" i="9"/>
  <c r="T588" i="9"/>
  <c r="S588" i="9"/>
  <c r="R588" i="9"/>
  <c r="Q588" i="9"/>
  <c r="P588" i="9"/>
  <c r="Y587" i="9"/>
  <c r="X587" i="9"/>
  <c r="W587" i="9"/>
  <c r="V587" i="9"/>
  <c r="U587" i="9"/>
  <c r="T587" i="9"/>
  <c r="S587" i="9"/>
  <c r="R587" i="9"/>
  <c r="Q587" i="9"/>
  <c r="P587" i="9"/>
  <c r="Y586" i="9"/>
  <c r="X586" i="9"/>
  <c r="W586" i="9"/>
  <c r="V586" i="9"/>
  <c r="U586" i="9"/>
  <c r="T586" i="9"/>
  <c r="S586" i="9"/>
  <c r="R586" i="9"/>
  <c r="Q586" i="9"/>
  <c r="P586" i="9"/>
  <c r="Y585" i="9"/>
  <c r="X585" i="9"/>
  <c r="W585" i="9"/>
  <c r="V585" i="9"/>
  <c r="U585" i="9"/>
  <c r="T585" i="9"/>
  <c r="S585" i="9"/>
  <c r="R585" i="9"/>
  <c r="Q585" i="9"/>
  <c r="P585" i="9"/>
  <c r="Y584" i="9"/>
  <c r="X584" i="9"/>
  <c r="W584" i="9"/>
  <c r="V584" i="9"/>
  <c r="U584" i="9"/>
  <c r="T584" i="9"/>
  <c r="S584" i="9"/>
  <c r="R584" i="9"/>
  <c r="Q584" i="9"/>
  <c r="P584" i="9"/>
  <c r="Y583" i="9"/>
  <c r="X583" i="9"/>
  <c r="W583" i="9"/>
  <c r="V583" i="9"/>
  <c r="U583" i="9"/>
  <c r="T583" i="9"/>
  <c r="S583" i="9"/>
  <c r="R583" i="9"/>
  <c r="Q583" i="9"/>
  <c r="P583" i="9"/>
  <c r="Y582" i="9"/>
  <c r="X582" i="9"/>
  <c r="W582" i="9"/>
  <c r="V582" i="9"/>
  <c r="U582" i="9"/>
  <c r="T582" i="9"/>
  <c r="S582" i="9"/>
  <c r="R582" i="9"/>
  <c r="Q582" i="9"/>
  <c r="P582" i="9"/>
  <c r="Y581" i="9"/>
  <c r="X581" i="9"/>
  <c r="W581" i="9"/>
  <c r="V581" i="9"/>
  <c r="U581" i="9"/>
  <c r="T581" i="9"/>
  <c r="S581" i="9"/>
  <c r="R581" i="9"/>
  <c r="Q581" i="9"/>
  <c r="P581" i="9"/>
  <c r="Y580" i="9"/>
  <c r="X580" i="9"/>
  <c r="W580" i="9"/>
  <c r="V580" i="9"/>
  <c r="U580" i="9"/>
  <c r="T580" i="9"/>
  <c r="S580" i="9"/>
  <c r="R580" i="9"/>
  <c r="Q580" i="9"/>
  <c r="P580" i="9"/>
  <c r="Y579" i="9"/>
  <c r="X579" i="9"/>
  <c r="W579" i="9"/>
  <c r="V579" i="9"/>
  <c r="U579" i="9"/>
  <c r="T579" i="9"/>
  <c r="S579" i="9"/>
  <c r="R579" i="9"/>
  <c r="Q579" i="9"/>
  <c r="P579" i="9"/>
  <c r="Y578" i="9"/>
  <c r="X578" i="9"/>
  <c r="W578" i="9"/>
  <c r="V578" i="9"/>
  <c r="U578" i="9"/>
  <c r="T578" i="9"/>
  <c r="S578" i="9"/>
  <c r="R578" i="9"/>
  <c r="Q578" i="9"/>
  <c r="P578" i="9"/>
  <c r="Y577" i="9"/>
  <c r="X577" i="9"/>
  <c r="W577" i="9"/>
  <c r="V577" i="9"/>
  <c r="U577" i="9"/>
  <c r="T577" i="9"/>
  <c r="S577" i="9"/>
  <c r="R577" i="9"/>
  <c r="Q577" i="9"/>
  <c r="P577" i="9"/>
  <c r="Y576" i="9"/>
  <c r="X576" i="9"/>
  <c r="W576" i="9"/>
  <c r="V576" i="9"/>
  <c r="U576" i="9"/>
  <c r="T576" i="9"/>
  <c r="S576" i="9"/>
  <c r="R576" i="9"/>
  <c r="Q576" i="9"/>
  <c r="P576" i="9"/>
  <c r="Y575" i="9"/>
  <c r="X575" i="9"/>
  <c r="W575" i="9"/>
  <c r="V575" i="9"/>
  <c r="U575" i="9"/>
  <c r="T575" i="9"/>
  <c r="S575" i="9"/>
  <c r="R575" i="9"/>
  <c r="Q575" i="9"/>
  <c r="P575" i="9"/>
  <c r="Y574" i="9"/>
  <c r="X574" i="9"/>
  <c r="W574" i="9"/>
  <c r="V574" i="9"/>
  <c r="U574" i="9"/>
  <c r="T574" i="9"/>
  <c r="S574" i="9"/>
  <c r="R574" i="9"/>
  <c r="Q574" i="9"/>
  <c r="P574" i="9"/>
  <c r="Y573" i="9"/>
  <c r="X573" i="9"/>
  <c r="W573" i="9"/>
  <c r="V573" i="9"/>
  <c r="U573" i="9"/>
  <c r="T573" i="9"/>
  <c r="S573" i="9"/>
  <c r="R573" i="9"/>
  <c r="Q573" i="9"/>
  <c r="P573" i="9"/>
  <c r="Y572" i="9"/>
  <c r="X572" i="9"/>
  <c r="W572" i="9"/>
  <c r="V572" i="9"/>
  <c r="U572" i="9"/>
  <c r="T572" i="9"/>
  <c r="S572" i="9"/>
  <c r="R572" i="9"/>
  <c r="Q572" i="9"/>
  <c r="P572" i="9"/>
  <c r="Y571" i="9"/>
  <c r="X571" i="9"/>
  <c r="W571" i="9"/>
  <c r="V571" i="9"/>
  <c r="U571" i="9"/>
  <c r="T571" i="9"/>
  <c r="S571" i="9"/>
  <c r="R571" i="9"/>
  <c r="Q571" i="9"/>
  <c r="P571" i="9"/>
  <c r="Y570" i="9"/>
  <c r="X570" i="9"/>
  <c r="W570" i="9"/>
  <c r="V570" i="9"/>
  <c r="U570" i="9"/>
  <c r="T570" i="9"/>
  <c r="S570" i="9"/>
  <c r="R570" i="9"/>
  <c r="Q570" i="9"/>
  <c r="P570" i="9"/>
  <c r="Y569" i="9"/>
  <c r="X569" i="9"/>
  <c r="W569" i="9"/>
  <c r="V569" i="9"/>
  <c r="U569" i="9"/>
  <c r="T569" i="9"/>
  <c r="S569" i="9"/>
  <c r="R569" i="9"/>
  <c r="Q569" i="9"/>
  <c r="P569" i="9"/>
  <c r="Y568" i="9"/>
  <c r="X568" i="9"/>
  <c r="W568" i="9"/>
  <c r="V568" i="9"/>
  <c r="U568" i="9"/>
  <c r="T568" i="9"/>
  <c r="S568" i="9"/>
  <c r="R568" i="9"/>
  <c r="Q568" i="9"/>
  <c r="P568" i="9"/>
  <c r="Y567" i="9"/>
  <c r="X567" i="9"/>
  <c r="W567" i="9"/>
  <c r="V567" i="9"/>
  <c r="U567" i="9"/>
  <c r="T567" i="9"/>
  <c r="S567" i="9"/>
  <c r="R567" i="9"/>
  <c r="Q567" i="9"/>
  <c r="P567" i="9"/>
  <c r="Y566" i="9"/>
  <c r="X566" i="9"/>
  <c r="W566" i="9"/>
  <c r="V566" i="9"/>
  <c r="U566" i="9"/>
  <c r="T566" i="9"/>
  <c r="S566" i="9"/>
  <c r="R566" i="9"/>
  <c r="Q566" i="9"/>
  <c r="P566" i="9"/>
  <c r="Y565" i="9"/>
  <c r="X565" i="9"/>
  <c r="W565" i="9"/>
  <c r="V565" i="9"/>
  <c r="U565" i="9"/>
  <c r="T565" i="9"/>
  <c r="S565" i="9"/>
  <c r="R565" i="9"/>
  <c r="Q565" i="9"/>
  <c r="P565" i="9"/>
  <c r="Y564" i="9"/>
  <c r="X564" i="9"/>
  <c r="W564" i="9"/>
  <c r="V564" i="9"/>
  <c r="U564" i="9"/>
  <c r="T564" i="9"/>
  <c r="S564" i="9"/>
  <c r="R564" i="9"/>
  <c r="Q564" i="9"/>
  <c r="P564" i="9"/>
  <c r="Y563" i="9"/>
  <c r="X563" i="9"/>
  <c r="W563" i="9"/>
  <c r="V563" i="9"/>
  <c r="U563" i="9"/>
  <c r="T563" i="9"/>
  <c r="S563" i="9"/>
  <c r="R563" i="9"/>
  <c r="Q563" i="9"/>
  <c r="P563" i="9"/>
  <c r="Y562" i="9"/>
  <c r="X562" i="9"/>
  <c r="W562" i="9"/>
  <c r="V562" i="9"/>
  <c r="U562" i="9"/>
  <c r="T562" i="9"/>
  <c r="S562" i="9"/>
  <c r="R562" i="9"/>
  <c r="Q562" i="9"/>
  <c r="P562" i="9"/>
  <c r="Y561" i="9"/>
  <c r="X561" i="9"/>
  <c r="W561" i="9"/>
  <c r="V561" i="9"/>
  <c r="U561" i="9"/>
  <c r="T561" i="9"/>
  <c r="S561" i="9"/>
  <c r="R561" i="9"/>
  <c r="Q561" i="9"/>
  <c r="P561" i="9"/>
  <c r="Y560" i="9"/>
  <c r="X560" i="9"/>
  <c r="W560" i="9"/>
  <c r="V560" i="9"/>
  <c r="U560" i="9"/>
  <c r="T560" i="9"/>
  <c r="S560" i="9"/>
  <c r="R560" i="9"/>
  <c r="Q560" i="9"/>
  <c r="P560" i="9"/>
  <c r="Y559" i="9"/>
  <c r="X559" i="9"/>
  <c r="W559" i="9"/>
  <c r="V559" i="9"/>
  <c r="U559" i="9"/>
  <c r="T559" i="9"/>
  <c r="S559" i="9"/>
  <c r="R559" i="9"/>
  <c r="Q559" i="9"/>
  <c r="P559" i="9"/>
  <c r="Y558" i="9"/>
  <c r="X558" i="9"/>
  <c r="W558" i="9"/>
  <c r="V558" i="9"/>
  <c r="U558" i="9"/>
  <c r="T558" i="9"/>
  <c r="S558" i="9"/>
  <c r="R558" i="9"/>
  <c r="Q558" i="9"/>
  <c r="P558" i="9"/>
  <c r="Y557" i="9"/>
  <c r="X557" i="9"/>
  <c r="W557" i="9"/>
  <c r="V557" i="9"/>
  <c r="U557" i="9"/>
  <c r="T557" i="9"/>
  <c r="S557" i="9"/>
  <c r="R557" i="9"/>
  <c r="Q557" i="9"/>
  <c r="P557" i="9"/>
  <c r="Y556" i="9"/>
  <c r="X556" i="9"/>
  <c r="W556" i="9"/>
  <c r="V556" i="9"/>
  <c r="U556" i="9"/>
  <c r="T556" i="9"/>
  <c r="S556" i="9"/>
  <c r="R556" i="9"/>
  <c r="Q556" i="9"/>
  <c r="P556" i="9"/>
  <c r="Y555" i="9"/>
  <c r="X555" i="9"/>
  <c r="W555" i="9"/>
  <c r="V555" i="9"/>
  <c r="U555" i="9"/>
  <c r="T555" i="9"/>
  <c r="S555" i="9"/>
  <c r="R555" i="9"/>
  <c r="Q555" i="9"/>
  <c r="P555" i="9"/>
  <c r="Y554" i="9"/>
  <c r="X554" i="9"/>
  <c r="W554" i="9"/>
  <c r="V554" i="9"/>
  <c r="U554" i="9"/>
  <c r="T554" i="9"/>
  <c r="S554" i="9"/>
  <c r="R554" i="9"/>
  <c r="Q554" i="9"/>
  <c r="P554" i="9"/>
  <c r="Y553" i="9"/>
  <c r="X553" i="9"/>
  <c r="W553" i="9"/>
  <c r="V553" i="9"/>
  <c r="U553" i="9"/>
  <c r="T553" i="9"/>
  <c r="S553" i="9"/>
  <c r="R553" i="9"/>
  <c r="Q553" i="9"/>
  <c r="P553" i="9"/>
  <c r="Y552" i="9"/>
  <c r="X552" i="9"/>
  <c r="W552" i="9"/>
  <c r="V552" i="9"/>
  <c r="U552" i="9"/>
  <c r="T552" i="9"/>
  <c r="S552" i="9"/>
  <c r="R552" i="9"/>
  <c r="Q552" i="9"/>
  <c r="P552" i="9"/>
  <c r="Y551" i="9"/>
  <c r="X551" i="9"/>
  <c r="W551" i="9"/>
  <c r="V551" i="9"/>
  <c r="U551" i="9"/>
  <c r="T551" i="9"/>
  <c r="S551" i="9"/>
  <c r="R551" i="9"/>
  <c r="Q551" i="9"/>
  <c r="P551" i="9"/>
  <c r="Y550" i="9"/>
  <c r="X550" i="9"/>
  <c r="W550" i="9"/>
  <c r="V550" i="9"/>
  <c r="U550" i="9"/>
  <c r="T550" i="9"/>
  <c r="S550" i="9"/>
  <c r="R550" i="9"/>
  <c r="Q550" i="9"/>
  <c r="P550" i="9"/>
  <c r="Y549" i="9"/>
  <c r="X549" i="9"/>
  <c r="W549" i="9"/>
  <c r="V549" i="9"/>
  <c r="U549" i="9"/>
  <c r="T549" i="9"/>
  <c r="S549" i="9"/>
  <c r="R549" i="9"/>
  <c r="Q549" i="9"/>
  <c r="P549" i="9"/>
  <c r="Y548" i="9"/>
  <c r="X548" i="9"/>
  <c r="W548" i="9"/>
  <c r="V548" i="9"/>
  <c r="U548" i="9"/>
  <c r="T548" i="9"/>
  <c r="S548" i="9"/>
  <c r="R548" i="9"/>
  <c r="Q548" i="9"/>
  <c r="P548" i="9"/>
  <c r="Y547" i="9"/>
  <c r="X547" i="9"/>
  <c r="W547" i="9"/>
  <c r="V547" i="9"/>
  <c r="U547" i="9"/>
  <c r="T547" i="9"/>
  <c r="S547" i="9"/>
  <c r="R547" i="9"/>
  <c r="Q547" i="9"/>
  <c r="P547" i="9"/>
  <c r="Y546" i="9"/>
  <c r="X546" i="9"/>
  <c r="W546" i="9"/>
  <c r="V546" i="9"/>
  <c r="U546" i="9"/>
  <c r="T546" i="9"/>
  <c r="S546" i="9"/>
  <c r="R546" i="9"/>
  <c r="Q546" i="9"/>
  <c r="P546" i="9"/>
  <c r="Y545" i="9"/>
  <c r="X545" i="9"/>
  <c r="W545" i="9"/>
  <c r="V545" i="9"/>
  <c r="U545" i="9"/>
  <c r="T545" i="9"/>
  <c r="S545" i="9"/>
  <c r="R545" i="9"/>
  <c r="Q545" i="9"/>
  <c r="P545" i="9"/>
  <c r="Y544" i="9"/>
  <c r="X544" i="9"/>
  <c r="W544" i="9"/>
  <c r="V544" i="9"/>
  <c r="U544" i="9"/>
  <c r="T544" i="9"/>
  <c r="S544" i="9"/>
  <c r="R544" i="9"/>
  <c r="Q544" i="9"/>
  <c r="P544" i="9"/>
  <c r="Y543" i="9"/>
  <c r="X543" i="9"/>
  <c r="W543" i="9"/>
  <c r="V543" i="9"/>
  <c r="U543" i="9"/>
  <c r="T543" i="9"/>
  <c r="S543" i="9"/>
  <c r="R543" i="9"/>
  <c r="Q543" i="9"/>
  <c r="P543" i="9"/>
  <c r="Y542" i="9"/>
  <c r="X542" i="9"/>
  <c r="W542" i="9"/>
  <c r="V542" i="9"/>
  <c r="U542" i="9"/>
  <c r="T542" i="9"/>
  <c r="S542" i="9"/>
  <c r="R542" i="9"/>
  <c r="Q542" i="9"/>
  <c r="P542" i="9"/>
  <c r="Y541" i="9"/>
  <c r="X541" i="9"/>
  <c r="W541" i="9"/>
  <c r="V541" i="9"/>
  <c r="U541" i="9"/>
  <c r="T541" i="9"/>
  <c r="S541" i="9"/>
  <c r="R541" i="9"/>
  <c r="Q541" i="9"/>
  <c r="P541" i="9"/>
  <c r="Y540" i="9"/>
  <c r="X540" i="9"/>
  <c r="W540" i="9"/>
  <c r="V540" i="9"/>
  <c r="U540" i="9"/>
  <c r="T540" i="9"/>
  <c r="S540" i="9"/>
  <c r="R540" i="9"/>
  <c r="Q540" i="9"/>
  <c r="P540" i="9"/>
  <c r="Y539" i="9"/>
  <c r="X539" i="9"/>
  <c r="W539" i="9"/>
  <c r="V539" i="9"/>
  <c r="U539" i="9"/>
  <c r="T539" i="9"/>
  <c r="S539" i="9"/>
  <c r="R539" i="9"/>
  <c r="Q539" i="9"/>
  <c r="P539" i="9"/>
  <c r="Y538" i="9"/>
  <c r="X538" i="9"/>
  <c r="W538" i="9"/>
  <c r="V538" i="9"/>
  <c r="U538" i="9"/>
  <c r="T538" i="9"/>
  <c r="S538" i="9"/>
  <c r="R538" i="9"/>
  <c r="Q538" i="9"/>
  <c r="P538" i="9"/>
  <c r="Y537" i="9"/>
  <c r="X537" i="9"/>
  <c r="W537" i="9"/>
  <c r="V537" i="9"/>
  <c r="U537" i="9"/>
  <c r="T537" i="9"/>
  <c r="S537" i="9"/>
  <c r="R537" i="9"/>
  <c r="Q537" i="9"/>
  <c r="P537" i="9"/>
  <c r="Y536" i="9"/>
  <c r="X536" i="9"/>
  <c r="W536" i="9"/>
  <c r="V536" i="9"/>
  <c r="U536" i="9"/>
  <c r="T536" i="9"/>
  <c r="S536" i="9"/>
  <c r="R536" i="9"/>
  <c r="Q536" i="9"/>
  <c r="P536" i="9"/>
  <c r="Y535" i="9"/>
  <c r="X535" i="9"/>
  <c r="W535" i="9"/>
  <c r="V535" i="9"/>
  <c r="U535" i="9"/>
  <c r="T535" i="9"/>
  <c r="S535" i="9"/>
  <c r="R535" i="9"/>
  <c r="Q535" i="9"/>
  <c r="P535" i="9"/>
  <c r="Y534" i="9"/>
  <c r="X534" i="9"/>
  <c r="W534" i="9"/>
  <c r="V534" i="9"/>
  <c r="U534" i="9"/>
  <c r="T534" i="9"/>
  <c r="S534" i="9"/>
  <c r="R534" i="9"/>
  <c r="Q534" i="9"/>
  <c r="P534" i="9"/>
  <c r="Y533" i="9"/>
  <c r="X533" i="9"/>
  <c r="W533" i="9"/>
  <c r="V533" i="9"/>
  <c r="U533" i="9"/>
  <c r="T533" i="9"/>
  <c r="S533" i="9"/>
  <c r="R533" i="9"/>
  <c r="Q533" i="9"/>
  <c r="P533" i="9"/>
  <c r="Y532" i="9"/>
  <c r="X532" i="9"/>
  <c r="W532" i="9"/>
  <c r="V532" i="9"/>
  <c r="U532" i="9"/>
  <c r="T532" i="9"/>
  <c r="S532" i="9"/>
  <c r="R532" i="9"/>
  <c r="Q532" i="9"/>
  <c r="P532" i="9"/>
  <c r="Y531" i="9"/>
  <c r="X531" i="9"/>
  <c r="W531" i="9"/>
  <c r="V531" i="9"/>
  <c r="U531" i="9"/>
  <c r="T531" i="9"/>
  <c r="S531" i="9"/>
  <c r="R531" i="9"/>
  <c r="Q531" i="9"/>
  <c r="P531" i="9"/>
  <c r="Y530" i="9"/>
  <c r="X530" i="9"/>
  <c r="W530" i="9"/>
  <c r="V530" i="9"/>
  <c r="U530" i="9"/>
  <c r="T530" i="9"/>
  <c r="S530" i="9"/>
  <c r="R530" i="9"/>
  <c r="Q530" i="9"/>
  <c r="P530" i="9"/>
  <c r="Y529" i="9"/>
  <c r="X529" i="9"/>
  <c r="W529" i="9"/>
  <c r="V529" i="9"/>
  <c r="U529" i="9"/>
  <c r="T529" i="9"/>
  <c r="S529" i="9"/>
  <c r="R529" i="9"/>
  <c r="Q529" i="9"/>
  <c r="P529" i="9"/>
  <c r="Y528" i="9"/>
  <c r="X528" i="9"/>
  <c r="W528" i="9"/>
  <c r="V528" i="9"/>
  <c r="U528" i="9"/>
  <c r="T528" i="9"/>
  <c r="S528" i="9"/>
  <c r="R528" i="9"/>
  <c r="Q528" i="9"/>
  <c r="P528" i="9"/>
  <c r="Y527" i="9"/>
  <c r="X527" i="9"/>
  <c r="W527" i="9"/>
  <c r="V527" i="9"/>
  <c r="U527" i="9"/>
  <c r="T527" i="9"/>
  <c r="S527" i="9"/>
  <c r="R527" i="9"/>
  <c r="Q527" i="9"/>
  <c r="P527" i="9"/>
  <c r="Y526" i="9"/>
  <c r="X526" i="9"/>
  <c r="W526" i="9"/>
  <c r="V526" i="9"/>
  <c r="U526" i="9"/>
  <c r="T526" i="9"/>
  <c r="S526" i="9"/>
  <c r="R526" i="9"/>
  <c r="Q526" i="9"/>
  <c r="P526" i="9"/>
  <c r="Y525" i="9"/>
  <c r="X525" i="9"/>
  <c r="W525" i="9"/>
  <c r="V525" i="9"/>
  <c r="U525" i="9"/>
  <c r="T525" i="9"/>
  <c r="S525" i="9"/>
  <c r="R525" i="9"/>
  <c r="Q525" i="9"/>
  <c r="P525" i="9"/>
  <c r="Y524" i="9"/>
  <c r="X524" i="9"/>
  <c r="W524" i="9"/>
  <c r="V524" i="9"/>
  <c r="U524" i="9"/>
  <c r="T524" i="9"/>
  <c r="S524" i="9"/>
  <c r="R524" i="9"/>
  <c r="Q524" i="9"/>
  <c r="P524" i="9"/>
  <c r="Y523" i="9"/>
  <c r="X523" i="9"/>
  <c r="W523" i="9"/>
  <c r="V523" i="9"/>
  <c r="U523" i="9"/>
  <c r="T523" i="9"/>
  <c r="S523" i="9"/>
  <c r="R523" i="9"/>
  <c r="Q523" i="9"/>
  <c r="P523" i="9"/>
  <c r="Y522" i="9"/>
  <c r="X522" i="9"/>
  <c r="W522" i="9"/>
  <c r="V522" i="9"/>
  <c r="U522" i="9"/>
  <c r="T522" i="9"/>
  <c r="S522" i="9"/>
  <c r="R522" i="9"/>
  <c r="Q522" i="9"/>
  <c r="P522" i="9"/>
  <c r="Y521" i="9"/>
  <c r="X521" i="9"/>
  <c r="W521" i="9"/>
  <c r="V521" i="9"/>
  <c r="U521" i="9"/>
  <c r="T521" i="9"/>
  <c r="S521" i="9"/>
  <c r="R521" i="9"/>
  <c r="Q521" i="9"/>
  <c r="P521" i="9"/>
  <c r="Y520" i="9"/>
  <c r="X520" i="9"/>
  <c r="W520" i="9"/>
  <c r="V520" i="9"/>
  <c r="U520" i="9"/>
  <c r="T520" i="9"/>
  <c r="S520" i="9"/>
  <c r="R520" i="9"/>
  <c r="Q520" i="9"/>
  <c r="P520" i="9"/>
  <c r="Y519" i="9"/>
  <c r="X519" i="9"/>
  <c r="W519" i="9"/>
  <c r="V519" i="9"/>
  <c r="U519" i="9"/>
  <c r="T519" i="9"/>
  <c r="S519" i="9"/>
  <c r="R519" i="9"/>
  <c r="Q519" i="9"/>
  <c r="P519" i="9"/>
  <c r="Y518" i="9"/>
  <c r="X518" i="9"/>
  <c r="W518" i="9"/>
  <c r="V518" i="9"/>
  <c r="U518" i="9"/>
  <c r="T518" i="9"/>
  <c r="S518" i="9"/>
  <c r="R518" i="9"/>
  <c r="Q518" i="9"/>
  <c r="P518" i="9"/>
  <c r="Y517" i="9"/>
  <c r="X517" i="9"/>
  <c r="W517" i="9"/>
  <c r="V517" i="9"/>
  <c r="U517" i="9"/>
  <c r="T517" i="9"/>
  <c r="S517" i="9"/>
  <c r="R517" i="9"/>
  <c r="Q517" i="9"/>
  <c r="P517" i="9"/>
  <c r="Y516" i="9"/>
  <c r="X516" i="9"/>
  <c r="W516" i="9"/>
  <c r="V516" i="9"/>
  <c r="U516" i="9"/>
  <c r="T516" i="9"/>
  <c r="S516" i="9"/>
  <c r="R516" i="9"/>
  <c r="Q516" i="9"/>
  <c r="P516" i="9"/>
  <c r="Y515" i="9"/>
  <c r="X515" i="9"/>
  <c r="W515" i="9"/>
  <c r="V515" i="9"/>
  <c r="U515" i="9"/>
  <c r="T515" i="9"/>
  <c r="S515" i="9"/>
  <c r="R515" i="9"/>
  <c r="Q515" i="9"/>
  <c r="P515" i="9"/>
  <c r="Y514" i="9"/>
  <c r="X514" i="9"/>
  <c r="W514" i="9"/>
  <c r="V514" i="9"/>
  <c r="U514" i="9"/>
  <c r="T514" i="9"/>
  <c r="S514" i="9"/>
  <c r="R514" i="9"/>
  <c r="Q514" i="9"/>
  <c r="P514" i="9"/>
  <c r="Y513" i="9"/>
  <c r="X513" i="9"/>
  <c r="W513" i="9"/>
  <c r="V513" i="9"/>
  <c r="U513" i="9"/>
  <c r="T513" i="9"/>
  <c r="S513" i="9"/>
  <c r="R513" i="9"/>
  <c r="Q513" i="9"/>
  <c r="P513" i="9"/>
  <c r="Y512" i="9"/>
  <c r="X512" i="9"/>
  <c r="W512" i="9"/>
  <c r="V512" i="9"/>
  <c r="U512" i="9"/>
  <c r="T512" i="9"/>
  <c r="S512" i="9"/>
  <c r="R512" i="9"/>
  <c r="Q512" i="9"/>
  <c r="P512" i="9"/>
  <c r="Y511" i="9"/>
  <c r="X511" i="9"/>
  <c r="W511" i="9"/>
  <c r="V511" i="9"/>
  <c r="U511" i="9"/>
  <c r="T511" i="9"/>
  <c r="S511" i="9"/>
  <c r="R511" i="9"/>
  <c r="Q511" i="9"/>
  <c r="P511" i="9"/>
  <c r="Y510" i="9"/>
  <c r="X510" i="9"/>
  <c r="W510" i="9"/>
  <c r="V510" i="9"/>
  <c r="U510" i="9"/>
  <c r="T510" i="9"/>
  <c r="S510" i="9"/>
  <c r="R510" i="9"/>
  <c r="Q510" i="9"/>
  <c r="P510" i="9"/>
  <c r="Y509" i="9"/>
  <c r="X509" i="9"/>
  <c r="W509" i="9"/>
  <c r="V509" i="9"/>
  <c r="U509" i="9"/>
  <c r="T509" i="9"/>
  <c r="S509" i="9"/>
  <c r="R509" i="9"/>
  <c r="Q509" i="9"/>
  <c r="P509" i="9"/>
  <c r="Y508" i="9"/>
  <c r="X508" i="9"/>
  <c r="W508" i="9"/>
  <c r="V508" i="9"/>
  <c r="U508" i="9"/>
  <c r="T508" i="9"/>
  <c r="S508" i="9"/>
  <c r="R508" i="9"/>
  <c r="Q508" i="9"/>
  <c r="P508" i="9"/>
  <c r="Y507" i="9"/>
  <c r="X507" i="9"/>
  <c r="W507" i="9"/>
  <c r="V507" i="9"/>
  <c r="U507" i="9"/>
  <c r="T507" i="9"/>
  <c r="S507" i="9"/>
  <c r="R507" i="9"/>
  <c r="Q507" i="9"/>
  <c r="P507" i="9"/>
  <c r="Y506" i="9"/>
  <c r="X506" i="9"/>
  <c r="W506" i="9"/>
  <c r="V506" i="9"/>
  <c r="U506" i="9"/>
  <c r="T506" i="9"/>
  <c r="S506" i="9"/>
  <c r="R506" i="9"/>
  <c r="Q506" i="9"/>
  <c r="P506" i="9"/>
  <c r="Y505" i="9"/>
  <c r="X505" i="9"/>
  <c r="W505" i="9"/>
  <c r="V505" i="9"/>
  <c r="U505" i="9"/>
  <c r="T505" i="9"/>
  <c r="S505" i="9"/>
  <c r="R505" i="9"/>
  <c r="Q505" i="9"/>
  <c r="P505" i="9"/>
  <c r="Y504" i="9"/>
  <c r="X504" i="9"/>
  <c r="W504" i="9"/>
  <c r="V504" i="9"/>
  <c r="U504" i="9"/>
  <c r="T504" i="9"/>
  <c r="S504" i="9"/>
  <c r="R504" i="9"/>
  <c r="Q504" i="9"/>
  <c r="P504" i="9"/>
  <c r="Y503" i="9"/>
  <c r="X503" i="9"/>
  <c r="W503" i="9"/>
  <c r="V503" i="9"/>
  <c r="U503" i="9"/>
  <c r="T503" i="9"/>
  <c r="S503" i="9"/>
  <c r="R503" i="9"/>
  <c r="Q503" i="9"/>
  <c r="P503" i="9"/>
  <c r="Y502" i="9"/>
  <c r="X502" i="9"/>
  <c r="W502" i="9"/>
  <c r="V502" i="9"/>
  <c r="U502" i="9"/>
  <c r="T502" i="9"/>
  <c r="S502" i="9"/>
  <c r="R502" i="9"/>
  <c r="Q502" i="9"/>
  <c r="P502" i="9"/>
  <c r="Y501" i="9"/>
  <c r="X501" i="9"/>
  <c r="W501" i="9"/>
  <c r="V501" i="9"/>
  <c r="U501" i="9"/>
  <c r="T501" i="9"/>
  <c r="S501" i="9"/>
  <c r="R501" i="9"/>
  <c r="Q501" i="9"/>
  <c r="P501" i="9"/>
  <c r="Y500" i="9"/>
  <c r="X500" i="9"/>
  <c r="W500" i="9"/>
  <c r="V500" i="9"/>
  <c r="U500" i="9"/>
  <c r="T500" i="9"/>
  <c r="S500" i="9"/>
  <c r="R500" i="9"/>
  <c r="Q500" i="9"/>
  <c r="P500" i="9"/>
  <c r="Y499" i="9"/>
  <c r="X499" i="9"/>
  <c r="W499" i="9"/>
  <c r="V499" i="9"/>
  <c r="U499" i="9"/>
  <c r="T499" i="9"/>
  <c r="S499" i="9"/>
  <c r="R499" i="9"/>
  <c r="Q499" i="9"/>
  <c r="P499" i="9"/>
  <c r="Y498" i="9"/>
  <c r="X498" i="9"/>
  <c r="W498" i="9"/>
  <c r="V498" i="9"/>
  <c r="U498" i="9"/>
  <c r="T498" i="9"/>
  <c r="S498" i="9"/>
  <c r="R498" i="9"/>
  <c r="Q498" i="9"/>
  <c r="P498" i="9"/>
  <c r="Y497" i="9"/>
  <c r="X497" i="9"/>
  <c r="W497" i="9"/>
  <c r="V497" i="9"/>
  <c r="U497" i="9"/>
  <c r="T497" i="9"/>
  <c r="S497" i="9"/>
  <c r="R497" i="9"/>
  <c r="Q497" i="9"/>
  <c r="P497" i="9"/>
  <c r="Y496" i="9"/>
  <c r="X496" i="9"/>
  <c r="W496" i="9"/>
  <c r="V496" i="9"/>
  <c r="U496" i="9"/>
  <c r="T496" i="9"/>
  <c r="S496" i="9"/>
  <c r="R496" i="9"/>
  <c r="Q496" i="9"/>
  <c r="P496" i="9"/>
  <c r="Y495" i="9"/>
  <c r="X495" i="9"/>
  <c r="W495" i="9"/>
  <c r="V495" i="9"/>
  <c r="U495" i="9"/>
  <c r="T495" i="9"/>
  <c r="S495" i="9"/>
  <c r="R495" i="9"/>
  <c r="Q495" i="9"/>
  <c r="P495" i="9"/>
  <c r="Y494" i="9"/>
  <c r="X494" i="9"/>
  <c r="W494" i="9"/>
  <c r="V494" i="9"/>
  <c r="U494" i="9"/>
  <c r="T494" i="9"/>
  <c r="S494" i="9"/>
  <c r="R494" i="9"/>
  <c r="Q494" i="9"/>
  <c r="P494" i="9"/>
  <c r="Y493" i="9"/>
  <c r="X493" i="9"/>
  <c r="W493" i="9"/>
  <c r="V493" i="9"/>
  <c r="U493" i="9"/>
  <c r="T493" i="9"/>
  <c r="S493" i="9"/>
  <c r="R493" i="9"/>
  <c r="Q493" i="9"/>
  <c r="P493" i="9"/>
  <c r="Y492" i="9"/>
  <c r="X492" i="9"/>
  <c r="W492" i="9"/>
  <c r="V492" i="9"/>
  <c r="U492" i="9"/>
  <c r="T492" i="9"/>
  <c r="S492" i="9"/>
  <c r="R492" i="9"/>
  <c r="Q492" i="9"/>
  <c r="P492" i="9"/>
  <c r="Y491" i="9"/>
  <c r="X491" i="9"/>
  <c r="W491" i="9"/>
  <c r="V491" i="9"/>
  <c r="U491" i="9"/>
  <c r="T491" i="9"/>
  <c r="S491" i="9"/>
  <c r="R491" i="9"/>
  <c r="Q491" i="9"/>
  <c r="P491" i="9"/>
  <c r="Y490" i="9"/>
  <c r="X490" i="9"/>
  <c r="W490" i="9"/>
  <c r="V490" i="9"/>
  <c r="U490" i="9"/>
  <c r="T490" i="9"/>
  <c r="S490" i="9"/>
  <c r="R490" i="9"/>
  <c r="Q490" i="9"/>
  <c r="P490" i="9"/>
  <c r="Y489" i="9"/>
  <c r="X489" i="9"/>
  <c r="W489" i="9"/>
  <c r="V489" i="9"/>
  <c r="U489" i="9"/>
  <c r="T489" i="9"/>
  <c r="S489" i="9"/>
  <c r="R489" i="9"/>
  <c r="Q489" i="9"/>
  <c r="P489" i="9"/>
  <c r="Y488" i="9"/>
  <c r="X488" i="9"/>
  <c r="W488" i="9"/>
  <c r="V488" i="9"/>
  <c r="U488" i="9"/>
  <c r="T488" i="9"/>
  <c r="S488" i="9"/>
  <c r="R488" i="9"/>
  <c r="Q488" i="9"/>
  <c r="P488" i="9"/>
  <c r="Y487" i="9"/>
  <c r="X487" i="9"/>
  <c r="W487" i="9"/>
  <c r="V487" i="9"/>
  <c r="U487" i="9"/>
  <c r="T487" i="9"/>
  <c r="S487" i="9"/>
  <c r="R487" i="9"/>
  <c r="Q487" i="9"/>
  <c r="P487" i="9"/>
  <c r="Y486" i="9"/>
  <c r="X486" i="9"/>
  <c r="W486" i="9"/>
  <c r="V486" i="9"/>
  <c r="U486" i="9"/>
  <c r="T486" i="9"/>
  <c r="S486" i="9"/>
  <c r="R486" i="9"/>
  <c r="Q486" i="9"/>
  <c r="P486" i="9"/>
  <c r="Y485" i="9"/>
  <c r="X485" i="9"/>
  <c r="W485" i="9"/>
  <c r="V485" i="9"/>
  <c r="U485" i="9"/>
  <c r="T485" i="9"/>
  <c r="S485" i="9"/>
  <c r="R485" i="9"/>
  <c r="Q485" i="9"/>
  <c r="P485" i="9"/>
  <c r="Y484" i="9"/>
  <c r="X484" i="9"/>
  <c r="W484" i="9"/>
  <c r="V484" i="9"/>
  <c r="U484" i="9"/>
  <c r="T484" i="9"/>
  <c r="S484" i="9"/>
  <c r="R484" i="9"/>
  <c r="Q484" i="9"/>
  <c r="P484" i="9"/>
  <c r="Y483" i="9"/>
  <c r="X483" i="9"/>
  <c r="W483" i="9"/>
  <c r="V483" i="9"/>
  <c r="U483" i="9"/>
  <c r="T483" i="9"/>
  <c r="S483" i="9"/>
  <c r="R483" i="9"/>
  <c r="Q483" i="9"/>
  <c r="P483" i="9"/>
  <c r="Y482" i="9"/>
  <c r="X482" i="9"/>
  <c r="W482" i="9"/>
  <c r="V482" i="9"/>
  <c r="U482" i="9"/>
  <c r="T482" i="9"/>
  <c r="S482" i="9"/>
  <c r="R482" i="9"/>
  <c r="Q482" i="9"/>
  <c r="P482" i="9"/>
  <c r="Y481" i="9"/>
  <c r="X481" i="9"/>
  <c r="W481" i="9"/>
  <c r="V481" i="9"/>
  <c r="U481" i="9"/>
  <c r="T481" i="9"/>
  <c r="S481" i="9"/>
  <c r="R481" i="9"/>
  <c r="Q481" i="9"/>
  <c r="P481" i="9"/>
  <c r="Y480" i="9"/>
  <c r="X480" i="9"/>
  <c r="W480" i="9"/>
  <c r="V480" i="9"/>
  <c r="U480" i="9"/>
  <c r="T480" i="9"/>
  <c r="S480" i="9"/>
  <c r="R480" i="9"/>
  <c r="Q480" i="9"/>
  <c r="P480" i="9"/>
  <c r="Y479" i="9"/>
  <c r="X479" i="9"/>
  <c r="W479" i="9"/>
  <c r="V479" i="9"/>
  <c r="U479" i="9"/>
  <c r="T479" i="9"/>
  <c r="S479" i="9"/>
  <c r="R479" i="9"/>
  <c r="Q479" i="9"/>
  <c r="P479" i="9"/>
  <c r="Y478" i="9"/>
  <c r="X478" i="9"/>
  <c r="W478" i="9"/>
  <c r="V478" i="9"/>
  <c r="U478" i="9"/>
  <c r="T478" i="9"/>
  <c r="S478" i="9"/>
  <c r="R478" i="9"/>
  <c r="Q478" i="9"/>
  <c r="P478" i="9"/>
  <c r="Y477" i="9"/>
  <c r="X477" i="9"/>
  <c r="W477" i="9"/>
  <c r="V477" i="9"/>
  <c r="U477" i="9"/>
  <c r="T477" i="9"/>
  <c r="S477" i="9"/>
  <c r="R477" i="9"/>
  <c r="Q477" i="9"/>
  <c r="P477" i="9"/>
  <c r="Y476" i="9"/>
  <c r="X476" i="9"/>
  <c r="W476" i="9"/>
  <c r="V476" i="9"/>
  <c r="U476" i="9"/>
  <c r="T476" i="9"/>
  <c r="S476" i="9"/>
  <c r="R476" i="9"/>
  <c r="Q476" i="9"/>
  <c r="P476" i="9"/>
  <c r="Y475" i="9"/>
  <c r="X475" i="9"/>
  <c r="W475" i="9"/>
  <c r="V475" i="9"/>
  <c r="U475" i="9"/>
  <c r="T475" i="9"/>
  <c r="S475" i="9"/>
  <c r="R475" i="9"/>
  <c r="Q475" i="9"/>
  <c r="P475" i="9"/>
  <c r="Y474" i="9"/>
  <c r="X474" i="9"/>
  <c r="W474" i="9"/>
  <c r="V474" i="9"/>
  <c r="U474" i="9"/>
  <c r="T474" i="9"/>
  <c r="S474" i="9"/>
  <c r="R474" i="9"/>
  <c r="Q474" i="9"/>
  <c r="P474" i="9"/>
  <c r="Y473" i="9"/>
  <c r="X473" i="9"/>
  <c r="W473" i="9"/>
  <c r="V473" i="9"/>
  <c r="U473" i="9"/>
  <c r="T473" i="9"/>
  <c r="S473" i="9"/>
  <c r="R473" i="9"/>
  <c r="Q473" i="9"/>
  <c r="P473" i="9"/>
  <c r="Y472" i="9"/>
  <c r="X472" i="9"/>
  <c r="W472" i="9"/>
  <c r="V472" i="9"/>
  <c r="U472" i="9"/>
  <c r="T472" i="9"/>
  <c r="S472" i="9"/>
  <c r="R472" i="9"/>
  <c r="Q472" i="9"/>
  <c r="P472" i="9"/>
  <c r="Y471" i="9"/>
  <c r="X471" i="9"/>
  <c r="W471" i="9"/>
  <c r="V471" i="9"/>
  <c r="U471" i="9"/>
  <c r="T471" i="9"/>
  <c r="S471" i="9"/>
  <c r="R471" i="9"/>
  <c r="Q471" i="9"/>
  <c r="P471" i="9"/>
  <c r="Y470" i="9"/>
  <c r="X470" i="9"/>
  <c r="W470" i="9"/>
  <c r="V470" i="9"/>
  <c r="U470" i="9"/>
  <c r="T470" i="9"/>
  <c r="S470" i="9"/>
  <c r="R470" i="9"/>
  <c r="Q470" i="9"/>
  <c r="P470" i="9"/>
  <c r="Y469" i="9"/>
  <c r="X469" i="9"/>
  <c r="W469" i="9"/>
  <c r="V469" i="9"/>
  <c r="U469" i="9"/>
  <c r="T469" i="9"/>
  <c r="S469" i="9"/>
  <c r="R469" i="9"/>
  <c r="Q469" i="9"/>
  <c r="P469" i="9"/>
  <c r="Y468" i="9"/>
  <c r="X468" i="9"/>
  <c r="W468" i="9"/>
  <c r="V468" i="9"/>
  <c r="U468" i="9"/>
  <c r="T468" i="9"/>
  <c r="S468" i="9"/>
  <c r="R468" i="9"/>
  <c r="Q468" i="9"/>
  <c r="P468" i="9"/>
  <c r="Y467" i="9"/>
  <c r="X467" i="9"/>
  <c r="W467" i="9"/>
  <c r="V467" i="9"/>
  <c r="U467" i="9"/>
  <c r="T467" i="9"/>
  <c r="S467" i="9"/>
  <c r="R467" i="9"/>
  <c r="Q467" i="9"/>
  <c r="P467" i="9"/>
  <c r="Y466" i="9"/>
  <c r="X466" i="9"/>
  <c r="W466" i="9"/>
  <c r="V466" i="9"/>
  <c r="U466" i="9"/>
  <c r="T466" i="9"/>
  <c r="S466" i="9"/>
  <c r="R466" i="9"/>
  <c r="Q466" i="9"/>
  <c r="P466" i="9"/>
  <c r="Y465" i="9"/>
  <c r="X465" i="9"/>
  <c r="W465" i="9"/>
  <c r="V465" i="9"/>
  <c r="U465" i="9"/>
  <c r="T465" i="9"/>
  <c r="S465" i="9"/>
  <c r="R465" i="9"/>
  <c r="Q465" i="9"/>
  <c r="P465" i="9"/>
  <c r="Y464" i="9"/>
  <c r="X464" i="9"/>
  <c r="W464" i="9"/>
  <c r="V464" i="9"/>
  <c r="U464" i="9"/>
  <c r="T464" i="9"/>
  <c r="S464" i="9"/>
  <c r="R464" i="9"/>
  <c r="Q464" i="9"/>
  <c r="P464" i="9"/>
  <c r="Y463" i="9"/>
  <c r="X463" i="9"/>
  <c r="W463" i="9"/>
  <c r="V463" i="9"/>
  <c r="U463" i="9"/>
  <c r="T463" i="9"/>
  <c r="S463" i="9"/>
  <c r="R463" i="9"/>
  <c r="Q463" i="9"/>
  <c r="P463" i="9"/>
  <c r="Y462" i="9"/>
  <c r="X462" i="9"/>
  <c r="W462" i="9"/>
  <c r="V462" i="9"/>
  <c r="U462" i="9"/>
  <c r="T462" i="9"/>
  <c r="S462" i="9"/>
  <c r="R462" i="9"/>
  <c r="Q462" i="9"/>
  <c r="P462" i="9"/>
  <c r="Y461" i="9"/>
  <c r="X461" i="9"/>
  <c r="W461" i="9"/>
  <c r="V461" i="9"/>
  <c r="U461" i="9"/>
  <c r="T461" i="9"/>
  <c r="S461" i="9"/>
  <c r="R461" i="9"/>
  <c r="Q461" i="9"/>
  <c r="P461" i="9"/>
  <c r="Y460" i="9"/>
  <c r="X460" i="9"/>
  <c r="W460" i="9"/>
  <c r="V460" i="9"/>
  <c r="U460" i="9"/>
  <c r="T460" i="9"/>
  <c r="S460" i="9"/>
  <c r="R460" i="9"/>
  <c r="Q460" i="9"/>
  <c r="P460" i="9"/>
  <c r="Y459" i="9"/>
  <c r="X459" i="9"/>
  <c r="W459" i="9"/>
  <c r="V459" i="9"/>
  <c r="U459" i="9"/>
  <c r="T459" i="9"/>
  <c r="S459" i="9"/>
  <c r="R459" i="9"/>
  <c r="Q459" i="9"/>
  <c r="P459" i="9"/>
  <c r="Y458" i="9"/>
  <c r="X458" i="9"/>
  <c r="W458" i="9"/>
  <c r="V458" i="9"/>
  <c r="U458" i="9"/>
  <c r="T458" i="9"/>
  <c r="S458" i="9"/>
  <c r="R458" i="9"/>
  <c r="Q458" i="9"/>
  <c r="P458" i="9"/>
  <c r="Y457" i="9"/>
  <c r="X457" i="9"/>
  <c r="W457" i="9"/>
  <c r="V457" i="9"/>
  <c r="U457" i="9"/>
  <c r="T457" i="9"/>
  <c r="S457" i="9"/>
  <c r="R457" i="9"/>
  <c r="Q457" i="9"/>
  <c r="P457" i="9"/>
  <c r="Y456" i="9"/>
  <c r="X456" i="9"/>
  <c r="W456" i="9"/>
  <c r="V456" i="9"/>
  <c r="U456" i="9"/>
  <c r="T456" i="9"/>
  <c r="S456" i="9"/>
  <c r="R456" i="9"/>
  <c r="Q456" i="9"/>
  <c r="P456" i="9"/>
  <c r="Y455" i="9"/>
  <c r="X455" i="9"/>
  <c r="W455" i="9"/>
  <c r="V455" i="9"/>
  <c r="U455" i="9"/>
  <c r="T455" i="9"/>
  <c r="S455" i="9"/>
  <c r="R455" i="9"/>
  <c r="Q455" i="9"/>
  <c r="P455" i="9"/>
  <c r="Y454" i="9"/>
  <c r="X454" i="9"/>
  <c r="W454" i="9"/>
  <c r="V454" i="9"/>
  <c r="U454" i="9"/>
  <c r="T454" i="9"/>
  <c r="S454" i="9"/>
  <c r="R454" i="9"/>
  <c r="Q454" i="9"/>
  <c r="P454" i="9"/>
  <c r="Y453" i="9"/>
  <c r="X453" i="9"/>
  <c r="W453" i="9"/>
  <c r="V453" i="9"/>
  <c r="U453" i="9"/>
  <c r="T453" i="9"/>
  <c r="S453" i="9"/>
  <c r="R453" i="9"/>
  <c r="Q453" i="9"/>
  <c r="P453" i="9"/>
  <c r="Y452" i="9"/>
  <c r="X452" i="9"/>
  <c r="W452" i="9"/>
  <c r="V452" i="9"/>
  <c r="U452" i="9"/>
  <c r="T452" i="9"/>
  <c r="S452" i="9"/>
  <c r="R452" i="9"/>
  <c r="Q452" i="9"/>
  <c r="P452" i="9"/>
  <c r="Y451" i="9"/>
  <c r="X451" i="9"/>
  <c r="W451" i="9"/>
  <c r="V451" i="9"/>
  <c r="U451" i="9"/>
  <c r="T451" i="9"/>
  <c r="S451" i="9"/>
  <c r="R451" i="9"/>
  <c r="Q451" i="9"/>
  <c r="P451" i="9"/>
  <c r="Y450" i="9"/>
  <c r="X450" i="9"/>
  <c r="W450" i="9"/>
  <c r="V450" i="9"/>
  <c r="U450" i="9"/>
  <c r="T450" i="9"/>
  <c r="S450" i="9"/>
  <c r="R450" i="9"/>
  <c r="Q450" i="9"/>
  <c r="P450" i="9"/>
  <c r="Y449" i="9"/>
  <c r="X449" i="9"/>
  <c r="W449" i="9"/>
  <c r="V449" i="9"/>
  <c r="U449" i="9"/>
  <c r="T449" i="9"/>
  <c r="S449" i="9"/>
  <c r="R449" i="9"/>
  <c r="Q449" i="9"/>
  <c r="P449" i="9"/>
  <c r="Y448" i="9"/>
  <c r="X448" i="9"/>
  <c r="W448" i="9"/>
  <c r="V448" i="9"/>
  <c r="U448" i="9"/>
  <c r="T448" i="9"/>
  <c r="S448" i="9"/>
  <c r="R448" i="9"/>
  <c r="Q448" i="9"/>
  <c r="P448" i="9"/>
  <c r="Y447" i="9"/>
  <c r="X447" i="9"/>
  <c r="W447" i="9"/>
  <c r="V447" i="9"/>
  <c r="U447" i="9"/>
  <c r="T447" i="9"/>
  <c r="S447" i="9"/>
  <c r="R447" i="9"/>
  <c r="Q447" i="9"/>
  <c r="P447" i="9"/>
  <c r="Y446" i="9"/>
  <c r="X446" i="9"/>
  <c r="W446" i="9"/>
  <c r="V446" i="9"/>
  <c r="U446" i="9"/>
  <c r="T446" i="9"/>
  <c r="S446" i="9"/>
  <c r="R446" i="9"/>
  <c r="Q446" i="9"/>
  <c r="P446" i="9"/>
  <c r="Y445" i="9"/>
  <c r="X445" i="9"/>
  <c r="W445" i="9"/>
  <c r="V445" i="9"/>
  <c r="U445" i="9"/>
  <c r="T445" i="9"/>
  <c r="S445" i="9"/>
  <c r="R445" i="9"/>
  <c r="Q445" i="9"/>
  <c r="P445" i="9"/>
  <c r="Y444" i="9"/>
  <c r="X444" i="9"/>
  <c r="W444" i="9"/>
  <c r="V444" i="9"/>
  <c r="U444" i="9"/>
  <c r="T444" i="9"/>
  <c r="S444" i="9"/>
  <c r="R444" i="9"/>
  <c r="Q444" i="9"/>
  <c r="P444" i="9"/>
  <c r="Y443" i="9"/>
  <c r="X443" i="9"/>
  <c r="W443" i="9"/>
  <c r="V443" i="9"/>
  <c r="U443" i="9"/>
  <c r="T443" i="9"/>
  <c r="S443" i="9"/>
  <c r="R443" i="9"/>
  <c r="Q443" i="9"/>
  <c r="P443" i="9"/>
  <c r="Y442" i="9"/>
  <c r="X442" i="9"/>
  <c r="W442" i="9"/>
  <c r="V442" i="9"/>
  <c r="U442" i="9"/>
  <c r="T442" i="9"/>
  <c r="S442" i="9"/>
  <c r="R442" i="9"/>
  <c r="Q442" i="9"/>
  <c r="P442" i="9"/>
  <c r="Y441" i="9"/>
  <c r="X441" i="9"/>
  <c r="W441" i="9"/>
  <c r="V441" i="9"/>
  <c r="U441" i="9"/>
  <c r="T441" i="9"/>
  <c r="S441" i="9"/>
  <c r="R441" i="9"/>
  <c r="Q441" i="9"/>
  <c r="P441" i="9"/>
  <c r="Y440" i="9"/>
  <c r="X440" i="9"/>
  <c r="W440" i="9"/>
  <c r="V440" i="9"/>
  <c r="U440" i="9"/>
  <c r="T440" i="9"/>
  <c r="S440" i="9"/>
  <c r="R440" i="9"/>
  <c r="Q440" i="9"/>
  <c r="P440" i="9"/>
  <c r="Y439" i="9"/>
  <c r="X439" i="9"/>
  <c r="W439" i="9"/>
  <c r="V439" i="9"/>
  <c r="U439" i="9"/>
  <c r="T439" i="9"/>
  <c r="S439" i="9"/>
  <c r="R439" i="9"/>
  <c r="Q439" i="9"/>
  <c r="P439" i="9"/>
  <c r="Y438" i="9"/>
  <c r="X438" i="9"/>
  <c r="W438" i="9"/>
  <c r="V438" i="9"/>
  <c r="U438" i="9"/>
  <c r="T438" i="9"/>
  <c r="S438" i="9"/>
  <c r="R438" i="9"/>
  <c r="Q438" i="9"/>
  <c r="P438" i="9"/>
  <c r="Y437" i="9"/>
  <c r="X437" i="9"/>
  <c r="W437" i="9"/>
  <c r="V437" i="9"/>
  <c r="U437" i="9"/>
  <c r="T437" i="9"/>
  <c r="S437" i="9"/>
  <c r="R437" i="9"/>
  <c r="Q437" i="9"/>
  <c r="P437" i="9"/>
  <c r="Y436" i="9"/>
  <c r="X436" i="9"/>
  <c r="W436" i="9"/>
  <c r="V436" i="9"/>
  <c r="U436" i="9"/>
  <c r="T436" i="9"/>
  <c r="S436" i="9"/>
  <c r="R436" i="9"/>
  <c r="Q436" i="9"/>
  <c r="P436" i="9"/>
  <c r="Y435" i="9"/>
  <c r="X435" i="9"/>
  <c r="W435" i="9"/>
  <c r="V435" i="9"/>
  <c r="U435" i="9"/>
  <c r="T435" i="9"/>
  <c r="S435" i="9"/>
  <c r="R435" i="9"/>
  <c r="Q435" i="9"/>
  <c r="P435" i="9"/>
  <c r="Y434" i="9"/>
  <c r="X434" i="9"/>
  <c r="W434" i="9"/>
  <c r="V434" i="9"/>
  <c r="U434" i="9"/>
  <c r="T434" i="9"/>
  <c r="S434" i="9"/>
  <c r="R434" i="9"/>
  <c r="Q434" i="9"/>
  <c r="P434" i="9"/>
  <c r="Y433" i="9"/>
  <c r="X433" i="9"/>
  <c r="W433" i="9"/>
  <c r="V433" i="9"/>
  <c r="U433" i="9"/>
  <c r="T433" i="9"/>
  <c r="S433" i="9"/>
  <c r="R433" i="9"/>
  <c r="Q433" i="9"/>
  <c r="P433" i="9"/>
  <c r="Y432" i="9"/>
  <c r="X432" i="9"/>
  <c r="W432" i="9"/>
  <c r="V432" i="9"/>
  <c r="U432" i="9"/>
  <c r="T432" i="9"/>
  <c r="S432" i="9"/>
  <c r="R432" i="9"/>
  <c r="Q432" i="9"/>
  <c r="P432" i="9"/>
  <c r="Y431" i="9"/>
  <c r="X431" i="9"/>
  <c r="W431" i="9"/>
  <c r="V431" i="9"/>
  <c r="U431" i="9"/>
  <c r="T431" i="9"/>
  <c r="S431" i="9"/>
  <c r="R431" i="9"/>
  <c r="Q431" i="9"/>
  <c r="P431" i="9"/>
  <c r="Y430" i="9"/>
  <c r="X430" i="9"/>
  <c r="W430" i="9"/>
  <c r="V430" i="9"/>
  <c r="U430" i="9"/>
  <c r="T430" i="9"/>
  <c r="S430" i="9"/>
  <c r="R430" i="9"/>
  <c r="Q430" i="9"/>
  <c r="P430" i="9"/>
  <c r="Y429" i="9"/>
  <c r="X429" i="9"/>
  <c r="W429" i="9"/>
  <c r="V429" i="9"/>
  <c r="U429" i="9"/>
  <c r="T429" i="9"/>
  <c r="S429" i="9"/>
  <c r="R429" i="9"/>
  <c r="Q429" i="9"/>
  <c r="P429" i="9"/>
  <c r="Y428" i="9"/>
  <c r="X428" i="9"/>
  <c r="W428" i="9"/>
  <c r="V428" i="9"/>
  <c r="U428" i="9"/>
  <c r="T428" i="9"/>
  <c r="S428" i="9"/>
  <c r="R428" i="9"/>
  <c r="Q428" i="9"/>
  <c r="P428" i="9"/>
  <c r="Y427" i="9"/>
  <c r="X427" i="9"/>
  <c r="W427" i="9"/>
  <c r="V427" i="9"/>
  <c r="U427" i="9"/>
  <c r="T427" i="9"/>
  <c r="S427" i="9"/>
  <c r="R427" i="9"/>
  <c r="Q427" i="9"/>
  <c r="P427" i="9"/>
  <c r="Y426" i="9"/>
  <c r="X426" i="9"/>
  <c r="W426" i="9"/>
  <c r="V426" i="9"/>
  <c r="U426" i="9"/>
  <c r="T426" i="9"/>
  <c r="S426" i="9"/>
  <c r="R426" i="9"/>
  <c r="Q426" i="9"/>
  <c r="P426" i="9"/>
  <c r="Y425" i="9"/>
  <c r="X425" i="9"/>
  <c r="W425" i="9"/>
  <c r="V425" i="9"/>
  <c r="U425" i="9"/>
  <c r="T425" i="9"/>
  <c r="S425" i="9"/>
  <c r="R425" i="9"/>
  <c r="Q425" i="9"/>
  <c r="P425" i="9"/>
  <c r="Y424" i="9"/>
  <c r="X424" i="9"/>
  <c r="W424" i="9"/>
  <c r="V424" i="9"/>
  <c r="U424" i="9"/>
  <c r="T424" i="9"/>
  <c r="S424" i="9"/>
  <c r="R424" i="9"/>
  <c r="Q424" i="9"/>
  <c r="P424" i="9"/>
  <c r="Y423" i="9"/>
  <c r="X423" i="9"/>
  <c r="W423" i="9"/>
  <c r="V423" i="9"/>
  <c r="U423" i="9"/>
  <c r="T423" i="9"/>
  <c r="S423" i="9"/>
  <c r="R423" i="9"/>
  <c r="Q423" i="9"/>
  <c r="P423" i="9"/>
  <c r="Y422" i="9"/>
  <c r="X422" i="9"/>
  <c r="W422" i="9"/>
  <c r="V422" i="9"/>
  <c r="U422" i="9"/>
  <c r="T422" i="9"/>
  <c r="S422" i="9"/>
  <c r="R422" i="9"/>
  <c r="Q422" i="9"/>
  <c r="P422" i="9"/>
  <c r="Y421" i="9"/>
  <c r="X421" i="9"/>
  <c r="W421" i="9"/>
  <c r="V421" i="9"/>
  <c r="U421" i="9"/>
  <c r="T421" i="9"/>
  <c r="S421" i="9"/>
  <c r="R421" i="9"/>
  <c r="Q421" i="9"/>
  <c r="P421" i="9"/>
  <c r="Y420" i="9"/>
  <c r="X420" i="9"/>
  <c r="W420" i="9"/>
  <c r="V420" i="9"/>
  <c r="U420" i="9"/>
  <c r="T420" i="9"/>
  <c r="S420" i="9"/>
  <c r="R420" i="9"/>
  <c r="Q420" i="9"/>
  <c r="P420" i="9"/>
  <c r="Y419" i="9"/>
  <c r="X419" i="9"/>
  <c r="W419" i="9"/>
  <c r="V419" i="9"/>
  <c r="U419" i="9"/>
  <c r="T419" i="9"/>
  <c r="S419" i="9"/>
  <c r="R419" i="9"/>
  <c r="Q419" i="9"/>
  <c r="P419" i="9"/>
  <c r="Y418" i="9"/>
  <c r="X418" i="9"/>
  <c r="W418" i="9"/>
  <c r="V418" i="9"/>
  <c r="U418" i="9"/>
  <c r="T418" i="9"/>
  <c r="S418" i="9"/>
  <c r="R418" i="9"/>
  <c r="Q418" i="9"/>
  <c r="P418" i="9"/>
  <c r="Y417" i="9"/>
  <c r="X417" i="9"/>
  <c r="W417" i="9"/>
  <c r="V417" i="9"/>
  <c r="U417" i="9"/>
  <c r="T417" i="9"/>
  <c r="S417" i="9"/>
  <c r="R417" i="9"/>
  <c r="Q417" i="9"/>
  <c r="P417" i="9"/>
  <c r="Y416" i="9"/>
  <c r="X416" i="9"/>
  <c r="W416" i="9"/>
  <c r="V416" i="9"/>
  <c r="U416" i="9"/>
  <c r="T416" i="9"/>
  <c r="S416" i="9"/>
  <c r="R416" i="9"/>
  <c r="Q416" i="9"/>
  <c r="P416" i="9"/>
  <c r="Y415" i="9"/>
  <c r="X415" i="9"/>
  <c r="W415" i="9"/>
  <c r="V415" i="9"/>
  <c r="U415" i="9"/>
  <c r="T415" i="9"/>
  <c r="S415" i="9"/>
  <c r="R415" i="9"/>
  <c r="Q415" i="9"/>
  <c r="P415" i="9"/>
  <c r="Y414" i="9"/>
  <c r="X414" i="9"/>
  <c r="W414" i="9"/>
  <c r="V414" i="9"/>
  <c r="U414" i="9"/>
  <c r="T414" i="9"/>
  <c r="S414" i="9"/>
  <c r="R414" i="9"/>
  <c r="Q414" i="9"/>
  <c r="P414" i="9"/>
  <c r="Y413" i="9"/>
  <c r="X413" i="9"/>
  <c r="W413" i="9"/>
  <c r="V413" i="9"/>
  <c r="U413" i="9"/>
  <c r="T413" i="9"/>
  <c r="S413" i="9"/>
  <c r="R413" i="9"/>
  <c r="Q413" i="9"/>
  <c r="P413" i="9"/>
  <c r="Y412" i="9"/>
  <c r="X412" i="9"/>
  <c r="W412" i="9"/>
  <c r="V412" i="9"/>
  <c r="U412" i="9"/>
  <c r="T412" i="9"/>
  <c r="S412" i="9"/>
  <c r="R412" i="9"/>
  <c r="Q412" i="9"/>
  <c r="P412" i="9"/>
  <c r="Y411" i="9"/>
  <c r="X411" i="9"/>
  <c r="W411" i="9"/>
  <c r="V411" i="9"/>
  <c r="U411" i="9"/>
  <c r="T411" i="9"/>
  <c r="S411" i="9"/>
  <c r="R411" i="9"/>
  <c r="Q411" i="9"/>
  <c r="P411" i="9"/>
  <c r="Y410" i="9"/>
  <c r="X410" i="9"/>
  <c r="W410" i="9"/>
  <c r="V410" i="9"/>
  <c r="U410" i="9"/>
  <c r="T410" i="9"/>
  <c r="S410" i="9"/>
  <c r="R410" i="9"/>
  <c r="Q410" i="9"/>
  <c r="P410" i="9"/>
  <c r="Y409" i="9"/>
  <c r="X409" i="9"/>
  <c r="W409" i="9"/>
  <c r="V409" i="9"/>
  <c r="U409" i="9"/>
  <c r="T409" i="9"/>
  <c r="S409" i="9"/>
  <c r="R409" i="9"/>
  <c r="Q409" i="9"/>
  <c r="P409" i="9"/>
  <c r="Y408" i="9"/>
  <c r="X408" i="9"/>
  <c r="W408" i="9"/>
  <c r="V408" i="9"/>
  <c r="U408" i="9"/>
  <c r="T408" i="9"/>
  <c r="S408" i="9"/>
  <c r="R408" i="9"/>
  <c r="Q408" i="9"/>
  <c r="P408" i="9"/>
  <c r="Y407" i="9"/>
  <c r="X407" i="9"/>
  <c r="W407" i="9"/>
  <c r="V407" i="9"/>
  <c r="U407" i="9"/>
  <c r="T407" i="9"/>
  <c r="S407" i="9"/>
  <c r="R407" i="9"/>
  <c r="Q407" i="9"/>
  <c r="P407" i="9"/>
  <c r="Y406" i="9"/>
  <c r="X406" i="9"/>
  <c r="W406" i="9"/>
  <c r="V406" i="9"/>
  <c r="U406" i="9"/>
  <c r="T406" i="9"/>
  <c r="S406" i="9"/>
  <c r="R406" i="9"/>
  <c r="Q406" i="9"/>
  <c r="P406" i="9"/>
  <c r="Y405" i="9"/>
  <c r="X405" i="9"/>
  <c r="W405" i="9"/>
  <c r="V405" i="9"/>
  <c r="U405" i="9"/>
  <c r="T405" i="9"/>
  <c r="S405" i="9"/>
  <c r="R405" i="9"/>
  <c r="Q405" i="9"/>
  <c r="P405" i="9"/>
  <c r="Y404" i="9"/>
  <c r="X404" i="9"/>
  <c r="W404" i="9"/>
  <c r="V404" i="9"/>
  <c r="U404" i="9"/>
  <c r="T404" i="9"/>
  <c r="S404" i="9"/>
  <c r="R404" i="9"/>
  <c r="Q404" i="9"/>
  <c r="P404" i="9"/>
  <c r="Y403" i="9"/>
  <c r="X403" i="9"/>
  <c r="W403" i="9"/>
  <c r="V403" i="9"/>
  <c r="U403" i="9"/>
  <c r="T403" i="9"/>
  <c r="S403" i="9"/>
  <c r="R403" i="9"/>
  <c r="Q403" i="9"/>
  <c r="P403" i="9"/>
  <c r="Y402" i="9"/>
  <c r="X402" i="9"/>
  <c r="W402" i="9"/>
  <c r="V402" i="9"/>
  <c r="U402" i="9"/>
  <c r="T402" i="9"/>
  <c r="S402" i="9"/>
  <c r="R402" i="9"/>
  <c r="Q402" i="9"/>
  <c r="P402" i="9"/>
  <c r="Y401" i="9"/>
  <c r="X401" i="9"/>
  <c r="W401" i="9"/>
  <c r="V401" i="9"/>
  <c r="U401" i="9"/>
  <c r="T401" i="9"/>
  <c r="S401" i="9"/>
  <c r="R401" i="9"/>
  <c r="Q401" i="9"/>
  <c r="P401" i="9"/>
  <c r="Y400" i="9"/>
  <c r="X400" i="9"/>
  <c r="W400" i="9"/>
  <c r="V400" i="9"/>
  <c r="U400" i="9"/>
  <c r="T400" i="9"/>
  <c r="S400" i="9"/>
  <c r="R400" i="9"/>
  <c r="Q400" i="9"/>
  <c r="P400" i="9"/>
  <c r="Y399" i="9"/>
  <c r="X399" i="9"/>
  <c r="W399" i="9"/>
  <c r="V399" i="9"/>
  <c r="U399" i="9"/>
  <c r="T399" i="9"/>
  <c r="S399" i="9"/>
  <c r="R399" i="9"/>
  <c r="Q399" i="9"/>
  <c r="P399" i="9"/>
  <c r="Y398" i="9"/>
  <c r="X398" i="9"/>
  <c r="W398" i="9"/>
  <c r="V398" i="9"/>
  <c r="U398" i="9"/>
  <c r="T398" i="9"/>
  <c r="S398" i="9"/>
  <c r="R398" i="9"/>
  <c r="Q398" i="9"/>
  <c r="P398" i="9"/>
  <c r="Y397" i="9"/>
  <c r="X397" i="9"/>
  <c r="W397" i="9"/>
  <c r="V397" i="9"/>
  <c r="U397" i="9"/>
  <c r="T397" i="9"/>
  <c r="S397" i="9"/>
  <c r="R397" i="9"/>
  <c r="Q397" i="9"/>
  <c r="P397" i="9"/>
  <c r="Y396" i="9"/>
  <c r="X396" i="9"/>
  <c r="W396" i="9"/>
  <c r="V396" i="9"/>
  <c r="U396" i="9"/>
  <c r="T396" i="9"/>
  <c r="S396" i="9"/>
  <c r="R396" i="9"/>
  <c r="Q396" i="9"/>
  <c r="P396" i="9"/>
  <c r="Y395" i="9"/>
  <c r="X395" i="9"/>
  <c r="W395" i="9"/>
  <c r="V395" i="9"/>
  <c r="U395" i="9"/>
  <c r="T395" i="9"/>
  <c r="S395" i="9"/>
  <c r="R395" i="9"/>
  <c r="Q395" i="9"/>
  <c r="P395" i="9"/>
  <c r="Y394" i="9"/>
  <c r="X394" i="9"/>
  <c r="W394" i="9"/>
  <c r="V394" i="9"/>
  <c r="U394" i="9"/>
  <c r="T394" i="9"/>
  <c r="S394" i="9"/>
  <c r="R394" i="9"/>
  <c r="Q394" i="9"/>
  <c r="P394" i="9"/>
  <c r="Y393" i="9"/>
  <c r="X393" i="9"/>
  <c r="W393" i="9"/>
  <c r="V393" i="9"/>
  <c r="U393" i="9"/>
  <c r="T393" i="9"/>
  <c r="S393" i="9"/>
  <c r="R393" i="9"/>
  <c r="Q393" i="9"/>
  <c r="P393" i="9"/>
  <c r="Y392" i="9"/>
  <c r="X392" i="9"/>
  <c r="W392" i="9"/>
  <c r="V392" i="9"/>
  <c r="U392" i="9"/>
  <c r="T392" i="9"/>
  <c r="S392" i="9"/>
  <c r="R392" i="9"/>
  <c r="Q392" i="9"/>
  <c r="P392" i="9"/>
  <c r="Y391" i="9"/>
  <c r="X391" i="9"/>
  <c r="W391" i="9"/>
  <c r="V391" i="9"/>
  <c r="U391" i="9"/>
  <c r="T391" i="9"/>
  <c r="S391" i="9"/>
  <c r="R391" i="9"/>
  <c r="Q391" i="9"/>
  <c r="P391" i="9"/>
  <c r="Y390" i="9"/>
  <c r="X390" i="9"/>
  <c r="W390" i="9"/>
  <c r="V390" i="9"/>
  <c r="U390" i="9"/>
  <c r="T390" i="9"/>
  <c r="S390" i="9"/>
  <c r="R390" i="9"/>
  <c r="Q390" i="9"/>
  <c r="P390" i="9"/>
  <c r="Y389" i="9"/>
  <c r="X389" i="9"/>
  <c r="W389" i="9"/>
  <c r="V389" i="9"/>
  <c r="U389" i="9"/>
  <c r="T389" i="9"/>
  <c r="S389" i="9"/>
  <c r="R389" i="9"/>
  <c r="Q389" i="9"/>
  <c r="P389" i="9"/>
  <c r="Y388" i="9"/>
  <c r="X388" i="9"/>
  <c r="W388" i="9"/>
  <c r="V388" i="9"/>
  <c r="U388" i="9"/>
  <c r="T388" i="9"/>
  <c r="S388" i="9"/>
  <c r="R388" i="9"/>
  <c r="Q388" i="9"/>
  <c r="P388" i="9"/>
  <c r="Y387" i="9"/>
  <c r="X387" i="9"/>
  <c r="W387" i="9"/>
  <c r="V387" i="9"/>
  <c r="U387" i="9"/>
  <c r="T387" i="9"/>
  <c r="S387" i="9"/>
  <c r="R387" i="9"/>
  <c r="Q387" i="9"/>
  <c r="P387" i="9"/>
  <c r="Y386" i="9"/>
  <c r="X386" i="9"/>
  <c r="W386" i="9"/>
  <c r="V386" i="9"/>
  <c r="U386" i="9"/>
  <c r="T386" i="9"/>
  <c r="S386" i="9"/>
  <c r="R386" i="9"/>
  <c r="Q386" i="9"/>
  <c r="P386" i="9"/>
  <c r="Y385" i="9"/>
  <c r="X385" i="9"/>
  <c r="W385" i="9"/>
  <c r="V385" i="9"/>
  <c r="U385" i="9"/>
  <c r="T385" i="9"/>
  <c r="S385" i="9"/>
  <c r="R385" i="9"/>
  <c r="Q385" i="9"/>
  <c r="P385" i="9"/>
  <c r="Y384" i="9"/>
  <c r="X384" i="9"/>
  <c r="W384" i="9"/>
  <c r="V384" i="9"/>
  <c r="U384" i="9"/>
  <c r="T384" i="9"/>
  <c r="S384" i="9"/>
  <c r="R384" i="9"/>
  <c r="Q384" i="9"/>
  <c r="P384" i="9"/>
  <c r="Y383" i="9"/>
  <c r="X383" i="9"/>
  <c r="W383" i="9"/>
  <c r="V383" i="9"/>
  <c r="U383" i="9"/>
  <c r="T383" i="9"/>
  <c r="S383" i="9"/>
  <c r="R383" i="9"/>
  <c r="Q383" i="9"/>
  <c r="P383" i="9"/>
  <c r="Y382" i="9"/>
  <c r="X382" i="9"/>
  <c r="W382" i="9"/>
  <c r="V382" i="9"/>
  <c r="U382" i="9"/>
  <c r="T382" i="9"/>
  <c r="S382" i="9"/>
  <c r="R382" i="9"/>
  <c r="Q382" i="9"/>
  <c r="P382" i="9"/>
  <c r="Y381" i="9"/>
  <c r="X381" i="9"/>
  <c r="W381" i="9"/>
  <c r="V381" i="9"/>
  <c r="U381" i="9"/>
  <c r="T381" i="9"/>
  <c r="S381" i="9"/>
  <c r="R381" i="9"/>
  <c r="Q381" i="9"/>
  <c r="P381" i="9"/>
  <c r="Y380" i="9"/>
  <c r="X380" i="9"/>
  <c r="W380" i="9"/>
  <c r="V380" i="9"/>
  <c r="U380" i="9"/>
  <c r="T380" i="9"/>
  <c r="S380" i="9"/>
  <c r="R380" i="9"/>
  <c r="Q380" i="9"/>
  <c r="P380" i="9"/>
  <c r="Y379" i="9"/>
  <c r="X379" i="9"/>
  <c r="W379" i="9"/>
  <c r="V379" i="9"/>
  <c r="U379" i="9"/>
  <c r="T379" i="9"/>
  <c r="S379" i="9"/>
  <c r="R379" i="9"/>
  <c r="Q379" i="9"/>
  <c r="P379" i="9"/>
  <c r="Y378" i="9"/>
  <c r="X378" i="9"/>
  <c r="W378" i="9"/>
  <c r="V378" i="9"/>
  <c r="U378" i="9"/>
  <c r="T378" i="9"/>
  <c r="S378" i="9"/>
  <c r="R378" i="9"/>
  <c r="Q378" i="9"/>
  <c r="P378" i="9"/>
  <c r="Y377" i="9"/>
  <c r="X377" i="9"/>
  <c r="W377" i="9"/>
  <c r="V377" i="9"/>
  <c r="U377" i="9"/>
  <c r="T377" i="9"/>
  <c r="S377" i="9"/>
  <c r="R377" i="9"/>
  <c r="Q377" i="9"/>
  <c r="P377" i="9"/>
  <c r="Y376" i="9"/>
  <c r="X376" i="9"/>
  <c r="W376" i="9"/>
  <c r="V376" i="9"/>
  <c r="U376" i="9"/>
  <c r="T376" i="9"/>
  <c r="S376" i="9"/>
  <c r="R376" i="9"/>
  <c r="Q376" i="9"/>
  <c r="P376" i="9"/>
  <c r="Y375" i="9"/>
  <c r="X375" i="9"/>
  <c r="W375" i="9"/>
  <c r="V375" i="9"/>
  <c r="U375" i="9"/>
  <c r="T375" i="9"/>
  <c r="S375" i="9"/>
  <c r="R375" i="9"/>
  <c r="Q375" i="9"/>
  <c r="P375" i="9"/>
  <c r="Y374" i="9"/>
  <c r="X374" i="9"/>
  <c r="W374" i="9"/>
  <c r="V374" i="9"/>
  <c r="U374" i="9"/>
  <c r="T374" i="9"/>
  <c r="S374" i="9"/>
  <c r="R374" i="9"/>
  <c r="Q374" i="9"/>
  <c r="P374" i="9"/>
  <c r="Y373" i="9"/>
  <c r="X373" i="9"/>
  <c r="W373" i="9"/>
  <c r="V373" i="9"/>
  <c r="U373" i="9"/>
  <c r="T373" i="9"/>
  <c r="S373" i="9"/>
  <c r="R373" i="9"/>
  <c r="Q373" i="9"/>
  <c r="P373" i="9"/>
  <c r="Y372" i="9"/>
  <c r="X372" i="9"/>
  <c r="W372" i="9"/>
  <c r="V372" i="9"/>
  <c r="U372" i="9"/>
  <c r="T372" i="9"/>
  <c r="S372" i="9"/>
  <c r="R372" i="9"/>
  <c r="Q372" i="9"/>
  <c r="P372" i="9"/>
  <c r="Y371" i="9"/>
  <c r="X371" i="9"/>
  <c r="W371" i="9"/>
  <c r="V371" i="9"/>
  <c r="U371" i="9"/>
  <c r="T371" i="9"/>
  <c r="S371" i="9"/>
  <c r="R371" i="9"/>
  <c r="Q371" i="9"/>
  <c r="P371" i="9"/>
  <c r="Y370" i="9"/>
  <c r="X370" i="9"/>
  <c r="W370" i="9"/>
  <c r="V370" i="9"/>
  <c r="U370" i="9"/>
  <c r="T370" i="9"/>
  <c r="S370" i="9"/>
  <c r="R370" i="9"/>
  <c r="Q370" i="9"/>
  <c r="P370" i="9"/>
  <c r="Y369" i="9"/>
  <c r="X369" i="9"/>
  <c r="W369" i="9"/>
  <c r="V369" i="9"/>
  <c r="U369" i="9"/>
  <c r="T369" i="9"/>
  <c r="S369" i="9"/>
  <c r="R369" i="9"/>
  <c r="Q369" i="9"/>
  <c r="P369" i="9"/>
  <c r="Y368" i="9"/>
  <c r="X368" i="9"/>
  <c r="W368" i="9"/>
  <c r="V368" i="9"/>
  <c r="U368" i="9"/>
  <c r="T368" i="9"/>
  <c r="S368" i="9"/>
  <c r="R368" i="9"/>
  <c r="Q368" i="9"/>
  <c r="P368" i="9"/>
  <c r="Y367" i="9"/>
  <c r="X367" i="9"/>
  <c r="W367" i="9"/>
  <c r="V367" i="9"/>
  <c r="U367" i="9"/>
  <c r="T367" i="9"/>
  <c r="S367" i="9"/>
  <c r="R367" i="9"/>
  <c r="Q367" i="9"/>
  <c r="P367" i="9"/>
  <c r="Y366" i="9"/>
  <c r="X366" i="9"/>
  <c r="W366" i="9"/>
  <c r="V366" i="9"/>
  <c r="U366" i="9"/>
  <c r="T366" i="9"/>
  <c r="S366" i="9"/>
  <c r="R366" i="9"/>
  <c r="Q366" i="9"/>
  <c r="P366" i="9"/>
  <c r="Y365" i="9"/>
  <c r="X365" i="9"/>
  <c r="W365" i="9"/>
  <c r="V365" i="9"/>
  <c r="U365" i="9"/>
  <c r="T365" i="9"/>
  <c r="S365" i="9"/>
  <c r="R365" i="9"/>
  <c r="Q365" i="9"/>
  <c r="P365" i="9"/>
  <c r="Y364" i="9"/>
  <c r="X364" i="9"/>
  <c r="W364" i="9"/>
  <c r="V364" i="9"/>
  <c r="U364" i="9"/>
  <c r="T364" i="9"/>
  <c r="S364" i="9"/>
  <c r="R364" i="9"/>
  <c r="Q364" i="9"/>
  <c r="P364" i="9"/>
  <c r="Y363" i="9"/>
  <c r="X363" i="9"/>
  <c r="W363" i="9"/>
  <c r="V363" i="9"/>
  <c r="U363" i="9"/>
  <c r="T363" i="9"/>
  <c r="S363" i="9"/>
  <c r="R363" i="9"/>
  <c r="Q363" i="9"/>
  <c r="P363" i="9"/>
  <c r="Y362" i="9"/>
  <c r="X362" i="9"/>
  <c r="W362" i="9"/>
  <c r="V362" i="9"/>
  <c r="U362" i="9"/>
  <c r="T362" i="9"/>
  <c r="S362" i="9"/>
  <c r="R362" i="9"/>
  <c r="Q362" i="9"/>
  <c r="P362" i="9"/>
  <c r="Y361" i="9"/>
  <c r="X361" i="9"/>
  <c r="W361" i="9"/>
  <c r="V361" i="9"/>
  <c r="U361" i="9"/>
  <c r="T361" i="9"/>
  <c r="S361" i="9"/>
  <c r="R361" i="9"/>
  <c r="Q361" i="9"/>
  <c r="P361" i="9"/>
  <c r="Y360" i="9"/>
  <c r="X360" i="9"/>
  <c r="W360" i="9"/>
  <c r="V360" i="9"/>
  <c r="U360" i="9"/>
  <c r="T360" i="9"/>
  <c r="S360" i="9"/>
  <c r="R360" i="9"/>
  <c r="Q360" i="9"/>
  <c r="P360" i="9"/>
  <c r="Y359" i="9"/>
  <c r="X359" i="9"/>
  <c r="W359" i="9"/>
  <c r="V359" i="9"/>
  <c r="U359" i="9"/>
  <c r="T359" i="9"/>
  <c r="S359" i="9"/>
  <c r="R359" i="9"/>
  <c r="Q359" i="9"/>
  <c r="P359" i="9"/>
  <c r="Y358" i="9"/>
  <c r="X358" i="9"/>
  <c r="W358" i="9"/>
  <c r="V358" i="9"/>
  <c r="U358" i="9"/>
  <c r="T358" i="9"/>
  <c r="S358" i="9"/>
  <c r="R358" i="9"/>
  <c r="Q358" i="9"/>
  <c r="P358" i="9"/>
  <c r="Y357" i="9"/>
  <c r="X357" i="9"/>
  <c r="W357" i="9"/>
  <c r="V357" i="9"/>
  <c r="U357" i="9"/>
  <c r="T357" i="9"/>
  <c r="S357" i="9"/>
  <c r="R357" i="9"/>
  <c r="Q357" i="9"/>
  <c r="P357" i="9"/>
  <c r="Y356" i="9"/>
  <c r="X356" i="9"/>
  <c r="W356" i="9"/>
  <c r="V356" i="9"/>
  <c r="U356" i="9"/>
  <c r="T356" i="9"/>
  <c r="S356" i="9"/>
  <c r="R356" i="9"/>
  <c r="Q356" i="9"/>
  <c r="P356" i="9"/>
  <c r="Y355" i="9"/>
  <c r="X355" i="9"/>
  <c r="W355" i="9"/>
  <c r="V355" i="9"/>
  <c r="U355" i="9"/>
  <c r="T355" i="9"/>
  <c r="S355" i="9"/>
  <c r="R355" i="9"/>
  <c r="Q355" i="9"/>
  <c r="P355" i="9"/>
  <c r="Y354" i="9"/>
  <c r="X354" i="9"/>
  <c r="W354" i="9"/>
  <c r="V354" i="9"/>
  <c r="U354" i="9"/>
  <c r="T354" i="9"/>
  <c r="S354" i="9"/>
  <c r="R354" i="9"/>
  <c r="Q354" i="9"/>
  <c r="P354" i="9"/>
  <c r="Y353" i="9"/>
  <c r="X353" i="9"/>
  <c r="W353" i="9"/>
  <c r="V353" i="9"/>
  <c r="U353" i="9"/>
  <c r="T353" i="9"/>
  <c r="S353" i="9"/>
  <c r="R353" i="9"/>
  <c r="Q353" i="9"/>
  <c r="P353" i="9"/>
  <c r="Y352" i="9"/>
  <c r="X352" i="9"/>
  <c r="W352" i="9"/>
  <c r="V352" i="9"/>
  <c r="U352" i="9"/>
  <c r="T352" i="9"/>
  <c r="S352" i="9"/>
  <c r="R352" i="9"/>
  <c r="Q352" i="9"/>
  <c r="P352" i="9"/>
  <c r="Y351" i="9"/>
  <c r="X351" i="9"/>
  <c r="W351" i="9"/>
  <c r="V351" i="9"/>
  <c r="U351" i="9"/>
  <c r="T351" i="9"/>
  <c r="S351" i="9"/>
  <c r="R351" i="9"/>
  <c r="Q351" i="9"/>
  <c r="P351" i="9"/>
  <c r="Y350" i="9"/>
  <c r="X350" i="9"/>
  <c r="W350" i="9"/>
  <c r="V350" i="9"/>
  <c r="U350" i="9"/>
  <c r="T350" i="9"/>
  <c r="S350" i="9"/>
  <c r="R350" i="9"/>
  <c r="Q350" i="9"/>
  <c r="P350" i="9"/>
  <c r="Y349" i="9"/>
  <c r="X349" i="9"/>
  <c r="W349" i="9"/>
  <c r="V349" i="9"/>
  <c r="U349" i="9"/>
  <c r="T349" i="9"/>
  <c r="S349" i="9"/>
  <c r="R349" i="9"/>
  <c r="Q349" i="9"/>
  <c r="P349" i="9"/>
  <c r="Y348" i="9"/>
  <c r="X348" i="9"/>
  <c r="W348" i="9"/>
  <c r="V348" i="9"/>
  <c r="U348" i="9"/>
  <c r="T348" i="9"/>
  <c r="S348" i="9"/>
  <c r="R348" i="9"/>
  <c r="Q348" i="9"/>
  <c r="P348" i="9"/>
  <c r="Y347" i="9"/>
  <c r="X347" i="9"/>
  <c r="W347" i="9"/>
  <c r="V347" i="9"/>
  <c r="U347" i="9"/>
  <c r="T347" i="9"/>
  <c r="S347" i="9"/>
  <c r="R347" i="9"/>
  <c r="Q347" i="9"/>
  <c r="P347" i="9"/>
  <c r="Y346" i="9"/>
  <c r="X346" i="9"/>
  <c r="W346" i="9"/>
  <c r="V346" i="9"/>
  <c r="U346" i="9"/>
  <c r="T346" i="9"/>
  <c r="S346" i="9"/>
  <c r="R346" i="9"/>
  <c r="Q346" i="9"/>
  <c r="P346" i="9"/>
  <c r="Y345" i="9"/>
  <c r="X345" i="9"/>
  <c r="W345" i="9"/>
  <c r="V345" i="9"/>
  <c r="U345" i="9"/>
  <c r="T345" i="9"/>
  <c r="S345" i="9"/>
  <c r="R345" i="9"/>
  <c r="Q345" i="9"/>
  <c r="P345" i="9"/>
  <c r="Y344" i="9"/>
  <c r="X344" i="9"/>
  <c r="W344" i="9"/>
  <c r="V344" i="9"/>
  <c r="U344" i="9"/>
  <c r="T344" i="9"/>
  <c r="S344" i="9"/>
  <c r="R344" i="9"/>
  <c r="Q344" i="9"/>
  <c r="P344" i="9"/>
  <c r="Y343" i="9"/>
  <c r="X343" i="9"/>
  <c r="W343" i="9"/>
  <c r="V343" i="9"/>
  <c r="U343" i="9"/>
  <c r="T343" i="9"/>
  <c r="S343" i="9"/>
  <c r="R343" i="9"/>
  <c r="Q343" i="9"/>
  <c r="P343" i="9"/>
  <c r="Y342" i="9"/>
  <c r="X342" i="9"/>
  <c r="W342" i="9"/>
  <c r="V342" i="9"/>
  <c r="U342" i="9"/>
  <c r="T342" i="9"/>
  <c r="S342" i="9"/>
  <c r="R342" i="9"/>
  <c r="Q342" i="9"/>
  <c r="P342" i="9"/>
  <c r="Y341" i="9"/>
  <c r="X341" i="9"/>
  <c r="W341" i="9"/>
  <c r="V341" i="9"/>
  <c r="U341" i="9"/>
  <c r="T341" i="9"/>
  <c r="S341" i="9"/>
  <c r="R341" i="9"/>
  <c r="Q341" i="9"/>
  <c r="P341" i="9"/>
  <c r="Y340" i="9"/>
  <c r="X340" i="9"/>
  <c r="W340" i="9"/>
  <c r="V340" i="9"/>
  <c r="U340" i="9"/>
  <c r="T340" i="9"/>
  <c r="S340" i="9"/>
  <c r="R340" i="9"/>
  <c r="Q340" i="9"/>
  <c r="P340" i="9"/>
  <c r="Y339" i="9"/>
  <c r="X339" i="9"/>
  <c r="W339" i="9"/>
  <c r="V339" i="9"/>
  <c r="U339" i="9"/>
  <c r="T339" i="9"/>
  <c r="S339" i="9"/>
  <c r="R339" i="9"/>
  <c r="Q339" i="9"/>
  <c r="P339" i="9"/>
  <c r="Y338" i="9"/>
  <c r="X338" i="9"/>
  <c r="W338" i="9"/>
  <c r="V338" i="9"/>
  <c r="U338" i="9"/>
  <c r="T338" i="9"/>
  <c r="S338" i="9"/>
  <c r="R338" i="9"/>
  <c r="Q338" i="9"/>
  <c r="P338" i="9"/>
  <c r="Y337" i="9"/>
  <c r="X337" i="9"/>
  <c r="W337" i="9"/>
  <c r="V337" i="9"/>
  <c r="U337" i="9"/>
  <c r="T337" i="9"/>
  <c r="S337" i="9"/>
  <c r="R337" i="9"/>
  <c r="Q337" i="9"/>
  <c r="P337" i="9"/>
  <c r="Y336" i="9"/>
  <c r="X336" i="9"/>
  <c r="W336" i="9"/>
  <c r="V336" i="9"/>
  <c r="U336" i="9"/>
  <c r="T336" i="9"/>
  <c r="S336" i="9"/>
  <c r="R336" i="9"/>
  <c r="Q336" i="9"/>
  <c r="P336" i="9"/>
  <c r="Y335" i="9"/>
  <c r="X335" i="9"/>
  <c r="W335" i="9"/>
  <c r="V335" i="9"/>
  <c r="U335" i="9"/>
  <c r="T335" i="9"/>
  <c r="S335" i="9"/>
  <c r="R335" i="9"/>
  <c r="Q335" i="9"/>
  <c r="P335" i="9"/>
  <c r="Y334" i="9"/>
  <c r="X334" i="9"/>
  <c r="W334" i="9"/>
  <c r="V334" i="9"/>
  <c r="U334" i="9"/>
  <c r="T334" i="9"/>
  <c r="S334" i="9"/>
  <c r="R334" i="9"/>
  <c r="Q334" i="9"/>
  <c r="P334" i="9"/>
  <c r="Y333" i="9"/>
  <c r="X333" i="9"/>
  <c r="W333" i="9"/>
  <c r="V333" i="9"/>
  <c r="U333" i="9"/>
  <c r="T333" i="9"/>
  <c r="S333" i="9"/>
  <c r="R333" i="9"/>
  <c r="Q333" i="9"/>
  <c r="P333" i="9"/>
  <c r="Y332" i="9"/>
  <c r="X332" i="9"/>
  <c r="W332" i="9"/>
  <c r="V332" i="9"/>
  <c r="U332" i="9"/>
  <c r="T332" i="9"/>
  <c r="S332" i="9"/>
  <c r="R332" i="9"/>
  <c r="Q332" i="9"/>
  <c r="P332" i="9"/>
  <c r="Y331" i="9"/>
  <c r="X331" i="9"/>
  <c r="W331" i="9"/>
  <c r="V331" i="9"/>
  <c r="U331" i="9"/>
  <c r="T331" i="9"/>
  <c r="S331" i="9"/>
  <c r="R331" i="9"/>
  <c r="Q331" i="9"/>
  <c r="P331" i="9"/>
  <c r="Y330" i="9"/>
  <c r="X330" i="9"/>
  <c r="W330" i="9"/>
  <c r="V330" i="9"/>
  <c r="U330" i="9"/>
  <c r="T330" i="9"/>
  <c r="S330" i="9"/>
  <c r="R330" i="9"/>
  <c r="Q330" i="9"/>
  <c r="P330" i="9"/>
  <c r="Y329" i="9"/>
  <c r="X329" i="9"/>
  <c r="W329" i="9"/>
  <c r="V329" i="9"/>
  <c r="U329" i="9"/>
  <c r="T329" i="9"/>
  <c r="S329" i="9"/>
  <c r="R329" i="9"/>
  <c r="Q329" i="9"/>
  <c r="P329" i="9"/>
  <c r="Y328" i="9"/>
  <c r="X328" i="9"/>
  <c r="W328" i="9"/>
  <c r="V328" i="9"/>
  <c r="U328" i="9"/>
  <c r="T328" i="9"/>
  <c r="S328" i="9"/>
  <c r="R328" i="9"/>
  <c r="Q328" i="9"/>
  <c r="P328" i="9"/>
  <c r="Y327" i="9"/>
  <c r="X327" i="9"/>
  <c r="W327" i="9"/>
  <c r="V327" i="9"/>
  <c r="U327" i="9"/>
  <c r="T327" i="9"/>
  <c r="S327" i="9"/>
  <c r="R327" i="9"/>
  <c r="Q327" i="9"/>
  <c r="P327" i="9"/>
  <c r="Y326" i="9"/>
  <c r="X326" i="9"/>
  <c r="W326" i="9"/>
  <c r="V326" i="9"/>
  <c r="U326" i="9"/>
  <c r="T326" i="9"/>
  <c r="S326" i="9"/>
  <c r="R326" i="9"/>
  <c r="Q326" i="9"/>
  <c r="P326" i="9"/>
  <c r="Y325" i="9"/>
  <c r="X325" i="9"/>
  <c r="W325" i="9"/>
  <c r="V325" i="9"/>
  <c r="U325" i="9"/>
  <c r="T325" i="9"/>
  <c r="S325" i="9"/>
  <c r="R325" i="9"/>
  <c r="Q325" i="9"/>
  <c r="P325" i="9"/>
  <c r="Y324" i="9"/>
  <c r="X324" i="9"/>
  <c r="W324" i="9"/>
  <c r="V324" i="9"/>
  <c r="U324" i="9"/>
  <c r="T324" i="9"/>
  <c r="S324" i="9"/>
  <c r="R324" i="9"/>
  <c r="Q324" i="9"/>
  <c r="P324" i="9"/>
  <c r="Y323" i="9"/>
  <c r="X323" i="9"/>
  <c r="W323" i="9"/>
  <c r="V323" i="9"/>
  <c r="U323" i="9"/>
  <c r="T323" i="9"/>
  <c r="S323" i="9"/>
  <c r="R323" i="9"/>
  <c r="Q323" i="9"/>
  <c r="P323" i="9"/>
  <c r="Y322" i="9"/>
  <c r="X322" i="9"/>
  <c r="W322" i="9"/>
  <c r="V322" i="9"/>
  <c r="U322" i="9"/>
  <c r="T322" i="9"/>
  <c r="S322" i="9"/>
  <c r="R322" i="9"/>
  <c r="Q322" i="9"/>
  <c r="P322" i="9"/>
  <c r="Y321" i="9"/>
  <c r="X321" i="9"/>
  <c r="W321" i="9"/>
  <c r="V321" i="9"/>
  <c r="U321" i="9"/>
  <c r="T321" i="9"/>
  <c r="S321" i="9"/>
  <c r="R321" i="9"/>
  <c r="Q321" i="9"/>
  <c r="P321" i="9"/>
  <c r="Y320" i="9"/>
  <c r="X320" i="9"/>
  <c r="W320" i="9"/>
  <c r="V320" i="9"/>
  <c r="U320" i="9"/>
  <c r="T320" i="9"/>
  <c r="S320" i="9"/>
  <c r="R320" i="9"/>
  <c r="Q320" i="9"/>
  <c r="P320" i="9"/>
  <c r="Y319" i="9"/>
  <c r="X319" i="9"/>
  <c r="W319" i="9"/>
  <c r="V319" i="9"/>
  <c r="U319" i="9"/>
  <c r="T319" i="9"/>
  <c r="S319" i="9"/>
  <c r="R319" i="9"/>
  <c r="Q319" i="9"/>
  <c r="P319" i="9"/>
  <c r="Y318" i="9"/>
  <c r="X318" i="9"/>
  <c r="W318" i="9"/>
  <c r="V318" i="9"/>
  <c r="U318" i="9"/>
  <c r="T318" i="9"/>
  <c r="S318" i="9"/>
  <c r="R318" i="9"/>
  <c r="Q318" i="9"/>
  <c r="P318" i="9"/>
  <c r="Y317" i="9"/>
  <c r="X317" i="9"/>
  <c r="W317" i="9"/>
  <c r="V317" i="9"/>
  <c r="U317" i="9"/>
  <c r="T317" i="9"/>
  <c r="S317" i="9"/>
  <c r="R317" i="9"/>
  <c r="Q317" i="9"/>
  <c r="P317" i="9"/>
  <c r="Y316" i="9"/>
  <c r="X316" i="9"/>
  <c r="W316" i="9"/>
  <c r="V316" i="9"/>
  <c r="U316" i="9"/>
  <c r="T316" i="9"/>
  <c r="S316" i="9"/>
  <c r="R316" i="9"/>
  <c r="Q316" i="9"/>
  <c r="P316" i="9"/>
  <c r="Y315" i="9"/>
  <c r="X315" i="9"/>
  <c r="W315" i="9"/>
  <c r="V315" i="9"/>
  <c r="U315" i="9"/>
  <c r="T315" i="9"/>
  <c r="S315" i="9"/>
  <c r="R315" i="9"/>
  <c r="Q315" i="9"/>
  <c r="P315" i="9"/>
  <c r="Y314" i="9"/>
  <c r="X314" i="9"/>
  <c r="W314" i="9"/>
  <c r="V314" i="9"/>
  <c r="U314" i="9"/>
  <c r="T314" i="9"/>
  <c r="S314" i="9"/>
  <c r="R314" i="9"/>
  <c r="Q314" i="9"/>
  <c r="P314" i="9"/>
  <c r="Y313" i="9"/>
  <c r="X313" i="9"/>
  <c r="W313" i="9"/>
  <c r="V313" i="9"/>
  <c r="U313" i="9"/>
  <c r="T313" i="9"/>
  <c r="S313" i="9"/>
  <c r="R313" i="9"/>
  <c r="Q313" i="9"/>
  <c r="P313" i="9"/>
  <c r="Y312" i="9"/>
  <c r="X312" i="9"/>
  <c r="W312" i="9"/>
  <c r="V312" i="9"/>
  <c r="U312" i="9"/>
  <c r="T312" i="9"/>
  <c r="S312" i="9"/>
  <c r="R312" i="9"/>
  <c r="Q312" i="9"/>
  <c r="P312" i="9"/>
  <c r="Y311" i="9"/>
  <c r="X311" i="9"/>
  <c r="W311" i="9"/>
  <c r="V311" i="9"/>
  <c r="U311" i="9"/>
  <c r="T311" i="9"/>
  <c r="S311" i="9"/>
  <c r="R311" i="9"/>
  <c r="Q311" i="9"/>
  <c r="P311" i="9"/>
  <c r="Y310" i="9"/>
  <c r="X310" i="9"/>
  <c r="W310" i="9"/>
  <c r="V310" i="9"/>
  <c r="U310" i="9"/>
  <c r="T310" i="9"/>
  <c r="S310" i="9"/>
  <c r="R310" i="9"/>
  <c r="Q310" i="9"/>
  <c r="P310" i="9"/>
  <c r="Y309" i="9"/>
  <c r="X309" i="9"/>
  <c r="W309" i="9"/>
  <c r="V309" i="9"/>
  <c r="U309" i="9"/>
  <c r="T309" i="9"/>
  <c r="S309" i="9"/>
  <c r="R309" i="9"/>
  <c r="Q309" i="9"/>
  <c r="P309" i="9"/>
  <c r="Y308" i="9"/>
  <c r="X308" i="9"/>
  <c r="W308" i="9"/>
  <c r="V308" i="9"/>
  <c r="U308" i="9"/>
  <c r="T308" i="9"/>
  <c r="S308" i="9"/>
  <c r="R308" i="9"/>
  <c r="Q308" i="9"/>
  <c r="P308" i="9"/>
  <c r="Y307" i="9"/>
  <c r="X307" i="9"/>
  <c r="W307" i="9"/>
  <c r="V307" i="9"/>
  <c r="U307" i="9"/>
  <c r="T307" i="9"/>
  <c r="S307" i="9"/>
  <c r="R307" i="9"/>
  <c r="Q307" i="9"/>
  <c r="P307" i="9"/>
  <c r="Y306" i="9"/>
  <c r="X306" i="9"/>
  <c r="W306" i="9"/>
  <c r="V306" i="9"/>
  <c r="U306" i="9"/>
  <c r="T306" i="9"/>
  <c r="S306" i="9"/>
  <c r="R306" i="9"/>
  <c r="Q306" i="9"/>
  <c r="P306" i="9"/>
  <c r="Y305" i="9"/>
  <c r="X305" i="9"/>
  <c r="W305" i="9"/>
  <c r="V305" i="9"/>
  <c r="U305" i="9"/>
  <c r="T305" i="9"/>
  <c r="S305" i="9"/>
  <c r="R305" i="9"/>
  <c r="Q305" i="9"/>
  <c r="P305" i="9"/>
  <c r="Y304" i="9"/>
  <c r="X304" i="9"/>
  <c r="W304" i="9"/>
  <c r="V304" i="9"/>
  <c r="U304" i="9"/>
  <c r="T304" i="9"/>
  <c r="S304" i="9"/>
  <c r="R304" i="9"/>
  <c r="Q304" i="9"/>
  <c r="P304" i="9"/>
  <c r="Y303" i="9"/>
  <c r="X303" i="9"/>
  <c r="W303" i="9"/>
  <c r="V303" i="9"/>
  <c r="U303" i="9"/>
  <c r="T303" i="9"/>
  <c r="S303" i="9"/>
  <c r="R303" i="9"/>
  <c r="Q303" i="9"/>
  <c r="P303" i="9"/>
  <c r="Y302" i="9"/>
  <c r="X302" i="9"/>
  <c r="W302" i="9"/>
  <c r="V302" i="9"/>
  <c r="U302" i="9"/>
  <c r="T302" i="9"/>
  <c r="S302" i="9"/>
  <c r="R302" i="9"/>
  <c r="Q302" i="9"/>
  <c r="P302" i="9"/>
  <c r="Y301" i="9"/>
  <c r="X301" i="9"/>
  <c r="W301" i="9"/>
  <c r="V301" i="9"/>
  <c r="U301" i="9"/>
  <c r="T301" i="9"/>
  <c r="S301" i="9"/>
  <c r="R301" i="9"/>
  <c r="Q301" i="9"/>
  <c r="P301" i="9"/>
  <c r="Y300" i="9"/>
  <c r="X300" i="9"/>
  <c r="W300" i="9"/>
  <c r="V300" i="9"/>
  <c r="U300" i="9"/>
  <c r="T300" i="9"/>
  <c r="S300" i="9"/>
  <c r="R300" i="9"/>
  <c r="Q300" i="9"/>
  <c r="P300" i="9"/>
  <c r="Y299" i="9"/>
  <c r="X299" i="9"/>
  <c r="W299" i="9"/>
  <c r="V299" i="9"/>
  <c r="U299" i="9"/>
  <c r="T299" i="9"/>
  <c r="S299" i="9"/>
  <c r="R299" i="9"/>
  <c r="Q299" i="9"/>
  <c r="P299" i="9"/>
  <c r="Y298" i="9"/>
  <c r="X298" i="9"/>
  <c r="W298" i="9"/>
  <c r="V298" i="9"/>
  <c r="U298" i="9"/>
  <c r="T298" i="9"/>
  <c r="S298" i="9"/>
  <c r="R298" i="9"/>
  <c r="Q298" i="9"/>
  <c r="P298" i="9"/>
  <c r="Y297" i="9"/>
  <c r="X297" i="9"/>
  <c r="W297" i="9"/>
  <c r="V297" i="9"/>
  <c r="U297" i="9"/>
  <c r="T297" i="9"/>
  <c r="S297" i="9"/>
  <c r="R297" i="9"/>
  <c r="Q297" i="9"/>
  <c r="P297" i="9"/>
  <c r="Y296" i="9"/>
  <c r="X296" i="9"/>
  <c r="W296" i="9"/>
  <c r="V296" i="9"/>
  <c r="U296" i="9"/>
  <c r="T296" i="9"/>
  <c r="S296" i="9"/>
  <c r="R296" i="9"/>
  <c r="Q296" i="9"/>
  <c r="P296" i="9"/>
  <c r="Y295" i="9"/>
  <c r="X295" i="9"/>
  <c r="W295" i="9"/>
  <c r="V295" i="9"/>
  <c r="U295" i="9"/>
  <c r="T295" i="9"/>
  <c r="S295" i="9"/>
  <c r="R295" i="9"/>
  <c r="Q295" i="9"/>
  <c r="P295" i="9"/>
  <c r="Y294" i="9"/>
  <c r="X294" i="9"/>
  <c r="W294" i="9"/>
  <c r="V294" i="9"/>
  <c r="U294" i="9"/>
  <c r="T294" i="9"/>
  <c r="S294" i="9"/>
  <c r="R294" i="9"/>
  <c r="Q294" i="9"/>
  <c r="P294" i="9"/>
  <c r="Y293" i="9"/>
  <c r="X293" i="9"/>
  <c r="W293" i="9"/>
  <c r="V293" i="9"/>
  <c r="U293" i="9"/>
  <c r="T293" i="9"/>
  <c r="S293" i="9"/>
  <c r="R293" i="9"/>
  <c r="Q293" i="9"/>
  <c r="P293" i="9"/>
  <c r="Y292" i="9"/>
  <c r="X292" i="9"/>
  <c r="W292" i="9"/>
  <c r="V292" i="9"/>
  <c r="U292" i="9"/>
  <c r="T292" i="9"/>
  <c r="S292" i="9"/>
  <c r="R292" i="9"/>
  <c r="Q292" i="9"/>
  <c r="P292" i="9"/>
  <c r="Y291" i="9"/>
  <c r="X291" i="9"/>
  <c r="W291" i="9"/>
  <c r="V291" i="9"/>
  <c r="U291" i="9"/>
  <c r="T291" i="9"/>
  <c r="S291" i="9"/>
  <c r="R291" i="9"/>
  <c r="Q291" i="9"/>
  <c r="P291" i="9"/>
  <c r="Y290" i="9"/>
  <c r="X290" i="9"/>
  <c r="W290" i="9"/>
  <c r="V290" i="9"/>
  <c r="U290" i="9"/>
  <c r="T290" i="9"/>
  <c r="S290" i="9"/>
  <c r="R290" i="9"/>
  <c r="Q290" i="9"/>
  <c r="P290" i="9"/>
  <c r="Y289" i="9"/>
  <c r="X289" i="9"/>
  <c r="W289" i="9"/>
  <c r="V289" i="9"/>
  <c r="U289" i="9"/>
  <c r="T289" i="9"/>
  <c r="S289" i="9"/>
  <c r="R289" i="9"/>
  <c r="Q289" i="9"/>
  <c r="P289" i="9"/>
  <c r="Y288" i="9"/>
  <c r="X288" i="9"/>
  <c r="W288" i="9"/>
  <c r="V288" i="9"/>
  <c r="U288" i="9"/>
  <c r="T288" i="9"/>
  <c r="S288" i="9"/>
  <c r="R288" i="9"/>
  <c r="Q288" i="9"/>
  <c r="P288" i="9"/>
  <c r="Y287" i="9"/>
  <c r="X287" i="9"/>
  <c r="W287" i="9"/>
  <c r="V287" i="9"/>
  <c r="U287" i="9"/>
  <c r="T287" i="9"/>
  <c r="S287" i="9"/>
  <c r="R287" i="9"/>
  <c r="Q287" i="9"/>
  <c r="P287" i="9"/>
  <c r="Y286" i="9"/>
  <c r="X286" i="9"/>
  <c r="W286" i="9"/>
  <c r="V286" i="9"/>
  <c r="U286" i="9"/>
  <c r="T286" i="9"/>
  <c r="S286" i="9"/>
  <c r="R286" i="9"/>
  <c r="Q286" i="9"/>
  <c r="P286" i="9"/>
  <c r="Y285" i="9"/>
  <c r="X285" i="9"/>
  <c r="W285" i="9"/>
  <c r="V285" i="9"/>
  <c r="U285" i="9"/>
  <c r="T285" i="9"/>
  <c r="S285" i="9"/>
  <c r="R285" i="9"/>
  <c r="Q285" i="9"/>
  <c r="P285" i="9"/>
  <c r="Y284" i="9"/>
  <c r="X284" i="9"/>
  <c r="W284" i="9"/>
  <c r="V284" i="9"/>
  <c r="U284" i="9"/>
  <c r="T284" i="9"/>
  <c r="S284" i="9"/>
  <c r="R284" i="9"/>
  <c r="Q284" i="9"/>
  <c r="P284" i="9"/>
  <c r="Y283" i="9"/>
  <c r="X283" i="9"/>
  <c r="W283" i="9"/>
  <c r="V283" i="9"/>
  <c r="U283" i="9"/>
  <c r="T283" i="9"/>
  <c r="S283" i="9"/>
  <c r="R283" i="9"/>
  <c r="Q283" i="9"/>
  <c r="P283" i="9"/>
  <c r="Y282" i="9"/>
  <c r="X282" i="9"/>
  <c r="W282" i="9"/>
  <c r="V282" i="9"/>
  <c r="U282" i="9"/>
  <c r="T282" i="9"/>
  <c r="S282" i="9"/>
  <c r="R282" i="9"/>
  <c r="Q282" i="9"/>
  <c r="P282" i="9"/>
  <c r="Y281" i="9"/>
  <c r="X281" i="9"/>
  <c r="W281" i="9"/>
  <c r="V281" i="9"/>
  <c r="U281" i="9"/>
  <c r="T281" i="9"/>
  <c r="S281" i="9"/>
  <c r="R281" i="9"/>
  <c r="Q281" i="9"/>
  <c r="P281" i="9"/>
  <c r="Y280" i="9"/>
  <c r="X280" i="9"/>
  <c r="W280" i="9"/>
  <c r="V280" i="9"/>
  <c r="U280" i="9"/>
  <c r="T280" i="9"/>
  <c r="S280" i="9"/>
  <c r="R280" i="9"/>
  <c r="Q280" i="9"/>
  <c r="P280" i="9"/>
  <c r="Y279" i="9"/>
  <c r="X279" i="9"/>
  <c r="W279" i="9"/>
  <c r="V279" i="9"/>
  <c r="U279" i="9"/>
  <c r="T279" i="9"/>
  <c r="S279" i="9"/>
  <c r="R279" i="9"/>
  <c r="Q279" i="9"/>
  <c r="P279" i="9"/>
  <c r="Y278" i="9"/>
  <c r="X278" i="9"/>
  <c r="W278" i="9"/>
  <c r="V278" i="9"/>
  <c r="U278" i="9"/>
  <c r="T278" i="9"/>
  <c r="S278" i="9"/>
  <c r="R278" i="9"/>
  <c r="Q278" i="9"/>
  <c r="P278" i="9"/>
  <c r="Y277" i="9"/>
  <c r="X277" i="9"/>
  <c r="W277" i="9"/>
  <c r="V277" i="9"/>
  <c r="U277" i="9"/>
  <c r="T277" i="9"/>
  <c r="S277" i="9"/>
  <c r="R277" i="9"/>
  <c r="Q277" i="9"/>
  <c r="P277" i="9"/>
  <c r="Y276" i="9"/>
  <c r="X276" i="9"/>
  <c r="W276" i="9"/>
  <c r="V276" i="9"/>
  <c r="U276" i="9"/>
  <c r="T276" i="9"/>
  <c r="S276" i="9"/>
  <c r="R276" i="9"/>
  <c r="Q276" i="9"/>
  <c r="P276" i="9"/>
  <c r="Y275" i="9"/>
  <c r="X275" i="9"/>
  <c r="W275" i="9"/>
  <c r="V275" i="9"/>
  <c r="U275" i="9"/>
  <c r="T275" i="9"/>
  <c r="S275" i="9"/>
  <c r="R275" i="9"/>
  <c r="Q275" i="9"/>
  <c r="P275" i="9"/>
  <c r="Y274" i="9"/>
  <c r="X274" i="9"/>
  <c r="W274" i="9"/>
  <c r="V274" i="9"/>
  <c r="U274" i="9"/>
  <c r="T274" i="9"/>
  <c r="S274" i="9"/>
  <c r="R274" i="9"/>
  <c r="Q274" i="9"/>
  <c r="P274" i="9"/>
  <c r="Y273" i="9"/>
  <c r="X273" i="9"/>
  <c r="W273" i="9"/>
  <c r="V273" i="9"/>
  <c r="U273" i="9"/>
  <c r="T273" i="9"/>
  <c r="S273" i="9"/>
  <c r="R273" i="9"/>
  <c r="Q273" i="9"/>
  <c r="P273" i="9"/>
  <c r="Y272" i="9"/>
  <c r="X272" i="9"/>
  <c r="W272" i="9"/>
  <c r="V272" i="9"/>
  <c r="U272" i="9"/>
  <c r="T272" i="9"/>
  <c r="S272" i="9"/>
  <c r="R272" i="9"/>
  <c r="Q272" i="9"/>
  <c r="P272" i="9"/>
  <c r="Y271" i="9"/>
  <c r="X271" i="9"/>
  <c r="W271" i="9"/>
  <c r="V271" i="9"/>
  <c r="U271" i="9"/>
  <c r="T271" i="9"/>
  <c r="S271" i="9"/>
  <c r="R271" i="9"/>
  <c r="Q271" i="9"/>
  <c r="P271" i="9"/>
  <c r="Y270" i="9"/>
  <c r="X270" i="9"/>
  <c r="W270" i="9"/>
  <c r="V270" i="9"/>
  <c r="U270" i="9"/>
  <c r="T270" i="9"/>
  <c r="S270" i="9"/>
  <c r="R270" i="9"/>
  <c r="Q270" i="9"/>
  <c r="P270" i="9"/>
  <c r="Y269" i="9"/>
  <c r="X269" i="9"/>
  <c r="W269" i="9"/>
  <c r="V269" i="9"/>
  <c r="U269" i="9"/>
  <c r="T269" i="9"/>
  <c r="S269" i="9"/>
  <c r="R269" i="9"/>
  <c r="Q269" i="9"/>
  <c r="P269" i="9"/>
  <c r="Y268" i="9"/>
  <c r="X268" i="9"/>
  <c r="W268" i="9"/>
  <c r="V268" i="9"/>
  <c r="U268" i="9"/>
  <c r="T268" i="9"/>
  <c r="S268" i="9"/>
  <c r="R268" i="9"/>
  <c r="Q268" i="9"/>
  <c r="P268" i="9"/>
  <c r="Y267" i="9"/>
  <c r="X267" i="9"/>
  <c r="W267" i="9"/>
  <c r="V267" i="9"/>
  <c r="U267" i="9"/>
  <c r="T267" i="9"/>
  <c r="S267" i="9"/>
  <c r="R267" i="9"/>
  <c r="Q267" i="9"/>
  <c r="P267" i="9"/>
  <c r="Y266" i="9"/>
  <c r="X266" i="9"/>
  <c r="W266" i="9"/>
  <c r="V266" i="9"/>
  <c r="U266" i="9"/>
  <c r="T266" i="9"/>
  <c r="S266" i="9"/>
  <c r="R266" i="9"/>
  <c r="Q266" i="9"/>
  <c r="P266" i="9"/>
  <c r="Y265" i="9"/>
  <c r="X265" i="9"/>
  <c r="W265" i="9"/>
  <c r="V265" i="9"/>
  <c r="U265" i="9"/>
  <c r="T265" i="9"/>
  <c r="S265" i="9"/>
  <c r="R265" i="9"/>
  <c r="Q265" i="9"/>
  <c r="P265" i="9"/>
  <c r="Y264" i="9"/>
  <c r="X264" i="9"/>
  <c r="W264" i="9"/>
  <c r="V264" i="9"/>
  <c r="U264" i="9"/>
  <c r="T264" i="9"/>
  <c r="S264" i="9"/>
  <c r="R264" i="9"/>
  <c r="Q264" i="9"/>
  <c r="P264" i="9"/>
  <c r="Y263" i="9"/>
  <c r="X263" i="9"/>
  <c r="W263" i="9"/>
  <c r="V263" i="9"/>
  <c r="U263" i="9"/>
  <c r="T263" i="9"/>
  <c r="S263" i="9"/>
  <c r="R263" i="9"/>
  <c r="Q263" i="9"/>
  <c r="P263" i="9"/>
  <c r="Y262" i="9"/>
  <c r="X262" i="9"/>
  <c r="W262" i="9"/>
  <c r="V262" i="9"/>
  <c r="U262" i="9"/>
  <c r="T262" i="9"/>
  <c r="S262" i="9"/>
  <c r="R262" i="9"/>
  <c r="Q262" i="9"/>
  <c r="P262" i="9"/>
  <c r="Y261" i="9"/>
  <c r="X261" i="9"/>
  <c r="W261" i="9"/>
  <c r="V261" i="9"/>
  <c r="U261" i="9"/>
  <c r="T261" i="9"/>
  <c r="S261" i="9"/>
  <c r="R261" i="9"/>
  <c r="Q261" i="9"/>
  <c r="P261" i="9"/>
  <c r="Y260" i="9"/>
  <c r="X260" i="9"/>
  <c r="W260" i="9"/>
  <c r="V260" i="9"/>
  <c r="U260" i="9"/>
  <c r="T260" i="9"/>
  <c r="S260" i="9"/>
  <c r="R260" i="9"/>
  <c r="Q260" i="9"/>
  <c r="P260" i="9"/>
  <c r="Y259" i="9"/>
  <c r="X259" i="9"/>
  <c r="W259" i="9"/>
  <c r="V259" i="9"/>
  <c r="U259" i="9"/>
  <c r="T259" i="9"/>
  <c r="S259" i="9"/>
  <c r="R259" i="9"/>
  <c r="Q259" i="9"/>
  <c r="P259" i="9"/>
  <c r="Y258" i="9"/>
  <c r="X258" i="9"/>
  <c r="W258" i="9"/>
  <c r="V258" i="9"/>
  <c r="U258" i="9"/>
  <c r="T258" i="9"/>
  <c r="S258" i="9"/>
  <c r="R258" i="9"/>
  <c r="Q258" i="9"/>
  <c r="P258" i="9"/>
  <c r="Y257" i="9"/>
  <c r="X257" i="9"/>
  <c r="W257" i="9"/>
  <c r="V257" i="9"/>
  <c r="U257" i="9"/>
  <c r="T257" i="9"/>
  <c r="S257" i="9"/>
  <c r="R257" i="9"/>
  <c r="Q257" i="9"/>
  <c r="P257" i="9"/>
  <c r="Y256" i="9"/>
  <c r="X256" i="9"/>
  <c r="W256" i="9"/>
  <c r="V256" i="9"/>
  <c r="U256" i="9"/>
  <c r="T256" i="9"/>
  <c r="S256" i="9"/>
  <c r="R256" i="9"/>
  <c r="Q256" i="9"/>
  <c r="P256" i="9"/>
  <c r="Y255" i="9"/>
  <c r="X255" i="9"/>
  <c r="W255" i="9"/>
  <c r="V255" i="9"/>
  <c r="U255" i="9"/>
  <c r="T255" i="9"/>
  <c r="S255" i="9"/>
  <c r="R255" i="9"/>
  <c r="Q255" i="9"/>
  <c r="P255" i="9"/>
  <c r="Y254" i="9"/>
  <c r="X254" i="9"/>
  <c r="W254" i="9"/>
  <c r="V254" i="9"/>
  <c r="U254" i="9"/>
  <c r="T254" i="9"/>
  <c r="S254" i="9"/>
  <c r="R254" i="9"/>
  <c r="Q254" i="9"/>
  <c r="P254" i="9"/>
  <c r="Y253" i="9"/>
  <c r="X253" i="9"/>
  <c r="W253" i="9"/>
  <c r="V253" i="9"/>
  <c r="U253" i="9"/>
  <c r="T253" i="9"/>
  <c r="S253" i="9"/>
  <c r="R253" i="9"/>
  <c r="Q253" i="9"/>
  <c r="P253" i="9"/>
  <c r="Y252" i="9"/>
  <c r="X252" i="9"/>
  <c r="W252" i="9"/>
  <c r="V252" i="9"/>
  <c r="U252" i="9"/>
  <c r="T252" i="9"/>
  <c r="S252" i="9"/>
  <c r="R252" i="9"/>
  <c r="Q252" i="9"/>
  <c r="P252" i="9"/>
  <c r="Y251" i="9"/>
  <c r="X251" i="9"/>
  <c r="W251" i="9"/>
  <c r="V251" i="9"/>
  <c r="U251" i="9"/>
  <c r="T251" i="9"/>
  <c r="S251" i="9"/>
  <c r="R251" i="9"/>
  <c r="Q251" i="9"/>
  <c r="P251" i="9"/>
  <c r="Y250" i="9"/>
  <c r="X250" i="9"/>
  <c r="W250" i="9"/>
  <c r="V250" i="9"/>
  <c r="U250" i="9"/>
  <c r="T250" i="9"/>
  <c r="S250" i="9"/>
  <c r="R250" i="9"/>
  <c r="Q250" i="9"/>
  <c r="P250" i="9"/>
  <c r="Y249" i="9"/>
  <c r="X249" i="9"/>
  <c r="W249" i="9"/>
  <c r="V249" i="9"/>
  <c r="U249" i="9"/>
  <c r="T249" i="9"/>
  <c r="S249" i="9"/>
  <c r="R249" i="9"/>
  <c r="Q249" i="9"/>
  <c r="P249" i="9"/>
  <c r="Y248" i="9"/>
  <c r="X248" i="9"/>
  <c r="W248" i="9"/>
  <c r="V248" i="9"/>
  <c r="U248" i="9"/>
  <c r="T248" i="9"/>
  <c r="S248" i="9"/>
  <c r="R248" i="9"/>
  <c r="Q248" i="9"/>
  <c r="P248" i="9"/>
  <c r="Y247" i="9"/>
  <c r="X247" i="9"/>
  <c r="W247" i="9"/>
  <c r="V247" i="9"/>
  <c r="U247" i="9"/>
  <c r="T247" i="9"/>
  <c r="S247" i="9"/>
  <c r="R247" i="9"/>
  <c r="Q247" i="9"/>
  <c r="P247" i="9"/>
  <c r="Y246" i="9"/>
  <c r="X246" i="9"/>
  <c r="W246" i="9"/>
  <c r="V246" i="9"/>
  <c r="U246" i="9"/>
  <c r="T246" i="9"/>
  <c r="S246" i="9"/>
  <c r="R246" i="9"/>
  <c r="Q246" i="9"/>
  <c r="P246" i="9"/>
  <c r="Y245" i="9"/>
  <c r="X245" i="9"/>
  <c r="W245" i="9"/>
  <c r="V245" i="9"/>
  <c r="U245" i="9"/>
  <c r="T245" i="9"/>
  <c r="S245" i="9"/>
  <c r="R245" i="9"/>
  <c r="Q245" i="9"/>
  <c r="P245" i="9"/>
  <c r="Q80" i="6"/>
  <c r="P80" i="6"/>
  <c r="O80" i="6"/>
  <c r="K73" i="6"/>
  <c r="J73" i="6"/>
  <c r="I73" i="6"/>
  <c r="E68" i="6"/>
  <c r="D68" i="6"/>
  <c r="C68" i="6"/>
  <c r="Q38" i="6"/>
  <c r="K38" i="6"/>
  <c r="E38" i="6"/>
  <c r="N37" i="6"/>
  <c r="N38" i="6" s="1"/>
  <c r="H37" i="6"/>
  <c r="H38" i="6" s="1"/>
  <c r="B37" i="6"/>
  <c r="B38" i="6" s="1"/>
  <c r="W29" i="6"/>
  <c r="V29" i="6"/>
  <c r="U29" i="6"/>
  <c r="Q29" i="6"/>
  <c r="P29" i="6"/>
  <c r="O29" i="6"/>
  <c r="K27" i="6"/>
  <c r="J27" i="6"/>
  <c r="I27" i="6"/>
  <c r="D27" i="6"/>
  <c r="C27" i="6"/>
  <c r="Q9" i="6"/>
  <c r="K9" i="6"/>
  <c r="E9" i="6"/>
  <c r="E27" i="6" s="1"/>
  <c r="T8" i="6"/>
  <c r="T9" i="6" s="1"/>
  <c r="N8" i="6"/>
  <c r="N9" i="6" s="1"/>
  <c r="H8" i="6"/>
  <c r="H9" i="6" s="1"/>
  <c r="B8" i="6"/>
  <c r="B9" i="6" s="1"/>
  <c r="F6" i="6"/>
  <c r="D5" i="6"/>
  <c r="F4" i="6"/>
  <c r="Q80" i="5"/>
  <c r="P80" i="5"/>
  <c r="O80" i="5"/>
  <c r="K73" i="5"/>
  <c r="J73" i="5"/>
  <c r="I73" i="5"/>
  <c r="E68" i="5"/>
  <c r="D68" i="5"/>
  <c r="C68" i="5"/>
  <c r="N37" i="5"/>
  <c r="N38" i="5" s="1"/>
  <c r="H37" i="5"/>
  <c r="H38" i="5" s="1"/>
  <c r="B37" i="5"/>
  <c r="B38" i="5" s="1"/>
  <c r="W29" i="5"/>
  <c r="V29" i="5"/>
  <c r="U29" i="5"/>
  <c r="Q29" i="5"/>
  <c r="P29" i="5"/>
  <c r="O29" i="5"/>
  <c r="K27" i="5"/>
  <c r="J27" i="5"/>
  <c r="I27" i="5"/>
  <c r="E27" i="5"/>
  <c r="D27" i="5"/>
  <c r="C27" i="5"/>
  <c r="T8" i="5"/>
  <c r="T9" i="5" s="1"/>
  <c r="N8" i="5"/>
  <c r="N9" i="5" s="1"/>
  <c r="H8" i="5"/>
  <c r="H9" i="5" s="1"/>
  <c r="B8" i="5"/>
  <c r="B9" i="5" s="1"/>
  <c r="F6" i="5"/>
  <c r="D5" i="5"/>
  <c r="F4" i="5"/>
  <c r="Q78" i="4"/>
  <c r="P78" i="4"/>
  <c r="O78" i="4"/>
  <c r="K71" i="4"/>
  <c r="J71" i="4"/>
  <c r="I71" i="4"/>
  <c r="E66" i="4"/>
  <c r="D66" i="4"/>
  <c r="C66" i="4"/>
  <c r="N36" i="4"/>
  <c r="N37" i="4" s="1"/>
  <c r="H36" i="4"/>
  <c r="H37" i="4" s="1"/>
  <c r="B36" i="4"/>
  <c r="B37" i="4" s="1"/>
  <c r="W28" i="4"/>
  <c r="V28" i="4"/>
  <c r="U28" i="4"/>
  <c r="Q28" i="4"/>
  <c r="P28" i="4"/>
  <c r="O28" i="4"/>
  <c r="K26" i="4"/>
  <c r="J26" i="4"/>
  <c r="I26" i="4"/>
  <c r="E26" i="4"/>
  <c r="D26" i="4"/>
  <c r="C26" i="4"/>
  <c r="T8" i="4"/>
  <c r="T9" i="4" s="1"/>
  <c r="N8" i="4"/>
  <c r="N9" i="4" s="1"/>
  <c r="H8" i="4"/>
  <c r="H9" i="4" s="1"/>
  <c r="B8" i="4"/>
  <c r="B9" i="4" s="1"/>
  <c r="F6" i="4"/>
  <c r="D5" i="4"/>
  <c r="F4" i="4"/>
  <c r="Q76" i="3"/>
  <c r="P76" i="3"/>
  <c r="O76" i="3"/>
  <c r="K69" i="3"/>
  <c r="J69" i="3"/>
  <c r="I69" i="3"/>
  <c r="E64" i="3"/>
  <c r="D64" i="3"/>
  <c r="C64" i="3"/>
  <c r="N35" i="3"/>
  <c r="N36" i="3" s="1"/>
  <c r="H35" i="3"/>
  <c r="H36" i="3" s="1"/>
  <c r="B35" i="3"/>
  <c r="B36" i="3" s="1"/>
  <c r="W27" i="3"/>
  <c r="V27" i="3"/>
  <c r="U27" i="3"/>
  <c r="Q27" i="3"/>
  <c r="P27" i="3"/>
  <c r="O27" i="3"/>
  <c r="K25" i="3"/>
  <c r="J25" i="3"/>
  <c r="I25" i="3"/>
  <c r="E25" i="3"/>
  <c r="D25" i="3"/>
  <c r="C25" i="3"/>
  <c r="T8" i="3"/>
  <c r="T9" i="3" s="1"/>
  <c r="N8" i="3"/>
  <c r="N9" i="3" s="1"/>
  <c r="H8" i="3"/>
  <c r="H9" i="3" s="1"/>
  <c r="B8" i="3"/>
  <c r="B9" i="3" s="1"/>
  <c r="F6" i="3"/>
  <c r="D5" i="3"/>
  <c r="F4" i="3"/>
  <c r="Q74" i="2"/>
  <c r="P74" i="2"/>
  <c r="O74" i="2"/>
  <c r="K67" i="2"/>
  <c r="J67" i="2"/>
  <c r="I67" i="2"/>
  <c r="E62" i="2"/>
  <c r="D62" i="2"/>
  <c r="C62" i="2"/>
  <c r="N34" i="2"/>
  <c r="N35" i="2" s="1"/>
  <c r="H34" i="2"/>
  <c r="H35" i="2" s="1"/>
  <c r="B34" i="2"/>
  <c r="B35" i="2" s="1"/>
  <c r="W26" i="2"/>
  <c r="V26" i="2"/>
  <c r="U26" i="2"/>
  <c r="Q26" i="2"/>
  <c r="P26" i="2"/>
  <c r="O26" i="2"/>
  <c r="K24" i="2"/>
  <c r="J24" i="2"/>
  <c r="I24" i="2"/>
  <c r="E24" i="2"/>
  <c r="D24" i="2"/>
  <c r="C24" i="2"/>
  <c r="T8" i="2"/>
  <c r="T9" i="2" s="1"/>
  <c r="N8" i="2"/>
  <c r="N9" i="2" s="1"/>
  <c r="H8" i="2"/>
  <c r="H9" i="2" s="1"/>
  <c r="B8" i="2"/>
  <c r="B9" i="2" s="1"/>
  <c r="F6" i="2"/>
  <c r="D5" i="2"/>
  <c r="F4" i="2"/>
  <c r="Q72" i="1"/>
  <c r="P72" i="1"/>
  <c r="O72" i="1"/>
  <c r="K65" i="1"/>
  <c r="J65" i="1"/>
  <c r="I65" i="1"/>
  <c r="E60" i="1"/>
  <c r="D60" i="1"/>
  <c r="C60" i="1"/>
  <c r="N33" i="1"/>
  <c r="N34" i="1" s="1"/>
  <c r="H33" i="1"/>
  <c r="H34" i="1" s="1"/>
  <c r="B33" i="1"/>
  <c r="B34" i="1" s="1"/>
  <c r="W25" i="1"/>
  <c r="V25" i="1"/>
  <c r="U25" i="1"/>
  <c r="Q25" i="1"/>
  <c r="P25" i="1"/>
  <c r="O25" i="1"/>
  <c r="K23" i="1"/>
  <c r="J23" i="1"/>
  <c r="I23" i="1"/>
  <c r="E23" i="1"/>
  <c r="D23" i="1"/>
  <c r="C23" i="1"/>
  <c r="T8" i="1"/>
  <c r="T9" i="1" s="1"/>
  <c r="N8" i="1"/>
  <c r="N9" i="1" s="1"/>
  <c r="H8" i="1"/>
  <c r="H9" i="1" s="1"/>
  <c r="B8" i="1"/>
  <c r="B9" i="1" s="1"/>
  <c r="F6" i="1"/>
  <c r="D5" i="1"/>
  <c r="F4" i="1"/>
  <c r="O244" i="9"/>
  <c r="C242" i="9"/>
  <c r="E241" i="9"/>
  <c r="G240" i="9"/>
  <c r="I239" i="9"/>
  <c r="K238" i="9"/>
  <c r="M237" i="9"/>
  <c r="O236" i="9"/>
  <c r="C234" i="9"/>
  <c r="E233" i="9"/>
  <c r="G232" i="9"/>
  <c r="I231" i="9"/>
  <c r="K230" i="9"/>
  <c r="M229" i="9"/>
  <c r="O228" i="9"/>
  <c r="C226" i="9"/>
  <c r="E225" i="9"/>
  <c r="G224" i="9"/>
  <c r="I223" i="9"/>
  <c r="K222" i="9"/>
  <c r="M221" i="9"/>
  <c r="O220" i="9"/>
  <c r="C218" i="9"/>
  <c r="E217" i="9"/>
  <c r="G216" i="9"/>
  <c r="I215" i="9"/>
  <c r="K214" i="9"/>
  <c r="M213" i="9"/>
  <c r="O212" i="9"/>
  <c r="C210" i="9"/>
  <c r="E209" i="9"/>
  <c r="G208" i="9"/>
  <c r="I207" i="9"/>
  <c r="K206" i="9"/>
  <c r="M205" i="9"/>
  <c r="O204" i="9"/>
  <c r="C202" i="9"/>
  <c r="E201" i="9"/>
  <c r="G200" i="9"/>
  <c r="M244" i="9"/>
  <c r="O243" i="9"/>
  <c r="C241" i="9"/>
  <c r="E240" i="9"/>
  <c r="G239" i="9"/>
  <c r="I238" i="9"/>
  <c r="K237" i="9"/>
  <c r="M236" i="9"/>
  <c r="O235" i="9"/>
  <c r="C233" i="9"/>
  <c r="E232" i="9"/>
  <c r="G231" i="9"/>
  <c r="I230" i="9"/>
  <c r="K229" i="9"/>
  <c r="M228" i="9"/>
  <c r="O227" i="9"/>
  <c r="C225" i="9"/>
  <c r="E224" i="9"/>
  <c r="G223" i="9"/>
  <c r="I222" i="9"/>
  <c r="K221" i="9"/>
  <c r="M220" i="9"/>
  <c r="O219" i="9"/>
  <c r="C217" i="9"/>
  <c r="E216" i="9"/>
  <c r="G215" i="9"/>
  <c r="I214" i="9"/>
  <c r="K213" i="9"/>
  <c r="M212" i="9"/>
  <c r="O211" i="9"/>
  <c r="C209" i="9"/>
  <c r="E208" i="9"/>
  <c r="G207" i="9"/>
  <c r="I206" i="9"/>
  <c r="K205" i="9"/>
  <c r="M204" i="9"/>
  <c r="O203" i="9"/>
  <c r="C201" i="9"/>
  <c r="E200" i="9"/>
  <c r="K244" i="9"/>
  <c r="M243" i="9"/>
  <c r="O242" i="9"/>
  <c r="C240" i="9"/>
  <c r="E239" i="9"/>
  <c r="G238" i="9"/>
  <c r="I237" i="9"/>
  <c r="K236" i="9"/>
  <c r="M235" i="9"/>
  <c r="O234" i="9"/>
  <c r="C232" i="9"/>
  <c r="E231" i="9"/>
  <c r="G230" i="9"/>
  <c r="I229" i="9"/>
  <c r="K228" i="9"/>
  <c r="M227" i="9"/>
  <c r="O226" i="9"/>
  <c r="C224" i="9"/>
  <c r="E223" i="9"/>
  <c r="G222" i="9"/>
  <c r="I221" i="9"/>
  <c r="K220" i="9"/>
  <c r="M219" i="9"/>
  <c r="O218" i="9"/>
  <c r="C216" i="9"/>
  <c r="E215" i="9"/>
  <c r="G214" i="9"/>
  <c r="I213" i="9"/>
  <c r="K212" i="9"/>
  <c r="M211" i="9"/>
  <c r="O210" i="9"/>
  <c r="C208" i="9"/>
  <c r="E207" i="9"/>
  <c r="G206" i="9"/>
  <c r="I205" i="9"/>
  <c r="K204" i="9"/>
  <c r="M203" i="9"/>
  <c r="O202" i="9"/>
  <c r="C200" i="9"/>
  <c r="I244" i="9"/>
  <c r="K243" i="9"/>
  <c r="M242" i="9"/>
  <c r="O241" i="9"/>
  <c r="C239" i="9"/>
  <c r="E238" i="9"/>
  <c r="G237" i="9"/>
  <c r="I236" i="9"/>
  <c r="K235" i="9"/>
  <c r="M234" i="9"/>
  <c r="O233" i="9"/>
  <c r="C231" i="9"/>
  <c r="E230" i="9"/>
  <c r="G229" i="9"/>
  <c r="I228" i="9"/>
  <c r="K227" i="9"/>
  <c r="M226" i="9"/>
  <c r="O225" i="9"/>
  <c r="C223" i="9"/>
  <c r="E222" i="9"/>
  <c r="G221" i="9"/>
  <c r="I220" i="9"/>
  <c r="K219" i="9"/>
  <c r="M218" i="9"/>
  <c r="O217" i="9"/>
  <c r="C215" i="9"/>
  <c r="E214" i="9"/>
  <c r="G213" i="9"/>
  <c r="I212" i="9"/>
  <c r="K211" i="9"/>
  <c r="M210" i="9"/>
  <c r="O209" i="9"/>
  <c r="C207" i="9"/>
  <c r="E206" i="9"/>
  <c r="G205" i="9"/>
  <c r="I204" i="9"/>
  <c r="K203" i="9"/>
  <c r="M202" i="9"/>
  <c r="O201" i="9"/>
  <c r="G244" i="9"/>
  <c r="I243" i="9"/>
  <c r="K242" i="9"/>
  <c r="M241" i="9"/>
  <c r="O240" i="9"/>
  <c r="C238" i="9"/>
  <c r="E237" i="9"/>
  <c r="G236" i="9"/>
  <c r="I235" i="9"/>
  <c r="K234" i="9"/>
  <c r="M233" i="9"/>
  <c r="O232" i="9"/>
  <c r="C230" i="9"/>
  <c r="E229" i="9"/>
  <c r="G228" i="9"/>
  <c r="I227" i="9"/>
  <c r="K226" i="9"/>
  <c r="M225" i="9"/>
  <c r="O224" i="9"/>
  <c r="C222" i="9"/>
  <c r="E221" i="9"/>
  <c r="G220" i="9"/>
  <c r="I219" i="9"/>
  <c r="K218" i="9"/>
  <c r="M217" i="9"/>
  <c r="O216" i="9"/>
  <c r="C214" i="9"/>
  <c r="E213" i="9"/>
  <c r="G212" i="9"/>
  <c r="I211" i="9"/>
  <c r="K210" i="9"/>
  <c r="M209" i="9"/>
  <c r="O208" i="9"/>
  <c r="C206" i="9"/>
  <c r="E205" i="9"/>
  <c r="G204" i="9"/>
  <c r="I203" i="9"/>
  <c r="K202" i="9"/>
  <c r="M201" i="9"/>
  <c r="O200" i="9"/>
  <c r="E244" i="9"/>
  <c r="G243" i="9"/>
  <c r="I242" i="9"/>
  <c r="K241" i="9"/>
  <c r="M240" i="9"/>
  <c r="O239" i="9"/>
  <c r="C237" i="9"/>
  <c r="E236" i="9"/>
  <c r="G235" i="9"/>
  <c r="I234" i="9"/>
  <c r="K233" i="9"/>
  <c r="M232" i="9"/>
  <c r="O231" i="9"/>
  <c r="C229" i="9"/>
  <c r="E228" i="9"/>
  <c r="G227" i="9"/>
  <c r="I226" i="9"/>
  <c r="K225" i="9"/>
  <c r="M224" i="9"/>
  <c r="O223" i="9"/>
  <c r="C221" i="9"/>
  <c r="E220" i="9"/>
  <c r="G219" i="9"/>
  <c r="I218" i="9"/>
  <c r="K217" i="9"/>
  <c r="M216" i="9"/>
  <c r="O215" i="9"/>
  <c r="C213" i="9"/>
  <c r="E212" i="9"/>
  <c r="G211" i="9"/>
  <c r="I210" i="9"/>
  <c r="K209" i="9"/>
  <c r="M208" i="9"/>
  <c r="O207" i="9"/>
  <c r="C205" i="9"/>
  <c r="E204" i="9"/>
  <c r="G203" i="9"/>
  <c r="I202" i="9"/>
  <c r="K201" i="9"/>
  <c r="M200" i="9"/>
  <c r="C244" i="9"/>
  <c r="E243" i="9"/>
  <c r="G242" i="9"/>
  <c r="I241" i="9"/>
  <c r="K240" i="9"/>
  <c r="M239" i="9"/>
  <c r="O238" i="9"/>
  <c r="C236" i="9"/>
  <c r="E235" i="9"/>
  <c r="G234" i="9"/>
  <c r="I233" i="9"/>
  <c r="K232" i="9"/>
  <c r="M231" i="9"/>
  <c r="O230" i="9"/>
  <c r="C228" i="9"/>
  <c r="E227" i="9"/>
  <c r="G226" i="9"/>
  <c r="I225" i="9"/>
  <c r="K224" i="9"/>
  <c r="M223" i="9"/>
  <c r="O222" i="9"/>
  <c r="C220" i="9"/>
  <c r="E219" i="9"/>
  <c r="G218" i="9"/>
  <c r="I217" i="9"/>
  <c r="K216" i="9"/>
  <c r="M215" i="9"/>
  <c r="O214" i="9"/>
  <c r="C212" i="9"/>
  <c r="E211" i="9"/>
  <c r="G210" i="9"/>
  <c r="I209" i="9"/>
  <c r="K208" i="9"/>
  <c r="M207" i="9"/>
  <c r="O206" i="9"/>
  <c r="C204" i="9"/>
  <c r="E203" i="9"/>
  <c r="G202" i="9"/>
  <c r="I201" i="9"/>
  <c r="K200" i="9"/>
  <c r="C243" i="9"/>
  <c r="E242" i="9"/>
  <c r="G241" i="9"/>
  <c r="I240" i="9"/>
  <c r="K239" i="9"/>
  <c r="M238" i="9"/>
  <c r="O237" i="9"/>
  <c r="C235" i="9"/>
  <c r="E234" i="9"/>
  <c r="G233" i="9"/>
  <c r="I232" i="9"/>
  <c r="K231" i="9"/>
  <c r="M230" i="9"/>
  <c r="O229" i="9"/>
  <c r="C227" i="9"/>
  <c r="E226" i="9"/>
  <c r="G225" i="9"/>
  <c r="I224" i="9"/>
  <c r="K223" i="9"/>
  <c r="M222" i="9"/>
  <c r="O221" i="9"/>
  <c r="C219" i="9"/>
  <c r="E218" i="9"/>
  <c r="G217" i="9"/>
  <c r="I216" i="9"/>
  <c r="K215" i="9"/>
  <c r="M214" i="9"/>
  <c r="O213" i="9"/>
  <c r="C211" i="9"/>
  <c r="E210" i="9"/>
  <c r="G209" i="9"/>
  <c r="I208" i="9"/>
  <c r="K207" i="9"/>
  <c r="M206" i="9"/>
  <c r="O205" i="9"/>
  <c r="C203" i="9"/>
  <c r="E202" i="9"/>
  <c r="G201" i="9"/>
  <c r="I200" i="9"/>
  <c r="I199" i="9"/>
  <c r="K198" i="9"/>
  <c r="M197" i="9"/>
  <c r="O196" i="9"/>
  <c r="C194" i="9"/>
  <c r="E193" i="9"/>
  <c r="G192" i="9"/>
  <c r="I191" i="9"/>
  <c r="K190" i="9"/>
  <c r="M189" i="9"/>
  <c r="O188" i="9"/>
  <c r="C186" i="9"/>
  <c r="E185" i="9"/>
  <c r="G184" i="9"/>
  <c r="I183" i="9"/>
  <c r="K182" i="9"/>
  <c r="M181" i="9"/>
  <c r="O180" i="9"/>
  <c r="C178" i="9"/>
  <c r="E177" i="9"/>
  <c r="G176" i="9"/>
  <c r="I175" i="9"/>
  <c r="K174" i="9"/>
  <c r="M173" i="9"/>
  <c r="O172" i="9"/>
  <c r="C170" i="9"/>
  <c r="E169" i="9"/>
  <c r="G168" i="9"/>
  <c r="I167" i="9"/>
  <c r="K166" i="9"/>
  <c r="M165" i="9"/>
  <c r="O164" i="9"/>
  <c r="C162" i="9"/>
  <c r="E161" i="9"/>
  <c r="G160" i="9"/>
  <c r="I159" i="9"/>
  <c r="K158" i="9"/>
  <c r="M157" i="9"/>
  <c r="O156" i="9"/>
  <c r="C154" i="9"/>
  <c r="G199" i="9"/>
  <c r="I198" i="9"/>
  <c r="K197" i="9"/>
  <c r="M196" i="9"/>
  <c r="O195" i="9"/>
  <c r="C193" i="9"/>
  <c r="E192" i="9"/>
  <c r="G191" i="9"/>
  <c r="I190" i="9"/>
  <c r="K189" i="9"/>
  <c r="M188" i="9"/>
  <c r="O187" i="9"/>
  <c r="C185" i="9"/>
  <c r="E184" i="9"/>
  <c r="G183" i="9"/>
  <c r="I182" i="9"/>
  <c r="K181" i="9"/>
  <c r="M180" i="9"/>
  <c r="O179" i="9"/>
  <c r="C177" i="9"/>
  <c r="E176" i="9"/>
  <c r="G175" i="9"/>
  <c r="I174" i="9"/>
  <c r="K173" i="9"/>
  <c r="M172" i="9"/>
  <c r="O171" i="9"/>
  <c r="C169" i="9"/>
  <c r="E168" i="9"/>
  <c r="G167" i="9"/>
  <c r="I166" i="9"/>
  <c r="K165" i="9"/>
  <c r="M164" i="9"/>
  <c r="O163" i="9"/>
  <c r="C161" i="9"/>
  <c r="E160" i="9"/>
  <c r="G159" i="9"/>
  <c r="I158" i="9"/>
  <c r="K157" i="9"/>
  <c r="M156" i="9"/>
  <c r="O155" i="9"/>
  <c r="E199" i="9"/>
  <c r="G198" i="9"/>
  <c r="I197" i="9"/>
  <c r="K196" i="9"/>
  <c r="M195" i="9"/>
  <c r="O194" i="9"/>
  <c r="C192" i="9"/>
  <c r="E191" i="9"/>
  <c r="G190" i="9"/>
  <c r="I189" i="9"/>
  <c r="K188" i="9"/>
  <c r="M187" i="9"/>
  <c r="O186" i="9"/>
  <c r="C184" i="9"/>
  <c r="E183" i="9"/>
  <c r="G182" i="9"/>
  <c r="I181" i="9"/>
  <c r="K180" i="9"/>
  <c r="M179" i="9"/>
  <c r="O178" i="9"/>
  <c r="C176" i="9"/>
  <c r="E175" i="9"/>
  <c r="G174" i="9"/>
  <c r="I173" i="9"/>
  <c r="K172" i="9"/>
  <c r="M171" i="9"/>
  <c r="O170" i="9"/>
  <c r="C168" i="9"/>
  <c r="E167" i="9"/>
  <c r="G166" i="9"/>
  <c r="I165" i="9"/>
  <c r="K164" i="9"/>
  <c r="M163" i="9"/>
  <c r="O162" i="9"/>
  <c r="C160" i="9"/>
  <c r="E159" i="9"/>
  <c r="G158" i="9"/>
  <c r="I157" i="9"/>
  <c r="K156" i="9"/>
  <c r="M155" i="9"/>
  <c r="O154" i="9"/>
  <c r="C199" i="9"/>
  <c r="E198" i="9"/>
  <c r="G197" i="9"/>
  <c r="I196" i="9"/>
  <c r="K195" i="9"/>
  <c r="M194" i="9"/>
  <c r="O193" i="9"/>
  <c r="C191" i="9"/>
  <c r="E190" i="9"/>
  <c r="G189" i="9"/>
  <c r="I188" i="9"/>
  <c r="K187" i="9"/>
  <c r="M186" i="9"/>
  <c r="O185" i="9"/>
  <c r="C183" i="9"/>
  <c r="E182" i="9"/>
  <c r="G181" i="9"/>
  <c r="I180" i="9"/>
  <c r="K179" i="9"/>
  <c r="M178" i="9"/>
  <c r="O177" i="9"/>
  <c r="C175" i="9"/>
  <c r="E174" i="9"/>
  <c r="G173" i="9"/>
  <c r="I172" i="9"/>
  <c r="K171" i="9"/>
  <c r="M170" i="9"/>
  <c r="O169" i="9"/>
  <c r="C167" i="9"/>
  <c r="E166" i="9"/>
  <c r="G165" i="9"/>
  <c r="I164" i="9"/>
  <c r="K163" i="9"/>
  <c r="M162" i="9"/>
  <c r="O161" i="9"/>
  <c r="C159" i="9"/>
  <c r="E158" i="9"/>
  <c r="G157" i="9"/>
  <c r="I156" i="9"/>
  <c r="K155" i="9"/>
  <c r="M154" i="9"/>
  <c r="O153" i="9"/>
  <c r="C198" i="9"/>
  <c r="E197" i="9"/>
  <c r="G196" i="9"/>
  <c r="I195" i="9"/>
  <c r="K194" i="9"/>
  <c r="M193" i="9"/>
  <c r="O192" i="9"/>
  <c r="C190" i="9"/>
  <c r="E189" i="9"/>
  <c r="G188" i="9"/>
  <c r="I187" i="9"/>
  <c r="K186" i="9"/>
  <c r="M185" i="9"/>
  <c r="O184" i="9"/>
  <c r="C182" i="9"/>
  <c r="E181" i="9"/>
  <c r="G180" i="9"/>
  <c r="I179" i="9"/>
  <c r="K178" i="9"/>
  <c r="M177" i="9"/>
  <c r="O176" i="9"/>
  <c r="C174" i="9"/>
  <c r="E173" i="9"/>
  <c r="G172" i="9"/>
  <c r="I171" i="9"/>
  <c r="K170" i="9"/>
  <c r="M169" i="9"/>
  <c r="O168" i="9"/>
  <c r="C166" i="9"/>
  <c r="E165" i="9"/>
  <c r="G164" i="9"/>
  <c r="I163" i="9"/>
  <c r="K162" i="9"/>
  <c r="M161" i="9"/>
  <c r="O160" i="9"/>
  <c r="C158" i="9"/>
  <c r="E157" i="9"/>
  <c r="G156" i="9"/>
  <c r="I155" i="9"/>
  <c r="K154" i="9"/>
  <c r="O199" i="9"/>
  <c r="C197" i="9"/>
  <c r="E196" i="9"/>
  <c r="G195" i="9"/>
  <c r="I194" i="9"/>
  <c r="K193" i="9"/>
  <c r="M192" i="9"/>
  <c r="O191" i="9"/>
  <c r="C189" i="9"/>
  <c r="E188" i="9"/>
  <c r="G187" i="9"/>
  <c r="I186" i="9"/>
  <c r="K185" i="9"/>
  <c r="M184" i="9"/>
  <c r="O183" i="9"/>
  <c r="C181" i="9"/>
  <c r="E180" i="9"/>
  <c r="G179" i="9"/>
  <c r="I178" i="9"/>
  <c r="K177" i="9"/>
  <c r="M176" i="9"/>
  <c r="O175" i="9"/>
  <c r="C173" i="9"/>
  <c r="E172" i="9"/>
  <c r="G171" i="9"/>
  <c r="I170" i="9"/>
  <c r="K169" i="9"/>
  <c r="M168" i="9"/>
  <c r="O167" i="9"/>
  <c r="C165" i="9"/>
  <c r="E164" i="9"/>
  <c r="G163" i="9"/>
  <c r="I162" i="9"/>
  <c r="K161" i="9"/>
  <c r="M160" i="9"/>
  <c r="O159" i="9"/>
  <c r="C157" i="9"/>
  <c r="E156" i="9"/>
  <c r="G155" i="9"/>
  <c r="I154" i="9"/>
  <c r="M199" i="9"/>
  <c r="O198" i="9"/>
  <c r="C196" i="9"/>
  <c r="E195" i="9"/>
  <c r="G194" i="9"/>
  <c r="I193" i="9"/>
  <c r="K192" i="9"/>
  <c r="M191" i="9"/>
  <c r="O190" i="9"/>
  <c r="C188" i="9"/>
  <c r="E187" i="9"/>
  <c r="G186" i="9"/>
  <c r="I185" i="9"/>
  <c r="K184" i="9"/>
  <c r="M183" i="9"/>
  <c r="O182" i="9"/>
  <c r="C180" i="9"/>
  <c r="E179" i="9"/>
  <c r="G178" i="9"/>
  <c r="I177" i="9"/>
  <c r="K176" i="9"/>
  <c r="M175" i="9"/>
  <c r="O174" i="9"/>
  <c r="C172" i="9"/>
  <c r="E171" i="9"/>
  <c r="G170" i="9"/>
  <c r="I169" i="9"/>
  <c r="K168" i="9"/>
  <c r="M167" i="9"/>
  <c r="O166" i="9"/>
  <c r="C164" i="9"/>
  <c r="E163" i="9"/>
  <c r="G162" i="9"/>
  <c r="I161" i="9"/>
  <c r="K160" i="9"/>
  <c r="M159" i="9"/>
  <c r="O158" i="9"/>
  <c r="C156" i="9"/>
  <c r="E155" i="9"/>
  <c r="G154" i="9"/>
  <c r="K199" i="9"/>
  <c r="M198" i="9"/>
  <c r="O197" i="9"/>
  <c r="C195" i="9"/>
  <c r="E194" i="9"/>
  <c r="G193" i="9"/>
  <c r="I192" i="9"/>
  <c r="K191" i="9"/>
  <c r="M190" i="9"/>
  <c r="O189" i="9"/>
  <c r="C187" i="9"/>
  <c r="E186" i="9"/>
  <c r="G185" i="9"/>
  <c r="I184" i="9"/>
  <c r="K183" i="9"/>
  <c r="M182" i="9"/>
  <c r="O181" i="9"/>
  <c r="C179" i="9"/>
  <c r="E178" i="9"/>
  <c r="G177" i="9"/>
  <c r="I176" i="9"/>
  <c r="K175" i="9"/>
  <c r="M174" i="9"/>
  <c r="O173" i="9"/>
  <c r="C171" i="9"/>
  <c r="E170" i="9"/>
  <c r="G169" i="9"/>
  <c r="I168" i="9"/>
  <c r="K167" i="9"/>
  <c r="M166" i="9"/>
  <c r="O165" i="9"/>
  <c r="C163" i="9"/>
  <c r="E162" i="9"/>
  <c r="G161" i="9"/>
  <c r="I160" i="9"/>
  <c r="K159" i="9"/>
  <c r="M158" i="9"/>
  <c r="O157" i="9"/>
  <c r="C155" i="9"/>
  <c r="E154" i="9"/>
  <c r="G153" i="9"/>
  <c r="C151" i="9"/>
  <c r="E150" i="9"/>
  <c r="G149" i="9"/>
  <c r="I148" i="9"/>
  <c r="K147" i="9"/>
  <c r="M146" i="9"/>
  <c r="O145" i="9"/>
  <c r="C143" i="9"/>
  <c r="E142" i="9"/>
  <c r="G141" i="9"/>
  <c r="I140" i="9"/>
  <c r="K139" i="9"/>
  <c r="M138" i="9"/>
  <c r="O137" i="9"/>
  <c r="C135" i="9"/>
  <c r="E134" i="9"/>
  <c r="G133" i="9"/>
  <c r="I132" i="9"/>
  <c r="K131" i="9"/>
  <c r="M130" i="9"/>
  <c r="O129" i="9"/>
  <c r="C127" i="9"/>
  <c r="E126" i="9"/>
  <c r="G125" i="9"/>
  <c r="I124" i="9"/>
  <c r="K123" i="9"/>
  <c r="M122" i="9"/>
  <c r="O121" i="9"/>
  <c r="C119" i="9"/>
  <c r="E118" i="9"/>
  <c r="G117" i="9"/>
  <c r="I116" i="9"/>
  <c r="K115" i="9"/>
  <c r="M114" i="9"/>
  <c r="O113" i="9"/>
  <c r="C111" i="9"/>
  <c r="E110" i="9"/>
  <c r="G109" i="9"/>
  <c r="I108" i="9"/>
  <c r="K107" i="9"/>
  <c r="O152" i="9"/>
  <c r="C150" i="9"/>
  <c r="E149" i="9"/>
  <c r="G148" i="9"/>
  <c r="I147" i="9"/>
  <c r="K146" i="9"/>
  <c r="M145" i="9"/>
  <c r="O144" i="9"/>
  <c r="C142" i="9"/>
  <c r="E141" i="9"/>
  <c r="G140" i="9"/>
  <c r="I139" i="9"/>
  <c r="K138" i="9"/>
  <c r="M137" i="9"/>
  <c r="O136" i="9"/>
  <c r="C134" i="9"/>
  <c r="E133" i="9"/>
  <c r="G132" i="9"/>
  <c r="I131" i="9"/>
  <c r="K130" i="9"/>
  <c r="M129" i="9"/>
  <c r="O128" i="9"/>
  <c r="C126" i="9"/>
  <c r="E125" i="9"/>
  <c r="G124" i="9"/>
  <c r="I123" i="9"/>
  <c r="K122" i="9"/>
  <c r="M121" i="9"/>
  <c r="O120" i="9"/>
  <c r="C118" i="9"/>
  <c r="E117" i="9"/>
  <c r="G116" i="9"/>
  <c r="I115" i="9"/>
  <c r="K114" i="9"/>
  <c r="M113" i="9"/>
  <c r="O112" i="9"/>
  <c r="C110" i="9"/>
  <c r="E109" i="9"/>
  <c r="G108" i="9"/>
  <c r="M153" i="9"/>
  <c r="M152" i="9"/>
  <c r="O151" i="9"/>
  <c r="C149" i="9"/>
  <c r="E148" i="9"/>
  <c r="G147" i="9"/>
  <c r="I146" i="9"/>
  <c r="K145" i="9"/>
  <c r="M144" i="9"/>
  <c r="O143" i="9"/>
  <c r="C141" i="9"/>
  <c r="E140" i="9"/>
  <c r="G139" i="9"/>
  <c r="I138" i="9"/>
  <c r="K137" i="9"/>
  <c r="M136" i="9"/>
  <c r="O135" i="9"/>
  <c r="C133" i="9"/>
  <c r="E132" i="9"/>
  <c r="G131" i="9"/>
  <c r="I130" i="9"/>
  <c r="K129" i="9"/>
  <c r="M128" i="9"/>
  <c r="O127" i="9"/>
  <c r="C125" i="9"/>
  <c r="E124" i="9"/>
  <c r="G123" i="9"/>
  <c r="I122" i="9"/>
  <c r="K121" i="9"/>
  <c r="M120" i="9"/>
  <c r="O119" i="9"/>
  <c r="C117" i="9"/>
  <c r="E116" i="9"/>
  <c r="G115" i="9"/>
  <c r="I114" i="9"/>
  <c r="K113" i="9"/>
  <c r="M112" i="9"/>
  <c r="O111" i="9"/>
  <c r="C109" i="9"/>
  <c r="E108" i="9"/>
  <c r="K153" i="9"/>
  <c r="K152" i="9"/>
  <c r="M151" i="9"/>
  <c r="O150" i="9"/>
  <c r="C148" i="9"/>
  <c r="E147" i="9"/>
  <c r="G146" i="9"/>
  <c r="I145" i="9"/>
  <c r="K144" i="9"/>
  <c r="M143" i="9"/>
  <c r="O142" i="9"/>
  <c r="C140" i="9"/>
  <c r="E139" i="9"/>
  <c r="G138" i="9"/>
  <c r="I137" i="9"/>
  <c r="K136" i="9"/>
  <c r="M135" i="9"/>
  <c r="O134" i="9"/>
  <c r="C132" i="9"/>
  <c r="E131" i="9"/>
  <c r="G130" i="9"/>
  <c r="I129" i="9"/>
  <c r="K128" i="9"/>
  <c r="M127" i="9"/>
  <c r="O126" i="9"/>
  <c r="C124" i="9"/>
  <c r="E123" i="9"/>
  <c r="G122" i="9"/>
  <c r="I121" i="9"/>
  <c r="K120" i="9"/>
  <c r="M119" i="9"/>
  <c r="O118" i="9"/>
  <c r="C116" i="9"/>
  <c r="E115" i="9"/>
  <c r="G114" i="9"/>
  <c r="I113" i="9"/>
  <c r="K112" i="9"/>
  <c r="M111" i="9"/>
  <c r="O110" i="9"/>
  <c r="C108" i="9"/>
  <c r="I153" i="9"/>
  <c r="I152" i="9"/>
  <c r="K151" i="9"/>
  <c r="M150" i="9"/>
  <c r="O149" i="9"/>
  <c r="C147" i="9"/>
  <c r="E146" i="9"/>
  <c r="G145" i="9"/>
  <c r="I144" i="9"/>
  <c r="K143" i="9"/>
  <c r="M142" i="9"/>
  <c r="O141" i="9"/>
  <c r="C139" i="9"/>
  <c r="E138" i="9"/>
  <c r="G137" i="9"/>
  <c r="I136" i="9"/>
  <c r="K135" i="9"/>
  <c r="M134" i="9"/>
  <c r="O133" i="9"/>
  <c r="C131" i="9"/>
  <c r="E130" i="9"/>
  <c r="G129" i="9"/>
  <c r="I128" i="9"/>
  <c r="K127" i="9"/>
  <c r="M126" i="9"/>
  <c r="O125" i="9"/>
  <c r="C123" i="9"/>
  <c r="E122" i="9"/>
  <c r="G121" i="9"/>
  <c r="I120" i="9"/>
  <c r="K119" i="9"/>
  <c r="M118" i="9"/>
  <c r="O117" i="9"/>
  <c r="C115" i="9"/>
  <c r="E114" i="9"/>
  <c r="G113" i="9"/>
  <c r="I112" i="9"/>
  <c r="K111" i="9"/>
  <c r="M110" i="9"/>
  <c r="O109" i="9"/>
  <c r="E153" i="9"/>
  <c r="G152" i="9"/>
  <c r="I151" i="9"/>
  <c r="K150" i="9"/>
  <c r="M149" i="9"/>
  <c r="O148" i="9"/>
  <c r="C146" i="9"/>
  <c r="E145" i="9"/>
  <c r="G144" i="9"/>
  <c r="I143" i="9"/>
  <c r="K142" i="9"/>
  <c r="M141" i="9"/>
  <c r="O140" i="9"/>
  <c r="C138" i="9"/>
  <c r="E137" i="9"/>
  <c r="G136" i="9"/>
  <c r="I135" i="9"/>
  <c r="K134" i="9"/>
  <c r="M133" i="9"/>
  <c r="O132" i="9"/>
  <c r="C130" i="9"/>
  <c r="E129" i="9"/>
  <c r="G128" i="9"/>
  <c r="I127" i="9"/>
  <c r="K126" i="9"/>
  <c r="M125" i="9"/>
  <c r="O124" i="9"/>
  <c r="C122" i="9"/>
  <c r="E121" i="9"/>
  <c r="G120" i="9"/>
  <c r="I119" i="9"/>
  <c r="K118" i="9"/>
  <c r="M117" i="9"/>
  <c r="O116" i="9"/>
  <c r="C114" i="9"/>
  <c r="E113" i="9"/>
  <c r="G112" i="9"/>
  <c r="I111" i="9"/>
  <c r="K110" i="9"/>
  <c r="M109" i="9"/>
  <c r="O108" i="9"/>
  <c r="C153" i="9"/>
  <c r="E152" i="9"/>
  <c r="G151" i="9"/>
  <c r="I150" i="9"/>
  <c r="K149" i="9"/>
  <c r="M148" i="9"/>
  <c r="O147" i="9"/>
  <c r="C145" i="9"/>
  <c r="E144" i="9"/>
  <c r="G143" i="9"/>
  <c r="I142" i="9"/>
  <c r="K141" i="9"/>
  <c r="M140" i="9"/>
  <c r="O139" i="9"/>
  <c r="C137" i="9"/>
  <c r="E136" i="9"/>
  <c r="G135" i="9"/>
  <c r="I134" i="9"/>
  <c r="K133" i="9"/>
  <c r="M132" i="9"/>
  <c r="O131" i="9"/>
  <c r="C129" i="9"/>
  <c r="E128" i="9"/>
  <c r="G127" i="9"/>
  <c r="I126" i="9"/>
  <c r="K125" i="9"/>
  <c r="M124" i="9"/>
  <c r="O123" i="9"/>
  <c r="C121" i="9"/>
  <c r="E120" i="9"/>
  <c r="G119" i="9"/>
  <c r="I118" i="9"/>
  <c r="K117" i="9"/>
  <c r="M116" i="9"/>
  <c r="O115" i="9"/>
  <c r="C113" i="9"/>
  <c r="E112" i="9"/>
  <c r="G111" i="9"/>
  <c r="I110" i="9"/>
  <c r="K109" i="9"/>
  <c r="M108" i="9"/>
  <c r="O107" i="9"/>
  <c r="C152" i="9"/>
  <c r="E151" i="9"/>
  <c r="G150" i="9"/>
  <c r="I149" i="9"/>
  <c r="K148" i="9"/>
  <c r="M147" i="9"/>
  <c r="O146" i="9"/>
  <c r="C144" i="9"/>
  <c r="E143" i="9"/>
  <c r="G142" i="9"/>
  <c r="I141" i="9"/>
  <c r="K140" i="9"/>
  <c r="M139" i="9"/>
  <c r="O138" i="9"/>
  <c r="C136" i="9"/>
  <c r="E135" i="9"/>
  <c r="G134" i="9"/>
  <c r="I133" i="9"/>
  <c r="K132" i="9"/>
  <c r="M131" i="9"/>
  <c r="O130" i="9"/>
  <c r="C128" i="9"/>
  <c r="E127" i="9"/>
  <c r="G126" i="9"/>
  <c r="I125" i="9"/>
  <c r="K124" i="9"/>
  <c r="M123" i="9"/>
  <c r="O122" i="9"/>
  <c r="C120" i="9"/>
  <c r="E119" i="9"/>
  <c r="G118" i="9"/>
  <c r="I117" i="9"/>
  <c r="K116" i="9"/>
  <c r="M115" i="9"/>
  <c r="O114" i="9"/>
  <c r="C112" i="9"/>
  <c r="E111" i="9"/>
  <c r="G110" i="9"/>
  <c r="I109" i="9"/>
  <c r="K108" i="9"/>
  <c r="M107" i="9"/>
  <c r="O106" i="9"/>
  <c r="C104" i="9"/>
  <c r="E103" i="9"/>
  <c r="G102" i="9"/>
  <c r="I101" i="9"/>
  <c r="K100" i="9"/>
  <c r="M99" i="9"/>
  <c r="O98" i="9"/>
  <c r="C96" i="9"/>
  <c r="E95" i="9"/>
  <c r="G94" i="9"/>
  <c r="I93" i="9"/>
  <c r="K92" i="9"/>
  <c r="M91" i="9"/>
  <c r="O90" i="9"/>
  <c r="C88" i="9"/>
  <c r="E87" i="9"/>
  <c r="G86" i="9"/>
  <c r="I85" i="9"/>
  <c r="K84" i="9"/>
  <c r="M83" i="9"/>
  <c r="O82" i="9"/>
  <c r="C80" i="9"/>
  <c r="E79" i="9"/>
  <c r="G78" i="9"/>
  <c r="I77" i="9"/>
  <c r="K76" i="9"/>
  <c r="M75" i="9"/>
  <c r="O74" i="9"/>
  <c r="C72" i="9"/>
  <c r="E71" i="9"/>
  <c r="G70" i="9"/>
  <c r="I69" i="9"/>
  <c r="K68" i="9"/>
  <c r="M67" i="9"/>
  <c r="O66" i="9"/>
  <c r="C64" i="9"/>
  <c r="E63" i="9"/>
  <c r="G62" i="9"/>
  <c r="I61" i="9"/>
  <c r="M106" i="9"/>
  <c r="O105" i="9"/>
  <c r="C103" i="9"/>
  <c r="E102" i="9"/>
  <c r="G101" i="9"/>
  <c r="I100" i="9"/>
  <c r="K99" i="9"/>
  <c r="M98" i="9"/>
  <c r="O97" i="9"/>
  <c r="C95" i="9"/>
  <c r="E94" i="9"/>
  <c r="G93" i="9"/>
  <c r="I92" i="9"/>
  <c r="K91" i="9"/>
  <c r="M90" i="9"/>
  <c r="O89" i="9"/>
  <c r="C87" i="9"/>
  <c r="E86" i="9"/>
  <c r="G85" i="9"/>
  <c r="I84" i="9"/>
  <c r="K83" i="9"/>
  <c r="M82" i="9"/>
  <c r="O81" i="9"/>
  <c r="C79" i="9"/>
  <c r="E78" i="9"/>
  <c r="G77" i="9"/>
  <c r="I76" i="9"/>
  <c r="K75" i="9"/>
  <c r="M74" i="9"/>
  <c r="O73" i="9"/>
  <c r="C71" i="9"/>
  <c r="E70" i="9"/>
  <c r="G69" i="9"/>
  <c r="I68" i="9"/>
  <c r="K67" i="9"/>
  <c r="M66" i="9"/>
  <c r="O65" i="9"/>
  <c r="C63" i="9"/>
  <c r="E62" i="9"/>
  <c r="G61" i="9"/>
  <c r="I107" i="9"/>
  <c r="K106" i="9"/>
  <c r="M105" i="9"/>
  <c r="O104" i="9"/>
  <c r="C102" i="9"/>
  <c r="E101" i="9"/>
  <c r="G100" i="9"/>
  <c r="I99" i="9"/>
  <c r="K98" i="9"/>
  <c r="M97" i="9"/>
  <c r="O96" i="9"/>
  <c r="C94" i="9"/>
  <c r="E93" i="9"/>
  <c r="G92" i="9"/>
  <c r="I91" i="9"/>
  <c r="K90" i="9"/>
  <c r="M89" i="9"/>
  <c r="O88" i="9"/>
  <c r="C86" i="9"/>
  <c r="E85" i="9"/>
  <c r="G84" i="9"/>
  <c r="I83" i="9"/>
  <c r="K82" i="9"/>
  <c r="M81" i="9"/>
  <c r="O80" i="9"/>
  <c r="C78" i="9"/>
  <c r="E77" i="9"/>
  <c r="G76" i="9"/>
  <c r="I75" i="9"/>
  <c r="K74" i="9"/>
  <c r="M73" i="9"/>
  <c r="O72" i="9"/>
  <c r="C70" i="9"/>
  <c r="E69" i="9"/>
  <c r="G68" i="9"/>
  <c r="I67" i="9"/>
  <c r="K66" i="9"/>
  <c r="M65" i="9"/>
  <c r="O64" i="9"/>
  <c r="C62" i="9"/>
  <c r="E61" i="9"/>
  <c r="G107" i="9"/>
  <c r="I106" i="9"/>
  <c r="K105" i="9"/>
  <c r="M104" i="9"/>
  <c r="O103" i="9"/>
  <c r="C101" i="9"/>
  <c r="E100" i="9"/>
  <c r="G99" i="9"/>
  <c r="I98" i="9"/>
  <c r="K97" i="9"/>
  <c r="M96" i="9"/>
  <c r="O95" i="9"/>
  <c r="C93" i="9"/>
  <c r="E92" i="9"/>
  <c r="G91" i="9"/>
  <c r="I90" i="9"/>
  <c r="K89" i="9"/>
  <c r="M88" i="9"/>
  <c r="O87" i="9"/>
  <c r="C85" i="9"/>
  <c r="E84" i="9"/>
  <c r="G83" i="9"/>
  <c r="I82" i="9"/>
  <c r="K81" i="9"/>
  <c r="M80" i="9"/>
  <c r="O79" i="9"/>
  <c r="C77" i="9"/>
  <c r="E76" i="9"/>
  <c r="G75" i="9"/>
  <c r="I74" i="9"/>
  <c r="K73" i="9"/>
  <c r="M72" i="9"/>
  <c r="O71" i="9"/>
  <c r="C69" i="9"/>
  <c r="E68" i="9"/>
  <c r="G67" i="9"/>
  <c r="I66" i="9"/>
  <c r="K65" i="9"/>
  <c r="M64" i="9"/>
  <c r="O63" i="9"/>
  <c r="C61" i="9"/>
  <c r="E107" i="9"/>
  <c r="G106" i="9"/>
  <c r="I105" i="9"/>
  <c r="K104" i="9"/>
  <c r="M103" i="9"/>
  <c r="O102" i="9"/>
  <c r="C100" i="9"/>
  <c r="E99" i="9"/>
  <c r="G98" i="9"/>
  <c r="I97" i="9"/>
  <c r="K96" i="9"/>
  <c r="M95" i="9"/>
  <c r="O94" i="9"/>
  <c r="C92" i="9"/>
  <c r="E91" i="9"/>
  <c r="G90" i="9"/>
  <c r="I89" i="9"/>
  <c r="K88" i="9"/>
  <c r="M87" i="9"/>
  <c r="O86" i="9"/>
  <c r="C84" i="9"/>
  <c r="E83" i="9"/>
  <c r="G82" i="9"/>
  <c r="I81" i="9"/>
  <c r="K80" i="9"/>
  <c r="M79" i="9"/>
  <c r="O78" i="9"/>
  <c r="C76" i="9"/>
  <c r="E75" i="9"/>
  <c r="G74" i="9"/>
  <c r="I73" i="9"/>
  <c r="K72" i="9"/>
  <c r="M71" i="9"/>
  <c r="O70" i="9"/>
  <c r="C68" i="9"/>
  <c r="E67" i="9"/>
  <c r="G66" i="9"/>
  <c r="I65" i="9"/>
  <c r="K64" i="9"/>
  <c r="M63" i="9"/>
  <c r="O62" i="9"/>
  <c r="C107" i="9"/>
  <c r="E106" i="9"/>
  <c r="G105" i="9"/>
  <c r="I104" i="9"/>
  <c r="K103" i="9"/>
  <c r="M102" i="9"/>
  <c r="O101" i="9"/>
  <c r="C99" i="9"/>
  <c r="E98" i="9"/>
  <c r="G97" i="9"/>
  <c r="I96" i="9"/>
  <c r="K95" i="9"/>
  <c r="M94" i="9"/>
  <c r="O93" i="9"/>
  <c r="C91" i="9"/>
  <c r="E90" i="9"/>
  <c r="G89" i="9"/>
  <c r="I88" i="9"/>
  <c r="K87" i="9"/>
  <c r="M86" i="9"/>
  <c r="O85" i="9"/>
  <c r="C83" i="9"/>
  <c r="E82" i="9"/>
  <c r="G81" i="9"/>
  <c r="I80" i="9"/>
  <c r="K79" i="9"/>
  <c r="M78" i="9"/>
  <c r="O77" i="9"/>
  <c r="C75" i="9"/>
  <c r="E74" i="9"/>
  <c r="G73" i="9"/>
  <c r="I72" i="9"/>
  <c r="K71" i="9"/>
  <c r="M70" i="9"/>
  <c r="O69" i="9"/>
  <c r="C67" i="9"/>
  <c r="E66" i="9"/>
  <c r="G65" i="9"/>
  <c r="I64" i="9"/>
  <c r="K63" i="9"/>
  <c r="M62" i="9"/>
  <c r="O61" i="9"/>
  <c r="C106" i="9"/>
  <c r="E105" i="9"/>
  <c r="G104" i="9"/>
  <c r="I103" i="9"/>
  <c r="K102" i="9"/>
  <c r="M101" i="9"/>
  <c r="O100" i="9"/>
  <c r="C98" i="9"/>
  <c r="E97" i="9"/>
  <c r="G96" i="9"/>
  <c r="I95" i="9"/>
  <c r="K94" i="9"/>
  <c r="M93" i="9"/>
  <c r="O92" i="9"/>
  <c r="C90" i="9"/>
  <c r="E89" i="9"/>
  <c r="G88" i="9"/>
  <c r="I87" i="9"/>
  <c r="K86" i="9"/>
  <c r="M85" i="9"/>
  <c r="O84" i="9"/>
  <c r="C82" i="9"/>
  <c r="E81" i="9"/>
  <c r="G80" i="9"/>
  <c r="I79" i="9"/>
  <c r="K78" i="9"/>
  <c r="M77" i="9"/>
  <c r="O76" i="9"/>
  <c r="C74" i="9"/>
  <c r="E73" i="9"/>
  <c r="G72" i="9"/>
  <c r="I71" i="9"/>
  <c r="K70" i="9"/>
  <c r="M69" i="9"/>
  <c r="O68" i="9"/>
  <c r="C66" i="9"/>
  <c r="E65" i="9"/>
  <c r="G64" i="9"/>
  <c r="I63" i="9"/>
  <c r="K62" i="9"/>
  <c r="M61" i="9"/>
  <c r="C105" i="9"/>
  <c r="E104" i="9"/>
  <c r="G103" i="9"/>
  <c r="I102" i="9"/>
  <c r="K101" i="9"/>
  <c r="M100" i="9"/>
  <c r="O99" i="9"/>
  <c r="C97" i="9"/>
  <c r="E96" i="9"/>
  <c r="G95" i="9"/>
  <c r="I94" i="9"/>
  <c r="K93" i="9"/>
  <c r="M92" i="9"/>
  <c r="O91" i="9"/>
  <c r="C89" i="9"/>
  <c r="E88" i="9"/>
  <c r="G87" i="9"/>
  <c r="I86" i="9"/>
  <c r="K85" i="9"/>
  <c r="M84" i="9"/>
  <c r="O83" i="9"/>
  <c r="C81" i="9"/>
  <c r="E80" i="9"/>
  <c r="G79" i="9"/>
  <c r="I78" i="9"/>
  <c r="K77" i="9"/>
  <c r="M76" i="9"/>
  <c r="O75" i="9"/>
  <c r="C73" i="9"/>
  <c r="E72" i="9"/>
  <c r="G71" i="9"/>
  <c r="I70" i="9"/>
  <c r="K69" i="9"/>
  <c r="M68" i="9"/>
  <c r="O67" i="9"/>
  <c r="C65" i="9"/>
  <c r="E64" i="9"/>
  <c r="G63" i="9"/>
  <c r="I62" i="9"/>
  <c r="K61" i="9"/>
  <c r="C59" i="9"/>
  <c r="E58" i="9"/>
  <c r="G57" i="9"/>
  <c r="I56" i="9"/>
  <c r="K55" i="9"/>
  <c r="M54" i="9"/>
  <c r="O53" i="9"/>
  <c r="C51" i="9"/>
  <c r="E50" i="9"/>
  <c r="G49" i="9"/>
  <c r="I48" i="9"/>
  <c r="K47" i="9"/>
  <c r="M46" i="9"/>
  <c r="O45" i="9"/>
  <c r="C43" i="9"/>
  <c r="E42" i="9"/>
  <c r="G41" i="9"/>
  <c r="I40" i="9"/>
  <c r="K39" i="9"/>
  <c r="M38" i="9"/>
  <c r="O37" i="9"/>
  <c r="C35" i="9"/>
  <c r="E34" i="9"/>
  <c r="G33" i="9"/>
  <c r="I32" i="9"/>
  <c r="K31" i="9"/>
  <c r="M30" i="9"/>
  <c r="O29" i="9"/>
  <c r="C27" i="9"/>
  <c r="E26" i="9"/>
  <c r="G25" i="9"/>
  <c r="I24" i="9"/>
  <c r="K23" i="9"/>
  <c r="M22" i="9"/>
  <c r="O21" i="9"/>
  <c r="C19" i="9"/>
  <c r="E18" i="9"/>
  <c r="G17" i="9"/>
  <c r="I16" i="9"/>
  <c r="K15" i="9"/>
  <c r="O60" i="9"/>
  <c r="C58" i="9"/>
  <c r="E57" i="9"/>
  <c r="G56" i="9"/>
  <c r="I55" i="9"/>
  <c r="K54" i="9"/>
  <c r="M53" i="9"/>
  <c r="O52" i="9"/>
  <c r="C50" i="9"/>
  <c r="E49" i="9"/>
  <c r="G48" i="9"/>
  <c r="I47" i="9"/>
  <c r="K46" i="9"/>
  <c r="M45" i="9"/>
  <c r="O44" i="9"/>
  <c r="C42" i="9"/>
  <c r="E41" i="9"/>
  <c r="G40" i="9"/>
  <c r="I39" i="9"/>
  <c r="K38" i="9"/>
  <c r="M37" i="9"/>
  <c r="O36" i="9"/>
  <c r="C34" i="9"/>
  <c r="E33" i="9"/>
  <c r="G32" i="9"/>
  <c r="I31" i="9"/>
  <c r="K30" i="9"/>
  <c r="M29" i="9"/>
  <c r="O28" i="9"/>
  <c r="C26" i="9"/>
  <c r="E25" i="9"/>
  <c r="G24" i="9"/>
  <c r="I23" i="9"/>
  <c r="K22" i="9"/>
  <c r="M21" i="9"/>
  <c r="O20" i="9"/>
  <c r="C18" i="9"/>
  <c r="E17" i="9"/>
  <c r="G16" i="9"/>
  <c r="I15" i="9"/>
  <c r="M60" i="9"/>
  <c r="O59" i="9"/>
  <c r="C57" i="9"/>
  <c r="E56" i="9"/>
  <c r="G55" i="9"/>
  <c r="I54" i="9"/>
  <c r="K53" i="9"/>
  <c r="M52" i="9"/>
  <c r="O51" i="9"/>
  <c r="C49" i="9"/>
  <c r="E48" i="9"/>
  <c r="G47" i="9"/>
  <c r="I46" i="9"/>
  <c r="K45" i="9"/>
  <c r="M44" i="9"/>
  <c r="O43" i="9"/>
  <c r="C41" i="9"/>
  <c r="E40" i="9"/>
  <c r="G39" i="9"/>
  <c r="I38" i="9"/>
  <c r="K37" i="9"/>
  <c r="M36" i="9"/>
  <c r="O35" i="9"/>
  <c r="C33" i="9"/>
  <c r="E32" i="9"/>
  <c r="G31" i="9"/>
  <c r="I30" i="9"/>
  <c r="K29" i="9"/>
  <c r="M28" i="9"/>
  <c r="O27" i="9"/>
  <c r="C25" i="9"/>
  <c r="E24" i="9"/>
  <c r="G23" i="9"/>
  <c r="I22" i="9"/>
  <c r="K21" i="9"/>
  <c r="M20" i="9"/>
  <c r="O19" i="9"/>
  <c r="C17" i="9"/>
  <c r="E16" i="9"/>
  <c r="G15" i="9"/>
  <c r="K60" i="9"/>
  <c r="M59" i="9"/>
  <c r="O58" i="9"/>
  <c r="C56" i="9"/>
  <c r="E55" i="9"/>
  <c r="G54" i="9"/>
  <c r="I53" i="9"/>
  <c r="K52" i="9"/>
  <c r="M51" i="9"/>
  <c r="O50" i="9"/>
  <c r="C48" i="9"/>
  <c r="E47" i="9"/>
  <c r="G46" i="9"/>
  <c r="I45" i="9"/>
  <c r="K44" i="9"/>
  <c r="M43" i="9"/>
  <c r="O42" i="9"/>
  <c r="C40" i="9"/>
  <c r="E39" i="9"/>
  <c r="G38" i="9"/>
  <c r="I37" i="9"/>
  <c r="K36" i="9"/>
  <c r="M35" i="9"/>
  <c r="O34" i="9"/>
  <c r="C32" i="9"/>
  <c r="E31" i="9"/>
  <c r="G30" i="9"/>
  <c r="I29" i="9"/>
  <c r="K28" i="9"/>
  <c r="M27" i="9"/>
  <c r="O26" i="9"/>
  <c r="C24" i="9"/>
  <c r="E23" i="9"/>
  <c r="G22" i="9"/>
  <c r="I21" i="9"/>
  <c r="K20" i="9"/>
  <c r="M19" i="9"/>
  <c r="O18" i="9"/>
  <c r="C16" i="9"/>
  <c r="E15" i="9"/>
  <c r="I60" i="9"/>
  <c r="K59" i="9"/>
  <c r="M58" i="9"/>
  <c r="O57" i="9"/>
  <c r="C55" i="9"/>
  <c r="E54" i="9"/>
  <c r="G53" i="9"/>
  <c r="I52" i="9"/>
  <c r="K51" i="9"/>
  <c r="M50" i="9"/>
  <c r="O49" i="9"/>
  <c r="C47" i="9"/>
  <c r="E46" i="9"/>
  <c r="G45" i="9"/>
  <c r="I44" i="9"/>
  <c r="K43" i="9"/>
  <c r="M42" i="9"/>
  <c r="O41" i="9"/>
  <c r="C39" i="9"/>
  <c r="E38" i="9"/>
  <c r="G37" i="9"/>
  <c r="I36" i="9"/>
  <c r="K35" i="9"/>
  <c r="M34" i="9"/>
  <c r="O33" i="9"/>
  <c r="C31" i="9"/>
  <c r="E30" i="9"/>
  <c r="G29" i="9"/>
  <c r="I28" i="9"/>
  <c r="K27" i="9"/>
  <c r="M26" i="9"/>
  <c r="O25" i="9"/>
  <c r="C23" i="9"/>
  <c r="E22" i="9"/>
  <c r="G21" i="9"/>
  <c r="I20" i="9"/>
  <c r="K19" i="9"/>
  <c r="M18" i="9"/>
  <c r="O17" i="9"/>
  <c r="C15" i="9"/>
  <c r="G60" i="9"/>
  <c r="I59" i="9"/>
  <c r="K58" i="9"/>
  <c r="M57" i="9"/>
  <c r="O56" i="9"/>
  <c r="C54" i="9"/>
  <c r="E53" i="9"/>
  <c r="G52" i="9"/>
  <c r="I51" i="9"/>
  <c r="K50" i="9"/>
  <c r="M49" i="9"/>
  <c r="O48" i="9"/>
  <c r="C46" i="9"/>
  <c r="E45" i="9"/>
  <c r="G44" i="9"/>
  <c r="I43" i="9"/>
  <c r="K42" i="9"/>
  <c r="M41" i="9"/>
  <c r="O40" i="9"/>
  <c r="C38" i="9"/>
  <c r="E37" i="9"/>
  <c r="G36" i="9"/>
  <c r="I35" i="9"/>
  <c r="K34" i="9"/>
  <c r="M33" i="9"/>
  <c r="O32" i="9"/>
  <c r="C30" i="9"/>
  <c r="E29" i="9"/>
  <c r="G28" i="9"/>
  <c r="I27" i="9"/>
  <c r="K26" i="9"/>
  <c r="M25" i="9"/>
  <c r="O24" i="9"/>
  <c r="C22" i="9"/>
  <c r="E21" i="9"/>
  <c r="G20" i="9"/>
  <c r="I19" i="9"/>
  <c r="K18" i="9"/>
  <c r="M17" i="9"/>
  <c r="O16" i="9"/>
  <c r="E60" i="9"/>
  <c r="G59" i="9"/>
  <c r="I58" i="9"/>
  <c r="K57" i="9"/>
  <c r="M56" i="9"/>
  <c r="O55" i="9"/>
  <c r="C53" i="9"/>
  <c r="E52" i="9"/>
  <c r="G51" i="9"/>
  <c r="I50" i="9"/>
  <c r="K49" i="9"/>
  <c r="M48" i="9"/>
  <c r="O47" i="9"/>
  <c r="C45" i="9"/>
  <c r="E44" i="9"/>
  <c r="G43" i="9"/>
  <c r="I42" i="9"/>
  <c r="K41" i="9"/>
  <c r="M40" i="9"/>
  <c r="O39" i="9"/>
  <c r="C37" i="9"/>
  <c r="E36" i="9"/>
  <c r="G35" i="9"/>
  <c r="I34" i="9"/>
  <c r="K33" i="9"/>
  <c r="M32" i="9"/>
  <c r="O31" i="9"/>
  <c r="C29" i="9"/>
  <c r="E28" i="9"/>
  <c r="G27" i="9"/>
  <c r="I26" i="9"/>
  <c r="K25" i="9"/>
  <c r="M24" i="9"/>
  <c r="O23" i="9"/>
  <c r="C21" i="9"/>
  <c r="E20" i="9"/>
  <c r="G19" i="9"/>
  <c r="I18" i="9"/>
  <c r="K17" i="9"/>
  <c r="M16" i="9"/>
  <c r="O15" i="9"/>
  <c r="C60" i="9"/>
  <c r="E59" i="9"/>
  <c r="G58" i="9"/>
  <c r="I57" i="9"/>
  <c r="K56" i="9"/>
  <c r="M55" i="9"/>
  <c r="O54" i="9"/>
  <c r="C52" i="9"/>
  <c r="E51" i="9"/>
  <c r="G50" i="9"/>
  <c r="I49" i="9"/>
  <c r="K48" i="9"/>
  <c r="M47" i="9"/>
  <c r="O46" i="9"/>
  <c r="C44" i="9"/>
  <c r="E43" i="9"/>
  <c r="G42" i="9"/>
  <c r="I41" i="9"/>
  <c r="K40" i="9"/>
  <c r="M39" i="9"/>
  <c r="O38" i="9"/>
  <c r="C36" i="9"/>
  <c r="E35" i="9"/>
  <c r="G34" i="9"/>
  <c r="I33" i="9"/>
  <c r="K32" i="9"/>
  <c r="M31" i="9"/>
  <c r="O30" i="9"/>
  <c r="C28" i="9"/>
  <c r="E27" i="9"/>
  <c r="G26" i="9"/>
  <c r="I25" i="9"/>
  <c r="K24" i="9"/>
  <c r="M23" i="9"/>
  <c r="O22" i="9"/>
  <c r="C20" i="9"/>
  <c r="E19" i="9"/>
  <c r="G18" i="9"/>
  <c r="I17" i="9"/>
  <c r="K16" i="9"/>
  <c r="M15" i="9"/>
  <c r="I14" i="9"/>
  <c r="K13" i="9"/>
  <c r="M12" i="9"/>
  <c r="O11" i="9"/>
  <c r="C9" i="9"/>
  <c r="E8" i="9"/>
  <c r="G7" i="9"/>
  <c r="I6" i="9"/>
  <c r="K5" i="9"/>
  <c r="M4" i="9"/>
  <c r="O3" i="9"/>
  <c r="G14" i="9"/>
  <c r="I13" i="9"/>
  <c r="K12" i="9"/>
  <c r="M11" i="9"/>
  <c r="O10" i="9"/>
  <c r="C8" i="9"/>
  <c r="E7" i="9"/>
  <c r="G6" i="9"/>
  <c r="I5" i="9"/>
  <c r="K4" i="9"/>
  <c r="M3" i="9"/>
  <c r="O2" i="9"/>
  <c r="E14" i="9"/>
  <c r="G13" i="9"/>
  <c r="I12" i="9"/>
  <c r="K11" i="9"/>
  <c r="M10" i="9"/>
  <c r="O9" i="9"/>
  <c r="C7" i="9"/>
  <c r="E6" i="9"/>
  <c r="G5" i="9"/>
  <c r="I4" i="9"/>
  <c r="K3" i="9"/>
  <c r="M2" i="9"/>
  <c r="C14" i="9"/>
  <c r="E13" i="9"/>
  <c r="G12" i="9"/>
  <c r="I11" i="9"/>
  <c r="K10" i="9"/>
  <c r="M9" i="9"/>
  <c r="O8" i="9"/>
  <c r="C6" i="9"/>
  <c r="E5" i="9"/>
  <c r="G4" i="9"/>
  <c r="I3" i="9"/>
  <c r="K2" i="9"/>
  <c r="C13" i="9"/>
  <c r="E12" i="9"/>
  <c r="G11" i="9"/>
  <c r="I10" i="9"/>
  <c r="K9" i="9"/>
  <c r="M8" i="9"/>
  <c r="O7" i="9"/>
  <c r="C5" i="9"/>
  <c r="E4" i="9"/>
  <c r="G3" i="9"/>
  <c r="I2" i="9"/>
  <c r="O14" i="9"/>
  <c r="C12" i="9"/>
  <c r="E11" i="9"/>
  <c r="G10" i="9"/>
  <c r="I9" i="9"/>
  <c r="K8" i="9"/>
  <c r="M7" i="9"/>
  <c r="O6" i="9"/>
  <c r="C4" i="9"/>
  <c r="E3" i="9"/>
  <c r="G2" i="9"/>
  <c r="M14" i="9"/>
  <c r="O13" i="9"/>
  <c r="C11" i="9"/>
  <c r="E10" i="9"/>
  <c r="G9" i="9"/>
  <c r="I8" i="9"/>
  <c r="K7" i="9"/>
  <c r="M6" i="9"/>
  <c r="O5" i="9"/>
  <c r="C3" i="9"/>
  <c r="E2" i="9"/>
  <c r="K14" i="9"/>
  <c r="M13" i="9"/>
  <c r="O12" i="9"/>
  <c r="C10" i="9"/>
  <c r="E9" i="9"/>
  <c r="G8" i="9"/>
  <c r="I7" i="9"/>
  <c r="K6" i="9"/>
  <c r="M5" i="9"/>
  <c r="O4" i="9"/>
  <c r="C2" i="9"/>
  <c r="P2" i="9" l="1"/>
  <c r="W2" i="9"/>
  <c r="S2" i="9"/>
  <c r="R2" i="9"/>
  <c r="X7" i="9"/>
  <c r="Y8" i="9"/>
  <c r="V8" i="9"/>
  <c r="U8" i="9"/>
  <c r="Q9" i="9"/>
  <c r="T9" i="9"/>
  <c r="P10" i="9"/>
  <c r="W10" i="9"/>
  <c r="S10" i="9"/>
  <c r="R10" i="9"/>
  <c r="T2" i="9"/>
  <c r="Q2" i="9"/>
  <c r="W3" i="9"/>
  <c r="S3" i="9"/>
  <c r="R3" i="9"/>
  <c r="P3" i="9"/>
  <c r="X8" i="9"/>
  <c r="Y9" i="9"/>
  <c r="V9" i="9"/>
  <c r="U9" i="9"/>
  <c r="T10" i="9"/>
  <c r="Q10" i="9"/>
  <c r="W11" i="9"/>
  <c r="S11" i="9"/>
  <c r="R11" i="9"/>
  <c r="P11" i="9"/>
  <c r="V2" i="9"/>
  <c r="U2" i="9"/>
  <c r="Y2" i="9"/>
  <c r="T3" i="9"/>
  <c r="Q3" i="9"/>
  <c r="S4" i="9"/>
  <c r="R4" i="9"/>
  <c r="P4" i="9"/>
  <c r="W4" i="9"/>
  <c r="X9" i="9"/>
  <c r="V10" i="9"/>
  <c r="U10" i="9"/>
  <c r="Y10" i="9"/>
  <c r="T11" i="9"/>
  <c r="Q11" i="9"/>
  <c r="S12" i="9"/>
  <c r="R12" i="9"/>
  <c r="P12" i="9"/>
  <c r="W12" i="9"/>
  <c r="X2" i="9"/>
  <c r="V3" i="9"/>
  <c r="U3" i="9"/>
  <c r="Y3" i="9"/>
  <c r="T4" i="9"/>
  <c r="Q4" i="9"/>
  <c r="S5" i="9"/>
  <c r="R5" i="9"/>
  <c r="P5" i="9"/>
  <c r="W5" i="9"/>
  <c r="X10" i="9"/>
  <c r="V11" i="9"/>
  <c r="U11" i="9"/>
  <c r="Y11" i="9"/>
  <c r="T12" i="9"/>
  <c r="Q12" i="9"/>
  <c r="S13" i="9"/>
  <c r="R13" i="9"/>
  <c r="P13" i="9"/>
  <c r="W13" i="9"/>
  <c r="X3" i="9"/>
  <c r="V4" i="9"/>
  <c r="U4" i="9"/>
  <c r="Y4" i="9"/>
  <c r="T5" i="9"/>
  <c r="Q5" i="9"/>
  <c r="S6" i="9"/>
  <c r="R6" i="9"/>
  <c r="P6" i="9"/>
  <c r="W6" i="9"/>
  <c r="X11" i="9"/>
  <c r="V12" i="9"/>
  <c r="U12" i="9"/>
  <c r="Y12" i="9"/>
  <c r="T13" i="9"/>
  <c r="Q13" i="9"/>
  <c r="S14" i="9"/>
  <c r="W14" i="9"/>
  <c r="R14" i="9"/>
  <c r="P14" i="9"/>
  <c r="X4" i="9"/>
  <c r="U5" i="9"/>
  <c r="Y5" i="9"/>
  <c r="V5" i="9"/>
  <c r="T6" i="9"/>
  <c r="Q6" i="9"/>
  <c r="S7" i="9"/>
  <c r="R7" i="9"/>
  <c r="P7" i="9"/>
  <c r="W7" i="9"/>
  <c r="X12" i="9"/>
  <c r="U13" i="9"/>
  <c r="Y13" i="9"/>
  <c r="V13" i="9"/>
  <c r="T14" i="9"/>
  <c r="Q14" i="9"/>
  <c r="X5" i="9"/>
  <c r="Y6" i="9"/>
  <c r="V6" i="9"/>
  <c r="U6" i="9"/>
  <c r="Q7" i="9"/>
  <c r="T7" i="9"/>
  <c r="R8" i="9"/>
  <c r="P8" i="9"/>
  <c r="W8" i="9"/>
  <c r="S8" i="9"/>
  <c r="X13" i="9"/>
  <c r="V14" i="9"/>
  <c r="U14" i="9"/>
  <c r="Y14" i="9"/>
  <c r="X6" i="9"/>
  <c r="Y7" i="9"/>
  <c r="V7" i="9"/>
  <c r="U7" i="9"/>
  <c r="Q8" i="9"/>
  <c r="T8" i="9"/>
  <c r="P9" i="9"/>
  <c r="W9" i="9"/>
  <c r="S9" i="9"/>
  <c r="R9" i="9"/>
  <c r="X14" i="9"/>
  <c r="X17" i="9"/>
  <c r="Y18" i="9"/>
  <c r="V18" i="9"/>
  <c r="U18" i="9"/>
  <c r="Q19" i="9"/>
  <c r="T19" i="9"/>
  <c r="P20" i="9"/>
  <c r="W20" i="9"/>
  <c r="S20" i="9"/>
  <c r="R20" i="9"/>
  <c r="X25" i="9"/>
  <c r="Y26" i="9"/>
  <c r="V26" i="9"/>
  <c r="U26" i="9"/>
  <c r="Q27" i="9"/>
  <c r="T27" i="9"/>
  <c r="P28" i="9"/>
  <c r="W28" i="9"/>
  <c r="S28" i="9"/>
  <c r="R28" i="9"/>
  <c r="X33" i="9"/>
  <c r="Y34" i="9"/>
  <c r="V34" i="9"/>
  <c r="U34" i="9"/>
  <c r="Q35" i="9"/>
  <c r="T35" i="9"/>
  <c r="P36" i="9"/>
  <c r="W36" i="9"/>
  <c r="S36" i="9"/>
  <c r="R36" i="9"/>
  <c r="X41" i="9"/>
  <c r="Y42" i="9"/>
  <c r="V42" i="9"/>
  <c r="U42" i="9"/>
  <c r="Q43" i="9"/>
  <c r="T43" i="9"/>
  <c r="P44" i="9"/>
  <c r="W44" i="9"/>
  <c r="S44" i="9"/>
  <c r="R44" i="9"/>
  <c r="X49" i="9"/>
  <c r="Y50" i="9"/>
  <c r="V50" i="9"/>
  <c r="U50" i="9"/>
  <c r="Q51" i="9"/>
  <c r="T51" i="9"/>
  <c r="P52" i="9"/>
  <c r="W52" i="9"/>
  <c r="S52" i="9"/>
  <c r="R52" i="9"/>
  <c r="X57" i="9"/>
  <c r="Y58" i="9"/>
  <c r="V58" i="9"/>
  <c r="U58" i="9"/>
  <c r="Q59" i="9"/>
  <c r="T59" i="9"/>
  <c r="W60" i="9"/>
  <c r="P60" i="9"/>
  <c r="S60" i="9"/>
  <c r="R60" i="9"/>
  <c r="X18" i="9"/>
  <c r="Y19" i="9"/>
  <c r="V19" i="9"/>
  <c r="U19" i="9"/>
  <c r="T20" i="9"/>
  <c r="Q20" i="9"/>
  <c r="W21" i="9"/>
  <c r="S21" i="9"/>
  <c r="R21" i="9"/>
  <c r="P21" i="9"/>
  <c r="X26" i="9"/>
  <c r="Y27" i="9"/>
  <c r="V27" i="9"/>
  <c r="U27" i="9"/>
  <c r="T28" i="9"/>
  <c r="Q28" i="9"/>
  <c r="W29" i="9"/>
  <c r="S29" i="9"/>
  <c r="R29" i="9"/>
  <c r="P29" i="9"/>
  <c r="X34" i="9"/>
  <c r="Y35" i="9"/>
  <c r="V35" i="9"/>
  <c r="U35" i="9"/>
  <c r="T36" i="9"/>
  <c r="Q36" i="9"/>
  <c r="W37" i="9"/>
  <c r="S37" i="9"/>
  <c r="R37" i="9"/>
  <c r="P37" i="9"/>
  <c r="X42" i="9"/>
  <c r="Y43" i="9"/>
  <c r="V43" i="9"/>
  <c r="U43" i="9"/>
  <c r="T44" i="9"/>
  <c r="Q44" i="9"/>
  <c r="W45" i="9"/>
  <c r="S45" i="9"/>
  <c r="R45" i="9"/>
  <c r="P45" i="9"/>
  <c r="X50" i="9"/>
  <c r="Y51" i="9"/>
  <c r="V51" i="9"/>
  <c r="U51" i="9"/>
  <c r="T52" i="9"/>
  <c r="Q52" i="9"/>
  <c r="W53" i="9"/>
  <c r="S53" i="9"/>
  <c r="R53" i="9"/>
  <c r="P53" i="9"/>
  <c r="X58" i="9"/>
  <c r="Y59" i="9"/>
  <c r="V59" i="9"/>
  <c r="U59" i="9"/>
  <c r="T60" i="9"/>
  <c r="Q60" i="9"/>
  <c r="X19" i="9"/>
  <c r="V20" i="9"/>
  <c r="U20" i="9"/>
  <c r="Y20" i="9"/>
  <c r="T21" i="9"/>
  <c r="Q21" i="9"/>
  <c r="S22" i="9"/>
  <c r="R22" i="9"/>
  <c r="P22" i="9"/>
  <c r="W22" i="9"/>
  <c r="X27" i="9"/>
  <c r="V28" i="9"/>
  <c r="U28" i="9"/>
  <c r="Y28" i="9"/>
  <c r="T29" i="9"/>
  <c r="Q29" i="9"/>
  <c r="S30" i="9"/>
  <c r="R30" i="9"/>
  <c r="P30" i="9"/>
  <c r="W30" i="9"/>
  <c r="X35" i="9"/>
  <c r="V36" i="9"/>
  <c r="U36" i="9"/>
  <c r="Y36" i="9"/>
  <c r="T37" i="9"/>
  <c r="Q37" i="9"/>
  <c r="S38" i="9"/>
  <c r="R38" i="9"/>
  <c r="P38" i="9"/>
  <c r="W38" i="9"/>
  <c r="X43" i="9"/>
  <c r="V44" i="9"/>
  <c r="U44" i="9"/>
  <c r="Y44" i="9"/>
  <c r="T45" i="9"/>
  <c r="Q45" i="9"/>
  <c r="S46" i="9"/>
  <c r="R46" i="9"/>
  <c r="P46" i="9"/>
  <c r="W46" i="9"/>
  <c r="X51" i="9"/>
  <c r="V52" i="9"/>
  <c r="U52" i="9"/>
  <c r="Y52" i="9"/>
  <c r="T53" i="9"/>
  <c r="Q53" i="9"/>
  <c r="S54" i="9"/>
  <c r="R54" i="9"/>
  <c r="P54" i="9"/>
  <c r="W54" i="9"/>
  <c r="X59" i="9"/>
  <c r="Y60" i="9"/>
  <c r="V60" i="9"/>
  <c r="U60" i="9"/>
  <c r="S15" i="9"/>
  <c r="R15" i="9"/>
  <c r="P15" i="9"/>
  <c r="W15" i="9"/>
  <c r="X20" i="9"/>
  <c r="V21" i="9"/>
  <c r="U21" i="9"/>
  <c r="Y21" i="9"/>
  <c r="T22" i="9"/>
  <c r="Q22" i="9"/>
  <c r="S23" i="9"/>
  <c r="R23" i="9"/>
  <c r="P23" i="9"/>
  <c r="W23" i="9"/>
  <c r="X28" i="9"/>
  <c r="V29" i="9"/>
  <c r="U29" i="9"/>
  <c r="Y29" i="9"/>
  <c r="T30" i="9"/>
  <c r="Q30" i="9"/>
  <c r="S31" i="9"/>
  <c r="R31" i="9"/>
  <c r="P31" i="9"/>
  <c r="W31" i="9"/>
  <c r="X36" i="9"/>
  <c r="V37" i="9"/>
  <c r="U37" i="9"/>
  <c r="Y37" i="9"/>
  <c r="T38" i="9"/>
  <c r="Q38" i="9"/>
  <c r="S39" i="9"/>
  <c r="R39" i="9"/>
  <c r="P39" i="9"/>
  <c r="W39" i="9"/>
  <c r="X44" i="9"/>
  <c r="V45" i="9"/>
  <c r="U45" i="9"/>
  <c r="Y45" i="9"/>
  <c r="T46" i="9"/>
  <c r="Q46" i="9"/>
  <c r="S47" i="9"/>
  <c r="R47" i="9"/>
  <c r="P47" i="9"/>
  <c r="W47" i="9"/>
  <c r="X52" i="9"/>
  <c r="V53" i="9"/>
  <c r="U53" i="9"/>
  <c r="Y53" i="9"/>
  <c r="T54" i="9"/>
  <c r="Q54" i="9"/>
  <c r="S55" i="9"/>
  <c r="R55" i="9"/>
  <c r="P55" i="9"/>
  <c r="W55" i="9"/>
  <c r="X60" i="9"/>
  <c r="T15" i="9"/>
  <c r="Q15" i="9"/>
  <c r="S16" i="9"/>
  <c r="R16" i="9"/>
  <c r="P16" i="9"/>
  <c r="W16" i="9"/>
  <c r="X21" i="9"/>
  <c r="V22" i="9"/>
  <c r="U22" i="9"/>
  <c r="Y22" i="9"/>
  <c r="T23" i="9"/>
  <c r="Q23" i="9"/>
  <c r="S24" i="9"/>
  <c r="R24" i="9"/>
  <c r="P24" i="9"/>
  <c r="W24" i="9"/>
  <c r="X29" i="9"/>
  <c r="V30" i="9"/>
  <c r="U30" i="9"/>
  <c r="Y30" i="9"/>
  <c r="T31" i="9"/>
  <c r="Q31" i="9"/>
  <c r="S32" i="9"/>
  <c r="R32" i="9"/>
  <c r="P32" i="9"/>
  <c r="W32" i="9"/>
  <c r="X37" i="9"/>
  <c r="V38" i="9"/>
  <c r="U38" i="9"/>
  <c r="Y38" i="9"/>
  <c r="T39" i="9"/>
  <c r="Q39" i="9"/>
  <c r="S40" i="9"/>
  <c r="R40" i="9"/>
  <c r="P40" i="9"/>
  <c r="W40" i="9"/>
  <c r="X45" i="9"/>
  <c r="V46" i="9"/>
  <c r="U46" i="9"/>
  <c r="Y46" i="9"/>
  <c r="T47" i="9"/>
  <c r="Q47" i="9"/>
  <c r="S48" i="9"/>
  <c r="R48" i="9"/>
  <c r="P48" i="9"/>
  <c r="W48" i="9"/>
  <c r="X53" i="9"/>
  <c r="V54" i="9"/>
  <c r="U54" i="9"/>
  <c r="Y54" i="9"/>
  <c r="T55" i="9"/>
  <c r="Q55" i="9"/>
  <c r="S56" i="9"/>
  <c r="R56" i="9"/>
  <c r="P56" i="9"/>
  <c r="W56" i="9"/>
  <c r="U15" i="9"/>
  <c r="Y15" i="9"/>
  <c r="V15" i="9"/>
  <c r="T16" i="9"/>
  <c r="Q16" i="9"/>
  <c r="S17" i="9"/>
  <c r="R17" i="9"/>
  <c r="P17" i="9"/>
  <c r="W17" i="9"/>
  <c r="X22" i="9"/>
  <c r="U23" i="9"/>
  <c r="Y23" i="9"/>
  <c r="V23" i="9"/>
  <c r="T24" i="9"/>
  <c r="Q24" i="9"/>
  <c r="S25" i="9"/>
  <c r="R25" i="9"/>
  <c r="P25" i="9"/>
  <c r="W25" i="9"/>
  <c r="X30" i="9"/>
  <c r="U31" i="9"/>
  <c r="Y31" i="9"/>
  <c r="V31" i="9"/>
  <c r="T32" i="9"/>
  <c r="Q32" i="9"/>
  <c r="S33" i="9"/>
  <c r="R33" i="9"/>
  <c r="P33" i="9"/>
  <c r="W33" i="9"/>
  <c r="X38" i="9"/>
  <c r="U39" i="9"/>
  <c r="Y39" i="9"/>
  <c r="V39" i="9"/>
  <c r="T40" i="9"/>
  <c r="Q40" i="9"/>
  <c r="S41" i="9"/>
  <c r="R41" i="9"/>
  <c r="P41" i="9"/>
  <c r="W41" i="9"/>
  <c r="X46" i="9"/>
  <c r="U47" i="9"/>
  <c r="Y47" i="9"/>
  <c r="V47" i="9"/>
  <c r="T48" i="9"/>
  <c r="Q48" i="9"/>
  <c r="S49" i="9"/>
  <c r="R49" i="9"/>
  <c r="P49" i="9"/>
  <c r="W49" i="9"/>
  <c r="X54" i="9"/>
  <c r="U55" i="9"/>
  <c r="Y55" i="9"/>
  <c r="V55" i="9"/>
  <c r="T56" i="9"/>
  <c r="Q56" i="9"/>
  <c r="S57" i="9"/>
  <c r="R57" i="9"/>
  <c r="P57" i="9"/>
  <c r="W57" i="9"/>
  <c r="X15" i="9"/>
  <c r="Y16" i="9"/>
  <c r="V16" i="9"/>
  <c r="U16" i="9"/>
  <c r="Q17" i="9"/>
  <c r="T17" i="9"/>
  <c r="R18" i="9"/>
  <c r="P18" i="9"/>
  <c r="W18" i="9"/>
  <c r="S18" i="9"/>
  <c r="X23" i="9"/>
  <c r="Y24" i="9"/>
  <c r="V24" i="9"/>
  <c r="U24" i="9"/>
  <c r="Q25" i="9"/>
  <c r="T25" i="9"/>
  <c r="R26" i="9"/>
  <c r="P26" i="9"/>
  <c r="W26" i="9"/>
  <c r="S26" i="9"/>
  <c r="X31" i="9"/>
  <c r="Y32" i="9"/>
  <c r="V32" i="9"/>
  <c r="U32" i="9"/>
  <c r="Q33" i="9"/>
  <c r="T33" i="9"/>
  <c r="R34" i="9"/>
  <c r="P34" i="9"/>
  <c r="W34" i="9"/>
  <c r="S34" i="9"/>
  <c r="X39" i="9"/>
  <c r="Y40" i="9"/>
  <c r="V40" i="9"/>
  <c r="U40" i="9"/>
  <c r="Q41" i="9"/>
  <c r="T41" i="9"/>
  <c r="R42" i="9"/>
  <c r="P42" i="9"/>
  <c r="W42" i="9"/>
  <c r="S42" i="9"/>
  <c r="X47" i="9"/>
  <c r="Y48" i="9"/>
  <c r="V48" i="9"/>
  <c r="U48" i="9"/>
  <c r="Q49" i="9"/>
  <c r="T49" i="9"/>
  <c r="R50" i="9"/>
  <c r="P50" i="9"/>
  <c r="W50" i="9"/>
  <c r="S50" i="9"/>
  <c r="X55" i="9"/>
  <c r="Y56" i="9"/>
  <c r="V56" i="9"/>
  <c r="U56" i="9"/>
  <c r="Q57" i="9"/>
  <c r="T57" i="9"/>
  <c r="R58" i="9"/>
  <c r="P58" i="9"/>
  <c r="W58" i="9"/>
  <c r="S58" i="9"/>
  <c r="X16" i="9"/>
  <c r="Y17" i="9"/>
  <c r="V17" i="9"/>
  <c r="U17" i="9"/>
  <c r="Q18" i="9"/>
  <c r="T18" i="9"/>
  <c r="P19" i="9"/>
  <c r="W19" i="9"/>
  <c r="S19" i="9"/>
  <c r="R19" i="9"/>
  <c r="X24" i="9"/>
  <c r="Y25" i="9"/>
  <c r="V25" i="9"/>
  <c r="U25" i="9"/>
  <c r="Q26" i="9"/>
  <c r="T26" i="9"/>
  <c r="P27" i="9"/>
  <c r="W27" i="9"/>
  <c r="S27" i="9"/>
  <c r="R27" i="9"/>
  <c r="X32" i="9"/>
  <c r="Y33" i="9"/>
  <c r="V33" i="9"/>
  <c r="U33" i="9"/>
  <c r="Q34" i="9"/>
  <c r="T34" i="9"/>
  <c r="P35" i="9"/>
  <c r="W35" i="9"/>
  <c r="S35" i="9"/>
  <c r="R35" i="9"/>
  <c r="X40" i="9"/>
  <c r="Y41" i="9"/>
  <c r="V41" i="9"/>
  <c r="U41" i="9"/>
  <c r="Q42" i="9"/>
  <c r="T42" i="9"/>
  <c r="P43" i="9"/>
  <c r="W43" i="9"/>
  <c r="S43" i="9"/>
  <c r="R43" i="9"/>
  <c r="X48" i="9"/>
  <c r="Y49" i="9"/>
  <c r="V49" i="9"/>
  <c r="U49" i="9"/>
  <c r="Q50" i="9"/>
  <c r="T50" i="9"/>
  <c r="P51" i="9"/>
  <c r="W51" i="9"/>
  <c r="S51" i="9"/>
  <c r="R51" i="9"/>
  <c r="X56" i="9"/>
  <c r="Y57" i="9"/>
  <c r="V57" i="9"/>
  <c r="U57" i="9"/>
  <c r="Q58" i="9"/>
  <c r="T58" i="9"/>
  <c r="P59" i="9"/>
  <c r="W59" i="9"/>
  <c r="S59" i="9"/>
  <c r="R59" i="9"/>
  <c r="X62" i="9"/>
  <c r="Y63" i="9"/>
  <c r="V63" i="9"/>
  <c r="U63" i="9"/>
  <c r="Q64" i="9"/>
  <c r="T64" i="9"/>
  <c r="P65" i="9"/>
  <c r="W65" i="9"/>
  <c r="S65" i="9"/>
  <c r="R65" i="9"/>
  <c r="X70" i="9"/>
  <c r="Y71" i="9"/>
  <c r="V71" i="9"/>
  <c r="U71" i="9"/>
  <c r="Q72" i="9"/>
  <c r="T72" i="9"/>
  <c r="P73" i="9"/>
  <c r="W73" i="9"/>
  <c r="S73" i="9"/>
  <c r="R73" i="9"/>
  <c r="X78" i="9"/>
  <c r="Y79" i="9"/>
  <c r="V79" i="9"/>
  <c r="U79" i="9"/>
  <c r="Q80" i="9"/>
  <c r="T80" i="9"/>
  <c r="P81" i="9"/>
  <c r="W81" i="9"/>
  <c r="S81" i="9"/>
  <c r="R81" i="9"/>
  <c r="X86" i="9"/>
  <c r="Y87" i="9"/>
  <c r="V87" i="9"/>
  <c r="U87" i="9"/>
  <c r="Q88" i="9"/>
  <c r="T88" i="9"/>
  <c r="P89" i="9"/>
  <c r="W89" i="9"/>
  <c r="S89" i="9"/>
  <c r="R89" i="9"/>
  <c r="X94" i="9"/>
  <c r="Y95" i="9"/>
  <c r="V95" i="9"/>
  <c r="U95" i="9"/>
  <c r="Q96" i="9"/>
  <c r="T96" i="9"/>
  <c r="P97" i="9"/>
  <c r="W97" i="9"/>
  <c r="S97" i="9"/>
  <c r="R97" i="9"/>
  <c r="X102" i="9"/>
  <c r="Y103" i="9"/>
  <c r="V103" i="9"/>
  <c r="U103" i="9"/>
  <c r="Q104" i="9"/>
  <c r="T104" i="9"/>
  <c r="P105" i="9"/>
  <c r="W105" i="9"/>
  <c r="S105" i="9"/>
  <c r="R105" i="9"/>
  <c r="X63" i="9"/>
  <c r="Y64" i="9"/>
  <c r="V64" i="9"/>
  <c r="U64" i="9"/>
  <c r="T65" i="9"/>
  <c r="Q65" i="9"/>
  <c r="W66" i="9"/>
  <c r="S66" i="9"/>
  <c r="R66" i="9"/>
  <c r="P66" i="9"/>
  <c r="X71" i="9"/>
  <c r="Y72" i="9"/>
  <c r="V72" i="9"/>
  <c r="U72" i="9"/>
  <c r="T73" i="9"/>
  <c r="Q73" i="9"/>
  <c r="W74" i="9"/>
  <c r="S74" i="9"/>
  <c r="R74" i="9"/>
  <c r="P74" i="9"/>
  <c r="X79" i="9"/>
  <c r="Y80" i="9"/>
  <c r="V80" i="9"/>
  <c r="U80" i="9"/>
  <c r="T81" i="9"/>
  <c r="Q81" i="9"/>
  <c r="W82" i="9"/>
  <c r="S82" i="9"/>
  <c r="R82" i="9"/>
  <c r="P82" i="9"/>
  <c r="X87" i="9"/>
  <c r="Y88" i="9"/>
  <c r="V88" i="9"/>
  <c r="U88" i="9"/>
  <c r="T89" i="9"/>
  <c r="Q89" i="9"/>
  <c r="W90" i="9"/>
  <c r="S90" i="9"/>
  <c r="R90" i="9"/>
  <c r="P90" i="9"/>
  <c r="X95" i="9"/>
  <c r="Y96" i="9"/>
  <c r="V96" i="9"/>
  <c r="U96" i="9"/>
  <c r="T97" i="9"/>
  <c r="Q97" i="9"/>
  <c r="W98" i="9"/>
  <c r="S98" i="9"/>
  <c r="R98" i="9"/>
  <c r="P98" i="9"/>
  <c r="X103" i="9"/>
  <c r="Y104" i="9"/>
  <c r="V104" i="9"/>
  <c r="U104" i="9"/>
  <c r="T105" i="9"/>
  <c r="Q105" i="9"/>
  <c r="W106" i="9"/>
  <c r="S106" i="9"/>
  <c r="R106" i="9"/>
  <c r="P106" i="9"/>
  <c r="X64" i="9"/>
  <c r="V65" i="9"/>
  <c r="U65" i="9"/>
  <c r="Y65" i="9"/>
  <c r="T66" i="9"/>
  <c r="Q66" i="9"/>
  <c r="S67" i="9"/>
  <c r="R67" i="9"/>
  <c r="P67" i="9"/>
  <c r="W67" i="9"/>
  <c r="X72" i="9"/>
  <c r="V73" i="9"/>
  <c r="U73" i="9"/>
  <c r="Y73" i="9"/>
  <c r="T74" i="9"/>
  <c r="Q74" i="9"/>
  <c r="S75" i="9"/>
  <c r="R75" i="9"/>
  <c r="P75" i="9"/>
  <c r="W75" i="9"/>
  <c r="X80" i="9"/>
  <c r="V81" i="9"/>
  <c r="U81" i="9"/>
  <c r="Y81" i="9"/>
  <c r="T82" i="9"/>
  <c r="Q82" i="9"/>
  <c r="S83" i="9"/>
  <c r="R83" i="9"/>
  <c r="P83" i="9"/>
  <c r="W83" i="9"/>
  <c r="X88" i="9"/>
  <c r="V89" i="9"/>
  <c r="U89" i="9"/>
  <c r="Y89" i="9"/>
  <c r="T90" i="9"/>
  <c r="Q90" i="9"/>
  <c r="S91" i="9"/>
  <c r="R91" i="9"/>
  <c r="P91" i="9"/>
  <c r="W91" i="9"/>
  <c r="X96" i="9"/>
  <c r="V97" i="9"/>
  <c r="U97" i="9"/>
  <c r="Y97" i="9"/>
  <c r="T98" i="9"/>
  <c r="Q98" i="9"/>
  <c r="S99" i="9"/>
  <c r="R99" i="9"/>
  <c r="P99" i="9"/>
  <c r="W99" i="9"/>
  <c r="X104" i="9"/>
  <c r="V105" i="9"/>
  <c r="U105" i="9"/>
  <c r="Y105" i="9"/>
  <c r="T106" i="9"/>
  <c r="Q106" i="9"/>
  <c r="S107" i="9"/>
  <c r="R107" i="9"/>
  <c r="P107" i="9"/>
  <c r="W107" i="9"/>
  <c r="X65" i="9"/>
  <c r="V66" i="9"/>
  <c r="U66" i="9"/>
  <c r="Y66" i="9"/>
  <c r="T67" i="9"/>
  <c r="Q67" i="9"/>
  <c r="S68" i="9"/>
  <c r="R68" i="9"/>
  <c r="P68" i="9"/>
  <c r="W68" i="9"/>
  <c r="X73" i="9"/>
  <c r="V74" i="9"/>
  <c r="U74" i="9"/>
  <c r="Y74" i="9"/>
  <c r="T75" i="9"/>
  <c r="Q75" i="9"/>
  <c r="S76" i="9"/>
  <c r="R76" i="9"/>
  <c r="P76" i="9"/>
  <c r="W76" i="9"/>
  <c r="X81" i="9"/>
  <c r="V82" i="9"/>
  <c r="U82" i="9"/>
  <c r="Y82" i="9"/>
  <c r="T83" i="9"/>
  <c r="Q83" i="9"/>
  <c r="S84" i="9"/>
  <c r="R84" i="9"/>
  <c r="P84" i="9"/>
  <c r="W84" i="9"/>
  <c r="X89" i="9"/>
  <c r="V90" i="9"/>
  <c r="U90" i="9"/>
  <c r="Y90" i="9"/>
  <c r="T91" i="9"/>
  <c r="Q91" i="9"/>
  <c r="S92" i="9"/>
  <c r="R92" i="9"/>
  <c r="P92" i="9"/>
  <c r="W92" i="9"/>
  <c r="X97" i="9"/>
  <c r="V98" i="9"/>
  <c r="U98" i="9"/>
  <c r="Y98" i="9"/>
  <c r="T99" i="9"/>
  <c r="Q99" i="9"/>
  <c r="S100" i="9"/>
  <c r="R100" i="9"/>
  <c r="P100" i="9"/>
  <c r="W100" i="9"/>
  <c r="X105" i="9"/>
  <c r="V106" i="9"/>
  <c r="U106" i="9"/>
  <c r="Y106" i="9"/>
  <c r="T107" i="9"/>
  <c r="Q107" i="9"/>
  <c r="S61" i="9"/>
  <c r="R61" i="9"/>
  <c r="P61" i="9"/>
  <c r="W61" i="9"/>
  <c r="X66" i="9"/>
  <c r="V67" i="9"/>
  <c r="U67" i="9"/>
  <c r="Y67" i="9"/>
  <c r="T68" i="9"/>
  <c r="Q68" i="9"/>
  <c r="S69" i="9"/>
  <c r="R69" i="9"/>
  <c r="P69" i="9"/>
  <c r="W69" i="9"/>
  <c r="X74" i="9"/>
  <c r="V75" i="9"/>
  <c r="U75" i="9"/>
  <c r="Y75" i="9"/>
  <c r="T76" i="9"/>
  <c r="Q76" i="9"/>
  <c r="S77" i="9"/>
  <c r="R77" i="9"/>
  <c r="P77" i="9"/>
  <c r="W77" i="9"/>
  <c r="X82" i="9"/>
  <c r="V83" i="9"/>
  <c r="U83" i="9"/>
  <c r="Y83" i="9"/>
  <c r="T84" i="9"/>
  <c r="Q84" i="9"/>
  <c r="S85" i="9"/>
  <c r="R85" i="9"/>
  <c r="P85" i="9"/>
  <c r="W85" i="9"/>
  <c r="X90" i="9"/>
  <c r="V91" i="9"/>
  <c r="U91" i="9"/>
  <c r="Y91" i="9"/>
  <c r="T92" i="9"/>
  <c r="Q92" i="9"/>
  <c r="S93" i="9"/>
  <c r="R93" i="9"/>
  <c r="P93" i="9"/>
  <c r="W93" i="9"/>
  <c r="X98" i="9"/>
  <c r="V99" i="9"/>
  <c r="U99" i="9"/>
  <c r="Y99" i="9"/>
  <c r="T100" i="9"/>
  <c r="Q100" i="9"/>
  <c r="S101" i="9"/>
  <c r="R101" i="9"/>
  <c r="P101" i="9"/>
  <c r="W101" i="9"/>
  <c r="X106" i="9"/>
  <c r="U107" i="9"/>
  <c r="Y107" i="9"/>
  <c r="V107" i="9"/>
  <c r="T61" i="9"/>
  <c r="Q61" i="9"/>
  <c r="S62" i="9"/>
  <c r="R62" i="9"/>
  <c r="P62" i="9"/>
  <c r="W62" i="9"/>
  <c r="X67" i="9"/>
  <c r="U68" i="9"/>
  <c r="Y68" i="9"/>
  <c r="V68" i="9"/>
  <c r="T69" i="9"/>
  <c r="Q69" i="9"/>
  <c r="S70" i="9"/>
  <c r="R70" i="9"/>
  <c r="P70" i="9"/>
  <c r="W70" i="9"/>
  <c r="X75" i="9"/>
  <c r="U76" i="9"/>
  <c r="Y76" i="9"/>
  <c r="V76" i="9"/>
  <c r="T77" i="9"/>
  <c r="Q77" i="9"/>
  <c r="S78" i="9"/>
  <c r="R78" i="9"/>
  <c r="P78" i="9"/>
  <c r="W78" i="9"/>
  <c r="X83" i="9"/>
  <c r="U84" i="9"/>
  <c r="Y84" i="9"/>
  <c r="V84" i="9"/>
  <c r="T85" i="9"/>
  <c r="Q85" i="9"/>
  <c r="S86" i="9"/>
  <c r="R86" i="9"/>
  <c r="P86" i="9"/>
  <c r="W86" i="9"/>
  <c r="X91" i="9"/>
  <c r="U92" i="9"/>
  <c r="Y92" i="9"/>
  <c r="V92" i="9"/>
  <c r="T93" i="9"/>
  <c r="Q93" i="9"/>
  <c r="S94" i="9"/>
  <c r="R94" i="9"/>
  <c r="P94" i="9"/>
  <c r="W94" i="9"/>
  <c r="X99" i="9"/>
  <c r="U100" i="9"/>
  <c r="Y100" i="9"/>
  <c r="V100" i="9"/>
  <c r="T101" i="9"/>
  <c r="Q101" i="9"/>
  <c r="S102" i="9"/>
  <c r="R102" i="9"/>
  <c r="P102" i="9"/>
  <c r="W102" i="9"/>
  <c r="X107" i="9"/>
  <c r="Y61" i="9"/>
  <c r="V61" i="9"/>
  <c r="U61" i="9"/>
  <c r="Q62" i="9"/>
  <c r="T62" i="9"/>
  <c r="R63" i="9"/>
  <c r="P63" i="9"/>
  <c r="W63" i="9"/>
  <c r="S63" i="9"/>
  <c r="X68" i="9"/>
  <c r="Y69" i="9"/>
  <c r="V69" i="9"/>
  <c r="U69" i="9"/>
  <c r="Q70" i="9"/>
  <c r="T70" i="9"/>
  <c r="R71" i="9"/>
  <c r="P71" i="9"/>
  <c r="W71" i="9"/>
  <c r="S71" i="9"/>
  <c r="X76" i="9"/>
  <c r="Y77" i="9"/>
  <c r="V77" i="9"/>
  <c r="U77" i="9"/>
  <c r="Q78" i="9"/>
  <c r="T78" i="9"/>
  <c r="R79" i="9"/>
  <c r="P79" i="9"/>
  <c r="W79" i="9"/>
  <c r="S79" i="9"/>
  <c r="X84" i="9"/>
  <c r="Y85" i="9"/>
  <c r="V85" i="9"/>
  <c r="U85" i="9"/>
  <c r="Q86" i="9"/>
  <c r="T86" i="9"/>
  <c r="R87" i="9"/>
  <c r="P87" i="9"/>
  <c r="W87" i="9"/>
  <c r="S87" i="9"/>
  <c r="X92" i="9"/>
  <c r="Y93" i="9"/>
  <c r="V93" i="9"/>
  <c r="U93" i="9"/>
  <c r="Q94" i="9"/>
  <c r="T94" i="9"/>
  <c r="R95" i="9"/>
  <c r="P95" i="9"/>
  <c r="W95" i="9"/>
  <c r="S95" i="9"/>
  <c r="X100" i="9"/>
  <c r="Y101" i="9"/>
  <c r="V101" i="9"/>
  <c r="U101" i="9"/>
  <c r="Q102" i="9"/>
  <c r="T102" i="9"/>
  <c r="R103" i="9"/>
  <c r="P103" i="9"/>
  <c r="W103" i="9"/>
  <c r="S103" i="9"/>
  <c r="X61" i="9"/>
  <c r="Y62" i="9"/>
  <c r="V62" i="9"/>
  <c r="U62" i="9"/>
  <c r="Q63" i="9"/>
  <c r="T63" i="9"/>
  <c r="P64" i="9"/>
  <c r="W64" i="9"/>
  <c r="S64" i="9"/>
  <c r="R64" i="9"/>
  <c r="X69" i="9"/>
  <c r="Y70" i="9"/>
  <c r="V70" i="9"/>
  <c r="U70" i="9"/>
  <c r="Q71" i="9"/>
  <c r="T71" i="9"/>
  <c r="P72" i="9"/>
  <c r="W72" i="9"/>
  <c r="S72" i="9"/>
  <c r="R72" i="9"/>
  <c r="X77" i="9"/>
  <c r="Y78" i="9"/>
  <c r="V78" i="9"/>
  <c r="U78" i="9"/>
  <c r="Q79" i="9"/>
  <c r="T79" i="9"/>
  <c r="P80" i="9"/>
  <c r="W80" i="9"/>
  <c r="S80" i="9"/>
  <c r="R80" i="9"/>
  <c r="X85" i="9"/>
  <c r="Y86" i="9"/>
  <c r="V86" i="9"/>
  <c r="U86" i="9"/>
  <c r="Q87" i="9"/>
  <c r="T87" i="9"/>
  <c r="P88" i="9"/>
  <c r="W88" i="9"/>
  <c r="S88" i="9"/>
  <c r="R88" i="9"/>
  <c r="X93" i="9"/>
  <c r="Y94" i="9"/>
  <c r="V94" i="9"/>
  <c r="U94" i="9"/>
  <c r="Q95" i="9"/>
  <c r="T95" i="9"/>
  <c r="P96" i="9"/>
  <c r="W96" i="9"/>
  <c r="S96" i="9"/>
  <c r="R96" i="9"/>
  <c r="X101" i="9"/>
  <c r="Y102" i="9"/>
  <c r="V102" i="9"/>
  <c r="U102" i="9"/>
  <c r="Q103" i="9"/>
  <c r="T103" i="9"/>
  <c r="P104" i="9"/>
  <c r="W104" i="9"/>
  <c r="S104" i="9"/>
  <c r="R104" i="9"/>
  <c r="X109" i="9"/>
  <c r="Y110" i="9"/>
  <c r="V110" i="9"/>
  <c r="U110" i="9"/>
  <c r="Q111" i="9"/>
  <c r="T111" i="9"/>
  <c r="P112" i="9"/>
  <c r="W112" i="9"/>
  <c r="S112" i="9"/>
  <c r="R112" i="9"/>
  <c r="X117" i="9"/>
  <c r="Y118" i="9"/>
  <c r="V118" i="9"/>
  <c r="U118" i="9"/>
  <c r="Q119" i="9"/>
  <c r="T119" i="9"/>
  <c r="P120" i="9"/>
  <c r="W120" i="9"/>
  <c r="S120" i="9"/>
  <c r="R120" i="9"/>
  <c r="X125" i="9"/>
  <c r="Y126" i="9"/>
  <c r="V126" i="9"/>
  <c r="U126" i="9"/>
  <c r="Q127" i="9"/>
  <c r="T127" i="9"/>
  <c r="P128" i="9"/>
  <c r="W128" i="9"/>
  <c r="S128" i="9"/>
  <c r="R128" i="9"/>
  <c r="X133" i="9"/>
  <c r="Y134" i="9"/>
  <c r="V134" i="9"/>
  <c r="U134" i="9"/>
  <c r="Q135" i="9"/>
  <c r="T135" i="9"/>
  <c r="P136" i="9"/>
  <c r="W136" i="9"/>
  <c r="S136" i="9"/>
  <c r="R136" i="9"/>
  <c r="X141" i="9"/>
  <c r="Y142" i="9"/>
  <c r="V142" i="9"/>
  <c r="U142" i="9"/>
  <c r="Q143" i="9"/>
  <c r="T143" i="9"/>
  <c r="P144" i="9"/>
  <c r="W144" i="9"/>
  <c r="S144" i="9"/>
  <c r="R144" i="9"/>
  <c r="X149" i="9"/>
  <c r="Y150" i="9"/>
  <c r="V150" i="9"/>
  <c r="U150" i="9"/>
  <c r="Q151" i="9"/>
  <c r="T151" i="9"/>
  <c r="P152" i="9"/>
  <c r="W152" i="9"/>
  <c r="S152" i="9"/>
  <c r="R152" i="9"/>
  <c r="X110" i="9"/>
  <c r="Y111" i="9"/>
  <c r="V111" i="9"/>
  <c r="U111" i="9"/>
  <c r="T112" i="9"/>
  <c r="Q112" i="9"/>
  <c r="W113" i="9"/>
  <c r="S113" i="9"/>
  <c r="R113" i="9"/>
  <c r="P113" i="9"/>
  <c r="X118" i="9"/>
  <c r="Y119" i="9"/>
  <c r="V119" i="9"/>
  <c r="U119" i="9"/>
  <c r="T120" i="9"/>
  <c r="Q120" i="9"/>
  <c r="W121" i="9"/>
  <c r="S121" i="9"/>
  <c r="R121" i="9"/>
  <c r="P121" i="9"/>
  <c r="X126" i="9"/>
  <c r="Y127" i="9"/>
  <c r="V127" i="9"/>
  <c r="U127" i="9"/>
  <c r="T128" i="9"/>
  <c r="Q128" i="9"/>
  <c r="W129" i="9"/>
  <c r="S129" i="9"/>
  <c r="R129" i="9"/>
  <c r="P129" i="9"/>
  <c r="X134" i="9"/>
  <c r="Y135" i="9"/>
  <c r="V135" i="9"/>
  <c r="U135" i="9"/>
  <c r="T136" i="9"/>
  <c r="Q136" i="9"/>
  <c r="W137" i="9"/>
  <c r="S137" i="9"/>
  <c r="R137" i="9"/>
  <c r="P137" i="9"/>
  <c r="X142" i="9"/>
  <c r="Y143" i="9"/>
  <c r="V143" i="9"/>
  <c r="U143" i="9"/>
  <c r="T144" i="9"/>
  <c r="Q144" i="9"/>
  <c r="W145" i="9"/>
  <c r="S145" i="9"/>
  <c r="R145" i="9"/>
  <c r="P145" i="9"/>
  <c r="X150" i="9"/>
  <c r="Y151" i="9"/>
  <c r="V151" i="9"/>
  <c r="U151" i="9"/>
  <c r="T152" i="9"/>
  <c r="Q152" i="9"/>
  <c r="R153" i="9"/>
  <c r="P153" i="9"/>
  <c r="W153" i="9"/>
  <c r="S153" i="9"/>
  <c r="X111" i="9"/>
  <c r="V112" i="9"/>
  <c r="U112" i="9"/>
  <c r="Y112" i="9"/>
  <c r="T113" i="9"/>
  <c r="Q113" i="9"/>
  <c r="S114" i="9"/>
  <c r="R114" i="9"/>
  <c r="P114" i="9"/>
  <c r="W114" i="9"/>
  <c r="X119" i="9"/>
  <c r="V120" i="9"/>
  <c r="U120" i="9"/>
  <c r="Y120" i="9"/>
  <c r="T121" i="9"/>
  <c r="Q121" i="9"/>
  <c r="S122" i="9"/>
  <c r="R122" i="9"/>
  <c r="P122" i="9"/>
  <c r="W122" i="9"/>
  <c r="X127" i="9"/>
  <c r="V128" i="9"/>
  <c r="U128" i="9"/>
  <c r="Y128" i="9"/>
  <c r="T129" i="9"/>
  <c r="Q129" i="9"/>
  <c r="S130" i="9"/>
  <c r="R130" i="9"/>
  <c r="P130" i="9"/>
  <c r="W130" i="9"/>
  <c r="X135" i="9"/>
  <c r="V136" i="9"/>
  <c r="U136" i="9"/>
  <c r="Y136" i="9"/>
  <c r="T137" i="9"/>
  <c r="Q137" i="9"/>
  <c r="S138" i="9"/>
  <c r="R138" i="9"/>
  <c r="P138" i="9"/>
  <c r="W138" i="9"/>
  <c r="X143" i="9"/>
  <c r="V144" i="9"/>
  <c r="U144" i="9"/>
  <c r="Y144" i="9"/>
  <c r="T145" i="9"/>
  <c r="Q145" i="9"/>
  <c r="S146" i="9"/>
  <c r="R146" i="9"/>
  <c r="P146" i="9"/>
  <c r="W146" i="9"/>
  <c r="X151" i="9"/>
  <c r="V152" i="9"/>
  <c r="U152" i="9"/>
  <c r="Y152" i="9"/>
  <c r="Q153" i="9"/>
  <c r="T153" i="9"/>
  <c r="X112" i="9"/>
  <c r="V113" i="9"/>
  <c r="U113" i="9"/>
  <c r="Y113" i="9"/>
  <c r="T114" i="9"/>
  <c r="Q114" i="9"/>
  <c r="S115" i="9"/>
  <c r="R115" i="9"/>
  <c r="P115" i="9"/>
  <c r="W115" i="9"/>
  <c r="X120" i="9"/>
  <c r="V121" i="9"/>
  <c r="U121" i="9"/>
  <c r="Y121" i="9"/>
  <c r="T122" i="9"/>
  <c r="Q122" i="9"/>
  <c r="S123" i="9"/>
  <c r="R123" i="9"/>
  <c r="P123" i="9"/>
  <c r="W123" i="9"/>
  <c r="X128" i="9"/>
  <c r="V129" i="9"/>
  <c r="U129" i="9"/>
  <c r="Y129" i="9"/>
  <c r="T130" i="9"/>
  <c r="Q130" i="9"/>
  <c r="S131" i="9"/>
  <c r="R131" i="9"/>
  <c r="P131" i="9"/>
  <c r="W131" i="9"/>
  <c r="X136" i="9"/>
  <c r="V137" i="9"/>
  <c r="U137" i="9"/>
  <c r="Y137" i="9"/>
  <c r="T138" i="9"/>
  <c r="Q138" i="9"/>
  <c r="S139" i="9"/>
  <c r="R139" i="9"/>
  <c r="P139" i="9"/>
  <c r="W139" i="9"/>
  <c r="X144" i="9"/>
  <c r="V145" i="9"/>
  <c r="U145" i="9"/>
  <c r="Y145" i="9"/>
  <c r="T146" i="9"/>
  <c r="Q146" i="9"/>
  <c r="S147" i="9"/>
  <c r="R147" i="9"/>
  <c r="P147" i="9"/>
  <c r="W147" i="9"/>
  <c r="X152" i="9"/>
  <c r="X153" i="9"/>
  <c r="S108" i="9"/>
  <c r="R108" i="9"/>
  <c r="P108" i="9"/>
  <c r="W108" i="9"/>
  <c r="X113" i="9"/>
  <c r="V114" i="9"/>
  <c r="U114" i="9"/>
  <c r="Y114" i="9"/>
  <c r="T115" i="9"/>
  <c r="Q115" i="9"/>
  <c r="S116" i="9"/>
  <c r="R116" i="9"/>
  <c r="P116" i="9"/>
  <c r="W116" i="9"/>
  <c r="X121" i="9"/>
  <c r="V122" i="9"/>
  <c r="U122" i="9"/>
  <c r="Y122" i="9"/>
  <c r="T123" i="9"/>
  <c r="Q123" i="9"/>
  <c r="S124" i="9"/>
  <c r="R124" i="9"/>
  <c r="P124" i="9"/>
  <c r="W124" i="9"/>
  <c r="X129" i="9"/>
  <c r="V130" i="9"/>
  <c r="U130" i="9"/>
  <c r="Y130" i="9"/>
  <c r="T131" i="9"/>
  <c r="Q131" i="9"/>
  <c r="S132" i="9"/>
  <c r="R132" i="9"/>
  <c r="P132" i="9"/>
  <c r="W132" i="9"/>
  <c r="X137" i="9"/>
  <c r="V138" i="9"/>
  <c r="U138" i="9"/>
  <c r="Y138" i="9"/>
  <c r="T139" i="9"/>
  <c r="Q139" i="9"/>
  <c r="S140" i="9"/>
  <c r="R140" i="9"/>
  <c r="P140" i="9"/>
  <c r="W140" i="9"/>
  <c r="X145" i="9"/>
  <c r="V146" i="9"/>
  <c r="U146" i="9"/>
  <c r="Y146" i="9"/>
  <c r="T147" i="9"/>
  <c r="Q147" i="9"/>
  <c r="S148" i="9"/>
  <c r="R148" i="9"/>
  <c r="P148" i="9"/>
  <c r="W148" i="9"/>
  <c r="T108" i="9"/>
  <c r="Q108" i="9"/>
  <c r="S109" i="9"/>
  <c r="R109" i="9"/>
  <c r="P109" i="9"/>
  <c r="W109" i="9"/>
  <c r="X114" i="9"/>
  <c r="U115" i="9"/>
  <c r="Y115" i="9"/>
  <c r="V115" i="9"/>
  <c r="T116" i="9"/>
  <c r="Q116" i="9"/>
  <c r="S117" i="9"/>
  <c r="R117" i="9"/>
  <c r="P117" i="9"/>
  <c r="W117" i="9"/>
  <c r="X122" i="9"/>
  <c r="U123" i="9"/>
  <c r="Y123" i="9"/>
  <c r="V123" i="9"/>
  <c r="T124" i="9"/>
  <c r="Q124" i="9"/>
  <c r="S125" i="9"/>
  <c r="R125" i="9"/>
  <c r="P125" i="9"/>
  <c r="W125" i="9"/>
  <c r="X130" i="9"/>
  <c r="U131" i="9"/>
  <c r="Y131" i="9"/>
  <c r="V131" i="9"/>
  <c r="T132" i="9"/>
  <c r="Q132" i="9"/>
  <c r="S133" i="9"/>
  <c r="R133" i="9"/>
  <c r="P133" i="9"/>
  <c r="W133" i="9"/>
  <c r="X138" i="9"/>
  <c r="U139" i="9"/>
  <c r="Y139" i="9"/>
  <c r="V139" i="9"/>
  <c r="T140" i="9"/>
  <c r="Q140" i="9"/>
  <c r="S141" i="9"/>
  <c r="R141" i="9"/>
  <c r="P141" i="9"/>
  <c r="W141" i="9"/>
  <c r="X146" i="9"/>
  <c r="U147" i="9"/>
  <c r="Y147" i="9"/>
  <c r="V147" i="9"/>
  <c r="T148" i="9"/>
  <c r="Q148" i="9"/>
  <c r="S149" i="9"/>
  <c r="R149" i="9"/>
  <c r="P149" i="9"/>
  <c r="W149" i="9"/>
  <c r="Y108" i="9"/>
  <c r="V108" i="9"/>
  <c r="U108" i="9"/>
  <c r="Q109" i="9"/>
  <c r="T109" i="9"/>
  <c r="R110" i="9"/>
  <c r="P110" i="9"/>
  <c r="W110" i="9"/>
  <c r="S110" i="9"/>
  <c r="X115" i="9"/>
  <c r="Y116" i="9"/>
  <c r="V116" i="9"/>
  <c r="U116" i="9"/>
  <c r="Q117" i="9"/>
  <c r="T117" i="9"/>
  <c r="R118" i="9"/>
  <c r="P118" i="9"/>
  <c r="W118" i="9"/>
  <c r="S118" i="9"/>
  <c r="X123" i="9"/>
  <c r="Y124" i="9"/>
  <c r="V124" i="9"/>
  <c r="U124" i="9"/>
  <c r="Q125" i="9"/>
  <c r="T125" i="9"/>
  <c r="R126" i="9"/>
  <c r="P126" i="9"/>
  <c r="W126" i="9"/>
  <c r="S126" i="9"/>
  <c r="X131" i="9"/>
  <c r="Y132" i="9"/>
  <c r="V132" i="9"/>
  <c r="U132" i="9"/>
  <c r="Q133" i="9"/>
  <c r="T133" i="9"/>
  <c r="R134" i="9"/>
  <c r="P134" i="9"/>
  <c r="W134" i="9"/>
  <c r="S134" i="9"/>
  <c r="X139" i="9"/>
  <c r="Y140" i="9"/>
  <c r="V140" i="9"/>
  <c r="U140" i="9"/>
  <c r="Q141" i="9"/>
  <c r="T141" i="9"/>
  <c r="R142" i="9"/>
  <c r="P142" i="9"/>
  <c r="W142" i="9"/>
  <c r="S142" i="9"/>
  <c r="X147" i="9"/>
  <c r="Y148" i="9"/>
  <c r="V148" i="9"/>
  <c r="U148" i="9"/>
  <c r="Q149" i="9"/>
  <c r="T149" i="9"/>
  <c r="R150" i="9"/>
  <c r="P150" i="9"/>
  <c r="W150" i="9"/>
  <c r="S150" i="9"/>
  <c r="X108" i="9"/>
  <c r="Y109" i="9"/>
  <c r="V109" i="9"/>
  <c r="U109" i="9"/>
  <c r="Q110" i="9"/>
  <c r="T110" i="9"/>
  <c r="P111" i="9"/>
  <c r="W111" i="9"/>
  <c r="S111" i="9"/>
  <c r="R111" i="9"/>
  <c r="X116" i="9"/>
  <c r="Y117" i="9"/>
  <c r="V117" i="9"/>
  <c r="U117" i="9"/>
  <c r="Q118" i="9"/>
  <c r="T118" i="9"/>
  <c r="P119" i="9"/>
  <c r="W119" i="9"/>
  <c r="S119" i="9"/>
  <c r="R119" i="9"/>
  <c r="X124" i="9"/>
  <c r="Y125" i="9"/>
  <c r="V125" i="9"/>
  <c r="U125" i="9"/>
  <c r="Q126" i="9"/>
  <c r="T126" i="9"/>
  <c r="P127" i="9"/>
  <c r="W127" i="9"/>
  <c r="S127" i="9"/>
  <c r="R127" i="9"/>
  <c r="X132" i="9"/>
  <c r="Y133" i="9"/>
  <c r="V133" i="9"/>
  <c r="U133" i="9"/>
  <c r="Q134" i="9"/>
  <c r="T134" i="9"/>
  <c r="P135" i="9"/>
  <c r="W135" i="9"/>
  <c r="S135" i="9"/>
  <c r="R135" i="9"/>
  <c r="X140" i="9"/>
  <c r="Y141" i="9"/>
  <c r="V141" i="9"/>
  <c r="U141" i="9"/>
  <c r="Q142" i="9"/>
  <c r="T142" i="9"/>
  <c r="P143" i="9"/>
  <c r="W143" i="9"/>
  <c r="S143" i="9"/>
  <c r="R143" i="9"/>
  <c r="X148" i="9"/>
  <c r="Y149" i="9"/>
  <c r="V149" i="9"/>
  <c r="U149" i="9"/>
  <c r="Q150" i="9"/>
  <c r="T150" i="9"/>
  <c r="P151" i="9"/>
  <c r="W151" i="9"/>
  <c r="S151" i="9"/>
  <c r="R151" i="9"/>
  <c r="Y153" i="9"/>
  <c r="V153" i="9"/>
  <c r="U153" i="9"/>
  <c r="Q154" i="9"/>
  <c r="T154" i="9"/>
  <c r="P155" i="9"/>
  <c r="W155" i="9"/>
  <c r="S155" i="9"/>
  <c r="R155" i="9"/>
  <c r="X160" i="9"/>
  <c r="Y161" i="9"/>
  <c r="V161" i="9"/>
  <c r="U161" i="9"/>
  <c r="Q162" i="9"/>
  <c r="T162" i="9"/>
  <c r="P163" i="9"/>
  <c r="W163" i="9"/>
  <c r="S163" i="9"/>
  <c r="R163" i="9"/>
  <c r="X168" i="9"/>
  <c r="Y169" i="9"/>
  <c r="V169" i="9"/>
  <c r="U169" i="9"/>
  <c r="Q170" i="9"/>
  <c r="T170" i="9"/>
  <c r="P171" i="9"/>
  <c r="W171" i="9"/>
  <c r="S171" i="9"/>
  <c r="R171" i="9"/>
  <c r="X176" i="9"/>
  <c r="Y177" i="9"/>
  <c r="V177" i="9"/>
  <c r="U177" i="9"/>
  <c r="Q178" i="9"/>
  <c r="T178" i="9"/>
  <c r="P179" i="9"/>
  <c r="W179" i="9"/>
  <c r="S179" i="9"/>
  <c r="R179" i="9"/>
  <c r="X184" i="9"/>
  <c r="Y185" i="9"/>
  <c r="V185" i="9"/>
  <c r="U185" i="9"/>
  <c r="Q186" i="9"/>
  <c r="T186" i="9"/>
  <c r="P187" i="9"/>
  <c r="W187" i="9"/>
  <c r="S187" i="9"/>
  <c r="R187" i="9"/>
  <c r="X192" i="9"/>
  <c r="Y193" i="9"/>
  <c r="V193" i="9"/>
  <c r="U193" i="9"/>
  <c r="Q194" i="9"/>
  <c r="T194" i="9"/>
  <c r="P195" i="9"/>
  <c r="W195" i="9"/>
  <c r="S195" i="9"/>
  <c r="R195" i="9"/>
  <c r="Y154" i="9"/>
  <c r="V154" i="9"/>
  <c r="U154" i="9"/>
  <c r="T155" i="9"/>
  <c r="Q155" i="9"/>
  <c r="W156" i="9"/>
  <c r="S156" i="9"/>
  <c r="R156" i="9"/>
  <c r="P156" i="9"/>
  <c r="X161" i="9"/>
  <c r="Y162" i="9"/>
  <c r="V162" i="9"/>
  <c r="U162" i="9"/>
  <c r="T163" i="9"/>
  <c r="Q163" i="9"/>
  <c r="W164" i="9"/>
  <c r="S164" i="9"/>
  <c r="R164" i="9"/>
  <c r="P164" i="9"/>
  <c r="X169" i="9"/>
  <c r="Y170" i="9"/>
  <c r="V170" i="9"/>
  <c r="U170" i="9"/>
  <c r="T171" i="9"/>
  <c r="Q171" i="9"/>
  <c r="W172" i="9"/>
  <c r="S172" i="9"/>
  <c r="R172" i="9"/>
  <c r="P172" i="9"/>
  <c r="X177" i="9"/>
  <c r="Y178" i="9"/>
  <c r="V178" i="9"/>
  <c r="U178" i="9"/>
  <c r="T179" i="9"/>
  <c r="Q179" i="9"/>
  <c r="W180" i="9"/>
  <c r="S180" i="9"/>
  <c r="R180" i="9"/>
  <c r="P180" i="9"/>
  <c r="X185" i="9"/>
  <c r="Y186" i="9"/>
  <c r="V186" i="9"/>
  <c r="U186" i="9"/>
  <c r="T187" i="9"/>
  <c r="Q187" i="9"/>
  <c r="W188" i="9"/>
  <c r="S188" i="9"/>
  <c r="R188" i="9"/>
  <c r="P188" i="9"/>
  <c r="X193" i="9"/>
  <c r="Y194" i="9"/>
  <c r="V194" i="9"/>
  <c r="U194" i="9"/>
  <c r="T195" i="9"/>
  <c r="Q195" i="9"/>
  <c r="W196" i="9"/>
  <c r="S196" i="9"/>
  <c r="R196" i="9"/>
  <c r="P196" i="9"/>
  <c r="X154" i="9"/>
  <c r="V155" i="9"/>
  <c r="U155" i="9"/>
  <c r="Y155" i="9"/>
  <c r="T156" i="9"/>
  <c r="Q156" i="9"/>
  <c r="S157" i="9"/>
  <c r="R157" i="9"/>
  <c r="P157" i="9"/>
  <c r="W157" i="9"/>
  <c r="X162" i="9"/>
  <c r="V163" i="9"/>
  <c r="U163" i="9"/>
  <c r="Y163" i="9"/>
  <c r="T164" i="9"/>
  <c r="Q164" i="9"/>
  <c r="S165" i="9"/>
  <c r="R165" i="9"/>
  <c r="P165" i="9"/>
  <c r="W165" i="9"/>
  <c r="X170" i="9"/>
  <c r="V171" i="9"/>
  <c r="U171" i="9"/>
  <c r="Y171" i="9"/>
  <c r="T172" i="9"/>
  <c r="Q172" i="9"/>
  <c r="S173" i="9"/>
  <c r="R173" i="9"/>
  <c r="P173" i="9"/>
  <c r="W173" i="9"/>
  <c r="X178" i="9"/>
  <c r="V179" i="9"/>
  <c r="U179" i="9"/>
  <c r="Y179" i="9"/>
  <c r="T180" i="9"/>
  <c r="Q180" i="9"/>
  <c r="S181" i="9"/>
  <c r="R181" i="9"/>
  <c r="P181" i="9"/>
  <c r="W181" i="9"/>
  <c r="X186" i="9"/>
  <c r="V187" i="9"/>
  <c r="U187" i="9"/>
  <c r="Y187" i="9"/>
  <c r="T188" i="9"/>
  <c r="Q188" i="9"/>
  <c r="S189" i="9"/>
  <c r="R189" i="9"/>
  <c r="P189" i="9"/>
  <c r="W189" i="9"/>
  <c r="X194" i="9"/>
  <c r="V195" i="9"/>
  <c r="U195" i="9"/>
  <c r="Y195" i="9"/>
  <c r="T196" i="9"/>
  <c r="Q196" i="9"/>
  <c r="S197" i="9"/>
  <c r="R197" i="9"/>
  <c r="P197" i="9"/>
  <c r="W197" i="9"/>
  <c r="X155" i="9"/>
  <c r="V156" i="9"/>
  <c r="U156" i="9"/>
  <c r="Y156" i="9"/>
  <c r="T157" i="9"/>
  <c r="Q157" i="9"/>
  <c r="S158" i="9"/>
  <c r="R158" i="9"/>
  <c r="P158" i="9"/>
  <c r="W158" i="9"/>
  <c r="X163" i="9"/>
  <c r="V164" i="9"/>
  <c r="U164" i="9"/>
  <c r="Y164" i="9"/>
  <c r="T165" i="9"/>
  <c r="Q165" i="9"/>
  <c r="S166" i="9"/>
  <c r="R166" i="9"/>
  <c r="P166" i="9"/>
  <c r="W166" i="9"/>
  <c r="X171" i="9"/>
  <c r="V172" i="9"/>
  <c r="U172" i="9"/>
  <c r="Y172" i="9"/>
  <c r="T173" i="9"/>
  <c r="Q173" i="9"/>
  <c r="S174" i="9"/>
  <c r="R174" i="9"/>
  <c r="P174" i="9"/>
  <c r="W174" i="9"/>
  <c r="X179" i="9"/>
  <c r="V180" i="9"/>
  <c r="U180" i="9"/>
  <c r="Y180" i="9"/>
  <c r="T181" i="9"/>
  <c r="Q181" i="9"/>
  <c r="S182" i="9"/>
  <c r="R182" i="9"/>
  <c r="P182" i="9"/>
  <c r="W182" i="9"/>
  <c r="X187" i="9"/>
  <c r="V188" i="9"/>
  <c r="U188" i="9"/>
  <c r="Y188" i="9"/>
  <c r="T189" i="9"/>
  <c r="Q189" i="9"/>
  <c r="S190" i="9"/>
  <c r="R190" i="9"/>
  <c r="P190" i="9"/>
  <c r="W190" i="9"/>
  <c r="X195" i="9"/>
  <c r="V196" i="9"/>
  <c r="U196" i="9"/>
  <c r="Y196" i="9"/>
  <c r="T197" i="9"/>
  <c r="Q197" i="9"/>
  <c r="S198" i="9"/>
  <c r="R198" i="9"/>
  <c r="P198" i="9"/>
  <c r="W198" i="9"/>
  <c r="X156" i="9"/>
  <c r="V157" i="9"/>
  <c r="U157" i="9"/>
  <c r="Y157" i="9"/>
  <c r="T158" i="9"/>
  <c r="Q158" i="9"/>
  <c r="S159" i="9"/>
  <c r="R159" i="9"/>
  <c r="P159" i="9"/>
  <c r="W159" i="9"/>
  <c r="X164" i="9"/>
  <c r="V165" i="9"/>
  <c r="U165" i="9"/>
  <c r="Y165" i="9"/>
  <c r="T166" i="9"/>
  <c r="Q166" i="9"/>
  <c r="S167" i="9"/>
  <c r="R167" i="9"/>
  <c r="P167" i="9"/>
  <c r="W167" i="9"/>
  <c r="X172" i="9"/>
  <c r="V173" i="9"/>
  <c r="U173" i="9"/>
  <c r="Y173" i="9"/>
  <c r="T174" i="9"/>
  <c r="Q174" i="9"/>
  <c r="S175" i="9"/>
  <c r="R175" i="9"/>
  <c r="P175" i="9"/>
  <c r="W175" i="9"/>
  <c r="X180" i="9"/>
  <c r="V181" i="9"/>
  <c r="U181" i="9"/>
  <c r="Y181" i="9"/>
  <c r="T182" i="9"/>
  <c r="Q182" i="9"/>
  <c r="S183" i="9"/>
  <c r="R183" i="9"/>
  <c r="P183" i="9"/>
  <c r="W183" i="9"/>
  <c r="X188" i="9"/>
  <c r="V189" i="9"/>
  <c r="U189" i="9"/>
  <c r="Y189" i="9"/>
  <c r="T190" i="9"/>
  <c r="Q190" i="9"/>
  <c r="S191" i="9"/>
  <c r="R191" i="9"/>
  <c r="P191" i="9"/>
  <c r="W191" i="9"/>
  <c r="X196" i="9"/>
  <c r="V197" i="9"/>
  <c r="U197" i="9"/>
  <c r="Y197" i="9"/>
  <c r="T198" i="9"/>
  <c r="Q198" i="9"/>
  <c r="R199" i="9"/>
  <c r="W199" i="9"/>
  <c r="S199" i="9"/>
  <c r="P199" i="9"/>
  <c r="X157" i="9"/>
  <c r="U158" i="9"/>
  <c r="Y158" i="9"/>
  <c r="V158" i="9"/>
  <c r="T159" i="9"/>
  <c r="Q159" i="9"/>
  <c r="S160" i="9"/>
  <c r="R160" i="9"/>
  <c r="P160" i="9"/>
  <c r="W160" i="9"/>
  <c r="X165" i="9"/>
  <c r="U166" i="9"/>
  <c r="Y166" i="9"/>
  <c r="V166" i="9"/>
  <c r="T167" i="9"/>
  <c r="Q167" i="9"/>
  <c r="S168" i="9"/>
  <c r="R168" i="9"/>
  <c r="P168" i="9"/>
  <c r="W168" i="9"/>
  <c r="X173" i="9"/>
  <c r="U174" i="9"/>
  <c r="Y174" i="9"/>
  <c r="V174" i="9"/>
  <c r="T175" i="9"/>
  <c r="Q175" i="9"/>
  <c r="S176" i="9"/>
  <c r="R176" i="9"/>
  <c r="P176" i="9"/>
  <c r="W176" i="9"/>
  <c r="X181" i="9"/>
  <c r="U182" i="9"/>
  <c r="Y182" i="9"/>
  <c r="V182" i="9"/>
  <c r="T183" i="9"/>
  <c r="Q183" i="9"/>
  <c r="S184" i="9"/>
  <c r="R184" i="9"/>
  <c r="P184" i="9"/>
  <c r="W184" i="9"/>
  <c r="X189" i="9"/>
  <c r="U190" i="9"/>
  <c r="Y190" i="9"/>
  <c r="V190" i="9"/>
  <c r="T191" i="9"/>
  <c r="Q191" i="9"/>
  <c r="S192" i="9"/>
  <c r="R192" i="9"/>
  <c r="P192" i="9"/>
  <c r="W192" i="9"/>
  <c r="X197" i="9"/>
  <c r="U198" i="9"/>
  <c r="Y198" i="9"/>
  <c r="V198" i="9"/>
  <c r="T199" i="9"/>
  <c r="Q199" i="9"/>
  <c r="X158" i="9"/>
  <c r="Y159" i="9"/>
  <c r="V159" i="9"/>
  <c r="U159" i="9"/>
  <c r="Q160" i="9"/>
  <c r="T160" i="9"/>
  <c r="R161" i="9"/>
  <c r="P161" i="9"/>
  <c r="W161" i="9"/>
  <c r="S161" i="9"/>
  <c r="X166" i="9"/>
  <c r="Y167" i="9"/>
  <c r="V167" i="9"/>
  <c r="U167" i="9"/>
  <c r="Q168" i="9"/>
  <c r="T168" i="9"/>
  <c r="R169" i="9"/>
  <c r="P169" i="9"/>
  <c r="W169" i="9"/>
  <c r="S169" i="9"/>
  <c r="X174" i="9"/>
  <c r="Y175" i="9"/>
  <c r="V175" i="9"/>
  <c r="U175" i="9"/>
  <c r="Q176" i="9"/>
  <c r="T176" i="9"/>
  <c r="R177" i="9"/>
  <c r="P177" i="9"/>
  <c r="W177" i="9"/>
  <c r="S177" i="9"/>
  <c r="X182" i="9"/>
  <c r="Y183" i="9"/>
  <c r="V183" i="9"/>
  <c r="U183" i="9"/>
  <c r="Q184" i="9"/>
  <c r="T184" i="9"/>
  <c r="R185" i="9"/>
  <c r="P185" i="9"/>
  <c r="W185" i="9"/>
  <c r="S185" i="9"/>
  <c r="X190" i="9"/>
  <c r="Y191" i="9"/>
  <c r="V191" i="9"/>
  <c r="U191" i="9"/>
  <c r="Q192" i="9"/>
  <c r="T192" i="9"/>
  <c r="R193" i="9"/>
  <c r="P193" i="9"/>
  <c r="W193" i="9"/>
  <c r="S193" i="9"/>
  <c r="X198" i="9"/>
  <c r="Y199" i="9"/>
  <c r="V199" i="9"/>
  <c r="U199" i="9"/>
  <c r="P154" i="9"/>
  <c r="W154" i="9"/>
  <c r="S154" i="9"/>
  <c r="R154" i="9"/>
  <c r="X159" i="9"/>
  <c r="Y160" i="9"/>
  <c r="V160" i="9"/>
  <c r="U160" i="9"/>
  <c r="Q161" i="9"/>
  <c r="T161" i="9"/>
  <c r="P162" i="9"/>
  <c r="W162" i="9"/>
  <c r="S162" i="9"/>
  <c r="R162" i="9"/>
  <c r="X167" i="9"/>
  <c r="Y168" i="9"/>
  <c r="V168" i="9"/>
  <c r="U168" i="9"/>
  <c r="Q169" i="9"/>
  <c r="T169" i="9"/>
  <c r="P170" i="9"/>
  <c r="W170" i="9"/>
  <c r="S170" i="9"/>
  <c r="R170" i="9"/>
  <c r="X175" i="9"/>
  <c r="Y176" i="9"/>
  <c r="V176" i="9"/>
  <c r="U176" i="9"/>
  <c r="Q177" i="9"/>
  <c r="T177" i="9"/>
  <c r="P178" i="9"/>
  <c r="W178" i="9"/>
  <c r="S178" i="9"/>
  <c r="R178" i="9"/>
  <c r="X183" i="9"/>
  <c r="Y184" i="9"/>
  <c r="V184" i="9"/>
  <c r="U184" i="9"/>
  <c r="Q185" i="9"/>
  <c r="T185" i="9"/>
  <c r="P186" i="9"/>
  <c r="W186" i="9"/>
  <c r="S186" i="9"/>
  <c r="R186" i="9"/>
  <c r="X191" i="9"/>
  <c r="Y192" i="9"/>
  <c r="V192" i="9"/>
  <c r="U192" i="9"/>
  <c r="Q193" i="9"/>
  <c r="T193" i="9"/>
  <c r="P194" i="9"/>
  <c r="W194" i="9"/>
  <c r="S194" i="9"/>
  <c r="R194" i="9"/>
  <c r="X199" i="9"/>
  <c r="X200" i="9"/>
  <c r="Y201" i="9"/>
  <c r="V201" i="9"/>
  <c r="U201" i="9"/>
  <c r="Q202" i="9"/>
  <c r="T202" i="9"/>
  <c r="P203" i="9"/>
  <c r="W203" i="9"/>
  <c r="S203" i="9"/>
  <c r="R203" i="9"/>
  <c r="X208" i="9"/>
  <c r="Y209" i="9"/>
  <c r="V209" i="9"/>
  <c r="U209" i="9"/>
  <c r="Q210" i="9"/>
  <c r="T210" i="9"/>
  <c r="P211" i="9"/>
  <c r="W211" i="9"/>
  <c r="S211" i="9"/>
  <c r="R211" i="9"/>
  <c r="X216" i="9"/>
  <c r="Y217" i="9"/>
  <c r="V217" i="9"/>
  <c r="U217" i="9"/>
  <c r="Q218" i="9"/>
  <c r="T218" i="9"/>
  <c r="P219" i="9"/>
  <c r="W219" i="9"/>
  <c r="S219" i="9"/>
  <c r="R219" i="9"/>
  <c r="X224" i="9"/>
  <c r="Y225" i="9"/>
  <c r="V225" i="9"/>
  <c r="U225" i="9"/>
  <c r="Q226" i="9"/>
  <c r="T226" i="9"/>
  <c r="P227" i="9"/>
  <c r="W227" i="9"/>
  <c r="S227" i="9"/>
  <c r="R227" i="9"/>
  <c r="X232" i="9"/>
  <c r="Y233" i="9"/>
  <c r="V233" i="9"/>
  <c r="U233" i="9"/>
  <c r="Q234" i="9"/>
  <c r="T234" i="9"/>
  <c r="P235" i="9"/>
  <c r="W235" i="9"/>
  <c r="S235" i="9"/>
  <c r="R235" i="9"/>
  <c r="X240" i="9"/>
  <c r="Y241" i="9"/>
  <c r="V241" i="9"/>
  <c r="U241" i="9"/>
  <c r="Q242" i="9"/>
  <c r="T242" i="9"/>
  <c r="P243" i="9"/>
  <c r="W243" i="9"/>
  <c r="S243" i="9"/>
  <c r="R243" i="9"/>
  <c r="X201" i="9"/>
  <c r="Y202" i="9"/>
  <c r="V202" i="9"/>
  <c r="U202" i="9"/>
  <c r="T203" i="9"/>
  <c r="Q203" i="9"/>
  <c r="W204" i="9"/>
  <c r="S204" i="9"/>
  <c r="R204" i="9"/>
  <c r="P204" i="9"/>
  <c r="X209" i="9"/>
  <c r="Y210" i="9"/>
  <c r="V210" i="9"/>
  <c r="U210" i="9"/>
  <c r="T211" i="9"/>
  <c r="Q211" i="9"/>
  <c r="W212" i="9"/>
  <c r="S212" i="9"/>
  <c r="R212" i="9"/>
  <c r="P212" i="9"/>
  <c r="X217" i="9"/>
  <c r="Y218" i="9"/>
  <c r="V218" i="9"/>
  <c r="U218" i="9"/>
  <c r="T219" i="9"/>
  <c r="Q219" i="9"/>
  <c r="W220" i="9"/>
  <c r="S220" i="9"/>
  <c r="R220" i="9"/>
  <c r="P220" i="9"/>
  <c r="X225" i="9"/>
  <c r="Y226" i="9"/>
  <c r="V226" i="9"/>
  <c r="U226" i="9"/>
  <c r="T227" i="9"/>
  <c r="Q227" i="9"/>
  <c r="W228" i="9"/>
  <c r="S228" i="9"/>
  <c r="R228" i="9"/>
  <c r="P228" i="9"/>
  <c r="X233" i="9"/>
  <c r="Y234" i="9"/>
  <c r="V234" i="9"/>
  <c r="U234" i="9"/>
  <c r="T235" i="9"/>
  <c r="Q235" i="9"/>
  <c r="W236" i="9"/>
  <c r="S236" i="9"/>
  <c r="R236" i="9"/>
  <c r="P236" i="9"/>
  <c r="X241" i="9"/>
  <c r="Y242" i="9"/>
  <c r="V242" i="9"/>
  <c r="U242" i="9"/>
  <c r="T243" i="9"/>
  <c r="Q243" i="9"/>
  <c r="W244" i="9"/>
  <c r="S244" i="9"/>
  <c r="R244" i="9"/>
  <c r="P244" i="9"/>
  <c r="X202" i="9"/>
  <c r="V203" i="9"/>
  <c r="U203" i="9"/>
  <c r="Y203" i="9"/>
  <c r="T204" i="9"/>
  <c r="Q204" i="9"/>
  <c r="S205" i="9"/>
  <c r="R205" i="9"/>
  <c r="P205" i="9"/>
  <c r="W205" i="9"/>
  <c r="X210" i="9"/>
  <c r="V211" i="9"/>
  <c r="U211" i="9"/>
  <c r="Y211" i="9"/>
  <c r="T212" i="9"/>
  <c r="Q212" i="9"/>
  <c r="S213" i="9"/>
  <c r="R213" i="9"/>
  <c r="P213" i="9"/>
  <c r="W213" i="9"/>
  <c r="X218" i="9"/>
  <c r="V219" i="9"/>
  <c r="U219" i="9"/>
  <c r="Y219" i="9"/>
  <c r="T220" i="9"/>
  <c r="Q220" i="9"/>
  <c r="S221" i="9"/>
  <c r="R221" i="9"/>
  <c r="P221" i="9"/>
  <c r="W221" i="9"/>
  <c r="X226" i="9"/>
  <c r="V227" i="9"/>
  <c r="U227" i="9"/>
  <c r="Y227" i="9"/>
  <c r="T228" i="9"/>
  <c r="Q228" i="9"/>
  <c r="S229" i="9"/>
  <c r="R229" i="9"/>
  <c r="P229" i="9"/>
  <c r="W229" i="9"/>
  <c r="X234" i="9"/>
  <c r="V235" i="9"/>
  <c r="U235" i="9"/>
  <c r="Y235" i="9"/>
  <c r="T236" i="9"/>
  <c r="Q236" i="9"/>
  <c r="S237" i="9"/>
  <c r="R237" i="9"/>
  <c r="P237" i="9"/>
  <c r="W237" i="9"/>
  <c r="X242" i="9"/>
  <c r="V243" i="9"/>
  <c r="U243" i="9"/>
  <c r="Y243" i="9"/>
  <c r="T244" i="9"/>
  <c r="Q244" i="9"/>
  <c r="X203" i="9"/>
  <c r="V204" i="9"/>
  <c r="U204" i="9"/>
  <c r="Y204" i="9"/>
  <c r="T205" i="9"/>
  <c r="Q205" i="9"/>
  <c r="S206" i="9"/>
  <c r="R206" i="9"/>
  <c r="P206" i="9"/>
  <c r="W206" i="9"/>
  <c r="X211" i="9"/>
  <c r="V212" i="9"/>
  <c r="U212" i="9"/>
  <c r="Y212" i="9"/>
  <c r="T213" i="9"/>
  <c r="Q213" i="9"/>
  <c r="S214" i="9"/>
  <c r="R214" i="9"/>
  <c r="P214" i="9"/>
  <c r="W214" i="9"/>
  <c r="X219" i="9"/>
  <c r="V220" i="9"/>
  <c r="U220" i="9"/>
  <c r="Y220" i="9"/>
  <c r="T221" i="9"/>
  <c r="Q221" i="9"/>
  <c r="S222" i="9"/>
  <c r="R222" i="9"/>
  <c r="P222" i="9"/>
  <c r="W222" i="9"/>
  <c r="X227" i="9"/>
  <c r="V228" i="9"/>
  <c r="U228" i="9"/>
  <c r="Y228" i="9"/>
  <c r="T229" i="9"/>
  <c r="Q229" i="9"/>
  <c r="S230" i="9"/>
  <c r="R230" i="9"/>
  <c r="P230" i="9"/>
  <c r="W230" i="9"/>
  <c r="X235" i="9"/>
  <c r="V236" i="9"/>
  <c r="U236" i="9"/>
  <c r="Y236" i="9"/>
  <c r="T237" i="9"/>
  <c r="Q237" i="9"/>
  <c r="S238" i="9"/>
  <c r="R238" i="9"/>
  <c r="P238" i="9"/>
  <c r="W238" i="9"/>
  <c r="X243" i="9"/>
  <c r="V244" i="9"/>
  <c r="U244" i="9"/>
  <c r="Y244" i="9"/>
  <c r="X204" i="9"/>
  <c r="V205" i="9"/>
  <c r="U205" i="9"/>
  <c r="Y205" i="9"/>
  <c r="T206" i="9"/>
  <c r="Q206" i="9"/>
  <c r="S207" i="9"/>
  <c r="R207" i="9"/>
  <c r="P207" i="9"/>
  <c r="W207" i="9"/>
  <c r="X212" i="9"/>
  <c r="V213" i="9"/>
  <c r="U213" i="9"/>
  <c r="Y213" i="9"/>
  <c r="T214" i="9"/>
  <c r="Q214" i="9"/>
  <c r="S215" i="9"/>
  <c r="R215" i="9"/>
  <c r="P215" i="9"/>
  <c r="W215" i="9"/>
  <c r="X220" i="9"/>
  <c r="V221" i="9"/>
  <c r="U221" i="9"/>
  <c r="Y221" i="9"/>
  <c r="T222" i="9"/>
  <c r="Q222" i="9"/>
  <c r="S223" i="9"/>
  <c r="R223" i="9"/>
  <c r="P223" i="9"/>
  <c r="W223" i="9"/>
  <c r="X228" i="9"/>
  <c r="V229" i="9"/>
  <c r="U229" i="9"/>
  <c r="Y229" i="9"/>
  <c r="T230" i="9"/>
  <c r="Q230" i="9"/>
  <c r="S231" i="9"/>
  <c r="R231" i="9"/>
  <c r="P231" i="9"/>
  <c r="W231" i="9"/>
  <c r="X236" i="9"/>
  <c r="V237" i="9"/>
  <c r="U237" i="9"/>
  <c r="Y237" i="9"/>
  <c r="T238" i="9"/>
  <c r="Q238" i="9"/>
  <c r="S239" i="9"/>
  <c r="R239" i="9"/>
  <c r="P239" i="9"/>
  <c r="W239" i="9"/>
  <c r="X244" i="9"/>
  <c r="S200" i="9"/>
  <c r="R200" i="9"/>
  <c r="P200" i="9"/>
  <c r="W200" i="9"/>
  <c r="X205" i="9"/>
  <c r="U206" i="9"/>
  <c r="Y206" i="9"/>
  <c r="V206" i="9"/>
  <c r="T207" i="9"/>
  <c r="Q207" i="9"/>
  <c r="S208" i="9"/>
  <c r="R208" i="9"/>
  <c r="P208" i="9"/>
  <c r="W208" i="9"/>
  <c r="X213" i="9"/>
  <c r="U214" i="9"/>
  <c r="Y214" i="9"/>
  <c r="V214" i="9"/>
  <c r="T215" i="9"/>
  <c r="Q215" i="9"/>
  <c r="S216" i="9"/>
  <c r="R216" i="9"/>
  <c r="P216" i="9"/>
  <c r="W216" i="9"/>
  <c r="X221" i="9"/>
  <c r="U222" i="9"/>
  <c r="Y222" i="9"/>
  <c r="V222" i="9"/>
  <c r="T223" i="9"/>
  <c r="Q223" i="9"/>
  <c r="S224" i="9"/>
  <c r="R224" i="9"/>
  <c r="P224" i="9"/>
  <c r="W224" i="9"/>
  <c r="X229" i="9"/>
  <c r="U230" i="9"/>
  <c r="Y230" i="9"/>
  <c r="V230" i="9"/>
  <c r="T231" i="9"/>
  <c r="Q231" i="9"/>
  <c r="S232" i="9"/>
  <c r="R232" i="9"/>
  <c r="P232" i="9"/>
  <c r="W232" i="9"/>
  <c r="X237" i="9"/>
  <c r="U238" i="9"/>
  <c r="Y238" i="9"/>
  <c r="V238" i="9"/>
  <c r="T239" i="9"/>
  <c r="Q239" i="9"/>
  <c r="S240" i="9"/>
  <c r="R240" i="9"/>
  <c r="P240" i="9"/>
  <c r="W240" i="9"/>
  <c r="Q200" i="9"/>
  <c r="T200" i="9"/>
  <c r="R201" i="9"/>
  <c r="P201" i="9"/>
  <c r="W201" i="9"/>
  <c r="S201" i="9"/>
  <c r="X206" i="9"/>
  <c r="Y207" i="9"/>
  <c r="V207" i="9"/>
  <c r="U207" i="9"/>
  <c r="Q208" i="9"/>
  <c r="T208" i="9"/>
  <c r="R209" i="9"/>
  <c r="P209" i="9"/>
  <c r="W209" i="9"/>
  <c r="S209" i="9"/>
  <c r="X214" i="9"/>
  <c r="Y215" i="9"/>
  <c r="V215" i="9"/>
  <c r="U215" i="9"/>
  <c r="Q216" i="9"/>
  <c r="T216" i="9"/>
  <c r="R217" i="9"/>
  <c r="P217" i="9"/>
  <c r="W217" i="9"/>
  <c r="S217" i="9"/>
  <c r="X222" i="9"/>
  <c r="Y223" i="9"/>
  <c r="V223" i="9"/>
  <c r="U223" i="9"/>
  <c r="Q224" i="9"/>
  <c r="T224" i="9"/>
  <c r="R225" i="9"/>
  <c r="P225" i="9"/>
  <c r="W225" i="9"/>
  <c r="S225" i="9"/>
  <c r="X230" i="9"/>
  <c r="Y231" i="9"/>
  <c r="V231" i="9"/>
  <c r="U231" i="9"/>
  <c r="Q232" i="9"/>
  <c r="T232" i="9"/>
  <c r="R233" i="9"/>
  <c r="P233" i="9"/>
  <c r="W233" i="9"/>
  <c r="S233" i="9"/>
  <c r="X238" i="9"/>
  <c r="Y239" i="9"/>
  <c r="V239" i="9"/>
  <c r="U239" i="9"/>
  <c r="Q240" i="9"/>
  <c r="T240" i="9"/>
  <c r="R241" i="9"/>
  <c r="P241" i="9"/>
  <c r="W241" i="9"/>
  <c r="S241" i="9"/>
  <c r="Y200" i="9"/>
  <c r="V200" i="9"/>
  <c r="U200" i="9"/>
  <c r="Q201" i="9"/>
  <c r="T201" i="9"/>
  <c r="P202" i="9"/>
  <c r="W202" i="9"/>
  <c r="S202" i="9"/>
  <c r="R202" i="9"/>
  <c r="X207" i="9"/>
  <c r="Y208" i="9"/>
  <c r="V208" i="9"/>
  <c r="U208" i="9"/>
  <c r="Q209" i="9"/>
  <c r="T209" i="9"/>
  <c r="P210" i="9"/>
  <c r="W210" i="9"/>
  <c r="S210" i="9"/>
  <c r="R210" i="9"/>
  <c r="X215" i="9"/>
  <c r="Y216" i="9"/>
  <c r="V216" i="9"/>
  <c r="U216" i="9"/>
  <c r="Q217" i="9"/>
  <c r="T217" i="9"/>
  <c r="P218" i="9"/>
  <c r="W218" i="9"/>
  <c r="S218" i="9"/>
  <c r="R218" i="9"/>
  <c r="X223" i="9"/>
  <c r="Y224" i="9"/>
  <c r="V224" i="9"/>
  <c r="U224" i="9"/>
  <c r="Q225" i="9"/>
  <c r="T225" i="9"/>
  <c r="P226" i="9"/>
  <c r="W226" i="9"/>
  <c r="S226" i="9"/>
  <c r="R226" i="9"/>
  <c r="X231" i="9"/>
  <c r="Y232" i="9"/>
  <c r="V232" i="9"/>
  <c r="U232" i="9"/>
  <c r="Q233" i="9"/>
  <c r="T233" i="9"/>
  <c r="P234" i="9"/>
  <c r="W234" i="9"/>
  <c r="S234" i="9"/>
  <c r="R234" i="9"/>
  <c r="X239" i="9"/>
  <c r="Y240" i="9"/>
  <c r="V240" i="9"/>
  <c r="U240" i="9"/>
  <c r="Q241" i="9"/>
  <c r="T241" i="9"/>
  <c r="P242" i="9"/>
  <c r="W242" i="9"/>
  <c r="S242" i="9"/>
  <c r="R242" i="9"/>
  <c r="C4" i="11"/>
  <c r="C5" i="11" l="1"/>
  <c r="C6" i="11" s="1"/>
  <c r="D4" i="11"/>
  <c r="D5" i="11" s="1"/>
  <c r="D6" i="11" l="1"/>
  <c r="E4" i="11"/>
  <c r="E5" i="11" s="1"/>
  <c r="E6" i="11" l="1"/>
  <c r="F6" i="11" s="1"/>
  <c r="H5" i="11"/>
</calcChain>
</file>

<file path=xl/sharedStrings.xml><?xml version="1.0" encoding="utf-8"?>
<sst xmlns="http://schemas.openxmlformats.org/spreadsheetml/2006/main" count="1709" uniqueCount="72">
  <si>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</si>
  <si>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</si>
  <si>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</si>
  <si>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</si>
  <si>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</si>
  <si>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</si>
  <si>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</si>
  <si>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</si>
  <si>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</si>
  <si>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</si>
  <si>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</si>
  <si>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</si>
  <si>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</si>
  <si>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</si>
  <si>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</si>
  <si>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</si>
  <si>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</si>
  <si>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</si>
  <si>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</si>
  <si>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</si>
  <si>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</si>
  <si>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</si>
  <si>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</si>
  <si>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</si>
  <si>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</si>
  <si>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</si>
  <si>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</si>
  <si>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</si>
  <si>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Valores</t>
  </si>
  <si>
    <t>Suma de P29</t>
  </si>
  <si>
    <t>Suma de PG29</t>
  </si>
  <si>
    <t>Suma de P38</t>
  </si>
  <si>
    <t>Suma de P30</t>
  </si>
  <si>
    <t>Suma de P41</t>
  </si>
  <si>
    <t>Suma de PG30</t>
  </si>
  <si>
    <t>Suma de P35</t>
  </si>
  <si>
    <t>(en blanco)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</si>
  <si>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</si>
  <si>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</si>
  <si>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</si>
  <si>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</si>
  <si>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</si>
  <si>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</si>
  <si>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</si>
  <si>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</si>
  <si>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</si>
  <si>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</si>
  <si>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</si>
  <si>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</si>
  <si>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</si>
  <si>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</si>
  <si>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</si>
  <si>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</si>
  <si>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</si>
  <si>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</si>
  <si>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</si>
  <si>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</si>
  <si>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</si>
  <si>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</si>
  <si>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</si>
  <si>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</si>
  <si>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</si>
  <si>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</si>
  <si>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</si>
  <si>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</si>
  <si>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</si>
  <si>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</si>
  <si>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</si>
  <si>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</si>
  <si>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</si>
  <si>
    <t>ratio</t>
  </si>
  <si>
    <t>VENDO AL41 COMPRO AL29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</si>
</sst>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06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  <xf numFmtId="14" fontId="0" fillId="9" borderId="13" xfId="0" applyNumberFormat="1" applyFill="1" applyBorder="1"/>
    <xf numFmtId="2" fontId="0" fillId="9" borderId="13" xfId="0" applyNumberFormat="1" applyFill="1" applyBorder="1"/>
    <xf numFmtId="10" fontId="0" fillId="9" borderId="14" xfId="0" applyNumberFormat="1" applyFill="1" applyBorder="1"/>
    <xf numFmtId="10" fontId="0" fillId="9" borderId="0" xfId="0" applyNumberFormat="1" applyFill="1"/>
    <xf numFmtId="2" fontId="0" fillId="9" borderId="0" xfId="0" applyNumberFormat="1" applyFill="1"/>
    <xf numFmtId="0" fontId="0" fillId="9" borderId="0" xfId="0" applyFill="1"/>
    <xf numFmtId="168" fontId="0" fillId="3" borderId="14" xfId="0" applyNumberFormat="1" applyFill="1" applyBorder="1"/>
    <xf numFmtId="168" fontId="0" fillId="9" borderId="14" xfId="0" applyNumberFormat="1" applyFill="1" applyBorder="1"/>
    <xf numFmtId="168" fontId="0" fillId="4" borderId="14" xfId="0" applyNumberFormat="1" applyFill="1" applyBorder="1"/>
    <xf numFmtId="168" fontId="0" fillId="4" borderId="6" xfId="0" applyNumberFormat="1" applyFill="1" applyBorder="1"/>
    <xf numFmtId="168" fontId="0" fillId="3" borderId="0" xfId="0" applyNumberFormat="1" applyFill="1"/>
    <xf numFmtId="168" fontId="0" fillId="9" borderId="0" xfId="0" applyNumberFormat="1" applyFill="1"/>
    <xf numFmtId="168" fontId="0" fillId="4" borderId="0" xfId="0" applyNumberFormat="1" applyFill="1"/>
    <xf numFmtId="168" fontId="0" fillId="4" borderId="5" xfId="0" applyNumberFormat="1" applyFill="1" applyBorder="1"/>
    <xf numFmtId="14" fontId="0" fillId="10" borderId="13" xfId="0" applyNumberFormat="1" applyFill="1" applyBorder="1"/>
    <xf numFmtId="2" fontId="0" fillId="10" borderId="13" xfId="0" applyNumberFormat="1" applyFill="1" applyBorder="1"/>
    <xf numFmtId="168" fontId="0" fillId="10" borderId="14" xfId="0" applyNumberFormat="1" applyFill="1" applyBorder="1"/>
    <xf numFmtId="168" fontId="0" fillId="10" borderId="0" xfId="0" applyNumberFormat="1" applyFill="1"/>
    <xf numFmtId="2" fontId="0" fillId="10" borderId="0" xfId="0" applyNumberFormat="1" applyFill="1"/>
    <xf numFmtId="10" fontId="0" fillId="10" borderId="14" xfId="0" applyNumberFormat="1" applyFill="1" applyBorder="1"/>
    <xf numFmtId="10" fontId="0" fillId="10" borderId="0" xfId="0" applyNumberFormat="1" applyFill="1"/>
    <xf numFmtId="0" fontId="1" fillId="8" borderId="14" xfId="0" applyFont="1" applyFill="1" applyBorder="1"/>
    <xf numFmtId="165" fontId="2" fillId="8" borderId="3" xfId="0" applyNumberFormat="1" applyFont="1" applyFill="1" applyBorder="1" applyAlignment="1">
      <alignment horizontal="right" vertical="center" wrapText="1"/>
    </xf>
    <xf numFmtId="2" fontId="2" fillId="8" borderId="3" xfId="0" applyNumberFormat="1" applyFont="1" applyFill="1" applyBorder="1" applyAlignment="1">
      <alignment horizontal="right" vertical="center" wrapText="1"/>
    </xf>
    <xf numFmtId="14" fontId="0" fillId="11" borderId="13" xfId="0" applyNumberFormat="1" applyFill="1" applyBorder="1"/>
    <xf numFmtId="2" fontId="0" fillId="11" borderId="13" xfId="0" applyNumberFormat="1" applyFill="1" applyBorder="1"/>
    <xf numFmtId="168" fontId="0" fillId="11" borderId="14" xfId="0" applyNumberFormat="1" applyFill="1" applyBorder="1"/>
    <xf numFmtId="168" fontId="0" fillId="11" borderId="0" xfId="0" applyNumberFormat="1" applyFill="1"/>
    <xf numFmtId="2" fontId="0" fillId="11" borderId="0" xfId="0" applyNumberFormat="1" applyFill="1"/>
    <xf numFmtId="10" fontId="0" fillId="11" borderId="14" xfId="0" applyNumberFormat="1" applyFill="1" applyBorder="1"/>
    <xf numFmtId="10" fontId="0" fillId="11" borderId="0" xfId="0" applyNumberFormat="1" applyFill="1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 bkp!TablaDinámica3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8"/>
        <c:spPr>
          <a:ln w="28575" cap="rnd">
            <a:solidFill>
              <a:schemeClr val="accent2"/>
            </a:solidFill>
            <a:prstDash val="solid"/>
            <a:round/>
          </a:ln>
        </c:spPr>
        <c:marker>
          <c:symbol val="none"/>
        </c:marker>
      </c:pivotFmt>
      <c:pivotFmt>
        <c:idx val="9"/>
        <c:spPr>
          <a:ln w="28575" cap="rnd">
            <a:solidFill>
              <a:schemeClr val="accent3"/>
            </a:solidFill>
            <a:prstDash val="solid"/>
            <a:round/>
          </a:ln>
        </c:spPr>
        <c:marker>
          <c:symbol val="none"/>
        </c:marker>
      </c:pivotFmt>
      <c:pivotFmt>
        <c:idx val="10"/>
        <c:spPr>
          <a:ln w="28575" cap="rnd">
            <a:solidFill>
              <a:schemeClr val="accent4"/>
            </a:solidFill>
            <a:prstDash val="solid"/>
            <a:round/>
          </a:ln>
        </c:spPr>
        <c:marker>
          <c:symbol val="none"/>
        </c:marker>
      </c:pivotFmt>
      <c:pivotFmt>
        <c:idx val="11"/>
        <c:spPr>
          <a:ln w="28575" cap="rnd">
            <a:solidFill>
              <a:schemeClr val="accent5"/>
            </a:solidFill>
            <a:prstDash val="solid"/>
            <a:round/>
          </a:ln>
        </c:spPr>
        <c:marker>
          <c:symbol val="none"/>
        </c:marker>
      </c:pivotFmt>
      <c:pivotFmt>
        <c:idx val="12"/>
        <c:spPr>
          <a:ln w="28575" cap="rnd">
            <a:solidFill>
              <a:schemeClr val="accent6"/>
            </a:solidFill>
            <a:prstDash val="solid"/>
            <a:round/>
          </a:ln>
        </c:spPr>
        <c:marker>
          <c:symbol val="none"/>
        </c:marker>
      </c:pivotFmt>
      <c:pivotFmt>
        <c:idx val="13"/>
        <c: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 bkp'!$B$1:$B$2</c:f>
              <c:strCache>
                <c:ptCount val="1"/>
                <c:pt idx="0">
                  <c:v>Suma de P29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bkp'!$B$3:$B$292</c:f>
              <c:numCache>
                <c:formatCode>0.00%</c:formatCode>
                <c:ptCount val="289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  <c:pt idx="245">
                  <c:v>0.40124148869260851</c:v>
                </c:pt>
                <c:pt idx="246">
                  <c:v>0.4002324309543342</c:v>
                </c:pt>
                <c:pt idx="247">
                  <c:v>0.39920159680638723</c:v>
                </c:pt>
                <c:pt idx="248">
                  <c:v>0.39719472849565263</c:v>
                </c:pt>
                <c:pt idx="249">
                  <c:v>0.39518796992481198</c:v>
                </c:pt>
                <c:pt idx="250">
                  <c:v>0.39218339895013121</c:v>
                </c:pt>
                <c:pt idx="251">
                  <c:v>0.38478825491429042</c:v>
                </c:pt>
                <c:pt idx="252">
                  <c:v>0.38365910333515579</c:v>
                </c:pt>
                <c:pt idx="253">
                  <c:v>0.38364861540143791</c:v>
                </c:pt>
                <c:pt idx="254">
                  <c:v>0.38812804111311572</c:v>
                </c:pt>
                <c:pt idx="255">
                  <c:v>0.38911516278052649</c:v>
                </c:pt>
                <c:pt idx="256">
                  <c:v>0.38112289525475618</c:v>
                </c:pt>
                <c:pt idx="257">
                  <c:v>0.38059283352010281</c:v>
                </c:pt>
                <c:pt idx="258">
                  <c:v>0.38407401333770641</c:v>
                </c:pt>
                <c:pt idx="259">
                  <c:v>0.37907567848260398</c:v>
                </c:pt>
                <c:pt idx="260">
                  <c:v>0.37357884667942071</c:v>
                </c:pt>
                <c:pt idx="261">
                  <c:v>0.37552261237874018</c:v>
                </c:pt>
                <c:pt idx="262">
                  <c:v>0.36902940212045032</c:v>
                </c:pt>
                <c:pt idx="263">
                  <c:v>0.37300871656146678</c:v>
                </c:pt>
                <c:pt idx="264">
                  <c:v>0.37399584676758291</c:v>
                </c:pt>
                <c:pt idx="265">
                  <c:v>0.36917843774760262</c:v>
                </c:pt>
                <c:pt idx="267">
                  <c:v>0.34625726843384019</c:v>
                </c:pt>
                <c:pt idx="268">
                  <c:v>0.36868686868686867</c:v>
                </c:pt>
                <c:pt idx="269">
                  <c:v>0.38065467252723262</c:v>
                </c:pt>
                <c:pt idx="270">
                  <c:v>0.38546933872112699</c:v>
                </c:pt>
                <c:pt idx="271">
                  <c:v>0.37969965870307171</c:v>
                </c:pt>
                <c:pt idx="272">
                  <c:v>0.38100562472695498</c:v>
                </c:pt>
                <c:pt idx="273">
                  <c:v>0.38011905086967213</c:v>
                </c:pt>
                <c:pt idx="274">
                  <c:v>0.37873409426028071</c:v>
                </c:pt>
                <c:pt idx="275">
                  <c:v>0.3808582976050684</c:v>
                </c:pt>
                <c:pt idx="276">
                  <c:v>0.37428996668305198</c:v>
                </c:pt>
                <c:pt idx="277">
                  <c:v>0.36981456700439691</c:v>
                </c:pt>
                <c:pt idx="278">
                  <c:v>0.37012371640812758</c:v>
                </c:pt>
                <c:pt idx="279">
                  <c:v>0.36046429059128771</c:v>
                </c:pt>
                <c:pt idx="280">
                  <c:v>0.36488036709275651</c:v>
                </c:pt>
                <c:pt idx="281">
                  <c:v>0.36887820600366011</c:v>
                </c:pt>
                <c:pt idx="282">
                  <c:v>0.36819038514067193</c:v>
                </c:pt>
                <c:pt idx="283">
                  <c:v>0.37009478543527552</c:v>
                </c:pt>
                <c:pt idx="284">
                  <c:v>0.36791138548951052</c:v>
                </c:pt>
                <c:pt idx="285">
                  <c:v>0.36704411965578482</c:v>
                </c:pt>
                <c:pt idx="286">
                  <c:v>0.36775215823407281</c:v>
                </c:pt>
                <c:pt idx="287">
                  <c:v>0.37195038658033491</c:v>
                </c:pt>
                <c:pt idx="288">
                  <c:v>0.36956723676301839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8D-4C42-B532-F784EA19E372}"/>
            </c:ext>
          </c:extLst>
        </c:ser>
        <c:ser>
          <c:idx val="1"/>
          <c:order val="1"/>
          <c:tx>
            <c:strRef>
              <c:f>'Grafico Paridades bkp'!$C$1:$C$2</c:f>
              <c:strCache>
                <c:ptCount val="1"/>
                <c:pt idx="0">
                  <c:v>Suma de PG29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bkp'!$C$3:$C$292</c:f>
              <c:numCache>
                <c:formatCode>0.00%</c:formatCode>
                <c:ptCount val="289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  <c:pt idx="245">
                  <c:v>0.42918865705925779</c:v>
                </c:pt>
                <c:pt idx="246">
                  <c:v>0.43416735028712061</c:v>
                </c:pt>
                <c:pt idx="247">
                  <c:v>0.43413173652694609</c:v>
                </c:pt>
                <c:pt idx="248">
                  <c:v>0.41116640236233393</c:v>
                </c:pt>
                <c:pt idx="249">
                  <c:v>0.41414900888585099</c:v>
                </c:pt>
                <c:pt idx="250">
                  <c:v>0.41323955599300077</c:v>
                </c:pt>
                <c:pt idx="251">
                  <c:v>0.40813899445006419</c:v>
                </c:pt>
                <c:pt idx="252">
                  <c:v>0.40610989611809728</c:v>
                </c:pt>
                <c:pt idx="253">
                  <c:v>0.41108772313496078</c:v>
                </c:pt>
                <c:pt idx="254">
                  <c:v>0.41656415723579898</c:v>
                </c:pt>
                <c:pt idx="255">
                  <c:v>0.41306071125932808</c:v>
                </c:pt>
                <c:pt idx="256">
                  <c:v>0.41983380712879947</c:v>
                </c:pt>
                <c:pt idx="257">
                  <c:v>0.41401317407822452</c:v>
                </c:pt>
                <c:pt idx="258">
                  <c:v>0.41599704821252881</c:v>
                </c:pt>
                <c:pt idx="259">
                  <c:v>0.41598567875591019</c:v>
                </c:pt>
                <c:pt idx="260">
                  <c:v>0.40899152773981962</c:v>
                </c:pt>
                <c:pt idx="261">
                  <c:v>0.40394862686159311</c:v>
                </c:pt>
                <c:pt idx="262">
                  <c:v>0.40453601486501262</c:v>
                </c:pt>
                <c:pt idx="263">
                  <c:v>0.40392655135666861</c:v>
                </c:pt>
                <c:pt idx="264">
                  <c:v>0.40501256899284122</c:v>
                </c:pt>
                <c:pt idx="265">
                  <c:v>0.39391000245894919</c:v>
                </c:pt>
                <c:pt idx="267">
                  <c:v>0.39109633916627989</c:v>
                </c:pt>
                <c:pt idx="268">
                  <c:v>0.39110701610701609</c:v>
                </c:pt>
                <c:pt idx="269">
                  <c:v>0.38663354172923092</c:v>
                </c:pt>
                <c:pt idx="270">
                  <c:v>0.38367553104352098</c:v>
                </c:pt>
                <c:pt idx="271">
                  <c:v>0.38866894197952218</c:v>
                </c:pt>
                <c:pt idx="272">
                  <c:v>0.38867955439056362</c:v>
                </c:pt>
                <c:pt idx="273">
                  <c:v>0.37274390410397829</c:v>
                </c:pt>
                <c:pt idx="274">
                  <c:v>0.37823575992572772</c:v>
                </c:pt>
                <c:pt idx="275">
                  <c:v>0.37278462000600782</c:v>
                </c:pt>
                <c:pt idx="276">
                  <c:v>0.37678191053580201</c:v>
                </c:pt>
                <c:pt idx="277">
                  <c:v>0.37729060272551002</c:v>
                </c:pt>
                <c:pt idx="278">
                  <c:v>0.37381199475639071</c:v>
                </c:pt>
                <c:pt idx="279">
                  <c:v>0.37980335927898401</c:v>
                </c:pt>
                <c:pt idx="280">
                  <c:v>0.38083142139189341</c:v>
                </c:pt>
                <c:pt idx="281">
                  <c:v>0.38482969599300759</c:v>
                </c:pt>
                <c:pt idx="282">
                  <c:v>0.38882818901939359</c:v>
                </c:pt>
                <c:pt idx="283">
                  <c:v>0.3888388101286569</c:v>
                </c:pt>
                <c:pt idx="284">
                  <c:v>0.38685533216783208</c:v>
                </c:pt>
                <c:pt idx="285">
                  <c:v>0.38888130036880209</c:v>
                </c:pt>
                <c:pt idx="286">
                  <c:v>0.38889192437984921</c:v>
                </c:pt>
                <c:pt idx="287">
                  <c:v>0.39388847908641372</c:v>
                </c:pt>
                <c:pt idx="288">
                  <c:v>0.39389924047866243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8D-4C42-B532-F784EA19E372}"/>
            </c:ext>
          </c:extLst>
        </c:ser>
        <c:ser>
          <c:idx val="2"/>
          <c:order val="2"/>
          <c:tx>
            <c:strRef>
              <c:f>'Grafico Paridades bkp'!$D$1:$D$2</c:f>
              <c:strCache>
                <c:ptCount val="1"/>
                <c:pt idx="0">
                  <c:v>Suma de P38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bkp'!$D$3:$D$292</c:f>
              <c:numCache>
                <c:formatCode>0.00%</c:formatCode>
                <c:ptCount val="289"/>
                <c:pt idx="0">
                  <c:v>0.49250262253944088</c:v>
                </c:pt>
                <c:pt idx="1">
                  <c:v>0.48399227981885679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  <c:pt idx="245">
                  <c:v>0.39490668300983672</c:v>
                </c:pt>
                <c:pt idx="246">
                  <c:v>0.39190604991953992</c:v>
                </c:pt>
                <c:pt idx="247">
                  <c:v>0.38610347413146712</c:v>
                </c:pt>
                <c:pt idx="248">
                  <c:v>0.38730184816176733</c:v>
                </c:pt>
                <c:pt idx="249">
                  <c:v>0.38350149790293592</c:v>
                </c:pt>
                <c:pt idx="250">
                  <c:v>0.37990112162587819</c:v>
                </c:pt>
                <c:pt idx="251">
                  <c:v>0.37340153452685432</c:v>
                </c:pt>
                <c:pt idx="252">
                  <c:v>0.37789646672144622</c:v>
                </c:pt>
                <c:pt idx="253">
                  <c:v>0.37889489559403039</c:v>
                </c:pt>
                <c:pt idx="254">
                  <c:v>0.38189275614382268</c:v>
                </c:pt>
                <c:pt idx="255">
                  <c:v>0.37989201699516922</c:v>
                </c:pt>
                <c:pt idx="256">
                  <c:v>0.37989071636926358</c:v>
                </c:pt>
                <c:pt idx="257">
                  <c:v>0.37788741025790262</c:v>
                </c:pt>
                <c:pt idx="258">
                  <c:v>0.37988551395469861</c:v>
                </c:pt>
                <c:pt idx="259">
                  <c:v>0.37338619393404071</c:v>
                </c:pt>
                <c:pt idx="260">
                  <c:v>0.37238522373241117</c:v>
                </c:pt>
                <c:pt idx="261">
                  <c:v>0.38387510912545569</c:v>
                </c:pt>
                <c:pt idx="262">
                  <c:v>0.37487675284837862</c:v>
                </c:pt>
                <c:pt idx="263">
                  <c:v>0.36987712985754728</c:v>
                </c:pt>
                <c:pt idx="264">
                  <c:v>0.36987586358003138</c:v>
                </c:pt>
                <c:pt idx="265">
                  <c:v>0.3728710274870678</c:v>
                </c:pt>
                <c:pt idx="267">
                  <c:v>0.35883901400399132</c:v>
                </c:pt>
                <c:pt idx="268">
                  <c:v>0.36083935234313491</c:v>
                </c:pt>
                <c:pt idx="269">
                  <c:v>0.37633374296971539</c:v>
                </c:pt>
                <c:pt idx="270">
                  <c:v>0.38093562366923861</c:v>
                </c:pt>
                <c:pt idx="271">
                  <c:v>0.38533504492939658</c:v>
                </c:pt>
                <c:pt idx="272">
                  <c:v>0.3858361517711657</c:v>
                </c:pt>
                <c:pt idx="273">
                  <c:v>0.38683705151597098</c:v>
                </c:pt>
                <c:pt idx="274">
                  <c:v>0.38533900219771189</c:v>
                </c:pt>
                <c:pt idx="275">
                  <c:v>0.38514304102095381</c:v>
                </c:pt>
                <c:pt idx="276">
                  <c:v>0.38384488460142818</c:v>
                </c:pt>
                <c:pt idx="277">
                  <c:v>0.37884820123443691</c:v>
                </c:pt>
                <c:pt idx="278">
                  <c:v>0.38034890249079129</c:v>
                </c:pt>
                <c:pt idx="279">
                  <c:v>0.37885079506358788</c:v>
                </c:pt>
                <c:pt idx="280">
                  <c:v>0.3768554527030728</c:v>
                </c:pt>
                <c:pt idx="281">
                  <c:v>0.37385788279113069</c:v>
                </c:pt>
                <c:pt idx="282">
                  <c:v>0.37285953921467929</c:v>
                </c:pt>
                <c:pt idx="283">
                  <c:v>0.37236100222862012</c:v>
                </c:pt>
                <c:pt idx="284">
                  <c:v>0.36986320128171768</c:v>
                </c:pt>
                <c:pt idx="285">
                  <c:v>0.3673678985296383</c:v>
                </c:pt>
                <c:pt idx="286">
                  <c:v>0.36736915619094568</c:v>
                </c:pt>
                <c:pt idx="287">
                  <c:v>0.36737041386086422</c:v>
                </c:pt>
                <c:pt idx="288">
                  <c:v>0.36987079855666849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8D-4C42-B532-F784EA19E372}"/>
            </c:ext>
          </c:extLst>
        </c:ser>
        <c:ser>
          <c:idx val="3"/>
          <c:order val="3"/>
          <c:tx>
            <c:strRef>
              <c:f>'Grafico Paridades bkp'!$E$1:$E$2</c:f>
              <c:strCache>
                <c:ptCount val="1"/>
                <c:pt idx="0">
                  <c:v>Suma de P30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bkp'!$E$3:$E$292</c:f>
              <c:numCache>
                <c:formatCode>0.00%</c:formatCode>
                <c:ptCount val="289"/>
                <c:pt idx="0">
                  <c:v>0.52082611207394569</c:v>
                </c:pt>
                <c:pt idx="1">
                  <c:v>0.51288667592809101</c:v>
                </c:pt>
                <c:pt idx="2">
                  <c:v>0.48155259683098589</c:v>
                </c:pt>
                <c:pt idx="3">
                  <c:v>0.47090296403273502</c:v>
                </c:pt>
                <c:pt idx="4">
                  <c:v>0.47290457458806701</c:v>
                </c:pt>
                <c:pt idx="5">
                  <c:v>0.46304584026736723</c:v>
                </c:pt>
                <c:pt idx="6">
                  <c:v>0.45571035620959982</c:v>
                </c:pt>
                <c:pt idx="7">
                  <c:v>0.4673501946060431</c:v>
                </c:pt>
                <c:pt idx="8">
                  <c:v>0.46182198261634938</c:v>
                </c:pt>
                <c:pt idx="9">
                  <c:v>0.45378405512081749</c:v>
                </c:pt>
                <c:pt idx="10">
                  <c:v>0.45075361681060561</c:v>
                </c:pt>
                <c:pt idx="11">
                  <c:v>0.44843846693345429</c:v>
                </c:pt>
                <c:pt idx="12">
                  <c:v>0.44772958552215408</c:v>
                </c:pt>
                <c:pt idx="13">
                  <c:v>0.44872729272954798</c:v>
                </c:pt>
                <c:pt idx="14">
                  <c:v>0.44470572057205721</c:v>
                </c:pt>
                <c:pt idx="15">
                  <c:v>0.44569118435708088</c:v>
                </c:pt>
                <c:pt idx="16">
                  <c:v>0.4461869534129036</c:v>
                </c:pt>
                <c:pt idx="17">
                  <c:v>0.44969405293915432</c:v>
                </c:pt>
                <c:pt idx="18">
                  <c:v>0.44868410197178449</c:v>
                </c:pt>
                <c:pt idx="19">
                  <c:v>0.44897905867146998</c:v>
                </c:pt>
                <c:pt idx="20">
                  <c:v>0.44905473594478279</c:v>
                </c:pt>
                <c:pt idx="21">
                  <c:v>0.44613787603805749</c:v>
                </c:pt>
                <c:pt idx="22">
                  <c:v>0.44562990664485169</c:v>
                </c:pt>
                <c:pt idx="23">
                  <c:v>0.44351609976077211</c:v>
                </c:pt>
                <c:pt idx="24">
                  <c:v>0.43506743473060477</c:v>
                </c:pt>
                <c:pt idx="25">
                  <c:v>0.41529049465203888</c:v>
                </c:pt>
                <c:pt idx="26">
                  <c:v>0.40444603307716631</c:v>
                </c:pt>
                <c:pt idx="27">
                  <c:v>0.40243332416827049</c:v>
                </c:pt>
                <c:pt idx="28">
                  <c:v>0.40292957204327678</c:v>
                </c:pt>
                <c:pt idx="29">
                  <c:v>0.38364538656109087</c:v>
                </c:pt>
                <c:pt idx="30">
                  <c:v>0.39357481613856621</c:v>
                </c:pt>
                <c:pt idx="31">
                  <c:v>0.38935474115415281</c:v>
                </c:pt>
                <c:pt idx="32">
                  <c:v>0.38874730229425269</c:v>
                </c:pt>
                <c:pt idx="33">
                  <c:v>0.38181805685379672</c:v>
                </c:pt>
                <c:pt idx="34">
                  <c:v>0.38772250553256998</c:v>
                </c:pt>
                <c:pt idx="35">
                  <c:v>0.38510831317352101</c:v>
                </c:pt>
                <c:pt idx="36">
                  <c:v>0.38520335931164351</c:v>
                </c:pt>
                <c:pt idx="37">
                  <c:v>0.38118453968166699</c:v>
                </c:pt>
                <c:pt idx="38">
                  <c:v>0.38127963713834101</c:v>
                </c:pt>
                <c:pt idx="39">
                  <c:v>0.38477555732702928</c:v>
                </c:pt>
                <c:pt idx="40">
                  <c:v>0.38527192512266523</c:v>
                </c:pt>
                <c:pt idx="41">
                  <c:v>0.3932930181418362</c:v>
                </c:pt>
                <c:pt idx="42">
                  <c:v>0.3959964816316433</c:v>
                </c:pt>
                <c:pt idx="43">
                  <c:v>0.40030510431269067</c:v>
                </c:pt>
                <c:pt idx="44">
                  <c:v>0.40390022675736958</c:v>
                </c:pt>
                <c:pt idx="45">
                  <c:v>0.40309210345491031</c:v>
                </c:pt>
                <c:pt idx="46">
                  <c:v>0.39867247516044357</c:v>
                </c:pt>
                <c:pt idx="47">
                  <c:v>0.39555711301671059</c:v>
                </c:pt>
                <c:pt idx="48">
                  <c:v>0.39173961439624011</c:v>
                </c:pt>
                <c:pt idx="49">
                  <c:v>0.38971184367828732</c:v>
                </c:pt>
                <c:pt idx="50">
                  <c:v>0.39321735784758288</c:v>
                </c:pt>
                <c:pt idx="51">
                  <c:v>0.39120577121264172</c:v>
                </c:pt>
                <c:pt idx="52">
                  <c:v>0.39130070352863577</c:v>
                </c:pt>
                <c:pt idx="53">
                  <c:v>0.38727242748595059</c:v>
                </c:pt>
                <c:pt idx="54">
                  <c:v>0.38596317669689473</c:v>
                </c:pt>
                <c:pt idx="55">
                  <c:v>0.38766298896690071</c:v>
                </c:pt>
                <c:pt idx="56">
                  <c:v>0.38956335357643379</c:v>
                </c:pt>
                <c:pt idx="57">
                  <c:v>0.38715084566450958</c:v>
                </c:pt>
                <c:pt idx="58">
                  <c:v>0.39233939660383582</c:v>
                </c:pt>
                <c:pt idx="59">
                  <c:v>0.39784994985506061</c:v>
                </c:pt>
                <c:pt idx="60">
                  <c:v>0.39964967715345517</c:v>
                </c:pt>
                <c:pt idx="61">
                  <c:v>0.40444685615375098</c:v>
                </c:pt>
                <c:pt idx="62">
                  <c:v>0.40143281039646128</c:v>
                </c:pt>
                <c:pt idx="63">
                  <c:v>0.3989202555120544</c:v>
                </c:pt>
                <c:pt idx="64">
                  <c:v>0.399516456948184</c:v>
                </c:pt>
                <c:pt idx="65">
                  <c:v>0.40332156544912562</c:v>
                </c:pt>
                <c:pt idx="66">
                  <c:v>0.4085192307692308</c:v>
                </c:pt>
                <c:pt idx="67">
                  <c:v>0.40821279927473519</c:v>
                </c:pt>
                <c:pt idx="68">
                  <c:v>0.40730474437515451</c:v>
                </c:pt>
                <c:pt idx="69">
                  <c:v>0.41008419520101091</c:v>
                </c:pt>
                <c:pt idx="70">
                  <c:v>0.41037935391715202</c:v>
                </c:pt>
                <c:pt idx="71">
                  <c:v>0.41047397986512651</c:v>
                </c:pt>
                <c:pt idx="72">
                  <c:v>0.40653583102150681</c:v>
                </c:pt>
                <c:pt idx="73">
                  <c:v>0.40352262583258952</c:v>
                </c:pt>
                <c:pt idx="74">
                  <c:v>0.40201329378158651</c:v>
                </c:pt>
                <c:pt idx="75">
                  <c:v>0.39649395058846137</c:v>
                </c:pt>
                <c:pt idx="76">
                  <c:v>0.39598725589826689</c:v>
                </c:pt>
                <c:pt idx="77">
                  <c:v>0.39135963527004569</c:v>
                </c:pt>
                <c:pt idx="78">
                  <c:v>0.39135426107494992</c:v>
                </c:pt>
                <c:pt idx="79">
                  <c:v>0.39074742869697759</c:v>
                </c:pt>
                <c:pt idx="80">
                  <c:v>0.38843650444908268</c:v>
                </c:pt>
                <c:pt idx="81">
                  <c:v>0.3878297288019224</c:v>
                </c:pt>
                <c:pt idx="82">
                  <c:v>0.38891635085406712</c:v>
                </c:pt>
                <c:pt idx="83">
                  <c:v>0.38881077592717178</c:v>
                </c:pt>
                <c:pt idx="84">
                  <c:v>0.38830427021831659</c:v>
                </c:pt>
                <c:pt idx="85">
                  <c:v>0.38779777841853053</c:v>
                </c:pt>
                <c:pt idx="86">
                  <c:v>0.3877924538664323</c:v>
                </c:pt>
                <c:pt idx="87">
                  <c:v>0.3867742156930048</c:v>
                </c:pt>
                <c:pt idx="88">
                  <c:v>0.38666868032291718</c:v>
                </c:pt>
                <c:pt idx="89">
                  <c:v>0.38516001482762879</c:v>
                </c:pt>
                <c:pt idx="90">
                  <c:v>0.38355116834619302</c:v>
                </c:pt>
                <c:pt idx="91">
                  <c:v>0.38224302914647368</c:v>
                </c:pt>
                <c:pt idx="92">
                  <c:v>0.38172620191647683</c:v>
                </c:pt>
                <c:pt idx="93">
                  <c:v>0.38051837513556552</c:v>
                </c:pt>
                <c:pt idx="94">
                  <c:v>0.37860908242271157</c:v>
                </c:pt>
                <c:pt idx="95">
                  <c:v>0.37720090603335849</c:v>
                </c:pt>
                <c:pt idx="96">
                  <c:v>0.37699530516431923</c:v>
                </c:pt>
                <c:pt idx="97">
                  <c:v>0.37728040192727419</c:v>
                </c:pt>
                <c:pt idx="98">
                  <c:v>0.37597254632807142</c:v>
                </c:pt>
                <c:pt idx="99">
                  <c:v>0.37526595379610439</c:v>
                </c:pt>
                <c:pt idx="100">
                  <c:v>0.37085186405314879</c:v>
                </c:pt>
                <c:pt idx="101">
                  <c:v>0.36523547417402169</c:v>
                </c:pt>
                <c:pt idx="102">
                  <c:v>0.36210436739959923</c:v>
                </c:pt>
                <c:pt idx="103">
                  <c:v>0.36821120245954508</c:v>
                </c:pt>
                <c:pt idx="104">
                  <c:v>0.36259538841614047</c:v>
                </c:pt>
                <c:pt idx="105">
                  <c:v>0.36418346760358478</c:v>
                </c:pt>
                <c:pt idx="106">
                  <c:v>0.35816727053140102</c:v>
                </c:pt>
                <c:pt idx="107">
                  <c:v>0.36146846908666708</c:v>
                </c:pt>
                <c:pt idx="108">
                  <c:v>0.36537068042708531</c:v>
                </c:pt>
                <c:pt idx="109">
                  <c:v>0.36847132446786612</c:v>
                </c:pt>
                <c:pt idx="110">
                  <c:v>0.36845615479621252</c:v>
                </c:pt>
                <c:pt idx="111">
                  <c:v>0.36354242428400868</c:v>
                </c:pt>
                <c:pt idx="112">
                  <c:v>0.3628362059501592</c:v>
                </c:pt>
                <c:pt idx="113">
                  <c:v>0.36443401534175901</c:v>
                </c:pt>
                <c:pt idx="114">
                  <c:v>0.35811812168949148</c:v>
                </c:pt>
                <c:pt idx="115">
                  <c:v>0.35760253577946399</c:v>
                </c:pt>
                <c:pt idx="116">
                  <c:v>0.3519882543428744</c:v>
                </c:pt>
                <c:pt idx="117">
                  <c:v>0.3356563619149549</c:v>
                </c:pt>
                <c:pt idx="118">
                  <c:v>0.33565175631174532</c:v>
                </c:pt>
                <c:pt idx="119">
                  <c:v>0.34446151946323461</c:v>
                </c:pt>
                <c:pt idx="120">
                  <c:v>0.35015641293013561</c:v>
                </c:pt>
                <c:pt idx="121">
                  <c:v>0.3545585511422103</c:v>
                </c:pt>
                <c:pt idx="122">
                  <c:v>0.35855994292456711</c:v>
                </c:pt>
                <c:pt idx="123">
                  <c:v>0.35875533359858408</c:v>
                </c:pt>
                <c:pt idx="124">
                  <c:v>0.35975194819449019</c:v>
                </c:pt>
                <c:pt idx="125">
                  <c:v>0.36464446913885112</c:v>
                </c:pt>
                <c:pt idx="126">
                  <c:v>0.36053339186742028</c:v>
                </c:pt>
                <c:pt idx="127">
                  <c:v>0.35381375696216422</c:v>
                </c:pt>
                <c:pt idx="128">
                  <c:v>0.35370875917415462</c:v>
                </c:pt>
                <c:pt idx="129">
                  <c:v>0.3471851079590661</c:v>
                </c:pt>
                <c:pt idx="130">
                  <c:v>0.34337508059095462</c:v>
                </c:pt>
                <c:pt idx="131">
                  <c:v>0.34096707818930039</c:v>
                </c:pt>
                <c:pt idx="132">
                  <c:v>0.34895411837322537</c:v>
                </c:pt>
                <c:pt idx="133">
                  <c:v>0.34674649548733988</c:v>
                </c:pt>
                <c:pt idx="134">
                  <c:v>0.34614097411771161</c:v>
                </c:pt>
                <c:pt idx="135">
                  <c:v>0.34433395512152298</c:v>
                </c:pt>
                <c:pt idx="136">
                  <c:v>0.34222661125512632</c:v>
                </c:pt>
                <c:pt idx="137">
                  <c:v>0.34691820276497692</c:v>
                </c:pt>
                <c:pt idx="138">
                  <c:v>0.34861547323522563</c:v>
                </c:pt>
                <c:pt idx="139">
                  <c:v>0.34610774336890038</c:v>
                </c:pt>
                <c:pt idx="140">
                  <c:v>0.34289926626894329</c:v>
                </c:pt>
                <c:pt idx="141">
                  <c:v>0.34239398760217238</c:v>
                </c:pt>
                <c:pt idx="142">
                  <c:v>0.3440817893827397</c:v>
                </c:pt>
                <c:pt idx="143">
                  <c:v>0.34297586396050472</c:v>
                </c:pt>
                <c:pt idx="144">
                  <c:v>0.3438721355987987</c:v>
                </c:pt>
                <c:pt idx="145">
                  <c:v>0.34406763391020539</c:v>
                </c:pt>
                <c:pt idx="146">
                  <c:v>0.34256133181575082</c:v>
                </c:pt>
                <c:pt idx="147">
                  <c:v>0.34905383539478368</c:v>
                </c:pt>
                <c:pt idx="148">
                  <c:v>0.35285285285285278</c:v>
                </c:pt>
                <c:pt idx="149">
                  <c:v>0.35384900175515582</c:v>
                </c:pt>
                <c:pt idx="150">
                  <c:v>0.35264298152998119</c:v>
                </c:pt>
                <c:pt idx="151">
                  <c:v>0.35193747429041539</c:v>
                </c:pt>
                <c:pt idx="152">
                  <c:v>0.3521231815501899</c:v>
                </c:pt>
                <c:pt idx="153">
                  <c:v>0.35151781062330317</c:v>
                </c:pt>
                <c:pt idx="154">
                  <c:v>0.35071227805580307</c:v>
                </c:pt>
                <c:pt idx="155">
                  <c:v>0.34800510036196119</c:v>
                </c:pt>
                <c:pt idx="156">
                  <c:v>0.34329626938316632</c:v>
                </c:pt>
                <c:pt idx="157">
                  <c:v>0.34428297230600491</c:v>
                </c:pt>
                <c:pt idx="158">
                  <c:v>0.33847356082313101</c:v>
                </c:pt>
                <c:pt idx="159">
                  <c:v>0.34137122645389489</c:v>
                </c:pt>
                <c:pt idx="160">
                  <c:v>0.34246740605678411</c:v>
                </c:pt>
                <c:pt idx="161">
                  <c:v>0.35116939021715288</c:v>
                </c:pt>
                <c:pt idx="162">
                  <c:v>0.35725938009787928</c:v>
                </c:pt>
                <c:pt idx="163">
                  <c:v>0.35725448264517201</c:v>
                </c:pt>
                <c:pt idx="164">
                  <c:v>0.35094518087979282</c:v>
                </c:pt>
                <c:pt idx="165">
                  <c:v>0.34803838245373547</c:v>
                </c:pt>
                <c:pt idx="166">
                  <c:v>0.34423105920412328</c:v>
                </c:pt>
                <c:pt idx="167">
                  <c:v>0.35471380009868958</c:v>
                </c:pt>
                <c:pt idx="168">
                  <c:v>0.35681017585701158</c:v>
                </c:pt>
                <c:pt idx="169">
                  <c:v>0.35370350064420619</c:v>
                </c:pt>
                <c:pt idx="170">
                  <c:v>0.35318868984800089</c:v>
                </c:pt>
                <c:pt idx="171">
                  <c:v>0.35618541158411232</c:v>
                </c:pt>
                <c:pt idx="172">
                  <c:v>0.36318407960199001</c:v>
                </c:pt>
                <c:pt idx="173">
                  <c:v>0.36067786853790912</c:v>
                </c:pt>
                <c:pt idx="174">
                  <c:v>0.35867196601110118</c:v>
                </c:pt>
                <c:pt idx="175">
                  <c:v>0.36516007016774482</c:v>
                </c:pt>
                <c:pt idx="176">
                  <c:v>0.37035727500719479</c:v>
                </c:pt>
                <c:pt idx="177">
                  <c:v>0.37665478963957788</c:v>
                </c:pt>
                <c:pt idx="178">
                  <c:v>0.3798508996724726</c:v>
                </c:pt>
                <c:pt idx="179">
                  <c:v>0.38314696047799152</c:v>
                </c:pt>
                <c:pt idx="180">
                  <c:v>0.38313120931825972</c:v>
                </c:pt>
                <c:pt idx="181">
                  <c:v>0.38072516991887739</c:v>
                </c:pt>
                <c:pt idx="182">
                  <c:v>0.37971963769406802</c:v>
                </c:pt>
                <c:pt idx="183">
                  <c:v>0.37541313820603472</c:v>
                </c:pt>
                <c:pt idx="184">
                  <c:v>0.37310733224626258</c:v>
                </c:pt>
                <c:pt idx="185">
                  <c:v>0.36658536919556611</c:v>
                </c:pt>
                <c:pt idx="186">
                  <c:v>0.36548010522854318</c:v>
                </c:pt>
                <c:pt idx="187">
                  <c:v>0.36007398780571348</c:v>
                </c:pt>
                <c:pt idx="188">
                  <c:v>0.34996711698133892</c:v>
                </c:pt>
                <c:pt idx="189">
                  <c:v>0.34855252161284578</c:v>
                </c:pt>
                <c:pt idx="190">
                  <c:v>0.34154678723112752</c:v>
                </c:pt>
                <c:pt idx="191">
                  <c:v>0.33934183666479428</c:v>
                </c:pt>
                <c:pt idx="192">
                  <c:v>0.33803704515563349</c:v>
                </c:pt>
                <c:pt idx="193">
                  <c:v>0.34063266340608012</c:v>
                </c:pt>
                <c:pt idx="194">
                  <c:v>0.33801852156282541</c:v>
                </c:pt>
                <c:pt idx="195">
                  <c:v>0.33771387865254737</c:v>
                </c:pt>
                <c:pt idx="196">
                  <c:v>0.33760924956848132</c:v>
                </c:pt>
                <c:pt idx="197">
                  <c:v>0.3386046384197044</c:v>
                </c:pt>
                <c:pt idx="198">
                  <c:v>0.34288590879826858</c:v>
                </c:pt>
                <c:pt idx="199">
                  <c:v>0.34748095994740008</c:v>
                </c:pt>
                <c:pt idx="200">
                  <c:v>0.35087596739949323</c:v>
                </c:pt>
                <c:pt idx="201">
                  <c:v>0.35287099690436402</c:v>
                </c:pt>
                <c:pt idx="202">
                  <c:v>0.35566589505115948</c:v>
                </c:pt>
                <c:pt idx="203">
                  <c:v>0.35835091083413229</c:v>
                </c:pt>
                <c:pt idx="204">
                  <c:v>0.36184547533933242</c:v>
                </c:pt>
                <c:pt idx="205">
                  <c:v>0.36314030570317207</c:v>
                </c:pt>
                <c:pt idx="206">
                  <c:v>0.36293536767424978</c:v>
                </c:pt>
                <c:pt idx="207">
                  <c:v>0.36273043525899151</c:v>
                </c:pt>
                <c:pt idx="208">
                  <c:v>0.36211567169289338</c:v>
                </c:pt>
                <c:pt idx="209">
                  <c:v>0.36111095894163081</c:v>
                </c:pt>
                <c:pt idx="210">
                  <c:v>0.3600062997302072</c:v>
                </c:pt>
                <c:pt idx="211">
                  <c:v>0.35900164338537383</c:v>
                </c:pt>
                <c:pt idx="212">
                  <c:v>0.35859684200435488</c:v>
                </c:pt>
                <c:pt idx="213">
                  <c:v>0.35768730400010962</c:v>
                </c:pt>
                <c:pt idx="214">
                  <c:v>0.35578303023663449</c:v>
                </c:pt>
                <c:pt idx="215">
                  <c:v>0.35397877439233139</c:v>
                </c:pt>
                <c:pt idx="216">
                  <c:v>0.35177471037712588</c:v>
                </c:pt>
                <c:pt idx="217">
                  <c:v>0.34957070672490997</c:v>
                </c:pt>
                <c:pt idx="218">
                  <c:v>0.35085100847585271</c:v>
                </c:pt>
                <c:pt idx="219">
                  <c:v>0.353345108993318</c:v>
                </c:pt>
                <c:pt idx="220">
                  <c:v>0.35513945750551118</c:v>
                </c:pt>
                <c:pt idx="221">
                  <c:v>0.35663389654133693</c:v>
                </c:pt>
                <c:pt idx="222">
                  <c:v>0.35103169713151228</c:v>
                </c:pt>
                <c:pt idx="223">
                  <c:v>0.35251167184654769</c:v>
                </c:pt>
                <c:pt idx="224">
                  <c:v>0.350907721796276</c:v>
                </c:pt>
                <c:pt idx="225">
                  <c:v>0.35240207554661079</c:v>
                </c:pt>
                <c:pt idx="226">
                  <c:v>0.35249719339558072</c:v>
                </c:pt>
                <c:pt idx="227">
                  <c:v>0.35238277773974952</c:v>
                </c:pt>
                <c:pt idx="228">
                  <c:v>0.35367713495605507</c:v>
                </c:pt>
                <c:pt idx="229">
                  <c:v>0.35347242186537431</c:v>
                </c:pt>
                <c:pt idx="230">
                  <c:v>0.35396725440806048</c:v>
                </c:pt>
                <c:pt idx="231">
                  <c:v>0.3560610001505839</c:v>
                </c:pt>
                <c:pt idx="232">
                  <c:v>0.35984367300005471</c:v>
                </c:pt>
                <c:pt idx="233">
                  <c:v>0.36283657070893738</c:v>
                </c:pt>
                <c:pt idx="234">
                  <c:v>0.36852739069729251</c:v>
                </c:pt>
                <c:pt idx="235">
                  <c:v>0.37431797960440771</c:v>
                </c:pt>
                <c:pt idx="236">
                  <c:v>0.37591162943495399</c:v>
                </c:pt>
                <c:pt idx="237">
                  <c:v>0.37729506289437298</c:v>
                </c:pt>
                <c:pt idx="238">
                  <c:v>0.37818915959485361</c:v>
                </c:pt>
                <c:pt idx="239">
                  <c:v>0.37758448419813578</c:v>
                </c:pt>
                <c:pt idx="240">
                  <c:v>0.37707974049437459</c:v>
                </c:pt>
                <c:pt idx="241">
                  <c:v>0.37647509683423902</c:v>
                </c:pt>
                <c:pt idx="242">
                  <c:v>0.38395286453343552</c:v>
                </c:pt>
                <c:pt idx="243">
                  <c:v>0.38234907687464931</c:v>
                </c:pt>
                <c:pt idx="244">
                  <c:v>0.38124486779438332</c:v>
                </c:pt>
                <c:pt idx="245">
                  <c:v>0.38143946133107071</c:v>
                </c:pt>
                <c:pt idx="246">
                  <c:v>0.38063500752702889</c:v>
                </c:pt>
                <c:pt idx="247">
                  <c:v>0.37842157842157842</c:v>
                </c:pt>
                <c:pt idx="248">
                  <c:v>0.37721761502039031</c:v>
                </c:pt>
                <c:pt idx="249">
                  <c:v>0.37651317139924728</c:v>
                </c:pt>
                <c:pt idx="250">
                  <c:v>0.37600853905523018</c:v>
                </c:pt>
                <c:pt idx="251">
                  <c:v>0.37320634399332209</c:v>
                </c:pt>
                <c:pt idx="252">
                  <c:v>0.37159277504105093</c:v>
                </c:pt>
                <c:pt idx="253">
                  <c:v>0.37078857705833251</c:v>
                </c:pt>
                <c:pt idx="254">
                  <c:v>0.37188226923182183</c:v>
                </c:pt>
                <c:pt idx="255">
                  <c:v>0.37077843000424171</c:v>
                </c:pt>
                <c:pt idx="256">
                  <c:v>0.36937496579278628</c:v>
                </c:pt>
                <c:pt idx="257">
                  <c:v>0.36826111346751128</c:v>
                </c:pt>
                <c:pt idx="258">
                  <c:v>0.36645824211908928</c:v>
                </c:pt>
                <c:pt idx="259">
                  <c:v>0.36335700310580249</c:v>
                </c:pt>
                <c:pt idx="260">
                  <c:v>0.36345190860582838</c:v>
                </c:pt>
                <c:pt idx="261">
                  <c:v>0.36122990628633972</c:v>
                </c:pt>
                <c:pt idx="262">
                  <c:v>0.36062575243515382</c:v>
                </c:pt>
                <c:pt idx="263">
                  <c:v>0.36022134971339448</c:v>
                </c:pt>
                <c:pt idx="264">
                  <c:v>0.35921776245588122</c:v>
                </c:pt>
                <c:pt idx="265">
                  <c:v>0.35800467845857098</c:v>
                </c:pt>
                <c:pt idx="267">
                  <c:v>0.32511657163172941</c:v>
                </c:pt>
                <c:pt idx="268">
                  <c:v>0.32791603992889379</c:v>
                </c:pt>
                <c:pt idx="269">
                  <c:v>0.35127924626345219</c:v>
                </c:pt>
                <c:pt idx="270">
                  <c:v>0.35758280228646439</c:v>
                </c:pt>
                <c:pt idx="271">
                  <c:v>0.35838632478632482</c:v>
                </c:pt>
                <c:pt idx="272">
                  <c:v>0.3580917345878234</c:v>
                </c:pt>
                <c:pt idx="273">
                  <c:v>0.35849595886383212</c:v>
                </c:pt>
                <c:pt idx="274">
                  <c:v>0.35929952681819433</c:v>
                </c:pt>
                <c:pt idx="275">
                  <c:v>0.3579165469987281</c:v>
                </c:pt>
                <c:pt idx="276">
                  <c:v>0.35642386279712251</c:v>
                </c:pt>
                <c:pt idx="277">
                  <c:v>0.35523065771298062</c:v>
                </c:pt>
                <c:pt idx="278">
                  <c:v>0.35633377099403679</c:v>
                </c:pt>
                <c:pt idx="279">
                  <c:v>0.35603911646037062</c:v>
                </c:pt>
                <c:pt idx="280">
                  <c:v>0.35645311303206051</c:v>
                </c:pt>
                <c:pt idx="281">
                  <c:v>0.35765616665070921</c:v>
                </c:pt>
                <c:pt idx="282">
                  <c:v>0.35816030638763502</c:v>
                </c:pt>
                <c:pt idx="283">
                  <c:v>0.35826505628581978</c:v>
                </c:pt>
                <c:pt idx="284">
                  <c:v>0.35817010450292708</c:v>
                </c:pt>
                <c:pt idx="285">
                  <c:v>0.35768552082620891</c:v>
                </c:pt>
                <c:pt idx="286">
                  <c:v>0.35798998686802358</c:v>
                </c:pt>
                <c:pt idx="287">
                  <c:v>0.35789502482798252</c:v>
                </c:pt>
                <c:pt idx="288">
                  <c:v>0.35770019972093792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8D-4C42-B532-F784EA19E372}"/>
            </c:ext>
          </c:extLst>
        </c:ser>
        <c:ser>
          <c:idx val="4"/>
          <c:order val="4"/>
          <c:tx>
            <c:strRef>
              <c:f>'Grafico Paridades bkp'!$F$1:$F$2</c:f>
              <c:strCache>
                <c:ptCount val="1"/>
                <c:pt idx="0">
                  <c:v>Suma de P41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bkp'!$F$3:$F$292</c:f>
              <c:numCache>
                <c:formatCode>0.00%</c:formatCode>
                <c:ptCount val="289"/>
                <c:pt idx="0">
                  <c:v>0.44034939767296771</c:v>
                </c:pt>
                <c:pt idx="1">
                  <c:v>0.43143882647761589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  <c:pt idx="245">
                  <c:v>0.39240727362369848</c:v>
                </c:pt>
                <c:pt idx="246">
                  <c:v>0.39140616975382608</c:v>
                </c:pt>
                <c:pt idx="247">
                  <c:v>0.3849037740564859</c:v>
                </c:pt>
                <c:pt idx="248">
                  <c:v>0.3849024562268466</c:v>
                </c:pt>
                <c:pt idx="249">
                  <c:v>0.38190190875631258</c:v>
                </c:pt>
                <c:pt idx="250">
                  <c:v>0.37890138183212579</c:v>
                </c:pt>
                <c:pt idx="251">
                  <c:v>0.37939995275218519</c:v>
                </c:pt>
                <c:pt idx="252">
                  <c:v>0.37389756231169541</c:v>
                </c:pt>
                <c:pt idx="253">
                  <c:v>0.37889489559403039</c:v>
                </c:pt>
                <c:pt idx="254">
                  <c:v>0.37789387911613859</c:v>
                </c:pt>
                <c:pt idx="255">
                  <c:v>0.37489343782418011</c:v>
                </c:pt>
                <c:pt idx="256">
                  <c:v>0.37089330466578108</c:v>
                </c:pt>
                <c:pt idx="257">
                  <c:v>0.37088949525312659</c:v>
                </c:pt>
                <c:pt idx="258">
                  <c:v>0.37368738188491141</c:v>
                </c:pt>
                <c:pt idx="259">
                  <c:v>0.36888756509146181</c:v>
                </c:pt>
                <c:pt idx="260">
                  <c:v>0.3678866102913485</c:v>
                </c:pt>
                <c:pt idx="261">
                  <c:v>0.36878002019890788</c:v>
                </c:pt>
                <c:pt idx="262">
                  <c:v>0.36587971078001752</c:v>
                </c:pt>
                <c:pt idx="263">
                  <c:v>0.37087679777608118</c:v>
                </c:pt>
                <c:pt idx="264">
                  <c:v>0.37187519257235591</c:v>
                </c:pt>
                <c:pt idx="265">
                  <c:v>0.36387413942437719</c:v>
                </c:pt>
                <c:pt idx="267">
                  <c:v>0.35384125614878248</c:v>
                </c:pt>
                <c:pt idx="268">
                  <c:v>0.35934001985417452</c:v>
                </c:pt>
                <c:pt idx="269">
                  <c:v>0.36483882120570021</c:v>
                </c:pt>
                <c:pt idx="270">
                  <c:v>0.37143972121618751</c:v>
                </c:pt>
                <c:pt idx="271">
                  <c:v>0.36484381685922118</c:v>
                </c:pt>
                <c:pt idx="272">
                  <c:v>0.36984294340759399</c:v>
                </c:pt>
                <c:pt idx="273">
                  <c:v>0.37414239892100237</c:v>
                </c:pt>
                <c:pt idx="274">
                  <c:v>0.37484338735185979</c:v>
                </c:pt>
                <c:pt idx="275">
                  <c:v>0.37484723691372351</c:v>
                </c:pt>
                <c:pt idx="276">
                  <c:v>0.37214961077372838</c:v>
                </c:pt>
                <c:pt idx="277">
                  <c:v>0.36135521041226631</c:v>
                </c:pt>
                <c:pt idx="278">
                  <c:v>0.35985704309247007</c:v>
                </c:pt>
                <c:pt idx="279">
                  <c:v>0.36885473186929801</c:v>
                </c:pt>
                <c:pt idx="280">
                  <c:v>0.36585967026346061</c:v>
                </c:pt>
                <c:pt idx="281">
                  <c:v>0.36286206270903859</c:v>
                </c:pt>
                <c:pt idx="282">
                  <c:v>0.36116394508917882</c:v>
                </c:pt>
                <c:pt idx="283">
                  <c:v>0.35836622630593368</c:v>
                </c:pt>
                <c:pt idx="284">
                  <c:v>0.35706793377791768</c:v>
                </c:pt>
                <c:pt idx="285">
                  <c:v>0.35597199637116789</c:v>
                </c:pt>
                <c:pt idx="286">
                  <c:v>0.3558732506230658</c:v>
                </c:pt>
                <c:pt idx="287">
                  <c:v>0.3578737637066377</c:v>
                </c:pt>
                <c:pt idx="288">
                  <c:v>0.3599742555682604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8D-4C42-B532-F784EA19E372}"/>
            </c:ext>
          </c:extLst>
        </c:ser>
        <c:ser>
          <c:idx val="5"/>
          <c:order val="5"/>
          <c:tx>
            <c:strRef>
              <c:f>'Grafico Paridades bkp'!$G$1:$G$2</c:f>
              <c:strCache>
                <c:ptCount val="1"/>
                <c:pt idx="0">
                  <c:v>Suma de PG30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bkp'!$G$3:$G$292</c:f>
              <c:numCache>
                <c:formatCode>0.00%</c:formatCode>
                <c:ptCount val="289"/>
                <c:pt idx="0">
                  <c:v>0.49997945289919588</c:v>
                </c:pt>
                <c:pt idx="1">
                  <c:v>0.49997774071702289</c:v>
                </c:pt>
                <c:pt idx="2">
                  <c:v>0.48097693946180659</c:v>
                </c:pt>
                <c:pt idx="3">
                  <c:v>0.46247624265876752</c:v>
                </c:pt>
                <c:pt idx="4">
                  <c:v>0.46887430825708182</c:v>
                </c:pt>
                <c:pt idx="5">
                  <c:v>0.45747023310127077</c:v>
                </c:pt>
                <c:pt idx="6">
                  <c:v>0.45326895418122037</c:v>
                </c:pt>
                <c:pt idx="7">
                  <c:v>0.46296670444933752</c:v>
                </c:pt>
                <c:pt idx="8">
                  <c:v>0.45696557108710989</c:v>
                </c:pt>
                <c:pt idx="9">
                  <c:v>0.45286432917955088</c:v>
                </c:pt>
                <c:pt idx="10">
                  <c:v>0.44846006862402671</c:v>
                </c:pt>
                <c:pt idx="11">
                  <c:v>0.44465888428124789</c:v>
                </c:pt>
                <c:pt idx="12">
                  <c:v>0.44705713150793758</c:v>
                </c:pt>
                <c:pt idx="13">
                  <c:v>0.4439559084885405</c:v>
                </c:pt>
                <c:pt idx="14">
                  <c:v>0.43985480943738658</c:v>
                </c:pt>
                <c:pt idx="15">
                  <c:v>0.43445090109679391</c:v>
                </c:pt>
                <c:pt idx="16">
                  <c:v>0.43994877308806513</c:v>
                </c:pt>
                <c:pt idx="17">
                  <c:v>0.44494666735151611</c:v>
                </c:pt>
                <c:pt idx="18">
                  <c:v>0.44794477393198101</c:v>
                </c:pt>
                <c:pt idx="19">
                  <c:v>0.45014296133709092</c:v>
                </c:pt>
                <c:pt idx="20">
                  <c:v>0.4500368098999798</c:v>
                </c:pt>
                <c:pt idx="21">
                  <c:v>0.45493456420651818</c:v>
                </c:pt>
                <c:pt idx="22">
                  <c:v>0.44493447882674808</c:v>
                </c:pt>
                <c:pt idx="23">
                  <c:v>0.44293325663256222</c:v>
                </c:pt>
                <c:pt idx="24">
                  <c:v>0.43792951134577651</c:v>
                </c:pt>
                <c:pt idx="25">
                  <c:v>0.41693146332109787</c:v>
                </c:pt>
                <c:pt idx="26">
                  <c:v>0.4054319651839246</c:v>
                </c:pt>
                <c:pt idx="27">
                  <c:v>0.41492895052217088</c:v>
                </c:pt>
                <c:pt idx="28">
                  <c:v>0.42492578351041432</c:v>
                </c:pt>
                <c:pt idx="29">
                  <c:v>0.40492511658802832</c:v>
                </c:pt>
                <c:pt idx="30">
                  <c:v>0.40492373011932692</c:v>
                </c:pt>
                <c:pt idx="31">
                  <c:v>0.40492234366011998</c:v>
                </c:pt>
                <c:pt idx="32">
                  <c:v>0.39572275275031932</c:v>
                </c:pt>
                <c:pt idx="33">
                  <c:v>0.39842086160968032</c:v>
                </c:pt>
                <c:pt idx="34">
                  <c:v>0.40461547416464372</c:v>
                </c:pt>
                <c:pt idx="35">
                  <c:v>0.41141264526025301</c:v>
                </c:pt>
                <c:pt idx="36">
                  <c:v>0.40911173274259321</c:v>
                </c:pt>
                <c:pt idx="37">
                  <c:v>0.40641092363317632</c:v>
                </c:pt>
                <c:pt idx="38">
                  <c:v>0.40490986595449641</c:v>
                </c:pt>
                <c:pt idx="39">
                  <c:v>0.41630305271375162</c:v>
                </c:pt>
                <c:pt idx="40">
                  <c:v>0.41490195809894242</c:v>
                </c:pt>
                <c:pt idx="41">
                  <c:v>0.41889957886807949</c:v>
                </c:pt>
                <c:pt idx="42">
                  <c:v>0.42239729380869723</c:v>
                </c:pt>
                <c:pt idx="43">
                  <c:v>0.42489523131282703</c:v>
                </c:pt>
                <c:pt idx="44">
                  <c:v>0.4282899940083883</c:v>
                </c:pt>
                <c:pt idx="45">
                  <c:v>0.41679152001533842</c:v>
                </c:pt>
                <c:pt idx="46">
                  <c:v>0.41399083118492719</c:v>
                </c:pt>
                <c:pt idx="47">
                  <c:v>0.40889077575168281</c:v>
                </c:pt>
                <c:pt idx="48">
                  <c:v>0.4083895110569401</c:v>
                </c:pt>
                <c:pt idx="49">
                  <c:v>0.41188292368949919</c:v>
                </c:pt>
                <c:pt idx="50">
                  <c:v>0.41588036318319388</c:v>
                </c:pt>
                <c:pt idx="51">
                  <c:v>0.41188010339455983</c:v>
                </c:pt>
                <c:pt idx="52">
                  <c:v>0.41477783940346341</c:v>
                </c:pt>
                <c:pt idx="53">
                  <c:v>0.40687598642879402</c:v>
                </c:pt>
                <c:pt idx="54">
                  <c:v>0.40667465507206679</c:v>
                </c:pt>
                <c:pt idx="55">
                  <c:v>0.40597348086726398</c:v>
                </c:pt>
                <c:pt idx="56">
                  <c:v>0.40487243745121398</c:v>
                </c:pt>
                <c:pt idx="57">
                  <c:v>0.39927283433700911</c:v>
                </c:pt>
                <c:pt idx="58">
                  <c:v>0.39986579846489878</c:v>
                </c:pt>
                <c:pt idx="59">
                  <c:v>0.40586239596849022</c:v>
                </c:pt>
                <c:pt idx="60">
                  <c:v>0.4077603560424512</c:v>
                </c:pt>
                <c:pt idx="61">
                  <c:v>0.41485366463199619</c:v>
                </c:pt>
                <c:pt idx="62">
                  <c:v>0.40645523512173742</c:v>
                </c:pt>
                <c:pt idx="63">
                  <c:v>0.40785334040841481</c:v>
                </c:pt>
                <c:pt idx="64">
                  <c:v>0.40995118210512621</c:v>
                </c:pt>
                <c:pt idx="65">
                  <c:v>0.41384835009089133</c:v>
                </c:pt>
                <c:pt idx="66">
                  <c:v>0.41134504125158328</c:v>
                </c:pt>
                <c:pt idx="67">
                  <c:v>0.41234325307845299</c:v>
                </c:pt>
                <c:pt idx="68">
                  <c:v>0.41284164977816717</c:v>
                </c:pt>
                <c:pt idx="69">
                  <c:v>0.41873222030898583</c:v>
                </c:pt>
                <c:pt idx="70">
                  <c:v>0.41173361449825069</c:v>
                </c:pt>
                <c:pt idx="71">
                  <c:v>0.41573057555311371</c:v>
                </c:pt>
                <c:pt idx="72">
                  <c:v>0.40482808670290699</c:v>
                </c:pt>
                <c:pt idx="73">
                  <c:v>0.40252768506632441</c:v>
                </c:pt>
                <c:pt idx="74">
                  <c:v>0.40932337416046499</c:v>
                </c:pt>
                <c:pt idx="75">
                  <c:v>0.40582349457598921</c:v>
                </c:pt>
                <c:pt idx="76">
                  <c:v>0.40442271880819369</c:v>
                </c:pt>
                <c:pt idx="77">
                  <c:v>0.40251941765851618</c:v>
                </c:pt>
                <c:pt idx="78">
                  <c:v>0.40331767830980519</c:v>
                </c:pt>
                <c:pt idx="79">
                  <c:v>0.39342080490735382</c:v>
                </c:pt>
                <c:pt idx="80">
                  <c:v>0.38982110949085008</c:v>
                </c:pt>
                <c:pt idx="81">
                  <c:v>0.39071935920036971</c:v>
                </c:pt>
                <c:pt idx="82">
                  <c:v>0.39661255981762039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  <c:pt idx="245">
                  <c:v>0.4123647731198205</c:v>
                </c:pt>
                <c:pt idx="246">
                  <c:v>0.40796908133251247</c:v>
                </c:pt>
                <c:pt idx="247">
                  <c:v>0.39987550575785868</c:v>
                </c:pt>
                <c:pt idx="248">
                  <c:v>0.39587939148517021</c:v>
                </c:pt>
                <c:pt idx="249">
                  <c:v>0.39348119773586188</c:v>
                </c:pt>
                <c:pt idx="250">
                  <c:v>0.39048381249444231</c:v>
                </c:pt>
                <c:pt idx="251">
                  <c:v>0.38548909493240119</c:v>
                </c:pt>
                <c:pt idx="252">
                  <c:v>0.39047847053592799</c:v>
                </c:pt>
                <c:pt idx="253">
                  <c:v>0.39497111744205532</c:v>
                </c:pt>
                <c:pt idx="254">
                  <c:v>0.40096172261894991</c:v>
                </c:pt>
                <c:pt idx="255">
                  <c:v>0.39946236743013691</c:v>
                </c:pt>
                <c:pt idx="256">
                  <c:v>0.39936113600142281</c:v>
                </c:pt>
                <c:pt idx="257">
                  <c:v>0.3968604329045784</c:v>
                </c:pt>
                <c:pt idx="258">
                  <c:v>0.39945553663157751</c:v>
                </c:pt>
                <c:pt idx="259">
                  <c:v>0.39446099336865043</c:v>
                </c:pt>
                <c:pt idx="260">
                  <c:v>0.3909644322845417</c:v>
                </c:pt>
                <c:pt idx="261">
                  <c:v>0.38686342572801419</c:v>
                </c:pt>
                <c:pt idx="262">
                  <c:v>0.3805708501193546</c:v>
                </c:pt>
                <c:pt idx="263">
                  <c:v>0.38146829590262887</c:v>
                </c:pt>
                <c:pt idx="264">
                  <c:v>0.37697327022516491</c:v>
                </c:pt>
                <c:pt idx="265">
                  <c:v>0.37347432210142573</c:v>
                </c:pt>
                <c:pt idx="267">
                  <c:v>0.36335124007919539</c:v>
                </c:pt>
                <c:pt idx="268">
                  <c:v>0.36944330460949248</c:v>
                </c:pt>
                <c:pt idx="269">
                  <c:v>0.37493631150427947</c:v>
                </c:pt>
                <c:pt idx="270">
                  <c:v>0.37194463062003308</c:v>
                </c:pt>
                <c:pt idx="271">
                  <c:v>0.37194590250824972</c:v>
                </c:pt>
                <c:pt idx="272">
                  <c:v>0.36545682102628291</c:v>
                </c:pt>
                <c:pt idx="273">
                  <c:v>0.3659573303970482</c:v>
                </c:pt>
                <c:pt idx="274">
                  <c:v>0.36895415002462112</c:v>
                </c:pt>
                <c:pt idx="275">
                  <c:v>0.36276703062965709</c:v>
                </c:pt>
                <c:pt idx="276">
                  <c:v>0.36576388033977603</c:v>
                </c:pt>
                <c:pt idx="277">
                  <c:v>0.35647871092614569</c:v>
                </c:pt>
                <c:pt idx="278">
                  <c:v>0.35727876454214058</c:v>
                </c:pt>
                <c:pt idx="279">
                  <c:v>0.35897751560229119</c:v>
                </c:pt>
                <c:pt idx="280">
                  <c:v>0.36527210674983412</c:v>
                </c:pt>
                <c:pt idx="281">
                  <c:v>0.36946730911938608</c:v>
                </c:pt>
                <c:pt idx="282">
                  <c:v>0.36956842897202652</c:v>
                </c:pt>
                <c:pt idx="283">
                  <c:v>0.37246553746507582</c:v>
                </c:pt>
                <c:pt idx="284">
                  <c:v>0.37396466701776232</c:v>
                </c:pt>
                <c:pt idx="285">
                  <c:v>0.37646495562813131</c:v>
                </c:pt>
                <c:pt idx="286">
                  <c:v>0.37596695096678001</c:v>
                </c:pt>
                <c:pt idx="287">
                  <c:v>0.37696682432039608</c:v>
                </c:pt>
                <c:pt idx="288">
                  <c:v>0.37297374936733102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8D-4C42-B532-F784EA19E372}"/>
            </c:ext>
          </c:extLst>
        </c:ser>
        <c:ser>
          <c:idx val="6"/>
          <c:order val="6"/>
          <c:tx>
            <c:strRef>
              <c:f>'Grafico Paridades bkp'!$H$1:$H$2</c:f>
              <c:strCache>
                <c:ptCount val="1"/>
                <c:pt idx="0">
                  <c:v>Suma de P35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bkp'!$A$3:$A$292</c:f>
              <c:strCache>
                <c:ptCount val="289"/>
                <c:pt idx="0">
                  <c:v>14/09/2020</c:v>
                </c:pt>
                <c:pt idx="1">
                  <c:v>15/09/2020</c:v>
                </c:pt>
                <c:pt idx="2">
                  <c:v>16/09/2020</c:v>
                </c:pt>
                <c:pt idx="3">
                  <c:v>17/09/2020</c:v>
                </c:pt>
                <c:pt idx="4">
                  <c:v>18/09/2020</c:v>
                </c:pt>
                <c:pt idx="5">
                  <c:v>21/09/2020</c:v>
                </c:pt>
                <c:pt idx="6">
                  <c:v>22/09/2020</c:v>
                </c:pt>
                <c:pt idx="7">
                  <c:v>23/09/2020</c:v>
                </c:pt>
                <c:pt idx="8">
                  <c:v>24/09/2020</c:v>
                </c:pt>
                <c:pt idx="9">
                  <c:v>25/09/2020</c:v>
                </c:pt>
                <c:pt idx="10">
                  <c:v>28/09/2020</c:v>
                </c:pt>
                <c:pt idx="11">
                  <c:v>29/09/2020</c:v>
                </c:pt>
                <c:pt idx="12">
                  <c:v>30/09/2020</c:v>
                </c:pt>
                <c:pt idx="13">
                  <c:v>01/10/2020</c:v>
                </c:pt>
                <c:pt idx="14">
                  <c:v>02/10/2020</c:v>
                </c:pt>
                <c:pt idx="15">
                  <c:v>05/10/2020</c:v>
                </c:pt>
                <c:pt idx="16">
                  <c:v>06/10/2020</c:v>
                </c:pt>
                <c:pt idx="17">
                  <c:v>07/10/2020</c:v>
                </c:pt>
                <c:pt idx="18">
                  <c:v>08/10/2020</c:v>
                </c:pt>
                <c:pt idx="19">
                  <c:v>09/10/2020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02/11/2020</c:v>
                </c:pt>
                <c:pt idx="35">
                  <c:v>03/11/2020</c:v>
                </c:pt>
                <c:pt idx="36">
                  <c:v>04/11/2020</c:v>
                </c:pt>
                <c:pt idx="37">
                  <c:v>05/11/2020</c:v>
                </c:pt>
                <c:pt idx="38">
                  <c:v>06/11/2020</c:v>
                </c:pt>
                <c:pt idx="39">
                  <c:v>09/11/2020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01/12/2020</c:v>
                </c:pt>
                <c:pt idx="55">
                  <c:v>02/12/2020</c:v>
                </c:pt>
                <c:pt idx="56">
                  <c:v>03/12/2020</c:v>
                </c:pt>
                <c:pt idx="57">
                  <c:v>04/12/2020</c:v>
                </c:pt>
                <c:pt idx="58">
                  <c:v>09/12/2020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04/01/2021</c:v>
                </c:pt>
                <c:pt idx="73">
                  <c:v>05/01/2021</c:v>
                </c:pt>
                <c:pt idx="74">
                  <c:v>06/01/2021</c:v>
                </c:pt>
                <c:pt idx="75">
                  <c:v>07/01/2021</c:v>
                </c:pt>
                <c:pt idx="76">
                  <c:v>08/01/2021</c:v>
                </c:pt>
                <c:pt idx="77">
                  <c:v>11/01/2021</c:v>
                </c:pt>
                <c:pt idx="78">
                  <c:v>12/01/2021</c:v>
                </c:pt>
                <c:pt idx="79">
                  <c:v>13/01/2021</c:v>
                </c:pt>
                <c:pt idx="80">
                  <c:v>14/01/2021</c:v>
                </c:pt>
                <c:pt idx="81">
                  <c:v>15/01/2021</c:v>
                </c:pt>
                <c:pt idx="82">
                  <c:v>18/01/2021</c:v>
                </c:pt>
                <c:pt idx="83">
                  <c:v>19/01/2021</c:v>
                </c:pt>
                <c:pt idx="84">
                  <c:v>20/01/2021</c:v>
                </c:pt>
                <c:pt idx="85">
                  <c:v>21/01/2021</c:v>
                </c:pt>
                <c:pt idx="86">
                  <c:v>22/01/2021</c:v>
                </c:pt>
                <c:pt idx="87">
                  <c:v>25/01/2021</c:v>
                </c:pt>
                <c:pt idx="88">
                  <c:v>26/01/2021</c:v>
                </c:pt>
                <c:pt idx="89">
                  <c:v>27/01/2021</c:v>
                </c:pt>
                <c:pt idx="90">
                  <c:v>28/01/2021</c:v>
                </c:pt>
                <c:pt idx="91">
                  <c:v>29/01/2021</c:v>
                </c:pt>
                <c:pt idx="92">
                  <c:v>01/02/2021</c:v>
                </c:pt>
                <c:pt idx="93">
                  <c:v>02/02/2021</c:v>
                </c:pt>
                <c:pt idx="94">
                  <c:v>03/02/2021</c:v>
                </c:pt>
                <c:pt idx="95">
                  <c:v>04/02/2021</c:v>
                </c:pt>
                <c:pt idx="96">
                  <c:v>05/02/2021</c:v>
                </c:pt>
                <c:pt idx="97">
                  <c:v>08/02/2021</c:v>
                </c:pt>
                <c:pt idx="98">
                  <c:v>09/02/2021</c:v>
                </c:pt>
                <c:pt idx="99">
                  <c:v>10/02/2021</c:v>
                </c:pt>
                <c:pt idx="100">
                  <c:v>11/02/2021</c:v>
                </c:pt>
                <c:pt idx="101">
                  <c:v>12/02/2021</c:v>
                </c:pt>
                <c:pt idx="102">
                  <c:v>17/02/2021</c:v>
                </c:pt>
                <c:pt idx="103">
                  <c:v>18/02/2021</c:v>
                </c:pt>
                <c:pt idx="104">
                  <c:v>19/02/2021</c:v>
                </c:pt>
                <c:pt idx="105">
                  <c:v>22/02/2021</c:v>
                </c:pt>
                <c:pt idx="106">
                  <c:v>23/02/2021</c:v>
                </c:pt>
                <c:pt idx="107">
                  <c:v>24/02/2021</c:v>
                </c:pt>
                <c:pt idx="108">
                  <c:v>25/02/2021</c:v>
                </c:pt>
                <c:pt idx="109">
                  <c:v>26/02/2021</c:v>
                </c:pt>
                <c:pt idx="110">
                  <c:v>01/03/2021</c:v>
                </c:pt>
                <c:pt idx="111">
                  <c:v>02/03/2021</c:v>
                </c:pt>
                <c:pt idx="112">
                  <c:v>03/03/2021</c:v>
                </c:pt>
                <c:pt idx="113">
                  <c:v>04/03/2021</c:v>
                </c:pt>
                <c:pt idx="114">
                  <c:v>05/03/2021</c:v>
                </c:pt>
                <c:pt idx="115">
                  <c:v>08/03/2021</c:v>
                </c:pt>
                <c:pt idx="116">
                  <c:v>09/03/2021</c:v>
                </c:pt>
                <c:pt idx="117">
                  <c:v>10/03/2021</c:v>
                </c:pt>
                <c:pt idx="118">
                  <c:v>11/03/2021</c:v>
                </c:pt>
                <c:pt idx="119">
                  <c:v>12/03/2021</c:v>
                </c:pt>
                <c:pt idx="120">
                  <c:v>15/03/2021</c:v>
                </c:pt>
                <c:pt idx="121">
                  <c:v>16/03/2021</c:v>
                </c:pt>
                <c:pt idx="122">
                  <c:v>17/03/2021</c:v>
                </c:pt>
                <c:pt idx="123">
                  <c:v>18/03/2021</c:v>
                </c:pt>
                <c:pt idx="124">
                  <c:v>19/03/2021</c:v>
                </c:pt>
                <c:pt idx="125">
                  <c:v>22/03/2021</c:v>
                </c:pt>
                <c:pt idx="126">
                  <c:v>23/03/2021</c:v>
                </c:pt>
                <c:pt idx="127">
                  <c:v>25/03/2021</c:v>
                </c:pt>
                <c:pt idx="128">
                  <c:v>26/03/2021</c:v>
                </c:pt>
                <c:pt idx="129">
                  <c:v>29/03/2021</c:v>
                </c:pt>
                <c:pt idx="130">
                  <c:v>30/03/2021</c:v>
                </c:pt>
                <c:pt idx="131">
                  <c:v>31/03/2021</c:v>
                </c:pt>
                <c:pt idx="132">
                  <c:v>05/04/2021</c:v>
                </c:pt>
                <c:pt idx="133">
                  <c:v>06/04/2021</c:v>
                </c:pt>
                <c:pt idx="134">
                  <c:v>07/04/2021</c:v>
                </c:pt>
                <c:pt idx="135">
                  <c:v>08/04/2021</c:v>
                </c:pt>
                <c:pt idx="136">
                  <c:v>09/04/2021</c:v>
                </c:pt>
                <c:pt idx="137">
                  <c:v>12/04/2021</c:v>
                </c:pt>
                <c:pt idx="138">
                  <c:v>13/04/2021</c:v>
                </c:pt>
                <c:pt idx="139">
                  <c:v>14/04/2021</c:v>
                </c:pt>
                <c:pt idx="140">
                  <c:v>15/04/2021</c:v>
                </c:pt>
                <c:pt idx="141">
                  <c:v>16/04/2021</c:v>
                </c:pt>
                <c:pt idx="142">
                  <c:v>19/04/2021</c:v>
                </c:pt>
                <c:pt idx="143">
                  <c:v>20/04/2021</c:v>
                </c:pt>
                <c:pt idx="144">
                  <c:v>21/04/2021</c:v>
                </c:pt>
                <c:pt idx="145">
                  <c:v>22/04/2021</c:v>
                </c:pt>
                <c:pt idx="146">
                  <c:v>23/04/2021</c:v>
                </c:pt>
                <c:pt idx="147">
                  <c:v>26/04/2021</c:v>
                </c:pt>
                <c:pt idx="148">
                  <c:v>27/04/2021</c:v>
                </c:pt>
                <c:pt idx="149">
                  <c:v>28/04/2021</c:v>
                </c:pt>
                <c:pt idx="150">
                  <c:v>29/04/2021</c:v>
                </c:pt>
                <c:pt idx="151">
                  <c:v>30/04/2021</c:v>
                </c:pt>
                <c:pt idx="152">
                  <c:v>03/05/2021</c:v>
                </c:pt>
                <c:pt idx="153">
                  <c:v>04/05/2021</c:v>
                </c:pt>
                <c:pt idx="154">
                  <c:v>05/05/2021</c:v>
                </c:pt>
                <c:pt idx="155">
                  <c:v>06/05/2021</c:v>
                </c:pt>
                <c:pt idx="156">
                  <c:v>07/05/2021</c:v>
                </c:pt>
                <c:pt idx="157">
                  <c:v>10/05/2021</c:v>
                </c:pt>
                <c:pt idx="158">
                  <c:v>11/05/2021</c:v>
                </c:pt>
                <c:pt idx="159">
                  <c:v>12/05/2021</c:v>
                </c:pt>
                <c:pt idx="160">
                  <c:v>13/05/2021</c:v>
                </c:pt>
                <c:pt idx="161">
                  <c:v>14/05/2021</c:v>
                </c:pt>
                <c:pt idx="162">
                  <c:v>17/05/2021</c:v>
                </c:pt>
                <c:pt idx="163">
                  <c:v>18/05/2021</c:v>
                </c:pt>
                <c:pt idx="164">
                  <c:v>19/05/2021</c:v>
                </c:pt>
                <c:pt idx="165">
                  <c:v>20/05/2021</c:v>
                </c:pt>
                <c:pt idx="166">
                  <c:v>21/05/2021</c:v>
                </c:pt>
                <c:pt idx="167">
                  <c:v>26/05/2021</c:v>
                </c:pt>
                <c:pt idx="168">
                  <c:v>27/05/2021</c:v>
                </c:pt>
                <c:pt idx="169">
                  <c:v>28/05/2021</c:v>
                </c:pt>
                <c:pt idx="170">
                  <c:v>31/05/2021</c:v>
                </c:pt>
                <c:pt idx="171">
                  <c:v>01/06/2021</c:v>
                </c:pt>
                <c:pt idx="172">
                  <c:v>02/06/2021</c:v>
                </c:pt>
                <c:pt idx="173">
                  <c:v>03/06/2021</c:v>
                </c:pt>
                <c:pt idx="174">
                  <c:v>04/06/2021</c:v>
                </c:pt>
                <c:pt idx="175">
                  <c:v>07/06/2021</c:v>
                </c:pt>
                <c:pt idx="176">
                  <c:v>08/06/2021</c:v>
                </c:pt>
                <c:pt idx="177">
                  <c:v>09/06/2021</c:v>
                </c:pt>
                <c:pt idx="178">
                  <c:v>10/06/2021</c:v>
                </c:pt>
                <c:pt idx="179">
                  <c:v>11/06/2021</c:v>
                </c:pt>
                <c:pt idx="180">
                  <c:v>14/06/2021</c:v>
                </c:pt>
                <c:pt idx="181">
                  <c:v>15/06/2021</c:v>
                </c:pt>
                <c:pt idx="182">
                  <c:v>16/06/2021</c:v>
                </c:pt>
                <c:pt idx="183">
                  <c:v>17/06/2021</c:v>
                </c:pt>
                <c:pt idx="184">
                  <c:v>18/06/2021</c:v>
                </c:pt>
                <c:pt idx="185">
                  <c:v>22/06/2021</c:v>
                </c:pt>
                <c:pt idx="186">
                  <c:v>23/06/2021</c:v>
                </c:pt>
                <c:pt idx="187">
                  <c:v>24/06/2021</c:v>
                </c:pt>
                <c:pt idx="188">
                  <c:v>25/06/2021</c:v>
                </c:pt>
                <c:pt idx="189">
                  <c:v>28/06/2021</c:v>
                </c:pt>
                <c:pt idx="190">
                  <c:v>29/06/2021</c:v>
                </c:pt>
                <c:pt idx="191">
                  <c:v>30/06/2021</c:v>
                </c:pt>
                <c:pt idx="192">
                  <c:v>01/07/2021</c:v>
                </c:pt>
                <c:pt idx="193">
                  <c:v>02/07/2021</c:v>
                </c:pt>
                <c:pt idx="194">
                  <c:v>05/07/2021</c:v>
                </c:pt>
                <c:pt idx="195">
                  <c:v>06/07/2021</c:v>
                </c:pt>
                <c:pt idx="196">
                  <c:v>07/07/2021</c:v>
                </c:pt>
                <c:pt idx="197">
                  <c:v>08/07/2021</c:v>
                </c:pt>
                <c:pt idx="198">
                  <c:v>12/07/2021</c:v>
                </c:pt>
                <c:pt idx="199">
                  <c:v>13/07/2021</c:v>
                </c:pt>
                <c:pt idx="200">
                  <c:v>14/07/2021</c:v>
                </c:pt>
                <c:pt idx="201">
                  <c:v>15/07/2021</c:v>
                </c:pt>
                <c:pt idx="202">
                  <c:v>16/07/2021</c:v>
                </c:pt>
                <c:pt idx="203">
                  <c:v>19/07/2021</c:v>
                </c:pt>
                <c:pt idx="204">
                  <c:v>20/07/2021</c:v>
                </c:pt>
                <c:pt idx="205">
                  <c:v>21/07/2021</c:v>
                </c:pt>
                <c:pt idx="206">
                  <c:v>22/07/2021</c:v>
                </c:pt>
                <c:pt idx="207">
                  <c:v>23/07/2021</c:v>
                </c:pt>
                <c:pt idx="208">
                  <c:v>26/07/2021</c:v>
                </c:pt>
                <c:pt idx="209">
                  <c:v>27/07/2021</c:v>
                </c:pt>
                <c:pt idx="210">
                  <c:v>28/07/2021</c:v>
                </c:pt>
                <c:pt idx="211">
                  <c:v>29/07/2021</c:v>
                </c:pt>
                <c:pt idx="212">
                  <c:v>30/07/2021</c:v>
                </c:pt>
                <c:pt idx="213">
                  <c:v>01/08/2021</c:v>
                </c:pt>
                <c:pt idx="214">
                  <c:v>02/08/2021</c:v>
                </c:pt>
                <c:pt idx="215">
                  <c:v>03/08/2021</c:v>
                </c:pt>
                <c:pt idx="216">
                  <c:v>04/08/2021</c:v>
                </c:pt>
                <c:pt idx="217">
                  <c:v>05/08/2021</c:v>
                </c:pt>
                <c:pt idx="218">
                  <c:v>09/08/2021</c:v>
                </c:pt>
                <c:pt idx="219">
                  <c:v>10/08/2021</c:v>
                </c:pt>
                <c:pt idx="220">
                  <c:v>11/08/2021</c:v>
                </c:pt>
                <c:pt idx="221">
                  <c:v>12/08/2021</c:v>
                </c:pt>
                <c:pt idx="222">
                  <c:v>13/08/2021</c:v>
                </c:pt>
                <c:pt idx="223">
                  <c:v>17/08/2021</c:v>
                </c:pt>
                <c:pt idx="224">
                  <c:v>18/08/2021</c:v>
                </c:pt>
                <c:pt idx="225">
                  <c:v>19/08/2021</c:v>
                </c:pt>
                <c:pt idx="226">
                  <c:v>20/08/2021</c:v>
                </c:pt>
                <c:pt idx="227">
                  <c:v>23/08/2021</c:v>
                </c:pt>
                <c:pt idx="228">
                  <c:v>24/08/2021</c:v>
                </c:pt>
                <c:pt idx="229">
                  <c:v>25/08/2021</c:v>
                </c:pt>
                <c:pt idx="230">
                  <c:v>26/08/2021</c:v>
                </c:pt>
                <c:pt idx="231">
                  <c:v>27/08/2021</c:v>
                </c:pt>
                <c:pt idx="232">
                  <c:v>30/08/2021</c:v>
                </c:pt>
                <c:pt idx="233">
                  <c:v>31/08/2021</c:v>
                </c:pt>
                <c:pt idx="234">
                  <c:v>01/09/2021</c:v>
                </c:pt>
                <c:pt idx="235">
                  <c:v>02/09/2021</c:v>
                </c:pt>
                <c:pt idx="236">
                  <c:v>03/09/2021</c:v>
                </c:pt>
                <c:pt idx="237">
                  <c:v>06/09/2021</c:v>
                </c:pt>
                <c:pt idx="238">
                  <c:v>07/09/2021</c:v>
                </c:pt>
                <c:pt idx="239">
                  <c:v>08/09/2021</c:v>
                </c:pt>
                <c:pt idx="240">
                  <c:v>09/09/2021</c:v>
                </c:pt>
                <c:pt idx="241">
                  <c:v>10/09/2021</c:v>
                </c:pt>
                <c:pt idx="242">
                  <c:v>13/09/2021</c:v>
                </c:pt>
                <c:pt idx="243">
                  <c:v>14/09/2021</c:v>
                </c:pt>
                <c:pt idx="244">
                  <c:v>15/09/2021</c:v>
                </c:pt>
                <c:pt idx="245">
                  <c:v>16/09/2021</c:v>
                </c:pt>
                <c:pt idx="246">
                  <c:v>17/09/2021</c:v>
                </c:pt>
                <c:pt idx="247">
                  <c:v>20/09/2021</c:v>
                </c:pt>
                <c:pt idx="248">
                  <c:v>21/09/2021</c:v>
                </c:pt>
                <c:pt idx="249">
                  <c:v>22/09/2021</c:v>
                </c:pt>
                <c:pt idx="250">
                  <c:v>23/09/2021</c:v>
                </c:pt>
                <c:pt idx="251">
                  <c:v>24/09/2021</c:v>
                </c:pt>
                <c:pt idx="252">
                  <c:v>27/09/2021</c:v>
                </c:pt>
                <c:pt idx="253">
                  <c:v>28/09/2021</c:v>
                </c:pt>
                <c:pt idx="254">
                  <c:v>29/09/2021</c:v>
                </c:pt>
                <c:pt idx="255">
                  <c:v>30/09/2021</c:v>
                </c:pt>
                <c:pt idx="256">
                  <c:v>01/10/2021</c:v>
                </c:pt>
                <c:pt idx="257">
                  <c:v>04/10/2021</c:v>
                </c:pt>
                <c:pt idx="258">
                  <c:v>05/10/2021</c:v>
                </c:pt>
                <c:pt idx="259">
                  <c:v>06/10/2021</c:v>
                </c:pt>
                <c:pt idx="260">
                  <c:v>07/10/2021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  <c:pt idx="267">
                  <c:v>17/11/2021</c:v>
                </c:pt>
                <c:pt idx="268">
                  <c:v>16/11/2021</c:v>
                </c:pt>
                <c:pt idx="269">
                  <c:v>15/11/2021</c:v>
                </c:pt>
                <c:pt idx="270">
                  <c:v>12/11/2021</c:v>
                </c:pt>
                <c:pt idx="271">
                  <c:v>11/11/2021</c:v>
                </c:pt>
                <c:pt idx="272">
                  <c:v>10/11/2021</c:v>
                </c:pt>
                <c:pt idx="273">
                  <c:v>09/11/2021</c:v>
                </c:pt>
                <c:pt idx="274">
                  <c:v>08/11/2021</c:v>
                </c:pt>
                <c:pt idx="275">
                  <c:v>05/11/2021</c:v>
                </c:pt>
                <c:pt idx="276">
                  <c:v>04/11/2021</c:v>
                </c:pt>
                <c:pt idx="277">
                  <c:v>03/11/2021</c:v>
                </c:pt>
                <c:pt idx="278">
                  <c:v>02/11/2021</c:v>
                </c:pt>
                <c:pt idx="279">
                  <c:v>01/11/2021</c:v>
                </c:pt>
                <c:pt idx="280">
                  <c:v>29/10/2021</c:v>
                </c:pt>
                <c:pt idx="281">
                  <c:v>28/10/2021</c:v>
                </c:pt>
                <c:pt idx="282">
                  <c:v>27/10/2021</c:v>
                </c:pt>
                <c:pt idx="283">
                  <c:v>26/10/2021</c:v>
                </c:pt>
                <c:pt idx="284">
                  <c:v>25/10/2021</c:v>
                </c:pt>
                <c:pt idx="285">
                  <c:v>22/10/2021</c:v>
                </c:pt>
                <c:pt idx="286">
                  <c:v>21/10/2021</c:v>
                </c:pt>
                <c:pt idx="287">
                  <c:v>20/10/2021</c:v>
                </c:pt>
                <c:pt idx="288">
                  <c:v>19/10/2021</c:v>
                </c:pt>
              </c:strCache>
            </c:strRef>
          </c:cat>
          <c:val>
            <c:numRef>
              <c:f>'Grafico Paridades bkp'!$H$3:$H$292</c:f>
              <c:numCache>
                <c:formatCode>0.00%</c:formatCode>
                <c:ptCount val="289"/>
                <c:pt idx="0">
                  <c:v>0.44952889208414271</c:v>
                </c:pt>
                <c:pt idx="1">
                  <c:v>0.44961583260463073</c:v>
                </c:pt>
                <c:pt idx="2">
                  <c:v>0.42285785384466501</c:v>
                </c:pt>
                <c:pt idx="3">
                  <c:v>0.42133093711659092</c:v>
                </c:pt>
                <c:pt idx="4">
                  <c:v>0.4198041153742475</c:v>
                </c:pt>
                <c:pt idx="5">
                  <c:v>0.40604186176701312</c:v>
                </c:pt>
                <c:pt idx="6">
                  <c:v>0.38847230381146552</c:v>
                </c:pt>
                <c:pt idx="7">
                  <c:v>0.40107256763153992</c:v>
                </c:pt>
                <c:pt idx="8">
                  <c:v>0.42275265369305609</c:v>
                </c:pt>
                <c:pt idx="9">
                  <c:v>0.41870380800022111</c:v>
                </c:pt>
                <c:pt idx="10">
                  <c:v>0.4136205967302829</c:v>
                </c:pt>
                <c:pt idx="11">
                  <c:v>0.40251094305465818</c:v>
                </c:pt>
                <c:pt idx="12">
                  <c:v>0.41097207923665291</c:v>
                </c:pt>
                <c:pt idx="13">
                  <c:v>0.41156454359849509</c:v>
                </c:pt>
                <c:pt idx="14">
                  <c:v>0.40398645847726949</c:v>
                </c:pt>
                <c:pt idx="15">
                  <c:v>0.39840142034562198</c:v>
                </c:pt>
                <c:pt idx="16">
                  <c:v>0.40302850274250818</c:v>
                </c:pt>
                <c:pt idx="17">
                  <c:v>0.40442794231931611</c:v>
                </c:pt>
                <c:pt idx="18">
                  <c:v>0.40219663321060739</c:v>
                </c:pt>
                <c:pt idx="19">
                  <c:v>0.40339431448869417</c:v>
                </c:pt>
                <c:pt idx="20">
                  <c:v>0.40031908391147147</c:v>
                </c:pt>
                <c:pt idx="21">
                  <c:v>0.39707998950232748</c:v>
                </c:pt>
                <c:pt idx="22">
                  <c:v>0.38315314039855392</c:v>
                </c:pt>
                <c:pt idx="23">
                  <c:v>0.37981395413078461</c:v>
                </c:pt>
                <c:pt idx="24">
                  <c:v>0.36243798185980192</c:v>
                </c:pt>
                <c:pt idx="25">
                  <c:v>0.36333404685784521</c:v>
                </c:pt>
                <c:pt idx="26">
                  <c:v>0.34779786708832361</c:v>
                </c:pt>
                <c:pt idx="27">
                  <c:v>0.35282745287578537</c:v>
                </c:pt>
                <c:pt idx="28">
                  <c:v>0.35735270256741319</c:v>
                </c:pt>
                <c:pt idx="29">
                  <c:v>0.34471998232630069</c:v>
                </c:pt>
                <c:pt idx="30">
                  <c:v>0.35478849174159932</c:v>
                </c:pt>
                <c:pt idx="31">
                  <c:v>0.35276168911409178</c:v>
                </c:pt>
                <c:pt idx="32">
                  <c:v>0.35285151679362697</c:v>
                </c:pt>
                <c:pt idx="33">
                  <c:v>0.35374760123148291</c:v>
                </c:pt>
                <c:pt idx="34">
                  <c:v>0.35331154511162732</c:v>
                </c:pt>
                <c:pt idx="35">
                  <c:v>0.35773446343281518</c:v>
                </c:pt>
                <c:pt idx="36">
                  <c:v>0.35873102420136871</c:v>
                </c:pt>
                <c:pt idx="37">
                  <c:v>0.36526954373227138</c:v>
                </c:pt>
                <c:pt idx="38">
                  <c:v>0.36072396004071838</c:v>
                </c:pt>
                <c:pt idx="39">
                  <c:v>0.37529932165260049</c:v>
                </c:pt>
                <c:pt idx="40">
                  <c:v>0.37377644213351918</c:v>
                </c:pt>
                <c:pt idx="41">
                  <c:v>0.37577974054650842</c:v>
                </c:pt>
                <c:pt idx="42">
                  <c:v>0.36871612460281039</c:v>
                </c:pt>
                <c:pt idx="43">
                  <c:v>0.37102167268110592</c:v>
                </c:pt>
                <c:pt idx="44">
                  <c:v>0.37521775876640739</c:v>
                </c:pt>
                <c:pt idx="45">
                  <c:v>0.37470247745727753</c:v>
                </c:pt>
                <c:pt idx="46">
                  <c:v>0.37771254523064612</c:v>
                </c:pt>
                <c:pt idx="47">
                  <c:v>0.3715568862275449</c:v>
                </c:pt>
                <c:pt idx="48">
                  <c:v>0.37013531272312111</c:v>
                </c:pt>
                <c:pt idx="49">
                  <c:v>0.36434919660501391</c:v>
                </c:pt>
                <c:pt idx="50">
                  <c:v>0.36655332004441898</c:v>
                </c:pt>
                <c:pt idx="51">
                  <c:v>0.35959375808259342</c:v>
                </c:pt>
                <c:pt idx="52">
                  <c:v>0.36481874862061348</c:v>
                </c:pt>
                <c:pt idx="53">
                  <c:v>0.36236832396012569</c:v>
                </c:pt>
                <c:pt idx="54">
                  <c:v>0.35601406799531071</c:v>
                </c:pt>
                <c:pt idx="55">
                  <c:v>0.35841933048074498</c:v>
                </c:pt>
                <c:pt idx="56">
                  <c:v>0.35921362028423859</c:v>
                </c:pt>
                <c:pt idx="57">
                  <c:v>0.35537688719414429</c:v>
                </c:pt>
                <c:pt idx="58">
                  <c:v>0.35129545109827232</c:v>
                </c:pt>
                <c:pt idx="59">
                  <c:v>0.3574244831972313</c:v>
                </c:pt>
                <c:pt idx="60">
                  <c:v>0.35831925821240218</c:v>
                </c:pt>
                <c:pt idx="61">
                  <c:v>0.3582859132065197</c:v>
                </c:pt>
                <c:pt idx="62">
                  <c:v>0.35324285015130308</c:v>
                </c:pt>
                <c:pt idx="63">
                  <c:v>0.35323189329840948</c:v>
                </c:pt>
                <c:pt idx="64">
                  <c:v>0.36076839304669078</c:v>
                </c:pt>
                <c:pt idx="65">
                  <c:v>0.36407798106646722</c:v>
                </c:pt>
                <c:pt idx="66">
                  <c:v>0.37229496898690562</c:v>
                </c:pt>
                <c:pt idx="67">
                  <c:v>0.36725256625397562</c:v>
                </c:pt>
                <c:pt idx="68">
                  <c:v>0.36522889689819382</c:v>
                </c:pt>
                <c:pt idx="69">
                  <c:v>0.3696992038254962</c:v>
                </c:pt>
                <c:pt idx="70">
                  <c:v>0.36817881159739829</c:v>
                </c:pt>
                <c:pt idx="71">
                  <c:v>0.36716147457119142</c:v>
                </c:pt>
                <c:pt idx="72">
                  <c:v>0.36308150148453811</c:v>
                </c:pt>
                <c:pt idx="73">
                  <c:v>0.35844386656793009</c:v>
                </c:pt>
                <c:pt idx="74">
                  <c:v>0.35953902956492989</c:v>
                </c:pt>
                <c:pt idx="75">
                  <c:v>0.35309158162650289</c:v>
                </c:pt>
                <c:pt idx="76">
                  <c:v>0.35197443191602212</c:v>
                </c:pt>
                <c:pt idx="77">
                  <c:v>0.35194170578086642</c:v>
                </c:pt>
                <c:pt idx="78">
                  <c:v>0.34991976528763968</c:v>
                </c:pt>
                <c:pt idx="79">
                  <c:v>0.34588697930835</c:v>
                </c:pt>
                <c:pt idx="80">
                  <c:v>0.34577571483664821</c:v>
                </c:pt>
                <c:pt idx="81">
                  <c:v>0.34435740724799863</c:v>
                </c:pt>
                <c:pt idx="82">
                  <c:v>0.34432539627890318</c:v>
                </c:pt>
                <c:pt idx="83">
                  <c:v>0.3458226749890691</c:v>
                </c:pt>
                <c:pt idx="84">
                  <c:v>0.34279615795090718</c:v>
                </c:pt>
                <c:pt idx="85">
                  <c:v>0.33876459227689443</c:v>
                </c:pt>
                <c:pt idx="86">
                  <c:v>0.34217179367133932</c:v>
                </c:pt>
                <c:pt idx="87">
                  <c:v>0.34374817135087687</c:v>
                </c:pt>
                <c:pt idx="88">
                  <c:v>0.34222990183255081</c:v>
                </c:pt>
                <c:pt idx="89">
                  <c:v>0.34171677571910941</c:v>
                </c:pt>
                <c:pt idx="90">
                  <c:v>0.3407011722917857</c:v>
                </c:pt>
                <c:pt idx="91">
                  <c:v>0.33797715375269749</c:v>
                </c:pt>
                <c:pt idx="92">
                  <c:v>0.33965406878703819</c:v>
                </c:pt>
                <c:pt idx="93">
                  <c:v>0.33964354909201028</c:v>
                </c:pt>
                <c:pt idx="94">
                  <c:v>0.34063786149843772</c:v>
                </c:pt>
                <c:pt idx="95">
                  <c:v>0.34263691264775209</c:v>
                </c:pt>
                <c:pt idx="96">
                  <c:v>0.34272677847591648</c:v>
                </c:pt>
                <c:pt idx="97">
                  <c:v>0.34269493980546439</c:v>
                </c:pt>
                <c:pt idx="98">
                  <c:v>0.33967039394460702</c:v>
                </c:pt>
                <c:pt idx="99">
                  <c:v>0.34046356727298999</c:v>
                </c:pt>
                <c:pt idx="100">
                  <c:v>0.33954890115182962</c:v>
                </c:pt>
                <c:pt idx="101">
                  <c:v>0.33702700936090568</c:v>
                </c:pt>
                <c:pt idx="102">
                  <c:v>0.33044626825627232</c:v>
                </c:pt>
                <c:pt idx="103">
                  <c:v>0.33154084015808433</c:v>
                </c:pt>
                <c:pt idx="104">
                  <c:v>0.32640847492605068</c:v>
                </c:pt>
                <c:pt idx="105">
                  <c:v>0.32386756406332218</c:v>
                </c:pt>
                <c:pt idx="106">
                  <c:v>0.32245164662833248</c:v>
                </c:pt>
                <c:pt idx="107">
                  <c:v>0.32635796206819467</c:v>
                </c:pt>
                <c:pt idx="108">
                  <c:v>0.33036445043570362</c:v>
                </c:pt>
                <c:pt idx="109">
                  <c:v>0.33135834224543759</c:v>
                </c:pt>
                <c:pt idx="110">
                  <c:v>0.33142798198260148</c:v>
                </c:pt>
                <c:pt idx="111">
                  <c:v>0.32338579076396218</c:v>
                </c:pt>
                <c:pt idx="112">
                  <c:v>0.31976152492023319</c:v>
                </c:pt>
                <c:pt idx="113">
                  <c:v>0.3268795318661748</c:v>
                </c:pt>
                <c:pt idx="114">
                  <c:v>0.31773393933976468</c:v>
                </c:pt>
                <c:pt idx="115">
                  <c:v>0.31770444802728148</c:v>
                </c:pt>
                <c:pt idx="116">
                  <c:v>0.30635196732920372</c:v>
                </c:pt>
                <c:pt idx="117">
                  <c:v>0.29911553705428812</c:v>
                </c:pt>
                <c:pt idx="118">
                  <c:v>0.30372336037398601</c:v>
                </c:pt>
                <c:pt idx="119">
                  <c:v>0.30612279972089412</c:v>
                </c:pt>
                <c:pt idx="120">
                  <c:v>0.31061053905057812</c:v>
                </c:pt>
                <c:pt idx="121">
                  <c:v>0.31401302562163841</c:v>
                </c:pt>
                <c:pt idx="122">
                  <c:v>0.31771635953727823</c:v>
                </c:pt>
                <c:pt idx="123">
                  <c:v>0.31710443565431662</c:v>
                </c:pt>
                <c:pt idx="124">
                  <c:v>0.32271402650244679</c:v>
                </c:pt>
                <c:pt idx="125">
                  <c:v>0.32860397431095562</c:v>
                </c:pt>
                <c:pt idx="126">
                  <c:v>0.32849347829074871</c:v>
                </c:pt>
                <c:pt idx="127">
                  <c:v>0.31613284497983141</c:v>
                </c:pt>
                <c:pt idx="128">
                  <c:v>0.3130130044149731</c:v>
                </c:pt>
                <c:pt idx="129">
                  <c:v>0.30907167052583118</c:v>
                </c:pt>
                <c:pt idx="130">
                  <c:v>0.30785836731468852</c:v>
                </c:pt>
                <c:pt idx="131">
                  <c:v>0.30584266575060121</c:v>
                </c:pt>
                <c:pt idx="132">
                  <c:v>0.30689862439677817</c:v>
                </c:pt>
                <c:pt idx="133">
                  <c:v>0.30588623202841109</c:v>
                </c:pt>
                <c:pt idx="134">
                  <c:v>0.304472752375817</c:v>
                </c:pt>
                <c:pt idx="135">
                  <c:v>0.30486447872735012</c:v>
                </c:pt>
                <c:pt idx="136">
                  <c:v>0.30274914915464951</c:v>
                </c:pt>
                <c:pt idx="137">
                  <c:v>0.30683222988379438</c:v>
                </c:pt>
                <c:pt idx="138">
                  <c:v>0.30932946909005998</c:v>
                </c:pt>
                <c:pt idx="139">
                  <c:v>0.30801645457479759</c:v>
                </c:pt>
                <c:pt idx="140">
                  <c:v>0.30860851202637052</c:v>
                </c:pt>
                <c:pt idx="141">
                  <c:v>0.31080468610512152</c:v>
                </c:pt>
                <c:pt idx="142">
                  <c:v>0.30877086973986428</c:v>
                </c:pt>
                <c:pt idx="143">
                  <c:v>0.30936281241417191</c:v>
                </c:pt>
                <c:pt idx="144">
                  <c:v>0.31025545077225708</c:v>
                </c:pt>
                <c:pt idx="145">
                  <c:v>0.31235092585599628</c:v>
                </c:pt>
                <c:pt idx="146">
                  <c:v>0.31574936407295401</c:v>
                </c:pt>
                <c:pt idx="147">
                  <c:v>0.31572010132699918</c:v>
                </c:pt>
                <c:pt idx="148">
                  <c:v>0.32122275119017779</c:v>
                </c:pt>
                <c:pt idx="149">
                  <c:v>0.32271616463933661</c:v>
                </c:pt>
                <c:pt idx="150">
                  <c:v>0.31819632689344152</c:v>
                </c:pt>
                <c:pt idx="151">
                  <c:v>0.32069190376497242</c:v>
                </c:pt>
                <c:pt idx="152">
                  <c:v>0.32066218938424212</c:v>
                </c:pt>
                <c:pt idx="153">
                  <c:v>0.32075248965361042</c:v>
                </c:pt>
                <c:pt idx="154">
                  <c:v>0.31863836796321399</c:v>
                </c:pt>
                <c:pt idx="155">
                  <c:v>0.31622378390249262</c:v>
                </c:pt>
                <c:pt idx="156">
                  <c:v>0.31410993264318038</c:v>
                </c:pt>
                <c:pt idx="157">
                  <c:v>0.31458176079050298</c:v>
                </c:pt>
                <c:pt idx="158">
                  <c:v>0.310664942069311</c:v>
                </c:pt>
                <c:pt idx="159">
                  <c:v>0.31376090133732221</c:v>
                </c:pt>
                <c:pt idx="160">
                  <c:v>0.31254910167520328</c:v>
                </c:pt>
                <c:pt idx="161">
                  <c:v>0.32506106430276921</c:v>
                </c:pt>
                <c:pt idx="162">
                  <c:v>0.32953832116162363</c:v>
                </c:pt>
                <c:pt idx="163">
                  <c:v>0.32952814785340889</c:v>
                </c:pt>
                <c:pt idx="164">
                  <c:v>0.32951797517330322</c:v>
                </c:pt>
                <c:pt idx="165">
                  <c:v>0.32850625964671581</c:v>
                </c:pt>
                <c:pt idx="166">
                  <c:v>0.32298780006791078</c:v>
                </c:pt>
                <c:pt idx="167">
                  <c:v>0.33495425302807919</c:v>
                </c:pt>
                <c:pt idx="168">
                  <c:v>0.33844856024937159</c:v>
                </c:pt>
                <c:pt idx="169">
                  <c:v>0.33543422649868659</c:v>
                </c:pt>
                <c:pt idx="170">
                  <c:v>0.33440196949072343</c:v>
                </c:pt>
                <c:pt idx="171">
                  <c:v>0.33749528557419989</c:v>
                </c:pt>
                <c:pt idx="172">
                  <c:v>0.34239046583946758</c:v>
                </c:pt>
                <c:pt idx="173">
                  <c:v>0.33306957034517748</c:v>
                </c:pt>
                <c:pt idx="174">
                  <c:v>0.3357622092325625</c:v>
                </c:pt>
                <c:pt idx="175">
                  <c:v>0.33833369899078541</c:v>
                </c:pt>
                <c:pt idx="176">
                  <c:v>0.34122603446443689</c:v>
                </c:pt>
                <c:pt idx="177">
                  <c:v>0.34772152332636341</c:v>
                </c:pt>
                <c:pt idx="178">
                  <c:v>0.35081356966329491</c:v>
                </c:pt>
                <c:pt idx="179">
                  <c:v>0.35180361133581028</c:v>
                </c:pt>
                <c:pt idx="180">
                  <c:v>0.35117059377945342</c:v>
                </c:pt>
                <c:pt idx="181">
                  <c:v>0.34755709703068022</c:v>
                </c:pt>
                <c:pt idx="182">
                  <c:v>0.34464431977463472</c:v>
                </c:pt>
                <c:pt idx="183">
                  <c:v>0.34163165434095721</c:v>
                </c:pt>
                <c:pt idx="184">
                  <c:v>0.33831898043596709</c:v>
                </c:pt>
                <c:pt idx="185">
                  <c:v>0.33367483647253532</c:v>
                </c:pt>
                <c:pt idx="186">
                  <c:v>0.33316430020283971</c:v>
                </c:pt>
                <c:pt idx="187">
                  <c:v>0.32965240779127342</c:v>
                </c:pt>
                <c:pt idx="188">
                  <c:v>0.32073840081679078</c:v>
                </c:pt>
                <c:pt idx="189">
                  <c:v>0.320108529946797</c:v>
                </c:pt>
                <c:pt idx="190">
                  <c:v>0.31409681066082012</c:v>
                </c:pt>
                <c:pt idx="191">
                  <c:v>0.31308684943426091</c:v>
                </c:pt>
                <c:pt idx="192">
                  <c:v>0.31357732043517578</c:v>
                </c:pt>
                <c:pt idx="193">
                  <c:v>0.31756851649499718</c:v>
                </c:pt>
                <c:pt idx="194">
                  <c:v>0.31503884040498142</c:v>
                </c:pt>
                <c:pt idx="195">
                  <c:v>0.31082874101372387</c:v>
                </c:pt>
                <c:pt idx="196">
                  <c:v>0.31261927105095522</c:v>
                </c:pt>
                <c:pt idx="197">
                  <c:v>0.31500970920336591</c:v>
                </c:pt>
                <c:pt idx="198">
                  <c:v>0.31897050615182843</c:v>
                </c:pt>
                <c:pt idx="199">
                  <c:v>0.32745962826500841</c:v>
                </c:pt>
                <c:pt idx="200">
                  <c:v>0.32594976801520309</c:v>
                </c:pt>
                <c:pt idx="201">
                  <c:v>0.32713950159901928</c:v>
                </c:pt>
                <c:pt idx="202">
                  <c:v>0.32642957170199582</c:v>
                </c:pt>
                <c:pt idx="203">
                  <c:v>0.32929850388578857</c:v>
                </c:pt>
                <c:pt idx="204">
                  <c:v>0.33108774764720178</c:v>
                </c:pt>
                <c:pt idx="205">
                  <c:v>0.33247702904405219</c:v>
                </c:pt>
                <c:pt idx="206">
                  <c:v>0.33286662535901712</c:v>
                </c:pt>
                <c:pt idx="207">
                  <c:v>0.33325619766812947</c:v>
                </c:pt>
                <c:pt idx="208">
                  <c:v>0.33482456110325748</c:v>
                </c:pt>
                <c:pt idx="209">
                  <c:v>0.33431452413387103</c:v>
                </c:pt>
                <c:pt idx="210">
                  <c:v>0.33690270423827151</c:v>
                </c:pt>
                <c:pt idx="211">
                  <c:v>0.33479362037100419</c:v>
                </c:pt>
                <c:pt idx="212">
                  <c:v>0.33558279059102147</c:v>
                </c:pt>
                <c:pt idx="213">
                  <c:v>0.33576197695469312</c:v>
                </c:pt>
                <c:pt idx="214">
                  <c:v>0.33675089659703777</c:v>
                </c:pt>
                <c:pt idx="215">
                  <c:v>0.33404260415775522</c:v>
                </c:pt>
                <c:pt idx="216">
                  <c:v>0.32993559955378232</c:v>
                </c:pt>
                <c:pt idx="217">
                  <c:v>0.32722768381107498</c:v>
                </c:pt>
                <c:pt idx="218">
                  <c:v>0.32668785646591098</c:v>
                </c:pt>
                <c:pt idx="219">
                  <c:v>0.32877572804904748</c:v>
                </c:pt>
                <c:pt idx="220">
                  <c:v>0.3299643855393658</c:v>
                </c:pt>
                <c:pt idx="221">
                  <c:v>0.33764616531990438</c:v>
                </c:pt>
                <c:pt idx="222">
                  <c:v>0.33214169645758862</c:v>
                </c:pt>
                <c:pt idx="223">
                  <c:v>0.32660740000889338</c:v>
                </c:pt>
                <c:pt idx="224">
                  <c:v>0.33139143521685588</c:v>
                </c:pt>
                <c:pt idx="225">
                  <c:v>0.33158098156781329</c:v>
                </c:pt>
                <c:pt idx="226">
                  <c:v>0.32657723905355401</c:v>
                </c:pt>
                <c:pt idx="227">
                  <c:v>0.32854431353773023</c:v>
                </c:pt>
                <c:pt idx="228">
                  <c:v>0.33752145930085431</c:v>
                </c:pt>
                <c:pt idx="229">
                  <c:v>0.33451541089449188</c:v>
                </c:pt>
                <c:pt idx="230">
                  <c:v>0.33949772938666078</c:v>
                </c:pt>
                <c:pt idx="231">
                  <c:v>0.3407853207997511</c:v>
                </c:pt>
                <c:pt idx="232">
                  <c:v>0.34943993872833951</c:v>
                </c:pt>
                <c:pt idx="233">
                  <c:v>0.34942918588470212</c:v>
                </c:pt>
                <c:pt idx="234">
                  <c:v>0.35540846399485793</c:v>
                </c:pt>
                <c:pt idx="235">
                  <c:v>0.35739414348963228</c:v>
                </c:pt>
                <c:pt idx="236">
                  <c:v>0.35638486995049651</c:v>
                </c:pt>
                <c:pt idx="237">
                  <c:v>0.35884743839114491</c:v>
                </c:pt>
                <c:pt idx="238">
                  <c:v>0.36282901483557811</c:v>
                </c:pt>
                <c:pt idx="239">
                  <c:v>0.35802686045756432</c:v>
                </c:pt>
                <c:pt idx="240">
                  <c:v>0.35532099617853558</c:v>
                </c:pt>
                <c:pt idx="241">
                  <c:v>0.34443119012055362</c:v>
                </c:pt>
                <c:pt idx="242">
                  <c:v>0.35537707540140939</c:v>
                </c:pt>
                <c:pt idx="243">
                  <c:v>0.35546593849003588</c:v>
                </c:pt>
                <c:pt idx="244">
                  <c:v>0.35525542356431039</c:v>
                </c:pt>
                <c:pt idx="245">
                  <c:v>0.35724025275014443</c:v>
                </c:pt>
                <c:pt idx="246">
                  <c:v>0.35722926562553392</c:v>
                </c:pt>
                <c:pt idx="247">
                  <c:v>0.35071090047393372</c:v>
                </c:pt>
                <c:pt idx="248">
                  <c:v>0.34920352893742362</c:v>
                </c:pt>
                <c:pt idx="249">
                  <c:v>0.3417100879815495</c:v>
                </c:pt>
                <c:pt idx="250">
                  <c:v>0.34469256946057858</c:v>
                </c:pt>
                <c:pt idx="251">
                  <c:v>0.34358457496421158</c:v>
                </c:pt>
                <c:pt idx="252">
                  <c:v>0.34016124624214272</c:v>
                </c:pt>
                <c:pt idx="253">
                  <c:v>0.34414082649822869</c:v>
                </c:pt>
                <c:pt idx="254">
                  <c:v>0.34662394359461363</c:v>
                </c:pt>
                <c:pt idx="255">
                  <c:v>0.34411966646968201</c:v>
                </c:pt>
                <c:pt idx="256">
                  <c:v>0.34311166978644331</c:v>
                </c:pt>
                <c:pt idx="257">
                  <c:v>0.34278083085425037</c:v>
                </c:pt>
                <c:pt idx="258">
                  <c:v>0.34356813027678362</c:v>
                </c:pt>
                <c:pt idx="259">
                  <c:v>0.33009450104337079</c:v>
                </c:pt>
                <c:pt idx="260">
                  <c:v>0.33905945835183232</c:v>
                </c:pt>
                <c:pt idx="261">
                  <c:v>0.33501903672465899</c:v>
                </c:pt>
                <c:pt idx="262">
                  <c:v>0.33700284090909088</c:v>
                </c:pt>
                <c:pt idx="263">
                  <c:v>0.3240312353818891</c:v>
                </c:pt>
                <c:pt idx="264">
                  <c:v>0.33349266940269462</c:v>
                </c:pt>
                <c:pt idx="265">
                  <c:v>0.32997279018398212</c:v>
                </c:pt>
                <c:pt idx="267">
                  <c:v>0.31074531259060162</c:v>
                </c:pt>
                <c:pt idx="268">
                  <c:v>0.32071494354811197</c:v>
                </c:pt>
                <c:pt idx="269">
                  <c:v>0.33566538523200568</c:v>
                </c:pt>
                <c:pt idx="270">
                  <c:v>0.33868469710098448</c:v>
                </c:pt>
                <c:pt idx="271">
                  <c:v>0.33969125799573557</c:v>
                </c:pt>
                <c:pt idx="272">
                  <c:v>0.34169407333615359</c:v>
                </c:pt>
                <c:pt idx="273">
                  <c:v>0.34409550096040009</c:v>
                </c:pt>
                <c:pt idx="274">
                  <c:v>0.34868883445127569</c:v>
                </c:pt>
                <c:pt idx="275">
                  <c:v>0.34324105762767387</c:v>
                </c:pt>
                <c:pt idx="276">
                  <c:v>0.33976428196081382</c:v>
                </c:pt>
                <c:pt idx="277">
                  <c:v>0.3357890893456133</c:v>
                </c:pt>
                <c:pt idx="278">
                  <c:v>0.33380652734742899</c:v>
                </c:pt>
                <c:pt idx="279">
                  <c:v>0.33381677956558092</c:v>
                </c:pt>
                <c:pt idx="280">
                  <c:v>0.33733549937203078</c:v>
                </c:pt>
                <c:pt idx="281">
                  <c:v>0.33535268038457472</c:v>
                </c:pt>
                <c:pt idx="282">
                  <c:v>0.33336973958155569</c:v>
                </c:pt>
                <c:pt idx="283">
                  <c:v>0.33487495776176612</c:v>
                </c:pt>
                <c:pt idx="284">
                  <c:v>0.32890515134552112</c:v>
                </c:pt>
                <c:pt idx="285">
                  <c:v>0.33092901397873331</c:v>
                </c:pt>
                <c:pt idx="286">
                  <c:v>0.33093918125460853</c:v>
                </c:pt>
                <c:pt idx="287">
                  <c:v>0.33094934915525032</c:v>
                </c:pt>
                <c:pt idx="288">
                  <c:v>0.33395011573204791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58D-4C42-B532-F784EA19E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188207"/>
        <c:axId val="251183215"/>
      </c:lineChart>
      <c:catAx>
        <c:axId val="25118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3215"/>
        <c:crosses val="autoZero"/>
        <c:auto val="1"/>
        <c:lblAlgn val="ctr"/>
        <c:lblOffset val="100"/>
        <c:noMultiLvlLbl val="0"/>
      </c:catAx>
      <c:valAx>
        <c:axId val="25118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8207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5.0744319962478107E-2"/>
          <c:y val="9.6354937124812454E-2"/>
          <c:w val="0.93450736942060575"/>
          <c:h val="0.89095236148202217"/>
        </c:manualLayout>
      </c:layout>
      <c:lineChart>
        <c:grouping val="standard"/>
        <c:varyColors val="0"/>
        <c:ser>
          <c:idx val="0"/>
          <c:order val="0"/>
          <c:tx>
            <c:strRef>
              <c:f>'Paridad usd'!$Y$1</c:f>
              <c:strCache>
                <c:ptCount val="1"/>
                <c:pt idx="0">
                  <c:v>30-38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'Paridad usd'!$A$2:$A$480</c:f>
              <c:numCache>
                <c:formatCode>m/d/yyyy</c:formatCode>
                <c:ptCount val="479"/>
                <c:pt idx="0">
                  <c:v>45114</c:v>
                </c:pt>
                <c:pt idx="1">
                  <c:v>45113</c:v>
                </c:pt>
                <c:pt idx="2">
                  <c:v>45112</c:v>
                </c:pt>
                <c:pt idx="3">
                  <c:v>45111</c:v>
                </c:pt>
                <c:pt idx="4">
                  <c:v>45110</c:v>
                </c:pt>
                <c:pt idx="5">
                  <c:v>45107</c:v>
                </c:pt>
                <c:pt idx="6">
                  <c:v>45106</c:v>
                </c:pt>
                <c:pt idx="7">
                  <c:v>45105</c:v>
                </c:pt>
                <c:pt idx="8">
                  <c:v>45104</c:v>
                </c:pt>
                <c:pt idx="9">
                  <c:v>45103</c:v>
                </c:pt>
                <c:pt idx="10">
                  <c:v>45100</c:v>
                </c:pt>
                <c:pt idx="11">
                  <c:v>45099</c:v>
                </c:pt>
                <c:pt idx="12">
                  <c:v>45098</c:v>
                </c:pt>
                <c:pt idx="13">
                  <c:v>45093</c:v>
                </c:pt>
                <c:pt idx="14">
                  <c:v>45092</c:v>
                </c:pt>
                <c:pt idx="15">
                  <c:v>45091</c:v>
                </c:pt>
                <c:pt idx="16">
                  <c:v>45090</c:v>
                </c:pt>
                <c:pt idx="17">
                  <c:v>45089</c:v>
                </c:pt>
                <c:pt idx="18">
                  <c:v>45086</c:v>
                </c:pt>
                <c:pt idx="19">
                  <c:v>45085</c:v>
                </c:pt>
                <c:pt idx="20">
                  <c:v>45084</c:v>
                </c:pt>
                <c:pt idx="21">
                  <c:v>45083</c:v>
                </c:pt>
                <c:pt idx="22">
                  <c:v>45082</c:v>
                </c:pt>
                <c:pt idx="23">
                  <c:v>45079</c:v>
                </c:pt>
                <c:pt idx="24">
                  <c:v>45078</c:v>
                </c:pt>
                <c:pt idx="25">
                  <c:v>45077</c:v>
                </c:pt>
                <c:pt idx="26">
                  <c:v>45076</c:v>
                </c:pt>
                <c:pt idx="27">
                  <c:v>45075</c:v>
                </c:pt>
                <c:pt idx="28">
                  <c:v>45070</c:v>
                </c:pt>
                <c:pt idx="29">
                  <c:v>45069</c:v>
                </c:pt>
                <c:pt idx="30">
                  <c:v>45068</c:v>
                </c:pt>
                <c:pt idx="31">
                  <c:v>45065</c:v>
                </c:pt>
                <c:pt idx="32">
                  <c:v>45064</c:v>
                </c:pt>
                <c:pt idx="33">
                  <c:v>45063</c:v>
                </c:pt>
                <c:pt idx="34">
                  <c:v>45062</c:v>
                </c:pt>
                <c:pt idx="35">
                  <c:v>45061</c:v>
                </c:pt>
                <c:pt idx="36">
                  <c:v>45058</c:v>
                </c:pt>
                <c:pt idx="37">
                  <c:v>45057</c:v>
                </c:pt>
                <c:pt idx="38">
                  <c:v>45056</c:v>
                </c:pt>
                <c:pt idx="39">
                  <c:v>45055</c:v>
                </c:pt>
                <c:pt idx="40">
                  <c:v>45054</c:v>
                </c:pt>
                <c:pt idx="41">
                  <c:v>45051</c:v>
                </c:pt>
                <c:pt idx="42">
                  <c:v>45050</c:v>
                </c:pt>
                <c:pt idx="43">
                  <c:v>45049</c:v>
                </c:pt>
                <c:pt idx="44">
                  <c:v>45048</c:v>
                </c:pt>
                <c:pt idx="45">
                  <c:v>45044</c:v>
                </c:pt>
                <c:pt idx="46">
                  <c:v>45043</c:v>
                </c:pt>
                <c:pt idx="47">
                  <c:v>45042</c:v>
                </c:pt>
                <c:pt idx="48">
                  <c:v>45041</c:v>
                </c:pt>
                <c:pt idx="49">
                  <c:v>45040</c:v>
                </c:pt>
                <c:pt idx="50">
                  <c:v>45037</c:v>
                </c:pt>
                <c:pt idx="51">
                  <c:v>45036</c:v>
                </c:pt>
                <c:pt idx="52">
                  <c:v>45035</c:v>
                </c:pt>
                <c:pt idx="53">
                  <c:v>45034</c:v>
                </c:pt>
                <c:pt idx="54">
                  <c:v>45033</c:v>
                </c:pt>
                <c:pt idx="55">
                  <c:v>45030</c:v>
                </c:pt>
                <c:pt idx="56">
                  <c:v>45029</c:v>
                </c:pt>
                <c:pt idx="57">
                  <c:v>45028</c:v>
                </c:pt>
                <c:pt idx="58">
                  <c:v>45027</c:v>
                </c:pt>
                <c:pt idx="59">
                  <c:v>45026</c:v>
                </c:pt>
                <c:pt idx="60">
                  <c:v>45021</c:v>
                </c:pt>
                <c:pt idx="61">
                  <c:v>45020</c:v>
                </c:pt>
                <c:pt idx="62">
                  <c:v>45019</c:v>
                </c:pt>
                <c:pt idx="63">
                  <c:v>45016</c:v>
                </c:pt>
                <c:pt idx="64">
                  <c:v>45015</c:v>
                </c:pt>
                <c:pt idx="65">
                  <c:v>45014</c:v>
                </c:pt>
                <c:pt idx="66">
                  <c:v>45013</c:v>
                </c:pt>
                <c:pt idx="67">
                  <c:v>45012</c:v>
                </c:pt>
                <c:pt idx="68">
                  <c:v>45008</c:v>
                </c:pt>
                <c:pt idx="69">
                  <c:v>45007</c:v>
                </c:pt>
                <c:pt idx="70">
                  <c:v>45006</c:v>
                </c:pt>
                <c:pt idx="71">
                  <c:v>45005</c:v>
                </c:pt>
                <c:pt idx="72">
                  <c:v>45002</c:v>
                </c:pt>
                <c:pt idx="73">
                  <c:v>45001</c:v>
                </c:pt>
                <c:pt idx="74">
                  <c:v>45000</c:v>
                </c:pt>
                <c:pt idx="75">
                  <c:v>44999</c:v>
                </c:pt>
                <c:pt idx="76">
                  <c:v>44998</c:v>
                </c:pt>
                <c:pt idx="77">
                  <c:v>44995</c:v>
                </c:pt>
                <c:pt idx="78">
                  <c:v>44994</c:v>
                </c:pt>
                <c:pt idx="79">
                  <c:v>44993</c:v>
                </c:pt>
                <c:pt idx="80">
                  <c:v>44992</c:v>
                </c:pt>
                <c:pt idx="81">
                  <c:v>44991</c:v>
                </c:pt>
                <c:pt idx="82">
                  <c:v>44988</c:v>
                </c:pt>
                <c:pt idx="83">
                  <c:v>44987</c:v>
                </c:pt>
                <c:pt idx="84">
                  <c:v>44986</c:v>
                </c:pt>
                <c:pt idx="85">
                  <c:v>44985</c:v>
                </c:pt>
                <c:pt idx="86">
                  <c:v>44984</c:v>
                </c:pt>
                <c:pt idx="87">
                  <c:v>44981</c:v>
                </c:pt>
                <c:pt idx="88">
                  <c:v>44980</c:v>
                </c:pt>
                <c:pt idx="89">
                  <c:v>44979</c:v>
                </c:pt>
                <c:pt idx="90">
                  <c:v>44974</c:v>
                </c:pt>
                <c:pt idx="91">
                  <c:v>44973</c:v>
                </c:pt>
                <c:pt idx="92">
                  <c:v>44972</c:v>
                </c:pt>
                <c:pt idx="93">
                  <c:v>44971</c:v>
                </c:pt>
                <c:pt idx="94">
                  <c:v>44970</c:v>
                </c:pt>
                <c:pt idx="95">
                  <c:v>44967</c:v>
                </c:pt>
                <c:pt idx="96">
                  <c:v>44966</c:v>
                </c:pt>
                <c:pt idx="97">
                  <c:v>44965</c:v>
                </c:pt>
                <c:pt idx="98">
                  <c:v>44964</c:v>
                </c:pt>
                <c:pt idx="99">
                  <c:v>44963</c:v>
                </c:pt>
                <c:pt idx="100">
                  <c:v>44960</c:v>
                </c:pt>
                <c:pt idx="101">
                  <c:v>44959</c:v>
                </c:pt>
                <c:pt idx="102">
                  <c:v>44958</c:v>
                </c:pt>
                <c:pt idx="103">
                  <c:v>44957</c:v>
                </c:pt>
                <c:pt idx="104">
                  <c:v>44956</c:v>
                </c:pt>
                <c:pt idx="105">
                  <c:v>44953</c:v>
                </c:pt>
                <c:pt idx="106">
                  <c:v>44952</c:v>
                </c:pt>
                <c:pt idx="107">
                  <c:v>44951</c:v>
                </c:pt>
                <c:pt idx="108">
                  <c:v>44950</c:v>
                </c:pt>
                <c:pt idx="109">
                  <c:v>44949</c:v>
                </c:pt>
                <c:pt idx="110">
                  <c:v>44946</c:v>
                </c:pt>
                <c:pt idx="111">
                  <c:v>44945</c:v>
                </c:pt>
                <c:pt idx="112">
                  <c:v>44944</c:v>
                </c:pt>
                <c:pt idx="113">
                  <c:v>44943</c:v>
                </c:pt>
                <c:pt idx="114">
                  <c:v>44942</c:v>
                </c:pt>
                <c:pt idx="115">
                  <c:v>44939</c:v>
                </c:pt>
                <c:pt idx="116">
                  <c:v>44938</c:v>
                </c:pt>
                <c:pt idx="117">
                  <c:v>44937</c:v>
                </c:pt>
                <c:pt idx="118">
                  <c:v>44936</c:v>
                </c:pt>
                <c:pt idx="119">
                  <c:v>44935</c:v>
                </c:pt>
                <c:pt idx="120">
                  <c:v>44932</c:v>
                </c:pt>
                <c:pt idx="121">
                  <c:v>44931</c:v>
                </c:pt>
                <c:pt idx="122">
                  <c:v>44930</c:v>
                </c:pt>
                <c:pt idx="123">
                  <c:v>44929</c:v>
                </c:pt>
                <c:pt idx="124">
                  <c:v>44928</c:v>
                </c:pt>
                <c:pt idx="125">
                  <c:v>44925</c:v>
                </c:pt>
                <c:pt idx="126">
                  <c:v>44924</c:v>
                </c:pt>
                <c:pt idx="127">
                  <c:v>44923</c:v>
                </c:pt>
                <c:pt idx="128">
                  <c:v>44922</c:v>
                </c:pt>
                <c:pt idx="129">
                  <c:v>44921</c:v>
                </c:pt>
                <c:pt idx="130">
                  <c:v>44918</c:v>
                </c:pt>
                <c:pt idx="131">
                  <c:v>44917</c:v>
                </c:pt>
                <c:pt idx="132">
                  <c:v>44916</c:v>
                </c:pt>
                <c:pt idx="133">
                  <c:v>44915</c:v>
                </c:pt>
                <c:pt idx="134">
                  <c:v>44914</c:v>
                </c:pt>
                <c:pt idx="135">
                  <c:v>44911</c:v>
                </c:pt>
                <c:pt idx="136">
                  <c:v>44910</c:v>
                </c:pt>
                <c:pt idx="137">
                  <c:v>44909</c:v>
                </c:pt>
                <c:pt idx="138">
                  <c:v>44908</c:v>
                </c:pt>
                <c:pt idx="139">
                  <c:v>44907</c:v>
                </c:pt>
                <c:pt idx="140">
                  <c:v>44902</c:v>
                </c:pt>
                <c:pt idx="141">
                  <c:v>44901</c:v>
                </c:pt>
                <c:pt idx="142">
                  <c:v>44900</c:v>
                </c:pt>
                <c:pt idx="143">
                  <c:v>44897</c:v>
                </c:pt>
                <c:pt idx="144">
                  <c:v>44896</c:v>
                </c:pt>
                <c:pt idx="145">
                  <c:v>44895</c:v>
                </c:pt>
                <c:pt idx="146">
                  <c:v>44894</c:v>
                </c:pt>
                <c:pt idx="147">
                  <c:v>44893</c:v>
                </c:pt>
                <c:pt idx="148">
                  <c:v>44890</c:v>
                </c:pt>
                <c:pt idx="149">
                  <c:v>44889</c:v>
                </c:pt>
                <c:pt idx="150">
                  <c:v>44888</c:v>
                </c:pt>
                <c:pt idx="151">
                  <c:v>44887</c:v>
                </c:pt>
                <c:pt idx="152">
                  <c:v>44883</c:v>
                </c:pt>
                <c:pt idx="153">
                  <c:v>44882</c:v>
                </c:pt>
                <c:pt idx="154">
                  <c:v>44881</c:v>
                </c:pt>
                <c:pt idx="155">
                  <c:v>44880</c:v>
                </c:pt>
                <c:pt idx="156">
                  <c:v>44879</c:v>
                </c:pt>
                <c:pt idx="157">
                  <c:v>44876</c:v>
                </c:pt>
                <c:pt idx="158">
                  <c:v>44875</c:v>
                </c:pt>
                <c:pt idx="159">
                  <c:v>44874</c:v>
                </c:pt>
                <c:pt idx="160">
                  <c:v>44873</c:v>
                </c:pt>
                <c:pt idx="161">
                  <c:v>44872</c:v>
                </c:pt>
                <c:pt idx="162">
                  <c:v>44869</c:v>
                </c:pt>
                <c:pt idx="163">
                  <c:v>44868</c:v>
                </c:pt>
                <c:pt idx="164">
                  <c:v>44867</c:v>
                </c:pt>
                <c:pt idx="165">
                  <c:v>44866</c:v>
                </c:pt>
                <c:pt idx="166">
                  <c:v>44865</c:v>
                </c:pt>
                <c:pt idx="167">
                  <c:v>44862</c:v>
                </c:pt>
                <c:pt idx="168">
                  <c:v>44861</c:v>
                </c:pt>
                <c:pt idx="169">
                  <c:v>44860</c:v>
                </c:pt>
                <c:pt idx="170">
                  <c:v>44859</c:v>
                </c:pt>
                <c:pt idx="171">
                  <c:v>44858</c:v>
                </c:pt>
                <c:pt idx="172">
                  <c:v>44855</c:v>
                </c:pt>
                <c:pt idx="173">
                  <c:v>44854</c:v>
                </c:pt>
                <c:pt idx="174">
                  <c:v>44853</c:v>
                </c:pt>
                <c:pt idx="175">
                  <c:v>44852</c:v>
                </c:pt>
                <c:pt idx="176">
                  <c:v>44851</c:v>
                </c:pt>
                <c:pt idx="177">
                  <c:v>44848</c:v>
                </c:pt>
                <c:pt idx="178">
                  <c:v>44847</c:v>
                </c:pt>
                <c:pt idx="179">
                  <c:v>44846</c:v>
                </c:pt>
                <c:pt idx="180">
                  <c:v>44845</c:v>
                </c:pt>
                <c:pt idx="181">
                  <c:v>44840</c:v>
                </c:pt>
                <c:pt idx="182">
                  <c:v>44839</c:v>
                </c:pt>
                <c:pt idx="183">
                  <c:v>44838</c:v>
                </c:pt>
                <c:pt idx="184">
                  <c:v>44837</c:v>
                </c:pt>
                <c:pt idx="185">
                  <c:v>44834</c:v>
                </c:pt>
                <c:pt idx="186">
                  <c:v>44833</c:v>
                </c:pt>
                <c:pt idx="187">
                  <c:v>44832</c:v>
                </c:pt>
                <c:pt idx="188">
                  <c:v>44831</c:v>
                </c:pt>
                <c:pt idx="189">
                  <c:v>44830</c:v>
                </c:pt>
                <c:pt idx="190">
                  <c:v>44827</c:v>
                </c:pt>
                <c:pt idx="191">
                  <c:v>44826</c:v>
                </c:pt>
                <c:pt idx="192">
                  <c:v>44825</c:v>
                </c:pt>
                <c:pt idx="193">
                  <c:v>44824</c:v>
                </c:pt>
                <c:pt idx="194">
                  <c:v>44823</c:v>
                </c:pt>
                <c:pt idx="195">
                  <c:v>44820</c:v>
                </c:pt>
                <c:pt idx="196">
                  <c:v>44819</c:v>
                </c:pt>
                <c:pt idx="197">
                  <c:v>44818</c:v>
                </c:pt>
                <c:pt idx="198">
                  <c:v>44817</c:v>
                </c:pt>
                <c:pt idx="199">
                  <c:v>44816</c:v>
                </c:pt>
                <c:pt idx="200">
                  <c:v>44813</c:v>
                </c:pt>
                <c:pt idx="201">
                  <c:v>44812</c:v>
                </c:pt>
                <c:pt idx="202">
                  <c:v>44811</c:v>
                </c:pt>
                <c:pt idx="203">
                  <c:v>44810</c:v>
                </c:pt>
                <c:pt idx="204">
                  <c:v>44809</c:v>
                </c:pt>
                <c:pt idx="205">
                  <c:v>44805</c:v>
                </c:pt>
                <c:pt idx="206">
                  <c:v>44804</c:v>
                </c:pt>
                <c:pt idx="207">
                  <c:v>44803</c:v>
                </c:pt>
                <c:pt idx="208">
                  <c:v>44802</c:v>
                </c:pt>
                <c:pt idx="209">
                  <c:v>44799</c:v>
                </c:pt>
                <c:pt idx="210">
                  <c:v>44798</c:v>
                </c:pt>
                <c:pt idx="211">
                  <c:v>44797</c:v>
                </c:pt>
                <c:pt idx="212">
                  <c:v>44796</c:v>
                </c:pt>
                <c:pt idx="213">
                  <c:v>44795</c:v>
                </c:pt>
                <c:pt idx="214">
                  <c:v>44792</c:v>
                </c:pt>
                <c:pt idx="215">
                  <c:v>44791</c:v>
                </c:pt>
                <c:pt idx="216">
                  <c:v>44790</c:v>
                </c:pt>
                <c:pt idx="217">
                  <c:v>44789</c:v>
                </c:pt>
                <c:pt idx="218">
                  <c:v>44785</c:v>
                </c:pt>
                <c:pt idx="219">
                  <c:v>44784</c:v>
                </c:pt>
                <c:pt idx="220">
                  <c:v>44783</c:v>
                </c:pt>
                <c:pt idx="221">
                  <c:v>44782</c:v>
                </c:pt>
                <c:pt idx="222">
                  <c:v>44781</c:v>
                </c:pt>
                <c:pt idx="223">
                  <c:v>44778</c:v>
                </c:pt>
                <c:pt idx="224">
                  <c:v>44777</c:v>
                </c:pt>
                <c:pt idx="225">
                  <c:v>44776</c:v>
                </c:pt>
                <c:pt idx="226">
                  <c:v>44775</c:v>
                </c:pt>
                <c:pt idx="227">
                  <c:v>44774</c:v>
                </c:pt>
                <c:pt idx="228">
                  <c:v>44771</c:v>
                </c:pt>
                <c:pt idx="229">
                  <c:v>44770</c:v>
                </c:pt>
                <c:pt idx="230">
                  <c:v>44769</c:v>
                </c:pt>
                <c:pt idx="231">
                  <c:v>44768</c:v>
                </c:pt>
                <c:pt idx="232">
                  <c:v>44767</c:v>
                </c:pt>
                <c:pt idx="233">
                  <c:v>44764</c:v>
                </c:pt>
                <c:pt idx="234">
                  <c:v>44763</c:v>
                </c:pt>
                <c:pt idx="235">
                  <c:v>44762</c:v>
                </c:pt>
                <c:pt idx="236">
                  <c:v>44761</c:v>
                </c:pt>
                <c:pt idx="237">
                  <c:v>44760</c:v>
                </c:pt>
                <c:pt idx="238">
                  <c:v>44757</c:v>
                </c:pt>
                <c:pt idx="239">
                  <c:v>44756</c:v>
                </c:pt>
                <c:pt idx="240">
                  <c:v>44755</c:v>
                </c:pt>
                <c:pt idx="241">
                  <c:v>44754</c:v>
                </c:pt>
                <c:pt idx="242">
                  <c:v>44753</c:v>
                </c:pt>
                <c:pt idx="243">
                  <c:v>44750</c:v>
                </c:pt>
                <c:pt idx="244">
                  <c:v>44749</c:v>
                </c:pt>
                <c:pt idx="245">
                  <c:v>44747</c:v>
                </c:pt>
                <c:pt idx="246">
                  <c:v>44746</c:v>
                </c:pt>
                <c:pt idx="247">
                  <c:v>44743</c:v>
                </c:pt>
                <c:pt idx="248">
                  <c:v>44742</c:v>
                </c:pt>
                <c:pt idx="249">
                  <c:v>44741</c:v>
                </c:pt>
                <c:pt idx="250">
                  <c:v>44740</c:v>
                </c:pt>
                <c:pt idx="251">
                  <c:v>44739</c:v>
                </c:pt>
                <c:pt idx="252">
                  <c:v>44736</c:v>
                </c:pt>
                <c:pt idx="253">
                  <c:v>44735</c:v>
                </c:pt>
                <c:pt idx="254">
                  <c:v>44734</c:v>
                </c:pt>
                <c:pt idx="255">
                  <c:v>44733</c:v>
                </c:pt>
                <c:pt idx="256">
                  <c:v>44728</c:v>
                </c:pt>
                <c:pt idx="257">
                  <c:v>44727</c:v>
                </c:pt>
                <c:pt idx="258">
                  <c:v>44725</c:v>
                </c:pt>
                <c:pt idx="259">
                  <c:v>44722</c:v>
                </c:pt>
                <c:pt idx="260">
                  <c:v>44721</c:v>
                </c:pt>
                <c:pt idx="261">
                  <c:v>44720</c:v>
                </c:pt>
                <c:pt idx="262">
                  <c:v>44719</c:v>
                </c:pt>
                <c:pt idx="263">
                  <c:v>44718</c:v>
                </c:pt>
                <c:pt idx="264">
                  <c:v>44715</c:v>
                </c:pt>
                <c:pt idx="265">
                  <c:v>44714</c:v>
                </c:pt>
                <c:pt idx="266">
                  <c:v>44713</c:v>
                </c:pt>
                <c:pt idx="267">
                  <c:v>44712</c:v>
                </c:pt>
                <c:pt idx="268">
                  <c:v>44711</c:v>
                </c:pt>
                <c:pt idx="269">
                  <c:v>44708</c:v>
                </c:pt>
                <c:pt idx="270">
                  <c:v>44707</c:v>
                </c:pt>
                <c:pt idx="271">
                  <c:v>44705</c:v>
                </c:pt>
                <c:pt idx="272">
                  <c:v>44704</c:v>
                </c:pt>
                <c:pt idx="273">
                  <c:v>44701</c:v>
                </c:pt>
                <c:pt idx="274">
                  <c:v>44700</c:v>
                </c:pt>
                <c:pt idx="275">
                  <c:v>44698</c:v>
                </c:pt>
                <c:pt idx="276">
                  <c:v>44697</c:v>
                </c:pt>
                <c:pt idx="277">
                  <c:v>44694</c:v>
                </c:pt>
                <c:pt idx="278">
                  <c:v>44693</c:v>
                </c:pt>
                <c:pt idx="279">
                  <c:v>44692</c:v>
                </c:pt>
                <c:pt idx="280">
                  <c:v>44691</c:v>
                </c:pt>
                <c:pt idx="281">
                  <c:v>44690</c:v>
                </c:pt>
                <c:pt idx="282">
                  <c:v>44687</c:v>
                </c:pt>
                <c:pt idx="283">
                  <c:v>44686</c:v>
                </c:pt>
                <c:pt idx="284">
                  <c:v>44685</c:v>
                </c:pt>
                <c:pt idx="285">
                  <c:v>44684</c:v>
                </c:pt>
                <c:pt idx="286">
                  <c:v>44683</c:v>
                </c:pt>
                <c:pt idx="287">
                  <c:v>44680</c:v>
                </c:pt>
                <c:pt idx="288">
                  <c:v>44679</c:v>
                </c:pt>
                <c:pt idx="289">
                  <c:v>44678</c:v>
                </c:pt>
                <c:pt idx="290">
                  <c:v>44677</c:v>
                </c:pt>
                <c:pt idx="291">
                  <c:v>44676</c:v>
                </c:pt>
                <c:pt idx="292">
                  <c:v>44673</c:v>
                </c:pt>
                <c:pt idx="293">
                  <c:v>44672</c:v>
                </c:pt>
                <c:pt idx="294">
                  <c:v>44671</c:v>
                </c:pt>
                <c:pt idx="295">
                  <c:v>44670</c:v>
                </c:pt>
                <c:pt idx="296">
                  <c:v>44669</c:v>
                </c:pt>
                <c:pt idx="297">
                  <c:v>44664</c:v>
                </c:pt>
                <c:pt idx="298">
                  <c:v>44663</c:v>
                </c:pt>
                <c:pt idx="299">
                  <c:v>44662</c:v>
                </c:pt>
                <c:pt idx="300">
                  <c:v>44659</c:v>
                </c:pt>
                <c:pt idx="301">
                  <c:v>44658</c:v>
                </c:pt>
                <c:pt idx="302">
                  <c:v>44657</c:v>
                </c:pt>
                <c:pt idx="303">
                  <c:v>44656</c:v>
                </c:pt>
                <c:pt idx="304">
                  <c:v>44655</c:v>
                </c:pt>
                <c:pt idx="305">
                  <c:v>44652</c:v>
                </c:pt>
                <c:pt idx="306">
                  <c:v>44651</c:v>
                </c:pt>
                <c:pt idx="307">
                  <c:v>44650</c:v>
                </c:pt>
                <c:pt idx="308">
                  <c:v>44649</c:v>
                </c:pt>
                <c:pt idx="309">
                  <c:v>44648</c:v>
                </c:pt>
                <c:pt idx="310">
                  <c:v>44645</c:v>
                </c:pt>
                <c:pt idx="311">
                  <c:v>44643</c:v>
                </c:pt>
                <c:pt idx="312">
                  <c:v>44642</c:v>
                </c:pt>
                <c:pt idx="313">
                  <c:v>44641</c:v>
                </c:pt>
                <c:pt idx="314">
                  <c:v>44638</c:v>
                </c:pt>
                <c:pt idx="315">
                  <c:v>44637</c:v>
                </c:pt>
                <c:pt idx="316">
                  <c:v>44636</c:v>
                </c:pt>
                <c:pt idx="317">
                  <c:v>44635</c:v>
                </c:pt>
                <c:pt idx="318">
                  <c:v>44634</c:v>
                </c:pt>
                <c:pt idx="319">
                  <c:v>44631</c:v>
                </c:pt>
                <c:pt idx="320">
                  <c:v>44630</c:v>
                </c:pt>
                <c:pt idx="321">
                  <c:v>44629</c:v>
                </c:pt>
                <c:pt idx="322">
                  <c:v>44628</c:v>
                </c:pt>
                <c:pt idx="323">
                  <c:v>44627</c:v>
                </c:pt>
                <c:pt idx="324">
                  <c:v>44624</c:v>
                </c:pt>
                <c:pt idx="325">
                  <c:v>44623</c:v>
                </c:pt>
                <c:pt idx="326">
                  <c:v>44622</c:v>
                </c:pt>
                <c:pt idx="327">
                  <c:v>44617</c:v>
                </c:pt>
                <c:pt idx="328">
                  <c:v>44616</c:v>
                </c:pt>
                <c:pt idx="329">
                  <c:v>44615</c:v>
                </c:pt>
                <c:pt idx="330">
                  <c:v>44614</c:v>
                </c:pt>
                <c:pt idx="331">
                  <c:v>44613</c:v>
                </c:pt>
                <c:pt idx="332">
                  <c:v>44610</c:v>
                </c:pt>
                <c:pt idx="333">
                  <c:v>44609</c:v>
                </c:pt>
                <c:pt idx="334">
                  <c:v>44608</c:v>
                </c:pt>
                <c:pt idx="335">
                  <c:v>44607</c:v>
                </c:pt>
                <c:pt idx="336">
                  <c:v>44606</c:v>
                </c:pt>
                <c:pt idx="337">
                  <c:v>44603</c:v>
                </c:pt>
                <c:pt idx="338">
                  <c:v>44602</c:v>
                </c:pt>
                <c:pt idx="339">
                  <c:v>44601</c:v>
                </c:pt>
                <c:pt idx="340">
                  <c:v>44600</c:v>
                </c:pt>
                <c:pt idx="341">
                  <c:v>44599</c:v>
                </c:pt>
                <c:pt idx="342">
                  <c:v>44596</c:v>
                </c:pt>
                <c:pt idx="343">
                  <c:v>44595</c:v>
                </c:pt>
                <c:pt idx="344">
                  <c:v>44594</c:v>
                </c:pt>
                <c:pt idx="345">
                  <c:v>44593</c:v>
                </c:pt>
                <c:pt idx="346">
                  <c:v>44592</c:v>
                </c:pt>
                <c:pt idx="347">
                  <c:v>44589</c:v>
                </c:pt>
                <c:pt idx="348">
                  <c:v>44588</c:v>
                </c:pt>
                <c:pt idx="349">
                  <c:v>44587</c:v>
                </c:pt>
                <c:pt idx="350">
                  <c:v>44586</c:v>
                </c:pt>
                <c:pt idx="351">
                  <c:v>44585</c:v>
                </c:pt>
                <c:pt idx="352">
                  <c:v>44582</c:v>
                </c:pt>
                <c:pt idx="353">
                  <c:v>44581</c:v>
                </c:pt>
                <c:pt idx="354">
                  <c:v>44580</c:v>
                </c:pt>
                <c:pt idx="355">
                  <c:v>44579</c:v>
                </c:pt>
                <c:pt idx="356">
                  <c:v>44578</c:v>
                </c:pt>
                <c:pt idx="357">
                  <c:v>44575</c:v>
                </c:pt>
                <c:pt idx="358">
                  <c:v>44574</c:v>
                </c:pt>
                <c:pt idx="359">
                  <c:v>44573</c:v>
                </c:pt>
                <c:pt idx="360">
                  <c:v>44572</c:v>
                </c:pt>
                <c:pt idx="361">
                  <c:v>44571</c:v>
                </c:pt>
                <c:pt idx="362">
                  <c:v>44568</c:v>
                </c:pt>
                <c:pt idx="363">
                  <c:v>44567</c:v>
                </c:pt>
                <c:pt idx="364">
                  <c:v>44566</c:v>
                </c:pt>
                <c:pt idx="365">
                  <c:v>44565</c:v>
                </c:pt>
                <c:pt idx="366">
                  <c:v>44564</c:v>
                </c:pt>
                <c:pt idx="367">
                  <c:v>44560</c:v>
                </c:pt>
                <c:pt idx="368">
                  <c:v>44559</c:v>
                </c:pt>
                <c:pt idx="369">
                  <c:v>44558</c:v>
                </c:pt>
                <c:pt idx="370">
                  <c:v>44557</c:v>
                </c:pt>
                <c:pt idx="371">
                  <c:v>44553</c:v>
                </c:pt>
                <c:pt idx="372">
                  <c:v>44552</c:v>
                </c:pt>
                <c:pt idx="373">
                  <c:v>44551</c:v>
                </c:pt>
                <c:pt idx="374">
                  <c:v>44550</c:v>
                </c:pt>
                <c:pt idx="375">
                  <c:v>44547</c:v>
                </c:pt>
                <c:pt idx="376">
                  <c:v>44546</c:v>
                </c:pt>
                <c:pt idx="377">
                  <c:v>44545</c:v>
                </c:pt>
                <c:pt idx="378">
                  <c:v>44544</c:v>
                </c:pt>
                <c:pt idx="379">
                  <c:v>44543</c:v>
                </c:pt>
                <c:pt idx="380">
                  <c:v>44540</c:v>
                </c:pt>
                <c:pt idx="381">
                  <c:v>44539</c:v>
                </c:pt>
                <c:pt idx="382">
                  <c:v>44537</c:v>
                </c:pt>
                <c:pt idx="383">
                  <c:v>44536</c:v>
                </c:pt>
                <c:pt idx="384">
                  <c:v>44533</c:v>
                </c:pt>
                <c:pt idx="385">
                  <c:v>44532</c:v>
                </c:pt>
                <c:pt idx="386">
                  <c:v>44531</c:v>
                </c:pt>
                <c:pt idx="387">
                  <c:v>44530</c:v>
                </c:pt>
                <c:pt idx="388">
                  <c:v>44529</c:v>
                </c:pt>
                <c:pt idx="389">
                  <c:v>44526</c:v>
                </c:pt>
                <c:pt idx="390">
                  <c:v>44525</c:v>
                </c:pt>
                <c:pt idx="391">
                  <c:v>44524</c:v>
                </c:pt>
                <c:pt idx="392">
                  <c:v>44523</c:v>
                </c:pt>
                <c:pt idx="393">
                  <c:v>44519</c:v>
                </c:pt>
                <c:pt idx="394">
                  <c:v>44518</c:v>
                </c:pt>
                <c:pt idx="395">
                  <c:v>44517</c:v>
                </c:pt>
                <c:pt idx="396">
                  <c:v>44516</c:v>
                </c:pt>
                <c:pt idx="397">
                  <c:v>44515</c:v>
                </c:pt>
                <c:pt idx="398">
                  <c:v>44512</c:v>
                </c:pt>
                <c:pt idx="399">
                  <c:v>44511</c:v>
                </c:pt>
                <c:pt idx="400">
                  <c:v>44510</c:v>
                </c:pt>
                <c:pt idx="401">
                  <c:v>44509</c:v>
                </c:pt>
                <c:pt idx="402">
                  <c:v>44508</c:v>
                </c:pt>
                <c:pt idx="403">
                  <c:v>44505</c:v>
                </c:pt>
                <c:pt idx="404">
                  <c:v>44504</c:v>
                </c:pt>
                <c:pt idx="405">
                  <c:v>44503</c:v>
                </c:pt>
                <c:pt idx="406">
                  <c:v>44502</c:v>
                </c:pt>
                <c:pt idx="407">
                  <c:v>44501</c:v>
                </c:pt>
                <c:pt idx="408">
                  <c:v>44498</c:v>
                </c:pt>
                <c:pt idx="409">
                  <c:v>44497</c:v>
                </c:pt>
                <c:pt idx="410">
                  <c:v>44496</c:v>
                </c:pt>
                <c:pt idx="411">
                  <c:v>44495</c:v>
                </c:pt>
                <c:pt idx="412">
                  <c:v>44494</c:v>
                </c:pt>
                <c:pt idx="413">
                  <c:v>44491</c:v>
                </c:pt>
                <c:pt idx="414">
                  <c:v>44490</c:v>
                </c:pt>
                <c:pt idx="415">
                  <c:v>44489</c:v>
                </c:pt>
                <c:pt idx="416">
                  <c:v>44488</c:v>
                </c:pt>
                <c:pt idx="417">
                  <c:v>44487</c:v>
                </c:pt>
                <c:pt idx="418">
                  <c:v>44484</c:v>
                </c:pt>
                <c:pt idx="419">
                  <c:v>44483</c:v>
                </c:pt>
                <c:pt idx="420">
                  <c:v>44482</c:v>
                </c:pt>
                <c:pt idx="421">
                  <c:v>44481</c:v>
                </c:pt>
                <c:pt idx="422">
                  <c:v>44476</c:v>
                </c:pt>
                <c:pt idx="423">
                  <c:v>44475</c:v>
                </c:pt>
                <c:pt idx="424">
                  <c:v>44474</c:v>
                </c:pt>
                <c:pt idx="425">
                  <c:v>44473</c:v>
                </c:pt>
                <c:pt idx="426">
                  <c:v>44470</c:v>
                </c:pt>
                <c:pt idx="427">
                  <c:v>44469</c:v>
                </c:pt>
                <c:pt idx="428">
                  <c:v>44468</c:v>
                </c:pt>
                <c:pt idx="429">
                  <c:v>44467</c:v>
                </c:pt>
                <c:pt idx="430">
                  <c:v>44466</c:v>
                </c:pt>
                <c:pt idx="431">
                  <c:v>44463</c:v>
                </c:pt>
                <c:pt idx="432">
                  <c:v>44462</c:v>
                </c:pt>
                <c:pt idx="433">
                  <c:v>44461</c:v>
                </c:pt>
                <c:pt idx="434">
                  <c:v>44460</c:v>
                </c:pt>
                <c:pt idx="435">
                  <c:v>44459</c:v>
                </c:pt>
                <c:pt idx="436">
                  <c:v>44456</c:v>
                </c:pt>
                <c:pt idx="437">
                  <c:v>44455</c:v>
                </c:pt>
                <c:pt idx="438">
                  <c:v>44454</c:v>
                </c:pt>
                <c:pt idx="439">
                  <c:v>44453</c:v>
                </c:pt>
                <c:pt idx="440">
                  <c:v>44452</c:v>
                </c:pt>
                <c:pt idx="441">
                  <c:v>44449</c:v>
                </c:pt>
                <c:pt idx="442">
                  <c:v>44448</c:v>
                </c:pt>
                <c:pt idx="443">
                  <c:v>44447</c:v>
                </c:pt>
                <c:pt idx="444">
                  <c:v>44446</c:v>
                </c:pt>
                <c:pt idx="445">
                  <c:v>44445</c:v>
                </c:pt>
                <c:pt idx="446">
                  <c:v>44442</c:v>
                </c:pt>
                <c:pt idx="447">
                  <c:v>44441</c:v>
                </c:pt>
                <c:pt idx="448">
                  <c:v>44440</c:v>
                </c:pt>
                <c:pt idx="449">
                  <c:v>44439</c:v>
                </c:pt>
                <c:pt idx="450">
                  <c:v>44438</c:v>
                </c:pt>
                <c:pt idx="451">
                  <c:v>44435</c:v>
                </c:pt>
                <c:pt idx="452">
                  <c:v>44434</c:v>
                </c:pt>
                <c:pt idx="453">
                  <c:v>44433</c:v>
                </c:pt>
                <c:pt idx="454">
                  <c:v>44432</c:v>
                </c:pt>
                <c:pt idx="455">
                  <c:v>44431</c:v>
                </c:pt>
                <c:pt idx="456">
                  <c:v>44428</c:v>
                </c:pt>
                <c:pt idx="457">
                  <c:v>44427</c:v>
                </c:pt>
                <c:pt idx="458">
                  <c:v>44426</c:v>
                </c:pt>
                <c:pt idx="459">
                  <c:v>44425</c:v>
                </c:pt>
                <c:pt idx="460">
                  <c:v>44421</c:v>
                </c:pt>
                <c:pt idx="461">
                  <c:v>44420</c:v>
                </c:pt>
                <c:pt idx="462">
                  <c:v>44419</c:v>
                </c:pt>
                <c:pt idx="463">
                  <c:v>44418</c:v>
                </c:pt>
                <c:pt idx="464">
                  <c:v>44417</c:v>
                </c:pt>
                <c:pt idx="465">
                  <c:v>44413</c:v>
                </c:pt>
                <c:pt idx="466">
                  <c:v>44412</c:v>
                </c:pt>
                <c:pt idx="467">
                  <c:v>44411</c:v>
                </c:pt>
                <c:pt idx="468">
                  <c:v>44410</c:v>
                </c:pt>
                <c:pt idx="469">
                  <c:v>44409</c:v>
                </c:pt>
                <c:pt idx="470">
                  <c:v>44407</c:v>
                </c:pt>
                <c:pt idx="471">
                  <c:v>44406</c:v>
                </c:pt>
                <c:pt idx="472">
                  <c:v>44405</c:v>
                </c:pt>
                <c:pt idx="473">
                  <c:v>44404</c:v>
                </c:pt>
                <c:pt idx="474">
                  <c:v>44403</c:v>
                </c:pt>
                <c:pt idx="475">
                  <c:v>44400</c:v>
                </c:pt>
                <c:pt idx="476">
                  <c:v>44399</c:v>
                </c:pt>
                <c:pt idx="477">
                  <c:v>44398</c:v>
                </c:pt>
                <c:pt idx="478">
                  <c:v>44397</c:v>
                </c:pt>
              </c:numCache>
            </c:numRef>
          </c:cat>
          <c:val>
            <c:numRef>
              <c:f>'Paridad usd'!$Y$2:$Y$480</c:f>
              <c:numCache>
                <c:formatCode>0.00%</c:formatCode>
                <c:ptCount val="479"/>
                <c:pt idx="0">
                  <c:v>-6.2529526233705002E-2</c:v>
                </c:pt>
                <c:pt idx="1">
                  <c:v>-6.5700889940914498E-2</c:v>
                </c:pt>
                <c:pt idx="2">
                  <c:v>-8.3013623906987577E-2</c:v>
                </c:pt>
                <c:pt idx="3">
                  <c:v>-7.9819927830923398E-2</c:v>
                </c:pt>
                <c:pt idx="4">
                  <c:v>-7.9168378953299534E-2</c:v>
                </c:pt>
                <c:pt idx="5">
                  <c:v>-8.3518767937269756E-2</c:v>
                </c:pt>
                <c:pt idx="6">
                  <c:v>-7.7530220545998674E-2</c:v>
                </c:pt>
                <c:pt idx="7">
                  <c:v>-7.803869160947785E-2</c:v>
                </c:pt>
                <c:pt idx="8">
                  <c:v>-8.0734571259705956E-2</c:v>
                </c:pt>
                <c:pt idx="9">
                  <c:v>-8.2840478722627675E-2</c:v>
                </c:pt>
                <c:pt idx="10">
                  <c:v>-8.4169176412585089E-2</c:v>
                </c:pt>
                <c:pt idx="11">
                  <c:v>-8.408928585015224E-2</c:v>
                </c:pt>
                <c:pt idx="12">
                  <c:v>-8.4277732093643976E-2</c:v>
                </c:pt>
                <c:pt idx="13">
                  <c:v>-9.5888570514622351E-2</c:v>
                </c:pt>
                <c:pt idx="14">
                  <c:v>-9.2645802157875851E-2</c:v>
                </c:pt>
                <c:pt idx="15">
                  <c:v>-9.0458149615234101E-2</c:v>
                </c:pt>
                <c:pt idx="16">
                  <c:v>-9.5078585055071468E-2</c:v>
                </c:pt>
                <c:pt idx="17">
                  <c:v>-0.1024406508453031</c:v>
                </c:pt>
                <c:pt idx="18">
                  <c:v>-0.10125521253205053</c:v>
                </c:pt>
                <c:pt idx="19">
                  <c:v>-0.10022330411940178</c:v>
                </c:pt>
                <c:pt idx="20">
                  <c:v>-0.10264878544195766</c:v>
                </c:pt>
                <c:pt idx="21">
                  <c:v>-9.7305562710349042E-2</c:v>
                </c:pt>
                <c:pt idx="22">
                  <c:v>-8.7696269226851087E-2</c:v>
                </c:pt>
                <c:pt idx="23">
                  <c:v>-8.8013722863619387E-2</c:v>
                </c:pt>
                <c:pt idx="24">
                  <c:v>-8.3127778080041598E-2</c:v>
                </c:pt>
                <c:pt idx="25">
                  <c:v>-7.8337746310376738E-2</c:v>
                </c:pt>
                <c:pt idx="26">
                  <c:v>-8.0743580340631588E-2</c:v>
                </c:pt>
                <c:pt idx="27">
                  <c:v>-8.1179959292468351E-2</c:v>
                </c:pt>
                <c:pt idx="28">
                  <c:v>-7.2653216097555678E-2</c:v>
                </c:pt>
                <c:pt idx="29">
                  <c:v>-7.7502250427930214E-2</c:v>
                </c:pt>
                <c:pt idx="30">
                  <c:v>-6.7554342118123251E-2</c:v>
                </c:pt>
                <c:pt idx="31">
                  <c:v>-6.6233964472373646E-2</c:v>
                </c:pt>
                <c:pt idx="32">
                  <c:v>-6.6767653190938497E-2</c:v>
                </c:pt>
                <c:pt idx="33">
                  <c:v>-5.9126877648896681E-2</c:v>
                </c:pt>
                <c:pt idx="34">
                  <c:v>-6.3041254630288812E-2</c:v>
                </c:pt>
                <c:pt idx="35">
                  <c:v>-7.1094451758629745E-2</c:v>
                </c:pt>
                <c:pt idx="36">
                  <c:v>-7.401890038832426E-2</c:v>
                </c:pt>
                <c:pt idx="37">
                  <c:v>-7.793290755798285E-2</c:v>
                </c:pt>
                <c:pt idx="38">
                  <c:v>-8.3933868865357614E-2</c:v>
                </c:pt>
                <c:pt idx="39">
                  <c:v>-8.0880519763866371E-2</c:v>
                </c:pt>
                <c:pt idx="40">
                  <c:v>-7.5978499799021548E-2</c:v>
                </c:pt>
                <c:pt idx="41">
                  <c:v>-7.4825398317456937E-2</c:v>
                </c:pt>
                <c:pt idx="42">
                  <c:v>-7.4162856362020468E-2</c:v>
                </c:pt>
                <c:pt idx="43">
                  <c:v>-7.1407918550948357E-2</c:v>
                </c:pt>
                <c:pt idx="44">
                  <c:v>-6.755954462401173E-2</c:v>
                </c:pt>
                <c:pt idx="45">
                  <c:v>-6.32283053630672E-2</c:v>
                </c:pt>
                <c:pt idx="46">
                  <c:v>-6.7302024065702737E-2</c:v>
                </c:pt>
                <c:pt idx="47">
                  <c:v>-6.5540267041739986E-2</c:v>
                </c:pt>
                <c:pt idx="48">
                  <c:v>-6.5126990709756666E-2</c:v>
                </c:pt>
                <c:pt idx="49">
                  <c:v>-7.2496155519897854E-2</c:v>
                </c:pt>
                <c:pt idx="50">
                  <c:v>-6.085569041990882E-2</c:v>
                </c:pt>
                <c:pt idx="51">
                  <c:v>-6.6496751812006927E-2</c:v>
                </c:pt>
                <c:pt idx="52">
                  <c:v>-5.7378584520986459E-2</c:v>
                </c:pt>
                <c:pt idx="53">
                  <c:v>-5.6243516562064222E-2</c:v>
                </c:pt>
                <c:pt idx="54">
                  <c:v>-5.0495740680642914E-2</c:v>
                </c:pt>
                <c:pt idx="55">
                  <c:v>-5.2204254931748073E-2</c:v>
                </c:pt>
                <c:pt idx="56">
                  <c:v>-5.3166030717538976E-2</c:v>
                </c:pt>
                <c:pt idx="57">
                  <c:v>-5.4702279125950631E-2</c:v>
                </c:pt>
                <c:pt idx="58">
                  <c:v>-5.1939441758300314E-2</c:v>
                </c:pt>
                <c:pt idx="59">
                  <c:v>-6.0998568463337677E-2</c:v>
                </c:pt>
                <c:pt idx="60">
                  <c:v>-6.1567627881306597E-2</c:v>
                </c:pt>
                <c:pt idx="61">
                  <c:v>-6.0297799918823919E-2</c:v>
                </c:pt>
                <c:pt idx="62">
                  <c:v>-4.9702228550281558E-2</c:v>
                </c:pt>
                <c:pt idx="63">
                  <c:v>-5.0921774530870101E-2</c:v>
                </c:pt>
                <c:pt idx="64">
                  <c:v>-5.0084062997048789E-2</c:v>
                </c:pt>
                <c:pt idx="65">
                  <c:v>-5.2378936744071763E-2</c:v>
                </c:pt>
                <c:pt idx="66">
                  <c:v>-4.430334813279721E-2</c:v>
                </c:pt>
                <c:pt idx="67">
                  <c:v>-4.1731344497922679E-2</c:v>
                </c:pt>
                <c:pt idx="68">
                  <c:v>-4.6359005876980913E-2</c:v>
                </c:pt>
                <c:pt idx="69">
                  <c:v>-5.2865756916236434E-2</c:v>
                </c:pt>
                <c:pt idx="70">
                  <c:v>-5.3572768478058141E-2</c:v>
                </c:pt>
                <c:pt idx="71">
                  <c:v>-5.2417769493911054E-2</c:v>
                </c:pt>
                <c:pt idx="72">
                  <c:v>-5.2427954703359481E-2</c:v>
                </c:pt>
                <c:pt idx="73">
                  <c:v>-5.4142148423406977E-2</c:v>
                </c:pt>
                <c:pt idx="74">
                  <c:v>-5.3488953700333686E-2</c:v>
                </c:pt>
                <c:pt idx="75">
                  <c:v>-5.216555962766023E-2</c:v>
                </c:pt>
                <c:pt idx="76">
                  <c:v>-5.048409356910194E-2</c:v>
                </c:pt>
                <c:pt idx="77">
                  <c:v>-5.3303190074944079E-2</c:v>
                </c:pt>
                <c:pt idx="78">
                  <c:v>-5.0846801175739365E-2</c:v>
                </c:pt>
                <c:pt idx="79">
                  <c:v>-4.9885665848836247E-2</c:v>
                </c:pt>
                <c:pt idx="80">
                  <c:v>-5.1576618388017359E-2</c:v>
                </c:pt>
                <c:pt idx="81">
                  <c:v>-4.8012002006608434E-2</c:v>
                </c:pt>
                <c:pt idx="82">
                  <c:v>-4.7786057146311123E-2</c:v>
                </c:pt>
                <c:pt idx="83">
                  <c:v>-4.4557030584822799E-2</c:v>
                </c:pt>
                <c:pt idx="84">
                  <c:v>-4.7793358620360715E-2</c:v>
                </c:pt>
                <c:pt idx="85">
                  <c:v>-4.9163936044807122E-2</c:v>
                </c:pt>
                <c:pt idx="86">
                  <c:v>-4.7120558523067124E-2</c:v>
                </c:pt>
                <c:pt idx="87">
                  <c:v>-5.0331806448398464E-2</c:v>
                </c:pt>
                <c:pt idx="88">
                  <c:v>-5.0489691565811456E-2</c:v>
                </c:pt>
                <c:pt idx="89">
                  <c:v>-5.3734281217849733E-2</c:v>
                </c:pt>
                <c:pt idx="90">
                  <c:v>-4.5644277705320535E-2</c:v>
                </c:pt>
                <c:pt idx="91">
                  <c:v>-4.6889645559406223E-2</c:v>
                </c:pt>
                <c:pt idx="92">
                  <c:v>-5.0071038083393138E-2</c:v>
                </c:pt>
                <c:pt idx="93">
                  <c:v>-5.0123148358851011E-2</c:v>
                </c:pt>
                <c:pt idx="94">
                  <c:v>-5.0192428377035359E-2</c:v>
                </c:pt>
                <c:pt idx="95">
                  <c:v>-4.7368462400059097E-2</c:v>
                </c:pt>
                <c:pt idx="96">
                  <c:v>-4.8035963903922452E-2</c:v>
                </c:pt>
                <c:pt idx="97">
                  <c:v>-5.1187859806817559E-2</c:v>
                </c:pt>
                <c:pt idx="98">
                  <c:v>-5.2973244976268985E-2</c:v>
                </c:pt>
                <c:pt idx="99">
                  <c:v>-4.8987232062846053E-2</c:v>
                </c:pt>
                <c:pt idx="100">
                  <c:v>-5.3236925658936562E-2</c:v>
                </c:pt>
                <c:pt idx="101">
                  <c:v>-4.4372220117562478E-2</c:v>
                </c:pt>
                <c:pt idx="102">
                  <c:v>-4.3167647872360271E-2</c:v>
                </c:pt>
                <c:pt idx="103">
                  <c:v>-4.1733503975320996E-2</c:v>
                </c:pt>
                <c:pt idx="104">
                  <c:v>-3.7266856741611398E-2</c:v>
                </c:pt>
                <c:pt idx="105">
                  <c:v>-4.4193857736201769E-2</c:v>
                </c:pt>
                <c:pt idx="106">
                  <c:v>-4.1504034140823987E-2</c:v>
                </c:pt>
                <c:pt idx="107">
                  <c:v>-4.2108872311142909E-2</c:v>
                </c:pt>
                <c:pt idx="108">
                  <c:v>-4.7286753706068552E-2</c:v>
                </c:pt>
                <c:pt idx="109">
                  <c:v>-5.0287802285708116E-2</c:v>
                </c:pt>
                <c:pt idx="110">
                  <c:v>-4.8902887430048392E-2</c:v>
                </c:pt>
                <c:pt idx="111">
                  <c:v>-5.3114154920327727E-2</c:v>
                </c:pt>
                <c:pt idx="112">
                  <c:v>-5.4204454584440454E-2</c:v>
                </c:pt>
                <c:pt idx="113">
                  <c:v>-5.1745265962908515E-2</c:v>
                </c:pt>
                <c:pt idx="114">
                  <c:v>-5.7109362508972583E-2</c:v>
                </c:pt>
                <c:pt idx="115">
                  <c:v>-6.2731435995883544E-2</c:v>
                </c:pt>
                <c:pt idx="116">
                  <c:v>-6.6132302639941243E-2</c:v>
                </c:pt>
                <c:pt idx="117">
                  <c:v>-6.9866041079326924E-2</c:v>
                </c:pt>
                <c:pt idx="118">
                  <c:v>-7.338311493080818E-2</c:v>
                </c:pt>
                <c:pt idx="119">
                  <c:v>-7.1684143695256719E-2</c:v>
                </c:pt>
                <c:pt idx="120">
                  <c:v>-7.5954277060667985E-2</c:v>
                </c:pt>
                <c:pt idx="121">
                  <c:v>-8.0816764777544348E-2</c:v>
                </c:pt>
                <c:pt idx="122">
                  <c:v>-0.1058123652557052</c:v>
                </c:pt>
                <c:pt idx="123">
                  <c:v>-0.10558249088683183</c:v>
                </c:pt>
                <c:pt idx="124">
                  <c:v>-0.11676515253076927</c:v>
                </c:pt>
                <c:pt idx="125">
                  <c:v>-0.11958736965549477</c:v>
                </c:pt>
                <c:pt idx="126">
                  <c:v>-0.11214037040266456</c:v>
                </c:pt>
                <c:pt idx="127">
                  <c:v>-0.10289983212819373</c:v>
                </c:pt>
                <c:pt idx="128">
                  <c:v>-0.10194975870971118</c:v>
                </c:pt>
                <c:pt idx="129">
                  <c:v>-9.8084355906570081E-2</c:v>
                </c:pt>
                <c:pt idx="130">
                  <c:v>-9.2297902762739054E-2</c:v>
                </c:pt>
                <c:pt idx="131">
                  <c:v>-9.4578527013068486E-2</c:v>
                </c:pt>
                <c:pt idx="132">
                  <c:v>-9.2175515805435537E-2</c:v>
                </c:pt>
                <c:pt idx="133">
                  <c:v>-8.9832849035862555E-2</c:v>
                </c:pt>
                <c:pt idx="134">
                  <c:v>-8.9736257120031332E-2</c:v>
                </c:pt>
                <c:pt idx="135">
                  <c:v>-8.7482339938368625E-2</c:v>
                </c:pt>
                <c:pt idx="136">
                  <c:v>-8.552824671104145E-2</c:v>
                </c:pt>
                <c:pt idx="137">
                  <c:v>-8.9140313500298468E-2</c:v>
                </c:pt>
                <c:pt idx="138">
                  <c:v>-8.7483137922460569E-2</c:v>
                </c:pt>
                <c:pt idx="139">
                  <c:v>-8.5085204106265078E-2</c:v>
                </c:pt>
                <c:pt idx="140">
                  <c:v>-8.407488799934057E-2</c:v>
                </c:pt>
                <c:pt idx="141">
                  <c:v>-7.7380252332537619E-2</c:v>
                </c:pt>
                <c:pt idx="142">
                  <c:v>-7.9145141462602847E-2</c:v>
                </c:pt>
                <c:pt idx="143">
                  <c:v>-8.1636304599242565E-2</c:v>
                </c:pt>
                <c:pt idx="144">
                  <c:v>-7.7651578387179176E-2</c:v>
                </c:pt>
                <c:pt idx="145">
                  <c:v>-7.6688497077450346E-2</c:v>
                </c:pt>
                <c:pt idx="146">
                  <c:v>-7.7643980879738617E-2</c:v>
                </c:pt>
                <c:pt idx="147">
                  <c:v>-7.6969688508601808E-2</c:v>
                </c:pt>
                <c:pt idx="148">
                  <c:v>-8.4873769514099529E-2</c:v>
                </c:pt>
                <c:pt idx="149">
                  <c:v>-8.0927329757397914E-2</c:v>
                </c:pt>
                <c:pt idx="150">
                  <c:v>-7.5483934925918955E-2</c:v>
                </c:pt>
                <c:pt idx="151">
                  <c:v>-8.0293056612862707E-2</c:v>
                </c:pt>
                <c:pt idx="152">
                  <c:v>-7.7814050357068759E-2</c:v>
                </c:pt>
                <c:pt idx="153">
                  <c:v>-7.9619660718184077E-2</c:v>
                </c:pt>
                <c:pt idx="154">
                  <c:v>-7.0184876862971951E-2</c:v>
                </c:pt>
                <c:pt idx="155">
                  <c:v>-7.4772340683623456E-2</c:v>
                </c:pt>
                <c:pt idx="156">
                  <c:v>-7.8986794778972608E-2</c:v>
                </c:pt>
                <c:pt idx="157">
                  <c:v>-7.6019566771480113E-2</c:v>
                </c:pt>
                <c:pt idx="158">
                  <c:v>-7.3536190958973069E-2</c:v>
                </c:pt>
                <c:pt idx="159">
                  <c:v>-7.4311645794128051E-2</c:v>
                </c:pt>
                <c:pt idx="160">
                  <c:v>-7.3996650353022803E-2</c:v>
                </c:pt>
                <c:pt idx="161">
                  <c:v>-6.9590331554171991E-2</c:v>
                </c:pt>
                <c:pt idx="162">
                  <c:v>-7.1975781338503103E-2</c:v>
                </c:pt>
                <c:pt idx="163">
                  <c:v>-7.156371870298861E-2</c:v>
                </c:pt>
                <c:pt idx="164">
                  <c:v>-7.2372488686877068E-2</c:v>
                </c:pt>
                <c:pt idx="165">
                  <c:v>-7.0247367144637279E-2</c:v>
                </c:pt>
                <c:pt idx="166">
                  <c:v>-6.6617349347815769E-2</c:v>
                </c:pt>
                <c:pt idx="167">
                  <c:v>-6.7828205410730702E-2</c:v>
                </c:pt>
                <c:pt idx="168">
                  <c:v>-6.4492880405851161E-2</c:v>
                </c:pt>
                <c:pt idx="169">
                  <c:v>-6.4417751591173855E-2</c:v>
                </c:pt>
                <c:pt idx="170">
                  <c:v>-6.6986443884439223E-2</c:v>
                </c:pt>
                <c:pt idx="171">
                  <c:v>-6.2025117647021927E-2</c:v>
                </c:pt>
                <c:pt idx="172">
                  <c:v>-5.9123077731667029E-2</c:v>
                </c:pt>
                <c:pt idx="173">
                  <c:v>-5.9140109681181108E-2</c:v>
                </c:pt>
                <c:pt idx="174">
                  <c:v>-5.7050256197985566E-2</c:v>
                </c:pt>
                <c:pt idx="175">
                  <c:v>-5.7800463422397835E-2</c:v>
                </c:pt>
                <c:pt idx="176">
                  <c:v>-5.8017432943032604E-2</c:v>
                </c:pt>
                <c:pt idx="177">
                  <c:v>-5.7584379760339005E-2</c:v>
                </c:pt>
                <c:pt idx="178">
                  <c:v>-5.695248734774383E-2</c:v>
                </c:pt>
                <c:pt idx="179">
                  <c:v>-5.4909979978582435E-2</c:v>
                </c:pt>
                <c:pt idx="180">
                  <c:v>-5.885416887431652E-2</c:v>
                </c:pt>
                <c:pt idx="181">
                  <c:v>-5.9141942799166486E-2</c:v>
                </c:pt>
                <c:pt idx="182">
                  <c:v>-5.7436281595904387E-2</c:v>
                </c:pt>
                <c:pt idx="183">
                  <c:v>-6.5254217114638913E-2</c:v>
                </c:pt>
                <c:pt idx="184">
                  <c:v>-6.4058333779388132E-2</c:v>
                </c:pt>
                <c:pt idx="185">
                  <c:v>-5.9614648364310019E-2</c:v>
                </c:pt>
                <c:pt idx="186">
                  <c:v>-6.1483064947088467E-2</c:v>
                </c:pt>
                <c:pt idx="187">
                  <c:v>-5.9341384295071575E-2</c:v>
                </c:pt>
                <c:pt idx="188">
                  <c:v>-5.9147975728337548E-2</c:v>
                </c:pt>
                <c:pt idx="189">
                  <c:v>-5.9902075132152927E-2</c:v>
                </c:pt>
                <c:pt idx="190">
                  <c:v>-6.5712979377921643E-2</c:v>
                </c:pt>
                <c:pt idx="191">
                  <c:v>-6.1082497608114517E-2</c:v>
                </c:pt>
                <c:pt idx="192">
                  <c:v>-5.5477166396515204E-2</c:v>
                </c:pt>
                <c:pt idx="193">
                  <c:v>-5.8396771784210821E-2</c:v>
                </c:pt>
                <c:pt idx="194">
                  <c:v>-5.7300931322343096E-2</c:v>
                </c:pt>
                <c:pt idx="195">
                  <c:v>-5.3485638865712171E-2</c:v>
                </c:pt>
                <c:pt idx="196">
                  <c:v>-5.2747967115454042E-2</c:v>
                </c:pt>
                <c:pt idx="197">
                  <c:v>-5.3093843648453237E-2</c:v>
                </c:pt>
                <c:pt idx="198">
                  <c:v>-5.710190711427568E-2</c:v>
                </c:pt>
                <c:pt idx="199">
                  <c:v>-5.9621083359088778E-2</c:v>
                </c:pt>
                <c:pt idx="200">
                  <c:v>-5.9000124366680784E-2</c:v>
                </c:pt>
                <c:pt idx="201">
                  <c:v>-5.7292803998530484E-2</c:v>
                </c:pt>
                <c:pt idx="202">
                  <c:v>-5.6722685191883893E-2</c:v>
                </c:pt>
                <c:pt idx="203">
                  <c:v>-5.7546862267305904E-2</c:v>
                </c:pt>
                <c:pt idx="204">
                  <c:v>-5.5880152204359795E-2</c:v>
                </c:pt>
                <c:pt idx="205">
                  <c:v>-5.9473883074273537E-2</c:v>
                </c:pt>
                <c:pt idx="206">
                  <c:v>-5.8677505681732106E-2</c:v>
                </c:pt>
                <c:pt idx="207">
                  <c:v>-6.1554666210645897E-2</c:v>
                </c:pt>
                <c:pt idx="208">
                  <c:v>-6.1099817758281938E-2</c:v>
                </c:pt>
                <c:pt idx="209">
                  <c:v>-6.3036273224411521E-2</c:v>
                </c:pt>
                <c:pt idx="210">
                  <c:v>-6.0771545729451565E-2</c:v>
                </c:pt>
                <c:pt idx="211">
                  <c:v>-6.1054337264660974E-2</c:v>
                </c:pt>
                <c:pt idx="212">
                  <c:v>-5.6417353226646316E-2</c:v>
                </c:pt>
                <c:pt idx="213">
                  <c:v>-5.790404237497998E-2</c:v>
                </c:pt>
                <c:pt idx="214">
                  <c:v>-5.4973331376063472E-2</c:v>
                </c:pt>
                <c:pt idx="215">
                  <c:v>-5.6523947408517766E-2</c:v>
                </c:pt>
                <c:pt idx="216">
                  <c:v>-5.6674639553414424E-2</c:v>
                </c:pt>
                <c:pt idx="217">
                  <c:v>-5.5104068151250823E-2</c:v>
                </c:pt>
                <c:pt idx="218">
                  <c:v>-5.9023615239626043E-2</c:v>
                </c:pt>
                <c:pt idx="219">
                  <c:v>-6.1110548019361638E-2</c:v>
                </c:pt>
                <c:pt idx="220">
                  <c:v>-6.069343951426015E-2</c:v>
                </c:pt>
                <c:pt idx="221">
                  <c:v>-5.8238491963725131E-2</c:v>
                </c:pt>
                <c:pt idx="222">
                  <c:v>-6.2171936374273512E-2</c:v>
                </c:pt>
                <c:pt idx="223">
                  <c:v>-5.9888890584824217E-2</c:v>
                </c:pt>
                <c:pt idx="224">
                  <c:v>-5.8245762541945356E-2</c:v>
                </c:pt>
                <c:pt idx="225">
                  <c:v>-5.6969860576694037E-2</c:v>
                </c:pt>
                <c:pt idx="226">
                  <c:v>-5.7109041471305938E-2</c:v>
                </c:pt>
                <c:pt idx="227">
                  <c:v>-5.9094652795782326E-2</c:v>
                </c:pt>
                <c:pt idx="228">
                  <c:v>-6.2031197431308832E-2</c:v>
                </c:pt>
                <c:pt idx="229">
                  <c:v>-6.2233169709893732E-2</c:v>
                </c:pt>
                <c:pt idx="230">
                  <c:v>-6.6417613147134069E-2</c:v>
                </c:pt>
                <c:pt idx="231">
                  <c:v>-5.9310151217624618E-2</c:v>
                </c:pt>
                <c:pt idx="232">
                  <c:v>-5.9762236689552023E-2</c:v>
                </c:pt>
                <c:pt idx="233">
                  <c:v>-6.0543023198227602E-2</c:v>
                </c:pt>
                <c:pt idx="234">
                  <c:v>-6.2982714797906042E-2</c:v>
                </c:pt>
                <c:pt idx="235">
                  <c:v>-5.8432402954391699E-2</c:v>
                </c:pt>
                <c:pt idx="236">
                  <c:v>-5.6793736449540805E-2</c:v>
                </c:pt>
                <c:pt idx="237">
                  <c:v>-5.6704183630043092E-2</c:v>
                </c:pt>
                <c:pt idx="238">
                  <c:v>-5.9052876219134881E-2</c:v>
                </c:pt>
                <c:pt idx="239">
                  <c:v>-6.0861093518764342E-2</c:v>
                </c:pt>
                <c:pt idx="240">
                  <c:v>-6.1232760686113608E-2</c:v>
                </c:pt>
                <c:pt idx="241">
                  <c:v>-6.2653023486230947E-2</c:v>
                </c:pt>
                <c:pt idx="242">
                  <c:v>-6.103343940236991E-2</c:v>
                </c:pt>
                <c:pt idx="243">
                  <c:v>-5.1309836896097305E-2</c:v>
                </c:pt>
                <c:pt idx="244">
                  <c:v>-5.0517228450771806E-2</c:v>
                </c:pt>
                <c:pt idx="245">
                  <c:v>-6.1316580518317815E-2</c:v>
                </c:pt>
                <c:pt idx="246">
                  <c:v>-5.9129103079147122E-2</c:v>
                </c:pt>
                <c:pt idx="247">
                  <c:v>-6.1846191057001898E-2</c:v>
                </c:pt>
                <c:pt idx="248">
                  <c:v>-5.9543612201527707E-2</c:v>
                </c:pt>
                <c:pt idx="249">
                  <c:v>-4.7354366603462567E-2</c:v>
                </c:pt>
                <c:pt idx="250">
                  <c:v>-5.8129820682811667E-2</c:v>
                </c:pt>
                <c:pt idx="251">
                  <c:v>-6.5712583415038023E-2</c:v>
                </c:pt>
                <c:pt idx="252">
                  <c:v>-6.4319071546194484E-2</c:v>
                </c:pt>
                <c:pt idx="253">
                  <c:v>-5.8935249792132383E-2</c:v>
                </c:pt>
                <c:pt idx="254">
                  <c:v>-5.8043138496965629E-2</c:v>
                </c:pt>
                <c:pt idx="255">
                  <c:v>-5.6349515875525308E-2</c:v>
                </c:pt>
                <c:pt idx="256">
                  <c:v>-6.0534287711097007E-2</c:v>
                </c:pt>
                <c:pt idx="257">
                  <c:v>-5.3552348370463299E-2</c:v>
                </c:pt>
                <c:pt idx="258">
                  <c:v>-4.9640253310278021E-2</c:v>
                </c:pt>
                <c:pt idx="259">
                  <c:v>-5.5140948723416516E-2</c:v>
                </c:pt>
                <c:pt idx="260">
                  <c:v>-6.0240408479316415E-2</c:v>
                </c:pt>
                <c:pt idx="261">
                  <c:v>-6.0250611202753712E-2</c:v>
                </c:pt>
                <c:pt idx="262">
                  <c:v>-6.2661714608663988E-2</c:v>
                </c:pt>
                <c:pt idx="263">
                  <c:v>-6.0363947145959829E-2</c:v>
                </c:pt>
                <c:pt idx="264">
                  <c:v>-6.3154753815238829E-2</c:v>
                </c:pt>
                <c:pt idx="265">
                  <c:v>-6.2356102375820399E-2</c:v>
                </c:pt>
                <c:pt idx="266">
                  <c:v>-5.8355593848074705E-2</c:v>
                </c:pt>
                <c:pt idx="267">
                  <c:v>-5.9452724464546136E-2</c:v>
                </c:pt>
                <c:pt idx="268">
                  <c:v>-5.9153426453289137E-2</c:v>
                </c:pt>
                <c:pt idx="269">
                  <c:v>-5.8641211185464504E-2</c:v>
                </c:pt>
                <c:pt idx="270">
                  <c:v>-5.4942867156369535E-2</c:v>
                </c:pt>
                <c:pt idx="271">
                  <c:v>-5.3533677748061892E-2</c:v>
                </c:pt>
                <c:pt idx="272">
                  <c:v>-5.4134645451738683E-2</c:v>
                </c:pt>
                <c:pt idx="273">
                  <c:v>-5.6023230527194712E-2</c:v>
                </c:pt>
                <c:pt idx="274">
                  <c:v>-5.4826900075848728E-2</c:v>
                </c:pt>
                <c:pt idx="275">
                  <c:v>-5.3222058689614049E-2</c:v>
                </c:pt>
                <c:pt idx="276">
                  <c:v>-5.3220850346364201E-2</c:v>
                </c:pt>
                <c:pt idx="277">
                  <c:v>-5.581332869944261E-2</c:v>
                </c:pt>
                <c:pt idx="278">
                  <c:v>-5.661639754095138E-2</c:v>
                </c:pt>
                <c:pt idx="279">
                  <c:v>-5.4020670468211185E-2</c:v>
                </c:pt>
                <c:pt idx="280">
                  <c:v>-5.440123775174377E-2</c:v>
                </c:pt>
                <c:pt idx="281">
                  <c:v>-5.50125534798655E-2</c:v>
                </c:pt>
                <c:pt idx="282">
                  <c:v>-5.3805476734513247E-2</c:v>
                </c:pt>
                <c:pt idx="283">
                  <c:v>-5.1512705259165237E-2</c:v>
                </c:pt>
                <c:pt idx="284">
                  <c:v>-4.701839009465042E-2</c:v>
                </c:pt>
                <c:pt idx="285">
                  <c:v>-4.8814223296068882E-2</c:v>
                </c:pt>
                <c:pt idx="286">
                  <c:v>-5.1901351226323666E-2</c:v>
                </c:pt>
                <c:pt idx="287">
                  <c:v>-5.1696600345621124E-2</c:v>
                </c:pt>
                <c:pt idx="288">
                  <c:v>-4.8499239113923509E-2</c:v>
                </c:pt>
                <c:pt idx="289">
                  <c:v>-4.6800671778731928E-2</c:v>
                </c:pt>
                <c:pt idx="290">
                  <c:v>-4.7896941521710701E-2</c:v>
                </c:pt>
                <c:pt idx="291">
                  <c:v>-4.63962378518194E-2</c:v>
                </c:pt>
                <c:pt idx="292">
                  <c:v>-4.5783432802933566E-2</c:v>
                </c:pt>
                <c:pt idx="293">
                  <c:v>-4.9886054118533363E-2</c:v>
                </c:pt>
                <c:pt idx="294">
                  <c:v>-4.829105913341869E-2</c:v>
                </c:pt>
                <c:pt idx="295">
                  <c:v>-4.1192869597063697E-2</c:v>
                </c:pt>
                <c:pt idx="296">
                  <c:v>-3.9593026835430867E-2</c:v>
                </c:pt>
                <c:pt idx="297">
                  <c:v>-3.7776228083304109E-2</c:v>
                </c:pt>
                <c:pt idx="298">
                  <c:v>-4.1468968207407308E-2</c:v>
                </c:pt>
                <c:pt idx="299">
                  <c:v>-4.2366929794698804E-2</c:v>
                </c:pt>
                <c:pt idx="300">
                  <c:v>-4.0659122529729419E-2</c:v>
                </c:pt>
                <c:pt idx="301">
                  <c:v>-3.4863560051966669E-2</c:v>
                </c:pt>
                <c:pt idx="302">
                  <c:v>-3.4562176266257905E-2</c:v>
                </c:pt>
                <c:pt idx="303">
                  <c:v>-3.8859401097551927E-2</c:v>
                </c:pt>
                <c:pt idx="304">
                  <c:v>-3.9759266700596374E-2</c:v>
                </c:pt>
                <c:pt idx="305">
                  <c:v>-3.8247606022463965E-2</c:v>
                </c:pt>
                <c:pt idx="306">
                  <c:v>-4.2141930242033721E-2</c:v>
                </c:pt>
                <c:pt idx="307">
                  <c:v>-4.2937251147873723E-2</c:v>
                </c:pt>
                <c:pt idx="308">
                  <c:v>-4.2031858296359303E-2</c:v>
                </c:pt>
                <c:pt idx="309">
                  <c:v>-4.8422576573559528E-2</c:v>
                </c:pt>
                <c:pt idx="310">
                  <c:v>-4.0711618171781483E-2</c:v>
                </c:pt>
                <c:pt idx="311">
                  <c:v>-4.6699239276094984E-2</c:v>
                </c:pt>
                <c:pt idx="312">
                  <c:v>-4.6699838157312101E-2</c:v>
                </c:pt>
                <c:pt idx="313">
                  <c:v>-4.6699980418130116E-2</c:v>
                </c:pt>
                <c:pt idx="314">
                  <c:v>-4.6990563807559116E-2</c:v>
                </c:pt>
                <c:pt idx="315">
                  <c:v>-4.4092761689832505E-2</c:v>
                </c:pt>
                <c:pt idx="316">
                  <c:v>-3.9990950000652281E-2</c:v>
                </c:pt>
                <c:pt idx="317">
                  <c:v>-4.168654780576303E-2</c:v>
                </c:pt>
                <c:pt idx="318">
                  <c:v>-4.2985169636425125E-2</c:v>
                </c:pt>
                <c:pt idx="319">
                  <c:v>-5.0074390268993019E-2</c:v>
                </c:pt>
                <c:pt idx="320">
                  <c:v>-5.1970836254035813E-2</c:v>
                </c:pt>
                <c:pt idx="321">
                  <c:v>-4.5166519599163901E-2</c:v>
                </c:pt>
                <c:pt idx="322">
                  <c:v>-3.9859573585081631E-2</c:v>
                </c:pt>
                <c:pt idx="323">
                  <c:v>-4.9054269007130225E-2</c:v>
                </c:pt>
                <c:pt idx="324">
                  <c:v>-5.594831821648788E-2</c:v>
                </c:pt>
                <c:pt idx="325">
                  <c:v>-5.4950651927288707E-2</c:v>
                </c:pt>
                <c:pt idx="326">
                  <c:v>-4.9248186463399679E-2</c:v>
                </c:pt>
                <c:pt idx="327">
                  <c:v>-5.553607206345329E-2</c:v>
                </c:pt>
                <c:pt idx="328">
                  <c:v>-5.2133525951620019E-2</c:v>
                </c:pt>
                <c:pt idx="329">
                  <c:v>-5.6031872514983982E-2</c:v>
                </c:pt>
                <c:pt idx="330">
                  <c:v>-5.8029772298332172E-2</c:v>
                </c:pt>
                <c:pt idx="331">
                  <c:v>-5.1228841785796675E-2</c:v>
                </c:pt>
                <c:pt idx="332">
                  <c:v>-5.1119503352404339E-2</c:v>
                </c:pt>
                <c:pt idx="333">
                  <c:v>-4.7214596130169206E-2</c:v>
                </c:pt>
                <c:pt idx="334">
                  <c:v>-4.5313038446459009E-2</c:v>
                </c:pt>
                <c:pt idx="335">
                  <c:v>-4.3009331394245898E-2</c:v>
                </c:pt>
                <c:pt idx="336">
                  <c:v>-4.1605220279844146E-2</c:v>
                </c:pt>
                <c:pt idx="337">
                  <c:v>-4.3096287567291947E-2</c:v>
                </c:pt>
                <c:pt idx="338">
                  <c:v>-4.3094390044831177E-2</c:v>
                </c:pt>
                <c:pt idx="339">
                  <c:v>-4.2992853225259198E-2</c:v>
                </c:pt>
                <c:pt idx="340">
                  <c:v>-3.4091389969862052E-2</c:v>
                </c:pt>
                <c:pt idx="341">
                  <c:v>-3.3088146703884824E-2</c:v>
                </c:pt>
                <c:pt idx="342">
                  <c:v>-3.7576762578403089E-2</c:v>
                </c:pt>
                <c:pt idx="343">
                  <c:v>-3.8076464438178415E-2</c:v>
                </c:pt>
                <c:pt idx="344">
                  <c:v>-3.6575502229920065E-2</c:v>
                </c:pt>
                <c:pt idx="345">
                  <c:v>-3.7072081992894523E-2</c:v>
                </c:pt>
                <c:pt idx="346">
                  <c:v>-4.9867691175825402E-2</c:v>
                </c:pt>
                <c:pt idx="347">
                  <c:v>-5.1656629331372772E-2</c:v>
                </c:pt>
                <c:pt idx="348">
                  <c:v>-4.0350519432058696E-2</c:v>
                </c:pt>
                <c:pt idx="349">
                  <c:v>-3.7349023236861789E-2</c:v>
                </c:pt>
                <c:pt idx="350">
                  <c:v>-3.7244420259481825E-2</c:v>
                </c:pt>
                <c:pt idx="351">
                  <c:v>-3.9440823002433678E-2</c:v>
                </c:pt>
                <c:pt idx="352">
                  <c:v>-3.999878623587011E-2</c:v>
                </c:pt>
                <c:pt idx="353">
                  <c:v>-3.9698129248896652E-2</c:v>
                </c:pt>
                <c:pt idx="354">
                  <c:v>-3.5668394945845061E-2</c:v>
                </c:pt>
                <c:pt idx="355">
                  <c:v>-3.7675271833778778E-2</c:v>
                </c:pt>
                <c:pt idx="356">
                  <c:v>-3.7368686521649208E-2</c:v>
                </c:pt>
                <c:pt idx="357">
                  <c:v>-3.9959824457707405E-2</c:v>
                </c:pt>
                <c:pt idx="358">
                  <c:v>-4.0311693689351891E-2</c:v>
                </c:pt>
                <c:pt idx="359">
                  <c:v>-3.7808894732594689E-2</c:v>
                </c:pt>
                <c:pt idx="360">
                  <c:v>-3.7005972391261521E-2</c:v>
                </c:pt>
                <c:pt idx="361">
                  <c:v>-3.7003017069889621E-2</c:v>
                </c:pt>
                <c:pt idx="362">
                  <c:v>-4.8333541594653473E-2</c:v>
                </c:pt>
                <c:pt idx="363">
                  <c:v>-5.1341552581539551E-2</c:v>
                </c:pt>
                <c:pt idx="364">
                  <c:v>-4.6565310114909109E-2</c:v>
                </c:pt>
                <c:pt idx="365">
                  <c:v>-4.4073794893141116E-2</c:v>
                </c:pt>
                <c:pt idx="366">
                  <c:v>-4.4574852857020231E-2</c:v>
                </c:pt>
                <c:pt idx="367">
                  <c:v>-4.8554245442092192E-2</c:v>
                </c:pt>
                <c:pt idx="368">
                  <c:v>-4.7460759195325108E-2</c:v>
                </c:pt>
                <c:pt idx="369">
                  <c:v>-4.0266875918304967E-2</c:v>
                </c:pt>
                <c:pt idx="370">
                  <c:v>-4.3551148367213854E-2</c:v>
                </c:pt>
                <c:pt idx="371">
                  <c:v>-4.0524611190373927E-2</c:v>
                </c:pt>
                <c:pt idx="372">
                  <c:v>-3.9525448485316916E-2</c:v>
                </c:pt>
                <c:pt idx="373">
                  <c:v>-3.9015813025662427E-2</c:v>
                </c:pt>
                <c:pt idx="374">
                  <c:v>-3.9612359146531995E-2</c:v>
                </c:pt>
                <c:pt idx="375">
                  <c:v>-4.3705372794181907E-2</c:v>
                </c:pt>
                <c:pt idx="376">
                  <c:v>-4.4318963312866833E-2</c:v>
                </c:pt>
                <c:pt idx="377">
                  <c:v>-4.2416600046080943E-2</c:v>
                </c:pt>
                <c:pt idx="378">
                  <c:v>-4.1011526948261101E-2</c:v>
                </c:pt>
                <c:pt idx="379">
                  <c:v>-4.051017579942251E-2</c:v>
                </c:pt>
                <c:pt idx="380">
                  <c:v>-4.3905131455563184E-2</c:v>
                </c:pt>
                <c:pt idx="381">
                  <c:v>-4.4511580026358188E-2</c:v>
                </c:pt>
                <c:pt idx="382">
                  <c:v>-3.7511623314809561E-2</c:v>
                </c:pt>
                <c:pt idx="383">
                  <c:v>-3.2692416476755914E-2</c:v>
                </c:pt>
                <c:pt idx="384">
                  <c:v>-4.6963948957342905E-2</c:v>
                </c:pt>
                <c:pt idx="385">
                  <c:v>-4.6543644345492019E-2</c:v>
                </c:pt>
                <c:pt idx="386">
                  <c:v>-3.4452711852923368E-2</c:v>
                </c:pt>
                <c:pt idx="387">
                  <c:v>-4.20124981762382E-2</c:v>
                </c:pt>
                <c:pt idx="388">
                  <c:v>-3.3824939701917245E-2</c:v>
                </c:pt>
                <c:pt idx="389">
                  <c:v>-3.9401022962402499E-2</c:v>
                </c:pt>
                <c:pt idx="390">
                  <c:v>-3.6408853460509594E-2</c:v>
                </c:pt>
                <c:pt idx="391">
                  <c:v>-3.3910636350762469E-2</c:v>
                </c:pt>
                <c:pt idx="392">
                  <c:v>-3.4208510188988239E-2</c:v>
                </c:pt>
                <c:pt idx="393">
                  <c:v>-3.8910558390601535E-2</c:v>
                </c:pt>
                <c:pt idx="394">
                  <c:v>-4.0804049274544785E-2</c:v>
                </c:pt>
                <c:pt idx="395">
                  <c:v>-3.3722442372261907E-2</c:v>
                </c:pt>
                <c:pt idx="396">
                  <c:v>-3.2923312414241124E-2</c:v>
                </c:pt>
                <c:pt idx="397">
                  <c:v>-2.5054496706263196E-2</c:v>
                </c:pt>
                <c:pt idx="398">
                  <c:v>-2.3352821382774225E-2</c:v>
                </c:pt>
                <c:pt idx="399">
                  <c:v>-2.6948720143071758E-2</c:v>
                </c:pt>
                <c:pt idx="400">
                  <c:v>-2.7744417183342307E-2</c:v>
                </c:pt>
                <c:pt idx="401">
                  <c:v>-2.8341092652138855E-2</c:v>
                </c:pt>
                <c:pt idx="402">
                  <c:v>-2.6039475379517563E-2</c:v>
                </c:pt>
                <c:pt idx="403">
                  <c:v>-2.7226494022225711E-2</c:v>
                </c:pt>
                <c:pt idx="404">
                  <c:v>-2.7421021804305667E-2</c:v>
                </c:pt>
                <c:pt idx="405">
                  <c:v>-2.3617543521456286E-2</c:v>
                </c:pt>
                <c:pt idx="406">
                  <c:v>-2.4015131496754494E-2</c:v>
                </c:pt>
                <c:pt idx="407">
                  <c:v>-2.2811678603217256E-2</c:v>
                </c:pt>
                <c:pt idx="408">
                  <c:v>-2.0402339671012293E-2</c:v>
                </c:pt>
                <c:pt idx="409">
                  <c:v>-1.6201716140421485E-2</c:v>
                </c:pt>
                <c:pt idx="410">
                  <c:v>-1.4699232827044273E-2</c:v>
                </c:pt>
                <c:pt idx="411">
                  <c:v>-1.4095945942800336E-2</c:v>
                </c:pt>
                <c:pt idx="412">
                  <c:v>-1.1693096778790601E-2</c:v>
                </c:pt>
                <c:pt idx="413">
                  <c:v>-9.6823777034293901E-3</c:v>
                </c:pt>
                <c:pt idx="414">
                  <c:v>-9.3791693229220985E-3</c:v>
                </c:pt>
                <c:pt idx="415">
                  <c:v>-9.4753890328816981E-3</c:v>
                </c:pt>
                <c:pt idx="416">
                  <c:v>-1.2170598835730573E-2</c:v>
                </c:pt>
                <c:pt idx="417">
                  <c:v>-1.4866349028496817E-2</c:v>
                </c:pt>
                <c:pt idx="418">
                  <c:v>-1.0658101124150166E-2</c:v>
                </c:pt>
                <c:pt idx="419">
                  <c:v>-9.6557801441528035E-3</c:v>
                </c:pt>
                <c:pt idx="420">
                  <c:v>-1.4251000413224801E-2</c:v>
                </c:pt>
                <c:pt idx="421">
                  <c:v>-2.2645202839115974E-2</c:v>
                </c:pt>
                <c:pt idx="422">
                  <c:v>-8.933315126582797E-3</c:v>
                </c:pt>
                <c:pt idx="423">
                  <c:v>-1.0029190828238221E-2</c:v>
                </c:pt>
                <c:pt idx="424">
                  <c:v>-1.3427271835609322E-2</c:v>
                </c:pt>
                <c:pt idx="425">
                  <c:v>-9.6262967903913421E-3</c:v>
                </c:pt>
                <c:pt idx="426">
                  <c:v>-1.0515750576477301E-2</c:v>
                </c:pt>
                <c:pt idx="427">
                  <c:v>-9.1135869909275136E-3</c:v>
                </c:pt>
                <c:pt idx="428">
                  <c:v>-1.0010486912000849E-2</c:v>
                </c:pt>
                <c:pt idx="429">
                  <c:v>-8.1063185356978762E-3</c:v>
                </c:pt>
                <c:pt idx="430">
                  <c:v>-6.3036916803952958E-3</c:v>
                </c:pt>
                <c:pt idx="431">
                  <c:v>-1.9519053353223015E-4</c:v>
                </c:pt>
                <c:pt idx="432">
                  <c:v>-3.8925825706480066E-3</c:v>
                </c:pt>
                <c:pt idx="433">
                  <c:v>-6.9883265036886355E-3</c:v>
                </c:pt>
                <c:pt idx="434">
                  <c:v>-1.0084233141377019E-2</c:v>
                </c:pt>
                <c:pt idx="435">
                  <c:v>-7.6818957098886975E-3</c:v>
                </c:pt>
                <c:pt idx="436">
                  <c:v>-1.1271042392511033E-2</c:v>
                </c:pt>
                <c:pt idx="437">
                  <c:v>-1.3467221678766017E-2</c:v>
                </c:pt>
                <c:pt idx="438">
                  <c:v>-1.3163283731973563E-2</c:v>
                </c:pt>
                <c:pt idx="439">
                  <c:v>-1.1560539754411792E-2</c:v>
                </c:pt>
                <c:pt idx="440">
                  <c:v>-1.2457535855517565E-2</c:v>
                </c:pt>
                <c:pt idx="441">
                  <c:v>-9.4416403080898603E-3</c:v>
                </c:pt>
                <c:pt idx="442">
                  <c:v>-1.1837681148975099E-2</c:v>
                </c:pt>
                <c:pt idx="443">
                  <c:v>-1.3833746924814538E-2</c:v>
                </c:pt>
                <c:pt idx="444">
                  <c:v>-1.8729281821293797E-2</c:v>
                </c:pt>
                <c:pt idx="445">
                  <c:v>-1.8624939570882348E-2</c:v>
                </c:pt>
                <c:pt idx="446">
                  <c:v>-1.6513111025779625E-2</c:v>
                </c:pt>
                <c:pt idx="447">
                  <c:v>-1.9607822042542411E-2</c:v>
                </c:pt>
                <c:pt idx="448">
                  <c:v>-1.8401054042378961E-2</c:v>
                </c:pt>
                <c:pt idx="449">
                  <c:v>-2.1593652572453437E-2</c:v>
                </c:pt>
                <c:pt idx="450">
                  <c:v>-2.4087955614027712E-2</c:v>
                </c:pt>
                <c:pt idx="451">
                  <c:v>-2.1875578985109112E-2</c:v>
                </c:pt>
                <c:pt idx="452">
                  <c:v>-2.0971111887890803E-2</c:v>
                </c:pt>
                <c:pt idx="453">
                  <c:v>-2.3166954673333517E-2</c:v>
                </c:pt>
                <c:pt idx="454">
                  <c:v>-2.3763405232819335E-2</c:v>
                </c:pt>
                <c:pt idx="455">
                  <c:v>-2.1559594154992701E-2</c:v>
                </c:pt>
                <c:pt idx="456">
                  <c:v>-1.944930745018808E-2</c:v>
                </c:pt>
                <c:pt idx="457">
                  <c:v>-2.0045628714092323E-2</c:v>
                </c:pt>
                <c:pt idx="458">
                  <c:v>-2.5540709925406024E-2</c:v>
                </c:pt>
                <c:pt idx="459">
                  <c:v>-2.4937915366119112E-2</c:v>
                </c:pt>
                <c:pt idx="460">
                  <c:v>-2.64230600037626E-2</c:v>
                </c:pt>
                <c:pt idx="461">
                  <c:v>-2.7321396335519887E-2</c:v>
                </c:pt>
                <c:pt idx="462">
                  <c:v>-2.2917816843620598E-2</c:v>
                </c:pt>
                <c:pt idx="463">
                  <c:v>-2.4013536634558408E-2</c:v>
                </c:pt>
                <c:pt idx="464">
                  <c:v>-2.3109290259555493E-2</c:v>
                </c:pt>
                <c:pt idx="465">
                  <c:v>-2.4394714280681906E-2</c:v>
                </c:pt>
                <c:pt idx="466">
                  <c:v>-2.5191724118432846E-2</c:v>
                </c:pt>
                <c:pt idx="467">
                  <c:v>-2.7488565732657899E-2</c:v>
                </c:pt>
                <c:pt idx="468">
                  <c:v>-2.6485550427968407E-2</c:v>
                </c:pt>
                <c:pt idx="469">
                  <c:v>-2.5282530567715455E-2</c:v>
                </c:pt>
                <c:pt idx="470">
                  <c:v>-2.6175486013150617E-2</c:v>
                </c:pt>
                <c:pt idx="471">
                  <c:v>-2.5472022801873662E-2</c:v>
                </c:pt>
                <c:pt idx="472">
                  <c:v>-2.4468683062008389E-2</c:v>
                </c:pt>
                <c:pt idx="473">
                  <c:v>-2.2865371284588099E-2</c:v>
                </c:pt>
                <c:pt idx="474">
                  <c:v>-2.2361944336310391E-2</c:v>
                </c:pt>
                <c:pt idx="475">
                  <c:v>-2.3151063573256303E-2</c:v>
                </c:pt>
                <c:pt idx="476">
                  <c:v>-2.25474704185748E-2</c:v>
                </c:pt>
                <c:pt idx="477">
                  <c:v>-1.8344016858914403E-2</c:v>
                </c:pt>
                <c:pt idx="478">
                  <c:v>-2.0140134791792885E-2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15-4D81-8939-36F5F1C6F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7527535"/>
        <c:axId val="2087528367"/>
      </c:lineChart>
      <c:dateAx>
        <c:axId val="20875275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528367"/>
        <c:crosses val="autoZero"/>
        <c:auto val="0"/>
        <c:lblOffset val="100"/>
        <c:baseTimeUnit val="days"/>
      </c:dateAx>
      <c:valAx>
        <c:axId val="208752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527535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123825</xdr:rowOff>
    </xdr:from>
    <xdr:to>
      <xdr:col>18</xdr:col>
      <xdr:colOff>504825</xdr:colOff>
      <xdr:row>35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0" cy="0"/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U241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517.727376620373" createdVersion="6" refreshedVersion="6" minRefreshableVersion="3" recordCount="294">
  <cacheSource type="worksheet">
    <worksheetSource ref="A1:Y1048576" sheet="Paridad usd"/>
  </cacheSource>
  <cacheFields count="25">
    <cacheField name="Fecha" numFmtId="0">
      <sharedItems containsNonDate="0" containsDate="1" containsString="0" containsBlank="1" minDate="2020-09-14T00:00:00" maxDate="2021-11-18T00:00:00" count="29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numFmtId="0">
      <sharedItems containsString="0" containsBlank="1" containsNumber="1" minValue="34.75" maxValue="51.8"/>
    </cacheField>
    <cacheField name="P29" numFmtId="0">
      <sharedItems containsString="0" containsBlank="1" containsNumber="1" minValue="0.34625726843384019" maxValue="0.5222639633169438"/>
    </cacheField>
    <cacheField name="GD29d" numFmtId="0">
      <sharedItems containsString="0" containsBlank="1" containsNumber="1" minValue="36.61" maxValue="53.75"/>
    </cacheField>
    <cacheField name="PG29" numFmtId="0">
      <sharedItems containsString="0" containsBlank="1" containsNumber="1" minValue="0.36676318823077347" maxValue="0.54192447931053533"/>
    </cacheField>
    <cacheField name="AL30D" numFmtId="0">
      <sharedItems containsString="0" containsBlank="1" containsNumber="1" minValue="32.57" maxValue="51.87"/>
    </cacheField>
    <cacheField name="P30" numFmtId="0">
      <sharedItems containsString="0" containsBlank="1" containsNumber="1" minValue="0.32511657163172941" maxValue="0.52082611207394569"/>
    </cacheField>
    <cacheField name="GD30D" numFmtId="0">
      <sharedItems containsString="0" containsBlank="1" containsNumber="1" minValue="34.39" maxValue="50"/>
    </cacheField>
    <cacheField name="PG30" numFmtId="0">
      <sharedItems containsString="0" containsBlank="1" containsNumber="1" minValue="0.34367755117406878" maxValue="0.49997945289919588"/>
    </cacheField>
    <cacheField name="AL35D" numFmtId="0">
      <sharedItems containsString="0" containsBlank="1" containsNumber="1" minValue="29.8" maxValue="44.55"/>
    </cacheField>
    <cacheField name="P35" numFmtId="0">
      <sharedItems containsString="0" containsBlank="1" containsNumber="1" minValue="0.29911553705428812" maxValue="0.44961583260463073"/>
    </cacheField>
    <cacheField name="AE38D" numFmtId="0">
      <sharedItems containsString="0" containsBlank="1" containsNumber="1" minValue="32.049999999999997" maxValue="49.2"/>
    </cacheField>
    <cacheField name="P38" numFmtId="0">
      <sharedItems containsString="0" containsBlank="1" containsNumber="1" minValue="0.32063176647937508" maxValue="0.49250262253944088"/>
    </cacheField>
    <cacheField name="AL41D" numFmtId="0">
      <sharedItems containsString="0" containsBlank="1" containsNumber="1" minValue="31.42" maxValue="43.99"/>
    </cacheField>
    <cacheField name="P41" numFmtId="0">
      <sharedItems containsString="0" containsBlank="1" containsNumber="1" minValue="0.31433025328989073" maxValue="0.44034939767296771"/>
    </cacheField>
    <cacheField name="29-30" numFmtId="0">
      <sharedItems containsString="0" containsBlank="1" containsNumber="1" minValue="1.4378512429981121E-3" maxValue="7.6902843779468322E-2"/>
    </cacheField>
    <cacheField name="g29-29" numFmtId="0">
      <sharedItems containsString="0" containsBlank="1" containsNumber="1" minValue="-8.0736775990605802E-3" maxValue="6.4854872530625718E-2"/>
    </cacheField>
    <cacheField name="29-38" numFmtId="0">
      <sharedItems containsString="0" containsBlank="1" containsNumber="1" minValue="-1.8386504472300221E-2" maxValue="9.6459390320899785E-2"/>
    </cacheField>
    <cacheField name="29-41" numFmtId="0">
      <sharedItems containsString="0" containsBlank="1" containsNumber="1" minValue="-1.5123405375726149E-2" maxValue="0.12088054975013129"/>
    </cacheField>
    <cacheField name="g29-41" numFmtId="0">
      <sharedItems containsString="0" containsBlank="1" containsNumber="1" minValue="-2.0626169077156979E-3" maxValue="0.15169866020457601"/>
    </cacheField>
    <cacheField name="30-41" numFmtId="0">
      <sharedItems containsString="0" containsBlank="1" containsNumber="1" minValue="-3.1423979925280732E-2" maxValue="8.5189679117309236E-2"/>
    </cacheField>
    <cacheField name="30-35" numFmtId="0">
      <sharedItems containsString="0" containsBlank="1" containsNumber="1" minValue="7.2010963807817574E-3" maxValue="7.2629452870802858E-2"/>
    </cacheField>
    <cacheField name="29-35" numFmtId="0">
      <sharedItems containsString="0" containsBlank="1" containsNumber="1" minValue="2.26299890457905E-2" maxValue="0.10482084229815999"/>
    </cacheField>
    <cacheField name="g30-30" numFmtId="0">
      <sharedItems containsString="0" containsBlank="1" containsNumber="1" minValue="-2.084665917474976E-2" maxValue="4.1740780188494753E-2"/>
    </cacheField>
    <cacheField name="30-38" numFmtId="0">
      <sharedItems containsString="0" containsBlank="1" containsNumber="1" minValue="-3.3722442372261963E-2" maxValue="4.621720318643995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H292" firstHeaderRow="1" firstDataRow="2" firstDataCol="1"/>
  <pivotFields count="25">
    <pivotField axis="axisRow" showAll="0" defaultSubtotal="0">
      <items count="290"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m="1" x="289"/>
        <item x="23"/>
        <item x="22"/>
        <item x="28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9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G29" fld="4" baseField="0" baseItem="0"/>
    <dataField name="Suma de P38" fld="12" baseField="0" baseItem="9"/>
    <dataField name="Suma de P30" fld="6" baseField="0" baseItem="0"/>
    <dataField name="Suma de P41" fld="14" baseField="0" baseItem="0"/>
    <dataField name="Suma de PG30" fld="8" baseField="0" baseItem="0"/>
    <dataField name="Suma de P35" fld="10" baseField="0" baseItem="1"/>
  </dataFields>
  <formats count="2">
    <format dxfId="1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chartFormats count="1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Y105"/>
  <sheetViews>
    <sheetView topLeftCell="A19" workbookViewId="0">
      <selection activeCell="L34" sqref="L34"/>
    </sheetView>
  </sheetViews>
  <sheetFormatPr baseColWidth="10" defaultRowHeight="15" x14ac:dyDescent="0.25"/>
  <cols>
    <col min="1" max="1" width="22.140625" style="74" bestFit="1" customWidth="1"/>
    <col min="2" max="2" width="10.7109375" style="74" bestFit="1" customWidth="1"/>
    <col min="3" max="6" width="11.42578125" style="74" customWidth="1"/>
    <col min="7" max="7" width="22.140625" style="74" bestFit="1" customWidth="1"/>
    <col min="8" max="8" width="11.85546875" style="74" bestFit="1" customWidth="1"/>
    <col min="9" max="12" width="11.42578125" style="74" customWidth="1"/>
    <col min="13" max="13" width="22.140625" style="74" bestFit="1" customWidth="1"/>
    <col min="14" max="14" width="11.85546875" style="74" bestFit="1" customWidth="1"/>
    <col min="15" max="18" width="11.42578125" style="74" customWidth="1"/>
    <col min="19" max="19" width="22.140625" style="74" bestFit="1" customWidth="1"/>
    <col min="20" max="42" width="11.42578125" style="74" customWidth="1"/>
    <col min="43" max="16384" width="11.42578125" style="74"/>
  </cols>
  <sheetData>
    <row r="1" spans="1:25" ht="15.75" customHeight="1" thickBot="1" x14ac:dyDescent="0.3">
      <c r="A1" s="74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 t="e">
        <f>#REF!-B5</f>
        <v>#REF!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44570</v>
      </c>
      <c r="C5" s="27"/>
      <c r="D5" s="26" t="e">
        <f>DAYS360(B5,#REF!)</f>
        <v>#REF!</v>
      </c>
      <c r="E5" s="28"/>
      <c r="G5" s="31" t="s">
        <v>10</v>
      </c>
      <c r="H5" s="24">
        <v>44570</v>
      </c>
      <c r="I5" s="27"/>
      <c r="J5" s="27"/>
      <c r="K5" s="28"/>
      <c r="L5" s="21"/>
      <c r="M5" s="31" t="s">
        <v>10</v>
      </c>
      <c r="N5" s="24">
        <v>44570</v>
      </c>
      <c r="O5" s="27"/>
      <c r="P5" s="27"/>
      <c r="Q5" s="28"/>
      <c r="S5" s="31" t="s">
        <v>10</v>
      </c>
      <c r="T5" s="24">
        <v>44570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 t="e">
        <f>DAYS360(B5,#REF!)</f>
        <v>#REF!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1.4972222222222222</v>
      </c>
      <c r="C8" s="27"/>
      <c r="D8" s="48"/>
      <c r="E8" s="28"/>
      <c r="F8" s="47"/>
      <c r="G8" s="31" t="s">
        <v>13</v>
      </c>
      <c r="H8" s="46">
        <f ca="1">H6*DAYS360(H5,TODAY())/360*100</f>
        <v>1.4972222222222222</v>
      </c>
      <c r="I8" s="27"/>
      <c r="J8" s="27"/>
      <c r="K8" s="28"/>
      <c r="L8" s="21"/>
      <c r="M8" s="31" t="s">
        <v>13</v>
      </c>
      <c r="N8" s="46">
        <f ca="1">N6*DAYS360(N5,TODAY())/360*100</f>
        <v>0.18715277777777778</v>
      </c>
      <c r="O8" s="27"/>
      <c r="P8" s="27"/>
      <c r="Q8" s="28"/>
      <c r="S8" s="31" t="s">
        <v>13</v>
      </c>
      <c r="T8" s="46">
        <f ca="1">T6*DAYS360(T5,TODAY())/360*100</f>
        <v>0.18715277777777778</v>
      </c>
      <c r="U8" s="27"/>
      <c r="V8" s="27"/>
      <c r="W8" s="28"/>
    </row>
    <row r="9" spans="1:25" ht="18.75" customHeight="1" thickBot="1" x14ac:dyDescent="0.35">
      <c r="A9" s="30" t="s">
        <v>14</v>
      </c>
      <c r="B9" s="46">
        <f ca="1">B7+B8</f>
        <v>101.49722222222222</v>
      </c>
      <c r="C9" s="27"/>
      <c r="D9" s="27"/>
      <c r="E9" s="96">
        <v>-23.5</v>
      </c>
      <c r="F9" s="21">
        <v>31721</v>
      </c>
      <c r="G9" s="31" t="s">
        <v>14</v>
      </c>
      <c r="H9" s="46">
        <f ca="1">H7+H8</f>
        <v>101.49722222222222</v>
      </c>
      <c r="I9" s="27"/>
      <c r="J9" s="27"/>
      <c r="K9" s="96">
        <v>-20.45</v>
      </c>
      <c r="L9" s="21"/>
      <c r="M9" s="31" t="s">
        <v>14</v>
      </c>
      <c r="N9" s="46">
        <f ca="1">N7+N8</f>
        <v>100.18715277777778</v>
      </c>
      <c r="O9" s="27"/>
      <c r="P9" s="27"/>
      <c r="Q9" s="96">
        <v>-22.9</v>
      </c>
      <c r="R9" s="74">
        <v>20197</v>
      </c>
      <c r="S9" s="31" t="s">
        <v>14</v>
      </c>
      <c r="T9" s="46">
        <f ca="1">T7+T8</f>
        <v>100.18715277777778</v>
      </c>
      <c r="U9" s="27"/>
      <c r="V9" s="27"/>
      <c r="W9" s="96">
        <v>-20.48</v>
      </c>
    </row>
    <row r="10" spans="1:25" ht="15.75" customHeight="1" thickBot="1" x14ac:dyDescent="0.3">
      <c r="A10" s="3">
        <v>45300</v>
      </c>
      <c r="B10" s="1" t="s">
        <v>15</v>
      </c>
      <c r="C10" s="39">
        <v>0.5</v>
      </c>
      <c r="D10" s="2">
        <v>0</v>
      </c>
      <c r="E10" s="97">
        <v>0.5</v>
      </c>
      <c r="F10" s="21">
        <f>F9*E10/100</f>
        <v>158.60499999999999</v>
      </c>
      <c r="G10" s="3">
        <v>45300</v>
      </c>
      <c r="H10" s="74" t="s">
        <v>15</v>
      </c>
      <c r="I10" s="2">
        <v>0.5</v>
      </c>
      <c r="J10" s="2">
        <v>0</v>
      </c>
      <c r="K10" s="98">
        <v>0.5</v>
      </c>
      <c r="L10" s="21"/>
      <c r="M10" s="3">
        <v>45300</v>
      </c>
      <c r="N10" s="74" t="s">
        <v>15</v>
      </c>
      <c r="O10" s="2">
        <v>0.38</v>
      </c>
      <c r="P10" s="2">
        <v>0</v>
      </c>
      <c r="Q10" s="98">
        <v>0.38</v>
      </c>
      <c r="R10" s="74">
        <f>R9*Q10/100</f>
        <v>76.748599999999996</v>
      </c>
      <c r="S10" s="3">
        <v>45300</v>
      </c>
      <c r="T10" s="74" t="s">
        <v>15</v>
      </c>
      <c r="U10" s="2">
        <v>0.38</v>
      </c>
      <c r="V10" s="2">
        <v>0</v>
      </c>
      <c r="W10" s="98">
        <v>0.38</v>
      </c>
    </row>
    <row r="11" spans="1:25" ht="15.75" customHeight="1" thickBot="1" x14ac:dyDescent="0.3">
      <c r="A11" s="3">
        <v>45482</v>
      </c>
      <c r="B11" s="1" t="s">
        <v>15</v>
      </c>
      <c r="C11" s="39">
        <v>0.5</v>
      </c>
      <c r="D11" s="2">
        <v>0</v>
      </c>
      <c r="E11" s="97">
        <v>0.5</v>
      </c>
      <c r="F11" s="21"/>
      <c r="G11" s="3">
        <v>45482</v>
      </c>
      <c r="H11" s="74" t="s">
        <v>15</v>
      </c>
      <c r="I11" s="2">
        <v>0.5</v>
      </c>
      <c r="J11" s="2">
        <v>0</v>
      </c>
      <c r="K11" s="98">
        <v>0.5</v>
      </c>
      <c r="L11" s="21"/>
      <c r="M11" s="3">
        <v>45482</v>
      </c>
      <c r="N11" s="74" t="s">
        <v>15</v>
      </c>
      <c r="O11" s="2">
        <v>0.38</v>
      </c>
      <c r="P11" s="2">
        <v>4</v>
      </c>
      <c r="Q11" s="98">
        <v>4.38</v>
      </c>
      <c r="S11" s="3">
        <v>45482</v>
      </c>
      <c r="T11" s="74" t="s">
        <v>15</v>
      </c>
      <c r="U11" s="2">
        <v>0.38</v>
      </c>
      <c r="V11" s="2">
        <v>4</v>
      </c>
      <c r="W11" s="98">
        <v>4.38</v>
      </c>
    </row>
    <row r="12" spans="1:25" ht="15.75" customHeight="1" thickBot="1" x14ac:dyDescent="0.3">
      <c r="A12" s="3">
        <v>45666</v>
      </c>
      <c r="B12" s="1" t="s">
        <v>15</v>
      </c>
      <c r="C12" s="39">
        <v>0.5</v>
      </c>
      <c r="D12" s="2">
        <v>10</v>
      </c>
      <c r="E12" s="97">
        <v>10.5</v>
      </c>
      <c r="F12" s="21"/>
      <c r="G12" s="3">
        <v>45666</v>
      </c>
      <c r="H12" s="74" t="s">
        <v>15</v>
      </c>
      <c r="I12" s="2">
        <v>0.5</v>
      </c>
      <c r="J12" s="2">
        <v>10</v>
      </c>
      <c r="K12" s="98">
        <v>10.5</v>
      </c>
      <c r="L12" s="21"/>
      <c r="M12" s="3">
        <v>45666</v>
      </c>
      <c r="N12" s="74" t="s">
        <v>15</v>
      </c>
      <c r="O12" s="2">
        <v>0.36</v>
      </c>
      <c r="P12" s="2">
        <v>8</v>
      </c>
      <c r="Q12" s="98">
        <v>8.36</v>
      </c>
      <c r="S12" s="3">
        <v>45666</v>
      </c>
      <c r="T12" s="74" t="s">
        <v>15</v>
      </c>
      <c r="U12" s="2">
        <v>0.36</v>
      </c>
      <c r="V12" s="2">
        <v>8</v>
      </c>
      <c r="W12" s="98">
        <v>8.36</v>
      </c>
    </row>
    <row r="13" spans="1:25" ht="15.75" customHeight="1" thickBot="1" x14ac:dyDescent="0.3">
      <c r="A13" s="3">
        <v>45847</v>
      </c>
      <c r="B13" s="1" t="s">
        <v>15</v>
      </c>
      <c r="C13" s="39">
        <v>0.45</v>
      </c>
      <c r="D13" s="2">
        <v>10</v>
      </c>
      <c r="E13" s="97">
        <v>10.45</v>
      </c>
      <c r="F13" s="21"/>
      <c r="G13" s="3">
        <v>45847</v>
      </c>
      <c r="H13" s="74" t="s">
        <v>15</v>
      </c>
      <c r="I13" s="2">
        <v>0.45</v>
      </c>
      <c r="J13" s="2">
        <v>10</v>
      </c>
      <c r="K13" s="98">
        <v>10.45</v>
      </c>
      <c r="L13" s="21"/>
      <c r="M13" s="3">
        <v>45847</v>
      </c>
      <c r="N13" s="74" t="s">
        <v>15</v>
      </c>
      <c r="O13" s="2">
        <v>0.33</v>
      </c>
      <c r="P13" s="2">
        <v>8</v>
      </c>
      <c r="Q13" s="98">
        <v>8.33</v>
      </c>
      <c r="S13" s="3">
        <v>45847</v>
      </c>
      <c r="T13" s="74" t="s">
        <v>15</v>
      </c>
      <c r="U13" s="2">
        <v>0.33</v>
      </c>
      <c r="V13" s="2">
        <v>8</v>
      </c>
      <c r="W13" s="98">
        <v>8.33</v>
      </c>
    </row>
    <row r="14" spans="1:25" ht="15.75" customHeight="1" thickBot="1" x14ac:dyDescent="0.3">
      <c r="A14" s="3">
        <v>46031</v>
      </c>
      <c r="B14" s="1" t="s">
        <v>15</v>
      </c>
      <c r="C14" s="39">
        <v>0.4</v>
      </c>
      <c r="D14" s="2">
        <v>10</v>
      </c>
      <c r="E14" s="42">
        <v>10.4</v>
      </c>
      <c r="F14" s="21"/>
      <c r="G14" s="3">
        <v>46031</v>
      </c>
      <c r="H14" s="74" t="s">
        <v>15</v>
      </c>
      <c r="I14" s="2">
        <v>0.4</v>
      </c>
      <c r="J14" s="2">
        <v>10</v>
      </c>
      <c r="K14" s="4">
        <v>10.4</v>
      </c>
      <c r="L14" s="21"/>
      <c r="M14" s="3">
        <v>46031</v>
      </c>
      <c r="N14" s="74" t="s">
        <v>15</v>
      </c>
      <c r="O14" s="2">
        <v>0.3</v>
      </c>
      <c r="P14" s="2">
        <v>8</v>
      </c>
      <c r="Q14" s="4">
        <v>8.3000000000000007</v>
      </c>
      <c r="S14" s="3">
        <v>46031</v>
      </c>
      <c r="T14" s="74" t="s">
        <v>15</v>
      </c>
      <c r="U14" s="2">
        <v>0.3</v>
      </c>
      <c r="V14" s="2">
        <v>8</v>
      </c>
      <c r="W14" s="98">
        <v>8.3000000000000007</v>
      </c>
    </row>
    <row r="15" spans="1:25" ht="15.75" customHeight="1" thickBot="1" x14ac:dyDescent="0.3">
      <c r="A15" s="3">
        <v>46212</v>
      </c>
      <c r="B15" s="1" t="s">
        <v>15</v>
      </c>
      <c r="C15" s="39">
        <v>0.35</v>
      </c>
      <c r="D15" s="2">
        <v>10</v>
      </c>
      <c r="E15" s="42">
        <v>10.35</v>
      </c>
      <c r="F15" s="21"/>
      <c r="G15" s="3">
        <v>46212</v>
      </c>
      <c r="H15" s="74" t="s">
        <v>15</v>
      </c>
      <c r="I15" s="2">
        <v>0.35</v>
      </c>
      <c r="J15" s="2">
        <v>10</v>
      </c>
      <c r="K15" s="4">
        <v>10.35</v>
      </c>
      <c r="L15" s="21"/>
      <c r="M15" s="3">
        <v>46212</v>
      </c>
      <c r="N15" s="74" t="s">
        <v>15</v>
      </c>
      <c r="O15" s="2">
        <v>0.27</v>
      </c>
      <c r="P15" s="2">
        <v>8</v>
      </c>
      <c r="Q15" s="4">
        <v>8.27</v>
      </c>
      <c r="S15" s="3">
        <v>46212</v>
      </c>
      <c r="T15" s="74" t="s">
        <v>15</v>
      </c>
      <c r="U15" s="2">
        <v>0.27</v>
      </c>
      <c r="V15" s="2">
        <v>8</v>
      </c>
      <c r="W15" s="4">
        <v>8.27</v>
      </c>
    </row>
    <row r="16" spans="1:25" ht="15.75" customHeight="1" thickBot="1" x14ac:dyDescent="0.3">
      <c r="A16" s="3">
        <v>46396</v>
      </c>
      <c r="B16" s="1" t="s">
        <v>15</v>
      </c>
      <c r="C16" s="39">
        <v>0.3</v>
      </c>
      <c r="D16" s="2">
        <v>10</v>
      </c>
      <c r="E16" s="42">
        <v>10.3</v>
      </c>
      <c r="F16" s="21"/>
      <c r="G16" s="3">
        <v>46396</v>
      </c>
      <c r="H16" s="74" t="s">
        <v>15</v>
      </c>
      <c r="I16" s="2">
        <v>0.3</v>
      </c>
      <c r="J16" s="2">
        <v>10</v>
      </c>
      <c r="K16" s="4">
        <v>10.3</v>
      </c>
      <c r="L16" s="21"/>
      <c r="M16" s="3">
        <v>46396</v>
      </c>
      <c r="N16" s="74" t="s">
        <v>15</v>
      </c>
      <c r="O16" s="2">
        <v>0.24</v>
      </c>
      <c r="P16" s="2">
        <v>8</v>
      </c>
      <c r="Q16" s="4">
        <v>8.24</v>
      </c>
      <c r="S16" s="3">
        <v>46396</v>
      </c>
      <c r="T16" s="74" t="s">
        <v>15</v>
      </c>
      <c r="U16" s="2">
        <v>0.24</v>
      </c>
      <c r="V16" s="2">
        <v>8</v>
      </c>
      <c r="W16" s="4">
        <v>8.24</v>
      </c>
    </row>
    <row r="17" spans="1:23" ht="15.75" customHeight="1" thickBot="1" x14ac:dyDescent="0.3">
      <c r="A17" s="3">
        <v>46577</v>
      </c>
      <c r="B17" s="1" t="s">
        <v>15</v>
      </c>
      <c r="C17" s="39">
        <v>0.25</v>
      </c>
      <c r="D17" s="2">
        <v>10</v>
      </c>
      <c r="E17" s="42">
        <v>10.25</v>
      </c>
      <c r="F17" s="21"/>
      <c r="G17" s="3">
        <v>46577</v>
      </c>
      <c r="H17" s="74" t="s">
        <v>15</v>
      </c>
      <c r="I17" s="2">
        <v>0.25</v>
      </c>
      <c r="J17" s="2">
        <v>10</v>
      </c>
      <c r="K17" s="4">
        <v>10.25</v>
      </c>
      <c r="L17" s="21"/>
      <c r="M17" s="3">
        <v>46577</v>
      </c>
      <c r="N17" s="74" t="s">
        <v>15</v>
      </c>
      <c r="O17" s="2">
        <v>0.21</v>
      </c>
      <c r="P17" s="2">
        <v>8</v>
      </c>
      <c r="Q17" s="4">
        <v>8.2100000000000009</v>
      </c>
      <c r="S17" s="3">
        <v>46577</v>
      </c>
      <c r="T17" s="74" t="s">
        <v>15</v>
      </c>
      <c r="U17" s="2">
        <v>0.21</v>
      </c>
      <c r="V17" s="2">
        <v>8</v>
      </c>
      <c r="W17" s="4">
        <v>8.2100000000000009</v>
      </c>
    </row>
    <row r="18" spans="1:23" ht="15.75" customHeight="1" thickBot="1" x14ac:dyDescent="0.3">
      <c r="A18" s="3">
        <v>46761</v>
      </c>
      <c r="B18" s="1" t="s">
        <v>15</v>
      </c>
      <c r="C18" s="39">
        <v>0.2</v>
      </c>
      <c r="D18" s="2">
        <v>10</v>
      </c>
      <c r="E18" s="42">
        <v>10.199999999999999</v>
      </c>
      <c r="F18" s="21"/>
      <c r="G18" s="3">
        <v>46761</v>
      </c>
      <c r="H18" s="74" t="s">
        <v>15</v>
      </c>
      <c r="I18" s="2">
        <v>0.2</v>
      </c>
      <c r="J18" s="2">
        <v>10</v>
      </c>
      <c r="K18" s="4">
        <v>10.199999999999999</v>
      </c>
      <c r="L18" s="21"/>
      <c r="M18" s="3">
        <v>46761</v>
      </c>
      <c r="N18" s="74" t="s">
        <v>15</v>
      </c>
      <c r="O18" s="2">
        <v>0.42</v>
      </c>
      <c r="P18" s="2">
        <v>8</v>
      </c>
      <c r="Q18" s="4">
        <v>8.42</v>
      </c>
      <c r="S18" s="3">
        <v>46761</v>
      </c>
      <c r="T18" s="74" t="s">
        <v>15</v>
      </c>
      <c r="U18" s="2">
        <v>0.42</v>
      </c>
      <c r="V18" s="2">
        <v>8</v>
      </c>
      <c r="W18" s="4">
        <v>8.42</v>
      </c>
    </row>
    <row r="19" spans="1:23" ht="15.75" customHeight="1" thickBot="1" x14ac:dyDescent="0.3">
      <c r="A19" s="3">
        <v>46943</v>
      </c>
      <c r="B19" s="1" t="s">
        <v>15</v>
      </c>
      <c r="C19" s="39">
        <v>0.15</v>
      </c>
      <c r="D19" s="2">
        <v>10</v>
      </c>
      <c r="E19" s="42">
        <v>10.15</v>
      </c>
      <c r="F19" s="21"/>
      <c r="G19" s="3">
        <v>46943</v>
      </c>
      <c r="H19" s="74" t="s">
        <v>15</v>
      </c>
      <c r="I19" s="2">
        <v>0.15</v>
      </c>
      <c r="J19" s="2">
        <v>10</v>
      </c>
      <c r="K19" s="4">
        <v>10.15</v>
      </c>
      <c r="L19" s="21"/>
      <c r="M19" s="3">
        <v>46943</v>
      </c>
      <c r="N19" s="74" t="s">
        <v>15</v>
      </c>
      <c r="O19" s="2">
        <v>0.35</v>
      </c>
      <c r="P19" s="2">
        <v>8</v>
      </c>
      <c r="Q19" s="4">
        <v>8.35</v>
      </c>
      <c r="S19" s="3">
        <v>46943</v>
      </c>
      <c r="T19" s="74" t="s">
        <v>15</v>
      </c>
      <c r="U19" s="2">
        <v>0.35</v>
      </c>
      <c r="V19" s="2">
        <v>8</v>
      </c>
      <c r="W19" s="4">
        <v>8.35</v>
      </c>
    </row>
    <row r="20" spans="1:23" ht="15.75" customHeight="1" thickBot="1" x14ac:dyDescent="0.3">
      <c r="A20" s="3">
        <v>47127</v>
      </c>
      <c r="B20" s="1" t="s">
        <v>15</v>
      </c>
      <c r="C20" s="39">
        <v>0.1</v>
      </c>
      <c r="D20" s="2">
        <v>10</v>
      </c>
      <c r="E20" s="42">
        <v>10.1</v>
      </c>
      <c r="F20" s="21"/>
      <c r="G20" s="3">
        <v>47127</v>
      </c>
      <c r="H20" s="74" t="s">
        <v>15</v>
      </c>
      <c r="I20" s="2">
        <v>0.1</v>
      </c>
      <c r="J20" s="2">
        <v>10</v>
      </c>
      <c r="K20" s="4">
        <v>10.1</v>
      </c>
      <c r="L20" s="21"/>
      <c r="M20" s="3">
        <v>47127</v>
      </c>
      <c r="N20" s="74" t="s">
        <v>15</v>
      </c>
      <c r="O20" s="2">
        <v>0.28000000000000003</v>
      </c>
      <c r="P20" s="2">
        <v>8</v>
      </c>
      <c r="Q20" s="4">
        <v>8.2799999999999994</v>
      </c>
      <c r="S20" s="3">
        <v>47127</v>
      </c>
      <c r="T20" s="74" t="s">
        <v>15</v>
      </c>
      <c r="U20" s="2">
        <v>0.28000000000000003</v>
      </c>
      <c r="V20" s="2">
        <v>8</v>
      </c>
      <c r="W20" s="4">
        <v>8.2799999999999994</v>
      </c>
    </row>
    <row r="21" spans="1:23" ht="15.75" customHeight="1" thickBot="1" x14ac:dyDescent="0.3">
      <c r="A21" s="3">
        <v>47308</v>
      </c>
      <c r="B21" s="1" t="s">
        <v>15</v>
      </c>
      <c r="C21" s="39">
        <v>0.05</v>
      </c>
      <c r="D21" s="2">
        <v>10</v>
      </c>
      <c r="E21" s="42">
        <v>10.050000000000001</v>
      </c>
      <c r="F21" s="21"/>
      <c r="G21" s="3">
        <v>47308</v>
      </c>
      <c r="H21" s="74" t="s">
        <v>15</v>
      </c>
      <c r="I21" s="2">
        <v>0.05</v>
      </c>
      <c r="J21" s="2">
        <v>10</v>
      </c>
      <c r="K21" s="4">
        <v>10.050000000000001</v>
      </c>
      <c r="L21" s="21"/>
      <c r="M21" s="3">
        <v>47308</v>
      </c>
      <c r="N21" s="74" t="s">
        <v>15</v>
      </c>
      <c r="O21" s="2">
        <v>0.21</v>
      </c>
      <c r="P21" s="2">
        <v>8</v>
      </c>
      <c r="Q21" s="4">
        <v>8.2100000000000009</v>
      </c>
      <c r="S21" s="3">
        <v>47308</v>
      </c>
      <c r="T21" s="74" t="s">
        <v>15</v>
      </c>
      <c r="U21" s="2">
        <v>0.21</v>
      </c>
      <c r="V21" s="2">
        <v>8</v>
      </c>
      <c r="W21" s="4">
        <v>8.2100000000000009</v>
      </c>
    </row>
    <row r="22" spans="1:23" ht="15.75" customHeight="1" thickBot="1" x14ac:dyDescent="0.3">
      <c r="A22" s="5"/>
      <c r="B22" s="6"/>
      <c r="C22" s="40">
        <f>SUM(C10:C21)</f>
        <v>3.75</v>
      </c>
      <c r="D22" s="7">
        <f>SUM(D10:D21)</f>
        <v>100</v>
      </c>
      <c r="E22" s="43">
        <f>SUM(E10:E21)</f>
        <v>103.75</v>
      </c>
      <c r="F22" s="21"/>
      <c r="G22" s="9"/>
      <c r="H22" s="6"/>
      <c r="I22" s="7">
        <f>SUM(I10:I21)</f>
        <v>3.75</v>
      </c>
      <c r="J22" s="7">
        <f>SUM(J10:J21)</f>
        <v>100</v>
      </c>
      <c r="K22" s="8">
        <f>SUM(K10:K21)</f>
        <v>103.75</v>
      </c>
      <c r="L22" s="21"/>
      <c r="M22" s="3">
        <v>47492</v>
      </c>
      <c r="N22" s="74" t="s">
        <v>15</v>
      </c>
      <c r="O22" s="2">
        <v>0.14000000000000001</v>
      </c>
      <c r="P22" s="2">
        <v>8</v>
      </c>
      <c r="Q22" s="4">
        <v>8.14</v>
      </c>
      <c r="S22" s="3">
        <v>47492</v>
      </c>
      <c r="T22" s="74" t="s">
        <v>15</v>
      </c>
      <c r="U22" s="2">
        <v>0.14000000000000001</v>
      </c>
      <c r="V22" s="2">
        <v>8</v>
      </c>
      <c r="W22" s="4">
        <v>8.14</v>
      </c>
    </row>
    <row r="23" spans="1:23" ht="15.75" customHeight="1" thickBot="1" x14ac:dyDescent="0.3">
      <c r="B23" s="21"/>
      <c r="F23" s="21"/>
      <c r="I23" s="21"/>
      <c r="J23" s="21"/>
      <c r="K23" s="21"/>
      <c r="L23" s="21"/>
      <c r="M23" s="3">
        <v>47673</v>
      </c>
      <c r="N23" s="74" t="s">
        <v>15</v>
      </c>
      <c r="O23" s="2">
        <v>7.0000000000000007E-2</v>
      </c>
      <c r="P23" s="2">
        <v>8</v>
      </c>
      <c r="Q23" s="4">
        <v>8.07</v>
      </c>
      <c r="S23" s="3">
        <v>47673</v>
      </c>
      <c r="T23" s="74" t="s">
        <v>15</v>
      </c>
      <c r="U23" s="2">
        <v>7.0000000000000007E-2</v>
      </c>
      <c r="V23" s="2">
        <v>8</v>
      </c>
      <c r="W23" s="4">
        <v>8.07</v>
      </c>
    </row>
    <row r="24" spans="1:23" ht="15.75" customHeight="1" thickBot="1" x14ac:dyDescent="0.3">
      <c r="B24" s="21"/>
      <c r="F24" s="21"/>
      <c r="G24" s="21"/>
      <c r="H24" s="21"/>
      <c r="I24" s="21"/>
      <c r="J24" s="21"/>
      <c r="K24" s="21"/>
      <c r="L24" s="21"/>
      <c r="M24" s="5"/>
      <c r="N24" s="10"/>
      <c r="O24" s="7">
        <f>SUM(O10:O23)</f>
        <v>3.9400000000000004</v>
      </c>
      <c r="P24" s="7">
        <f>SUM(P10:P23)</f>
        <v>100</v>
      </c>
      <c r="Q24" s="8">
        <f>SUM(Q10:Q23)</f>
        <v>103.94</v>
      </c>
      <c r="S24" s="5"/>
      <c r="T24" s="10"/>
      <c r="U24" s="7">
        <f>SUM(U10:U23)</f>
        <v>3.9400000000000004</v>
      </c>
      <c r="V24" s="7">
        <f>SUM(V10:V23)</f>
        <v>100</v>
      </c>
      <c r="W24" s="8">
        <f>SUM(W10:W23)</f>
        <v>103.94</v>
      </c>
    </row>
    <row r="25" spans="1:23" ht="15.75" customHeight="1" thickBot="1" x14ac:dyDescent="0.3">
      <c r="B25" s="21"/>
      <c r="F25" s="21"/>
      <c r="G25" s="21"/>
      <c r="H25" s="21"/>
      <c r="I25" s="21"/>
      <c r="J25" s="21"/>
      <c r="K25" s="21"/>
      <c r="L25" s="21"/>
      <c r="O25" s="26"/>
      <c r="P25" s="26"/>
      <c r="Q25" s="26"/>
      <c r="U25" s="26"/>
      <c r="V25" s="26"/>
      <c r="W25" s="26"/>
    </row>
    <row r="26" spans="1:23" ht="15.75" customHeight="1" thickBot="1" x14ac:dyDescent="0.35">
      <c r="A26" s="20" t="s">
        <v>16</v>
      </c>
      <c r="B26" s="16"/>
      <c r="C26" s="17" t="s">
        <v>2</v>
      </c>
      <c r="D26" s="17" t="s">
        <v>3</v>
      </c>
      <c r="E26" s="18" t="s">
        <v>4</v>
      </c>
      <c r="F26" s="21"/>
      <c r="G26" s="20" t="s">
        <v>17</v>
      </c>
      <c r="H26" s="16"/>
      <c r="I26" s="17" t="s">
        <v>2</v>
      </c>
      <c r="J26" s="17" t="s">
        <v>3</v>
      </c>
      <c r="K26" s="18" t="s">
        <v>4</v>
      </c>
      <c r="L26" s="21"/>
      <c r="M26" s="20" t="s">
        <v>18</v>
      </c>
      <c r="N26" s="16"/>
      <c r="O26" s="17" t="s">
        <v>2</v>
      </c>
      <c r="P26" s="17" t="s">
        <v>3</v>
      </c>
      <c r="Q26" s="18" t="s">
        <v>4</v>
      </c>
      <c r="U26" s="26"/>
      <c r="V26" s="26"/>
      <c r="W26" s="26"/>
    </row>
    <row r="27" spans="1:23" ht="15.75" customHeight="1" x14ac:dyDescent="0.3">
      <c r="A27" s="31" t="s">
        <v>8</v>
      </c>
      <c r="B27" s="21">
        <v>1</v>
      </c>
      <c r="C27" s="27"/>
      <c r="D27" s="27"/>
      <c r="E27" s="28"/>
      <c r="F27" s="21"/>
      <c r="G27" s="31" t="s">
        <v>8</v>
      </c>
      <c r="H27" s="21">
        <v>0.125</v>
      </c>
      <c r="I27" s="27"/>
      <c r="J27" s="27"/>
      <c r="K27" s="28"/>
      <c r="L27" s="21"/>
      <c r="M27" s="31" t="s">
        <v>8</v>
      </c>
      <c r="N27" s="21">
        <v>1</v>
      </c>
      <c r="O27" s="27"/>
      <c r="P27" s="27"/>
      <c r="Q27" s="28"/>
      <c r="T27" s="26"/>
      <c r="U27" s="26"/>
      <c r="V27" s="26"/>
    </row>
    <row r="28" spans="1:23" ht="15.75" customHeight="1" x14ac:dyDescent="0.3">
      <c r="A28" s="31" t="s">
        <v>9</v>
      </c>
      <c r="B28" s="24">
        <v>44076</v>
      </c>
      <c r="C28" s="27"/>
      <c r="D28" s="27"/>
      <c r="E28" s="28"/>
      <c r="F28" s="21"/>
      <c r="G28" s="31" t="s">
        <v>9</v>
      </c>
      <c r="H28" s="24">
        <v>44076</v>
      </c>
      <c r="I28" s="27"/>
      <c r="J28" s="27"/>
      <c r="K28" s="28"/>
      <c r="L28" s="21"/>
      <c r="M28" s="31" t="s">
        <v>9</v>
      </c>
      <c r="N28" s="24">
        <v>44076</v>
      </c>
      <c r="O28" s="27"/>
      <c r="P28" s="27"/>
      <c r="Q28" s="28"/>
      <c r="T28" s="26"/>
      <c r="U28" s="26"/>
      <c r="V28" s="26"/>
    </row>
    <row r="29" spans="1:23" ht="15.75" customHeight="1" x14ac:dyDescent="0.3">
      <c r="A29" s="31" t="s">
        <v>10</v>
      </c>
      <c r="B29" s="24">
        <v>44570</v>
      </c>
      <c r="C29" s="27"/>
      <c r="D29" s="27"/>
      <c r="E29" s="28"/>
      <c r="F29" s="21"/>
      <c r="G29" s="31" t="s">
        <v>10</v>
      </c>
      <c r="H29" s="24">
        <v>44570</v>
      </c>
      <c r="I29" s="27"/>
      <c r="J29" s="27"/>
      <c r="K29" s="28"/>
      <c r="M29" s="31" t="s">
        <v>10</v>
      </c>
      <c r="N29" s="24">
        <v>44570</v>
      </c>
      <c r="O29" s="27"/>
      <c r="P29" s="27"/>
      <c r="Q29" s="28"/>
      <c r="T29" s="26"/>
      <c r="U29" s="26"/>
      <c r="V29" s="26"/>
    </row>
    <row r="30" spans="1:23" ht="19.5" customHeight="1" x14ac:dyDescent="0.3">
      <c r="A30" s="31" t="s">
        <v>11</v>
      </c>
      <c r="B30" s="32">
        <v>1.25E-3</v>
      </c>
      <c r="C30" s="27"/>
      <c r="D30" s="27"/>
      <c r="E30" s="28"/>
      <c r="F30" s="21"/>
      <c r="G30" s="31" t="s">
        <v>11</v>
      </c>
      <c r="H30" s="32">
        <v>1.25E-3</v>
      </c>
      <c r="I30" s="27"/>
      <c r="J30" s="27"/>
      <c r="K30" s="28"/>
      <c r="M30" s="31" t="s">
        <v>11</v>
      </c>
      <c r="N30" s="32">
        <v>1.25E-3</v>
      </c>
      <c r="O30" s="27"/>
      <c r="P30" s="27"/>
      <c r="Q30" s="28"/>
      <c r="T30" s="26"/>
      <c r="U30" s="26"/>
      <c r="V30" s="26"/>
    </row>
    <row r="31" spans="1:23" ht="18.75" customHeight="1" x14ac:dyDescent="0.3">
      <c r="A31" s="31" t="s">
        <v>12</v>
      </c>
      <c r="B31" s="21">
        <v>100</v>
      </c>
      <c r="C31" s="27"/>
      <c r="D31" s="27"/>
      <c r="E31" s="28"/>
      <c r="F31" s="21"/>
      <c r="G31" s="31" t="s">
        <v>12</v>
      </c>
      <c r="H31" s="21">
        <v>100</v>
      </c>
      <c r="I31" s="27"/>
      <c r="J31" s="27"/>
      <c r="K31" s="28"/>
      <c r="M31" s="31" t="s">
        <v>12</v>
      </c>
      <c r="N31" s="21">
        <v>100</v>
      </c>
      <c r="O31" s="27"/>
      <c r="P31" s="27"/>
      <c r="Q31" s="28"/>
      <c r="T31" s="26"/>
      <c r="U31" s="26"/>
      <c r="V31" s="26"/>
    </row>
    <row r="32" spans="1:23" ht="18.75" customHeight="1" x14ac:dyDescent="0.3">
      <c r="A32" s="31" t="s">
        <v>13</v>
      </c>
      <c r="B32" s="46">
        <f ca="1">B30*DAYS360(B29,TODAY())/360*100</f>
        <v>0.18715277777777778</v>
      </c>
      <c r="C32" s="27"/>
      <c r="D32" s="27"/>
      <c r="E32" s="28"/>
      <c r="F32" s="21"/>
      <c r="G32" s="31" t="s">
        <v>13</v>
      </c>
      <c r="H32" s="46">
        <f ca="1">H30*DAYS360(H29,TODAY())/360*100</f>
        <v>0.18715277777777778</v>
      </c>
      <c r="I32" s="27"/>
      <c r="J32" s="27"/>
      <c r="K32" s="28"/>
      <c r="M32" s="31" t="s">
        <v>13</v>
      </c>
      <c r="N32" s="46">
        <f ca="1">N30*DAYS360(N28,TODAY())/360*100</f>
        <v>0.35625000000000001</v>
      </c>
      <c r="O32" s="27"/>
      <c r="P32" s="27"/>
      <c r="Q32" s="28"/>
      <c r="T32" s="26"/>
      <c r="U32" s="26"/>
      <c r="V32" s="26"/>
    </row>
    <row r="33" spans="1:22" ht="18.75" customHeight="1" thickBot="1" x14ac:dyDescent="0.35">
      <c r="A33" s="31" t="s">
        <v>14</v>
      </c>
      <c r="B33" s="46">
        <f ca="1">B31+B32</f>
        <v>100.18715277777778</v>
      </c>
      <c r="C33" s="27"/>
      <c r="D33" s="27"/>
      <c r="E33" s="96">
        <v>-18.05</v>
      </c>
      <c r="F33" s="21"/>
      <c r="G33" s="31" t="s">
        <v>14</v>
      </c>
      <c r="H33" s="46">
        <f ca="1">H31+H32</f>
        <v>100.18715277777778</v>
      </c>
      <c r="I33" s="27"/>
      <c r="J33" s="27"/>
      <c r="K33" s="96">
        <v>-23.1</v>
      </c>
      <c r="L33" s="74">
        <v>5944</v>
      </c>
      <c r="M33" s="31" t="s">
        <v>14</v>
      </c>
      <c r="N33" s="46">
        <f ca="1">N31+N32</f>
        <v>100.35625</v>
      </c>
      <c r="O33" s="27"/>
      <c r="P33" s="27"/>
      <c r="Q33" s="96">
        <v>-22.7</v>
      </c>
      <c r="T33" s="26"/>
      <c r="U33" s="26"/>
      <c r="V33" s="26"/>
    </row>
    <row r="34" spans="1:22" ht="18.75" customHeight="1" thickBot="1" x14ac:dyDescent="0.3">
      <c r="A34" s="3">
        <v>45300</v>
      </c>
      <c r="B34" s="1" t="s">
        <v>15</v>
      </c>
      <c r="C34" s="2">
        <v>1.81</v>
      </c>
      <c r="D34" s="2">
        <v>0</v>
      </c>
      <c r="E34" s="98">
        <v>1.81</v>
      </c>
      <c r="F34" s="21"/>
      <c r="G34" s="3">
        <v>45300</v>
      </c>
      <c r="H34" s="1" t="s">
        <v>15</v>
      </c>
      <c r="I34" s="2">
        <v>2.12</v>
      </c>
      <c r="J34" s="2">
        <v>0</v>
      </c>
      <c r="K34" s="98">
        <v>2.12</v>
      </c>
      <c r="L34" s="74">
        <f>K34*L33/100</f>
        <v>126.01280000000001</v>
      </c>
      <c r="M34" s="3">
        <v>45300</v>
      </c>
      <c r="N34" s="1" t="s">
        <v>15</v>
      </c>
      <c r="O34" s="2">
        <v>1.75</v>
      </c>
      <c r="P34" s="2">
        <v>0</v>
      </c>
      <c r="Q34" s="98">
        <v>1.75</v>
      </c>
      <c r="R34" s="74">
        <v>1910</v>
      </c>
      <c r="T34" s="26"/>
      <c r="U34" s="26"/>
      <c r="V34" s="26"/>
    </row>
    <row r="35" spans="1:22" ht="18.75" customHeight="1" thickBot="1" x14ac:dyDescent="0.3">
      <c r="A35" s="3">
        <v>45482</v>
      </c>
      <c r="B35" s="1" t="s">
        <v>15</v>
      </c>
      <c r="C35" s="2">
        <v>1.81</v>
      </c>
      <c r="D35" s="2">
        <v>0</v>
      </c>
      <c r="E35" s="98">
        <v>1.81</v>
      </c>
      <c r="F35" s="21"/>
      <c r="G35" s="3">
        <v>45482</v>
      </c>
      <c r="H35" s="1" t="s">
        <v>15</v>
      </c>
      <c r="I35" s="2">
        <v>2.12</v>
      </c>
      <c r="J35" s="2">
        <v>0</v>
      </c>
      <c r="K35" s="98">
        <v>2.12</v>
      </c>
      <c r="M35" s="3">
        <v>45482</v>
      </c>
      <c r="N35" s="1" t="s">
        <v>15</v>
      </c>
      <c r="O35" s="2">
        <v>1.75</v>
      </c>
      <c r="P35" s="2">
        <v>0</v>
      </c>
      <c r="Q35" s="98">
        <v>1.75</v>
      </c>
      <c r="R35" s="74" t="e">
        <f>R34*#REF!/100</f>
        <v>#REF!</v>
      </c>
      <c r="T35" s="26"/>
      <c r="U35" s="26"/>
      <c r="V35" s="26"/>
    </row>
    <row r="36" spans="1:22" ht="19.5" customHeight="1" thickBot="1" x14ac:dyDescent="0.3">
      <c r="A36" s="3">
        <v>45666</v>
      </c>
      <c r="B36" s="1" t="s">
        <v>15</v>
      </c>
      <c r="C36" s="2">
        <v>2.06</v>
      </c>
      <c r="D36" s="2">
        <v>0</v>
      </c>
      <c r="E36" s="98">
        <v>2.06</v>
      </c>
      <c r="F36" s="21"/>
      <c r="G36" s="3">
        <v>45666</v>
      </c>
      <c r="H36" s="1" t="s">
        <v>15</v>
      </c>
      <c r="I36" s="2">
        <v>2.5</v>
      </c>
      <c r="J36" s="2">
        <v>0</v>
      </c>
      <c r="K36" s="98">
        <v>2.5</v>
      </c>
      <c r="M36" s="3">
        <v>45666</v>
      </c>
      <c r="N36" s="1" t="s">
        <v>15</v>
      </c>
      <c r="O36" s="2">
        <v>1.75</v>
      </c>
      <c r="P36" s="2">
        <v>0</v>
      </c>
      <c r="Q36" s="98">
        <v>1.75</v>
      </c>
      <c r="T36" s="26"/>
      <c r="U36" s="26"/>
      <c r="V36" s="26"/>
    </row>
    <row r="37" spans="1:22" ht="15.75" customHeight="1" thickBot="1" x14ac:dyDescent="0.3">
      <c r="A37" s="3">
        <v>45847</v>
      </c>
      <c r="B37" s="1" t="s">
        <v>15</v>
      </c>
      <c r="C37" s="2">
        <v>2.06</v>
      </c>
      <c r="D37" s="2">
        <v>0</v>
      </c>
      <c r="E37" s="98">
        <v>2.06</v>
      </c>
      <c r="F37" s="21"/>
      <c r="G37" s="3">
        <v>45847</v>
      </c>
      <c r="H37" s="1" t="s">
        <v>15</v>
      </c>
      <c r="I37" s="2">
        <v>2.5</v>
      </c>
      <c r="J37" s="2">
        <v>0</v>
      </c>
      <c r="K37" s="98">
        <v>2.5</v>
      </c>
      <c r="M37" s="3">
        <v>45847</v>
      </c>
      <c r="N37" s="1" t="s">
        <v>15</v>
      </c>
      <c r="O37" s="2">
        <v>1.75</v>
      </c>
      <c r="P37" s="2">
        <v>0</v>
      </c>
      <c r="Q37" s="98">
        <v>1.75</v>
      </c>
      <c r="T37" s="26"/>
      <c r="U37" s="26"/>
      <c r="V37" s="26"/>
    </row>
    <row r="38" spans="1:22" ht="15.75" customHeight="1" thickBot="1" x14ac:dyDescent="0.3">
      <c r="A38" s="3">
        <v>46031</v>
      </c>
      <c r="B38" s="1" t="s">
        <v>15</v>
      </c>
      <c r="C38" s="2">
        <v>2.06</v>
      </c>
      <c r="D38" s="2">
        <v>0</v>
      </c>
      <c r="E38" s="98">
        <v>2.06</v>
      </c>
      <c r="F38" s="21"/>
      <c r="G38" s="3">
        <v>46031</v>
      </c>
      <c r="H38" s="1" t="s">
        <v>15</v>
      </c>
      <c r="I38" s="2">
        <v>2.5</v>
      </c>
      <c r="J38" s="2">
        <v>0</v>
      </c>
      <c r="K38" s="98">
        <v>2.5</v>
      </c>
      <c r="M38" s="3">
        <v>46031</v>
      </c>
      <c r="N38" s="1" t="s">
        <v>15</v>
      </c>
      <c r="O38" s="2">
        <v>1.75</v>
      </c>
      <c r="P38" s="2">
        <v>0</v>
      </c>
      <c r="Q38" s="98">
        <v>1.75</v>
      </c>
      <c r="T38" s="26"/>
      <c r="U38" s="26"/>
      <c r="V38" s="26"/>
    </row>
    <row r="39" spans="1:22" ht="15.75" customHeight="1" thickBot="1" x14ac:dyDescent="0.3">
      <c r="A39" s="3">
        <v>46212</v>
      </c>
      <c r="B39" s="1" t="s">
        <v>15</v>
      </c>
      <c r="C39" s="2">
        <v>2.06</v>
      </c>
      <c r="D39" s="2">
        <v>0</v>
      </c>
      <c r="E39" s="98">
        <v>2.06</v>
      </c>
      <c r="F39" s="21"/>
      <c r="G39" s="3">
        <v>46212</v>
      </c>
      <c r="H39" s="1" t="s">
        <v>15</v>
      </c>
      <c r="I39" s="2">
        <v>2.5</v>
      </c>
      <c r="J39" s="2">
        <v>0</v>
      </c>
      <c r="K39" s="98">
        <v>2.5</v>
      </c>
      <c r="M39" s="3">
        <v>46212</v>
      </c>
      <c r="N39" s="1" t="s">
        <v>15</v>
      </c>
      <c r="O39" s="2">
        <v>1.75</v>
      </c>
      <c r="P39" s="2">
        <v>0</v>
      </c>
      <c r="Q39" s="98">
        <v>1.75</v>
      </c>
      <c r="T39" s="26"/>
      <c r="U39" s="26"/>
      <c r="V39" s="26"/>
    </row>
    <row r="40" spans="1:22" ht="15.75" customHeight="1" thickBot="1" x14ac:dyDescent="0.3">
      <c r="A40" s="3">
        <v>46396</v>
      </c>
      <c r="B40" s="1" t="s">
        <v>15</v>
      </c>
      <c r="C40" s="2">
        <v>2.06</v>
      </c>
      <c r="D40" s="2">
        <v>0</v>
      </c>
      <c r="E40" s="98">
        <v>2.06</v>
      </c>
      <c r="F40" s="21"/>
      <c r="G40" s="3">
        <v>46396</v>
      </c>
      <c r="H40" s="1" t="s">
        <v>15</v>
      </c>
      <c r="I40" s="2">
        <v>2.5</v>
      </c>
      <c r="J40" s="2">
        <v>0</v>
      </c>
      <c r="K40" s="98">
        <v>2.5</v>
      </c>
      <c r="M40" s="3">
        <v>46396</v>
      </c>
      <c r="N40" s="1" t="s">
        <v>15</v>
      </c>
      <c r="O40" s="2">
        <v>1.75</v>
      </c>
      <c r="P40" s="2">
        <v>0</v>
      </c>
      <c r="Q40" s="98">
        <v>1.75</v>
      </c>
      <c r="T40" s="26"/>
      <c r="U40" s="26"/>
      <c r="V40" s="26"/>
    </row>
    <row r="41" spans="1:22" ht="15.75" customHeight="1" thickBot="1" x14ac:dyDescent="0.3">
      <c r="A41" s="3">
        <v>46577</v>
      </c>
      <c r="B41" s="1" t="s">
        <v>15</v>
      </c>
      <c r="C41" s="2">
        <v>2.06</v>
      </c>
      <c r="D41" s="2">
        <v>0</v>
      </c>
      <c r="E41" s="98">
        <v>2.06</v>
      </c>
      <c r="F41" s="21"/>
      <c r="G41" s="3">
        <v>46577</v>
      </c>
      <c r="H41" s="1" t="s">
        <v>15</v>
      </c>
      <c r="I41" s="2">
        <v>2.5</v>
      </c>
      <c r="J41" s="2">
        <v>4.55</v>
      </c>
      <c r="K41" s="98">
        <v>7.05</v>
      </c>
      <c r="M41" s="3">
        <v>46577</v>
      </c>
      <c r="N41" s="1" t="s">
        <v>15</v>
      </c>
      <c r="O41" s="2">
        <v>1.75</v>
      </c>
      <c r="P41" s="2">
        <v>0</v>
      </c>
      <c r="Q41" s="98">
        <v>1.75</v>
      </c>
      <c r="T41" s="26"/>
      <c r="U41" s="26"/>
      <c r="V41" s="26"/>
    </row>
    <row r="42" spans="1:22" ht="15.75" customHeight="1" thickBot="1" x14ac:dyDescent="0.3">
      <c r="A42" s="3">
        <v>46761</v>
      </c>
      <c r="B42" s="1" t="s">
        <v>15</v>
      </c>
      <c r="C42" s="2">
        <v>2.38</v>
      </c>
      <c r="D42" s="2">
        <v>0</v>
      </c>
      <c r="E42" s="98">
        <v>2.38</v>
      </c>
      <c r="F42" s="21"/>
      <c r="G42" s="3">
        <v>46761</v>
      </c>
      <c r="H42" s="1" t="s">
        <v>15</v>
      </c>
      <c r="I42" s="2">
        <v>2.39</v>
      </c>
      <c r="J42" s="2">
        <v>4.55</v>
      </c>
      <c r="K42" s="4">
        <v>6.94</v>
      </c>
      <c r="M42" s="3">
        <v>46761</v>
      </c>
      <c r="N42" s="1" t="s">
        <v>15</v>
      </c>
      <c r="O42" s="2">
        <v>1.75</v>
      </c>
      <c r="P42" s="2">
        <v>3.57</v>
      </c>
      <c r="Q42" s="98">
        <v>5.32</v>
      </c>
      <c r="T42" s="26"/>
      <c r="U42" s="26"/>
      <c r="V42" s="26"/>
    </row>
    <row r="43" spans="1:22" ht="15.75" customHeight="1" thickBot="1" x14ac:dyDescent="0.3">
      <c r="A43" s="3">
        <v>46943</v>
      </c>
      <c r="B43" s="1" t="s">
        <v>15</v>
      </c>
      <c r="C43" s="2">
        <v>2.38</v>
      </c>
      <c r="D43" s="2">
        <v>0</v>
      </c>
      <c r="E43" s="4">
        <v>2.38</v>
      </c>
      <c r="F43" s="21"/>
      <c r="G43" s="3">
        <v>46943</v>
      </c>
      <c r="H43" s="1" t="s">
        <v>15</v>
      </c>
      <c r="I43" s="2">
        <v>2.27</v>
      </c>
      <c r="J43" s="2">
        <v>4.55</v>
      </c>
      <c r="K43" s="4">
        <v>6.82</v>
      </c>
      <c r="M43" s="3">
        <v>46943</v>
      </c>
      <c r="N43" s="1" t="s">
        <v>15</v>
      </c>
      <c r="O43" s="2">
        <v>1.69</v>
      </c>
      <c r="P43" s="2">
        <v>3.57</v>
      </c>
      <c r="Q43" s="4">
        <v>5.26</v>
      </c>
      <c r="T43" s="26"/>
      <c r="U43" s="26"/>
      <c r="V43" s="26"/>
    </row>
    <row r="44" spans="1:22" ht="15.75" customHeight="1" thickBot="1" x14ac:dyDescent="0.3">
      <c r="A44" s="3">
        <v>47127</v>
      </c>
      <c r="B44" s="1" t="s">
        <v>15</v>
      </c>
      <c r="C44" s="2">
        <v>2.5</v>
      </c>
      <c r="D44" s="2">
        <v>0</v>
      </c>
      <c r="E44" s="4">
        <v>2.5</v>
      </c>
      <c r="F44" s="21"/>
      <c r="G44" s="3">
        <v>47127</v>
      </c>
      <c r="H44" s="1" t="s">
        <v>15</v>
      </c>
      <c r="I44" s="2">
        <v>2.16</v>
      </c>
      <c r="J44" s="2">
        <v>4.55</v>
      </c>
      <c r="K44" s="4">
        <v>6.71</v>
      </c>
      <c r="M44" s="3">
        <v>47127</v>
      </c>
      <c r="N44" s="1" t="s">
        <v>15</v>
      </c>
      <c r="O44" s="2">
        <v>1.63</v>
      </c>
      <c r="P44" s="2">
        <v>3.57</v>
      </c>
      <c r="Q44" s="4">
        <v>5.2</v>
      </c>
      <c r="T44" s="26"/>
      <c r="U44" s="26"/>
      <c r="V44" s="26"/>
    </row>
    <row r="45" spans="1:22" ht="15.75" customHeight="1" thickBot="1" x14ac:dyDescent="0.3">
      <c r="A45" s="3">
        <v>47308</v>
      </c>
      <c r="B45" s="1" t="s">
        <v>15</v>
      </c>
      <c r="C45" s="2">
        <v>2.5</v>
      </c>
      <c r="D45" s="2">
        <v>0</v>
      </c>
      <c r="E45" s="4">
        <v>2.5</v>
      </c>
      <c r="F45" s="21"/>
      <c r="G45" s="3">
        <v>47308</v>
      </c>
      <c r="H45" s="1" t="s">
        <v>15</v>
      </c>
      <c r="I45" s="2">
        <v>2.0499999999999998</v>
      </c>
      <c r="J45" s="2">
        <v>4.55</v>
      </c>
      <c r="K45" s="4">
        <v>6.6</v>
      </c>
      <c r="M45" s="3">
        <v>47308</v>
      </c>
      <c r="N45" s="1" t="s">
        <v>15</v>
      </c>
      <c r="O45" s="2">
        <v>1.56</v>
      </c>
      <c r="P45" s="2">
        <v>3.57</v>
      </c>
      <c r="Q45" s="4">
        <v>5.13</v>
      </c>
      <c r="T45" s="26"/>
      <c r="U45" s="26"/>
      <c r="V45" s="26"/>
    </row>
    <row r="46" spans="1:22" ht="15.75" customHeight="1" thickBot="1" x14ac:dyDescent="0.3">
      <c r="A46" s="3">
        <v>47492</v>
      </c>
      <c r="B46" s="1" t="s">
        <v>15</v>
      </c>
      <c r="C46" s="2">
        <v>2.5</v>
      </c>
      <c r="D46" s="2">
        <v>0</v>
      </c>
      <c r="E46" s="4">
        <v>2.5</v>
      </c>
      <c r="F46" s="21"/>
      <c r="G46" s="3">
        <v>47492</v>
      </c>
      <c r="H46" s="1" t="s">
        <v>15</v>
      </c>
      <c r="I46" s="2">
        <v>1.93</v>
      </c>
      <c r="J46" s="2">
        <v>4.55</v>
      </c>
      <c r="K46" s="4">
        <v>6.48</v>
      </c>
      <c r="M46" s="3">
        <v>47492</v>
      </c>
      <c r="N46" s="1" t="s">
        <v>15</v>
      </c>
      <c r="O46" s="2">
        <v>2.09</v>
      </c>
      <c r="P46" s="2">
        <v>3.57</v>
      </c>
      <c r="Q46" s="4">
        <v>5.66</v>
      </c>
      <c r="T46" s="26"/>
      <c r="U46" s="26"/>
      <c r="V46" s="26"/>
    </row>
    <row r="47" spans="1:22" ht="15.75" customHeight="1" thickBot="1" x14ac:dyDescent="0.3">
      <c r="A47" s="3">
        <v>47673</v>
      </c>
      <c r="B47" s="1" t="s">
        <v>15</v>
      </c>
      <c r="C47" s="2">
        <v>2.5</v>
      </c>
      <c r="D47" s="2">
        <v>0</v>
      </c>
      <c r="E47" s="4">
        <v>2.5</v>
      </c>
      <c r="F47" s="21"/>
      <c r="G47" s="3">
        <v>47673</v>
      </c>
      <c r="H47" s="1" t="s">
        <v>15</v>
      </c>
      <c r="I47" s="2">
        <v>1.82</v>
      </c>
      <c r="J47" s="2">
        <v>4.55</v>
      </c>
      <c r="K47" s="4">
        <v>6.37</v>
      </c>
      <c r="M47" s="3">
        <v>47673</v>
      </c>
      <c r="N47" s="1" t="s">
        <v>15</v>
      </c>
      <c r="O47" s="2">
        <v>2</v>
      </c>
      <c r="P47" s="2">
        <v>3.57</v>
      </c>
      <c r="Q47" s="4">
        <v>5.57</v>
      </c>
      <c r="T47" s="26"/>
      <c r="U47" s="26"/>
      <c r="V47" s="26"/>
    </row>
    <row r="48" spans="1:22" ht="15.75" customHeight="1" thickBot="1" x14ac:dyDescent="0.3">
      <c r="A48" s="3">
        <v>47857</v>
      </c>
      <c r="B48" s="1" t="s">
        <v>15</v>
      </c>
      <c r="C48" s="2">
        <v>2.5</v>
      </c>
      <c r="D48" s="2">
        <v>10</v>
      </c>
      <c r="E48" s="4">
        <v>12.5</v>
      </c>
      <c r="F48" s="21"/>
      <c r="G48" s="3">
        <v>47857</v>
      </c>
      <c r="H48" s="1" t="s">
        <v>15</v>
      </c>
      <c r="I48" s="2">
        <v>1.7</v>
      </c>
      <c r="J48" s="2">
        <v>4.55</v>
      </c>
      <c r="K48" s="4">
        <v>6.25</v>
      </c>
      <c r="M48" s="3">
        <v>47857</v>
      </c>
      <c r="N48" s="1" t="s">
        <v>15</v>
      </c>
      <c r="O48" s="2">
        <v>1.92</v>
      </c>
      <c r="P48" s="2">
        <v>3.57</v>
      </c>
      <c r="Q48" s="4">
        <v>5.49</v>
      </c>
      <c r="T48" s="26"/>
      <c r="U48" s="26"/>
      <c r="V48" s="26"/>
    </row>
    <row r="49" spans="1:23" ht="15.75" customHeight="1" thickBot="1" x14ac:dyDescent="0.3">
      <c r="A49" s="3">
        <v>48038</v>
      </c>
      <c r="B49" s="1" t="s">
        <v>15</v>
      </c>
      <c r="C49" s="2">
        <v>2.25</v>
      </c>
      <c r="D49" s="2">
        <v>10</v>
      </c>
      <c r="E49" s="4">
        <v>12.25</v>
      </c>
      <c r="F49" s="21"/>
      <c r="G49" s="3">
        <v>48038</v>
      </c>
      <c r="H49" s="1" t="s">
        <v>15</v>
      </c>
      <c r="I49" s="2">
        <v>1.59</v>
      </c>
      <c r="J49" s="2">
        <v>4.55</v>
      </c>
      <c r="K49" s="4">
        <v>6.14</v>
      </c>
      <c r="M49" s="3">
        <v>48038</v>
      </c>
      <c r="N49" s="1" t="s">
        <v>15</v>
      </c>
      <c r="O49" s="2">
        <v>1.83</v>
      </c>
      <c r="P49" s="2">
        <v>3.57</v>
      </c>
      <c r="Q49" s="4">
        <v>5.4</v>
      </c>
      <c r="T49" s="26"/>
      <c r="U49" s="26"/>
      <c r="V49" s="26"/>
    </row>
    <row r="50" spans="1:23" ht="15.75" customHeight="1" thickBot="1" x14ac:dyDescent="0.3">
      <c r="A50" s="3">
        <v>48222</v>
      </c>
      <c r="B50" s="1" t="s">
        <v>15</v>
      </c>
      <c r="C50" s="2">
        <v>2</v>
      </c>
      <c r="D50" s="2">
        <v>10</v>
      </c>
      <c r="E50" s="4">
        <v>12</v>
      </c>
      <c r="F50" s="21"/>
      <c r="G50" s="3">
        <v>48222</v>
      </c>
      <c r="H50" s="1" t="s">
        <v>15</v>
      </c>
      <c r="I50" s="2">
        <v>1.48</v>
      </c>
      <c r="J50" s="2">
        <v>4.55</v>
      </c>
      <c r="K50" s="4">
        <v>6.03</v>
      </c>
      <c r="M50" s="3">
        <v>48222</v>
      </c>
      <c r="N50" s="1" t="s">
        <v>15</v>
      </c>
      <c r="O50" s="2">
        <v>1.74</v>
      </c>
      <c r="P50" s="2">
        <v>3.57</v>
      </c>
      <c r="Q50" s="4">
        <v>5.31</v>
      </c>
      <c r="T50" s="26"/>
      <c r="U50" s="26"/>
      <c r="V50" s="26"/>
    </row>
    <row r="51" spans="1:23" ht="15.75" customHeight="1" thickBot="1" x14ac:dyDescent="0.3">
      <c r="A51" s="3">
        <v>48404</v>
      </c>
      <c r="B51" s="1" t="s">
        <v>15</v>
      </c>
      <c r="C51" s="2">
        <v>1.75</v>
      </c>
      <c r="D51" s="2">
        <v>10</v>
      </c>
      <c r="E51" s="4">
        <v>11.75</v>
      </c>
      <c r="F51" s="21"/>
      <c r="G51" s="3">
        <v>48404</v>
      </c>
      <c r="H51" s="1" t="s">
        <v>15</v>
      </c>
      <c r="I51" s="2">
        <v>1.36</v>
      </c>
      <c r="J51" s="2">
        <v>4.55</v>
      </c>
      <c r="K51" s="4">
        <v>5.91</v>
      </c>
      <c r="M51" s="3">
        <v>48404</v>
      </c>
      <c r="N51" s="1" t="s">
        <v>15</v>
      </c>
      <c r="O51" s="2">
        <v>1.65</v>
      </c>
      <c r="P51" s="2">
        <v>3.57</v>
      </c>
      <c r="Q51" s="4">
        <v>5.22</v>
      </c>
      <c r="T51" s="26"/>
      <c r="U51" s="26"/>
      <c r="V51" s="26"/>
    </row>
    <row r="52" spans="1:23" ht="15.75" customHeight="1" thickBot="1" x14ac:dyDescent="0.3">
      <c r="A52" s="3">
        <v>48588</v>
      </c>
      <c r="B52" s="1" t="s">
        <v>15</v>
      </c>
      <c r="C52" s="2">
        <v>1.5</v>
      </c>
      <c r="D52" s="2">
        <v>10</v>
      </c>
      <c r="E52" s="4">
        <v>11.5</v>
      </c>
      <c r="F52" s="21"/>
      <c r="G52" s="3">
        <v>48588</v>
      </c>
      <c r="H52" s="1" t="s">
        <v>15</v>
      </c>
      <c r="I52" s="2">
        <v>1.25</v>
      </c>
      <c r="J52" s="2">
        <v>4.55</v>
      </c>
      <c r="K52" s="4">
        <v>5.8</v>
      </c>
      <c r="L52" s="21"/>
      <c r="M52" s="3">
        <v>48588</v>
      </c>
      <c r="N52" s="1" t="s">
        <v>15</v>
      </c>
      <c r="O52" s="2">
        <v>1.57</v>
      </c>
      <c r="P52" s="2">
        <v>3.57</v>
      </c>
      <c r="Q52" s="4">
        <v>5.14</v>
      </c>
      <c r="T52" s="26"/>
      <c r="U52" s="26"/>
      <c r="V52" s="26"/>
    </row>
    <row r="53" spans="1:23" ht="15.75" customHeight="1" thickBot="1" x14ac:dyDescent="0.3">
      <c r="A53" s="3">
        <v>48769</v>
      </c>
      <c r="B53" s="1" t="s">
        <v>15</v>
      </c>
      <c r="C53" s="2">
        <v>1.25</v>
      </c>
      <c r="D53" s="2">
        <v>10</v>
      </c>
      <c r="E53" s="4">
        <v>11.25</v>
      </c>
      <c r="F53" s="21"/>
      <c r="G53" s="3">
        <v>48769</v>
      </c>
      <c r="H53" s="1" t="s">
        <v>15</v>
      </c>
      <c r="I53" s="2">
        <v>1.1399999999999999</v>
      </c>
      <c r="J53" s="2">
        <v>4.55</v>
      </c>
      <c r="K53" s="4">
        <v>5.69</v>
      </c>
      <c r="L53" s="21"/>
      <c r="M53" s="3">
        <v>48769</v>
      </c>
      <c r="N53" s="1" t="s">
        <v>15</v>
      </c>
      <c r="O53" s="2">
        <v>1.48</v>
      </c>
      <c r="P53" s="2">
        <v>3.57</v>
      </c>
      <c r="Q53" s="4">
        <v>5.05</v>
      </c>
      <c r="T53" s="26"/>
      <c r="U53" s="26"/>
      <c r="V53" s="26"/>
    </row>
    <row r="54" spans="1:23" ht="15.75" customHeight="1" thickBot="1" x14ac:dyDescent="0.3">
      <c r="A54" s="3">
        <v>48953</v>
      </c>
      <c r="B54" s="1" t="s">
        <v>15</v>
      </c>
      <c r="C54" s="2">
        <v>1</v>
      </c>
      <c r="D54" s="2">
        <v>10</v>
      </c>
      <c r="E54" s="4">
        <v>11</v>
      </c>
      <c r="F54" s="21"/>
      <c r="G54" s="3">
        <v>48953</v>
      </c>
      <c r="H54" s="1" t="s">
        <v>15</v>
      </c>
      <c r="I54" s="2">
        <v>1.02</v>
      </c>
      <c r="J54" s="2">
        <v>4.55</v>
      </c>
      <c r="K54" s="4">
        <v>5.57</v>
      </c>
      <c r="L54" s="21"/>
      <c r="M54" s="3">
        <v>48953</v>
      </c>
      <c r="N54" s="1" t="s">
        <v>15</v>
      </c>
      <c r="O54" s="2">
        <v>1.39</v>
      </c>
      <c r="P54" s="2">
        <v>3.57</v>
      </c>
      <c r="Q54" s="4">
        <v>4.96</v>
      </c>
      <c r="U54" s="26"/>
      <c r="V54" s="26"/>
      <c r="W54" s="26"/>
    </row>
    <row r="55" spans="1:23" ht="15.75" customHeight="1" thickBot="1" x14ac:dyDescent="0.3">
      <c r="A55" s="3">
        <v>49134</v>
      </c>
      <c r="B55" s="1" t="s">
        <v>15</v>
      </c>
      <c r="C55" s="2">
        <v>0.75</v>
      </c>
      <c r="D55" s="2">
        <v>10</v>
      </c>
      <c r="E55" s="4">
        <v>10.75</v>
      </c>
      <c r="F55" s="21"/>
      <c r="G55" s="3">
        <v>49134</v>
      </c>
      <c r="H55" s="1" t="s">
        <v>15</v>
      </c>
      <c r="I55" s="2">
        <v>0.91</v>
      </c>
      <c r="J55" s="2">
        <v>4.55</v>
      </c>
      <c r="K55" s="4">
        <v>5.46</v>
      </c>
      <c r="L55" s="21"/>
      <c r="M55" s="3">
        <v>49134</v>
      </c>
      <c r="N55" s="1" t="s">
        <v>15</v>
      </c>
      <c r="O55" s="2">
        <v>1.31</v>
      </c>
      <c r="P55" s="2">
        <v>3.57</v>
      </c>
      <c r="Q55" s="4">
        <v>4.88</v>
      </c>
      <c r="U55" s="26"/>
      <c r="V55" s="26"/>
      <c r="W55" s="26"/>
    </row>
    <row r="56" spans="1:23" ht="15.75" customHeight="1" thickBot="1" x14ac:dyDescent="0.3">
      <c r="A56" s="3">
        <v>49318</v>
      </c>
      <c r="B56" s="1" t="s">
        <v>15</v>
      </c>
      <c r="C56" s="2">
        <v>0.5</v>
      </c>
      <c r="D56" s="2">
        <v>10</v>
      </c>
      <c r="E56" s="4">
        <v>10.5</v>
      </c>
      <c r="F56" s="21"/>
      <c r="G56" s="3">
        <v>49318</v>
      </c>
      <c r="H56" s="1" t="s">
        <v>15</v>
      </c>
      <c r="I56" s="2">
        <v>0.8</v>
      </c>
      <c r="J56" s="2">
        <v>4.55</v>
      </c>
      <c r="K56" s="4">
        <v>5.35</v>
      </c>
      <c r="L56" s="21"/>
      <c r="M56" s="3">
        <v>49318</v>
      </c>
      <c r="N56" s="1" t="s">
        <v>15</v>
      </c>
      <c r="O56" s="2">
        <v>1.22</v>
      </c>
      <c r="P56" s="2">
        <v>3.57</v>
      </c>
      <c r="Q56" s="4">
        <v>4.79</v>
      </c>
      <c r="U56" s="26"/>
      <c r="V56" s="26"/>
      <c r="W56" s="26"/>
    </row>
    <row r="57" spans="1:23" ht="15.75" customHeight="1" thickBot="1" x14ac:dyDescent="0.3">
      <c r="A57" s="3">
        <v>49499</v>
      </c>
      <c r="B57" s="1" t="s">
        <v>15</v>
      </c>
      <c r="C57" s="2">
        <v>0.25</v>
      </c>
      <c r="D57" s="2">
        <v>10</v>
      </c>
      <c r="E57" s="4">
        <v>10.25</v>
      </c>
      <c r="F57" s="21"/>
      <c r="G57" s="3">
        <v>49499</v>
      </c>
      <c r="H57" s="1" t="s">
        <v>15</v>
      </c>
      <c r="I57" s="2">
        <v>0.68</v>
      </c>
      <c r="J57" s="2">
        <v>4.55</v>
      </c>
      <c r="K57" s="4">
        <v>5.23</v>
      </c>
      <c r="L57" s="21"/>
      <c r="M57" s="3">
        <v>49499</v>
      </c>
      <c r="N57" s="1" t="s">
        <v>15</v>
      </c>
      <c r="O57" s="2">
        <v>1.1299999999999999</v>
      </c>
      <c r="P57" s="2">
        <v>3.57</v>
      </c>
      <c r="Q57" s="4">
        <v>4.7</v>
      </c>
      <c r="U57" s="26"/>
      <c r="V57" s="26"/>
      <c r="W57" s="26"/>
    </row>
    <row r="58" spans="1:23" ht="15.75" customHeight="1" thickBot="1" x14ac:dyDescent="0.3">
      <c r="A58" s="5"/>
      <c r="B58" s="6"/>
      <c r="C58" s="7">
        <f>SUM(C34:C57)</f>
        <v>44.49</v>
      </c>
      <c r="D58" s="7">
        <f>SUM(D34:D57)</f>
        <v>100</v>
      </c>
      <c r="E58" s="8">
        <f>SUM(E34:E57)</f>
        <v>144.49</v>
      </c>
      <c r="F58" s="21"/>
      <c r="G58" s="3">
        <v>49683</v>
      </c>
      <c r="H58" s="1" t="s">
        <v>15</v>
      </c>
      <c r="I58" s="2">
        <v>0.56999999999999995</v>
      </c>
      <c r="J58" s="2">
        <v>4.55</v>
      </c>
      <c r="K58" s="4">
        <v>5.12</v>
      </c>
      <c r="L58" s="21"/>
      <c r="M58" s="3">
        <v>49683</v>
      </c>
      <c r="N58" s="1" t="s">
        <v>15</v>
      </c>
      <c r="O58" s="2">
        <v>1.04</v>
      </c>
      <c r="P58" s="2">
        <v>3.57</v>
      </c>
      <c r="Q58" s="4">
        <v>4.6100000000000003</v>
      </c>
      <c r="U58" s="26"/>
      <c r="V58" s="26"/>
      <c r="W58" s="26"/>
    </row>
    <row r="59" spans="1:23" ht="15.75" customHeight="1" thickBot="1" x14ac:dyDescent="0.3">
      <c r="B59" s="21"/>
      <c r="F59" s="21"/>
      <c r="G59" s="3">
        <v>49865</v>
      </c>
      <c r="H59" s="1" t="s">
        <v>15</v>
      </c>
      <c r="I59" s="2">
        <v>0.45</v>
      </c>
      <c r="J59" s="2">
        <v>4.55</v>
      </c>
      <c r="K59" s="4">
        <v>5</v>
      </c>
      <c r="L59" s="21"/>
      <c r="M59" s="3">
        <v>49865</v>
      </c>
      <c r="N59" s="1" t="s">
        <v>15</v>
      </c>
      <c r="O59" s="2">
        <v>0.96</v>
      </c>
      <c r="P59" s="2">
        <v>3.57</v>
      </c>
      <c r="Q59" s="4">
        <v>4.53</v>
      </c>
      <c r="U59" s="26"/>
      <c r="V59" s="26"/>
      <c r="W59" s="26"/>
    </row>
    <row r="60" spans="1:23" ht="15.75" customHeight="1" thickBot="1" x14ac:dyDescent="0.3">
      <c r="B60" s="21"/>
      <c r="F60" s="21"/>
      <c r="G60" s="3">
        <v>50049</v>
      </c>
      <c r="H60" s="1" t="s">
        <v>15</v>
      </c>
      <c r="I60" s="2">
        <v>0.34</v>
      </c>
      <c r="J60" s="2">
        <v>4.55</v>
      </c>
      <c r="K60" s="4">
        <v>4.8899999999999997</v>
      </c>
      <c r="L60" s="21"/>
      <c r="M60" s="3">
        <v>50049</v>
      </c>
      <c r="N60" s="1" t="s">
        <v>15</v>
      </c>
      <c r="O60" s="2">
        <v>0.87</v>
      </c>
      <c r="P60" s="2">
        <v>3.57</v>
      </c>
      <c r="Q60" s="4">
        <v>4.4400000000000004</v>
      </c>
      <c r="U60" s="26"/>
      <c r="V60" s="26"/>
      <c r="W60" s="26"/>
    </row>
    <row r="61" spans="1:23" ht="15.75" customHeight="1" thickBot="1" x14ac:dyDescent="0.3">
      <c r="B61" s="21"/>
      <c r="F61" s="21"/>
      <c r="G61" s="3">
        <v>50230</v>
      </c>
      <c r="H61" s="1" t="s">
        <v>15</v>
      </c>
      <c r="I61" s="2">
        <v>0.23</v>
      </c>
      <c r="J61" s="2">
        <v>4.55</v>
      </c>
      <c r="K61" s="4">
        <v>4.78</v>
      </c>
      <c r="L61" s="21"/>
      <c r="M61" s="3">
        <v>50230</v>
      </c>
      <c r="N61" s="1" t="s">
        <v>15</v>
      </c>
      <c r="O61" s="2">
        <v>0.78</v>
      </c>
      <c r="P61" s="2">
        <v>3.57</v>
      </c>
      <c r="Q61" s="4">
        <v>4.3499999999999996</v>
      </c>
      <c r="U61" s="26"/>
      <c r="V61" s="26"/>
      <c r="W61" s="26"/>
    </row>
    <row r="62" spans="1:23" ht="15.75" customHeight="1" thickBot="1" x14ac:dyDescent="0.3">
      <c r="B62" s="21"/>
      <c r="F62" s="21"/>
      <c r="G62" s="3">
        <v>50414</v>
      </c>
      <c r="H62" s="1" t="s">
        <v>15</v>
      </c>
      <c r="I62" s="2">
        <v>0.11</v>
      </c>
      <c r="J62" s="2">
        <v>4.55</v>
      </c>
      <c r="K62" s="4">
        <v>4.66</v>
      </c>
      <c r="L62" s="21"/>
      <c r="M62" s="3">
        <v>50414</v>
      </c>
      <c r="N62" s="1" t="s">
        <v>15</v>
      </c>
      <c r="O62" s="2">
        <v>0.7</v>
      </c>
      <c r="P62" s="2">
        <v>3.57</v>
      </c>
      <c r="Q62" s="4">
        <v>4.2699999999999996</v>
      </c>
      <c r="U62" s="26"/>
      <c r="V62" s="26"/>
      <c r="W62" s="26"/>
    </row>
    <row r="63" spans="1:23" ht="15.75" customHeight="1" thickBot="1" x14ac:dyDescent="0.3">
      <c r="B63" s="21"/>
      <c r="F63" s="21"/>
      <c r="G63" s="5"/>
      <c r="H63" s="10"/>
      <c r="I63" s="7">
        <f>SUM(I34:I62)</f>
        <v>45.49</v>
      </c>
      <c r="J63" s="7">
        <f>SUM(J34:J62)</f>
        <v>100.09999999999997</v>
      </c>
      <c r="K63" s="8">
        <f>SUM(K34:K62)</f>
        <v>145.58999999999997</v>
      </c>
      <c r="L63" s="21"/>
      <c r="M63" s="3">
        <v>50595</v>
      </c>
      <c r="N63" s="1" t="s">
        <v>15</v>
      </c>
      <c r="O63" s="2">
        <v>0.61</v>
      </c>
      <c r="P63" s="2">
        <v>3.57</v>
      </c>
      <c r="Q63" s="4">
        <v>4.18</v>
      </c>
      <c r="U63" s="26"/>
      <c r="V63" s="26"/>
      <c r="W63" s="26"/>
    </row>
    <row r="64" spans="1:23" ht="15.75" customHeight="1" thickBot="1" x14ac:dyDescent="0.3">
      <c r="B64" s="21"/>
      <c r="F64" s="21"/>
      <c r="L64" s="21"/>
      <c r="M64" s="3">
        <v>50779</v>
      </c>
      <c r="N64" s="1" t="s">
        <v>15</v>
      </c>
      <c r="O64" s="2">
        <v>0.52</v>
      </c>
      <c r="P64" s="2">
        <v>3.57</v>
      </c>
      <c r="Q64" s="4">
        <v>4.09</v>
      </c>
      <c r="U64" s="26"/>
      <c r="V64" s="26"/>
      <c r="W64" s="26"/>
    </row>
    <row r="65" spans="1:23" ht="15.75" customHeight="1" thickBot="1" x14ac:dyDescent="0.3">
      <c r="B65" s="21"/>
      <c r="F65" s="21"/>
      <c r="L65" s="21"/>
      <c r="M65" s="3">
        <v>50960</v>
      </c>
      <c r="N65" s="1" t="s">
        <v>15</v>
      </c>
      <c r="O65" s="2">
        <v>0.44</v>
      </c>
      <c r="P65" s="2">
        <v>3.57</v>
      </c>
      <c r="Q65" s="4">
        <v>4.01</v>
      </c>
      <c r="U65" s="26"/>
      <c r="V65" s="26"/>
      <c r="W65" s="26"/>
    </row>
    <row r="66" spans="1:23" ht="15.75" customHeight="1" thickBot="1" x14ac:dyDescent="0.3">
      <c r="B66" s="21"/>
      <c r="F66" s="21"/>
      <c r="L66" s="21"/>
      <c r="M66" s="3">
        <v>51144</v>
      </c>
      <c r="N66" s="1" t="s">
        <v>15</v>
      </c>
      <c r="O66" s="2">
        <v>0.35</v>
      </c>
      <c r="P66" s="2">
        <v>3.57</v>
      </c>
      <c r="Q66" s="4">
        <v>3.92</v>
      </c>
      <c r="U66" s="26"/>
      <c r="V66" s="26"/>
      <c r="W66" s="26"/>
    </row>
    <row r="67" spans="1:23" ht="15.75" customHeight="1" thickBot="1" x14ac:dyDescent="0.3">
      <c r="B67" s="21"/>
      <c r="F67" s="21"/>
      <c r="L67" s="21"/>
      <c r="M67" s="3">
        <v>51326</v>
      </c>
      <c r="N67" s="1" t="s">
        <v>15</v>
      </c>
      <c r="O67" s="2">
        <v>0.26</v>
      </c>
      <c r="P67" s="2">
        <v>3.57</v>
      </c>
      <c r="Q67" s="4">
        <v>3.83</v>
      </c>
      <c r="U67" s="26"/>
      <c r="V67" s="26"/>
      <c r="W67" s="26"/>
    </row>
    <row r="68" spans="1:23" ht="15.75" customHeight="1" thickBot="1" x14ac:dyDescent="0.3">
      <c r="B68" s="21"/>
      <c r="F68" s="21"/>
      <c r="L68" s="21"/>
      <c r="M68" s="3">
        <v>51510</v>
      </c>
      <c r="N68" s="1" t="s">
        <v>15</v>
      </c>
      <c r="O68" s="2">
        <v>0.17</v>
      </c>
      <c r="P68" s="2">
        <v>3.57</v>
      </c>
      <c r="Q68" s="4">
        <v>3.74</v>
      </c>
      <c r="U68" s="26"/>
      <c r="V68" s="26"/>
      <c r="W68" s="26"/>
    </row>
    <row r="69" spans="1:23" ht="15.75" customHeight="1" thickBot="1" x14ac:dyDescent="0.3">
      <c r="B69" s="21"/>
      <c r="F69" s="21"/>
      <c r="L69" s="21"/>
      <c r="M69" s="3">
        <v>51691</v>
      </c>
      <c r="N69" s="1" t="s">
        <v>15</v>
      </c>
      <c r="O69" s="2">
        <v>0.09</v>
      </c>
      <c r="P69" s="2">
        <v>3.57</v>
      </c>
      <c r="Q69" s="4">
        <v>3.66</v>
      </c>
      <c r="U69" s="26"/>
      <c r="V69" s="26"/>
      <c r="W69" s="26"/>
    </row>
    <row r="70" spans="1:23" ht="15.75" customHeight="1" thickBot="1" x14ac:dyDescent="0.3">
      <c r="B70" s="21"/>
      <c r="F70" s="21"/>
      <c r="L70" s="21"/>
      <c r="M70" s="5"/>
      <c r="N70" s="10"/>
      <c r="O70" s="7">
        <f>SUM(O34:O69)</f>
        <v>46.75</v>
      </c>
      <c r="P70" s="7">
        <f>SUM(P34:P69)</f>
        <v>99.959999999999923</v>
      </c>
      <c r="Q70" s="8">
        <f>SUM(Q34:Q69)</f>
        <v>146.70999999999998</v>
      </c>
    </row>
    <row r="71" spans="1:23" ht="15.75" customHeight="1" x14ac:dyDescent="0.25">
      <c r="B71" s="21"/>
      <c r="F71" s="21"/>
      <c r="L71" s="21"/>
    </row>
    <row r="72" spans="1:23" ht="15.75" customHeight="1" x14ac:dyDescent="0.25">
      <c r="B72" s="21"/>
    </row>
    <row r="73" spans="1:23" ht="15.75" customHeight="1" x14ac:dyDescent="0.25">
      <c r="B73" s="21"/>
    </row>
    <row r="74" spans="1:23" ht="15.75" customHeight="1" x14ac:dyDescent="0.25">
      <c r="B74" s="21"/>
      <c r="M74" s="21"/>
    </row>
    <row r="75" spans="1:23" ht="15.75" customHeight="1" x14ac:dyDescent="0.25">
      <c r="A75" s="22"/>
      <c r="B75" s="23"/>
      <c r="D75" s="21"/>
      <c r="E75" s="21"/>
      <c r="G75" s="21"/>
      <c r="H75" s="21"/>
      <c r="I75" s="21"/>
      <c r="J75" s="21"/>
      <c r="K75" s="21"/>
    </row>
    <row r="76" spans="1:23" ht="15.75" customHeight="1" x14ac:dyDescent="0.25">
      <c r="A76" s="22"/>
      <c r="B76" s="23"/>
      <c r="D76" s="21"/>
      <c r="E76" s="21"/>
      <c r="G76" s="21"/>
      <c r="H76" s="21"/>
      <c r="I76" s="21"/>
      <c r="J76" s="21"/>
      <c r="K76" s="21"/>
    </row>
    <row r="77" spans="1:23" ht="15.75" customHeight="1" x14ac:dyDescent="0.25">
      <c r="A77" s="22"/>
      <c r="B77" s="23"/>
      <c r="D77" s="21"/>
      <c r="E77" s="21"/>
      <c r="F77" s="21"/>
      <c r="G77" s="21"/>
      <c r="H77" s="21"/>
      <c r="I77" s="21"/>
      <c r="J77" s="21"/>
      <c r="K77" s="21"/>
      <c r="L77" s="21"/>
    </row>
    <row r="78" spans="1:23" ht="15.75" customHeight="1" x14ac:dyDescent="0.25">
      <c r="A78" s="22"/>
      <c r="B78" s="23"/>
      <c r="D78" s="21"/>
      <c r="E78" s="21"/>
      <c r="F78" s="21"/>
      <c r="G78" s="21"/>
      <c r="H78" s="21"/>
      <c r="I78" s="21"/>
      <c r="J78" s="21"/>
      <c r="K78" s="21"/>
      <c r="L78" s="21"/>
    </row>
    <row r="79" spans="1:23" x14ac:dyDescent="0.25">
      <c r="A79" s="22"/>
      <c r="B79" s="23"/>
      <c r="D79" s="21"/>
      <c r="E79" s="21"/>
      <c r="F79" s="21"/>
      <c r="G79" s="21"/>
      <c r="H79" s="21"/>
      <c r="I79" s="21"/>
      <c r="J79" s="21"/>
      <c r="K79" s="21"/>
      <c r="L79" s="21"/>
    </row>
    <row r="80" spans="1:23" x14ac:dyDescent="0.25">
      <c r="A80" s="24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</row>
    <row r="81" spans="2:12" x14ac:dyDescent="0.25"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</row>
    <row r="82" spans="2:12" x14ac:dyDescent="0.25">
      <c r="B82" s="21"/>
      <c r="F82" s="21"/>
      <c r="G82" s="21"/>
      <c r="H82" s="21"/>
      <c r="I82" s="21"/>
      <c r="J82" s="21"/>
      <c r="K82" s="21"/>
      <c r="L82" s="21"/>
    </row>
    <row r="83" spans="2:12" x14ac:dyDescent="0.25">
      <c r="B83" s="21"/>
      <c r="F83" s="21"/>
      <c r="G83" s="21"/>
      <c r="H83" s="21"/>
      <c r="I83" s="21"/>
      <c r="J83" s="21"/>
      <c r="K83" s="21"/>
      <c r="L83" s="21"/>
    </row>
    <row r="84" spans="2:12" x14ac:dyDescent="0.25">
      <c r="B84" s="21"/>
      <c r="F84" s="21"/>
      <c r="G84" s="21"/>
      <c r="H84" s="21"/>
      <c r="I84" s="21"/>
      <c r="J84" s="21"/>
      <c r="K84" s="21"/>
      <c r="L84" s="21"/>
    </row>
    <row r="85" spans="2:12" x14ac:dyDescent="0.25">
      <c r="B85" s="21"/>
      <c r="F85" s="21"/>
      <c r="G85" s="21"/>
      <c r="H85" s="21"/>
      <c r="I85" s="21"/>
      <c r="J85" s="21"/>
      <c r="K85" s="21"/>
      <c r="L85" s="21"/>
    </row>
    <row r="86" spans="2:12" x14ac:dyDescent="0.25">
      <c r="B86" s="21"/>
      <c r="F86" s="21"/>
      <c r="G86" s="21"/>
      <c r="H86" s="21"/>
      <c r="I86" s="21"/>
      <c r="J86" s="21"/>
      <c r="K86" s="21"/>
      <c r="L86" s="21"/>
    </row>
    <row r="87" spans="2:12" x14ac:dyDescent="0.25">
      <c r="B87" s="21"/>
      <c r="F87" s="21"/>
      <c r="G87" s="21"/>
      <c r="H87" s="21"/>
      <c r="I87" s="21"/>
      <c r="J87" s="21"/>
      <c r="K87" s="21"/>
      <c r="L87" s="21"/>
    </row>
    <row r="88" spans="2:12" x14ac:dyDescent="0.25">
      <c r="B88" s="21"/>
      <c r="F88" s="21"/>
      <c r="G88" s="21"/>
      <c r="H88" s="21"/>
      <c r="I88" s="21"/>
      <c r="J88" s="21"/>
      <c r="K88" s="21"/>
      <c r="L88" s="21"/>
    </row>
    <row r="89" spans="2:12" x14ac:dyDescent="0.25">
      <c r="B89" s="21"/>
      <c r="F89" s="21"/>
      <c r="G89" s="21"/>
      <c r="H89" s="21"/>
      <c r="I89" s="21"/>
      <c r="J89" s="21"/>
      <c r="K89" s="21"/>
      <c r="L89" s="21"/>
    </row>
    <row r="90" spans="2:12" x14ac:dyDescent="0.25">
      <c r="B90" s="21"/>
      <c r="F90" s="21"/>
      <c r="G90" s="21"/>
      <c r="H90" s="21"/>
      <c r="I90" s="21"/>
      <c r="J90" s="21"/>
      <c r="K90" s="21"/>
      <c r="L90" s="21"/>
    </row>
    <row r="91" spans="2:12" x14ac:dyDescent="0.25">
      <c r="B91" s="21"/>
      <c r="F91" s="21"/>
      <c r="G91" s="21"/>
      <c r="H91" s="21"/>
      <c r="I91" s="21"/>
      <c r="J91" s="21"/>
      <c r="K91" s="21"/>
      <c r="L91" s="21"/>
    </row>
    <row r="92" spans="2:12" x14ac:dyDescent="0.25">
      <c r="B92" s="21"/>
      <c r="F92" s="21"/>
      <c r="G92" s="21"/>
      <c r="H92" s="21"/>
      <c r="I92" s="21"/>
      <c r="J92" s="21"/>
      <c r="K92" s="21"/>
      <c r="L92" s="21"/>
    </row>
    <row r="93" spans="2:12" x14ac:dyDescent="0.25">
      <c r="B93" s="21"/>
      <c r="F93" s="21"/>
      <c r="G93" s="21"/>
      <c r="H93" s="21"/>
      <c r="I93" s="21"/>
      <c r="J93" s="21"/>
      <c r="K93" s="21"/>
      <c r="L93" s="21"/>
    </row>
    <row r="94" spans="2:12" x14ac:dyDescent="0.25">
      <c r="B94" s="21"/>
      <c r="F94" s="21"/>
      <c r="G94" s="21"/>
      <c r="H94" s="21"/>
      <c r="I94" s="21"/>
      <c r="J94" s="21"/>
      <c r="K94" s="21"/>
      <c r="L94" s="21"/>
    </row>
    <row r="95" spans="2:12" x14ac:dyDescent="0.25">
      <c r="B95" s="21"/>
      <c r="F95" s="21"/>
      <c r="G95" s="21"/>
      <c r="H95" s="21"/>
      <c r="I95" s="21"/>
      <c r="J95" s="21"/>
      <c r="K95" s="21"/>
      <c r="L95" s="21"/>
    </row>
    <row r="96" spans="2:12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L98" s="21"/>
    </row>
    <row r="99" spans="2:12" x14ac:dyDescent="0.25">
      <c r="B99" s="21"/>
      <c r="F99" s="21"/>
      <c r="L99" s="21"/>
    </row>
    <row r="100" spans="2:12" x14ac:dyDescent="0.25">
      <c r="B100" s="21"/>
    </row>
    <row r="101" spans="2:12" x14ac:dyDescent="0.25">
      <c r="B101" s="21"/>
    </row>
    <row r="102" spans="2:12" x14ac:dyDescent="0.25">
      <c r="B102" s="21"/>
    </row>
    <row r="103" spans="2:12" x14ac:dyDescent="0.25">
      <c r="B103" s="21"/>
    </row>
    <row r="104" spans="2:12" x14ac:dyDescent="0.25">
      <c r="B104" s="21"/>
    </row>
    <row r="105" spans="2:12" x14ac:dyDescent="0.25">
      <c r="B10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Y107"/>
  <sheetViews>
    <sheetView topLeftCell="B7" workbookViewId="0">
      <selection activeCell="R10" sqref="R10"/>
    </sheetView>
  </sheetViews>
  <sheetFormatPr baseColWidth="10" defaultRowHeight="15" x14ac:dyDescent="0.25"/>
  <cols>
    <col min="1" max="1" width="22.140625" style="74" bestFit="1" customWidth="1"/>
    <col min="2" max="2" width="10.7109375" style="74" bestFit="1" customWidth="1"/>
    <col min="3" max="6" width="11.42578125" style="74" customWidth="1"/>
    <col min="7" max="7" width="22.140625" style="74" bestFit="1" customWidth="1"/>
    <col min="8" max="8" width="11.85546875" style="74" bestFit="1" customWidth="1"/>
    <col min="9" max="12" width="11.42578125" style="74" customWidth="1"/>
    <col min="13" max="13" width="22.140625" style="74" bestFit="1" customWidth="1"/>
    <col min="14" max="14" width="11.85546875" style="74" bestFit="1" customWidth="1"/>
    <col min="15" max="18" width="11.42578125" style="74" customWidth="1"/>
    <col min="19" max="19" width="22.140625" style="74" bestFit="1" customWidth="1"/>
    <col min="20" max="42" width="11.42578125" style="74" customWidth="1"/>
    <col min="43" max="16384" width="11.42578125" style="74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 t="e">
        <f>#REF!-B5</f>
        <v>#REF!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44570</v>
      </c>
      <c r="C5" s="27"/>
      <c r="D5" s="26" t="e">
        <f>DAYS360(B5,#REF!)</f>
        <v>#REF!</v>
      </c>
      <c r="E5" s="28"/>
      <c r="G5" s="31" t="s">
        <v>10</v>
      </c>
      <c r="H5" s="24">
        <v>44570</v>
      </c>
      <c r="I5" s="27"/>
      <c r="J5" s="27"/>
      <c r="K5" s="28"/>
      <c r="L5" s="21"/>
      <c r="M5" s="31" t="s">
        <v>10</v>
      </c>
      <c r="N5" s="24">
        <v>44570</v>
      </c>
      <c r="O5" s="27"/>
      <c r="P5" s="27"/>
      <c r="Q5" s="28"/>
      <c r="S5" s="31" t="s">
        <v>10</v>
      </c>
      <c r="T5" s="24">
        <v>44570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 t="e">
        <f>DAYS360(B5,#REF!)</f>
        <v>#REF!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1.4972222222222222</v>
      </c>
      <c r="C8" s="27"/>
      <c r="D8" s="48"/>
      <c r="E8" s="28"/>
      <c r="F8" s="47"/>
      <c r="G8" s="31" t="s">
        <v>13</v>
      </c>
      <c r="H8" s="46">
        <f ca="1">H6*DAYS360(H5,TODAY())/360*100</f>
        <v>1.4972222222222222</v>
      </c>
      <c r="I8" s="27"/>
      <c r="J8" s="27"/>
      <c r="K8" s="28"/>
      <c r="L8" s="21"/>
      <c r="M8" s="31" t="s">
        <v>13</v>
      </c>
      <c r="N8" s="46">
        <f ca="1">N6*DAYS360(N5,TODAY())/360*100</f>
        <v>0.18715277777777778</v>
      </c>
      <c r="O8" s="27"/>
      <c r="P8" s="27"/>
      <c r="Q8" s="28"/>
      <c r="S8" s="31" t="s">
        <v>13</v>
      </c>
      <c r="T8" s="46">
        <f ca="1">T6*DAYS360(T5,TODAY())/360*100</f>
        <v>0.18715277777777778</v>
      </c>
      <c r="U8" s="27"/>
      <c r="V8" s="27"/>
      <c r="W8" s="28"/>
    </row>
    <row r="9" spans="1:25" ht="18.75" customHeight="1" thickBot="1" x14ac:dyDescent="0.35">
      <c r="A9" s="30" t="s">
        <v>14</v>
      </c>
      <c r="B9" s="46">
        <f ca="1">B7+B8</f>
        <v>101.49722222222222</v>
      </c>
      <c r="C9" s="27"/>
      <c r="D9" s="27"/>
      <c r="E9" s="96">
        <v>-23.5</v>
      </c>
      <c r="F9" s="21">
        <v>31721</v>
      </c>
      <c r="G9" s="31" t="s">
        <v>14</v>
      </c>
      <c r="H9" s="46">
        <f ca="1">H7+H8</f>
        <v>101.49722222222222</v>
      </c>
      <c r="I9" s="27"/>
      <c r="J9" s="27"/>
      <c r="K9" s="96">
        <v>-20.45</v>
      </c>
      <c r="L9" s="21"/>
      <c r="M9" s="31" t="s">
        <v>14</v>
      </c>
      <c r="N9" s="46">
        <f ca="1">N7+N8</f>
        <v>100.18715277777778</v>
      </c>
      <c r="O9" s="27"/>
      <c r="P9" s="27"/>
      <c r="Q9" s="96">
        <v>-22.9</v>
      </c>
      <c r="R9" s="74">
        <v>20197</v>
      </c>
      <c r="S9" s="31" t="s">
        <v>14</v>
      </c>
      <c r="T9" s="46">
        <f ca="1">T7+T8</f>
        <v>100.18715277777778</v>
      </c>
      <c r="U9" s="27"/>
      <c r="V9" s="27"/>
      <c r="W9" s="96">
        <v>-20.48</v>
      </c>
    </row>
    <row r="10" spans="1:25" ht="15.75" customHeight="1" thickBot="1" x14ac:dyDescent="0.3">
      <c r="A10" s="3">
        <v>45116</v>
      </c>
      <c r="B10" s="1" t="s">
        <v>15</v>
      </c>
      <c r="C10" s="39">
        <v>0.5</v>
      </c>
      <c r="D10" s="2">
        <v>0</v>
      </c>
      <c r="E10" s="97">
        <v>0.5</v>
      </c>
      <c r="F10" s="21">
        <f>F9*E10/100</f>
        <v>158.60499999999999</v>
      </c>
      <c r="G10" s="3">
        <v>45116</v>
      </c>
      <c r="H10" t="s">
        <v>15</v>
      </c>
      <c r="I10" s="2">
        <v>0.5</v>
      </c>
      <c r="J10" s="2">
        <v>0</v>
      </c>
      <c r="K10" s="98">
        <v>0.5</v>
      </c>
      <c r="L10" s="21"/>
      <c r="M10" s="3">
        <v>45116</v>
      </c>
      <c r="N10" t="s">
        <v>15</v>
      </c>
      <c r="O10" s="2">
        <v>0.25</v>
      </c>
      <c r="P10" s="2">
        <v>0</v>
      </c>
      <c r="Q10" s="98">
        <v>0.25</v>
      </c>
      <c r="R10" s="74">
        <f>R9*Q10/100</f>
        <v>50.4925</v>
      </c>
      <c r="S10" s="3">
        <v>45116</v>
      </c>
      <c r="T10" t="s">
        <v>15</v>
      </c>
      <c r="U10" s="2">
        <v>0.25</v>
      </c>
      <c r="V10" s="2">
        <v>0</v>
      </c>
      <c r="W10" s="98">
        <v>0.25</v>
      </c>
    </row>
    <row r="11" spans="1:25" ht="15.75" customHeight="1" thickBot="1" x14ac:dyDescent="0.3">
      <c r="A11" s="3">
        <v>45300</v>
      </c>
      <c r="B11" s="1" t="s">
        <v>15</v>
      </c>
      <c r="C11" s="39">
        <v>0.5</v>
      </c>
      <c r="D11" s="2">
        <v>0</v>
      </c>
      <c r="E11" s="97">
        <v>0.5</v>
      </c>
      <c r="F11" s="21"/>
      <c r="G11" s="3">
        <v>45300</v>
      </c>
      <c r="H11" t="s">
        <v>15</v>
      </c>
      <c r="I11" s="2">
        <v>0.5</v>
      </c>
      <c r="J11" s="2">
        <v>0</v>
      </c>
      <c r="K11" s="98">
        <v>0.5</v>
      </c>
      <c r="L11" s="21"/>
      <c r="M11" s="3">
        <v>45300</v>
      </c>
      <c r="N11" t="s">
        <v>15</v>
      </c>
      <c r="O11" s="2">
        <v>0.38</v>
      </c>
      <c r="P11" s="2">
        <v>0</v>
      </c>
      <c r="Q11" s="98">
        <v>0.38</v>
      </c>
      <c r="S11" s="3">
        <v>45300</v>
      </c>
      <c r="T11" t="s">
        <v>15</v>
      </c>
      <c r="U11" s="2">
        <v>0.38</v>
      </c>
      <c r="V11" s="2">
        <v>0</v>
      </c>
      <c r="W11" s="98">
        <v>0.38</v>
      </c>
    </row>
    <row r="12" spans="1:25" ht="15.75" customHeight="1" thickBot="1" x14ac:dyDescent="0.3">
      <c r="A12" s="3">
        <v>45482</v>
      </c>
      <c r="B12" s="1" t="s">
        <v>15</v>
      </c>
      <c r="C12" s="39">
        <v>0.5</v>
      </c>
      <c r="D12" s="2">
        <v>0</v>
      </c>
      <c r="E12" s="97">
        <v>0.5</v>
      </c>
      <c r="F12" s="21"/>
      <c r="G12" s="3">
        <v>45482</v>
      </c>
      <c r="H12" t="s">
        <v>15</v>
      </c>
      <c r="I12" s="2">
        <v>0.5</v>
      </c>
      <c r="J12" s="2">
        <v>0</v>
      </c>
      <c r="K12" s="98">
        <v>0.5</v>
      </c>
      <c r="L12" s="21"/>
      <c r="M12" s="3">
        <v>45482</v>
      </c>
      <c r="N12" t="s">
        <v>15</v>
      </c>
      <c r="O12" s="2">
        <v>0.38</v>
      </c>
      <c r="P12" s="2">
        <v>4</v>
      </c>
      <c r="Q12" s="98">
        <v>4.38</v>
      </c>
      <c r="S12" s="3">
        <v>45482</v>
      </c>
      <c r="T12" t="s">
        <v>15</v>
      </c>
      <c r="U12" s="2">
        <v>0.38</v>
      </c>
      <c r="V12" s="2">
        <v>4</v>
      </c>
      <c r="W12" s="98">
        <v>4.38</v>
      </c>
    </row>
    <row r="13" spans="1:25" ht="15.75" customHeight="1" thickBot="1" x14ac:dyDescent="0.3">
      <c r="A13" s="3">
        <v>45666</v>
      </c>
      <c r="B13" s="1" t="s">
        <v>15</v>
      </c>
      <c r="C13" s="39">
        <v>0.5</v>
      </c>
      <c r="D13" s="2">
        <v>10</v>
      </c>
      <c r="E13" s="97">
        <v>10.5</v>
      </c>
      <c r="F13" s="21"/>
      <c r="G13" s="3">
        <v>45666</v>
      </c>
      <c r="H13" t="s">
        <v>15</v>
      </c>
      <c r="I13" s="2">
        <v>0.5</v>
      </c>
      <c r="J13" s="2">
        <v>10</v>
      </c>
      <c r="K13" s="98">
        <v>10.5</v>
      </c>
      <c r="L13" s="21"/>
      <c r="M13" s="3">
        <v>45666</v>
      </c>
      <c r="N13" t="s">
        <v>15</v>
      </c>
      <c r="O13" s="2">
        <v>0.36</v>
      </c>
      <c r="P13" s="2">
        <v>8</v>
      </c>
      <c r="Q13" s="98">
        <v>8.36</v>
      </c>
      <c r="S13" s="3">
        <v>45666</v>
      </c>
      <c r="T13" t="s">
        <v>15</v>
      </c>
      <c r="U13" s="2">
        <v>0.36</v>
      </c>
      <c r="V13" s="2">
        <v>8</v>
      </c>
      <c r="W13" s="98">
        <v>8.36</v>
      </c>
    </row>
    <row r="14" spans="1:25" ht="15.75" customHeight="1" thickBot="1" x14ac:dyDescent="0.3">
      <c r="A14" s="3">
        <v>45847</v>
      </c>
      <c r="B14" s="1" t="s">
        <v>15</v>
      </c>
      <c r="C14" s="39">
        <v>0.45</v>
      </c>
      <c r="D14" s="2">
        <v>10</v>
      </c>
      <c r="E14" s="97">
        <v>10.45</v>
      </c>
      <c r="F14" s="21"/>
      <c r="G14" s="3">
        <v>45847</v>
      </c>
      <c r="H14" t="s">
        <v>15</v>
      </c>
      <c r="I14" s="2">
        <v>0.45</v>
      </c>
      <c r="J14" s="2">
        <v>10</v>
      </c>
      <c r="K14" s="98">
        <v>10.45</v>
      </c>
      <c r="L14" s="21"/>
      <c r="M14" s="3">
        <v>45847</v>
      </c>
      <c r="N14" t="s">
        <v>15</v>
      </c>
      <c r="O14" s="2">
        <v>0.33</v>
      </c>
      <c r="P14" s="2">
        <v>8</v>
      </c>
      <c r="Q14" s="98">
        <v>8.33</v>
      </c>
      <c r="S14" s="3">
        <v>45847</v>
      </c>
      <c r="T14" t="s">
        <v>15</v>
      </c>
      <c r="U14" s="2">
        <v>0.33</v>
      </c>
      <c r="V14" s="2">
        <v>8</v>
      </c>
      <c r="W14" s="98">
        <v>8.33</v>
      </c>
    </row>
    <row r="15" spans="1:25" ht="15.75" customHeight="1" thickBot="1" x14ac:dyDescent="0.3">
      <c r="A15" s="3">
        <v>46031</v>
      </c>
      <c r="B15" s="1" t="s">
        <v>15</v>
      </c>
      <c r="C15" s="39">
        <v>0.4</v>
      </c>
      <c r="D15" s="2">
        <v>10</v>
      </c>
      <c r="E15" s="42">
        <v>10.4</v>
      </c>
      <c r="F15" s="21"/>
      <c r="G15" s="3">
        <v>46031</v>
      </c>
      <c r="H15" t="s">
        <v>15</v>
      </c>
      <c r="I15" s="2">
        <v>0.4</v>
      </c>
      <c r="J15" s="2">
        <v>10</v>
      </c>
      <c r="K15" s="4">
        <v>10.4</v>
      </c>
      <c r="L15" s="21"/>
      <c r="M15" s="3">
        <v>46031</v>
      </c>
      <c r="N15" t="s">
        <v>15</v>
      </c>
      <c r="O15" s="2">
        <v>0.3</v>
      </c>
      <c r="P15" s="2">
        <v>8</v>
      </c>
      <c r="Q15" s="4">
        <v>8.3000000000000007</v>
      </c>
      <c r="S15" s="3">
        <v>46031</v>
      </c>
      <c r="T15" t="s">
        <v>15</v>
      </c>
      <c r="U15" s="2">
        <v>0.3</v>
      </c>
      <c r="V15" s="2">
        <v>8</v>
      </c>
      <c r="W15" s="98">
        <v>8.3000000000000007</v>
      </c>
    </row>
    <row r="16" spans="1:25" ht="15.75" customHeight="1" thickBot="1" x14ac:dyDescent="0.3">
      <c r="A16" s="3">
        <v>46212</v>
      </c>
      <c r="B16" s="1" t="s">
        <v>15</v>
      </c>
      <c r="C16" s="39">
        <v>0.35</v>
      </c>
      <c r="D16" s="2">
        <v>10</v>
      </c>
      <c r="E16" s="42">
        <v>10.35</v>
      </c>
      <c r="F16" s="21"/>
      <c r="G16" s="3">
        <v>46212</v>
      </c>
      <c r="H16" t="s">
        <v>15</v>
      </c>
      <c r="I16" s="2">
        <v>0.35</v>
      </c>
      <c r="J16" s="2">
        <v>10</v>
      </c>
      <c r="K16" s="4">
        <v>10.35</v>
      </c>
      <c r="L16" s="21"/>
      <c r="M16" s="3">
        <v>46212</v>
      </c>
      <c r="N16" t="s">
        <v>15</v>
      </c>
      <c r="O16" s="2">
        <v>0.27</v>
      </c>
      <c r="P16" s="2">
        <v>8</v>
      </c>
      <c r="Q16" s="4">
        <v>8.27</v>
      </c>
      <c r="S16" s="3">
        <v>46212</v>
      </c>
      <c r="T16" t="s">
        <v>15</v>
      </c>
      <c r="U16" s="2">
        <v>0.27</v>
      </c>
      <c r="V16" s="2">
        <v>8</v>
      </c>
      <c r="W16" s="4">
        <v>8.27</v>
      </c>
    </row>
    <row r="17" spans="1:23" ht="15.75" customHeight="1" thickBot="1" x14ac:dyDescent="0.3">
      <c r="A17" s="3">
        <v>46396</v>
      </c>
      <c r="B17" s="1" t="s">
        <v>15</v>
      </c>
      <c r="C17" s="39">
        <v>0.3</v>
      </c>
      <c r="D17" s="2">
        <v>10</v>
      </c>
      <c r="E17" s="42">
        <v>10.3</v>
      </c>
      <c r="F17" s="21"/>
      <c r="G17" s="3">
        <v>46396</v>
      </c>
      <c r="H17" t="s">
        <v>15</v>
      </c>
      <c r="I17" s="2">
        <v>0.3</v>
      </c>
      <c r="J17" s="2">
        <v>10</v>
      </c>
      <c r="K17" s="4">
        <v>10.3</v>
      </c>
      <c r="L17" s="21"/>
      <c r="M17" s="3">
        <v>46396</v>
      </c>
      <c r="N17" t="s">
        <v>15</v>
      </c>
      <c r="O17" s="2">
        <v>0.24</v>
      </c>
      <c r="P17" s="2">
        <v>8</v>
      </c>
      <c r="Q17" s="4">
        <v>8.24</v>
      </c>
      <c r="S17" s="3">
        <v>46396</v>
      </c>
      <c r="T17" t="s">
        <v>15</v>
      </c>
      <c r="U17" s="2">
        <v>0.24</v>
      </c>
      <c r="V17" s="2">
        <v>8</v>
      </c>
      <c r="W17" s="4">
        <v>8.24</v>
      </c>
    </row>
    <row r="18" spans="1:23" ht="15.75" customHeight="1" thickBot="1" x14ac:dyDescent="0.3">
      <c r="A18" s="3">
        <v>46577</v>
      </c>
      <c r="B18" s="1" t="s">
        <v>15</v>
      </c>
      <c r="C18" s="39">
        <v>0.25</v>
      </c>
      <c r="D18" s="2">
        <v>10</v>
      </c>
      <c r="E18" s="42">
        <v>10.25</v>
      </c>
      <c r="F18" s="21"/>
      <c r="G18" s="3">
        <v>46577</v>
      </c>
      <c r="H18" t="s">
        <v>15</v>
      </c>
      <c r="I18" s="2">
        <v>0.25</v>
      </c>
      <c r="J18" s="2">
        <v>10</v>
      </c>
      <c r="K18" s="4">
        <v>10.25</v>
      </c>
      <c r="L18" s="21"/>
      <c r="M18" s="3">
        <v>46577</v>
      </c>
      <c r="N18" t="s">
        <v>15</v>
      </c>
      <c r="O18" s="2">
        <v>0.21</v>
      </c>
      <c r="P18" s="2">
        <v>8</v>
      </c>
      <c r="Q18" s="4">
        <v>8.2100000000000009</v>
      </c>
      <c r="S18" s="3">
        <v>46577</v>
      </c>
      <c r="T18" t="s">
        <v>15</v>
      </c>
      <c r="U18" s="2">
        <v>0.21</v>
      </c>
      <c r="V18" s="2">
        <v>8</v>
      </c>
      <c r="W18" s="4">
        <v>8.2100000000000009</v>
      </c>
    </row>
    <row r="19" spans="1:23" ht="15.75" customHeight="1" thickBot="1" x14ac:dyDescent="0.3">
      <c r="A19" s="3">
        <v>46761</v>
      </c>
      <c r="B19" s="1" t="s">
        <v>15</v>
      </c>
      <c r="C19" s="39">
        <v>0.2</v>
      </c>
      <c r="D19" s="2">
        <v>10</v>
      </c>
      <c r="E19" s="42">
        <v>10.199999999999999</v>
      </c>
      <c r="F19" s="21"/>
      <c r="G19" s="3">
        <v>46761</v>
      </c>
      <c r="H19" t="s">
        <v>15</v>
      </c>
      <c r="I19" s="2">
        <v>0.2</v>
      </c>
      <c r="J19" s="2">
        <v>10</v>
      </c>
      <c r="K19" s="4">
        <v>10.199999999999999</v>
      </c>
      <c r="L19" s="21"/>
      <c r="M19" s="3">
        <v>46761</v>
      </c>
      <c r="N19" t="s">
        <v>15</v>
      </c>
      <c r="O19" s="2">
        <v>0.42</v>
      </c>
      <c r="P19" s="2">
        <v>8</v>
      </c>
      <c r="Q19" s="4">
        <v>8.42</v>
      </c>
      <c r="S19" s="3">
        <v>46761</v>
      </c>
      <c r="T19" t="s">
        <v>15</v>
      </c>
      <c r="U19" s="2">
        <v>0.42</v>
      </c>
      <c r="V19" s="2">
        <v>8</v>
      </c>
      <c r="W19" s="4">
        <v>8.42</v>
      </c>
    </row>
    <row r="20" spans="1:23" ht="15.75" customHeight="1" thickBot="1" x14ac:dyDescent="0.3">
      <c r="A20" s="3">
        <v>46943</v>
      </c>
      <c r="B20" s="1" t="s">
        <v>15</v>
      </c>
      <c r="C20" s="39">
        <v>0.15</v>
      </c>
      <c r="D20" s="2">
        <v>10</v>
      </c>
      <c r="E20" s="42">
        <v>10.15</v>
      </c>
      <c r="F20" s="21"/>
      <c r="G20" s="3">
        <v>46943</v>
      </c>
      <c r="H20" t="s">
        <v>15</v>
      </c>
      <c r="I20" s="2">
        <v>0.15</v>
      </c>
      <c r="J20" s="2">
        <v>10</v>
      </c>
      <c r="K20" s="4">
        <v>10.15</v>
      </c>
      <c r="L20" s="21"/>
      <c r="M20" s="3">
        <v>46943</v>
      </c>
      <c r="N20" t="s">
        <v>15</v>
      </c>
      <c r="O20" s="2">
        <v>0.35</v>
      </c>
      <c r="P20" s="2">
        <v>8</v>
      </c>
      <c r="Q20" s="4">
        <v>8.35</v>
      </c>
      <c r="S20" s="3">
        <v>46943</v>
      </c>
      <c r="T20" t="s">
        <v>15</v>
      </c>
      <c r="U20" s="2">
        <v>0.35</v>
      </c>
      <c r="V20" s="2">
        <v>8</v>
      </c>
      <c r="W20" s="4">
        <v>8.35</v>
      </c>
    </row>
    <row r="21" spans="1:23" ht="15.75" customHeight="1" thickBot="1" x14ac:dyDescent="0.3">
      <c r="A21" s="3">
        <v>47127</v>
      </c>
      <c r="B21" s="1" t="s">
        <v>15</v>
      </c>
      <c r="C21" s="39">
        <v>0.1</v>
      </c>
      <c r="D21" s="2">
        <v>10</v>
      </c>
      <c r="E21" s="42">
        <v>10.1</v>
      </c>
      <c r="F21" s="21"/>
      <c r="G21" s="3">
        <v>47127</v>
      </c>
      <c r="H21" t="s">
        <v>15</v>
      </c>
      <c r="I21" s="2">
        <v>0.1</v>
      </c>
      <c r="J21" s="2">
        <v>10</v>
      </c>
      <c r="K21" s="4">
        <v>10.1</v>
      </c>
      <c r="L21" s="21"/>
      <c r="M21" s="3">
        <v>47127</v>
      </c>
      <c r="N21" t="s">
        <v>15</v>
      </c>
      <c r="O21" s="2">
        <v>0.28000000000000003</v>
      </c>
      <c r="P21" s="2">
        <v>8</v>
      </c>
      <c r="Q21" s="4">
        <v>8.2799999999999994</v>
      </c>
      <c r="S21" s="3">
        <v>47127</v>
      </c>
      <c r="T21" t="s">
        <v>15</v>
      </c>
      <c r="U21" s="2">
        <v>0.28000000000000003</v>
      </c>
      <c r="V21" s="2">
        <v>8</v>
      </c>
      <c r="W21" s="4">
        <v>8.2799999999999994</v>
      </c>
    </row>
    <row r="22" spans="1:23" ht="15.75" customHeight="1" thickBot="1" x14ac:dyDescent="0.3">
      <c r="A22" s="3">
        <v>47308</v>
      </c>
      <c r="B22" s="1" t="s">
        <v>15</v>
      </c>
      <c r="C22" s="39">
        <v>0.05</v>
      </c>
      <c r="D22" s="2">
        <v>10</v>
      </c>
      <c r="E22" s="42">
        <v>10.050000000000001</v>
      </c>
      <c r="F22" s="21"/>
      <c r="G22" s="3">
        <v>47308</v>
      </c>
      <c r="H22" t="s">
        <v>15</v>
      </c>
      <c r="I22" s="2">
        <v>0.05</v>
      </c>
      <c r="J22" s="2">
        <v>10</v>
      </c>
      <c r="K22" s="4">
        <v>10.050000000000001</v>
      </c>
      <c r="L22" s="21"/>
      <c r="M22" s="3">
        <v>47308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47308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5"/>
      <c r="B23" s="6"/>
      <c r="C23" s="40">
        <f>SUM(C10:C22)</f>
        <v>4.25</v>
      </c>
      <c r="D23" s="7">
        <f>SUM(D10:D22)</f>
        <v>100</v>
      </c>
      <c r="E23" s="43">
        <f>SUM(E10:E22)</f>
        <v>104.25</v>
      </c>
      <c r="F23" s="21"/>
      <c r="G23" s="9"/>
      <c r="H23" s="6"/>
      <c r="I23" s="7">
        <f>SUM(I10:I22)</f>
        <v>4.25</v>
      </c>
      <c r="J23" s="7">
        <f>SUM(J10:J22)</f>
        <v>100</v>
      </c>
      <c r="K23" s="8">
        <f>SUM(K10:K22)</f>
        <v>104.25</v>
      </c>
      <c r="L23" s="21"/>
      <c r="M23" s="3">
        <v>47492</v>
      </c>
      <c r="N23" t="s">
        <v>15</v>
      </c>
      <c r="O23" s="2">
        <v>0.14000000000000001</v>
      </c>
      <c r="P23" s="2">
        <v>8</v>
      </c>
      <c r="Q23" s="4">
        <v>8.14</v>
      </c>
      <c r="S23" s="3">
        <v>47492</v>
      </c>
      <c r="T23" t="s">
        <v>15</v>
      </c>
      <c r="U23" s="2">
        <v>0.14000000000000001</v>
      </c>
      <c r="V23" s="2">
        <v>8</v>
      </c>
      <c r="W23" s="4">
        <v>8.14</v>
      </c>
    </row>
    <row r="24" spans="1:23" ht="15.75" customHeight="1" thickBot="1" x14ac:dyDescent="0.3">
      <c r="B24" s="21"/>
      <c r="F24" s="21"/>
      <c r="I24" s="21"/>
      <c r="J24" s="21"/>
      <c r="K24" s="21"/>
      <c r="L24" s="21"/>
      <c r="M24" s="3">
        <v>47673</v>
      </c>
      <c r="N24" t="s">
        <v>15</v>
      </c>
      <c r="O24" s="2">
        <v>7.0000000000000007E-2</v>
      </c>
      <c r="P24" s="2">
        <v>8</v>
      </c>
      <c r="Q24" s="4">
        <v>8.07</v>
      </c>
      <c r="S24" s="3">
        <v>47673</v>
      </c>
      <c r="T24" t="s">
        <v>15</v>
      </c>
      <c r="U24" s="2">
        <v>7.0000000000000007E-2</v>
      </c>
      <c r="V24" s="2">
        <v>8</v>
      </c>
      <c r="W24" s="4">
        <v>8.07</v>
      </c>
    </row>
    <row r="25" spans="1:23" ht="15.75" customHeight="1" thickBot="1" x14ac:dyDescent="0.3">
      <c r="B25" s="21"/>
      <c r="F25" s="21"/>
      <c r="G25" s="21"/>
      <c r="H25" s="21"/>
      <c r="I25" s="21"/>
      <c r="J25" s="21"/>
      <c r="K25" s="21"/>
      <c r="L25" s="21"/>
      <c r="M25" s="5"/>
      <c r="N25" s="10"/>
      <c r="O25" s="7">
        <f>SUM(O10:O24)</f>
        <v>4.1899999999999995</v>
      </c>
      <c r="P25" s="7">
        <f>SUM(P10:P24)</f>
        <v>100</v>
      </c>
      <c r="Q25" s="8">
        <f>SUM(Q10:Q24)</f>
        <v>104.19</v>
      </c>
      <c r="S25" s="5"/>
      <c r="T25" s="10"/>
      <c r="U25" s="7">
        <f>SUM(U10:U24)</f>
        <v>4.1899999999999995</v>
      </c>
      <c r="V25" s="7">
        <f>SUM(V10:V24)</f>
        <v>100</v>
      </c>
      <c r="W25" s="8">
        <f>SUM(W10:W24)</f>
        <v>104.19</v>
      </c>
    </row>
    <row r="26" spans="1:23" ht="15.75" customHeight="1" thickBot="1" x14ac:dyDescent="0.3">
      <c r="B26" s="21"/>
      <c r="F26" s="21"/>
      <c r="G26" s="21"/>
      <c r="H26" s="21"/>
      <c r="I26" s="21"/>
      <c r="J26" s="21"/>
      <c r="K26" s="21"/>
      <c r="L26" s="21"/>
      <c r="O26" s="26"/>
      <c r="P26" s="26"/>
      <c r="Q26" s="26"/>
      <c r="U26" s="26"/>
      <c r="V26" s="26"/>
      <c r="W26" s="26"/>
    </row>
    <row r="27" spans="1:23" ht="15.75" customHeight="1" thickBot="1" x14ac:dyDescent="0.35">
      <c r="A27" s="20" t="s">
        <v>16</v>
      </c>
      <c r="B27" s="16"/>
      <c r="C27" s="17" t="s">
        <v>2</v>
      </c>
      <c r="D27" s="17" t="s">
        <v>3</v>
      </c>
      <c r="E27" s="18" t="s">
        <v>4</v>
      </c>
      <c r="F27" s="21"/>
      <c r="G27" s="20" t="s">
        <v>17</v>
      </c>
      <c r="H27" s="16"/>
      <c r="I27" s="17" t="s">
        <v>2</v>
      </c>
      <c r="J27" s="17" t="s">
        <v>3</v>
      </c>
      <c r="K27" s="18" t="s">
        <v>4</v>
      </c>
      <c r="L27" s="21"/>
      <c r="M27" s="20" t="s">
        <v>18</v>
      </c>
      <c r="N27" s="16"/>
      <c r="O27" s="17" t="s">
        <v>2</v>
      </c>
      <c r="P27" s="17" t="s">
        <v>3</v>
      </c>
      <c r="Q27" s="18" t="s">
        <v>4</v>
      </c>
      <c r="U27" s="26"/>
      <c r="V27" s="26"/>
      <c r="W27" s="26"/>
    </row>
    <row r="28" spans="1:23" ht="15.75" customHeight="1" x14ac:dyDescent="0.3">
      <c r="A28" s="31" t="s">
        <v>8</v>
      </c>
      <c r="B28" s="21">
        <v>1</v>
      </c>
      <c r="C28" s="27"/>
      <c r="D28" s="27"/>
      <c r="E28" s="28"/>
      <c r="F28" s="21"/>
      <c r="G28" s="31" t="s">
        <v>8</v>
      </c>
      <c r="H28" s="21">
        <v>0.125</v>
      </c>
      <c r="I28" s="27"/>
      <c r="J28" s="27"/>
      <c r="K28" s="28"/>
      <c r="L28" s="21"/>
      <c r="M28" s="31" t="s">
        <v>8</v>
      </c>
      <c r="N28" s="21">
        <v>1</v>
      </c>
      <c r="O28" s="27"/>
      <c r="P28" s="27"/>
      <c r="Q28" s="28"/>
      <c r="T28" s="26"/>
      <c r="U28" s="26"/>
      <c r="V28" s="26"/>
    </row>
    <row r="29" spans="1:23" ht="15.75" customHeight="1" x14ac:dyDescent="0.3">
      <c r="A29" s="31" t="s">
        <v>9</v>
      </c>
      <c r="B29" s="24">
        <v>44076</v>
      </c>
      <c r="C29" s="27"/>
      <c r="D29" s="27"/>
      <c r="E29" s="28"/>
      <c r="F29" s="21"/>
      <c r="G29" s="31" t="s">
        <v>9</v>
      </c>
      <c r="H29" s="24">
        <v>44076</v>
      </c>
      <c r="I29" s="27"/>
      <c r="J29" s="27"/>
      <c r="K29" s="28"/>
      <c r="M29" s="31" t="s">
        <v>9</v>
      </c>
      <c r="N29" s="24">
        <v>44076</v>
      </c>
      <c r="O29" s="27"/>
      <c r="P29" s="27"/>
      <c r="Q29" s="28"/>
      <c r="T29" s="26"/>
      <c r="U29" s="26"/>
      <c r="V29" s="26"/>
    </row>
    <row r="30" spans="1:23" ht="19.5" customHeight="1" x14ac:dyDescent="0.3">
      <c r="A30" s="31" t="s">
        <v>10</v>
      </c>
      <c r="B30" s="24">
        <v>44570</v>
      </c>
      <c r="C30" s="27"/>
      <c r="D30" s="27"/>
      <c r="E30" s="28"/>
      <c r="F30" s="21"/>
      <c r="G30" s="31" t="s">
        <v>10</v>
      </c>
      <c r="H30" s="24">
        <v>44570</v>
      </c>
      <c r="I30" s="27"/>
      <c r="J30" s="27"/>
      <c r="K30" s="28"/>
      <c r="M30" s="31" t="s">
        <v>10</v>
      </c>
      <c r="N30" s="24">
        <v>44570</v>
      </c>
      <c r="O30" s="27"/>
      <c r="P30" s="27"/>
      <c r="Q30" s="28"/>
      <c r="T30" s="26"/>
      <c r="U30" s="26"/>
      <c r="V30" s="26"/>
    </row>
    <row r="31" spans="1:23" ht="18.75" customHeight="1" x14ac:dyDescent="0.3">
      <c r="A31" s="31" t="s">
        <v>11</v>
      </c>
      <c r="B31" s="32">
        <v>1.25E-3</v>
      </c>
      <c r="C31" s="27"/>
      <c r="D31" s="27"/>
      <c r="E31" s="28"/>
      <c r="F31" s="21"/>
      <c r="G31" s="31" t="s">
        <v>11</v>
      </c>
      <c r="H31" s="32">
        <v>1.25E-3</v>
      </c>
      <c r="I31" s="27"/>
      <c r="J31" s="27"/>
      <c r="K31" s="28"/>
      <c r="M31" s="31" t="s">
        <v>11</v>
      </c>
      <c r="N31" s="32">
        <v>1.25E-3</v>
      </c>
      <c r="O31" s="27"/>
      <c r="P31" s="27"/>
      <c r="Q31" s="28"/>
      <c r="T31" s="26"/>
      <c r="U31" s="26"/>
      <c r="V31" s="26"/>
    </row>
    <row r="32" spans="1:23" ht="18.75" customHeight="1" x14ac:dyDescent="0.3">
      <c r="A32" s="31" t="s">
        <v>12</v>
      </c>
      <c r="B32" s="21">
        <v>100</v>
      </c>
      <c r="C32" s="27"/>
      <c r="D32" s="27"/>
      <c r="E32" s="28"/>
      <c r="F32" s="21"/>
      <c r="G32" s="31" t="s">
        <v>12</v>
      </c>
      <c r="H32" s="21">
        <v>100</v>
      </c>
      <c r="I32" s="27"/>
      <c r="J32" s="27"/>
      <c r="K32" s="28"/>
      <c r="M32" s="31" t="s">
        <v>12</v>
      </c>
      <c r="N32" s="21">
        <v>100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13</v>
      </c>
      <c r="B33" s="46">
        <f ca="1">B31*DAYS360(B30,TODAY())/360*100</f>
        <v>0.18715277777777778</v>
      </c>
      <c r="C33" s="27"/>
      <c r="D33" s="27"/>
      <c r="E33" s="28"/>
      <c r="F33" s="21"/>
      <c r="G33" s="31" t="s">
        <v>13</v>
      </c>
      <c r="H33" s="46">
        <f ca="1">H31*DAYS360(H30,TODAY())/360*100</f>
        <v>0.18715277777777778</v>
      </c>
      <c r="I33" s="27"/>
      <c r="J33" s="27"/>
      <c r="K33" s="28"/>
      <c r="M33" s="31" t="s">
        <v>13</v>
      </c>
      <c r="N33" s="46">
        <f ca="1">N31*DAYS360(N29,TODAY())/360*100</f>
        <v>0.35625000000000001</v>
      </c>
      <c r="O33" s="27"/>
      <c r="P33" s="27"/>
      <c r="Q33" s="28"/>
      <c r="T33" s="26"/>
      <c r="U33" s="26"/>
      <c r="V33" s="26"/>
    </row>
    <row r="34" spans="1:22" ht="18.75" customHeight="1" thickBot="1" x14ac:dyDescent="0.35">
      <c r="A34" s="31" t="s">
        <v>14</v>
      </c>
      <c r="B34" s="46">
        <f ca="1">B32+B33</f>
        <v>100.18715277777778</v>
      </c>
      <c r="C34" s="27"/>
      <c r="D34" s="27"/>
      <c r="E34" s="96">
        <v>-18.05</v>
      </c>
      <c r="F34" s="21"/>
      <c r="G34" s="31" t="s">
        <v>14</v>
      </c>
      <c r="H34" s="46">
        <f ca="1">H32+H33</f>
        <v>100.18715277777778</v>
      </c>
      <c r="I34" s="27"/>
      <c r="J34" s="27"/>
      <c r="K34" s="96">
        <v>-23.1</v>
      </c>
      <c r="L34" s="74">
        <v>5944</v>
      </c>
      <c r="M34" s="31" t="s">
        <v>14</v>
      </c>
      <c r="N34" s="46">
        <f ca="1">N32+N33</f>
        <v>100.35625</v>
      </c>
      <c r="O34" s="27"/>
      <c r="P34" s="27"/>
      <c r="Q34" s="96">
        <v>-22.7</v>
      </c>
      <c r="R34" s="74">
        <v>1910</v>
      </c>
      <c r="T34" s="26"/>
      <c r="U34" s="26"/>
      <c r="V34" s="26"/>
    </row>
    <row r="35" spans="1:22" ht="18.75" customHeight="1" thickBot="1" x14ac:dyDescent="0.3">
      <c r="A35" s="3">
        <v>45116</v>
      </c>
      <c r="B35" s="1" t="s">
        <v>15</v>
      </c>
      <c r="C35" s="2">
        <v>0.75</v>
      </c>
      <c r="D35" s="2">
        <v>0</v>
      </c>
      <c r="E35" s="98">
        <v>0.75</v>
      </c>
      <c r="F35" s="21"/>
      <c r="G35" s="3">
        <v>45116</v>
      </c>
      <c r="H35" s="1" t="s">
        <v>15</v>
      </c>
      <c r="I35" s="2">
        <v>1.94</v>
      </c>
      <c r="J35" s="2">
        <v>0</v>
      </c>
      <c r="K35" s="98">
        <v>1.94</v>
      </c>
      <c r="L35" s="74">
        <f>L34*K35/100</f>
        <v>115.31360000000001</v>
      </c>
      <c r="M35" s="3">
        <v>45116</v>
      </c>
      <c r="N35" s="1" t="s">
        <v>15</v>
      </c>
      <c r="O35" s="2">
        <v>1.75</v>
      </c>
      <c r="P35" s="2">
        <v>0</v>
      </c>
      <c r="Q35" s="98">
        <v>1.75</v>
      </c>
      <c r="R35" s="74">
        <f>R34*O35/100</f>
        <v>33.424999999999997</v>
      </c>
      <c r="T35" s="26"/>
      <c r="U35" s="26"/>
      <c r="V35" s="26"/>
    </row>
    <row r="36" spans="1:22" ht="19.5" customHeight="1" thickBot="1" x14ac:dyDescent="0.3">
      <c r="A36" s="3">
        <v>45300</v>
      </c>
      <c r="B36" s="1" t="s">
        <v>15</v>
      </c>
      <c r="C36" s="2">
        <v>1.81</v>
      </c>
      <c r="D36" s="2">
        <v>0</v>
      </c>
      <c r="E36" s="98">
        <v>1.81</v>
      </c>
      <c r="F36" s="21"/>
      <c r="G36" s="3">
        <v>45300</v>
      </c>
      <c r="H36" s="1" t="s">
        <v>15</v>
      </c>
      <c r="I36" s="2">
        <v>2.12</v>
      </c>
      <c r="J36" s="2">
        <v>0</v>
      </c>
      <c r="K36" s="98">
        <v>2.12</v>
      </c>
      <c r="M36" s="3">
        <v>45300</v>
      </c>
      <c r="N36" s="1" t="s">
        <v>15</v>
      </c>
      <c r="O36" s="2">
        <v>1.75</v>
      </c>
      <c r="P36" s="2">
        <v>0</v>
      </c>
      <c r="Q36" s="98">
        <v>1.75</v>
      </c>
      <c r="T36" s="26"/>
      <c r="U36" s="26"/>
      <c r="V36" s="26"/>
    </row>
    <row r="37" spans="1:22" ht="15.75" customHeight="1" thickBot="1" x14ac:dyDescent="0.3">
      <c r="A37" s="3">
        <v>45482</v>
      </c>
      <c r="B37" s="1" t="s">
        <v>15</v>
      </c>
      <c r="C37" s="2">
        <v>1.81</v>
      </c>
      <c r="D37" s="2">
        <v>0</v>
      </c>
      <c r="E37" s="98">
        <v>1.81</v>
      </c>
      <c r="F37" s="21"/>
      <c r="G37" s="3">
        <v>45482</v>
      </c>
      <c r="H37" s="1" t="s">
        <v>15</v>
      </c>
      <c r="I37" s="2">
        <v>2.12</v>
      </c>
      <c r="J37" s="2">
        <v>0</v>
      </c>
      <c r="K37" s="98">
        <v>2.12</v>
      </c>
      <c r="M37" s="3">
        <v>45482</v>
      </c>
      <c r="N37" s="1" t="s">
        <v>15</v>
      </c>
      <c r="O37" s="2">
        <v>1.75</v>
      </c>
      <c r="P37" s="2">
        <v>0</v>
      </c>
      <c r="Q37" s="98">
        <v>1.75</v>
      </c>
      <c r="T37" s="26"/>
      <c r="U37" s="26"/>
      <c r="V37" s="26"/>
    </row>
    <row r="38" spans="1:22" ht="15.75" customHeight="1" thickBot="1" x14ac:dyDescent="0.3">
      <c r="A38" s="3">
        <v>45666</v>
      </c>
      <c r="B38" s="1" t="s">
        <v>15</v>
      </c>
      <c r="C38" s="2">
        <v>2.06</v>
      </c>
      <c r="D38" s="2">
        <v>0</v>
      </c>
      <c r="E38" s="98">
        <v>2.06</v>
      </c>
      <c r="F38" s="21"/>
      <c r="G38" s="3">
        <v>45666</v>
      </c>
      <c r="H38" s="1" t="s">
        <v>15</v>
      </c>
      <c r="I38" s="2">
        <v>2.5</v>
      </c>
      <c r="J38" s="2">
        <v>0</v>
      </c>
      <c r="K38" s="98">
        <v>2.5</v>
      </c>
      <c r="M38" s="3">
        <v>45666</v>
      </c>
      <c r="N38" s="1" t="s">
        <v>15</v>
      </c>
      <c r="O38" s="2">
        <v>1.75</v>
      </c>
      <c r="P38" s="2">
        <v>0</v>
      </c>
      <c r="Q38" s="98">
        <v>1.75</v>
      </c>
      <c r="T38" s="26"/>
      <c r="U38" s="26"/>
      <c r="V38" s="26"/>
    </row>
    <row r="39" spans="1:22" ht="15.75" customHeight="1" thickBot="1" x14ac:dyDescent="0.3">
      <c r="A39" s="3">
        <v>45847</v>
      </c>
      <c r="B39" s="1" t="s">
        <v>15</v>
      </c>
      <c r="C39" s="2">
        <v>2.06</v>
      </c>
      <c r="D39" s="2">
        <v>0</v>
      </c>
      <c r="E39" s="98">
        <v>2.06</v>
      </c>
      <c r="F39" s="21"/>
      <c r="G39" s="3">
        <v>45847</v>
      </c>
      <c r="H39" s="1" t="s">
        <v>15</v>
      </c>
      <c r="I39" s="2">
        <v>2.5</v>
      </c>
      <c r="J39" s="2">
        <v>0</v>
      </c>
      <c r="K39" s="98">
        <v>2.5</v>
      </c>
      <c r="M39" s="3">
        <v>45847</v>
      </c>
      <c r="N39" s="1" t="s">
        <v>15</v>
      </c>
      <c r="O39" s="2">
        <v>1.75</v>
      </c>
      <c r="P39" s="2">
        <v>0</v>
      </c>
      <c r="Q39" s="98">
        <v>1.75</v>
      </c>
      <c r="T39" s="26"/>
      <c r="U39" s="26"/>
      <c r="V39" s="26"/>
    </row>
    <row r="40" spans="1:22" ht="15.75" customHeight="1" thickBot="1" x14ac:dyDescent="0.3">
      <c r="A40" s="3">
        <v>46031</v>
      </c>
      <c r="B40" s="1" t="s">
        <v>15</v>
      </c>
      <c r="C40" s="2">
        <v>2.06</v>
      </c>
      <c r="D40" s="2">
        <v>0</v>
      </c>
      <c r="E40" s="98">
        <v>2.06</v>
      </c>
      <c r="F40" s="21"/>
      <c r="G40" s="3">
        <v>46031</v>
      </c>
      <c r="H40" s="1" t="s">
        <v>15</v>
      </c>
      <c r="I40" s="2">
        <v>2.5</v>
      </c>
      <c r="J40" s="2">
        <v>0</v>
      </c>
      <c r="K40" s="98">
        <v>2.5</v>
      </c>
      <c r="M40" s="3">
        <v>46031</v>
      </c>
      <c r="N40" s="1" t="s">
        <v>15</v>
      </c>
      <c r="O40" s="2">
        <v>1.75</v>
      </c>
      <c r="P40" s="2">
        <v>0</v>
      </c>
      <c r="Q40" s="98">
        <v>1.75</v>
      </c>
      <c r="T40" s="26"/>
      <c r="U40" s="26"/>
      <c r="V40" s="26"/>
    </row>
    <row r="41" spans="1:22" ht="15.75" customHeight="1" thickBot="1" x14ac:dyDescent="0.3">
      <c r="A41" s="3">
        <v>46212</v>
      </c>
      <c r="B41" s="1" t="s">
        <v>15</v>
      </c>
      <c r="C41" s="2">
        <v>2.06</v>
      </c>
      <c r="D41" s="2">
        <v>0</v>
      </c>
      <c r="E41" s="98">
        <v>2.06</v>
      </c>
      <c r="F41" s="21"/>
      <c r="G41" s="3">
        <v>46212</v>
      </c>
      <c r="H41" s="1" t="s">
        <v>15</v>
      </c>
      <c r="I41" s="2">
        <v>2.5</v>
      </c>
      <c r="J41" s="2">
        <v>0</v>
      </c>
      <c r="K41" s="98">
        <v>2.5</v>
      </c>
      <c r="M41" s="3">
        <v>46212</v>
      </c>
      <c r="N41" s="1" t="s">
        <v>15</v>
      </c>
      <c r="O41" s="2">
        <v>1.75</v>
      </c>
      <c r="P41" s="2">
        <v>0</v>
      </c>
      <c r="Q41" s="98">
        <v>1.75</v>
      </c>
      <c r="T41" s="26"/>
      <c r="U41" s="26"/>
      <c r="V41" s="26"/>
    </row>
    <row r="42" spans="1:22" ht="15.75" customHeight="1" thickBot="1" x14ac:dyDescent="0.3">
      <c r="A42" s="3">
        <v>46396</v>
      </c>
      <c r="B42" s="1" t="s">
        <v>15</v>
      </c>
      <c r="C42" s="2">
        <v>2.06</v>
      </c>
      <c r="D42" s="2">
        <v>0</v>
      </c>
      <c r="E42" s="98">
        <v>2.06</v>
      </c>
      <c r="F42" s="21"/>
      <c r="G42" s="3">
        <v>46396</v>
      </c>
      <c r="H42" s="1" t="s">
        <v>15</v>
      </c>
      <c r="I42" s="2">
        <v>2.5</v>
      </c>
      <c r="J42" s="2">
        <v>0</v>
      </c>
      <c r="K42" s="98">
        <v>2.5</v>
      </c>
      <c r="M42" s="3">
        <v>46396</v>
      </c>
      <c r="N42" s="1" t="s">
        <v>15</v>
      </c>
      <c r="O42" s="2">
        <v>1.75</v>
      </c>
      <c r="P42" s="2">
        <v>0</v>
      </c>
      <c r="Q42" s="98">
        <v>1.75</v>
      </c>
      <c r="T42" s="26"/>
      <c r="U42" s="26"/>
      <c r="V42" s="26"/>
    </row>
    <row r="43" spans="1:22" ht="15.75" customHeight="1" thickBot="1" x14ac:dyDescent="0.3">
      <c r="A43" s="3">
        <v>46577</v>
      </c>
      <c r="B43" s="1" t="s">
        <v>15</v>
      </c>
      <c r="C43" s="2">
        <v>2.06</v>
      </c>
      <c r="D43" s="2">
        <v>0</v>
      </c>
      <c r="E43" s="98">
        <v>2.06</v>
      </c>
      <c r="F43" s="21"/>
      <c r="G43" s="3">
        <v>46577</v>
      </c>
      <c r="H43" s="1" t="s">
        <v>15</v>
      </c>
      <c r="I43" s="2">
        <v>2.5</v>
      </c>
      <c r="J43" s="2">
        <v>4.55</v>
      </c>
      <c r="K43" s="98">
        <v>7.05</v>
      </c>
      <c r="M43" s="3">
        <v>46577</v>
      </c>
      <c r="N43" s="1" t="s">
        <v>15</v>
      </c>
      <c r="O43" s="2">
        <v>1.75</v>
      </c>
      <c r="P43" s="2">
        <v>0</v>
      </c>
      <c r="Q43" s="98">
        <v>1.75</v>
      </c>
      <c r="T43" s="26"/>
      <c r="U43" s="26"/>
      <c r="V43" s="26"/>
    </row>
    <row r="44" spans="1:22" ht="15.75" customHeight="1" thickBot="1" x14ac:dyDescent="0.3">
      <c r="A44" s="3">
        <v>46761</v>
      </c>
      <c r="B44" s="1" t="s">
        <v>15</v>
      </c>
      <c r="C44" s="2">
        <v>2.38</v>
      </c>
      <c r="D44" s="2">
        <v>0</v>
      </c>
      <c r="E44" s="98">
        <v>2.38</v>
      </c>
      <c r="F44" s="21"/>
      <c r="G44" s="3">
        <v>46761</v>
      </c>
      <c r="H44" s="1" t="s">
        <v>15</v>
      </c>
      <c r="I44" s="2">
        <v>2.39</v>
      </c>
      <c r="J44" s="2">
        <v>4.55</v>
      </c>
      <c r="K44" s="4">
        <v>6.94</v>
      </c>
      <c r="M44" s="3">
        <v>46761</v>
      </c>
      <c r="N44" s="1" t="s">
        <v>15</v>
      </c>
      <c r="O44" s="2">
        <v>1.75</v>
      </c>
      <c r="P44" s="2">
        <v>3.57</v>
      </c>
      <c r="Q44" s="98">
        <v>5.32</v>
      </c>
      <c r="T44" s="26"/>
      <c r="U44" s="26"/>
      <c r="V44" s="26"/>
    </row>
    <row r="45" spans="1:22" ht="15.75" customHeight="1" thickBot="1" x14ac:dyDescent="0.3">
      <c r="A45" s="3">
        <v>46943</v>
      </c>
      <c r="B45" s="1" t="s">
        <v>15</v>
      </c>
      <c r="C45" s="2">
        <v>2.38</v>
      </c>
      <c r="D45" s="2">
        <v>0</v>
      </c>
      <c r="E45" s="4">
        <v>2.38</v>
      </c>
      <c r="F45" s="21"/>
      <c r="G45" s="3">
        <v>46943</v>
      </c>
      <c r="H45" s="1" t="s">
        <v>15</v>
      </c>
      <c r="I45" s="2">
        <v>2.27</v>
      </c>
      <c r="J45" s="2">
        <v>4.55</v>
      </c>
      <c r="K45" s="4">
        <v>6.82</v>
      </c>
      <c r="M45" s="3">
        <v>46943</v>
      </c>
      <c r="N45" s="1" t="s">
        <v>15</v>
      </c>
      <c r="O45" s="2">
        <v>1.69</v>
      </c>
      <c r="P45" s="2">
        <v>3.57</v>
      </c>
      <c r="Q45" s="4">
        <v>5.26</v>
      </c>
      <c r="T45" s="26"/>
      <c r="U45" s="26"/>
      <c r="V45" s="26"/>
    </row>
    <row r="46" spans="1:22" ht="15.75" customHeight="1" thickBot="1" x14ac:dyDescent="0.3">
      <c r="A46" s="3">
        <v>47127</v>
      </c>
      <c r="B46" s="1" t="s">
        <v>15</v>
      </c>
      <c r="C46" s="2">
        <v>2.5</v>
      </c>
      <c r="D46" s="2">
        <v>0</v>
      </c>
      <c r="E46" s="4">
        <v>2.5</v>
      </c>
      <c r="F46" s="21"/>
      <c r="G46" s="3">
        <v>47127</v>
      </c>
      <c r="H46" s="1" t="s">
        <v>15</v>
      </c>
      <c r="I46" s="2">
        <v>2.16</v>
      </c>
      <c r="J46" s="2">
        <v>4.55</v>
      </c>
      <c r="K46" s="4">
        <v>6.71</v>
      </c>
      <c r="M46" s="3">
        <v>47127</v>
      </c>
      <c r="N46" s="1" t="s">
        <v>15</v>
      </c>
      <c r="O46" s="2">
        <v>1.63</v>
      </c>
      <c r="P46" s="2">
        <v>3.57</v>
      </c>
      <c r="Q46" s="4">
        <v>5.2</v>
      </c>
      <c r="T46" s="26"/>
      <c r="U46" s="26"/>
      <c r="V46" s="26"/>
    </row>
    <row r="47" spans="1:22" ht="15.75" customHeight="1" thickBot="1" x14ac:dyDescent="0.3">
      <c r="A47" s="3">
        <v>47308</v>
      </c>
      <c r="B47" s="1" t="s">
        <v>15</v>
      </c>
      <c r="C47" s="2">
        <v>2.5</v>
      </c>
      <c r="D47" s="2">
        <v>0</v>
      </c>
      <c r="E47" s="4">
        <v>2.5</v>
      </c>
      <c r="F47" s="21"/>
      <c r="G47" s="3">
        <v>47308</v>
      </c>
      <c r="H47" s="1" t="s">
        <v>15</v>
      </c>
      <c r="I47" s="2">
        <v>2.0499999999999998</v>
      </c>
      <c r="J47" s="2">
        <v>4.55</v>
      </c>
      <c r="K47" s="4">
        <v>6.6</v>
      </c>
      <c r="M47" s="3">
        <v>47308</v>
      </c>
      <c r="N47" s="1" t="s">
        <v>15</v>
      </c>
      <c r="O47" s="2">
        <v>1.56</v>
      </c>
      <c r="P47" s="2">
        <v>3.57</v>
      </c>
      <c r="Q47" s="4">
        <v>5.13</v>
      </c>
      <c r="T47" s="26"/>
      <c r="U47" s="26"/>
      <c r="V47" s="26"/>
    </row>
    <row r="48" spans="1:22" ht="15.75" customHeight="1" thickBot="1" x14ac:dyDescent="0.3">
      <c r="A48" s="3">
        <v>47492</v>
      </c>
      <c r="B48" s="1" t="s">
        <v>15</v>
      </c>
      <c r="C48" s="2">
        <v>2.5</v>
      </c>
      <c r="D48" s="2">
        <v>0</v>
      </c>
      <c r="E48" s="4">
        <v>2.5</v>
      </c>
      <c r="F48" s="21"/>
      <c r="G48" s="3">
        <v>47492</v>
      </c>
      <c r="H48" s="1" t="s">
        <v>15</v>
      </c>
      <c r="I48" s="2">
        <v>1.93</v>
      </c>
      <c r="J48" s="2">
        <v>4.55</v>
      </c>
      <c r="K48" s="4">
        <v>6.48</v>
      </c>
      <c r="M48" s="3">
        <v>47492</v>
      </c>
      <c r="N48" s="1" t="s">
        <v>15</v>
      </c>
      <c r="O48" s="2">
        <v>2.09</v>
      </c>
      <c r="P48" s="2">
        <v>3.57</v>
      </c>
      <c r="Q48" s="4">
        <v>5.66</v>
      </c>
      <c r="T48" s="26"/>
      <c r="U48" s="26"/>
      <c r="V48" s="26"/>
    </row>
    <row r="49" spans="1:23" ht="15.75" customHeight="1" thickBot="1" x14ac:dyDescent="0.3">
      <c r="A49" s="3">
        <v>47673</v>
      </c>
      <c r="B49" s="1" t="s">
        <v>15</v>
      </c>
      <c r="C49" s="2">
        <v>2.5</v>
      </c>
      <c r="D49" s="2">
        <v>0</v>
      </c>
      <c r="E49" s="4">
        <v>2.5</v>
      </c>
      <c r="F49" s="21"/>
      <c r="G49" s="3">
        <v>47673</v>
      </c>
      <c r="H49" s="1" t="s">
        <v>15</v>
      </c>
      <c r="I49" s="2">
        <v>1.82</v>
      </c>
      <c r="J49" s="2">
        <v>4.55</v>
      </c>
      <c r="K49" s="4">
        <v>6.37</v>
      </c>
      <c r="M49" s="3">
        <v>47673</v>
      </c>
      <c r="N49" s="1" t="s">
        <v>15</v>
      </c>
      <c r="O49" s="2">
        <v>2</v>
      </c>
      <c r="P49" s="2">
        <v>3.57</v>
      </c>
      <c r="Q49" s="4">
        <v>5.57</v>
      </c>
      <c r="T49" s="26"/>
      <c r="U49" s="26"/>
      <c r="V49" s="26"/>
    </row>
    <row r="50" spans="1:23" ht="15.75" customHeight="1" thickBot="1" x14ac:dyDescent="0.3">
      <c r="A50" s="3">
        <v>47857</v>
      </c>
      <c r="B50" s="1" t="s">
        <v>15</v>
      </c>
      <c r="C50" s="2">
        <v>2.5</v>
      </c>
      <c r="D50" s="2">
        <v>10</v>
      </c>
      <c r="E50" s="4">
        <v>12.5</v>
      </c>
      <c r="F50" s="21"/>
      <c r="G50" s="3">
        <v>47857</v>
      </c>
      <c r="H50" s="1" t="s">
        <v>15</v>
      </c>
      <c r="I50" s="2">
        <v>1.7</v>
      </c>
      <c r="J50" s="2">
        <v>4.55</v>
      </c>
      <c r="K50" s="4">
        <v>6.25</v>
      </c>
      <c r="M50" s="3">
        <v>47857</v>
      </c>
      <c r="N50" s="1" t="s">
        <v>15</v>
      </c>
      <c r="O50" s="2">
        <v>1.92</v>
      </c>
      <c r="P50" s="2">
        <v>3.57</v>
      </c>
      <c r="Q50" s="4">
        <v>5.49</v>
      </c>
      <c r="T50" s="26"/>
      <c r="U50" s="26"/>
      <c r="V50" s="26"/>
    </row>
    <row r="51" spans="1:23" ht="15.75" customHeight="1" thickBot="1" x14ac:dyDescent="0.3">
      <c r="A51" s="3">
        <v>48038</v>
      </c>
      <c r="B51" s="1" t="s">
        <v>15</v>
      </c>
      <c r="C51" s="2">
        <v>2.25</v>
      </c>
      <c r="D51" s="2">
        <v>10</v>
      </c>
      <c r="E51" s="4">
        <v>12.25</v>
      </c>
      <c r="F51" s="21"/>
      <c r="G51" s="3">
        <v>48038</v>
      </c>
      <c r="H51" s="1" t="s">
        <v>15</v>
      </c>
      <c r="I51" s="2">
        <v>1.59</v>
      </c>
      <c r="J51" s="2">
        <v>4.55</v>
      </c>
      <c r="K51" s="4">
        <v>6.14</v>
      </c>
      <c r="M51" s="3">
        <v>48038</v>
      </c>
      <c r="N51" s="1" t="s">
        <v>15</v>
      </c>
      <c r="O51" s="2">
        <v>1.83</v>
      </c>
      <c r="P51" s="2">
        <v>3.57</v>
      </c>
      <c r="Q51" s="4">
        <v>5.4</v>
      </c>
      <c r="T51" s="26"/>
      <c r="U51" s="26"/>
      <c r="V51" s="26"/>
    </row>
    <row r="52" spans="1:23" ht="15.75" customHeight="1" thickBot="1" x14ac:dyDescent="0.3">
      <c r="A52" s="3">
        <v>48222</v>
      </c>
      <c r="B52" s="1" t="s">
        <v>15</v>
      </c>
      <c r="C52" s="2">
        <v>2</v>
      </c>
      <c r="D52" s="2">
        <v>10</v>
      </c>
      <c r="E52" s="4">
        <v>12</v>
      </c>
      <c r="F52" s="21"/>
      <c r="G52" s="3">
        <v>48222</v>
      </c>
      <c r="H52" s="1" t="s">
        <v>15</v>
      </c>
      <c r="I52" s="2">
        <v>1.48</v>
      </c>
      <c r="J52" s="2">
        <v>4.55</v>
      </c>
      <c r="K52" s="4">
        <v>6.03</v>
      </c>
      <c r="M52" s="3">
        <v>48222</v>
      </c>
      <c r="N52" s="1" t="s">
        <v>15</v>
      </c>
      <c r="O52" s="2">
        <v>1.74</v>
      </c>
      <c r="P52" s="2">
        <v>3.57</v>
      </c>
      <c r="Q52" s="4">
        <v>5.31</v>
      </c>
      <c r="T52" s="26"/>
      <c r="U52" s="26"/>
      <c r="V52" s="26"/>
    </row>
    <row r="53" spans="1:23" ht="15.75" customHeight="1" thickBot="1" x14ac:dyDescent="0.3">
      <c r="A53" s="3">
        <v>48404</v>
      </c>
      <c r="B53" s="1" t="s">
        <v>15</v>
      </c>
      <c r="C53" s="2">
        <v>1.75</v>
      </c>
      <c r="D53" s="2">
        <v>10</v>
      </c>
      <c r="E53" s="4">
        <v>11.75</v>
      </c>
      <c r="F53" s="21"/>
      <c r="G53" s="3">
        <v>48404</v>
      </c>
      <c r="H53" s="1" t="s">
        <v>15</v>
      </c>
      <c r="I53" s="2">
        <v>1.36</v>
      </c>
      <c r="J53" s="2">
        <v>4.55</v>
      </c>
      <c r="K53" s="4">
        <v>5.91</v>
      </c>
      <c r="L53" s="21"/>
      <c r="M53" s="3">
        <v>48404</v>
      </c>
      <c r="N53" s="1" t="s">
        <v>15</v>
      </c>
      <c r="O53" s="2">
        <v>1.65</v>
      </c>
      <c r="P53" s="2">
        <v>3.57</v>
      </c>
      <c r="Q53" s="4">
        <v>5.22</v>
      </c>
      <c r="T53" s="26"/>
      <c r="U53" s="26"/>
      <c r="V53" s="26"/>
    </row>
    <row r="54" spans="1:23" ht="15.75" customHeight="1" thickBot="1" x14ac:dyDescent="0.3">
      <c r="A54" s="3">
        <v>48588</v>
      </c>
      <c r="B54" s="1" t="s">
        <v>15</v>
      </c>
      <c r="C54" s="2">
        <v>1.5</v>
      </c>
      <c r="D54" s="2">
        <v>10</v>
      </c>
      <c r="E54" s="4">
        <v>11.5</v>
      </c>
      <c r="F54" s="21"/>
      <c r="G54" s="3">
        <v>48588</v>
      </c>
      <c r="H54" s="1" t="s">
        <v>15</v>
      </c>
      <c r="I54" s="2">
        <v>1.25</v>
      </c>
      <c r="J54" s="2">
        <v>4.55</v>
      </c>
      <c r="K54" s="4">
        <v>5.8</v>
      </c>
      <c r="L54" s="21"/>
      <c r="M54" s="3">
        <v>48588</v>
      </c>
      <c r="N54" s="1" t="s">
        <v>15</v>
      </c>
      <c r="O54" s="2">
        <v>1.57</v>
      </c>
      <c r="P54" s="2">
        <v>3.57</v>
      </c>
      <c r="Q54" s="4">
        <v>5.14</v>
      </c>
      <c r="T54" s="26"/>
      <c r="U54" s="26"/>
      <c r="V54" s="26"/>
    </row>
    <row r="55" spans="1:23" ht="15.75" customHeight="1" thickBot="1" x14ac:dyDescent="0.3">
      <c r="A55" s="3">
        <v>48769</v>
      </c>
      <c r="B55" s="1" t="s">
        <v>15</v>
      </c>
      <c r="C55" s="2">
        <v>1.25</v>
      </c>
      <c r="D55" s="2">
        <v>10</v>
      </c>
      <c r="E55" s="4">
        <v>11.25</v>
      </c>
      <c r="F55" s="21"/>
      <c r="G55" s="3">
        <v>48769</v>
      </c>
      <c r="H55" s="1" t="s">
        <v>15</v>
      </c>
      <c r="I55" s="2">
        <v>1.1399999999999999</v>
      </c>
      <c r="J55" s="2">
        <v>4.55</v>
      </c>
      <c r="K55" s="4">
        <v>5.69</v>
      </c>
      <c r="L55" s="21"/>
      <c r="M55" s="3">
        <v>48769</v>
      </c>
      <c r="N55" s="1" t="s">
        <v>15</v>
      </c>
      <c r="O55" s="2">
        <v>1.48</v>
      </c>
      <c r="P55" s="2">
        <v>3.57</v>
      </c>
      <c r="Q55" s="4">
        <v>5.05</v>
      </c>
      <c r="U55" s="26"/>
      <c r="V55" s="26"/>
      <c r="W55" s="26"/>
    </row>
    <row r="56" spans="1:23" ht="15.75" customHeight="1" thickBot="1" x14ac:dyDescent="0.3">
      <c r="A56" s="3">
        <v>48953</v>
      </c>
      <c r="B56" s="1" t="s">
        <v>15</v>
      </c>
      <c r="C56" s="2">
        <v>1</v>
      </c>
      <c r="D56" s="2">
        <v>10</v>
      </c>
      <c r="E56" s="4">
        <v>11</v>
      </c>
      <c r="F56" s="21"/>
      <c r="G56" s="3">
        <v>48953</v>
      </c>
      <c r="H56" s="1" t="s">
        <v>15</v>
      </c>
      <c r="I56" s="2">
        <v>1.02</v>
      </c>
      <c r="J56" s="2">
        <v>4.55</v>
      </c>
      <c r="K56" s="4">
        <v>5.57</v>
      </c>
      <c r="L56" s="21"/>
      <c r="M56" s="3">
        <v>48953</v>
      </c>
      <c r="N56" s="1" t="s">
        <v>15</v>
      </c>
      <c r="O56" s="2">
        <v>1.39</v>
      </c>
      <c r="P56" s="2">
        <v>3.57</v>
      </c>
      <c r="Q56" s="4">
        <v>4.96</v>
      </c>
      <c r="U56" s="26"/>
      <c r="V56" s="26"/>
      <c r="W56" s="26"/>
    </row>
    <row r="57" spans="1:23" ht="15.75" customHeight="1" thickBot="1" x14ac:dyDescent="0.3">
      <c r="A57" s="3">
        <v>49134</v>
      </c>
      <c r="B57" s="1" t="s">
        <v>15</v>
      </c>
      <c r="C57" s="2">
        <v>0.75</v>
      </c>
      <c r="D57" s="2">
        <v>10</v>
      </c>
      <c r="E57" s="4">
        <v>10.75</v>
      </c>
      <c r="F57" s="21"/>
      <c r="G57" s="3">
        <v>49134</v>
      </c>
      <c r="H57" s="1" t="s">
        <v>15</v>
      </c>
      <c r="I57" s="2">
        <v>0.91</v>
      </c>
      <c r="J57" s="2">
        <v>4.55</v>
      </c>
      <c r="K57" s="4">
        <v>5.46</v>
      </c>
      <c r="L57" s="21"/>
      <c r="M57" s="3">
        <v>49134</v>
      </c>
      <c r="N57" s="1" t="s">
        <v>15</v>
      </c>
      <c r="O57" s="2">
        <v>1.31</v>
      </c>
      <c r="P57" s="2">
        <v>3.57</v>
      </c>
      <c r="Q57" s="4">
        <v>4.88</v>
      </c>
      <c r="U57" s="26"/>
      <c r="V57" s="26"/>
      <c r="W57" s="26"/>
    </row>
    <row r="58" spans="1:23" ht="15.75" customHeight="1" thickBot="1" x14ac:dyDescent="0.3">
      <c r="A58" s="3">
        <v>49318</v>
      </c>
      <c r="B58" s="1" t="s">
        <v>15</v>
      </c>
      <c r="C58" s="2">
        <v>0.5</v>
      </c>
      <c r="D58" s="2">
        <v>10</v>
      </c>
      <c r="E58" s="4">
        <v>10.5</v>
      </c>
      <c r="F58" s="21"/>
      <c r="G58" s="3">
        <v>49318</v>
      </c>
      <c r="H58" s="1" t="s">
        <v>15</v>
      </c>
      <c r="I58" s="2">
        <v>0.8</v>
      </c>
      <c r="J58" s="2">
        <v>4.55</v>
      </c>
      <c r="K58" s="4">
        <v>5.35</v>
      </c>
      <c r="L58" s="21"/>
      <c r="M58" s="3">
        <v>49318</v>
      </c>
      <c r="N58" s="1" t="s">
        <v>15</v>
      </c>
      <c r="O58" s="2">
        <v>1.22</v>
      </c>
      <c r="P58" s="2">
        <v>3.57</v>
      </c>
      <c r="Q58" s="4">
        <v>4.79</v>
      </c>
      <c r="U58" s="26"/>
      <c r="V58" s="26"/>
      <c r="W58" s="26"/>
    </row>
    <row r="59" spans="1:23" ht="15.75" customHeight="1" thickBot="1" x14ac:dyDescent="0.3">
      <c r="A59" s="3">
        <v>49499</v>
      </c>
      <c r="B59" s="1" t="s">
        <v>15</v>
      </c>
      <c r="C59" s="2">
        <v>0.25</v>
      </c>
      <c r="D59" s="2">
        <v>10</v>
      </c>
      <c r="E59" s="4">
        <v>10.25</v>
      </c>
      <c r="F59" s="21"/>
      <c r="G59" s="3">
        <v>49499</v>
      </c>
      <c r="H59" s="1" t="s">
        <v>15</v>
      </c>
      <c r="I59" s="2">
        <v>0.68</v>
      </c>
      <c r="J59" s="2">
        <v>4.55</v>
      </c>
      <c r="K59" s="4">
        <v>5.23</v>
      </c>
      <c r="L59" s="21"/>
      <c r="M59" s="3">
        <v>49499</v>
      </c>
      <c r="N59" s="1" t="s">
        <v>15</v>
      </c>
      <c r="O59" s="2">
        <v>1.1299999999999999</v>
      </c>
      <c r="P59" s="2">
        <v>3.57</v>
      </c>
      <c r="Q59" s="4">
        <v>4.7</v>
      </c>
      <c r="U59" s="26"/>
      <c r="V59" s="26"/>
      <c r="W59" s="26"/>
    </row>
    <row r="60" spans="1:23" ht="15.75" customHeight="1" thickBot="1" x14ac:dyDescent="0.3">
      <c r="A60" s="5"/>
      <c r="B60" s="6"/>
      <c r="C60" s="7">
        <f>SUM(C35:C59)</f>
        <v>45.239999999999995</v>
      </c>
      <c r="D60" s="7">
        <f>SUM(D35:D59)</f>
        <v>100</v>
      </c>
      <c r="E60" s="8">
        <f>SUM(E35:E59)</f>
        <v>145.24</v>
      </c>
      <c r="F60" s="21"/>
      <c r="G60" s="3">
        <v>49683</v>
      </c>
      <c r="H60" s="1" t="s">
        <v>15</v>
      </c>
      <c r="I60" s="2">
        <v>0.56999999999999995</v>
      </c>
      <c r="J60" s="2">
        <v>4.55</v>
      </c>
      <c r="K60" s="4">
        <v>5.12</v>
      </c>
      <c r="L60" s="21"/>
      <c r="M60" s="3">
        <v>49683</v>
      </c>
      <c r="N60" s="1" t="s">
        <v>15</v>
      </c>
      <c r="O60" s="2">
        <v>1.04</v>
      </c>
      <c r="P60" s="2">
        <v>3.57</v>
      </c>
      <c r="Q60" s="4">
        <v>4.6100000000000003</v>
      </c>
      <c r="U60" s="26"/>
      <c r="V60" s="26"/>
      <c r="W60" s="26"/>
    </row>
    <row r="61" spans="1:23" ht="15.75" customHeight="1" thickBot="1" x14ac:dyDescent="0.3">
      <c r="B61" s="21"/>
      <c r="F61" s="21"/>
      <c r="G61" s="3">
        <v>49865</v>
      </c>
      <c r="H61" s="1" t="s">
        <v>15</v>
      </c>
      <c r="I61" s="2">
        <v>0.45</v>
      </c>
      <c r="J61" s="2">
        <v>4.55</v>
      </c>
      <c r="K61" s="4">
        <v>5</v>
      </c>
      <c r="L61" s="21"/>
      <c r="M61" s="3">
        <v>49865</v>
      </c>
      <c r="N61" s="1" t="s">
        <v>15</v>
      </c>
      <c r="O61" s="2">
        <v>0.96</v>
      </c>
      <c r="P61" s="2">
        <v>3.57</v>
      </c>
      <c r="Q61" s="4">
        <v>4.53</v>
      </c>
      <c r="U61" s="26"/>
      <c r="V61" s="26"/>
      <c r="W61" s="26"/>
    </row>
    <row r="62" spans="1:23" ht="15.75" customHeight="1" thickBot="1" x14ac:dyDescent="0.3">
      <c r="B62" s="21"/>
      <c r="F62" s="21"/>
      <c r="G62" s="3">
        <v>50049</v>
      </c>
      <c r="H62" s="1" t="s">
        <v>15</v>
      </c>
      <c r="I62" s="2">
        <v>0.34</v>
      </c>
      <c r="J62" s="2">
        <v>4.55</v>
      </c>
      <c r="K62" s="4">
        <v>4.8899999999999997</v>
      </c>
      <c r="L62" s="21"/>
      <c r="M62" s="3">
        <v>50049</v>
      </c>
      <c r="N62" s="1" t="s">
        <v>15</v>
      </c>
      <c r="O62" s="2">
        <v>0.87</v>
      </c>
      <c r="P62" s="2">
        <v>3.57</v>
      </c>
      <c r="Q62" s="4">
        <v>4.4400000000000004</v>
      </c>
      <c r="U62" s="26"/>
      <c r="V62" s="26"/>
      <c r="W62" s="26"/>
    </row>
    <row r="63" spans="1:23" ht="15.75" customHeight="1" thickBot="1" x14ac:dyDescent="0.3">
      <c r="B63" s="21"/>
      <c r="F63" s="21"/>
      <c r="G63" s="3">
        <v>50230</v>
      </c>
      <c r="H63" s="1" t="s">
        <v>15</v>
      </c>
      <c r="I63" s="2">
        <v>0.23</v>
      </c>
      <c r="J63" s="2">
        <v>4.55</v>
      </c>
      <c r="K63" s="4">
        <v>4.78</v>
      </c>
      <c r="L63" s="21"/>
      <c r="M63" s="3">
        <v>50230</v>
      </c>
      <c r="N63" s="1" t="s">
        <v>15</v>
      </c>
      <c r="O63" s="2">
        <v>0.78</v>
      </c>
      <c r="P63" s="2">
        <v>3.57</v>
      </c>
      <c r="Q63" s="4">
        <v>4.3499999999999996</v>
      </c>
      <c r="U63" s="26"/>
      <c r="V63" s="26"/>
      <c r="W63" s="26"/>
    </row>
    <row r="64" spans="1:23" ht="15.75" customHeight="1" thickBot="1" x14ac:dyDescent="0.3">
      <c r="B64" s="21"/>
      <c r="F64" s="21"/>
      <c r="G64" s="3">
        <v>50414</v>
      </c>
      <c r="H64" s="1" t="s">
        <v>15</v>
      </c>
      <c r="I64" s="2">
        <v>0.11</v>
      </c>
      <c r="J64" s="2">
        <v>4.55</v>
      </c>
      <c r="K64" s="4">
        <v>4.66</v>
      </c>
      <c r="L64" s="21"/>
      <c r="M64" s="3">
        <v>50414</v>
      </c>
      <c r="N64" s="1" t="s">
        <v>15</v>
      </c>
      <c r="O64" s="2">
        <v>0.7</v>
      </c>
      <c r="P64" s="2">
        <v>3.57</v>
      </c>
      <c r="Q64" s="4">
        <v>4.2699999999999996</v>
      </c>
      <c r="U64" s="26"/>
      <c r="V64" s="26"/>
      <c r="W64" s="26"/>
    </row>
    <row r="65" spans="1:23" ht="15.75" customHeight="1" thickBot="1" x14ac:dyDescent="0.3">
      <c r="B65" s="21"/>
      <c r="F65" s="21"/>
      <c r="G65" s="5"/>
      <c r="H65" s="10"/>
      <c r="I65" s="7">
        <f>SUM(I35:I64)</f>
        <v>47.43</v>
      </c>
      <c r="J65" s="7">
        <f>SUM(J35:J64)</f>
        <v>100.09999999999997</v>
      </c>
      <c r="K65" s="8">
        <f>SUM(K35:K64)</f>
        <v>147.52999999999997</v>
      </c>
      <c r="L65" s="21"/>
      <c r="M65" s="3">
        <v>50595</v>
      </c>
      <c r="N65" s="1" t="s">
        <v>15</v>
      </c>
      <c r="O65" s="2">
        <v>0.61</v>
      </c>
      <c r="P65" s="2">
        <v>3.57</v>
      </c>
      <c r="Q65" s="4">
        <v>4.18</v>
      </c>
      <c r="U65" s="26"/>
      <c r="V65" s="26"/>
      <c r="W65" s="26"/>
    </row>
    <row r="66" spans="1:23" ht="15.75" customHeight="1" thickBot="1" x14ac:dyDescent="0.3">
      <c r="B66" s="21"/>
      <c r="F66" s="21"/>
      <c r="L66" s="21"/>
      <c r="M66" s="3">
        <v>50779</v>
      </c>
      <c r="N66" s="1" t="s">
        <v>15</v>
      </c>
      <c r="O66" s="2">
        <v>0.52</v>
      </c>
      <c r="P66" s="2">
        <v>3.57</v>
      </c>
      <c r="Q66" s="4">
        <v>4.09</v>
      </c>
      <c r="U66" s="26"/>
      <c r="V66" s="26"/>
      <c r="W66" s="26"/>
    </row>
    <row r="67" spans="1:23" ht="15.75" customHeight="1" thickBot="1" x14ac:dyDescent="0.3">
      <c r="B67" s="21"/>
      <c r="F67" s="21"/>
      <c r="L67" s="21"/>
      <c r="M67" s="3">
        <v>50960</v>
      </c>
      <c r="N67" s="1" t="s">
        <v>15</v>
      </c>
      <c r="O67" s="2">
        <v>0.44</v>
      </c>
      <c r="P67" s="2">
        <v>3.57</v>
      </c>
      <c r="Q67" s="4">
        <v>4.01</v>
      </c>
      <c r="U67" s="26"/>
      <c r="V67" s="26"/>
      <c r="W67" s="26"/>
    </row>
    <row r="68" spans="1:23" ht="15.75" customHeight="1" thickBot="1" x14ac:dyDescent="0.3">
      <c r="B68" s="21"/>
      <c r="F68" s="21"/>
      <c r="L68" s="21"/>
      <c r="M68" s="3">
        <v>51144</v>
      </c>
      <c r="N68" s="1" t="s">
        <v>15</v>
      </c>
      <c r="O68" s="2">
        <v>0.35</v>
      </c>
      <c r="P68" s="2">
        <v>3.57</v>
      </c>
      <c r="Q68" s="4">
        <v>3.92</v>
      </c>
      <c r="U68" s="26"/>
      <c r="V68" s="26"/>
      <c r="W68" s="26"/>
    </row>
    <row r="69" spans="1:23" ht="15.75" customHeight="1" thickBot="1" x14ac:dyDescent="0.3">
      <c r="B69" s="21"/>
      <c r="F69" s="21"/>
      <c r="L69" s="21"/>
      <c r="M69" s="3">
        <v>51326</v>
      </c>
      <c r="N69" s="1" t="s">
        <v>15</v>
      </c>
      <c r="O69" s="2">
        <v>0.26</v>
      </c>
      <c r="P69" s="2">
        <v>3.57</v>
      </c>
      <c r="Q69" s="4">
        <v>3.83</v>
      </c>
      <c r="U69" s="26"/>
      <c r="V69" s="26"/>
      <c r="W69" s="26"/>
    </row>
    <row r="70" spans="1:23" ht="15.75" customHeight="1" thickBot="1" x14ac:dyDescent="0.3">
      <c r="B70" s="21"/>
      <c r="F70" s="21"/>
      <c r="L70" s="21"/>
      <c r="M70" s="3">
        <v>51510</v>
      </c>
      <c r="N70" s="1" t="s">
        <v>15</v>
      </c>
      <c r="O70" s="2">
        <v>0.17</v>
      </c>
      <c r="P70" s="2">
        <v>3.57</v>
      </c>
      <c r="Q70" s="4">
        <v>3.74</v>
      </c>
      <c r="U70" s="26"/>
      <c r="V70" s="26"/>
      <c r="W70" s="26"/>
    </row>
    <row r="71" spans="1:23" ht="15.75" customHeight="1" thickBot="1" x14ac:dyDescent="0.3">
      <c r="B71" s="21"/>
      <c r="F71" s="21"/>
      <c r="L71" s="21"/>
      <c r="M71" s="3">
        <v>51691</v>
      </c>
      <c r="N71" s="1" t="s">
        <v>15</v>
      </c>
      <c r="O71" s="2">
        <v>0.09</v>
      </c>
      <c r="P71" s="2">
        <v>3.57</v>
      </c>
      <c r="Q71" s="4">
        <v>3.66</v>
      </c>
    </row>
    <row r="72" spans="1:23" ht="15.75" customHeight="1" thickBot="1" x14ac:dyDescent="0.3">
      <c r="B72" s="21"/>
      <c r="F72" s="21"/>
      <c r="L72" s="21"/>
      <c r="M72" s="5"/>
      <c r="N72" s="10"/>
      <c r="O72" s="7">
        <f>SUM(O35:O71)</f>
        <v>48.500000000000007</v>
      </c>
      <c r="P72" s="7">
        <f>SUM(P35:P71)</f>
        <v>99.959999999999923</v>
      </c>
      <c r="Q72" s="8">
        <f>SUM(Q35:Q71)</f>
        <v>148.45999999999998</v>
      </c>
    </row>
    <row r="73" spans="1:23" ht="15.75" customHeight="1" x14ac:dyDescent="0.25">
      <c r="B73" s="21"/>
    </row>
    <row r="74" spans="1:23" ht="15.75" customHeight="1" x14ac:dyDescent="0.25">
      <c r="B74" s="21"/>
    </row>
    <row r="75" spans="1:23" ht="15.75" customHeight="1" x14ac:dyDescent="0.25">
      <c r="B75" s="21"/>
    </row>
    <row r="76" spans="1:23" ht="15.75" customHeight="1" x14ac:dyDescent="0.25">
      <c r="B76" s="21"/>
      <c r="M76" s="21"/>
    </row>
    <row r="77" spans="1:23" ht="15.75" customHeight="1" x14ac:dyDescent="0.25">
      <c r="A77" s="22"/>
      <c r="B77" s="23"/>
      <c r="D77" s="21"/>
      <c r="E77" s="21"/>
      <c r="G77" s="21"/>
      <c r="H77" s="21"/>
      <c r="I77" s="21"/>
      <c r="J77" s="21"/>
      <c r="K77" s="21"/>
    </row>
    <row r="78" spans="1:23" ht="15.75" customHeight="1" x14ac:dyDescent="0.25">
      <c r="A78" s="22"/>
      <c r="B78" s="23"/>
      <c r="D78" s="21"/>
      <c r="E78" s="21"/>
      <c r="F78" s="21"/>
      <c r="G78" s="21"/>
      <c r="H78" s="21"/>
      <c r="I78" s="21"/>
      <c r="J78" s="21"/>
      <c r="K78" s="21"/>
      <c r="L78" s="21"/>
    </row>
    <row r="79" spans="1:23" x14ac:dyDescent="0.25">
      <c r="A79" s="22"/>
      <c r="B79" s="23"/>
      <c r="D79" s="21"/>
      <c r="E79" s="21"/>
      <c r="F79" s="21"/>
      <c r="G79" s="21"/>
      <c r="H79" s="21"/>
      <c r="I79" s="21"/>
      <c r="J79" s="21"/>
      <c r="K79" s="21"/>
      <c r="L79" s="21"/>
    </row>
    <row r="80" spans="1:23" x14ac:dyDescent="0.25">
      <c r="A80" s="22"/>
      <c r="B80" s="23"/>
      <c r="D80" s="21"/>
      <c r="E80" s="21"/>
      <c r="F80" s="21"/>
      <c r="G80" s="21"/>
      <c r="H80" s="21"/>
      <c r="I80" s="21"/>
      <c r="J80" s="21"/>
      <c r="K80" s="21"/>
      <c r="L80" s="21"/>
    </row>
    <row r="81" spans="1:12" x14ac:dyDescent="0.25">
      <c r="A81" s="22"/>
      <c r="B81" s="23"/>
      <c r="D81" s="21"/>
      <c r="E81" s="21"/>
      <c r="F81" s="21"/>
      <c r="G81" s="21"/>
      <c r="H81" s="21"/>
      <c r="I81" s="21"/>
      <c r="J81" s="21"/>
      <c r="K81" s="21"/>
      <c r="L81" s="21"/>
    </row>
    <row r="82" spans="1:12" x14ac:dyDescent="0.25">
      <c r="A82" s="2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</row>
    <row r="83" spans="1:12" x14ac:dyDescent="0.25"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</row>
    <row r="84" spans="1:12" x14ac:dyDescent="0.25">
      <c r="B84" s="21"/>
      <c r="F84" s="21"/>
      <c r="G84" s="21"/>
      <c r="H84" s="21"/>
      <c r="I84" s="21"/>
      <c r="J84" s="21"/>
      <c r="K84" s="21"/>
      <c r="L84" s="21"/>
    </row>
    <row r="85" spans="1:12" x14ac:dyDescent="0.25">
      <c r="B85" s="21"/>
      <c r="F85" s="21"/>
      <c r="G85" s="21"/>
      <c r="H85" s="21"/>
      <c r="I85" s="21"/>
      <c r="J85" s="21"/>
      <c r="K85" s="21"/>
      <c r="L85" s="21"/>
    </row>
    <row r="86" spans="1:12" x14ac:dyDescent="0.25">
      <c r="B86" s="21"/>
      <c r="F86" s="21"/>
      <c r="G86" s="21"/>
      <c r="H86" s="21"/>
      <c r="I86" s="21"/>
      <c r="J86" s="21"/>
      <c r="K86" s="21"/>
      <c r="L86" s="21"/>
    </row>
    <row r="87" spans="1:12" x14ac:dyDescent="0.25">
      <c r="B87" s="21"/>
      <c r="F87" s="21"/>
      <c r="G87" s="21"/>
      <c r="H87" s="21"/>
      <c r="I87" s="21"/>
      <c r="J87" s="21"/>
      <c r="K87" s="21"/>
      <c r="L87" s="21"/>
    </row>
    <row r="88" spans="1:12" x14ac:dyDescent="0.25">
      <c r="B88" s="21"/>
      <c r="F88" s="21"/>
      <c r="G88" s="21"/>
      <c r="H88" s="21"/>
      <c r="I88" s="21"/>
      <c r="J88" s="21"/>
      <c r="K88" s="21"/>
      <c r="L88" s="21"/>
    </row>
    <row r="89" spans="1:12" x14ac:dyDescent="0.25">
      <c r="B89" s="21"/>
      <c r="F89" s="21"/>
      <c r="G89" s="21"/>
      <c r="H89" s="21"/>
      <c r="I89" s="21"/>
      <c r="J89" s="21"/>
      <c r="K89" s="21"/>
      <c r="L89" s="21"/>
    </row>
    <row r="90" spans="1:12" x14ac:dyDescent="0.25">
      <c r="B90" s="21"/>
      <c r="F90" s="21"/>
      <c r="G90" s="21"/>
      <c r="H90" s="21"/>
      <c r="I90" s="21"/>
      <c r="J90" s="21"/>
      <c r="K90" s="21"/>
      <c r="L90" s="21"/>
    </row>
    <row r="91" spans="1:12" x14ac:dyDescent="0.25">
      <c r="B91" s="21"/>
      <c r="F91" s="21"/>
      <c r="G91" s="21"/>
      <c r="H91" s="21"/>
      <c r="I91" s="21"/>
      <c r="J91" s="21"/>
      <c r="K91" s="21"/>
      <c r="L91" s="21"/>
    </row>
    <row r="92" spans="1:12" x14ac:dyDescent="0.25">
      <c r="B92" s="21"/>
      <c r="F92" s="21"/>
      <c r="G92" s="21"/>
      <c r="H92" s="21"/>
      <c r="I92" s="21"/>
      <c r="J92" s="21"/>
      <c r="K92" s="21"/>
      <c r="L92" s="21"/>
    </row>
    <row r="93" spans="1:12" x14ac:dyDescent="0.25">
      <c r="B93" s="21"/>
      <c r="F93" s="21"/>
      <c r="G93" s="21"/>
      <c r="H93" s="21"/>
      <c r="I93" s="21"/>
      <c r="J93" s="21"/>
      <c r="K93" s="21"/>
      <c r="L93" s="21"/>
    </row>
    <row r="94" spans="1:12" x14ac:dyDescent="0.25">
      <c r="B94" s="21"/>
      <c r="F94" s="21"/>
      <c r="G94" s="21"/>
      <c r="H94" s="21"/>
      <c r="I94" s="21"/>
      <c r="J94" s="21"/>
      <c r="K94" s="21"/>
      <c r="L94" s="21"/>
    </row>
    <row r="95" spans="1:12" x14ac:dyDescent="0.25">
      <c r="B95" s="21"/>
      <c r="F95" s="21"/>
      <c r="G95" s="21"/>
      <c r="H95" s="21"/>
      <c r="I95" s="21"/>
      <c r="J95" s="21"/>
      <c r="K95" s="21"/>
      <c r="L95" s="21"/>
    </row>
    <row r="96" spans="1:12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L100" s="21"/>
    </row>
    <row r="101" spans="2:12" x14ac:dyDescent="0.25">
      <c r="B101" s="21"/>
    </row>
    <row r="102" spans="2:12" x14ac:dyDescent="0.25">
      <c r="B102" s="21"/>
    </row>
    <row r="103" spans="2:12" x14ac:dyDescent="0.25">
      <c r="B103" s="21"/>
    </row>
    <row r="104" spans="2:12" x14ac:dyDescent="0.25">
      <c r="B104" s="21"/>
    </row>
    <row r="105" spans="2:12" x14ac:dyDescent="0.25">
      <c r="B105" s="21"/>
    </row>
    <row r="106" spans="2:12" x14ac:dyDescent="0.25">
      <c r="B106" s="21"/>
    </row>
    <row r="107" spans="2:12" x14ac:dyDescent="0.25">
      <c r="B107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Y109"/>
  <sheetViews>
    <sheetView topLeftCell="A7" workbookViewId="0">
      <selection activeCell="Q9" sqref="Q9:Q15"/>
    </sheetView>
  </sheetViews>
  <sheetFormatPr baseColWidth="10" defaultRowHeight="15" x14ac:dyDescent="0.25"/>
  <cols>
    <col min="1" max="1" width="22.140625" style="74" bestFit="1" customWidth="1"/>
    <col min="2" max="2" width="10.7109375" style="74" bestFit="1" customWidth="1"/>
    <col min="3" max="6" width="11.42578125" style="74" customWidth="1"/>
    <col min="7" max="7" width="22.140625" style="74" bestFit="1" customWidth="1"/>
    <col min="8" max="8" width="11.85546875" style="74" bestFit="1" customWidth="1"/>
    <col min="9" max="12" width="11.42578125" style="74" customWidth="1"/>
    <col min="13" max="13" width="22.140625" style="74" bestFit="1" customWidth="1"/>
    <col min="14" max="14" width="11.85546875" style="74" bestFit="1" customWidth="1"/>
    <col min="15" max="18" width="11.42578125" style="74" customWidth="1"/>
    <col min="19" max="19" width="22.140625" style="74" bestFit="1" customWidth="1"/>
    <col min="20" max="42" width="11.42578125" style="74" customWidth="1"/>
    <col min="43" max="16384" width="11.42578125" style="74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 t="e">
        <f>#REF!-B5</f>
        <v>#REF!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44570</v>
      </c>
      <c r="C5" s="27"/>
      <c r="D5" s="26" t="e">
        <f>DAYS360(B5,#REF!)</f>
        <v>#REF!</v>
      </c>
      <c r="E5" s="28"/>
      <c r="G5" s="31" t="s">
        <v>10</v>
      </c>
      <c r="H5" s="24">
        <v>44570</v>
      </c>
      <c r="I5" s="27"/>
      <c r="J5" s="27"/>
      <c r="K5" s="28"/>
      <c r="L5" s="21"/>
      <c r="M5" s="31" t="s">
        <v>10</v>
      </c>
      <c r="N5" s="24">
        <v>44570</v>
      </c>
      <c r="O5" s="27"/>
      <c r="P5" s="27"/>
      <c r="Q5" s="28"/>
      <c r="S5" s="31" t="s">
        <v>10</v>
      </c>
      <c r="T5" s="24">
        <v>44570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 t="e">
        <f>DAYS360(B5,#REF!)</f>
        <v>#REF!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1.4972222222222222</v>
      </c>
      <c r="C8" s="27"/>
      <c r="D8" s="48"/>
      <c r="E8" s="28"/>
      <c r="F8" s="47"/>
      <c r="G8" s="31" t="s">
        <v>13</v>
      </c>
      <c r="H8" s="46">
        <f ca="1">H6*DAYS360(H5,TODAY())/360*100</f>
        <v>1.4972222222222222</v>
      </c>
      <c r="I8" s="27"/>
      <c r="J8" s="27"/>
      <c r="K8" s="28"/>
      <c r="L8" s="21"/>
      <c r="M8" s="31" t="s">
        <v>13</v>
      </c>
      <c r="N8" s="46">
        <f ca="1">N6*DAYS360(N5,TODAY())/360*100</f>
        <v>0.18715277777777778</v>
      </c>
      <c r="O8" s="27"/>
      <c r="P8" s="27"/>
      <c r="Q8" s="28"/>
      <c r="S8" s="31" t="s">
        <v>13</v>
      </c>
      <c r="T8" s="46">
        <f ca="1">T6*DAYS360(T5,TODAY())/360*100</f>
        <v>0.18715277777777778</v>
      </c>
      <c r="U8" s="27"/>
      <c r="V8" s="27"/>
      <c r="W8" s="28"/>
    </row>
    <row r="9" spans="1:25" ht="18.75" customHeight="1" thickBot="1" x14ac:dyDescent="0.35">
      <c r="A9" s="30" t="s">
        <v>14</v>
      </c>
      <c r="B9" s="46">
        <f ca="1">B7+B8</f>
        <v>101.49722222222222</v>
      </c>
      <c r="C9" s="27"/>
      <c r="D9" s="27"/>
      <c r="E9" s="96">
        <v>-23.5</v>
      </c>
      <c r="F9" s="21"/>
      <c r="G9" s="31" t="s">
        <v>14</v>
      </c>
      <c r="H9" s="46">
        <f ca="1">H7+H8</f>
        <v>101.49722222222222</v>
      </c>
      <c r="I9" s="27"/>
      <c r="J9" s="27"/>
      <c r="K9" s="96">
        <v>-20.45</v>
      </c>
      <c r="L9" s="21"/>
      <c r="M9" s="31" t="s">
        <v>14</v>
      </c>
      <c r="N9" s="46">
        <f ca="1">N7+N8</f>
        <v>100.18715277777778</v>
      </c>
      <c r="O9" s="27"/>
      <c r="P9" s="27"/>
      <c r="Q9" s="96">
        <v>-22.9</v>
      </c>
      <c r="S9" s="31" t="s">
        <v>14</v>
      </c>
      <c r="T9" s="46">
        <f ca="1">T7+T8</f>
        <v>100.18715277777778</v>
      </c>
      <c r="U9" s="27"/>
      <c r="V9" s="27"/>
      <c r="W9" s="96">
        <v>-20.48</v>
      </c>
    </row>
    <row r="10" spans="1:25" ht="15.75" customHeight="1" thickBot="1" x14ac:dyDescent="0.3">
      <c r="A10" s="3">
        <v>44935</v>
      </c>
      <c r="B10" s="1" t="s">
        <v>15</v>
      </c>
      <c r="C10" s="39">
        <v>0.5</v>
      </c>
      <c r="D10" s="2">
        <v>0</v>
      </c>
      <c r="E10" s="97">
        <v>0.5</v>
      </c>
      <c r="F10" s="21"/>
      <c r="G10" s="3">
        <v>44935</v>
      </c>
      <c r="H10" t="s">
        <v>15</v>
      </c>
      <c r="I10" s="2">
        <v>0.5</v>
      </c>
      <c r="J10" s="2">
        <v>0</v>
      </c>
      <c r="K10" s="98">
        <v>0.5</v>
      </c>
      <c r="L10" s="21"/>
      <c r="M10" s="3">
        <v>44935</v>
      </c>
      <c r="N10" t="s">
        <v>15</v>
      </c>
      <c r="O10" s="2">
        <v>0.25</v>
      </c>
      <c r="P10" s="2">
        <v>0</v>
      </c>
      <c r="Q10" s="98">
        <v>0.25</v>
      </c>
      <c r="S10" s="3">
        <v>44935</v>
      </c>
      <c r="T10" t="s">
        <v>15</v>
      </c>
      <c r="U10" s="2">
        <v>0.25</v>
      </c>
      <c r="V10" s="2">
        <v>0</v>
      </c>
      <c r="W10" s="98">
        <v>0.25</v>
      </c>
    </row>
    <row r="11" spans="1:25" ht="15.75" customHeight="1" thickBot="1" x14ac:dyDescent="0.3">
      <c r="A11" s="3">
        <v>45116</v>
      </c>
      <c r="B11" s="1" t="s">
        <v>15</v>
      </c>
      <c r="C11" s="39">
        <v>0.5</v>
      </c>
      <c r="D11" s="2">
        <v>0</v>
      </c>
      <c r="E11" s="97">
        <v>0.5</v>
      </c>
      <c r="F11" s="21"/>
      <c r="G11" s="3">
        <v>45116</v>
      </c>
      <c r="H11" t="s">
        <v>15</v>
      </c>
      <c r="I11" s="2">
        <v>0.5</v>
      </c>
      <c r="J11" s="2">
        <v>0</v>
      </c>
      <c r="K11" s="98">
        <v>0.5</v>
      </c>
      <c r="L11" s="21"/>
      <c r="M11" s="3">
        <v>45116</v>
      </c>
      <c r="N11" t="s">
        <v>15</v>
      </c>
      <c r="O11" s="2">
        <v>0.25</v>
      </c>
      <c r="P11" s="2">
        <v>0</v>
      </c>
      <c r="Q11" s="98">
        <v>0.25</v>
      </c>
      <c r="S11" s="3">
        <v>45116</v>
      </c>
      <c r="T11" t="s">
        <v>15</v>
      </c>
      <c r="U11" s="2">
        <v>0.25</v>
      </c>
      <c r="V11" s="2">
        <v>0</v>
      </c>
      <c r="W11" s="98">
        <v>0.25</v>
      </c>
    </row>
    <row r="12" spans="1:25" ht="15.75" customHeight="1" thickBot="1" x14ac:dyDescent="0.3">
      <c r="A12" s="3">
        <v>45300</v>
      </c>
      <c r="B12" s="1" t="s">
        <v>15</v>
      </c>
      <c r="C12" s="39">
        <v>0.5</v>
      </c>
      <c r="D12" s="2">
        <v>0</v>
      </c>
      <c r="E12" s="97">
        <v>0.5</v>
      </c>
      <c r="F12" s="21"/>
      <c r="G12" s="3">
        <v>45300</v>
      </c>
      <c r="H12" t="s">
        <v>15</v>
      </c>
      <c r="I12" s="2">
        <v>0.5</v>
      </c>
      <c r="J12" s="2">
        <v>0</v>
      </c>
      <c r="K12" s="98">
        <v>0.5</v>
      </c>
      <c r="L12" s="21"/>
      <c r="M12" s="3">
        <v>45300</v>
      </c>
      <c r="N12" t="s">
        <v>15</v>
      </c>
      <c r="O12" s="2">
        <v>0.38</v>
      </c>
      <c r="P12" s="2">
        <v>0</v>
      </c>
      <c r="Q12" s="98">
        <v>0.38</v>
      </c>
      <c r="S12" s="3">
        <v>45300</v>
      </c>
      <c r="T12" t="s">
        <v>15</v>
      </c>
      <c r="U12" s="2">
        <v>0.38</v>
      </c>
      <c r="V12" s="2">
        <v>0</v>
      </c>
      <c r="W12" s="98">
        <v>0.38</v>
      </c>
    </row>
    <row r="13" spans="1:25" ht="15.75" customHeight="1" thickBot="1" x14ac:dyDescent="0.3">
      <c r="A13" s="3">
        <v>45482</v>
      </c>
      <c r="B13" s="1" t="s">
        <v>15</v>
      </c>
      <c r="C13" s="39">
        <v>0.5</v>
      </c>
      <c r="D13" s="2">
        <v>0</v>
      </c>
      <c r="E13" s="97">
        <v>0.5</v>
      </c>
      <c r="F13" s="21"/>
      <c r="G13" s="3">
        <v>45482</v>
      </c>
      <c r="H13" t="s">
        <v>15</v>
      </c>
      <c r="I13" s="2">
        <v>0.5</v>
      </c>
      <c r="J13" s="2">
        <v>0</v>
      </c>
      <c r="K13" s="98">
        <v>0.5</v>
      </c>
      <c r="L13" s="21"/>
      <c r="M13" s="3">
        <v>45482</v>
      </c>
      <c r="N13" t="s">
        <v>15</v>
      </c>
      <c r="O13" s="2">
        <v>0.38</v>
      </c>
      <c r="P13" s="2">
        <v>4</v>
      </c>
      <c r="Q13" s="98">
        <v>4.38</v>
      </c>
      <c r="S13" s="3">
        <v>45482</v>
      </c>
      <c r="T13" t="s">
        <v>15</v>
      </c>
      <c r="U13" s="2">
        <v>0.38</v>
      </c>
      <c r="V13" s="2">
        <v>4</v>
      </c>
      <c r="W13" s="98">
        <v>4.38</v>
      </c>
    </row>
    <row r="14" spans="1:25" ht="15.75" customHeight="1" thickBot="1" x14ac:dyDescent="0.3">
      <c r="A14" s="3">
        <v>45666</v>
      </c>
      <c r="B14" s="1" t="s">
        <v>15</v>
      </c>
      <c r="C14" s="39">
        <v>0.5</v>
      </c>
      <c r="D14" s="2">
        <v>10</v>
      </c>
      <c r="E14" s="97">
        <v>10.5</v>
      </c>
      <c r="F14" s="21"/>
      <c r="G14" s="3">
        <v>45666</v>
      </c>
      <c r="H14" t="s">
        <v>15</v>
      </c>
      <c r="I14" s="2">
        <v>0.5</v>
      </c>
      <c r="J14" s="2">
        <v>10</v>
      </c>
      <c r="K14" s="98">
        <v>10.5</v>
      </c>
      <c r="L14" s="21"/>
      <c r="M14" s="3">
        <v>45666</v>
      </c>
      <c r="N14" t="s">
        <v>15</v>
      </c>
      <c r="O14" s="2">
        <v>0.36</v>
      </c>
      <c r="P14" s="2">
        <v>8</v>
      </c>
      <c r="Q14" s="98">
        <v>8.36</v>
      </c>
      <c r="S14" s="3">
        <v>45666</v>
      </c>
      <c r="T14" t="s">
        <v>15</v>
      </c>
      <c r="U14" s="2">
        <v>0.36</v>
      </c>
      <c r="V14" s="2">
        <v>8</v>
      </c>
      <c r="W14" s="98">
        <v>8.36</v>
      </c>
    </row>
    <row r="15" spans="1:25" ht="15.75" customHeight="1" thickBot="1" x14ac:dyDescent="0.3">
      <c r="A15" s="3">
        <v>45847</v>
      </c>
      <c r="B15" s="1" t="s">
        <v>15</v>
      </c>
      <c r="C15" s="39">
        <v>0.45</v>
      </c>
      <c r="D15" s="2">
        <v>10</v>
      </c>
      <c r="E15" s="97">
        <v>10.45</v>
      </c>
      <c r="F15" s="21"/>
      <c r="G15" s="3">
        <v>45847</v>
      </c>
      <c r="H15" t="s">
        <v>15</v>
      </c>
      <c r="I15" s="2">
        <v>0.45</v>
      </c>
      <c r="J15" s="2">
        <v>10</v>
      </c>
      <c r="K15" s="98">
        <v>10.45</v>
      </c>
      <c r="L15" s="21"/>
      <c r="M15" s="3">
        <v>45847</v>
      </c>
      <c r="N15" t="s">
        <v>15</v>
      </c>
      <c r="O15" s="2">
        <v>0.33</v>
      </c>
      <c r="P15" s="2">
        <v>8</v>
      </c>
      <c r="Q15" s="98">
        <v>8.33</v>
      </c>
      <c r="S15" s="3">
        <v>45847</v>
      </c>
      <c r="T15" t="s">
        <v>15</v>
      </c>
      <c r="U15" s="2">
        <v>0.33</v>
      </c>
      <c r="V15" s="2">
        <v>8</v>
      </c>
      <c r="W15" s="98">
        <v>8.33</v>
      </c>
    </row>
    <row r="16" spans="1:25" ht="15.75" customHeight="1" thickBot="1" x14ac:dyDescent="0.3">
      <c r="A16" s="3">
        <v>46031</v>
      </c>
      <c r="B16" s="1" t="s">
        <v>15</v>
      </c>
      <c r="C16" s="39">
        <v>0.4</v>
      </c>
      <c r="D16" s="2">
        <v>10</v>
      </c>
      <c r="E16" s="42">
        <v>10.4</v>
      </c>
      <c r="F16" s="21"/>
      <c r="G16" s="3">
        <v>46031</v>
      </c>
      <c r="H16" t="s">
        <v>15</v>
      </c>
      <c r="I16" s="2">
        <v>0.4</v>
      </c>
      <c r="J16" s="2">
        <v>10</v>
      </c>
      <c r="K16" s="4">
        <v>10.4</v>
      </c>
      <c r="L16" s="21"/>
      <c r="M16" s="3">
        <v>46031</v>
      </c>
      <c r="N16" t="s">
        <v>15</v>
      </c>
      <c r="O16" s="2">
        <v>0.3</v>
      </c>
      <c r="P16" s="2">
        <v>8</v>
      </c>
      <c r="Q16" s="4">
        <v>8.3000000000000007</v>
      </c>
      <c r="S16" s="3">
        <v>46031</v>
      </c>
      <c r="T16" t="s">
        <v>15</v>
      </c>
      <c r="U16" s="2">
        <v>0.3</v>
      </c>
      <c r="V16" s="2">
        <v>8</v>
      </c>
      <c r="W16" s="98">
        <v>8.3000000000000007</v>
      </c>
    </row>
    <row r="17" spans="1:23" ht="15.75" customHeight="1" thickBot="1" x14ac:dyDescent="0.3">
      <c r="A17" s="3">
        <v>46212</v>
      </c>
      <c r="B17" s="1" t="s">
        <v>15</v>
      </c>
      <c r="C17" s="39">
        <v>0.35</v>
      </c>
      <c r="D17" s="2">
        <v>10</v>
      </c>
      <c r="E17" s="42">
        <v>10.35</v>
      </c>
      <c r="F17" s="21"/>
      <c r="G17" s="3">
        <v>46212</v>
      </c>
      <c r="H17" t="s">
        <v>15</v>
      </c>
      <c r="I17" s="2">
        <v>0.35</v>
      </c>
      <c r="J17" s="2">
        <v>10</v>
      </c>
      <c r="K17" s="4">
        <v>10.35</v>
      </c>
      <c r="L17" s="21"/>
      <c r="M17" s="3">
        <v>46212</v>
      </c>
      <c r="N17" t="s">
        <v>15</v>
      </c>
      <c r="O17" s="2">
        <v>0.27</v>
      </c>
      <c r="P17" s="2">
        <v>8</v>
      </c>
      <c r="Q17" s="4">
        <v>8.27</v>
      </c>
      <c r="S17" s="3">
        <v>46212</v>
      </c>
      <c r="T17" t="s">
        <v>15</v>
      </c>
      <c r="U17" s="2">
        <v>0.27</v>
      </c>
      <c r="V17" s="2">
        <v>8</v>
      </c>
      <c r="W17" s="4">
        <v>8.27</v>
      </c>
    </row>
    <row r="18" spans="1:23" ht="15.75" customHeight="1" thickBot="1" x14ac:dyDescent="0.3">
      <c r="A18" s="3">
        <v>46396</v>
      </c>
      <c r="B18" s="1" t="s">
        <v>15</v>
      </c>
      <c r="C18" s="39">
        <v>0.3</v>
      </c>
      <c r="D18" s="2">
        <v>10</v>
      </c>
      <c r="E18" s="42">
        <v>10.3</v>
      </c>
      <c r="F18" s="21"/>
      <c r="G18" s="3">
        <v>46396</v>
      </c>
      <c r="H18" t="s">
        <v>15</v>
      </c>
      <c r="I18" s="2">
        <v>0.3</v>
      </c>
      <c r="J18" s="2">
        <v>10</v>
      </c>
      <c r="K18" s="4">
        <v>10.3</v>
      </c>
      <c r="L18" s="21"/>
      <c r="M18" s="3">
        <v>46396</v>
      </c>
      <c r="N18" t="s">
        <v>15</v>
      </c>
      <c r="O18" s="2">
        <v>0.24</v>
      </c>
      <c r="P18" s="2">
        <v>8</v>
      </c>
      <c r="Q18" s="4">
        <v>8.24</v>
      </c>
      <c r="S18" s="3">
        <v>46396</v>
      </c>
      <c r="T18" t="s">
        <v>15</v>
      </c>
      <c r="U18" s="2">
        <v>0.24</v>
      </c>
      <c r="V18" s="2">
        <v>8</v>
      </c>
      <c r="W18" s="4">
        <v>8.24</v>
      </c>
    </row>
    <row r="19" spans="1:23" ht="15.75" customHeight="1" thickBot="1" x14ac:dyDescent="0.3">
      <c r="A19" s="3">
        <v>46577</v>
      </c>
      <c r="B19" s="1" t="s">
        <v>15</v>
      </c>
      <c r="C19" s="39">
        <v>0.25</v>
      </c>
      <c r="D19" s="2">
        <v>10</v>
      </c>
      <c r="E19" s="42">
        <v>10.25</v>
      </c>
      <c r="F19" s="21"/>
      <c r="G19" s="3">
        <v>46577</v>
      </c>
      <c r="H19" t="s">
        <v>15</v>
      </c>
      <c r="I19" s="2">
        <v>0.25</v>
      </c>
      <c r="J19" s="2">
        <v>10</v>
      </c>
      <c r="K19" s="4">
        <v>10.25</v>
      </c>
      <c r="L19" s="21"/>
      <c r="M19" s="3">
        <v>46577</v>
      </c>
      <c r="N19" t="s">
        <v>15</v>
      </c>
      <c r="O19" s="2">
        <v>0.21</v>
      </c>
      <c r="P19" s="2">
        <v>8</v>
      </c>
      <c r="Q19" s="4">
        <v>8.2100000000000009</v>
      </c>
      <c r="S19" s="3">
        <v>46577</v>
      </c>
      <c r="T19" t="s">
        <v>15</v>
      </c>
      <c r="U19" s="2">
        <v>0.21</v>
      </c>
      <c r="V19" s="2">
        <v>8</v>
      </c>
      <c r="W19" s="4">
        <v>8.2100000000000009</v>
      </c>
    </row>
    <row r="20" spans="1:23" ht="15.75" customHeight="1" thickBot="1" x14ac:dyDescent="0.3">
      <c r="A20" s="3">
        <v>46761</v>
      </c>
      <c r="B20" s="1" t="s">
        <v>15</v>
      </c>
      <c r="C20" s="39">
        <v>0.2</v>
      </c>
      <c r="D20" s="2">
        <v>10</v>
      </c>
      <c r="E20" s="42">
        <v>10.199999999999999</v>
      </c>
      <c r="F20" s="21"/>
      <c r="G20" s="3">
        <v>46761</v>
      </c>
      <c r="H20" t="s">
        <v>15</v>
      </c>
      <c r="I20" s="2">
        <v>0.2</v>
      </c>
      <c r="J20" s="2">
        <v>10</v>
      </c>
      <c r="K20" s="4">
        <v>10.199999999999999</v>
      </c>
      <c r="L20" s="21"/>
      <c r="M20" s="3">
        <v>46761</v>
      </c>
      <c r="N20" t="s">
        <v>15</v>
      </c>
      <c r="O20" s="2">
        <v>0.42</v>
      </c>
      <c r="P20" s="2">
        <v>8</v>
      </c>
      <c r="Q20" s="4">
        <v>8.42</v>
      </c>
      <c r="S20" s="3">
        <v>46761</v>
      </c>
      <c r="T20" t="s">
        <v>15</v>
      </c>
      <c r="U20" s="2">
        <v>0.42</v>
      </c>
      <c r="V20" s="2">
        <v>8</v>
      </c>
      <c r="W20" s="4">
        <v>8.42</v>
      </c>
    </row>
    <row r="21" spans="1:23" ht="15.75" customHeight="1" thickBot="1" x14ac:dyDescent="0.3">
      <c r="A21" s="3">
        <v>46943</v>
      </c>
      <c r="B21" s="1" t="s">
        <v>15</v>
      </c>
      <c r="C21" s="39">
        <v>0.15</v>
      </c>
      <c r="D21" s="2">
        <v>10</v>
      </c>
      <c r="E21" s="42">
        <v>10.15</v>
      </c>
      <c r="F21" s="21"/>
      <c r="G21" s="3">
        <v>46943</v>
      </c>
      <c r="H21" t="s">
        <v>15</v>
      </c>
      <c r="I21" s="2">
        <v>0.15</v>
      </c>
      <c r="J21" s="2">
        <v>10</v>
      </c>
      <c r="K21" s="4">
        <v>10.15</v>
      </c>
      <c r="L21" s="21"/>
      <c r="M21" s="3">
        <v>46943</v>
      </c>
      <c r="N21" t="s">
        <v>15</v>
      </c>
      <c r="O21" s="2">
        <v>0.35</v>
      </c>
      <c r="P21" s="2">
        <v>8</v>
      </c>
      <c r="Q21" s="4">
        <v>8.35</v>
      </c>
      <c r="S21" s="3">
        <v>46943</v>
      </c>
      <c r="T21" t="s">
        <v>15</v>
      </c>
      <c r="U21" s="2">
        <v>0.35</v>
      </c>
      <c r="V21" s="2">
        <v>8</v>
      </c>
      <c r="W21" s="4">
        <v>8.35</v>
      </c>
    </row>
    <row r="22" spans="1:23" ht="15.75" customHeight="1" thickBot="1" x14ac:dyDescent="0.3">
      <c r="A22" s="3">
        <v>47127</v>
      </c>
      <c r="B22" s="1" t="s">
        <v>15</v>
      </c>
      <c r="C22" s="39">
        <v>0.1</v>
      </c>
      <c r="D22" s="2">
        <v>10</v>
      </c>
      <c r="E22" s="42">
        <v>10.1</v>
      </c>
      <c r="F22" s="21"/>
      <c r="G22" s="3">
        <v>47127</v>
      </c>
      <c r="H22" t="s">
        <v>15</v>
      </c>
      <c r="I22" s="2">
        <v>0.1</v>
      </c>
      <c r="J22" s="2">
        <v>10</v>
      </c>
      <c r="K22" s="4">
        <v>10.1</v>
      </c>
      <c r="L22" s="21"/>
      <c r="M22" s="3">
        <v>47127</v>
      </c>
      <c r="N22" t="s">
        <v>15</v>
      </c>
      <c r="O22" s="2">
        <v>0.28000000000000003</v>
      </c>
      <c r="P22" s="2">
        <v>8</v>
      </c>
      <c r="Q22" s="4">
        <v>8.2799999999999994</v>
      </c>
      <c r="S22" s="3">
        <v>47127</v>
      </c>
      <c r="T22" t="s">
        <v>15</v>
      </c>
      <c r="U22" s="2">
        <v>0.28000000000000003</v>
      </c>
      <c r="V22" s="2">
        <v>8</v>
      </c>
      <c r="W22" s="4">
        <v>8.2799999999999994</v>
      </c>
    </row>
    <row r="23" spans="1:23" ht="15.75" customHeight="1" thickBot="1" x14ac:dyDescent="0.3">
      <c r="A23" s="3">
        <v>47308</v>
      </c>
      <c r="B23" s="1" t="s">
        <v>15</v>
      </c>
      <c r="C23" s="39">
        <v>0.05</v>
      </c>
      <c r="D23" s="2">
        <v>10</v>
      </c>
      <c r="E23" s="42">
        <v>10.050000000000001</v>
      </c>
      <c r="F23" s="21"/>
      <c r="G23" s="3">
        <v>47308</v>
      </c>
      <c r="H23" t="s">
        <v>15</v>
      </c>
      <c r="I23" s="2">
        <v>0.05</v>
      </c>
      <c r="J23" s="2">
        <v>10</v>
      </c>
      <c r="K23" s="4">
        <v>10.050000000000001</v>
      </c>
      <c r="L23" s="21"/>
      <c r="M23" s="3">
        <v>47308</v>
      </c>
      <c r="N23" t="s">
        <v>15</v>
      </c>
      <c r="O23" s="2">
        <v>0.21</v>
      </c>
      <c r="P23" s="2">
        <v>8</v>
      </c>
      <c r="Q23" s="4">
        <v>8.2100000000000009</v>
      </c>
      <c r="S23" s="3">
        <v>47308</v>
      </c>
      <c r="T23" t="s">
        <v>15</v>
      </c>
      <c r="U23" s="2">
        <v>0.21</v>
      </c>
      <c r="V23" s="2">
        <v>8</v>
      </c>
      <c r="W23" s="4">
        <v>8.2100000000000009</v>
      </c>
    </row>
    <row r="24" spans="1:23" ht="15.75" customHeight="1" thickBot="1" x14ac:dyDescent="0.3">
      <c r="A24" s="5"/>
      <c r="B24" s="6"/>
      <c r="C24" s="40">
        <f>SUM(C10:C23)</f>
        <v>4.75</v>
      </c>
      <c r="D24" s="7">
        <f>SUM(D10:D23)</f>
        <v>100</v>
      </c>
      <c r="E24" s="43">
        <f>SUM(E10:E23)</f>
        <v>104.75</v>
      </c>
      <c r="F24" s="21"/>
      <c r="G24" s="9"/>
      <c r="H24" s="6"/>
      <c r="I24" s="7">
        <f>SUM(I10:I23)</f>
        <v>4.75</v>
      </c>
      <c r="J24" s="7">
        <f>SUM(J10:J23)</f>
        <v>100</v>
      </c>
      <c r="K24" s="8">
        <f>SUM(K10:K23)</f>
        <v>104.75</v>
      </c>
      <c r="L24" s="21"/>
      <c r="M24" s="3">
        <v>47492</v>
      </c>
      <c r="N24" t="s">
        <v>15</v>
      </c>
      <c r="O24" s="2">
        <v>0.14000000000000001</v>
      </c>
      <c r="P24" s="2">
        <v>8</v>
      </c>
      <c r="Q24" s="4">
        <v>8.14</v>
      </c>
      <c r="S24" s="3">
        <v>47492</v>
      </c>
      <c r="T24" t="s">
        <v>15</v>
      </c>
      <c r="U24" s="2">
        <v>0.14000000000000001</v>
      </c>
      <c r="V24" s="2">
        <v>8</v>
      </c>
      <c r="W24" s="4">
        <v>8.14</v>
      </c>
    </row>
    <row r="25" spans="1:23" ht="15.75" customHeight="1" thickBot="1" x14ac:dyDescent="0.3">
      <c r="B25" s="21"/>
      <c r="F25" s="21"/>
      <c r="I25" s="21"/>
      <c r="J25" s="21"/>
      <c r="K25" s="21"/>
      <c r="L25" s="21"/>
      <c r="M25" s="3">
        <v>47673</v>
      </c>
      <c r="N25" t="s">
        <v>15</v>
      </c>
      <c r="O25" s="2">
        <v>7.0000000000000007E-2</v>
      </c>
      <c r="P25" s="2">
        <v>8</v>
      </c>
      <c r="Q25" s="4">
        <v>8.07</v>
      </c>
      <c r="S25" s="3">
        <v>47673</v>
      </c>
      <c r="T25" t="s">
        <v>15</v>
      </c>
      <c r="U25" s="2">
        <v>7.0000000000000007E-2</v>
      </c>
      <c r="V25" s="2">
        <v>8</v>
      </c>
      <c r="W25" s="4">
        <v>8.07</v>
      </c>
    </row>
    <row r="26" spans="1:23" ht="15.75" customHeight="1" thickBot="1" x14ac:dyDescent="0.3">
      <c r="B26" s="21"/>
      <c r="F26" s="21"/>
      <c r="G26" s="21"/>
      <c r="H26" s="21"/>
      <c r="I26" s="21"/>
      <c r="J26" s="21"/>
      <c r="K26" s="21"/>
      <c r="L26" s="21"/>
      <c r="M26" s="5"/>
      <c r="N26" s="10"/>
      <c r="O26" s="7">
        <f>SUM(O10:O25)</f>
        <v>4.4399999999999995</v>
      </c>
      <c r="P26" s="7">
        <f>SUM(P10:P25)</f>
        <v>100</v>
      </c>
      <c r="Q26" s="8">
        <f>SUM(Q10:Q25)</f>
        <v>104.44</v>
      </c>
      <c r="S26" s="5"/>
      <c r="T26" s="10"/>
      <c r="U26" s="7">
        <f>SUM(U10:U25)</f>
        <v>4.4399999999999995</v>
      </c>
      <c r="V26" s="7">
        <f>SUM(V10:V25)</f>
        <v>100</v>
      </c>
      <c r="W26" s="8">
        <f>SUM(W10:W25)</f>
        <v>104.44</v>
      </c>
    </row>
    <row r="27" spans="1:23" ht="15.75" customHeight="1" thickBot="1" x14ac:dyDescent="0.3">
      <c r="B27" s="21"/>
      <c r="F27" s="21"/>
      <c r="G27" s="21"/>
      <c r="H27" s="21"/>
      <c r="I27" s="21"/>
      <c r="J27" s="21"/>
      <c r="K27" s="21"/>
      <c r="L27" s="21"/>
      <c r="O27" s="26"/>
      <c r="P27" s="26"/>
      <c r="Q27" s="26"/>
      <c r="U27" s="26"/>
      <c r="V27" s="26"/>
      <c r="W27" s="26"/>
    </row>
    <row r="28" spans="1:23" ht="15.75" customHeight="1" thickBot="1" x14ac:dyDescent="0.35">
      <c r="A28" s="20" t="s">
        <v>16</v>
      </c>
      <c r="B28" s="16"/>
      <c r="C28" s="17" t="s">
        <v>2</v>
      </c>
      <c r="D28" s="17" t="s">
        <v>3</v>
      </c>
      <c r="E28" s="18" t="s">
        <v>4</v>
      </c>
      <c r="F28" s="21"/>
      <c r="G28" s="20" t="s">
        <v>17</v>
      </c>
      <c r="H28" s="16"/>
      <c r="I28" s="17" t="s">
        <v>2</v>
      </c>
      <c r="J28" s="17" t="s">
        <v>3</v>
      </c>
      <c r="K28" s="18" t="s">
        <v>4</v>
      </c>
      <c r="L28" s="21"/>
      <c r="M28" s="20" t="s">
        <v>18</v>
      </c>
      <c r="N28" s="16"/>
      <c r="O28" s="17" t="s">
        <v>2</v>
      </c>
      <c r="P28" s="17" t="s">
        <v>3</v>
      </c>
      <c r="Q28" s="18" t="s">
        <v>4</v>
      </c>
      <c r="U28" s="26"/>
      <c r="V28" s="26"/>
      <c r="W28" s="26"/>
    </row>
    <row r="29" spans="1:23" ht="15.75" customHeight="1" x14ac:dyDescent="0.3">
      <c r="A29" s="31" t="s">
        <v>8</v>
      </c>
      <c r="B29" s="21">
        <v>1</v>
      </c>
      <c r="C29" s="27"/>
      <c r="D29" s="27"/>
      <c r="E29" s="28"/>
      <c r="F29" s="21"/>
      <c r="G29" s="31" t="s">
        <v>8</v>
      </c>
      <c r="H29" s="21">
        <v>0.125</v>
      </c>
      <c r="I29" s="27"/>
      <c r="J29" s="27"/>
      <c r="K29" s="28"/>
      <c r="L29" s="21"/>
      <c r="M29" s="31" t="s">
        <v>8</v>
      </c>
      <c r="N29" s="21">
        <v>1</v>
      </c>
      <c r="O29" s="27"/>
      <c r="P29" s="27"/>
      <c r="Q29" s="28"/>
      <c r="T29" s="26"/>
      <c r="U29" s="26"/>
      <c r="V29" s="26"/>
    </row>
    <row r="30" spans="1:23" ht="15.75" customHeight="1" x14ac:dyDescent="0.3">
      <c r="A30" s="31" t="s">
        <v>9</v>
      </c>
      <c r="B30" s="24">
        <v>44076</v>
      </c>
      <c r="C30" s="27"/>
      <c r="D30" s="27"/>
      <c r="E30" s="28"/>
      <c r="F30" s="21"/>
      <c r="G30" s="31" t="s">
        <v>9</v>
      </c>
      <c r="H30" s="24">
        <v>44076</v>
      </c>
      <c r="I30" s="27"/>
      <c r="J30" s="27"/>
      <c r="K30" s="28"/>
      <c r="M30" s="31" t="s">
        <v>9</v>
      </c>
      <c r="N30" s="24">
        <v>44076</v>
      </c>
      <c r="O30" s="27"/>
      <c r="P30" s="27"/>
      <c r="Q30" s="28"/>
      <c r="T30" s="26"/>
      <c r="U30" s="26"/>
      <c r="V30" s="26"/>
    </row>
    <row r="31" spans="1:23" ht="19.5" customHeight="1" x14ac:dyDescent="0.3">
      <c r="A31" s="31" t="s">
        <v>10</v>
      </c>
      <c r="B31" s="24">
        <v>44570</v>
      </c>
      <c r="C31" s="27"/>
      <c r="D31" s="27"/>
      <c r="E31" s="28"/>
      <c r="F31" s="21"/>
      <c r="G31" s="31" t="s">
        <v>10</v>
      </c>
      <c r="H31" s="24">
        <v>44570</v>
      </c>
      <c r="I31" s="27"/>
      <c r="J31" s="27"/>
      <c r="K31" s="28"/>
      <c r="M31" s="31" t="s">
        <v>10</v>
      </c>
      <c r="N31" s="24">
        <v>44570</v>
      </c>
      <c r="O31" s="27"/>
      <c r="P31" s="27"/>
      <c r="Q31" s="28"/>
      <c r="T31" s="26"/>
      <c r="U31" s="26"/>
      <c r="V31" s="26"/>
    </row>
    <row r="32" spans="1:23" ht="18.75" customHeight="1" x14ac:dyDescent="0.3">
      <c r="A32" s="31" t="s">
        <v>11</v>
      </c>
      <c r="B32" s="32">
        <v>1.25E-3</v>
      </c>
      <c r="C32" s="27"/>
      <c r="D32" s="27"/>
      <c r="E32" s="28"/>
      <c r="F32" s="21"/>
      <c r="G32" s="31" t="s">
        <v>11</v>
      </c>
      <c r="H32" s="32">
        <v>1.25E-3</v>
      </c>
      <c r="I32" s="27"/>
      <c r="J32" s="27"/>
      <c r="K32" s="28"/>
      <c r="M32" s="31" t="s">
        <v>11</v>
      </c>
      <c r="N32" s="32">
        <v>1.25E-3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12</v>
      </c>
      <c r="B33" s="21">
        <v>100</v>
      </c>
      <c r="C33" s="27"/>
      <c r="D33" s="27"/>
      <c r="E33" s="28"/>
      <c r="F33" s="21"/>
      <c r="G33" s="31" t="s">
        <v>12</v>
      </c>
      <c r="H33" s="21">
        <v>100</v>
      </c>
      <c r="I33" s="27"/>
      <c r="J33" s="27"/>
      <c r="K33" s="28"/>
      <c r="M33" s="31" t="s">
        <v>12</v>
      </c>
      <c r="N33" s="21">
        <v>100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13</v>
      </c>
      <c r="B34" s="46">
        <f ca="1">B32*DAYS360(B31,TODAY())/360*100</f>
        <v>0.18715277777777778</v>
      </c>
      <c r="C34" s="27"/>
      <c r="D34" s="27"/>
      <c r="E34" s="28"/>
      <c r="F34" s="21"/>
      <c r="G34" s="31" t="s">
        <v>13</v>
      </c>
      <c r="H34" s="46">
        <f ca="1">H32*DAYS360(H31,TODAY())/360*100</f>
        <v>0.18715277777777778</v>
      </c>
      <c r="I34" s="27"/>
      <c r="J34" s="27"/>
      <c r="K34" s="28"/>
      <c r="M34" s="31" t="s">
        <v>13</v>
      </c>
      <c r="N34" s="46">
        <f ca="1">N32*DAYS360(N30,TODAY())/360*100</f>
        <v>0.35625000000000001</v>
      </c>
      <c r="O34" s="27"/>
      <c r="P34" s="27"/>
      <c r="Q34" s="28"/>
      <c r="T34" s="26"/>
      <c r="U34" s="26"/>
      <c r="V34" s="26"/>
    </row>
    <row r="35" spans="1:22" ht="18.75" customHeight="1" thickBot="1" x14ac:dyDescent="0.35">
      <c r="A35" s="31" t="s">
        <v>14</v>
      </c>
      <c r="B35" s="46">
        <f ca="1">B33+B34</f>
        <v>100.18715277777778</v>
      </c>
      <c r="C35" s="27"/>
      <c r="D35" s="27"/>
      <c r="E35" s="96">
        <v>-18.05</v>
      </c>
      <c r="F35" s="21"/>
      <c r="G35" s="31" t="s">
        <v>14</v>
      </c>
      <c r="H35" s="46">
        <f ca="1">H33+H34</f>
        <v>100.18715277777778</v>
      </c>
      <c r="I35" s="27"/>
      <c r="J35" s="27"/>
      <c r="K35" s="96">
        <v>-23.1</v>
      </c>
      <c r="M35" s="31" t="s">
        <v>14</v>
      </c>
      <c r="N35" s="46">
        <f ca="1">N33+N34</f>
        <v>100.35625</v>
      </c>
      <c r="O35" s="27"/>
      <c r="P35" s="27"/>
      <c r="Q35" s="96">
        <v>-22.7</v>
      </c>
      <c r="T35" s="26"/>
      <c r="U35" s="26"/>
      <c r="V35" s="26"/>
    </row>
    <row r="36" spans="1:22" ht="18.75" customHeight="1" thickBot="1" x14ac:dyDescent="0.3">
      <c r="A36" s="3">
        <v>44935</v>
      </c>
      <c r="B36" s="1" t="s">
        <v>15</v>
      </c>
      <c r="C36" s="2">
        <v>0.75</v>
      </c>
      <c r="D36" s="2">
        <v>0</v>
      </c>
      <c r="E36" s="98">
        <v>0.75</v>
      </c>
      <c r="F36" s="21"/>
      <c r="G36" s="3">
        <v>44935</v>
      </c>
      <c r="H36" s="1" t="s">
        <v>15</v>
      </c>
      <c r="I36" s="2">
        <v>1.94</v>
      </c>
      <c r="J36" s="2">
        <v>0</v>
      </c>
      <c r="K36" s="98">
        <v>1.94</v>
      </c>
      <c r="M36" s="3">
        <v>44935</v>
      </c>
      <c r="N36" s="1" t="s">
        <v>15</v>
      </c>
      <c r="O36" s="2">
        <v>1.75</v>
      </c>
      <c r="P36" s="2">
        <v>0</v>
      </c>
      <c r="Q36" s="98">
        <v>1.75</v>
      </c>
      <c r="T36" s="26"/>
      <c r="U36" s="26"/>
      <c r="V36" s="26"/>
    </row>
    <row r="37" spans="1:22" ht="18.75" customHeight="1" thickBot="1" x14ac:dyDescent="0.3">
      <c r="A37" s="3">
        <v>45116</v>
      </c>
      <c r="B37" s="1" t="s">
        <v>15</v>
      </c>
      <c r="C37" s="2">
        <v>0.75</v>
      </c>
      <c r="D37" s="2">
        <v>0</v>
      </c>
      <c r="E37" s="98">
        <v>0.75</v>
      </c>
      <c r="F37" s="21"/>
      <c r="G37" s="3">
        <v>45116</v>
      </c>
      <c r="H37" s="1" t="s">
        <v>15</v>
      </c>
      <c r="I37" s="2">
        <v>1.94</v>
      </c>
      <c r="J37" s="2">
        <v>0</v>
      </c>
      <c r="K37" s="98">
        <v>1.94</v>
      </c>
      <c r="M37" s="3">
        <v>45116</v>
      </c>
      <c r="N37" s="1" t="s">
        <v>15</v>
      </c>
      <c r="O37" s="2">
        <v>1.75</v>
      </c>
      <c r="P37" s="2">
        <v>0</v>
      </c>
      <c r="Q37" s="98">
        <v>1.75</v>
      </c>
      <c r="T37" s="26"/>
      <c r="U37" s="26"/>
      <c r="V37" s="26"/>
    </row>
    <row r="38" spans="1:22" ht="19.5" customHeight="1" thickBot="1" x14ac:dyDescent="0.3">
      <c r="A38" s="3">
        <v>45300</v>
      </c>
      <c r="B38" s="1" t="s">
        <v>15</v>
      </c>
      <c r="C38" s="2">
        <v>1.81</v>
      </c>
      <c r="D38" s="2">
        <v>0</v>
      </c>
      <c r="E38" s="98">
        <v>1.81</v>
      </c>
      <c r="F38" s="21"/>
      <c r="G38" s="3">
        <v>45300</v>
      </c>
      <c r="H38" s="1" t="s">
        <v>15</v>
      </c>
      <c r="I38" s="2">
        <v>2.12</v>
      </c>
      <c r="J38" s="2">
        <v>0</v>
      </c>
      <c r="K38" s="98">
        <v>2.12</v>
      </c>
      <c r="M38" s="3">
        <v>45300</v>
      </c>
      <c r="N38" s="1" t="s">
        <v>15</v>
      </c>
      <c r="O38" s="2">
        <v>1.75</v>
      </c>
      <c r="P38" s="2">
        <v>0</v>
      </c>
      <c r="Q38" s="98">
        <v>1.75</v>
      </c>
      <c r="T38" s="26"/>
      <c r="U38" s="26"/>
      <c r="V38" s="26"/>
    </row>
    <row r="39" spans="1:22" ht="15.75" customHeight="1" thickBot="1" x14ac:dyDescent="0.3">
      <c r="A39" s="3">
        <v>45482</v>
      </c>
      <c r="B39" s="1" t="s">
        <v>15</v>
      </c>
      <c r="C39" s="2">
        <v>1.81</v>
      </c>
      <c r="D39" s="2">
        <v>0</v>
      </c>
      <c r="E39" s="98">
        <v>1.81</v>
      </c>
      <c r="F39" s="21"/>
      <c r="G39" s="3">
        <v>45482</v>
      </c>
      <c r="H39" s="1" t="s">
        <v>15</v>
      </c>
      <c r="I39" s="2">
        <v>2.12</v>
      </c>
      <c r="J39" s="2">
        <v>0</v>
      </c>
      <c r="K39" s="98">
        <v>2.12</v>
      </c>
      <c r="M39" s="3">
        <v>45482</v>
      </c>
      <c r="N39" s="1" t="s">
        <v>15</v>
      </c>
      <c r="O39" s="2">
        <v>1.75</v>
      </c>
      <c r="P39" s="2">
        <v>0</v>
      </c>
      <c r="Q39" s="98">
        <v>1.75</v>
      </c>
      <c r="T39" s="26"/>
      <c r="U39" s="26"/>
      <c r="V39" s="26"/>
    </row>
    <row r="40" spans="1:22" ht="15.75" customHeight="1" thickBot="1" x14ac:dyDescent="0.3">
      <c r="A40" s="3">
        <v>45666</v>
      </c>
      <c r="B40" s="1" t="s">
        <v>15</v>
      </c>
      <c r="C40" s="2">
        <v>2.06</v>
      </c>
      <c r="D40" s="2">
        <v>0</v>
      </c>
      <c r="E40" s="98">
        <v>2.06</v>
      </c>
      <c r="F40" s="21"/>
      <c r="G40" s="3">
        <v>45666</v>
      </c>
      <c r="H40" s="1" t="s">
        <v>15</v>
      </c>
      <c r="I40" s="2">
        <v>2.5</v>
      </c>
      <c r="J40" s="2">
        <v>0</v>
      </c>
      <c r="K40" s="98">
        <v>2.5</v>
      </c>
      <c r="M40" s="3">
        <v>45666</v>
      </c>
      <c r="N40" s="1" t="s">
        <v>15</v>
      </c>
      <c r="O40" s="2">
        <v>1.75</v>
      </c>
      <c r="P40" s="2">
        <v>0</v>
      </c>
      <c r="Q40" s="98">
        <v>1.75</v>
      </c>
      <c r="T40" s="26"/>
      <c r="U40" s="26"/>
      <c r="V40" s="26"/>
    </row>
    <row r="41" spans="1:22" ht="15.75" customHeight="1" thickBot="1" x14ac:dyDescent="0.3">
      <c r="A41" s="3">
        <v>45847</v>
      </c>
      <c r="B41" s="1" t="s">
        <v>15</v>
      </c>
      <c r="C41" s="2">
        <v>2.06</v>
      </c>
      <c r="D41" s="2">
        <v>0</v>
      </c>
      <c r="E41" s="98">
        <v>2.06</v>
      </c>
      <c r="F41" s="21"/>
      <c r="G41" s="3">
        <v>45847</v>
      </c>
      <c r="H41" s="1" t="s">
        <v>15</v>
      </c>
      <c r="I41" s="2">
        <v>2.5</v>
      </c>
      <c r="J41" s="2">
        <v>0</v>
      </c>
      <c r="K41" s="98">
        <v>2.5</v>
      </c>
      <c r="M41" s="3">
        <v>45847</v>
      </c>
      <c r="N41" s="1" t="s">
        <v>15</v>
      </c>
      <c r="O41" s="2">
        <v>1.75</v>
      </c>
      <c r="P41" s="2">
        <v>0</v>
      </c>
      <c r="Q41" s="98">
        <v>1.75</v>
      </c>
      <c r="T41" s="26"/>
      <c r="U41" s="26"/>
      <c r="V41" s="26"/>
    </row>
    <row r="42" spans="1:22" ht="15.75" customHeight="1" thickBot="1" x14ac:dyDescent="0.3">
      <c r="A42" s="3">
        <v>46031</v>
      </c>
      <c r="B42" s="1" t="s">
        <v>15</v>
      </c>
      <c r="C42" s="2">
        <v>2.06</v>
      </c>
      <c r="D42" s="2">
        <v>0</v>
      </c>
      <c r="E42" s="98">
        <v>2.06</v>
      </c>
      <c r="F42" s="21"/>
      <c r="G42" s="3">
        <v>46031</v>
      </c>
      <c r="H42" s="1" t="s">
        <v>15</v>
      </c>
      <c r="I42" s="2">
        <v>2.5</v>
      </c>
      <c r="J42" s="2">
        <v>0</v>
      </c>
      <c r="K42" s="98">
        <v>2.5</v>
      </c>
      <c r="M42" s="3">
        <v>46031</v>
      </c>
      <c r="N42" s="1" t="s">
        <v>15</v>
      </c>
      <c r="O42" s="2">
        <v>1.75</v>
      </c>
      <c r="P42" s="2">
        <v>0</v>
      </c>
      <c r="Q42" s="98">
        <v>1.75</v>
      </c>
      <c r="T42" s="26"/>
      <c r="U42" s="26"/>
      <c r="V42" s="26"/>
    </row>
    <row r="43" spans="1:22" ht="15.75" customHeight="1" thickBot="1" x14ac:dyDescent="0.3">
      <c r="A43" s="3">
        <v>46212</v>
      </c>
      <c r="B43" s="1" t="s">
        <v>15</v>
      </c>
      <c r="C43" s="2">
        <v>2.06</v>
      </c>
      <c r="D43" s="2">
        <v>0</v>
      </c>
      <c r="E43" s="98">
        <v>2.06</v>
      </c>
      <c r="F43" s="21"/>
      <c r="G43" s="3">
        <v>46212</v>
      </c>
      <c r="H43" s="1" t="s">
        <v>15</v>
      </c>
      <c r="I43" s="2">
        <v>2.5</v>
      </c>
      <c r="J43" s="2">
        <v>0</v>
      </c>
      <c r="K43" s="98">
        <v>2.5</v>
      </c>
      <c r="M43" s="3">
        <v>46212</v>
      </c>
      <c r="N43" s="1" t="s">
        <v>15</v>
      </c>
      <c r="O43" s="2">
        <v>1.75</v>
      </c>
      <c r="P43" s="2">
        <v>0</v>
      </c>
      <c r="Q43" s="98">
        <v>1.75</v>
      </c>
      <c r="T43" s="26"/>
      <c r="U43" s="26"/>
      <c r="V43" s="26"/>
    </row>
    <row r="44" spans="1:22" ht="15.75" customHeight="1" thickBot="1" x14ac:dyDescent="0.3">
      <c r="A44" s="3">
        <v>46396</v>
      </c>
      <c r="B44" s="1" t="s">
        <v>15</v>
      </c>
      <c r="C44" s="2">
        <v>2.06</v>
      </c>
      <c r="D44" s="2">
        <v>0</v>
      </c>
      <c r="E44" s="98">
        <v>2.06</v>
      </c>
      <c r="F44" s="21"/>
      <c r="G44" s="3">
        <v>46396</v>
      </c>
      <c r="H44" s="1" t="s">
        <v>15</v>
      </c>
      <c r="I44" s="2">
        <v>2.5</v>
      </c>
      <c r="J44" s="2">
        <v>0</v>
      </c>
      <c r="K44" s="98">
        <v>2.5</v>
      </c>
      <c r="M44" s="3">
        <v>46396</v>
      </c>
      <c r="N44" s="1" t="s">
        <v>15</v>
      </c>
      <c r="O44" s="2">
        <v>1.75</v>
      </c>
      <c r="P44" s="2">
        <v>0</v>
      </c>
      <c r="Q44" s="98">
        <v>1.75</v>
      </c>
      <c r="T44" s="26"/>
      <c r="U44" s="26"/>
      <c r="V44" s="26"/>
    </row>
    <row r="45" spans="1:22" ht="15.75" customHeight="1" thickBot="1" x14ac:dyDescent="0.3">
      <c r="A45" s="3">
        <v>46577</v>
      </c>
      <c r="B45" s="1" t="s">
        <v>15</v>
      </c>
      <c r="C45" s="2">
        <v>2.06</v>
      </c>
      <c r="D45" s="2">
        <v>0</v>
      </c>
      <c r="E45" s="98">
        <v>2.06</v>
      </c>
      <c r="F45" s="21"/>
      <c r="G45" s="3">
        <v>46577</v>
      </c>
      <c r="H45" s="1" t="s">
        <v>15</v>
      </c>
      <c r="I45" s="2">
        <v>2.5</v>
      </c>
      <c r="J45" s="2">
        <v>4.55</v>
      </c>
      <c r="K45" s="98">
        <v>7.05</v>
      </c>
      <c r="M45" s="3">
        <v>46577</v>
      </c>
      <c r="N45" s="1" t="s">
        <v>15</v>
      </c>
      <c r="O45" s="2">
        <v>1.75</v>
      </c>
      <c r="P45" s="2">
        <v>0</v>
      </c>
      <c r="Q45" s="98">
        <v>1.75</v>
      </c>
      <c r="T45" s="26"/>
      <c r="U45" s="26"/>
      <c r="V45" s="26"/>
    </row>
    <row r="46" spans="1:22" ht="15.75" customHeight="1" thickBot="1" x14ac:dyDescent="0.3">
      <c r="A46" s="3">
        <v>46761</v>
      </c>
      <c r="B46" s="1" t="s">
        <v>15</v>
      </c>
      <c r="C46" s="2">
        <v>2.38</v>
      </c>
      <c r="D46" s="2">
        <v>0</v>
      </c>
      <c r="E46" s="98">
        <v>2.38</v>
      </c>
      <c r="F46" s="21"/>
      <c r="G46" s="3">
        <v>46761</v>
      </c>
      <c r="H46" s="1" t="s">
        <v>15</v>
      </c>
      <c r="I46" s="2">
        <v>2.39</v>
      </c>
      <c r="J46" s="2">
        <v>4.55</v>
      </c>
      <c r="K46" s="4">
        <v>6.94</v>
      </c>
      <c r="M46" s="3">
        <v>46761</v>
      </c>
      <c r="N46" s="1" t="s">
        <v>15</v>
      </c>
      <c r="O46" s="2">
        <v>1.75</v>
      </c>
      <c r="P46" s="2">
        <v>3.57</v>
      </c>
      <c r="Q46" s="98">
        <v>5.32</v>
      </c>
      <c r="T46" s="26"/>
      <c r="U46" s="26"/>
      <c r="V46" s="26"/>
    </row>
    <row r="47" spans="1:22" ht="15.75" customHeight="1" thickBot="1" x14ac:dyDescent="0.3">
      <c r="A47" s="3">
        <v>46943</v>
      </c>
      <c r="B47" s="1" t="s">
        <v>15</v>
      </c>
      <c r="C47" s="2">
        <v>2.38</v>
      </c>
      <c r="D47" s="2">
        <v>0</v>
      </c>
      <c r="E47" s="4">
        <v>2.38</v>
      </c>
      <c r="F47" s="21"/>
      <c r="G47" s="3">
        <v>46943</v>
      </c>
      <c r="H47" s="1" t="s">
        <v>15</v>
      </c>
      <c r="I47" s="2">
        <v>2.27</v>
      </c>
      <c r="J47" s="2">
        <v>4.55</v>
      </c>
      <c r="K47" s="4">
        <v>6.82</v>
      </c>
      <c r="M47" s="3">
        <v>46943</v>
      </c>
      <c r="N47" s="1" t="s">
        <v>15</v>
      </c>
      <c r="O47" s="2">
        <v>1.69</v>
      </c>
      <c r="P47" s="2">
        <v>3.57</v>
      </c>
      <c r="Q47" s="4">
        <v>5.26</v>
      </c>
      <c r="T47" s="26"/>
      <c r="U47" s="26"/>
      <c r="V47" s="26"/>
    </row>
    <row r="48" spans="1:22" ht="15.75" customHeight="1" thickBot="1" x14ac:dyDescent="0.3">
      <c r="A48" s="3">
        <v>47127</v>
      </c>
      <c r="B48" s="1" t="s">
        <v>15</v>
      </c>
      <c r="C48" s="2">
        <v>2.5</v>
      </c>
      <c r="D48" s="2">
        <v>0</v>
      </c>
      <c r="E48" s="4">
        <v>2.5</v>
      </c>
      <c r="F48" s="21"/>
      <c r="G48" s="3">
        <v>47127</v>
      </c>
      <c r="H48" s="1" t="s">
        <v>15</v>
      </c>
      <c r="I48" s="2">
        <v>2.16</v>
      </c>
      <c r="J48" s="2">
        <v>4.55</v>
      </c>
      <c r="K48" s="4">
        <v>6.71</v>
      </c>
      <c r="M48" s="3">
        <v>47127</v>
      </c>
      <c r="N48" s="1" t="s">
        <v>15</v>
      </c>
      <c r="O48" s="2">
        <v>1.63</v>
      </c>
      <c r="P48" s="2">
        <v>3.57</v>
      </c>
      <c r="Q48" s="4">
        <v>5.2</v>
      </c>
      <c r="T48" s="26"/>
      <c r="U48" s="26"/>
      <c r="V48" s="26"/>
    </row>
    <row r="49" spans="1:23" ht="15.75" customHeight="1" thickBot="1" x14ac:dyDescent="0.3">
      <c r="A49" s="3">
        <v>47308</v>
      </c>
      <c r="B49" s="1" t="s">
        <v>15</v>
      </c>
      <c r="C49" s="2">
        <v>2.5</v>
      </c>
      <c r="D49" s="2">
        <v>0</v>
      </c>
      <c r="E49" s="4">
        <v>2.5</v>
      </c>
      <c r="F49" s="21"/>
      <c r="G49" s="3">
        <v>47308</v>
      </c>
      <c r="H49" s="1" t="s">
        <v>15</v>
      </c>
      <c r="I49" s="2">
        <v>2.0499999999999998</v>
      </c>
      <c r="J49" s="2">
        <v>4.55</v>
      </c>
      <c r="K49" s="4">
        <v>6.6</v>
      </c>
      <c r="M49" s="3">
        <v>47308</v>
      </c>
      <c r="N49" s="1" t="s">
        <v>15</v>
      </c>
      <c r="O49" s="2">
        <v>1.56</v>
      </c>
      <c r="P49" s="2">
        <v>3.57</v>
      </c>
      <c r="Q49" s="4">
        <v>5.13</v>
      </c>
      <c r="T49" s="26"/>
      <c r="U49" s="26"/>
      <c r="V49" s="26"/>
    </row>
    <row r="50" spans="1:23" ht="15.75" customHeight="1" thickBot="1" x14ac:dyDescent="0.3">
      <c r="A50" s="3">
        <v>47492</v>
      </c>
      <c r="B50" s="1" t="s">
        <v>15</v>
      </c>
      <c r="C50" s="2">
        <v>2.5</v>
      </c>
      <c r="D50" s="2">
        <v>0</v>
      </c>
      <c r="E50" s="4">
        <v>2.5</v>
      </c>
      <c r="F50" s="21"/>
      <c r="G50" s="3">
        <v>47492</v>
      </c>
      <c r="H50" s="1" t="s">
        <v>15</v>
      </c>
      <c r="I50" s="2">
        <v>1.93</v>
      </c>
      <c r="J50" s="2">
        <v>4.55</v>
      </c>
      <c r="K50" s="4">
        <v>6.48</v>
      </c>
      <c r="M50" s="3">
        <v>47492</v>
      </c>
      <c r="N50" s="1" t="s">
        <v>15</v>
      </c>
      <c r="O50" s="2">
        <v>2.09</v>
      </c>
      <c r="P50" s="2">
        <v>3.57</v>
      </c>
      <c r="Q50" s="4">
        <v>5.66</v>
      </c>
      <c r="T50" s="26"/>
      <c r="U50" s="26"/>
      <c r="V50" s="26"/>
    </row>
    <row r="51" spans="1:23" ht="15.75" customHeight="1" thickBot="1" x14ac:dyDescent="0.3">
      <c r="A51" s="3">
        <v>47673</v>
      </c>
      <c r="B51" s="1" t="s">
        <v>15</v>
      </c>
      <c r="C51" s="2">
        <v>2.5</v>
      </c>
      <c r="D51" s="2">
        <v>0</v>
      </c>
      <c r="E51" s="4">
        <v>2.5</v>
      </c>
      <c r="F51" s="21"/>
      <c r="G51" s="3">
        <v>47673</v>
      </c>
      <c r="H51" s="1" t="s">
        <v>15</v>
      </c>
      <c r="I51" s="2">
        <v>1.82</v>
      </c>
      <c r="J51" s="2">
        <v>4.55</v>
      </c>
      <c r="K51" s="4">
        <v>6.37</v>
      </c>
      <c r="M51" s="3">
        <v>47673</v>
      </c>
      <c r="N51" s="1" t="s">
        <v>15</v>
      </c>
      <c r="O51" s="2">
        <v>2</v>
      </c>
      <c r="P51" s="2">
        <v>3.57</v>
      </c>
      <c r="Q51" s="4">
        <v>5.57</v>
      </c>
      <c r="T51" s="26"/>
      <c r="U51" s="26"/>
      <c r="V51" s="26"/>
    </row>
    <row r="52" spans="1:23" ht="15.75" customHeight="1" thickBot="1" x14ac:dyDescent="0.3">
      <c r="A52" s="3">
        <v>47857</v>
      </c>
      <c r="B52" s="1" t="s">
        <v>15</v>
      </c>
      <c r="C52" s="2">
        <v>2.5</v>
      </c>
      <c r="D52" s="2">
        <v>10</v>
      </c>
      <c r="E52" s="4">
        <v>12.5</v>
      </c>
      <c r="F52" s="21"/>
      <c r="G52" s="3">
        <v>47857</v>
      </c>
      <c r="H52" s="1" t="s">
        <v>15</v>
      </c>
      <c r="I52" s="2">
        <v>1.7</v>
      </c>
      <c r="J52" s="2">
        <v>4.55</v>
      </c>
      <c r="K52" s="4">
        <v>6.25</v>
      </c>
      <c r="M52" s="3">
        <v>47857</v>
      </c>
      <c r="N52" s="1" t="s">
        <v>15</v>
      </c>
      <c r="O52" s="2">
        <v>1.92</v>
      </c>
      <c r="P52" s="2">
        <v>3.57</v>
      </c>
      <c r="Q52" s="4">
        <v>5.49</v>
      </c>
      <c r="T52" s="26"/>
      <c r="U52" s="26"/>
      <c r="V52" s="26"/>
    </row>
    <row r="53" spans="1:23" ht="15.75" customHeight="1" thickBot="1" x14ac:dyDescent="0.3">
      <c r="A53" s="3">
        <v>48038</v>
      </c>
      <c r="B53" s="1" t="s">
        <v>15</v>
      </c>
      <c r="C53" s="2">
        <v>2.25</v>
      </c>
      <c r="D53" s="2">
        <v>10</v>
      </c>
      <c r="E53" s="4">
        <v>12.25</v>
      </c>
      <c r="F53" s="21"/>
      <c r="G53" s="3">
        <v>48038</v>
      </c>
      <c r="H53" s="1" t="s">
        <v>15</v>
      </c>
      <c r="I53" s="2">
        <v>1.59</v>
      </c>
      <c r="J53" s="2">
        <v>4.55</v>
      </c>
      <c r="K53" s="4">
        <v>6.14</v>
      </c>
      <c r="M53" s="3">
        <v>48038</v>
      </c>
      <c r="N53" s="1" t="s">
        <v>15</v>
      </c>
      <c r="O53" s="2">
        <v>1.83</v>
      </c>
      <c r="P53" s="2">
        <v>3.57</v>
      </c>
      <c r="Q53" s="4">
        <v>5.4</v>
      </c>
      <c r="T53" s="26"/>
      <c r="U53" s="26"/>
      <c r="V53" s="26"/>
    </row>
    <row r="54" spans="1:23" ht="15.75" customHeight="1" thickBot="1" x14ac:dyDescent="0.3">
      <c r="A54" s="3">
        <v>48222</v>
      </c>
      <c r="B54" s="1" t="s">
        <v>15</v>
      </c>
      <c r="C54" s="2">
        <v>2</v>
      </c>
      <c r="D54" s="2">
        <v>10</v>
      </c>
      <c r="E54" s="4">
        <v>12</v>
      </c>
      <c r="F54" s="21"/>
      <c r="G54" s="3">
        <v>48222</v>
      </c>
      <c r="H54" s="1" t="s">
        <v>15</v>
      </c>
      <c r="I54" s="2">
        <v>1.48</v>
      </c>
      <c r="J54" s="2">
        <v>4.55</v>
      </c>
      <c r="K54" s="4">
        <v>6.03</v>
      </c>
      <c r="M54" s="3">
        <v>48222</v>
      </c>
      <c r="N54" s="1" t="s">
        <v>15</v>
      </c>
      <c r="O54" s="2">
        <v>1.74</v>
      </c>
      <c r="P54" s="2">
        <v>3.57</v>
      </c>
      <c r="Q54" s="4">
        <v>5.31</v>
      </c>
      <c r="T54" s="26"/>
      <c r="U54" s="26"/>
      <c r="V54" s="26"/>
    </row>
    <row r="55" spans="1:23" ht="15.75" customHeight="1" thickBot="1" x14ac:dyDescent="0.3">
      <c r="A55" s="3">
        <v>48404</v>
      </c>
      <c r="B55" s="1" t="s">
        <v>15</v>
      </c>
      <c r="C55" s="2">
        <v>1.75</v>
      </c>
      <c r="D55" s="2">
        <v>10</v>
      </c>
      <c r="E55" s="4">
        <v>11.75</v>
      </c>
      <c r="F55" s="21"/>
      <c r="G55" s="3">
        <v>48404</v>
      </c>
      <c r="H55" s="1" t="s">
        <v>15</v>
      </c>
      <c r="I55" s="2">
        <v>1.36</v>
      </c>
      <c r="J55" s="2">
        <v>4.55</v>
      </c>
      <c r="K55" s="4">
        <v>5.91</v>
      </c>
      <c r="L55" s="21"/>
      <c r="M55" s="3">
        <v>48404</v>
      </c>
      <c r="N55" s="1" t="s">
        <v>15</v>
      </c>
      <c r="O55" s="2">
        <v>1.65</v>
      </c>
      <c r="P55" s="2">
        <v>3.57</v>
      </c>
      <c r="Q55" s="4">
        <v>5.22</v>
      </c>
      <c r="T55" s="26"/>
      <c r="U55" s="26"/>
      <c r="V55" s="26"/>
    </row>
    <row r="56" spans="1:23" ht="15.75" customHeight="1" thickBot="1" x14ac:dyDescent="0.3">
      <c r="A56" s="3">
        <v>48588</v>
      </c>
      <c r="B56" s="1" t="s">
        <v>15</v>
      </c>
      <c r="C56" s="2">
        <v>1.5</v>
      </c>
      <c r="D56" s="2">
        <v>10</v>
      </c>
      <c r="E56" s="4">
        <v>11.5</v>
      </c>
      <c r="F56" s="21"/>
      <c r="G56" s="3">
        <v>48588</v>
      </c>
      <c r="H56" s="1" t="s">
        <v>15</v>
      </c>
      <c r="I56" s="2">
        <v>1.25</v>
      </c>
      <c r="J56" s="2">
        <v>4.55</v>
      </c>
      <c r="K56" s="4">
        <v>5.8</v>
      </c>
      <c r="L56" s="21"/>
      <c r="M56" s="3">
        <v>48588</v>
      </c>
      <c r="N56" s="1" t="s">
        <v>15</v>
      </c>
      <c r="O56" s="2">
        <v>1.57</v>
      </c>
      <c r="P56" s="2">
        <v>3.57</v>
      </c>
      <c r="Q56" s="4">
        <v>5.14</v>
      </c>
      <c r="T56" s="26"/>
      <c r="U56" s="26"/>
      <c r="V56" s="26"/>
    </row>
    <row r="57" spans="1:23" ht="15.75" customHeight="1" thickBot="1" x14ac:dyDescent="0.3">
      <c r="A57" s="3">
        <v>48769</v>
      </c>
      <c r="B57" s="1" t="s">
        <v>15</v>
      </c>
      <c r="C57" s="2">
        <v>1.25</v>
      </c>
      <c r="D57" s="2">
        <v>10</v>
      </c>
      <c r="E57" s="4">
        <v>11.25</v>
      </c>
      <c r="F57" s="21"/>
      <c r="G57" s="3">
        <v>48769</v>
      </c>
      <c r="H57" s="1" t="s">
        <v>15</v>
      </c>
      <c r="I57" s="2">
        <v>1.1399999999999999</v>
      </c>
      <c r="J57" s="2">
        <v>4.55</v>
      </c>
      <c r="K57" s="4">
        <v>5.69</v>
      </c>
      <c r="L57" s="21"/>
      <c r="M57" s="3">
        <v>48769</v>
      </c>
      <c r="N57" s="1" t="s">
        <v>15</v>
      </c>
      <c r="O57" s="2">
        <v>1.48</v>
      </c>
      <c r="P57" s="2">
        <v>3.57</v>
      </c>
      <c r="Q57" s="4">
        <v>5.05</v>
      </c>
      <c r="U57" s="26"/>
      <c r="V57" s="26"/>
      <c r="W57" s="26"/>
    </row>
    <row r="58" spans="1:23" ht="15.75" customHeight="1" thickBot="1" x14ac:dyDescent="0.3">
      <c r="A58" s="3">
        <v>48953</v>
      </c>
      <c r="B58" s="1" t="s">
        <v>15</v>
      </c>
      <c r="C58" s="2">
        <v>1</v>
      </c>
      <c r="D58" s="2">
        <v>10</v>
      </c>
      <c r="E58" s="4">
        <v>11</v>
      </c>
      <c r="F58" s="21"/>
      <c r="G58" s="3">
        <v>48953</v>
      </c>
      <c r="H58" s="1" t="s">
        <v>15</v>
      </c>
      <c r="I58" s="2">
        <v>1.02</v>
      </c>
      <c r="J58" s="2">
        <v>4.55</v>
      </c>
      <c r="K58" s="4">
        <v>5.57</v>
      </c>
      <c r="L58" s="21"/>
      <c r="M58" s="3">
        <v>48953</v>
      </c>
      <c r="N58" s="1" t="s">
        <v>15</v>
      </c>
      <c r="O58" s="2">
        <v>1.39</v>
      </c>
      <c r="P58" s="2">
        <v>3.57</v>
      </c>
      <c r="Q58" s="4">
        <v>4.96</v>
      </c>
      <c r="U58" s="26"/>
      <c r="V58" s="26"/>
      <c r="W58" s="26"/>
    </row>
    <row r="59" spans="1:23" ht="15.75" customHeight="1" thickBot="1" x14ac:dyDescent="0.3">
      <c r="A59" s="3">
        <v>49134</v>
      </c>
      <c r="B59" s="1" t="s">
        <v>15</v>
      </c>
      <c r="C59" s="2">
        <v>0.75</v>
      </c>
      <c r="D59" s="2">
        <v>10</v>
      </c>
      <c r="E59" s="4">
        <v>10.75</v>
      </c>
      <c r="F59" s="21"/>
      <c r="G59" s="3">
        <v>49134</v>
      </c>
      <c r="H59" s="1" t="s">
        <v>15</v>
      </c>
      <c r="I59" s="2">
        <v>0.91</v>
      </c>
      <c r="J59" s="2">
        <v>4.55</v>
      </c>
      <c r="K59" s="4">
        <v>5.46</v>
      </c>
      <c r="L59" s="21"/>
      <c r="M59" s="3">
        <v>49134</v>
      </c>
      <c r="N59" s="1" t="s">
        <v>15</v>
      </c>
      <c r="O59" s="2">
        <v>1.31</v>
      </c>
      <c r="P59" s="2">
        <v>3.57</v>
      </c>
      <c r="Q59" s="4">
        <v>4.88</v>
      </c>
      <c r="U59" s="26"/>
      <c r="V59" s="26"/>
      <c r="W59" s="26"/>
    </row>
    <row r="60" spans="1:23" ht="15.75" customHeight="1" thickBot="1" x14ac:dyDescent="0.3">
      <c r="A60" s="3">
        <v>49318</v>
      </c>
      <c r="B60" s="1" t="s">
        <v>15</v>
      </c>
      <c r="C60" s="2">
        <v>0.5</v>
      </c>
      <c r="D60" s="2">
        <v>10</v>
      </c>
      <c r="E60" s="4">
        <v>10.5</v>
      </c>
      <c r="F60" s="21"/>
      <c r="G60" s="3">
        <v>49318</v>
      </c>
      <c r="H60" s="1" t="s">
        <v>15</v>
      </c>
      <c r="I60" s="2">
        <v>0.8</v>
      </c>
      <c r="J60" s="2">
        <v>4.55</v>
      </c>
      <c r="K60" s="4">
        <v>5.35</v>
      </c>
      <c r="L60" s="21"/>
      <c r="M60" s="3">
        <v>49318</v>
      </c>
      <c r="N60" s="1" t="s">
        <v>15</v>
      </c>
      <c r="O60" s="2">
        <v>1.22</v>
      </c>
      <c r="P60" s="2">
        <v>3.57</v>
      </c>
      <c r="Q60" s="4">
        <v>4.79</v>
      </c>
      <c r="U60" s="26"/>
      <c r="V60" s="26"/>
      <c r="W60" s="26"/>
    </row>
    <row r="61" spans="1:23" ht="15.75" customHeight="1" thickBot="1" x14ac:dyDescent="0.3">
      <c r="A61" s="3">
        <v>49499</v>
      </c>
      <c r="B61" s="1" t="s">
        <v>15</v>
      </c>
      <c r="C61" s="2">
        <v>0.25</v>
      </c>
      <c r="D61" s="2">
        <v>10</v>
      </c>
      <c r="E61" s="4">
        <v>10.25</v>
      </c>
      <c r="F61" s="21"/>
      <c r="G61" s="3">
        <v>49499</v>
      </c>
      <c r="H61" s="1" t="s">
        <v>15</v>
      </c>
      <c r="I61" s="2">
        <v>0.68</v>
      </c>
      <c r="J61" s="2">
        <v>4.55</v>
      </c>
      <c r="K61" s="4">
        <v>5.23</v>
      </c>
      <c r="L61" s="21"/>
      <c r="M61" s="3">
        <v>49499</v>
      </c>
      <c r="N61" s="1" t="s">
        <v>15</v>
      </c>
      <c r="O61" s="2">
        <v>1.1299999999999999</v>
      </c>
      <c r="P61" s="2">
        <v>3.57</v>
      </c>
      <c r="Q61" s="4">
        <v>4.7</v>
      </c>
      <c r="U61" s="26"/>
      <c r="V61" s="26"/>
      <c r="W61" s="26"/>
    </row>
    <row r="62" spans="1:23" ht="15.75" customHeight="1" thickBot="1" x14ac:dyDescent="0.3">
      <c r="A62" s="5"/>
      <c r="B62" s="6"/>
      <c r="C62" s="7">
        <f>SUM(C36:C61)</f>
        <v>45.989999999999995</v>
      </c>
      <c r="D62" s="7">
        <f>SUM(D36:D61)</f>
        <v>100</v>
      </c>
      <c r="E62" s="8">
        <f>SUM(E36:E61)</f>
        <v>145.99</v>
      </c>
      <c r="F62" s="21"/>
      <c r="G62" s="3">
        <v>49683</v>
      </c>
      <c r="H62" s="1" t="s">
        <v>15</v>
      </c>
      <c r="I62" s="2">
        <v>0.56999999999999995</v>
      </c>
      <c r="J62" s="2">
        <v>4.55</v>
      </c>
      <c r="K62" s="4">
        <v>5.12</v>
      </c>
      <c r="L62" s="21"/>
      <c r="M62" s="3">
        <v>49683</v>
      </c>
      <c r="N62" s="1" t="s">
        <v>15</v>
      </c>
      <c r="O62" s="2">
        <v>1.04</v>
      </c>
      <c r="P62" s="2">
        <v>3.57</v>
      </c>
      <c r="Q62" s="4">
        <v>4.6100000000000003</v>
      </c>
      <c r="U62" s="26"/>
      <c r="V62" s="26"/>
      <c r="W62" s="26"/>
    </row>
    <row r="63" spans="1:23" ht="15.75" customHeight="1" thickBot="1" x14ac:dyDescent="0.3">
      <c r="B63" s="21"/>
      <c r="F63" s="21"/>
      <c r="G63" s="3">
        <v>49865</v>
      </c>
      <c r="H63" s="1" t="s">
        <v>15</v>
      </c>
      <c r="I63" s="2">
        <v>0.45</v>
      </c>
      <c r="J63" s="2">
        <v>4.55</v>
      </c>
      <c r="K63" s="4">
        <v>5</v>
      </c>
      <c r="L63" s="21"/>
      <c r="M63" s="3">
        <v>49865</v>
      </c>
      <c r="N63" s="1" t="s">
        <v>15</v>
      </c>
      <c r="O63" s="2">
        <v>0.96</v>
      </c>
      <c r="P63" s="2">
        <v>3.57</v>
      </c>
      <c r="Q63" s="4">
        <v>4.53</v>
      </c>
      <c r="U63" s="26"/>
      <c r="V63" s="26"/>
      <c r="W63" s="26"/>
    </row>
    <row r="64" spans="1:23" ht="15.75" customHeight="1" thickBot="1" x14ac:dyDescent="0.3">
      <c r="B64" s="21"/>
      <c r="F64" s="21"/>
      <c r="G64" s="3">
        <v>50049</v>
      </c>
      <c r="H64" s="1" t="s">
        <v>15</v>
      </c>
      <c r="I64" s="2">
        <v>0.34</v>
      </c>
      <c r="J64" s="2">
        <v>4.55</v>
      </c>
      <c r="K64" s="4">
        <v>4.8899999999999997</v>
      </c>
      <c r="L64" s="21"/>
      <c r="M64" s="3">
        <v>50049</v>
      </c>
      <c r="N64" s="1" t="s">
        <v>15</v>
      </c>
      <c r="O64" s="2">
        <v>0.87</v>
      </c>
      <c r="P64" s="2">
        <v>3.57</v>
      </c>
      <c r="Q64" s="4">
        <v>4.4400000000000004</v>
      </c>
      <c r="U64" s="26"/>
      <c r="V64" s="26"/>
      <c r="W64" s="26"/>
    </row>
    <row r="65" spans="1:23" ht="15.75" customHeight="1" thickBot="1" x14ac:dyDescent="0.3">
      <c r="B65" s="21"/>
      <c r="F65" s="21"/>
      <c r="G65" s="3">
        <v>50230</v>
      </c>
      <c r="H65" s="1" t="s">
        <v>15</v>
      </c>
      <c r="I65" s="2">
        <v>0.23</v>
      </c>
      <c r="J65" s="2">
        <v>4.55</v>
      </c>
      <c r="K65" s="4">
        <v>4.78</v>
      </c>
      <c r="L65" s="21"/>
      <c r="M65" s="3">
        <v>50230</v>
      </c>
      <c r="N65" s="1" t="s">
        <v>15</v>
      </c>
      <c r="O65" s="2">
        <v>0.78</v>
      </c>
      <c r="P65" s="2">
        <v>3.57</v>
      </c>
      <c r="Q65" s="4">
        <v>4.3499999999999996</v>
      </c>
      <c r="U65" s="26"/>
      <c r="V65" s="26"/>
      <c r="W65" s="26"/>
    </row>
    <row r="66" spans="1:23" ht="15.75" customHeight="1" thickBot="1" x14ac:dyDescent="0.3">
      <c r="B66" s="21"/>
      <c r="F66" s="21"/>
      <c r="G66" s="3">
        <v>50414</v>
      </c>
      <c r="H66" s="1" t="s">
        <v>15</v>
      </c>
      <c r="I66" s="2">
        <v>0.11</v>
      </c>
      <c r="J66" s="2">
        <v>4.55</v>
      </c>
      <c r="K66" s="4">
        <v>4.66</v>
      </c>
      <c r="L66" s="21"/>
      <c r="M66" s="3">
        <v>50414</v>
      </c>
      <c r="N66" s="1" t="s">
        <v>15</v>
      </c>
      <c r="O66" s="2">
        <v>0.7</v>
      </c>
      <c r="P66" s="2">
        <v>3.57</v>
      </c>
      <c r="Q66" s="4">
        <v>4.2699999999999996</v>
      </c>
      <c r="U66" s="26"/>
      <c r="V66" s="26"/>
      <c r="W66" s="26"/>
    </row>
    <row r="67" spans="1:23" ht="15.75" customHeight="1" thickBot="1" x14ac:dyDescent="0.3">
      <c r="B67" s="21"/>
      <c r="F67" s="21"/>
      <c r="G67" s="5"/>
      <c r="H67" s="10"/>
      <c r="I67" s="7">
        <f>SUM(I36:I66)</f>
        <v>49.370000000000005</v>
      </c>
      <c r="J67" s="7">
        <f>SUM(J36:J66)</f>
        <v>100.09999999999997</v>
      </c>
      <c r="K67" s="8">
        <f>SUM(K36:K66)</f>
        <v>149.46999999999997</v>
      </c>
      <c r="L67" s="21"/>
      <c r="M67" s="3">
        <v>50595</v>
      </c>
      <c r="N67" s="1" t="s">
        <v>15</v>
      </c>
      <c r="O67" s="2">
        <v>0.61</v>
      </c>
      <c r="P67" s="2">
        <v>3.57</v>
      </c>
      <c r="Q67" s="4">
        <v>4.18</v>
      </c>
      <c r="U67" s="26"/>
      <c r="V67" s="26"/>
      <c r="W67" s="26"/>
    </row>
    <row r="68" spans="1:23" ht="15.75" customHeight="1" thickBot="1" x14ac:dyDescent="0.3">
      <c r="B68" s="21"/>
      <c r="F68" s="21"/>
      <c r="L68" s="21"/>
      <c r="M68" s="3">
        <v>50779</v>
      </c>
      <c r="N68" s="1" t="s">
        <v>15</v>
      </c>
      <c r="O68" s="2">
        <v>0.52</v>
      </c>
      <c r="P68" s="2">
        <v>3.57</v>
      </c>
      <c r="Q68" s="4">
        <v>4.09</v>
      </c>
      <c r="U68" s="26"/>
      <c r="V68" s="26"/>
      <c r="W68" s="26"/>
    </row>
    <row r="69" spans="1:23" ht="15.75" customHeight="1" thickBot="1" x14ac:dyDescent="0.3">
      <c r="B69" s="21"/>
      <c r="F69" s="21"/>
      <c r="L69" s="21"/>
      <c r="M69" s="3">
        <v>50960</v>
      </c>
      <c r="N69" s="1" t="s">
        <v>15</v>
      </c>
      <c r="O69" s="2">
        <v>0.44</v>
      </c>
      <c r="P69" s="2">
        <v>3.57</v>
      </c>
      <c r="Q69" s="4">
        <v>4.01</v>
      </c>
      <c r="U69" s="26"/>
      <c r="V69" s="26"/>
      <c r="W69" s="26"/>
    </row>
    <row r="70" spans="1:23" ht="15.75" customHeight="1" thickBot="1" x14ac:dyDescent="0.3">
      <c r="B70" s="21"/>
      <c r="F70" s="21"/>
      <c r="L70" s="21"/>
      <c r="M70" s="3">
        <v>51144</v>
      </c>
      <c r="N70" s="1" t="s">
        <v>15</v>
      </c>
      <c r="O70" s="2">
        <v>0.35</v>
      </c>
      <c r="P70" s="2">
        <v>3.57</v>
      </c>
      <c r="Q70" s="4">
        <v>3.92</v>
      </c>
      <c r="U70" s="26"/>
      <c r="V70" s="26"/>
      <c r="W70" s="26"/>
    </row>
    <row r="71" spans="1:23" ht="15.75" customHeight="1" thickBot="1" x14ac:dyDescent="0.3">
      <c r="B71" s="21"/>
      <c r="F71" s="21"/>
      <c r="L71" s="21"/>
      <c r="M71" s="3">
        <v>51326</v>
      </c>
      <c r="N71" s="1" t="s">
        <v>15</v>
      </c>
      <c r="O71" s="2">
        <v>0.26</v>
      </c>
      <c r="P71" s="2">
        <v>3.57</v>
      </c>
      <c r="Q71" s="4">
        <v>3.83</v>
      </c>
      <c r="U71" s="26"/>
      <c r="V71" s="26"/>
      <c r="W71" s="26"/>
    </row>
    <row r="72" spans="1:23" ht="15.75" customHeight="1" thickBot="1" x14ac:dyDescent="0.3">
      <c r="B72" s="21"/>
      <c r="F72" s="21"/>
      <c r="L72" s="21"/>
      <c r="M72" s="3">
        <v>51510</v>
      </c>
      <c r="N72" s="1" t="s">
        <v>15</v>
      </c>
      <c r="O72" s="2">
        <v>0.17</v>
      </c>
      <c r="P72" s="2">
        <v>3.57</v>
      </c>
      <c r="Q72" s="4">
        <v>3.74</v>
      </c>
      <c r="U72" s="26"/>
      <c r="V72" s="26"/>
      <c r="W72" s="26"/>
    </row>
    <row r="73" spans="1:23" ht="15.75" customHeight="1" thickBot="1" x14ac:dyDescent="0.3">
      <c r="B73" s="21"/>
      <c r="F73" s="21"/>
      <c r="L73" s="21"/>
      <c r="M73" s="3">
        <v>51691</v>
      </c>
      <c r="N73" s="1" t="s">
        <v>15</v>
      </c>
      <c r="O73" s="2">
        <v>0.09</v>
      </c>
      <c r="P73" s="2">
        <v>3.57</v>
      </c>
      <c r="Q73" s="4">
        <v>3.66</v>
      </c>
    </row>
    <row r="74" spans="1:23" ht="15.75" customHeight="1" thickBot="1" x14ac:dyDescent="0.3">
      <c r="B74" s="21"/>
      <c r="F74" s="21"/>
      <c r="L74" s="21"/>
      <c r="M74" s="5"/>
      <c r="N74" s="10"/>
      <c r="O74" s="7">
        <f>SUM(O36:O73)</f>
        <v>50.250000000000007</v>
      </c>
      <c r="P74" s="7">
        <f>SUM(P36:P73)</f>
        <v>99.959999999999923</v>
      </c>
      <c r="Q74" s="8">
        <f>SUM(Q36:Q73)</f>
        <v>150.20999999999998</v>
      </c>
    </row>
    <row r="75" spans="1:23" ht="15.75" customHeight="1" x14ac:dyDescent="0.25">
      <c r="B75" s="21"/>
    </row>
    <row r="76" spans="1:23" ht="15.75" customHeight="1" x14ac:dyDescent="0.25">
      <c r="B76" s="21"/>
    </row>
    <row r="77" spans="1:23" ht="15.75" customHeight="1" x14ac:dyDescent="0.25">
      <c r="B77" s="21"/>
    </row>
    <row r="78" spans="1:23" ht="15.75" customHeight="1" x14ac:dyDescent="0.25">
      <c r="B78" s="21"/>
      <c r="M78" s="21"/>
    </row>
    <row r="79" spans="1:23" ht="15.75" customHeight="1" x14ac:dyDescent="0.25">
      <c r="A79" s="22"/>
      <c r="B79" s="23"/>
      <c r="D79" s="21"/>
      <c r="E79" s="21"/>
      <c r="G79" s="21"/>
      <c r="H79" s="21"/>
      <c r="I79" s="21"/>
      <c r="J79" s="21"/>
      <c r="K79" s="21"/>
    </row>
    <row r="80" spans="1:23" ht="15.75" customHeight="1" x14ac:dyDescent="0.25">
      <c r="A80" s="22"/>
      <c r="B80" s="23"/>
      <c r="D80" s="21"/>
      <c r="E80" s="21"/>
      <c r="F80" s="21"/>
      <c r="G80" s="21"/>
      <c r="H80" s="21"/>
      <c r="I80" s="21"/>
      <c r="J80" s="21"/>
      <c r="K80" s="21"/>
      <c r="L80" s="21"/>
    </row>
    <row r="81" spans="1:12" x14ac:dyDescent="0.25">
      <c r="A81" s="22"/>
      <c r="B81" s="23"/>
      <c r="D81" s="21"/>
      <c r="E81" s="21"/>
      <c r="F81" s="21"/>
      <c r="G81" s="21"/>
      <c r="H81" s="21"/>
      <c r="I81" s="21"/>
      <c r="J81" s="21"/>
      <c r="K81" s="21"/>
      <c r="L81" s="21"/>
    </row>
    <row r="82" spans="1:12" x14ac:dyDescent="0.25">
      <c r="A82" s="22"/>
      <c r="B82" s="23"/>
      <c r="D82" s="21"/>
      <c r="E82" s="21"/>
      <c r="F82" s="21"/>
      <c r="G82" s="21"/>
      <c r="H82" s="21"/>
      <c r="I82" s="21"/>
      <c r="J82" s="21"/>
      <c r="K82" s="21"/>
      <c r="L82" s="21"/>
    </row>
    <row r="83" spans="1:12" x14ac:dyDescent="0.25">
      <c r="A83" s="22"/>
      <c r="B83" s="23"/>
      <c r="D83" s="21"/>
      <c r="E83" s="21"/>
      <c r="F83" s="21"/>
      <c r="G83" s="21"/>
      <c r="H83" s="21"/>
      <c r="I83" s="21"/>
      <c r="J83" s="21"/>
      <c r="K83" s="21"/>
      <c r="L83" s="21"/>
    </row>
    <row r="84" spans="1:12" x14ac:dyDescent="0.25">
      <c r="A84" s="2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</row>
    <row r="85" spans="1:12" x14ac:dyDescent="0.25"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</row>
    <row r="86" spans="1:12" x14ac:dyDescent="0.25">
      <c r="B86" s="21"/>
      <c r="F86" s="21"/>
      <c r="G86" s="21"/>
      <c r="H86" s="21"/>
      <c r="I86" s="21"/>
      <c r="J86" s="21"/>
      <c r="K86" s="21"/>
      <c r="L86" s="21"/>
    </row>
    <row r="87" spans="1:12" x14ac:dyDescent="0.25">
      <c r="B87" s="21"/>
      <c r="F87" s="21"/>
      <c r="G87" s="21"/>
      <c r="H87" s="21"/>
      <c r="I87" s="21"/>
      <c r="J87" s="21"/>
      <c r="K87" s="21"/>
      <c r="L87" s="21"/>
    </row>
    <row r="88" spans="1:12" x14ac:dyDescent="0.25">
      <c r="B88" s="21"/>
      <c r="F88" s="21"/>
      <c r="G88" s="21"/>
      <c r="H88" s="21"/>
      <c r="I88" s="21"/>
      <c r="J88" s="21"/>
      <c r="K88" s="21"/>
      <c r="L88" s="21"/>
    </row>
    <row r="89" spans="1:12" x14ac:dyDescent="0.25">
      <c r="B89" s="21"/>
      <c r="F89" s="21"/>
      <c r="G89" s="21"/>
      <c r="H89" s="21"/>
      <c r="I89" s="21"/>
      <c r="J89" s="21"/>
      <c r="K89" s="21"/>
      <c r="L89" s="21"/>
    </row>
    <row r="90" spans="1:12" x14ac:dyDescent="0.25">
      <c r="B90" s="21"/>
      <c r="F90" s="21"/>
      <c r="G90" s="21"/>
      <c r="H90" s="21"/>
      <c r="I90" s="21"/>
      <c r="J90" s="21"/>
      <c r="K90" s="21"/>
      <c r="L90" s="21"/>
    </row>
    <row r="91" spans="1:12" x14ac:dyDescent="0.25">
      <c r="B91" s="21"/>
      <c r="F91" s="21"/>
      <c r="G91" s="21"/>
      <c r="H91" s="21"/>
      <c r="I91" s="21"/>
      <c r="J91" s="21"/>
      <c r="K91" s="21"/>
      <c r="L91" s="21"/>
    </row>
    <row r="92" spans="1:12" x14ac:dyDescent="0.25">
      <c r="B92" s="21"/>
      <c r="F92" s="21"/>
      <c r="G92" s="21"/>
      <c r="H92" s="21"/>
      <c r="I92" s="21"/>
      <c r="J92" s="21"/>
      <c r="K92" s="21"/>
      <c r="L92" s="21"/>
    </row>
    <row r="93" spans="1:12" x14ac:dyDescent="0.25">
      <c r="B93" s="21"/>
      <c r="F93" s="21"/>
      <c r="G93" s="21"/>
      <c r="H93" s="21"/>
      <c r="I93" s="21"/>
      <c r="J93" s="21"/>
      <c r="K93" s="21"/>
      <c r="L93" s="21"/>
    </row>
    <row r="94" spans="1:12" x14ac:dyDescent="0.25">
      <c r="B94" s="21"/>
      <c r="F94" s="21"/>
      <c r="G94" s="21"/>
      <c r="H94" s="21"/>
      <c r="I94" s="21"/>
      <c r="J94" s="21"/>
      <c r="K94" s="21"/>
      <c r="L94" s="21"/>
    </row>
    <row r="95" spans="1:12" x14ac:dyDescent="0.25">
      <c r="B95" s="21"/>
      <c r="F95" s="21"/>
      <c r="G95" s="21"/>
      <c r="H95" s="21"/>
      <c r="I95" s="21"/>
      <c r="J95" s="21"/>
      <c r="K95" s="21"/>
      <c r="L95" s="21"/>
    </row>
    <row r="96" spans="1:12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L102" s="21"/>
    </row>
    <row r="103" spans="2:12" x14ac:dyDescent="0.25">
      <c r="B103" s="21"/>
    </row>
    <row r="104" spans="2:12" x14ac:dyDescent="0.25">
      <c r="B104" s="21"/>
    </row>
    <row r="105" spans="2:12" x14ac:dyDescent="0.25">
      <c r="B105" s="21"/>
    </row>
    <row r="106" spans="2:12" x14ac:dyDescent="0.25">
      <c r="B106" s="21"/>
    </row>
    <row r="107" spans="2:12" x14ac:dyDescent="0.25">
      <c r="B107" s="21"/>
    </row>
    <row r="108" spans="2:12" x14ac:dyDescent="0.25">
      <c r="B108" s="21"/>
    </row>
    <row r="109" spans="2:12" x14ac:dyDescent="0.25">
      <c r="B109" s="21"/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Y111"/>
  <sheetViews>
    <sheetView topLeftCell="H16" workbookViewId="0">
      <selection activeCell="Q33" sqref="Q33"/>
    </sheetView>
  </sheetViews>
  <sheetFormatPr baseColWidth="10" defaultRowHeight="15" x14ac:dyDescent="0.25"/>
  <cols>
    <col min="1" max="1" width="22.140625" style="74" bestFit="1" customWidth="1"/>
    <col min="2" max="2" width="10.7109375" style="74" bestFit="1" customWidth="1"/>
    <col min="3" max="6" width="11.42578125" style="74" customWidth="1"/>
    <col min="7" max="7" width="22.140625" style="74" bestFit="1" customWidth="1"/>
    <col min="8" max="8" width="11.85546875" style="74" bestFit="1" customWidth="1"/>
    <col min="9" max="12" width="11.42578125" style="74" customWidth="1"/>
    <col min="13" max="13" width="22.140625" style="74" bestFit="1" customWidth="1"/>
    <col min="14" max="14" width="11.85546875" style="74" bestFit="1" customWidth="1"/>
    <col min="15" max="18" width="11.42578125" style="74" customWidth="1"/>
    <col min="19" max="19" width="22.140625" style="74" bestFit="1" customWidth="1"/>
    <col min="20" max="42" width="11.42578125" style="74" customWidth="1"/>
    <col min="43" max="16384" width="11.42578125" style="74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 t="e">
        <f>#REF!-B5</f>
        <v>#REF!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44570</v>
      </c>
      <c r="C5" s="27"/>
      <c r="D5" s="26" t="e">
        <f>DAYS360(B5,#REF!)</f>
        <v>#REF!</v>
      </c>
      <c r="E5" s="28"/>
      <c r="G5" s="31" t="s">
        <v>10</v>
      </c>
      <c r="H5" s="24">
        <v>44570</v>
      </c>
      <c r="I5" s="27"/>
      <c r="J5" s="27"/>
      <c r="K5" s="28"/>
      <c r="L5" s="21"/>
      <c r="M5" s="31" t="s">
        <v>10</v>
      </c>
      <c r="N5" s="24">
        <v>44570</v>
      </c>
      <c r="O5" s="27"/>
      <c r="P5" s="27"/>
      <c r="Q5" s="28"/>
      <c r="S5" s="31" t="s">
        <v>10</v>
      </c>
      <c r="T5" s="24">
        <v>44570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 t="e">
        <f>DAYS360(B5,#REF!)</f>
        <v>#REF!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1.4972222222222222</v>
      </c>
      <c r="C8" s="27"/>
      <c r="D8" s="48"/>
      <c r="E8" s="28"/>
      <c r="F8" s="47"/>
      <c r="G8" s="31" t="s">
        <v>13</v>
      </c>
      <c r="H8" s="46">
        <f ca="1">H6*DAYS360(H5,TODAY())/360*100</f>
        <v>1.4972222222222222</v>
      </c>
      <c r="I8" s="27"/>
      <c r="J8" s="27"/>
      <c r="K8" s="28"/>
      <c r="L8" s="21"/>
      <c r="M8" s="31" t="s">
        <v>13</v>
      </c>
      <c r="N8" s="46">
        <f ca="1">N6*DAYS360(N5,TODAY())/360*100</f>
        <v>0.18715277777777778</v>
      </c>
      <c r="O8" s="27"/>
      <c r="P8" s="27"/>
      <c r="Q8" s="28"/>
      <c r="S8" s="31" t="s">
        <v>13</v>
      </c>
      <c r="T8" s="46">
        <f ca="1">T6*DAYS360(T5,TODAY())/360*100</f>
        <v>0.18715277777777778</v>
      </c>
      <c r="U8" s="27"/>
      <c r="V8" s="27"/>
      <c r="W8" s="28"/>
    </row>
    <row r="9" spans="1:25" ht="18.75" customHeight="1" thickBot="1" x14ac:dyDescent="0.35">
      <c r="A9" s="30" t="s">
        <v>14</v>
      </c>
      <c r="B9" s="46">
        <f ca="1">B7+B8</f>
        <v>101.49722222222222</v>
      </c>
      <c r="C9" s="27"/>
      <c r="D9" s="27"/>
      <c r="E9" s="28">
        <v>-34.799999999999997</v>
      </c>
      <c r="F9" s="21"/>
      <c r="G9" s="31" t="s">
        <v>14</v>
      </c>
      <c r="H9" s="46">
        <f ca="1">H7+H8</f>
        <v>101.49722222222222</v>
      </c>
      <c r="I9" s="27"/>
      <c r="J9" s="27"/>
      <c r="K9" s="28"/>
      <c r="L9" s="21"/>
      <c r="M9" s="31" t="s">
        <v>14</v>
      </c>
      <c r="N9" s="46">
        <f ca="1">N7+N8</f>
        <v>100.18715277777778</v>
      </c>
      <c r="O9" s="27"/>
      <c r="P9" s="27"/>
      <c r="Q9" s="28">
        <v>-32.700000000000003</v>
      </c>
      <c r="S9" s="31" t="s">
        <v>14</v>
      </c>
      <c r="T9" s="46">
        <f ca="1">T7+T8</f>
        <v>100.18715277777778</v>
      </c>
      <c r="U9" s="27"/>
      <c r="V9" s="27"/>
      <c r="W9" s="28"/>
    </row>
    <row r="10" spans="1:25" ht="15.75" customHeight="1" thickBot="1" x14ac:dyDescent="0.3">
      <c r="A10" s="3">
        <v>44751</v>
      </c>
      <c r="B10" s="1" t="s">
        <v>15</v>
      </c>
      <c r="C10" s="39">
        <v>0.5</v>
      </c>
      <c r="D10" s="2">
        <v>0</v>
      </c>
      <c r="E10" s="42">
        <v>0.5</v>
      </c>
      <c r="F10" s="21"/>
      <c r="G10" s="3">
        <v>44751</v>
      </c>
      <c r="H10" t="s">
        <v>15</v>
      </c>
      <c r="I10" s="2">
        <v>0.5</v>
      </c>
      <c r="J10" s="2">
        <v>0</v>
      </c>
      <c r="K10" s="4">
        <v>0.5</v>
      </c>
      <c r="L10" s="21"/>
      <c r="M10" s="3">
        <v>44751</v>
      </c>
      <c r="N10" t="s">
        <v>15</v>
      </c>
      <c r="O10" s="2">
        <v>0.25</v>
      </c>
      <c r="P10" s="2">
        <v>0</v>
      </c>
      <c r="Q10" s="4">
        <v>0.25</v>
      </c>
      <c r="S10" s="3">
        <v>44751</v>
      </c>
      <c r="T10" t="s">
        <v>15</v>
      </c>
      <c r="U10" s="2">
        <v>0.25</v>
      </c>
      <c r="V10" s="2">
        <v>0</v>
      </c>
      <c r="W10" s="4">
        <v>0.25</v>
      </c>
    </row>
    <row r="11" spans="1:25" ht="15.75" customHeight="1" thickBot="1" x14ac:dyDescent="0.3">
      <c r="A11" s="3">
        <v>44935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44935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44935</v>
      </c>
      <c r="N11" t="s">
        <v>15</v>
      </c>
      <c r="O11" s="2">
        <v>0.25</v>
      </c>
      <c r="P11" s="2">
        <v>0</v>
      </c>
      <c r="Q11" s="4">
        <v>0.25</v>
      </c>
      <c r="S11" s="3">
        <v>44935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45116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45116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45116</v>
      </c>
      <c r="N12" t="s">
        <v>15</v>
      </c>
      <c r="O12" s="2">
        <v>0.25</v>
      </c>
      <c r="P12" s="2">
        <v>0</v>
      </c>
      <c r="Q12" s="4">
        <v>0.25</v>
      </c>
      <c r="S12" s="3">
        <v>45116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45300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45300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45300</v>
      </c>
      <c r="N13" t="s">
        <v>15</v>
      </c>
      <c r="O13" s="2">
        <v>0.38</v>
      </c>
      <c r="P13" s="2">
        <v>0</v>
      </c>
      <c r="Q13" s="4">
        <v>0.38</v>
      </c>
      <c r="S13" s="3">
        <v>45300</v>
      </c>
      <c r="T13" t="s">
        <v>15</v>
      </c>
      <c r="U13" s="2">
        <v>0.38</v>
      </c>
      <c r="V13" s="2">
        <v>0</v>
      </c>
      <c r="W13" s="4">
        <v>0.38</v>
      </c>
    </row>
    <row r="14" spans="1:25" ht="15.75" customHeight="1" thickBot="1" x14ac:dyDescent="0.3">
      <c r="A14" s="3">
        <v>45482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45482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45482</v>
      </c>
      <c r="N14" t="s">
        <v>15</v>
      </c>
      <c r="O14" s="2">
        <v>0.38</v>
      </c>
      <c r="P14" s="2">
        <v>4</v>
      </c>
      <c r="Q14" s="4">
        <v>4.38</v>
      </c>
      <c r="S14" s="3">
        <v>45482</v>
      </c>
      <c r="T14" t="s">
        <v>15</v>
      </c>
      <c r="U14" s="2">
        <v>0.38</v>
      </c>
      <c r="V14" s="2">
        <v>4</v>
      </c>
      <c r="W14" s="4">
        <v>4.38</v>
      </c>
    </row>
    <row r="15" spans="1:25" ht="15.75" customHeight="1" thickBot="1" x14ac:dyDescent="0.3">
      <c r="A15" s="3">
        <v>45666</v>
      </c>
      <c r="B15" s="1" t="s">
        <v>15</v>
      </c>
      <c r="C15" s="39">
        <v>0.5</v>
      </c>
      <c r="D15" s="2">
        <v>10</v>
      </c>
      <c r="E15" s="42">
        <v>10.5</v>
      </c>
      <c r="F15" s="21"/>
      <c r="G15" s="3">
        <v>45666</v>
      </c>
      <c r="H15" t="s">
        <v>15</v>
      </c>
      <c r="I15" s="2">
        <v>0.5</v>
      </c>
      <c r="J15" s="2">
        <v>10</v>
      </c>
      <c r="K15" s="4">
        <v>10.5</v>
      </c>
      <c r="L15" s="21"/>
      <c r="M15" s="3">
        <v>45666</v>
      </c>
      <c r="N15" t="s">
        <v>15</v>
      </c>
      <c r="O15" s="2">
        <v>0.36</v>
      </c>
      <c r="P15" s="2">
        <v>8</v>
      </c>
      <c r="Q15" s="4">
        <v>8.36</v>
      </c>
      <c r="S15" s="3">
        <v>45666</v>
      </c>
      <c r="T15" t="s">
        <v>15</v>
      </c>
      <c r="U15" s="2">
        <v>0.36</v>
      </c>
      <c r="V15" s="2">
        <v>8</v>
      </c>
      <c r="W15" s="4">
        <v>8.36</v>
      </c>
    </row>
    <row r="16" spans="1:25" ht="15.75" customHeight="1" thickBot="1" x14ac:dyDescent="0.3">
      <c r="A16" s="3">
        <v>45847</v>
      </c>
      <c r="B16" s="1" t="s">
        <v>15</v>
      </c>
      <c r="C16" s="39">
        <v>0.45</v>
      </c>
      <c r="D16" s="2">
        <v>10</v>
      </c>
      <c r="E16" s="42">
        <v>10.45</v>
      </c>
      <c r="F16" s="21"/>
      <c r="G16" s="3">
        <v>45847</v>
      </c>
      <c r="H16" t="s">
        <v>15</v>
      </c>
      <c r="I16" s="2">
        <v>0.45</v>
      </c>
      <c r="J16" s="2">
        <v>10</v>
      </c>
      <c r="K16" s="4">
        <v>10.45</v>
      </c>
      <c r="L16" s="21"/>
      <c r="M16" s="3">
        <v>45847</v>
      </c>
      <c r="N16" t="s">
        <v>15</v>
      </c>
      <c r="O16" s="2">
        <v>0.33</v>
      </c>
      <c r="P16" s="2">
        <v>8</v>
      </c>
      <c r="Q16" s="4">
        <v>8.33</v>
      </c>
      <c r="S16" s="3">
        <v>45847</v>
      </c>
      <c r="T16" t="s">
        <v>15</v>
      </c>
      <c r="U16" s="2">
        <v>0.33</v>
      </c>
      <c r="V16" s="2">
        <v>8</v>
      </c>
      <c r="W16" s="4">
        <v>8.33</v>
      </c>
    </row>
    <row r="17" spans="1:23" ht="15.75" customHeight="1" thickBot="1" x14ac:dyDescent="0.3">
      <c r="A17" s="3">
        <v>46031</v>
      </c>
      <c r="B17" s="1" t="s">
        <v>15</v>
      </c>
      <c r="C17" s="39">
        <v>0.4</v>
      </c>
      <c r="D17" s="2">
        <v>10</v>
      </c>
      <c r="E17" s="42">
        <v>10.4</v>
      </c>
      <c r="F17" s="21"/>
      <c r="G17" s="3">
        <v>46031</v>
      </c>
      <c r="H17" t="s">
        <v>15</v>
      </c>
      <c r="I17" s="2">
        <v>0.4</v>
      </c>
      <c r="J17" s="2">
        <v>10</v>
      </c>
      <c r="K17" s="4">
        <v>10.4</v>
      </c>
      <c r="L17" s="21"/>
      <c r="M17" s="3">
        <v>46031</v>
      </c>
      <c r="N17" t="s">
        <v>15</v>
      </c>
      <c r="O17" s="2">
        <v>0.3</v>
      </c>
      <c r="P17" s="2">
        <v>8</v>
      </c>
      <c r="Q17" s="4">
        <v>8.3000000000000007</v>
      </c>
      <c r="S17" s="3">
        <v>46031</v>
      </c>
      <c r="T17" t="s">
        <v>15</v>
      </c>
      <c r="U17" s="2">
        <v>0.3</v>
      </c>
      <c r="V17" s="2">
        <v>8</v>
      </c>
      <c r="W17" s="4">
        <v>8.3000000000000007</v>
      </c>
    </row>
    <row r="18" spans="1:23" ht="15.75" customHeight="1" thickBot="1" x14ac:dyDescent="0.3">
      <c r="A18" s="3">
        <v>46212</v>
      </c>
      <c r="B18" s="1" t="s">
        <v>15</v>
      </c>
      <c r="C18" s="39">
        <v>0.35</v>
      </c>
      <c r="D18" s="2">
        <v>10</v>
      </c>
      <c r="E18" s="42">
        <v>10.35</v>
      </c>
      <c r="F18" s="21"/>
      <c r="G18" s="3">
        <v>46212</v>
      </c>
      <c r="H18" t="s">
        <v>15</v>
      </c>
      <c r="I18" s="2">
        <v>0.35</v>
      </c>
      <c r="J18" s="2">
        <v>10</v>
      </c>
      <c r="K18" s="4">
        <v>10.35</v>
      </c>
      <c r="L18" s="21"/>
      <c r="M18" s="3">
        <v>46212</v>
      </c>
      <c r="N18" t="s">
        <v>15</v>
      </c>
      <c r="O18" s="2">
        <v>0.27</v>
      </c>
      <c r="P18" s="2">
        <v>8</v>
      </c>
      <c r="Q18" s="4">
        <v>8.27</v>
      </c>
      <c r="S18" s="3">
        <v>46212</v>
      </c>
      <c r="T18" t="s">
        <v>15</v>
      </c>
      <c r="U18" s="2">
        <v>0.27</v>
      </c>
      <c r="V18" s="2">
        <v>8</v>
      </c>
      <c r="W18" s="4">
        <v>8.27</v>
      </c>
    </row>
    <row r="19" spans="1:23" ht="15.75" customHeight="1" thickBot="1" x14ac:dyDescent="0.3">
      <c r="A19" s="3">
        <v>46396</v>
      </c>
      <c r="B19" s="1" t="s">
        <v>15</v>
      </c>
      <c r="C19" s="39">
        <v>0.3</v>
      </c>
      <c r="D19" s="2">
        <v>10</v>
      </c>
      <c r="E19" s="42">
        <v>10.3</v>
      </c>
      <c r="F19" s="21"/>
      <c r="G19" s="3">
        <v>46396</v>
      </c>
      <c r="H19" t="s">
        <v>15</v>
      </c>
      <c r="I19" s="2">
        <v>0.3</v>
      </c>
      <c r="J19" s="2">
        <v>10</v>
      </c>
      <c r="K19" s="4">
        <v>10.3</v>
      </c>
      <c r="L19" s="21"/>
      <c r="M19" s="3">
        <v>46396</v>
      </c>
      <c r="N19" t="s">
        <v>15</v>
      </c>
      <c r="O19" s="2">
        <v>0.24</v>
      </c>
      <c r="P19" s="2">
        <v>8</v>
      </c>
      <c r="Q19" s="4">
        <v>8.24</v>
      </c>
      <c r="S19" s="3">
        <v>46396</v>
      </c>
      <c r="T19" t="s">
        <v>15</v>
      </c>
      <c r="U19" s="2">
        <v>0.24</v>
      </c>
      <c r="V19" s="2">
        <v>8</v>
      </c>
      <c r="W19" s="4">
        <v>8.24</v>
      </c>
    </row>
    <row r="20" spans="1:23" ht="15.75" customHeight="1" thickBot="1" x14ac:dyDescent="0.3">
      <c r="A20" s="3">
        <v>46577</v>
      </c>
      <c r="B20" s="1" t="s">
        <v>15</v>
      </c>
      <c r="C20" s="39">
        <v>0.25</v>
      </c>
      <c r="D20" s="2">
        <v>10</v>
      </c>
      <c r="E20" s="42">
        <v>10.25</v>
      </c>
      <c r="F20" s="21"/>
      <c r="G20" s="3">
        <v>46577</v>
      </c>
      <c r="H20" t="s">
        <v>15</v>
      </c>
      <c r="I20" s="2">
        <v>0.25</v>
      </c>
      <c r="J20" s="2">
        <v>10</v>
      </c>
      <c r="K20" s="4">
        <v>10.25</v>
      </c>
      <c r="L20" s="21"/>
      <c r="M20" s="3">
        <v>46577</v>
      </c>
      <c r="N20" t="s">
        <v>15</v>
      </c>
      <c r="O20" s="2">
        <v>0.21</v>
      </c>
      <c r="P20" s="2">
        <v>8</v>
      </c>
      <c r="Q20" s="4">
        <v>8.2100000000000009</v>
      </c>
      <c r="S20" s="3">
        <v>46577</v>
      </c>
      <c r="T20" t="s">
        <v>15</v>
      </c>
      <c r="U20" s="2">
        <v>0.21</v>
      </c>
      <c r="V20" s="2">
        <v>8</v>
      </c>
      <c r="W20" s="4">
        <v>8.2100000000000009</v>
      </c>
    </row>
    <row r="21" spans="1:23" ht="15.75" customHeight="1" thickBot="1" x14ac:dyDescent="0.3">
      <c r="A21" s="3">
        <v>46761</v>
      </c>
      <c r="B21" s="1" t="s">
        <v>15</v>
      </c>
      <c r="C21" s="39">
        <v>0.2</v>
      </c>
      <c r="D21" s="2">
        <v>10</v>
      </c>
      <c r="E21" s="42">
        <v>10.199999999999999</v>
      </c>
      <c r="F21" s="21"/>
      <c r="G21" s="3">
        <v>46761</v>
      </c>
      <c r="H21" t="s">
        <v>15</v>
      </c>
      <c r="I21" s="2">
        <v>0.2</v>
      </c>
      <c r="J21" s="2">
        <v>10</v>
      </c>
      <c r="K21" s="4">
        <v>10.199999999999999</v>
      </c>
      <c r="L21" s="21"/>
      <c r="M21" s="3">
        <v>46761</v>
      </c>
      <c r="N21" t="s">
        <v>15</v>
      </c>
      <c r="O21" s="2">
        <v>0.42</v>
      </c>
      <c r="P21" s="2">
        <v>8</v>
      </c>
      <c r="Q21" s="4">
        <v>8.42</v>
      </c>
      <c r="S21" s="3">
        <v>46761</v>
      </c>
      <c r="T21" t="s">
        <v>15</v>
      </c>
      <c r="U21" s="2">
        <v>0.42</v>
      </c>
      <c r="V21" s="2">
        <v>8</v>
      </c>
      <c r="W21" s="4">
        <v>8.42</v>
      </c>
    </row>
    <row r="22" spans="1:23" ht="15.75" customHeight="1" thickBot="1" x14ac:dyDescent="0.3">
      <c r="A22" s="3">
        <v>46943</v>
      </c>
      <c r="B22" s="1" t="s">
        <v>15</v>
      </c>
      <c r="C22" s="39">
        <v>0.15</v>
      </c>
      <c r="D22" s="2">
        <v>10</v>
      </c>
      <c r="E22" s="42">
        <v>10.15</v>
      </c>
      <c r="F22" s="21"/>
      <c r="G22" s="3">
        <v>46943</v>
      </c>
      <c r="H22" t="s">
        <v>15</v>
      </c>
      <c r="I22" s="2">
        <v>0.15</v>
      </c>
      <c r="J22" s="2">
        <v>10</v>
      </c>
      <c r="K22" s="4">
        <v>10.15</v>
      </c>
      <c r="L22" s="21"/>
      <c r="M22" s="3">
        <v>46943</v>
      </c>
      <c r="N22" t="s">
        <v>15</v>
      </c>
      <c r="O22" s="2">
        <v>0.35</v>
      </c>
      <c r="P22" s="2">
        <v>8</v>
      </c>
      <c r="Q22" s="4">
        <v>8.35</v>
      </c>
      <c r="S22" s="3">
        <v>46943</v>
      </c>
      <c r="T22" t="s">
        <v>15</v>
      </c>
      <c r="U22" s="2">
        <v>0.35</v>
      </c>
      <c r="V22" s="2">
        <v>8</v>
      </c>
      <c r="W22" s="4">
        <v>8.35</v>
      </c>
    </row>
    <row r="23" spans="1:23" ht="15.75" customHeight="1" thickBot="1" x14ac:dyDescent="0.3">
      <c r="A23" s="3">
        <v>47127</v>
      </c>
      <c r="B23" s="1" t="s">
        <v>15</v>
      </c>
      <c r="C23" s="39">
        <v>0.1</v>
      </c>
      <c r="D23" s="2">
        <v>10</v>
      </c>
      <c r="E23" s="42">
        <v>10.1</v>
      </c>
      <c r="F23" s="21"/>
      <c r="G23" s="3">
        <v>47127</v>
      </c>
      <c r="H23" t="s">
        <v>15</v>
      </c>
      <c r="I23" s="2">
        <v>0.1</v>
      </c>
      <c r="J23" s="2">
        <v>10</v>
      </c>
      <c r="K23" s="4">
        <v>10.1</v>
      </c>
      <c r="L23" s="21"/>
      <c r="M23" s="3">
        <v>47127</v>
      </c>
      <c r="N23" t="s">
        <v>15</v>
      </c>
      <c r="O23" s="2">
        <v>0.28000000000000003</v>
      </c>
      <c r="P23" s="2">
        <v>8</v>
      </c>
      <c r="Q23" s="4">
        <v>8.2799999999999994</v>
      </c>
      <c r="S23" s="3">
        <v>47127</v>
      </c>
      <c r="T23" t="s">
        <v>15</v>
      </c>
      <c r="U23" s="2">
        <v>0.28000000000000003</v>
      </c>
      <c r="V23" s="2">
        <v>8</v>
      </c>
      <c r="W23" s="4">
        <v>8.2799999999999994</v>
      </c>
    </row>
    <row r="24" spans="1:23" ht="15.75" customHeight="1" thickBot="1" x14ac:dyDescent="0.3">
      <c r="A24" s="3">
        <v>47308</v>
      </c>
      <c r="B24" s="1" t="s">
        <v>15</v>
      </c>
      <c r="C24" s="39">
        <v>0.05</v>
      </c>
      <c r="D24" s="2">
        <v>10</v>
      </c>
      <c r="E24" s="42">
        <v>10.050000000000001</v>
      </c>
      <c r="F24" s="21"/>
      <c r="G24" s="3">
        <v>47308</v>
      </c>
      <c r="H24" t="s">
        <v>15</v>
      </c>
      <c r="I24" s="2">
        <v>0.05</v>
      </c>
      <c r="J24" s="2">
        <v>10</v>
      </c>
      <c r="K24" s="4">
        <v>10.050000000000001</v>
      </c>
      <c r="L24" s="21"/>
      <c r="M24" s="3">
        <v>47308</v>
      </c>
      <c r="N24" t="s">
        <v>15</v>
      </c>
      <c r="O24" s="2">
        <v>0.21</v>
      </c>
      <c r="P24" s="2">
        <v>8</v>
      </c>
      <c r="Q24" s="4">
        <v>8.2100000000000009</v>
      </c>
      <c r="S24" s="3">
        <v>47308</v>
      </c>
      <c r="T24" t="s">
        <v>15</v>
      </c>
      <c r="U24" s="2">
        <v>0.21</v>
      </c>
      <c r="V24" s="2">
        <v>8</v>
      </c>
      <c r="W24" s="4">
        <v>8.2100000000000009</v>
      </c>
    </row>
    <row r="25" spans="1:23" ht="15.75" customHeight="1" thickBot="1" x14ac:dyDescent="0.3">
      <c r="A25" s="5"/>
      <c r="B25" s="6"/>
      <c r="C25" s="40">
        <f>SUM(C10:C24)</f>
        <v>5.25</v>
      </c>
      <c r="D25" s="7">
        <f>SUM(D10:D24)</f>
        <v>100</v>
      </c>
      <c r="E25" s="43">
        <f>SUM(E10:E24)</f>
        <v>105.25</v>
      </c>
      <c r="F25" s="21"/>
      <c r="G25" s="9"/>
      <c r="H25" s="6"/>
      <c r="I25" s="7">
        <f>SUM(I10:I24)</f>
        <v>5.25</v>
      </c>
      <c r="J25" s="7">
        <f>SUM(J10:J24)</f>
        <v>100</v>
      </c>
      <c r="K25" s="8">
        <f>SUM(K10:K24)</f>
        <v>105.25</v>
      </c>
      <c r="L25" s="21"/>
      <c r="M25" s="3">
        <v>47492</v>
      </c>
      <c r="N25" t="s">
        <v>15</v>
      </c>
      <c r="O25" s="2">
        <v>0.14000000000000001</v>
      </c>
      <c r="P25" s="2">
        <v>8</v>
      </c>
      <c r="Q25" s="4">
        <v>8.14</v>
      </c>
      <c r="S25" s="3">
        <v>47492</v>
      </c>
      <c r="T25" t="s">
        <v>15</v>
      </c>
      <c r="U25" s="2">
        <v>0.14000000000000001</v>
      </c>
      <c r="V25" s="2">
        <v>8</v>
      </c>
      <c r="W25" s="4">
        <v>8.14</v>
      </c>
    </row>
    <row r="26" spans="1:23" ht="15.75" customHeight="1" thickBot="1" x14ac:dyDescent="0.3">
      <c r="B26" s="21"/>
      <c r="F26" s="21"/>
      <c r="I26" s="21"/>
      <c r="J26" s="21"/>
      <c r="K26" s="21"/>
      <c r="L26" s="21"/>
      <c r="M26" s="3">
        <v>47673</v>
      </c>
      <c r="N26" t="s">
        <v>15</v>
      </c>
      <c r="O26" s="2">
        <v>7.0000000000000007E-2</v>
      </c>
      <c r="P26" s="2">
        <v>8</v>
      </c>
      <c r="Q26" s="4">
        <v>8.07</v>
      </c>
      <c r="S26" s="3">
        <v>47673</v>
      </c>
      <c r="T26" t="s">
        <v>15</v>
      </c>
      <c r="U26" s="2">
        <v>7.0000000000000007E-2</v>
      </c>
      <c r="V26" s="2">
        <v>8</v>
      </c>
      <c r="W26" s="4">
        <v>8.07</v>
      </c>
    </row>
    <row r="27" spans="1:23" ht="15.75" customHeight="1" thickBot="1" x14ac:dyDescent="0.3">
      <c r="B27" s="21"/>
      <c r="F27" s="21"/>
      <c r="G27" s="21"/>
      <c r="H27" s="21"/>
      <c r="I27" s="21"/>
      <c r="J27" s="21"/>
      <c r="K27" s="21"/>
      <c r="L27" s="21"/>
      <c r="M27" s="5"/>
      <c r="N27" s="10"/>
      <c r="O27" s="7">
        <f>SUM(O10:O26)</f>
        <v>4.6899999999999995</v>
      </c>
      <c r="P27" s="7">
        <f>SUM(P10:P26)</f>
        <v>100</v>
      </c>
      <c r="Q27" s="8">
        <f>SUM(Q10:Q26)</f>
        <v>104.69</v>
      </c>
      <c r="S27" s="5"/>
      <c r="T27" s="10"/>
      <c r="U27" s="7">
        <f>SUM(U10:U26)</f>
        <v>4.6899999999999995</v>
      </c>
      <c r="V27" s="7">
        <f>SUM(V10:V26)</f>
        <v>100</v>
      </c>
      <c r="W27" s="8">
        <f>SUM(W10:W26)</f>
        <v>104.69</v>
      </c>
    </row>
    <row r="28" spans="1:23" ht="15.75" customHeight="1" thickBot="1" x14ac:dyDescent="0.3">
      <c r="B28" s="21"/>
      <c r="F28" s="21"/>
      <c r="G28" s="21"/>
      <c r="H28" s="21"/>
      <c r="I28" s="21"/>
      <c r="J28" s="21"/>
      <c r="K28" s="21"/>
      <c r="L28" s="21"/>
      <c r="O28" s="26"/>
      <c r="P28" s="26"/>
      <c r="Q28" s="26"/>
      <c r="U28" s="26"/>
      <c r="V28" s="26"/>
      <c r="W28" s="26"/>
    </row>
    <row r="29" spans="1:23" ht="15.75" customHeight="1" thickBot="1" x14ac:dyDescent="0.35">
      <c r="A29" s="20" t="s">
        <v>16</v>
      </c>
      <c r="B29" s="16"/>
      <c r="C29" s="17" t="s">
        <v>2</v>
      </c>
      <c r="D29" s="17" t="s">
        <v>3</v>
      </c>
      <c r="E29" s="18" t="s">
        <v>4</v>
      </c>
      <c r="F29" s="21"/>
      <c r="G29" s="20" t="s">
        <v>17</v>
      </c>
      <c r="H29" s="16"/>
      <c r="I29" s="17" t="s">
        <v>2</v>
      </c>
      <c r="J29" s="17" t="s">
        <v>3</v>
      </c>
      <c r="K29" s="18" t="s">
        <v>4</v>
      </c>
      <c r="L29" s="21"/>
      <c r="M29" s="20" t="s">
        <v>18</v>
      </c>
      <c r="N29" s="16"/>
      <c r="O29" s="17" t="s">
        <v>2</v>
      </c>
      <c r="P29" s="17" t="s">
        <v>3</v>
      </c>
      <c r="Q29" s="18" t="s">
        <v>4</v>
      </c>
      <c r="U29" s="26"/>
      <c r="V29" s="26"/>
      <c r="W29" s="26"/>
    </row>
    <row r="30" spans="1:23" ht="15.75" customHeight="1" x14ac:dyDescent="0.3">
      <c r="A30" s="31" t="s">
        <v>8</v>
      </c>
      <c r="B30" s="21">
        <v>1</v>
      </c>
      <c r="C30" s="27"/>
      <c r="D30" s="27"/>
      <c r="E30" s="28"/>
      <c r="F30" s="21"/>
      <c r="G30" s="31" t="s">
        <v>8</v>
      </c>
      <c r="H30" s="21">
        <v>0.125</v>
      </c>
      <c r="I30" s="27"/>
      <c r="J30" s="27"/>
      <c r="K30" s="28"/>
      <c r="L30" s="21"/>
      <c r="M30" s="31" t="s">
        <v>8</v>
      </c>
      <c r="N30" s="21">
        <v>1</v>
      </c>
      <c r="O30" s="27"/>
      <c r="P30" s="27"/>
      <c r="Q30" s="28"/>
      <c r="T30" s="26"/>
      <c r="U30" s="26"/>
      <c r="V30" s="26"/>
    </row>
    <row r="31" spans="1:23" ht="19.5" customHeight="1" x14ac:dyDescent="0.3">
      <c r="A31" s="31" t="s">
        <v>9</v>
      </c>
      <c r="B31" s="24">
        <v>44076</v>
      </c>
      <c r="C31" s="27"/>
      <c r="D31" s="27"/>
      <c r="E31" s="28"/>
      <c r="F31" s="21"/>
      <c r="G31" s="31" t="s">
        <v>9</v>
      </c>
      <c r="H31" s="24">
        <v>44076</v>
      </c>
      <c r="I31" s="27"/>
      <c r="J31" s="27"/>
      <c r="K31" s="28"/>
      <c r="M31" s="31" t="s">
        <v>9</v>
      </c>
      <c r="N31" s="24">
        <v>44076</v>
      </c>
      <c r="O31" s="27"/>
      <c r="P31" s="27"/>
      <c r="Q31" s="28"/>
      <c r="T31" s="26"/>
      <c r="U31" s="26"/>
      <c r="V31" s="26"/>
    </row>
    <row r="32" spans="1:23" ht="18.75" customHeight="1" x14ac:dyDescent="0.3">
      <c r="A32" s="31" t="s">
        <v>10</v>
      </c>
      <c r="B32" s="24">
        <v>44570</v>
      </c>
      <c r="C32" s="27"/>
      <c r="D32" s="27"/>
      <c r="E32" s="28"/>
      <c r="F32" s="21"/>
      <c r="G32" s="31" t="s">
        <v>10</v>
      </c>
      <c r="H32" s="24">
        <v>44570</v>
      </c>
      <c r="I32" s="27"/>
      <c r="J32" s="27"/>
      <c r="K32" s="28"/>
      <c r="M32" s="31" t="s">
        <v>10</v>
      </c>
      <c r="N32" s="24">
        <v>44570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11</v>
      </c>
      <c r="B33" s="32">
        <v>1.25E-3</v>
      </c>
      <c r="C33" s="27"/>
      <c r="D33" s="27"/>
      <c r="E33" s="28"/>
      <c r="F33" s="21"/>
      <c r="G33" s="31" t="s">
        <v>11</v>
      </c>
      <c r="H33" s="32">
        <v>1.25E-3</v>
      </c>
      <c r="I33" s="27"/>
      <c r="J33" s="27"/>
      <c r="K33" s="28"/>
      <c r="M33" s="31" t="s">
        <v>11</v>
      </c>
      <c r="N33" s="32">
        <v>1.25E-3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12</v>
      </c>
      <c r="B34" s="21">
        <v>100</v>
      </c>
      <c r="C34" s="27"/>
      <c r="D34" s="27"/>
      <c r="E34" s="28"/>
      <c r="F34" s="21"/>
      <c r="G34" s="31" t="s">
        <v>12</v>
      </c>
      <c r="H34" s="21">
        <v>100</v>
      </c>
      <c r="I34" s="27"/>
      <c r="J34" s="27"/>
      <c r="K34" s="28"/>
      <c r="M34" s="31" t="s">
        <v>12</v>
      </c>
      <c r="N34" s="21">
        <v>100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13</v>
      </c>
      <c r="B35" s="46">
        <f ca="1">B33*DAYS360(B32,TODAY())/360*100</f>
        <v>0.18715277777777778</v>
      </c>
      <c r="C35" s="27"/>
      <c r="D35" s="27"/>
      <c r="E35" s="28"/>
      <c r="F35" s="21"/>
      <c r="G35" s="31" t="s">
        <v>13</v>
      </c>
      <c r="H35" s="46">
        <f ca="1">H33*DAYS360(H32,TODAY())/360*100</f>
        <v>0.18715277777777778</v>
      </c>
      <c r="I35" s="27"/>
      <c r="J35" s="27"/>
      <c r="K35" s="28"/>
      <c r="M35" s="31" t="s">
        <v>13</v>
      </c>
      <c r="N35" s="46">
        <f ca="1">N33*DAYS360(N31,TODAY())/360*100</f>
        <v>0.35625000000000001</v>
      </c>
      <c r="O35" s="27"/>
      <c r="P35" s="27"/>
      <c r="Q35" s="28"/>
      <c r="T35" s="26"/>
      <c r="U35" s="26"/>
      <c r="V35" s="26"/>
    </row>
    <row r="36" spans="1:22" ht="18.75" customHeight="1" thickBot="1" x14ac:dyDescent="0.35">
      <c r="A36" s="31" t="s">
        <v>14</v>
      </c>
      <c r="B36" s="46">
        <f ca="1">B34+B35</f>
        <v>100.18715277777778</v>
      </c>
      <c r="C36" s="27"/>
      <c r="D36" s="27"/>
      <c r="E36" s="28"/>
      <c r="F36" s="21"/>
      <c r="G36" s="31" t="s">
        <v>14</v>
      </c>
      <c r="H36" s="46">
        <f ca="1">H34+H35</f>
        <v>100.18715277777778</v>
      </c>
      <c r="I36" s="27"/>
      <c r="J36" s="27"/>
      <c r="K36" s="28"/>
      <c r="M36" s="31" t="s">
        <v>14</v>
      </c>
      <c r="N36" s="46">
        <f ca="1">N34+N35</f>
        <v>100.35625</v>
      </c>
      <c r="O36" s="27"/>
      <c r="P36" s="27"/>
      <c r="Q36" s="28"/>
      <c r="T36" s="26"/>
      <c r="U36" s="26"/>
      <c r="V36" s="26"/>
    </row>
    <row r="37" spans="1:22" ht="18.75" customHeight="1" thickBot="1" x14ac:dyDescent="0.3">
      <c r="A37" s="3">
        <v>44751</v>
      </c>
      <c r="B37" s="1" t="s">
        <v>15</v>
      </c>
      <c r="C37" s="2">
        <v>0.56000000000000005</v>
      </c>
      <c r="D37" s="2">
        <v>0</v>
      </c>
      <c r="E37" s="4">
        <v>0.56000000000000005</v>
      </c>
      <c r="F37" s="21"/>
      <c r="G37" s="3">
        <v>44751</v>
      </c>
      <c r="H37" s="1" t="s">
        <v>15</v>
      </c>
      <c r="I37" s="2">
        <v>1</v>
      </c>
      <c r="J37" s="2">
        <v>0</v>
      </c>
      <c r="K37" s="4">
        <v>1</v>
      </c>
      <c r="M37" s="3">
        <v>44751</v>
      </c>
      <c r="N37" s="1" t="s">
        <v>15</v>
      </c>
      <c r="O37" s="2">
        <v>1.25</v>
      </c>
      <c r="P37" s="2">
        <v>0</v>
      </c>
      <c r="Q37" s="4">
        <v>1.25</v>
      </c>
      <c r="T37" s="26"/>
      <c r="U37" s="26"/>
      <c r="V37" s="26"/>
    </row>
    <row r="38" spans="1:22" ht="19.5" customHeight="1" thickBot="1" x14ac:dyDescent="0.3">
      <c r="A38" s="3">
        <v>44935</v>
      </c>
      <c r="B38" s="1" t="s">
        <v>15</v>
      </c>
      <c r="C38" s="2">
        <v>0.75</v>
      </c>
      <c r="D38" s="2">
        <v>0</v>
      </c>
      <c r="E38" s="4">
        <v>0.75</v>
      </c>
      <c r="F38" s="21"/>
      <c r="G38" s="3">
        <v>44935</v>
      </c>
      <c r="H38" s="1" t="s">
        <v>15</v>
      </c>
      <c r="I38" s="2">
        <v>1.94</v>
      </c>
      <c r="J38" s="2">
        <v>0</v>
      </c>
      <c r="K38" s="4">
        <v>1.94</v>
      </c>
      <c r="M38" s="3">
        <v>44935</v>
      </c>
      <c r="N38" s="1" t="s">
        <v>15</v>
      </c>
      <c r="O38" s="2">
        <v>1.75</v>
      </c>
      <c r="P38" s="2">
        <v>0</v>
      </c>
      <c r="Q38" s="4">
        <v>1.75</v>
      </c>
      <c r="T38" s="26"/>
      <c r="U38" s="26"/>
      <c r="V38" s="26"/>
    </row>
    <row r="39" spans="1:22" ht="15.75" customHeight="1" thickBot="1" x14ac:dyDescent="0.3">
      <c r="A39" s="3">
        <v>45116</v>
      </c>
      <c r="B39" s="1" t="s">
        <v>15</v>
      </c>
      <c r="C39" s="2">
        <v>0.75</v>
      </c>
      <c r="D39" s="2">
        <v>0</v>
      </c>
      <c r="E39" s="4">
        <v>0.75</v>
      </c>
      <c r="F39" s="21"/>
      <c r="G39" s="3">
        <v>45116</v>
      </c>
      <c r="H39" s="1" t="s">
        <v>15</v>
      </c>
      <c r="I39" s="2">
        <v>1.94</v>
      </c>
      <c r="J39" s="2">
        <v>0</v>
      </c>
      <c r="K39" s="4">
        <v>1.94</v>
      </c>
      <c r="M39" s="3">
        <v>45116</v>
      </c>
      <c r="N39" s="1" t="s">
        <v>15</v>
      </c>
      <c r="O39" s="2">
        <v>1.75</v>
      </c>
      <c r="P39" s="2">
        <v>0</v>
      </c>
      <c r="Q39" s="4">
        <v>1.75</v>
      </c>
      <c r="T39" s="26"/>
      <c r="U39" s="26"/>
      <c r="V39" s="26"/>
    </row>
    <row r="40" spans="1:22" ht="15.75" customHeight="1" thickBot="1" x14ac:dyDescent="0.3">
      <c r="A40" s="3">
        <v>45300</v>
      </c>
      <c r="B40" s="1" t="s">
        <v>15</v>
      </c>
      <c r="C40" s="2">
        <v>1.81</v>
      </c>
      <c r="D40" s="2">
        <v>0</v>
      </c>
      <c r="E40" s="4">
        <v>1.81</v>
      </c>
      <c r="F40" s="21"/>
      <c r="G40" s="3">
        <v>45300</v>
      </c>
      <c r="H40" s="1" t="s">
        <v>15</v>
      </c>
      <c r="I40" s="2">
        <v>2.12</v>
      </c>
      <c r="J40" s="2">
        <v>0</v>
      </c>
      <c r="K40" s="4">
        <v>2.12</v>
      </c>
      <c r="M40" s="3">
        <v>45300</v>
      </c>
      <c r="N40" s="1" t="s">
        <v>15</v>
      </c>
      <c r="O40" s="2">
        <v>1.75</v>
      </c>
      <c r="P40" s="2">
        <v>0</v>
      </c>
      <c r="Q40" s="4">
        <v>1.75</v>
      </c>
      <c r="T40" s="26"/>
      <c r="U40" s="26"/>
      <c r="V40" s="26"/>
    </row>
    <row r="41" spans="1:22" ht="15.75" customHeight="1" thickBot="1" x14ac:dyDescent="0.3">
      <c r="A41" s="3">
        <v>45482</v>
      </c>
      <c r="B41" s="1" t="s">
        <v>15</v>
      </c>
      <c r="C41" s="2">
        <v>1.81</v>
      </c>
      <c r="D41" s="2">
        <v>0</v>
      </c>
      <c r="E41" s="4">
        <v>1.81</v>
      </c>
      <c r="F41" s="21"/>
      <c r="G41" s="3">
        <v>45482</v>
      </c>
      <c r="H41" s="1" t="s">
        <v>15</v>
      </c>
      <c r="I41" s="2">
        <v>2.12</v>
      </c>
      <c r="J41" s="2">
        <v>0</v>
      </c>
      <c r="K41" s="4">
        <v>2.12</v>
      </c>
      <c r="M41" s="3">
        <v>45482</v>
      </c>
      <c r="N41" s="1" t="s">
        <v>15</v>
      </c>
      <c r="O41" s="2">
        <v>1.75</v>
      </c>
      <c r="P41" s="2">
        <v>0</v>
      </c>
      <c r="Q41" s="4">
        <v>1.75</v>
      </c>
      <c r="T41" s="26"/>
      <c r="U41" s="26"/>
      <c r="V41" s="26"/>
    </row>
    <row r="42" spans="1:22" ht="15.75" customHeight="1" thickBot="1" x14ac:dyDescent="0.3">
      <c r="A42" s="3">
        <v>45666</v>
      </c>
      <c r="B42" s="1" t="s">
        <v>15</v>
      </c>
      <c r="C42" s="2">
        <v>2.06</v>
      </c>
      <c r="D42" s="2">
        <v>0</v>
      </c>
      <c r="E42" s="4">
        <v>2.06</v>
      </c>
      <c r="F42" s="21"/>
      <c r="G42" s="3">
        <v>45666</v>
      </c>
      <c r="H42" s="1" t="s">
        <v>15</v>
      </c>
      <c r="I42" s="2">
        <v>2.5</v>
      </c>
      <c r="J42" s="2">
        <v>0</v>
      </c>
      <c r="K42" s="4">
        <v>2.5</v>
      </c>
      <c r="M42" s="3">
        <v>45666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45847</v>
      </c>
      <c r="B43" s="1" t="s">
        <v>15</v>
      </c>
      <c r="C43" s="2">
        <v>2.06</v>
      </c>
      <c r="D43" s="2">
        <v>0</v>
      </c>
      <c r="E43" s="4">
        <v>2.06</v>
      </c>
      <c r="F43" s="21"/>
      <c r="G43" s="3">
        <v>45847</v>
      </c>
      <c r="H43" s="1" t="s">
        <v>15</v>
      </c>
      <c r="I43" s="2">
        <v>2.5</v>
      </c>
      <c r="J43" s="2">
        <v>0</v>
      </c>
      <c r="K43" s="4">
        <v>2.5</v>
      </c>
      <c r="M43" s="3">
        <v>45847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46031</v>
      </c>
      <c r="B44" s="1" t="s">
        <v>15</v>
      </c>
      <c r="C44" s="2">
        <v>2.06</v>
      </c>
      <c r="D44" s="2">
        <v>0</v>
      </c>
      <c r="E44" s="4">
        <v>2.06</v>
      </c>
      <c r="F44" s="21"/>
      <c r="G44" s="3">
        <v>46031</v>
      </c>
      <c r="H44" s="1" t="s">
        <v>15</v>
      </c>
      <c r="I44" s="2">
        <v>2.5</v>
      </c>
      <c r="J44" s="2">
        <v>0</v>
      </c>
      <c r="K44" s="4">
        <v>2.5</v>
      </c>
      <c r="M44" s="3">
        <v>46031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46212</v>
      </c>
      <c r="B45" s="1" t="s">
        <v>15</v>
      </c>
      <c r="C45" s="2">
        <v>2.06</v>
      </c>
      <c r="D45" s="2">
        <v>0</v>
      </c>
      <c r="E45" s="4">
        <v>2.06</v>
      </c>
      <c r="F45" s="21"/>
      <c r="G45" s="3">
        <v>46212</v>
      </c>
      <c r="H45" s="1" t="s">
        <v>15</v>
      </c>
      <c r="I45" s="2">
        <v>2.5</v>
      </c>
      <c r="J45" s="2">
        <v>0</v>
      </c>
      <c r="K45" s="4">
        <v>2.5</v>
      </c>
      <c r="M45" s="3">
        <v>46212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46396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46396</v>
      </c>
      <c r="H46" s="1" t="s">
        <v>15</v>
      </c>
      <c r="I46" s="2">
        <v>2.5</v>
      </c>
      <c r="J46" s="2">
        <v>0</v>
      </c>
      <c r="K46" s="4">
        <v>2.5</v>
      </c>
      <c r="M46" s="3">
        <v>46396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46577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46577</v>
      </c>
      <c r="H47" s="1" t="s">
        <v>15</v>
      </c>
      <c r="I47" s="2">
        <v>2.5</v>
      </c>
      <c r="J47" s="2">
        <v>4.55</v>
      </c>
      <c r="K47" s="4">
        <v>7.05</v>
      </c>
      <c r="M47" s="3">
        <v>46577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46761</v>
      </c>
      <c r="B48" s="1" t="s">
        <v>15</v>
      </c>
      <c r="C48" s="2">
        <v>2.38</v>
      </c>
      <c r="D48" s="2">
        <v>0</v>
      </c>
      <c r="E48" s="4">
        <v>2.38</v>
      </c>
      <c r="F48" s="21"/>
      <c r="G48" s="3">
        <v>46761</v>
      </c>
      <c r="H48" s="1" t="s">
        <v>15</v>
      </c>
      <c r="I48" s="2">
        <v>2.39</v>
      </c>
      <c r="J48" s="2">
        <v>4.55</v>
      </c>
      <c r="K48" s="4">
        <v>6.94</v>
      </c>
      <c r="M48" s="3">
        <v>46761</v>
      </c>
      <c r="N48" s="1" t="s">
        <v>15</v>
      </c>
      <c r="O48" s="2">
        <v>1.75</v>
      </c>
      <c r="P48" s="2">
        <v>3.57</v>
      </c>
      <c r="Q48" s="4">
        <v>5.32</v>
      </c>
      <c r="T48" s="26"/>
      <c r="U48" s="26"/>
      <c r="V48" s="26"/>
    </row>
    <row r="49" spans="1:23" ht="15.75" customHeight="1" thickBot="1" x14ac:dyDescent="0.3">
      <c r="A49" s="3">
        <v>46943</v>
      </c>
      <c r="B49" s="1" t="s">
        <v>15</v>
      </c>
      <c r="C49" s="2">
        <v>2.38</v>
      </c>
      <c r="D49" s="2">
        <v>0</v>
      </c>
      <c r="E49" s="4">
        <v>2.38</v>
      </c>
      <c r="F49" s="21"/>
      <c r="G49" s="3">
        <v>46943</v>
      </c>
      <c r="H49" s="1" t="s">
        <v>15</v>
      </c>
      <c r="I49" s="2">
        <v>2.27</v>
      </c>
      <c r="J49" s="2">
        <v>4.55</v>
      </c>
      <c r="K49" s="4">
        <v>6.82</v>
      </c>
      <c r="M49" s="3">
        <v>46943</v>
      </c>
      <c r="N49" s="1" t="s">
        <v>15</v>
      </c>
      <c r="O49" s="2">
        <v>1.69</v>
      </c>
      <c r="P49" s="2">
        <v>3.57</v>
      </c>
      <c r="Q49" s="4">
        <v>5.26</v>
      </c>
      <c r="T49" s="26"/>
      <c r="U49" s="26"/>
      <c r="V49" s="26"/>
    </row>
    <row r="50" spans="1:23" ht="15.75" customHeight="1" thickBot="1" x14ac:dyDescent="0.3">
      <c r="A50" s="3">
        <v>47127</v>
      </c>
      <c r="B50" s="1" t="s">
        <v>15</v>
      </c>
      <c r="C50" s="2">
        <v>2.5</v>
      </c>
      <c r="D50" s="2">
        <v>0</v>
      </c>
      <c r="E50" s="4">
        <v>2.5</v>
      </c>
      <c r="F50" s="21"/>
      <c r="G50" s="3">
        <v>47127</v>
      </c>
      <c r="H50" s="1" t="s">
        <v>15</v>
      </c>
      <c r="I50" s="2">
        <v>2.16</v>
      </c>
      <c r="J50" s="2">
        <v>4.55</v>
      </c>
      <c r="K50" s="4">
        <v>6.71</v>
      </c>
      <c r="M50" s="3">
        <v>47127</v>
      </c>
      <c r="N50" s="1" t="s">
        <v>15</v>
      </c>
      <c r="O50" s="2">
        <v>1.63</v>
      </c>
      <c r="P50" s="2">
        <v>3.57</v>
      </c>
      <c r="Q50" s="4">
        <v>5.2</v>
      </c>
      <c r="T50" s="26"/>
      <c r="U50" s="26"/>
      <c r="V50" s="26"/>
    </row>
    <row r="51" spans="1:23" ht="15.75" customHeight="1" thickBot="1" x14ac:dyDescent="0.3">
      <c r="A51" s="3">
        <v>47308</v>
      </c>
      <c r="B51" s="1" t="s">
        <v>15</v>
      </c>
      <c r="C51" s="2">
        <v>2.5</v>
      </c>
      <c r="D51" s="2">
        <v>0</v>
      </c>
      <c r="E51" s="4">
        <v>2.5</v>
      </c>
      <c r="F51" s="21"/>
      <c r="G51" s="3">
        <v>47308</v>
      </c>
      <c r="H51" s="1" t="s">
        <v>15</v>
      </c>
      <c r="I51" s="2">
        <v>2.0499999999999998</v>
      </c>
      <c r="J51" s="2">
        <v>4.55</v>
      </c>
      <c r="K51" s="4">
        <v>6.6</v>
      </c>
      <c r="M51" s="3">
        <v>47308</v>
      </c>
      <c r="N51" s="1" t="s">
        <v>15</v>
      </c>
      <c r="O51" s="2">
        <v>1.56</v>
      </c>
      <c r="P51" s="2">
        <v>3.57</v>
      </c>
      <c r="Q51" s="4">
        <v>5.13</v>
      </c>
      <c r="T51" s="26"/>
      <c r="U51" s="26"/>
      <c r="V51" s="26"/>
    </row>
    <row r="52" spans="1:23" ht="15.75" customHeight="1" thickBot="1" x14ac:dyDescent="0.3">
      <c r="A52" s="3">
        <v>47492</v>
      </c>
      <c r="B52" s="1" t="s">
        <v>15</v>
      </c>
      <c r="C52" s="2">
        <v>2.5</v>
      </c>
      <c r="D52" s="2">
        <v>0</v>
      </c>
      <c r="E52" s="4">
        <v>2.5</v>
      </c>
      <c r="F52" s="21"/>
      <c r="G52" s="3">
        <v>47492</v>
      </c>
      <c r="H52" s="1" t="s">
        <v>15</v>
      </c>
      <c r="I52" s="2">
        <v>1.93</v>
      </c>
      <c r="J52" s="2">
        <v>4.55</v>
      </c>
      <c r="K52" s="4">
        <v>6.48</v>
      </c>
      <c r="M52" s="3">
        <v>47492</v>
      </c>
      <c r="N52" s="1" t="s">
        <v>15</v>
      </c>
      <c r="O52" s="2">
        <v>2.09</v>
      </c>
      <c r="P52" s="2">
        <v>3.57</v>
      </c>
      <c r="Q52" s="4">
        <v>5.66</v>
      </c>
      <c r="T52" s="26"/>
      <c r="U52" s="26"/>
      <c r="V52" s="26"/>
    </row>
    <row r="53" spans="1:23" ht="15.75" customHeight="1" thickBot="1" x14ac:dyDescent="0.3">
      <c r="A53" s="3">
        <v>47673</v>
      </c>
      <c r="B53" s="1" t="s">
        <v>15</v>
      </c>
      <c r="C53" s="2">
        <v>2.5</v>
      </c>
      <c r="D53" s="2">
        <v>0</v>
      </c>
      <c r="E53" s="4">
        <v>2.5</v>
      </c>
      <c r="F53" s="21"/>
      <c r="G53" s="3">
        <v>47673</v>
      </c>
      <c r="H53" s="1" t="s">
        <v>15</v>
      </c>
      <c r="I53" s="2">
        <v>1.82</v>
      </c>
      <c r="J53" s="2">
        <v>4.55</v>
      </c>
      <c r="K53" s="4">
        <v>6.37</v>
      </c>
      <c r="M53" s="3">
        <v>47673</v>
      </c>
      <c r="N53" s="1" t="s">
        <v>15</v>
      </c>
      <c r="O53" s="2">
        <v>2</v>
      </c>
      <c r="P53" s="2">
        <v>3.57</v>
      </c>
      <c r="Q53" s="4">
        <v>5.57</v>
      </c>
      <c r="T53" s="26"/>
      <c r="U53" s="26"/>
      <c r="V53" s="26"/>
    </row>
    <row r="54" spans="1:23" ht="15.75" customHeight="1" thickBot="1" x14ac:dyDescent="0.3">
      <c r="A54" s="3">
        <v>47857</v>
      </c>
      <c r="B54" s="1" t="s">
        <v>15</v>
      </c>
      <c r="C54" s="2">
        <v>2.5</v>
      </c>
      <c r="D54" s="2">
        <v>10</v>
      </c>
      <c r="E54" s="4">
        <v>12.5</v>
      </c>
      <c r="F54" s="21"/>
      <c r="G54" s="3">
        <v>47857</v>
      </c>
      <c r="H54" s="1" t="s">
        <v>15</v>
      </c>
      <c r="I54" s="2">
        <v>1.7</v>
      </c>
      <c r="J54" s="2">
        <v>4.55</v>
      </c>
      <c r="K54" s="4">
        <v>6.25</v>
      </c>
      <c r="M54" s="3">
        <v>47857</v>
      </c>
      <c r="N54" s="1" t="s">
        <v>15</v>
      </c>
      <c r="O54" s="2">
        <v>1.92</v>
      </c>
      <c r="P54" s="2">
        <v>3.57</v>
      </c>
      <c r="Q54" s="4">
        <v>5.49</v>
      </c>
      <c r="T54" s="26"/>
      <c r="U54" s="26"/>
      <c r="V54" s="26"/>
    </row>
    <row r="55" spans="1:23" ht="15.75" customHeight="1" thickBot="1" x14ac:dyDescent="0.3">
      <c r="A55" s="3">
        <v>48038</v>
      </c>
      <c r="B55" s="1" t="s">
        <v>15</v>
      </c>
      <c r="C55" s="2">
        <v>2.25</v>
      </c>
      <c r="D55" s="2">
        <v>10</v>
      </c>
      <c r="E55" s="4">
        <v>12.25</v>
      </c>
      <c r="F55" s="21"/>
      <c r="G55" s="3">
        <v>48038</v>
      </c>
      <c r="H55" s="1" t="s">
        <v>15</v>
      </c>
      <c r="I55" s="2">
        <v>1.59</v>
      </c>
      <c r="J55" s="2">
        <v>4.55</v>
      </c>
      <c r="K55" s="4">
        <v>6.14</v>
      </c>
      <c r="M55" s="3">
        <v>48038</v>
      </c>
      <c r="N55" s="1" t="s">
        <v>15</v>
      </c>
      <c r="O55" s="2">
        <v>1.83</v>
      </c>
      <c r="P55" s="2">
        <v>3.57</v>
      </c>
      <c r="Q55" s="4">
        <v>5.4</v>
      </c>
      <c r="T55" s="26"/>
      <c r="U55" s="26"/>
      <c r="V55" s="26"/>
    </row>
    <row r="56" spans="1:23" ht="15.75" customHeight="1" thickBot="1" x14ac:dyDescent="0.3">
      <c r="A56" s="3">
        <v>48222</v>
      </c>
      <c r="B56" s="1" t="s">
        <v>15</v>
      </c>
      <c r="C56" s="2">
        <v>2</v>
      </c>
      <c r="D56" s="2">
        <v>10</v>
      </c>
      <c r="E56" s="4">
        <v>12</v>
      </c>
      <c r="F56" s="21"/>
      <c r="G56" s="3">
        <v>48222</v>
      </c>
      <c r="H56" s="1" t="s">
        <v>15</v>
      </c>
      <c r="I56" s="2">
        <v>1.48</v>
      </c>
      <c r="J56" s="2">
        <v>4.55</v>
      </c>
      <c r="K56" s="4">
        <v>6.03</v>
      </c>
      <c r="M56" s="3">
        <v>48222</v>
      </c>
      <c r="N56" s="1" t="s">
        <v>15</v>
      </c>
      <c r="O56" s="2">
        <v>1.74</v>
      </c>
      <c r="P56" s="2">
        <v>3.57</v>
      </c>
      <c r="Q56" s="4">
        <v>5.31</v>
      </c>
      <c r="T56" s="26"/>
      <c r="U56" s="26"/>
      <c r="V56" s="26"/>
    </row>
    <row r="57" spans="1:23" ht="15.75" customHeight="1" thickBot="1" x14ac:dyDescent="0.3">
      <c r="A57" s="3">
        <v>48404</v>
      </c>
      <c r="B57" s="1" t="s">
        <v>15</v>
      </c>
      <c r="C57" s="2">
        <v>1.75</v>
      </c>
      <c r="D57" s="2">
        <v>10</v>
      </c>
      <c r="E57" s="4">
        <v>11.75</v>
      </c>
      <c r="F57" s="21"/>
      <c r="G57" s="3">
        <v>48404</v>
      </c>
      <c r="H57" s="1" t="s">
        <v>15</v>
      </c>
      <c r="I57" s="2">
        <v>1.36</v>
      </c>
      <c r="J57" s="2">
        <v>4.55</v>
      </c>
      <c r="K57" s="4">
        <v>5.91</v>
      </c>
      <c r="L57" s="21"/>
      <c r="M57" s="3">
        <v>48404</v>
      </c>
      <c r="N57" s="1" t="s">
        <v>15</v>
      </c>
      <c r="O57" s="2">
        <v>1.65</v>
      </c>
      <c r="P57" s="2">
        <v>3.57</v>
      </c>
      <c r="Q57" s="4">
        <v>5.22</v>
      </c>
      <c r="T57" s="26"/>
      <c r="U57" s="26"/>
      <c r="V57" s="26"/>
    </row>
    <row r="58" spans="1:23" ht="15.75" customHeight="1" thickBot="1" x14ac:dyDescent="0.3">
      <c r="A58" s="3">
        <v>48588</v>
      </c>
      <c r="B58" s="1" t="s">
        <v>15</v>
      </c>
      <c r="C58" s="2">
        <v>1.5</v>
      </c>
      <c r="D58" s="2">
        <v>10</v>
      </c>
      <c r="E58" s="4">
        <v>11.5</v>
      </c>
      <c r="F58" s="21"/>
      <c r="G58" s="3">
        <v>48588</v>
      </c>
      <c r="H58" s="1" t="s">
        <v>15</v>
      </c>
      <c r="I58" s="2">
        <v>1.25</v>
      </c>
      <c r="J58" s="2">
        <v>4.55</v>
      </c>
      <c r="K58" s="4">
        <v>5.8</v>
      </c>
      <c r="L58" s="21"/>
      <c r="M58" s="3">
        <v>48588</v>
      </c>
      <c r="N58" s="1" t="s">
        <v>15</v>
      </c>
      <c r="O58" s="2">
        <v>1.57</v>
      </c>
      <c r="P58" s="2">
        <v>3.57</v>
      </c>
      <c r="Q58" s="4">
        <v>5.14</v>
      </c>
      <c r="U58" s="26"/>
      <c r="V58" s="26"/>
      <c r="W58" s="26"/>
    </row>
    <row r="59" spans="1:23" ht="15.75" customHeight="1" thickBot="1" x14ac:dyDescent="0.3">
      <c r="A59" s="3">
        <v>48769</v>
      </c>
      <c r="B59" s="1" t="s">
        <v>15</v>
      </c>
      <c r="C59" s="2">
        <v>1.25</v>
      </c>
      <c r="D59" s="2">
        <v>10</v>
      </c>
      <c r="E59" s="4">
        <v>11.25</v>
      </c>
      <c r="F59" s="21"/>
      <c r="G59" s="3">
        <v>48769</v>
      </c>
      <c r="H59" s="1" t="s">
        <v>15</v>
      </c>
      <c r="I59" s="2">
        <v>1.1399999999999999</v>
      </c>
      <c r="J59" s="2">
        <v>4.55</v>
      </c>
      <c r="K59" s="4">
        <v>5.69</v>
      </c>
      <c r="L59" s="21"/>
      <c r="M59" s="3">
        <v>48769</v>
      </c>
      <c r="N59" s="1" t="s">
        <v>15</v>
      </c>
      <c r="O59" s="2">
        <v>1.48</v>
      </c>
      <c r="P59" s="2">
        <v>3.57</v>
      </c>
      <c r="Q59" s="4">
        <v>5.05</v>
      </c>
      <c r="U59" s="26"/>
      <c r="V59" s="26"/>
      <c r="W59" s="26"/>
    </row>
    <row r="60" spans="1:23" ht="15.75" customHeight="1" thickBot="1" x14ac:dyDescent="0.3">
      <c r="A60" s="3">
        <v>48953</v>
      </c>
      <c r="B60" s="1" t="s">
        <v>15</v>
      </c>
      <c r="C60" s="2">
        <v>1</v>
      </c>
      <c r="D60" s="2">
        <v>10</v>
      </c>
      <c r="E60" s="4">
        <v>11</v>
      </c>
      <c r="F60" s="21"/>
      <c r="G60" s="3">
        <v>48953</v>
      </c>
      <c r="H60" s="1" t="s">
        <v>15</v>
      </c>
      <c r="I60" s="2">
        <v>1.02</v>
      </c>
      <c r="J60" s="2">
        <v>4.55</v>
      </c>
      <c r="K60" s="4">
        <v>5.57</v>
      </c>
      <c r="L60" s="21"/>
      <c r="M60" s="3">
        <v>48953</v>
      </c>
      <c r="N60" s="1" t="s">
        <v>15</v>
      </c>
      <c r="O60" s="2">
        <v>1.39</v>
      </c>
      <c r="P60" s="2">
        <v>3.57</v>
      </c>
      <c r="Q60" s="4">
        <v>4.96</v>
      </c>
      <c r="U60" s="26"/>
      <c r="V60" s="26"/>
      <c r="W60" s="26"/>
    </row>
    <row r="61" spans="1:23" ht="15.75" customHeight="1" thickBot="1" x14ac:dyDescent="0.3">
      <c r="A61" s="3">
        <v>49134</v>
      </c>
      <c r="B61" s="1" t="s">
        <v>15</v>
      </c>
      <c r="C61" s="2">
        <v>0.75</v>
      </c>
      <c r="D61" s="2">
        <v>10</v>
      </c>
      <c r="E61" s="4">
        <v>10.75</v>
      </c>
      <c r="F61" s="21"/>
      <c r="G61" s="3">
        <v>49134</v>
      </c>
      <c r="H61" s="1" t="s">
        <v>15</v>
      </c>
      <c r="I61" s="2">
        <v>0.91</v>
      </c>
      <c r="J61" s="2">
        <v>4.55</v>
      </c>
      <c r="K61" s="4">
        <v>5.46</v>
      </c>
      <c r="L61" s="21"/>
      <c r="M61" s="3">
        <v>49134</v>
      </c>
      <c r="N61" s="1" t="s">
        <v>15</v>
      </c>
      <c r="O61" s="2">
        <v>1.31</v>
      </c>
      <c r="P61" s="2">
        <v>3.57</v>
      </c>
      <c r="Q61" s="4">
        <v>4.88</v>
      </c>
      <c r="U61" s="26"/>
      <c r="V61" s="26"/>
      <c r="W61" s="26"/>
    </row>
    <row r="62" spans="1:23" ht="15.75" customHeight="1" thickBot="1" x14ac:dyDescent="0.3">
      <c r="A62" s="3">
        <v>49318</v>
      </c>
      <c r="B62" s="1" t="s">
        <v>15</v>
      </c>
      <c r="C62" s="2">
        <v>0.5</v>
      </c>
      <c r="D62" s="2">
        <v>10</v>
      </c>
      <c r="E62" s="4">
        <v>10.5</v>
      </c>
      <c r="F62" s="21"/>
      <c r="G62" s="3">
        <v>49318</v>
      </c>
      <c r="H62" s="1" t="s">
        <v>15</v>
      </c>
      <c r="I62" s="2">
        <v>0.8</v>
      </c>
      <c r="J62" s="2">
        <v>4.55</v>
      </c>
      <c r="K62" s="4">
        <v>5.35</v>
      </c>
      <c r="L62" s="21"/>
      <c r="M62" s="3">
        <v>49318</v>
      </c>
      <c r="N62" s="1" t="s">
        <v>15</v>
      </c>
      <c r="O62" s="2">
        <v>1.22</v>
      </c>
      <c r="P62" s="2">
        <v>3.57</v>
      </c>
      <c r="Q62" s="4">
        <v>4.79</v>
      </c>
      <c r="U62" s="26"/>
      <c r="V62" s="26"/>
      <c r="W62" s="26"/>
    </row>
    <row r="63" spans="1:23" ht="15.75" customHeight="1" thickBot="1" x14ac:dyDescent="0.3">
      <c r="A63" s="3">
        <v>49499</v>
      </c>
      <c r="B63" s="1" t="s">
        <v>15</v>
      </c>
      <c r="C63" s="2">
        <v>0.25</v>
      </c>
      <c r="D63" s="2">
        <v>10</v>
      </c>
      <c r="E63" s="4">
        <v>10.25</v>
      </c>
      <c r="F63" s="21"/>
      <c r="G63" s="3">
        <v>49499</v>
      </c>
      <c r="H63" s="1" t="s">
        <v>15</v>
      </c>
      <c r="I63" s="2">
        <v>0.68</v>
      </c>
      <c r="J63" s="2">
        <v>4.55</v>
      </c>
      <c r="K63" s="4">
        <v>5.23</v>
      </c>
      <c r="L63" s="21"/>
      <c r="M63" s="3">
        <v>49499</v>
      </c>
      <c r="N63" s="1" t="s">
        <v>15</v>
      </c>
      <c r="O63" s="2">
        <v>1.1299999999999999</v>
      </c>
      <c r="P63" s="2">
        <v>3.57</v>
      </c>
      <c r="Q63" s="4">
        <v>4.7</v>
      </c>
      <c r="U63" s="26"/>
      <c r="V63" s="26"/>
      <c r="W63" s="26"/>
    </row>
    <row r="64" spans="1:23" ht="15.75" customHeight="1" thickBot="1" x14ac:dyDescent="0.3">
      <c r="A64" s="5"/>
      <c r="B64" s="6"/>
      <c r="C64" s="7">
        <f>SUM(C37:C63)</f>
        <v>46.55</v>
      </c>
      <c r="D64" s="7">
        <f>SUM(D37:D63)</f>
        <v>100</v>
      </c>
      <c r="E64" s="8">
        <f>SUM(E37:E63)</f>
        <v>146.55000000000001</v>
      </c>
      <c r="F64" s="21"/>
      <c r="G64" s="3">
        <v>49683</v>
      </c>
      <c r="H64" s="1" t="s">
        <v>15</v>
      </c>
      <c r="I64" s="2">
        <v>0.56999999999999995</v>
      </c>
      <c r="J64" s="2">
        <v>4.55</v>
      </c>
      <c r="K64" s="4">
        <v>5.12</v>
      </c>
      <c r="L64" s="21"/>
      <c r="M64" s="3">
        <v>49683</v>
      </c>
      <c r="N64" s="1" t="s">
        <v>15</v>
      </c>
      <c r="O64" s="2">
        <v>1.04</v>
      </c>
      <c r="P64" s="2">
        <v>3.57</v>
      </c>
      <c r="Q64" s="4">
        <v>4.6100000000000003</v>
      </c>
      <c r="U64" s="26"/>
      <c r="V64" s="26"/>
      <c r="W64" s="26"/>
    </row>
    <row r="65" spans="2:23" ht="15.75" customHeight="1" thickBot="1" x14ac:dyDescent="0.3">
      <c r="B65" s="21"/>
      <c r="F65" s="21"/>
      <c r="G65" s="3">
        <v>49865</v>
      </c>
      <c r="H65" s="1" t="s">
        <v>15</v>
      </c>
      <c r="I65" s="2">
        <v>0.45</v>
      </c>
      <c r="J65" s="2">
        <v>4.55</v>
      </c>
      <c r="K65" s="4">
        <v>5</v>
      </c>
      <c r="L65" s="21"/>
      <c r="M65" s="3">
        <v>49865</v>
      </c>
      <c r="N65" s="1" t="s">
        <v>15</v>
      </c>
      <c r="O65" s="2">
        <v>0.96</v>
      </c>
      <c r="P65" s="2">
        <v>3.57</v>
      </c>
      <c r="Q65" s="4">
        <v>4.53</v>
      </c>
      <c r="U65" s="26"/>
      <c r="V65" s="26"/>
      <c r="W65" s="26"/>
    </row>
    <row r="66" spans="2:23" ht="15.75" customHeight="1" thickBot="1" x14ac:dyDescent="0.3">
      <c r="B66" s="21"/>
      <c r="F66" s="21"/>
      <c r="G66" s="3">
        <v>50049</v>
      </c>
      <c r="H66" s="1" t="s">
        <v>15</v>
      </c>
      <c r="I66" s="2">
        <v>0.34</v>
      </c>
      <c r="J66" s="2">
        <v>4.55</v>
      </c>
      <c r="K66" s="4">
        <v>4.8899999999999997</v>
      </c>
      <c r="L66" s="21"/>
      <c r="M66" s="3">
        <v>50049</v>
      </c>
      <c r="N66" s="1" t="s">
        <v>15</v>
      </c>
      <c r="O66" s="2">
        <v>0.87</v>
      </c>
      <c r="P66" s="2">
        <v>3.57</v>
      </c>
      <c r="Q66" s="4">
        <v>4.4400000000000004</v>
      </c>
      <c r="U66" s="26"/>
      <c r="V66" s="26"/>
      <c r="W66" s="26"/>
    </row>
    <row r="67" spans="2:23" ht="15.75" customHeight="1" thickBot="1" x14ac:dyDescent="0.3">
      <c r="B67" s="21"/>
      <c r="F67" s="21"/>
      <c r="G67" s="3">
        <v>50230</v>
      </c>
      <c r="H67" s="1" t="s">
        <v>15</v>
      </c>
      <c r="I67" s="2">
        <v>0.23</v>
      </c>
      <c r="J67" s="2">
        <v>4.55</v>
      </c>
      <c r="K67" s="4">
        <v>4.78</v>
      </c>
      <c r="L67" s="21"/>
      <c r="M67" s="3">
        <v>50230</v>
      </c>
      <c r="N67" s="1" t="s">
        <v>15</v>
      </c>
      <c r="O67" s="2">
        <v>0.78</v>
      </c>
      <c r="P67" s="2">
        <v>3.57</v>
      </c>
      <c r="Q67" s="4">
        <v>4.3499999999999996</v>
      </c>
      <c r="U67" s="26"/>
      <c r="V67" s="26"/>
      <c r="W67" s="26"/>
    </row>
    <row r="68" spans="2:23" ht="15.75" customHeight="1" thickBot="1" x14ac:dyDescent="0.3">
      <c r="B68" s="21"/>
      <c r="F68" s="21"/>
      <c r="G68" s="3">
        <v>50414</v>
      </c>
      <c r="H68" s="1" t="s">
        <v>15</v>
      </c>
      <c r="I68" s="2">
        <v>0.11</v>
      </c>
      <c r="J68" s="2">
        <v>4.55</v>
      </c>
      <c r="K68" s="4">
        <v>4.66</v>
      </c>
      <c r="L68" s="21"/>
      <c r="M68" s="3">
        <v>50414</v>
      </c>
      <c r="N68" s="1" t="s">
        <v>15</v>
      </c>
      <c r="O68" s="2">
        <v>0.7</v>
      </c>
      <c r="P68" s="2">
        <v>3.57</v>
      </c>
      <c r="Q68" s="4">
        <v>4.2699999999999996</v>
      </c>
      <c r="U68" s="26"/>
      <c r="V68" s="26"/>
      <c r="W68" s="26"/>
    </row>
    <row r="69" spans="2:23" ht="15.75" customHeight="1" thickBot="1" x14ac:dyDescent="0.3">
      <c r="B69" s="21"/>
      <c r="F69" s="21"/>
      <c r="G69" s="5"/>
      <c r="H69" s="10"/>
      <c r="I69" s="7">
        <f>SUM(I37:I68)</f>
        <v>50.370000000000005</v>
      </c>
      <c r="J69" s="7">
        <f>SUM(J37:J68)</f>
        <v>100.09999999999997</v>
      </c>
      <c r="K69" s="8">
        <f>SUM(K37:K68)</f>
        <v>150.46999999999997</v>
      </c>
      <c r="L69" s="21"/>
      <c r="M69" s="3">
        <v>50595</v>
      </c>
      <c r="N69" s="1" t="s">
        <v>15</v>
      </c>
      <c r="O69" s="2">
        <v>0.61</v>
      </c>
      <c r="P69" s="2">
        <v>3.57</v>
      </c>
      <c r="Q69" s="4">
        <v>4.18</v>
      </c>
      <c r="U69" s="26"/>
      <c r="V69" s="26"/>
      <c r="W69" s="26"/>
    </row>
    <row r="70" spans="2:23" ht="15.75" customHeight="1" thickBot="1" x14ac:dyDescent="0.3">
      <c r="B70" s="21"/>
      <c r="F70" s="21"/>
      <c r="L70" s="21"/>
      <c r="M70" s="3">
        <v>50779</v>
      </c>
      <c r="N70" s="1" t="s">
        <v>15</v>
      </c>
      <c r="O70" s="2">
        <v>0.52</v>
      </c>
      <c r="P70" s="2">
        <v>3.57</v>
      </c>
      <c r="Q70" s="4">
        <v>4.09</v>
      </c>
      <c r="U70" s="26"/>
      <c r="V70" s="26"/>
      <c r="W70" s="26"/>
    </row>
    <row r="71" spans="2:23" ht="15.75" customHeight="1" thickBot="1" x14ac:dyDescent="0.3">
      <c r="B71" s="21"/>
      <c r="F71" s="21"/>
      <c r="L71" s="21"/>
      <c r="M71" s="3">
        <v>50960</v>
      </c>
      <c r="N71" s="1" t="s">
        <v>15</v>
      </c>
      <c r="O71" s="2">
        <v>0.44</v>
      </c>
      <c r="P71" s="2">
        <v>3.57</v>
      </c>
      <c r="Q71" s="4">
        <v>4.01</v>
      </c>
      <c r="U71" s="26"/>
      <c r="V71" s="26"/>
      <c r="W71" s="26"/>
    </row>
    <row r="72" spans="2:23" ht="15.75" customHeight="1" thickBot="1" x14ac:dyDescent="0.3">
      <c r="B72" s="21"/>
      <c r="F72" s="21"/>
      <c r="L72" s="21"/>
      <c r="M72" s="3">
        <v>51144</v>
      </c>
      <c r="N72" s="1" t="s">
        <v>15</v>
      </c>
      <c r="O72" s="2">
        <v>0.35</v>
      </c>
      <c r="P72" s="2">
        <v>3.57</v>
      </c>
      <c r="Q72" s="4">
        <v>3.92</v>
      </c>
      <c r="U72" s="26"/>
      <c r="V72" s="26"/>
      <c r="W72" s="26"/>
    </row>
    <row r="73" spans="2:23" ht="15.75" customHeight="1" thickBot="1" x14ac:dyDescent="0.3">
      <c r="B73" s="21"/>
      <c r="F73" s="21"/>
      <c r="L73" s="21"/>
      <c r="M73" s="3">
        <v>51326</v>
      </c>
      <c r="N73" s="1" t="s">
        <v>15</v>
      </c>
      <c r="O73" s="2">
        <v>0.26</v>
      </c>
      <c r="P73" s="2">
        <v>3.57</v>
      </c>
      <c r="Q73" s="4">
        <v>3.83</v>
      </c>
      <c r="U73" s="26"/>
      <c r="V73" s="26"/>
      <c r="W73" s="26"/>
    </row>
    <row r="74" spans="2:23" ht="15.75" customHeight="1" thickBot="1" x14ac:dyDescent="0.3">
      <c r="B74" s="21"/>
      <c r="F74" s="21"/>
      <c r="L74" s="21"/>
      <c r="M74" s="3">
        <v>51510</v>
      </c>
      <c r="N74" s="1" t="s">
        <v>15</v>
      </c>
      <c r="O74" s="2">
        <v>0.17</v>
      </c>
      <c r="P74" s="2">
        <v>3.57</v>
      </c>
      <c r="Q74" s="4">
        <v>3.74</v>
      </c>
    </row>
    <row r="75" spans="2:23" ht="15.75" customHeight="1" thickBot="1" x14ac:dyDescent="0.3">
      <c r="B75" s="21"/>
      <c r="F75" s="21"/>
      <c r="L75" s="21"/>
      <c r="M75" s="3">
        <v>51691</v>
      </c>
      <c r="N75" s="1" t="s">
        <v>15</v>
      </c>
      <c r="O75" s="2">
        <v>0.09</v>
      </c>
      <c r="P75" s="2">
        <v>3.57</v>
      </c>
      <c r="Q75" s="4">
        <v>3.66</v>
      </c>
    </row>
    <row r="76" spans="2:23" ht="15.75" customHeight="1" thickBot="1" x14ac:dyDescent="0.3">
      <c r="B76" s="21"/>
      <c r="F76" s="21"/>
      <c r="L76" s="21"/>
      <c r="M76" s="5"/>
      <c r="N76" s="10"/>
      <c r="O76" s="7">
        <f>SUM(O37:O75)</f>
        <v>51.500000000000007</v>
      </c>
      <c r="P76" s="7">
        <f>SUM(P37:P75)</f>
        <v>99.959999999999923</v>
      </c>
      <c r="Q76" s="8">
        <f>SUM(Q37:Q75)</f>
        <v>151.45999999999998</v>
      </c>
    </row>
    <row r="77" spans="2:23" ht="15.75" customHeight="1" x14ac:dyDescent="0.25">
      <c r="B77" s="21"/>
    </row>
    <row r="78" spans="2:23" ht="15.75" customHeight="1" x14ac:dyDescent="0.25">
      <c r="B78" s="21"/>
    </row>
    <row r="79" spans="2:23" ht="15.75" customHeight="1" x14ac:dyDescent="0.25">
      <c r="B79" s="21"/>
    </row>
    <row r="80" spans="2:23" ht="15.75" customHeight="1" x14ac:dyDescent="0.25">
      <c r="B80" s="21"/>
      <c r="M80" s="21"/>
    </row>
    <row r="81" spans="1:12" x14ac:dyDescent="0.25">
      <c r="A81" s="22"/>
      <c r="B81" s="23"/>
      <c r="D81" s="21"/>
      <c r="E81" s="21"/>
      <c r="G81" s="21"/>
      <c r="H81" s="21"/>
      <c r="I81" s="21"/>
      <c r="J81" s="21"/>
      <c r="K81" s="21"/>
    </row>
    <row r="82" spans="1:12" x14ac:dyDescent="0.25">
      <c r="A82" s="22"/>
      <c r="B82" s="23"/>
      <c r="D82" s="21"/>
      <c r="E82" s="21"/>
      <c r="F82" s="21"/>
      <c r="G82" s="21"/>
      <c r="H82" s="21"/>
      <c r="I82" s="21"/>
      <c r="J82" s="21"/>
      <c r="K82" s="21"/>
      <c r="L82" s="21"/>
    </row>
    <row r="83" spans="1:12" x14ac:dyDescent="0.25">
      <c r="A83" s="22"/>
      <c r="B83" s="23"/>
      <c r="D83" s="21"/>
      <c r="E83" s="21"/>
      <c r="F83" s="21"/>
      <c r="G83" s="21"/>
      <c r="H83" s="21"/>
      <c r="I83" s="21"/>
      <c r="J83" s="21"/>
      <c r="K83" s="21"/>
      <c r="L83" s="21"/>
    </row>
    <row r="84" spans="1:12" x14ac:dyDescent="0.25">
      <c r="A84" s="22"/>
      <c r="B84" s="23"/>
      <c r="D84" s="21"/>
      <c r="E84" s="21"/>
      <c r="F84" s="21"/>
      <c r="G84" s="21"/>
      <c r="H84" s="21"/>
      <c r="I84" s="21"/>
      <c r="J84" s="21"/>
      <c r="K84" s="21"/>
      <c r="L84" s="21"/>
    </row>
    <row r="85" spans="1:12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2" x14ac:dyDescent="0.25">
      <c r="A86" s="24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</row>
    <row r="87" spans="1:12" x14ac:dyDescent="0.25"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</row>
    <row r="88" spans="1:12" x14ac:dyDescent="0.25">
      <c r="B88" s="21"/>
      <c r="F88" s="21"/>
      <c r="G88" s="21"/>
      <c r="H88" s="21"/>
      <c r="I88" s="21"/>
      <c r="J88" s="21"/>
      <c r="K88" s="21"/>
      <c r="L88" s="21"/>
    </row>
    <row r="89" spans="1:12" x14ac:dyDescent="0.25">
      <c r="B89" s="21"/>
      <c r="F89" s="21"/>
      <c r="G89" s="21"/>
      <c r="H89" s="21"/>
      <c r="I89" s="21"/>
      <c r="J89" s="21"/>
      <c r="K89" s="21"/>
      <c r="L89" s="21"/>
    </row>
    <row r="90" spans="1:12" x14ac:dyDescent="0.25">
      <c r="B90" s="21"/>
      <c r="F90" s="21"/>
      <c r="G90" s="21"/>
      <c r="H90" s="21"/>
      <c r="I90" s="21"/>
      <c r="J90" s="21"/>
      <c r="K90" s="21"/>
      <c r="L90" s="21"/>
    </row>
    <row r="91" spans="1:12" x14ac:dyDescent="0.25">
      <c r="B91" s="21"/>
      <c r="F91" s="21"/>
      <c r="G91" s="21"/>
      <c r="H91" s="21"/>
      <c r="I91" s="21"/>
      <c r="J91" s="21"/>
      <c r="K91" s="21"/>
      <c r="L91" s="21"/>
    </row>
    <row r="92" spans="1:12" x14ac:dyDescent="0.25">
      <c r="B92" s="21"/>
      <c r="F92" s="21"/>
      <c r="G92" s="21"/>
      <c r="H92" s="21"/>
      <c r="I92" s="21"/>
      <c r="J92" s="21"/>
      <c r="K92" s="21"/>
      <c r="L92" s="21"/>
    </row>
    <row r="93" spans="1:12" x14ac:dyDescent="0.25">
      <c r="B93" s="21"/>
      <c r="F93" s="21"/>
      <c r="G93" s="21"/>
      <c r="H93" s="21"/>
      <c r="I93" s="21"/>
      <c r="J93" s="21"/>
      <c r="K93" s="21"/>
      <c r="L93" s="21"/>
    </row>
    <row r="94" spans="1:12" x14ac:dyDescent="0.25">
      <c r="B94" s="21"/>
      <c r="F94" s="21"/>
      <c r="G94" s="21"/>
      <c r="H94" s="21"/>
      <c r="I94" s="21"/>
      <c r="J94" s="21"/>
      <c r="K94" s="21"/>
      <c r="L94" s="21"/>
    </row>
    <row r="95" spans="1:12" x14ac:dyDescent="0.25">
      <c r="B95" s="21"/>
      <c r="F95" s="21"/>
      <c r="G95" s="21"/>
      <c r="H95" s="21"/>
      <c r="I95" s="21"/>
      <c r="J95" s="21"/>
      <c r="K95" s="21"/>
      <c r="L95" s="21"/>
    </row>
    <row r="96" spans="1:12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L104" s="21"/>
    </row>
    <row r="105" spans="2:12" x14ac:dyDescent="0.25">
      <c r="B105" s="21"/>
    </row>
    <row r="106" spans="2:12" x14ac:dyDescent="0.25">
      <c r="B106" s="21"/>
    </row>
    <row r="107" spans="2:12" x14ac:dyDescent="0.25">
      <c r="B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Y113"/>
  <sheetViews>
    <sheetView topLeftCell="A19" workbookViewId="0">
      <selection activeCell="I40" sqref="I40"/>
    </sheetView>
  </sheetViews>
  <sheetFormatPr baseColWidth="10" defaultRowHeight="15" x14ac:dyDescent="0.25"/>
  <cols>
    <col min="1" max="1" width="22.140625" style="74" bestFit="1" customWidth="1"/>
    <col min="2" max="2" width="10.7109375" style="74" bestFit="1" customWidth="1"/>
    <col min="3" max="6" width="11.42578125" style="74" customWidth="1"/>
    <col min="7" max="7" width="22.140625" style="74" bestFit="1" customWidth="1"/>
    <col min="8" max="8" width="11.85546875" style="74" bestFit="1" customWidth="1"/>
    <col min="9" max="12" width="11.42578125" style="74" customWidth="1"/>
    <col min="13" max="13" width="22.140625" style="74" bestFit="1" customWidth="1"/>
    <col min="14" max="14" width="11.85546875" style="74" bestFit="1" customWidth="1"/>
    <col min="15" max="18" width="11.42578125" style="74" customWidth="1"/>
    <col min="19" max="19" width="22.140625" style="74" bestFit="1" customWidth="1"/>
    <col min="20" max="42" width="11.42578125" style="74" customWidth="1"/>
    <col min="43" max="16384" width="11.42578125" style="74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 t="e">
        <f>#REF!-B5</f>
        <v>#REF!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 t="e">
        <f>DAYS360(B5,#REF!)</f>
        <v>#REF!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 t="e">
        <f>DAYS360(B5,#REF!)</f>
        <v>#REF!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2.8444444444444446</v>
      </c>
      <c r="C8" s="27"/>
      <c r="D8" s="48"/>
      <c r="E8" s="28"/>
      <c r="F8" s="47"/>
      <c r="G8" s="31" t="s">
        <v>13</v>
      </c>
      <c r="H8" s="46">
        <f ca="1">H6*DAYS360(H5,TODAY())/360*100</f>
        <v>2.8444444444444446</v>
      </c>
      <c r="I8" s="27"/>
      <c r="J8" s="27"/>
      <c r="K8" s="28"/>
      <c r="L8" s="21"/>
      <c r="M8" s="31" t="s">
        <v>13</v>
      </c>
      <c r="N8" s="46">
        <f ca="1">N6*DAYS360(N5,TODAY())/360*100</f>
        <v>0.35555555555555557</v>
      </c>
      <c r="O8" s="27"/>
      <c r="P8" s="27"/>
      <c r="Q8" s="28"/>
      <c r="S8" s="31" t="s">
        <v>13</v>
      </c>
      <c r="T8" s="46">
        <f ca="1">T6*DAYS360(T5,TODAY())/360*100</f>
        <v>0.35625000000000001</v>
      </c>
      <c r="U8" s="27"/>
      <c r="V8" s="27"/>
      <c r="W8" s="28"/>
    </row>
    <row r="9" spans="1:25" ht="18.75" customHeight="1" thickBot="1" x14ac:dyDescent="0.35">
      <c r="A9" s="30" t="s">
        <v>14</v>
      </c>
      <c r="B9" s="46">
        <f ca="1">B7+B8</f>
        <v>102.84444444444445</v>
      </c>
      <c r="C9" s="27"/>
      <c r="D9" s="27"/>
      <c r="E9" s="28">
        <v>-34.799999999999997</v>
      </c>
      <c r="F9" s="21"/>
      <c r="G9" s="31" t="s">
        <v>14</v>
      </c>
      <c r="H9" s="46">
        <f ca="1">H7+H8</f>
        <v>102.84444444444445</v>
      </c>
      <c r="I9" s="27"/>
      <c r="J9" s="27"/>
      <c r="K9" s="28"/>
      <c r="L9" s="21"/>
      <c r="M9" s="31" t="s">
        <v>14</v>
      </c>
      <c r="N9" s="46">
        <f ca="1">N7+N8</f>
        <v>100.35555555555555</v>
      </c>
      <c r="O9" s="27"/>
      <c r="P9" s="27"/>
      <c r="Q9" s="28">
        <v>-32.700000000000003</v>
      </c>
      <c r="S9" s="31" t="s">
        <v>14</v>
      </c>
      <c r="T9" s="46">
        <f ca="1">T7+T8</f>
        <v>100.35625</v>
      </c>
      <c r="U9" s="27"/>
      <c r="V9" s="27"/>
      <c r="W9" s="28"/>
    </row>
    <row r="10" spans="1:25" ht="15.75" customHeight="1" thickBot="1" x14ac:dyDescent="0.3">
      <c r="A10" s="3">
        <v>44570</v>
      </c>
      <c r="B10" s="1" t="s">
        <v>15</v>
      </c>
      <c r="C10" s="39">
        <v>0.5</v>
      </c>
      <c r="D10" s="2">
        <v>0</v>
      </c>
      <c r="E10" s="42">
        <v>0.5</v>
      </c>
      <c r="F10" s="21"/>
      <c r="G10" s="3">
        <v>44570</v>
      </c>
      <c r="H10" t="s">
        <v>15</v>
      </c>
      <c r="I10" s="2">
        <v>0.5</v>
      </c>
      <c r="J10" s="2">
        <v>0</v>
      </c>
      <c r="K10" s="4">
        <v>0.5</v>
      </c>
      <c r="L10" s="21"/>
      <c r="M10" s="3">
        <v>44570</v>
      </c>
      <c r="N10" t="s">
        <v>15</v>
      </c>
      <c r="O10" s="2">
        <v>0.25</v>
      </c>
      <c r="P10" s="2">
        <v>0</v>
      </c>
      <c r="Q10" s="4">
        <v>0.25</v>
      </c>
      <c r="S10" s="3">
        <v>44570</v>
      </c>
      <c r="T10" t="s">
        <v>15</v>
      </c>
      <c r="U10" s="2">
        <v>0.25</v>
      </c>
      <c r="V10" s="2">
        <v>0</v>
      </c>
      <c r="W10" s="4">
        <v>0.25</v>
      </c>
    </row>
    <row r="11" spans="1:25" ht="15.75" customHeight="1" thickBot="1" x14ac:dyDescent="0.3">
      <c r="A11" s="3">
        <v>44751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44751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44751</v>
      </c>
      <c r="N11" t="s">
        <v>15</v>
      </c>
      <c r="O11" s="2">
        <v>0.25</v>
      </c>
      <c r="P11" s="2">
        <v>0</v>
      </c>
      <c r="Q11" s="4">
        <v>0.25</v>
      </c>
      <c r="S11" s="3">
        <v>44751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44935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44935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44935</v>
      </c>
      <c r="N12" t="s">
        <v>15</v>
      </c>
      <c r="O12" s="2">
        <v>0.25</v>
      </c>
      <c r="P12" s="2">
        <v>0</v>
      </c>
      <c r="Q12" s="4">
        <v>0.25</v>
      </c>
      <c r="S12" s="3">
        <v>44935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45116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45116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45116</v>
      </c>
      <c r="N13" t="s">
        <v>15</v>
      </c>
      <c r="O13" s="2">
        <v>0.25</v>
      </c>
      <c r="P13" s="2">
        <v>0</v>
      </c>
      <c r="Q13" s="4">
        <v>0.25</v>
      </c>
      <c r="S13" s="3">
        <v>45116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45300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45300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45300</v>
      </c>
      <c r="N14" t="s">
        <v>15</v>
      </c>
      <c r="O14" s="2">
        <v>0.38</v>
      </c>
      <c r="P14" s="2">
        <v>0</v>
      </c>
      <c r="Q14" s="4">
        <v>0.38</v>
      </c>
      <c r="S14" s="3">
        <v>45300</v>
      </c>
      <c r="T14" t="s">
        <v>15</v>
      </c>
      <c r="U14" s="2">
        <v>0.38</v>
      </c>
      <c r="V14" s="2">
        <v>0</v>
      </c>
      <c r="W14" s="4">
        <v>0.38</v>
      </c>
    </row>
    <row r="15" spans="1:25" ht="15.75" customHeight="1" thickBot="1" x14ac:dyDescent="0.3">
      <c r="A15" s="3">
        <v>45482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45482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45482</v>
      </c>
      <c r="N15" t="s">
        <v>15</v>
      </c>
      <c r="O15" s="2">
        <v>0.38</v>
      </c>
      <c r="P15" s="2">
        <v>4</v>
      </c>
      <c r="Q15" s="4">
        <v>4.38</v>
      </c>
      <c r="S15" s="3">
        <v>45482</v>
      </c>
      <c r="T15" t="s">
        <v>15</v>
      </c>
      <c r="U15" s="2">
        <v>0.38</v>
      </c>
      <c r="V15" s="2">
        <v>4</v>
      </c>
      <c r="W15" s="4">
        <v>4.38</v>
      </c>
    </row>
    <row r="16" spans="1:25" ht="15.75" customHeight="1" thickBot="1" x14ac:dyDescent="0.3">
      <c r="A16" s="3">
        <v>45666</v>
      </c>
      <c r="B16" s="1" t="s">
        <v>15</v>
      </c>
      <c r="C16" s="39">
        <v>0.5</v>
      </c>
      <c r="D16" s="2">
        <v>10</v>
      </c>
      <c r="E16" s="42">
        <v>10.5</v>
      </c>
      <c r="F16" s="21"/>
      <c r="G16" s="3">
        <v>45666</v>
      </c>
      <c r="H16" t="s">
        <v>15</v>
      </c>
      <c r="I16" s="2">
        <v>0.5</v>
      </c>
      <c r="J16" s="2">
        <v>10</v>
      </c>
      <c r="K16" s="4">
        <v>10.5</v>
      </c>
      <c r="L16" s="21"/>
      <c r="M16" s="3">
        <v>45666</v>
      </c>
      <c r="N16" t="s">
        <v>15</v>
      </c>
      <c r="O16" s="2">
        <v>0.36</v>
      </c>
      <c r="P16" s="2">
        <v>8</v>
      </c>
      <c r="Q16" s="4">
        <v>8.36</v>
      </c>
      <c r="S16" s="3">
        <v>45666</v>
      </c>
      <c r="T16" t="s">
        <v>15</v>
      </c>
      <c r="U16" s="2">
        <v>0.36</v>
      </c>
      <c r="V16" s="2">
        <v>8</v>
      </c>
      <c r="W16" s="4">
        <v>8.36</v>
      </c>
    </row>
    <row r="17" spans="1:23" ht="15.75" customHeight="1" thickBot="1" x14ac:dyDescent="0.3">
      <c r="A17" s="3">
        <v>45847</v>
      </c>
      <c r="B17" s="1" t="s">
        <v>15</v>
      </c>
      <c r="C17" s="39">
        <v>0.45</v>
      </c>
      <c r="D17" s="2">
        <v>10</v>
      </c>
      <c r="E17" s="42">
        <v>10.45</v>
      </c>
      <c r="F17" s="21"/>
      <c r="G17" s="3">
        <v>45847</v>
      </c>
      <c r="H17" t="s">
        <v>15</v>
      </c>
      <c r="I17" s="2">
        <v>0.45</v>
      </c>
      <c r="J17" s="2">
        <v>10</v>
      </c>
      <c r="K17" s="4">
        <v>10.45</v>
      </c>
      <c r="L17" s="21"/>
      <c r="M17" s="3">
        <v>45847</v>
      </c>
      <c r="N17" t="s">
        <v>15</v>
      </c>
      <c r="O17" s="2">
        <v>0.33</v>
      </c>
      <c r="P17" s="2">
        <v>8</v>
      </c>
      <c r="Q17" s="4">
        <v>8.33</v>
      </c>
      <c r="S17" s="3">
        <v>45847</v>
      </c>
      <c r="T17" t="s">
        <v>15</v>
      </c>
      <c r="U17" s="2">
        <v>0.33</v>
      </c>
      <c r="V17" s="2">
        <v>8</v>
      </c>
      <c r="W17" s="4">
        <v>8.33</v>
      </c>
    </row>
    <row r="18" spans="1:23" ht="15.75" customHeight="1" thickBot="1" x14ac:dyDescent="0.3">
      <c r="A18" s="3">
        <v>46031</v>
      </c>
      <c r="B18" s="1" t="s">
        <v>15</v>
      </c>
      <c r="C18" s="39">
        <v>0.4</v>
      </c>
      <c r="D18" s="2">
        <v>10</v>
      </c>
      <c r="E18" s="42">
        <v>10.4</v>
      </c>
      <c r="F18" s="21"/>
      <c r="G18" s="3">
        <v>46031</v>
      </c>
      <c r="H18" t="s">
        <v>15</v>
      </c>
      <c r="I18" s="2">
        <v>0.4</v>
      </c>
      <c r="J18" s="2">
        <v>10</v>
      </c>
      <c r="K18" s="4">
        <v>10.4</v>
      </c>
      <c r="L18" s="21"/>
      <c r="M18" s="3">
        <v>46031</v>
      </c>
      <c r="N18" t="s">
        <v>15</v>
      </c>
      <c r="O18" s="2">
        <v>0.3</v>
      </c>
      <c r="P18" s="2">
        <v>8</v>
      </c>
      <c r="Q18" s="4">
        <v>8.3000000000000007</v>
      </c>
      <c r="S18" s="3">
        <v>46031</v>
      </c>
      <c r="T18" t="s">
        <v>15</v>
      </c>
      <c r="U18" s="2">
        <v>0.3</v>
      </c>
      <c r="V18" s="2">
        <v>8</v>
      </c>
      <c r="W18" s="4">
        <v>8.3000000000000007</v>
      </c>
    </row>
    <row r="19" spans="1:23" ht="15.75" customHeight="1" thickBot="1" x14ac:dyDescent="0.3">
      <c r="A19" s="3">
        <v>46212</v>
      </c>
      <c r="B19" s="1" t="s">
        <v>15</v>
      </c>
      <c r="C19" s="39">
        <v>0.35</v>
      </c>
      <c r="D19" s="2">
        <v>10</v>
      </c>
      <c r="E19" s="42">
        <v>10.35</v>
      </c>
      <c r="F19" s="21"/>
      <c r="G19" s="3">
        <v>46212</v>
      </c>
      <c r="H19" t="s">
        <v>15</v>
      </c>
      <c r="I19" s="2">
        <v>0.35</v>
      </c>
      <c r="J19" s="2">
        <v>10</v>
      </c>
      <c r="K19" s="4">
        <v>10.35</v>
      </c>
      <c r="L19" s="21"/>
      <c r="M19" s="3">
        <v>46212</v>
      </c>
      <c r="N19" t="s">
        <v>15</v>
      </c>
      <c r="O19" s="2">
        <v>0.27</v>
      </c>
      <c r="P19" s="2">
        <v>8</v>
      </c>
      <c r="Q19" s="4">
        <v>8.27</v>
      </c>
      <c r="S19" s="3">
        <v>46212</v>
      </c>
      <c r="T19" t="s">
        <v>15</v>
      </c>
      <c r="U19" s="2">
        <v>0.27</v>
      </c>
      <c r="V19" s="2">
        <v>8</v>
      </c>
      <c r="W19" s="4">
        <v>8.27</v>
      </c>
    </row>
    <row r="20" spans="1:23" ht="15.75" customHeight="1" thickBot="1" x14ac:dyDescent="0.3">
      <c r="A20" s="3">
        <v>46396</v>
      </c>
      <c r="B20" s="1" t="s">
        <v>15</v>
      </c>
      <c r="C20" s="39">
        <v>0.3</v>
      </c>
      <c r="D20" s="2">
        <v>10</v>
      </c>
      <c r="E20" s="42">
        <v>10.3</v>
      </c>
      <c r="F20" s="21"/>
      <c r="G20" s="3">
        <v>46396</v>
      </c>
      <c r="H20" t="s">
        <v>15</v>
      </c>
      <c r="I20" s="2">
        <v>0.3</v>
      </c>
      <c r="J20" s="2">
        <v>10</v>
      </c>
      <c r="K20" s="4">
        <v>10.3</v>
      </c>
      <c r="L20" s="21"/>
      <c r="M20" s="3">
        <v>46396</v>
      </c>
      <c r="N20" t="s">
        <v>15</v>
      </c>
      <c r="O20" s="2">
        <v>0.24</v>
      </c>
      <c r="P20" s="2">
        <v>8</v>
      </c>
      <c r="Q20" s="4">
        <v>8.24</v>
      </c>
      <c r="S20" s="3">
        <v>46396</v>
      </c>
      <c r="T20" t="s">
        <v>15</v>
      </c>
      <c r="U20" s="2">
        <v>0.24</v>
      </c>
      <c r="V20" s="2">
        <v>8</v>
      </c>
      <c r="W20" s="4">
        <v>8.24</v>
      </c>
    </row>
    <row r="21" spans="1:23" ht="15.75" customHeight="1" thickBot="1" x14ac:dyDescent="0.3">
      <c r="A21" s="3">
        <v>46577</v>
      </c>
      <c r="B21" s="1" t="s">
        <v>15</v>
      </c>
      <c r="C21" s="39">
        <v>0.25</v>
      </c>
      <c r="D21" s="2">
        <v>10</v>
      </c>
      <c r="E21" s="42">
        <v>10.25</v>
      </c>
      <c r="F21" s="21"/>
      <c r="G21" s="3">
        <v>46577</v>
      </c>
      <c r="H21" t="s">
        <v>15</v>
      </c>
      <c r="I21" s="2">
        <v>0.25</v>
      </c>
      <c r="J21" s="2">
        <v>10</v>
      </c>
      <c r="K21" s="4">
        <v>10.25</v>
      </c>
      <c r="L21" s="21"/>
      <c r="M21" s="3">
        <v>46577</v>
      </c>
      <c r="N21" t="s">
        <v>15</v>
      </c>
      <c r="O21" s="2">
        <v>0.21</v>
      </c>
      <c r="P21" s="2">
        <v>8</v>
      </c>
      <c r="Q21" s="4">
        <v>8.2100000000000009</v>
      </c>
      <c r="S21" s="3">
        <v>46577</v>
      </c>
      <c r="T21" t="s">
        <v>15</v>
      </c>
      <c r="U21" s="2">
        <v>0.21</v>
      </c>
      <c r="V21" s="2">
        <v>8</v>
      </c>
      <c r="W21" s="4">
        <v>8.2100000000000009</v>
      </c>
    </row>
    <row r="22" spans="1:23" ht="15.75" customHeight="1" thickBot="1" x14ac:dyDescent="0.3">
      <c r="A22" s="3">
        <v>46761</v>
      </c>
      <c r="B22" s="1" t="s">
        <v>15</v>
      </c>
      <c r="C22" s="39">
        <v>0.2</v>
      </c>
      <c r="D22" s="2">
        <v>10</v>
      </c>
      <c r="E22" s="42">
        <v>10.199999999999999</v>
      </c>
      <c r="F22" s="21"/>
      <c r="G22" s="3">
        <v>46761</v>
      </c>
      <c r="H22" t="s">
        <v>15</v>
      </c>
      <c r="I22" s="2">
        <v>0.2</v>
      </c>
      <c r="J22" s="2">
        <v>10</v>
      </c>
      <c r="K22" s="4">
        <v>10.199999999999999</v>
      </c>
      <c r="L22" s="21"/>
      <c r="M22" s="3">
        <v>46761</v>
      </c>
      <c r="N22" t="s">
        <v>15</v>
      </c>
      <c r="O22" s="2">
        <v>0.42</v>
      </c>
      <c r="P22" s="2">
        <v>8</v>
      </c>
      <c r="Q22" s="4">
        <v>8.42</v>
      </c>
      <c r="S22" s="3">
        <v>46761</v>
      </c>
      <c r="T22" t="s">
        <v>15</v>
      </c>
      <c r="U22" s="2">
        <v>0.42</v>
      </c>
      <c r="V22" s="2">
        <v>8</v>
      </c>
      <c r="W22" s="4">
        <v>8.42</v>
      </c>
    </row>
    <row r="23" spans="1:23" ht="15.75" customHeight="1" thickBot="1" x14ac:dyDescent="0.3">
      <c r="A23" s="3">
        <v>46943</v>
      </c>
      <c r="B23" s="1" t="s">
        <v>15</v>
      </c>
      <c r="C23" s="39">
        <v>0.15</v>
      </c>
      <c r="D23" s="2">
        <v>10</v>
      </c>
      <c r="E23" s="42">
        <v>10.15</v>
      </c>
      <c r="F23" s="21"/>
      <c r="G23" s="3">
        <v>46943</v>
      </c>
      <c r="H23" t="s">
        <v>15</v>
      </c>
      <c r="I23" s="2">
        <v>0.15</v>
      </c>
      <c r="J23" s="2">
        <v>10</v>
      </c>
      <c r="K23" s="4">
        <v>10.15</v>
      </c>
      <c r="L23" s="21"/>
      <c r="M23" s="3">
        <v>46943</v>
      </c>
      <c r="N23" t="s">
        <v>15</v>
      </c>
      <c r="O23" s="2">
        <v>0.35</v>
      </c>
      <c r="P23" s="2">
        <v>8</v>
      </c>
      <c r="Q23" s="4">
        <v>8.35</v>
      </c>
      <c r="S23" s="3">
        <v>46943</v>
      </c>
      <c r="T23" t="s">
        <v>15</v>
      </c>
      <c r="U23" s="2">
        <v>0.35</v>
      </c>
      <c r="V23" s="2">
        <v>8</v>
      </c>
      <c r="W23" s="4">
        <v>8.35</v>
      </c>
    </row>
    <row r="24" spans="1:23" ht="15.75" customHeight="1" thickBot="1" x14ac:dyDescent="0.3">
      <c r="A24" s="3">
        <v>47127</v>
      </c>
      <c r="B24" s="1" t="s">
        <v>15</v>
      </c>
      <c r="C24" s="39">
        <v>0.1</v>
      </c>
      <c r="D24" s="2">
        <v>10</v>
      </c>
      <c r="E24" s="42">
        <v>10.1</v>
      </c>
      <c r="F24" s="21"/>
      <c r="G24" s="3">
        <v>47127</v>
      </c>
      <c r="H24" t="s">
        <v>15</v>
      </c>
      <c r="I24" s="2">
        <v>0.1</v>
      </c>
      <c r="J24" s="2">
        <v>10</v>
      </c>
      <c r="K24" s="4">
        <v>10.1</v>
      </c>
      <c r="L24" s="21"/>
      <c r="M24" s="3">
        <v>47127</v>
      </c>
      <c r="N24" t="s">
        <v>15</v>
      </c>
      <c r="O24" s="2">
        <v>0.28000000000000003</v>
      </c>
      <c r="P24" s="2">
        <v>8</v>
      </c>
      <c r="Q24" s="4">
        <v>8.2799999999999994</v>
      </c>
      <c r="S24" s="3">
        <v>47127</v>
      </c>
      <c r="T24" t="s">
        <v>15</v>
      </c>
      <c r="U24" s="2">
        <v>0.28000000000000003</v>
      </c>
      <c r="V24" s="2">
        <v>8</v>
      </c>
      <c r="W24" s="4">
        <v>8.2799999999999994</v>
      </c>
    </row>
    <row r="25" spans="1:23" ht="15.75" customHeight="1" thickBot="1" x14ac:dyDescent="0.3">
      <c r="A25" s="3">
        <v>47308</v>
      </c>
      <c r="B25" s="1" t="s">
        <v>15</v>
      </c>
      <c r="C25" s="39">
        <v>0.05</v>
      </c>
      <c r="D25" s="2">
        <v>10</v>
      </c>
      <c r="E25" s="42">
        <v>10.050000000000001</v>
      </c>
      <c r="F25" s="21"/>
      <c r="G25" s="3">
        <v>47308</v>
      </c>
      <c r="H25" t="s">
        <v>15</v>
      </c>
      <c r="I25" s="2">
        <v>0.05</v>
      </c>
      <c r="J25" s="2">
        <v>10</v>
      </c>
      <c r="K25" s="4">
        <v>10.050000000000001</v>
      </c>
      <c r="L25" s="21"/>
      <c r="M25" s="3">
        <v>47308</v>
      </c>
      <c r="N25" t="s">
        <v>15</v>
      </c>
      <c r="O25" s="2">
        <v>0.21</v>
      </c>
      <c r="P25" s="2">
        <v>8</v>
      </c>
      <c r="Q25" s="4">
        <v>8.2100000000000009</v>
      </c>
      <c r="S25" s="3">
        <v>47308</v>
      </c>
      <c r="T25" t="s">
        <v>15</v>
      </c>
      <c r="U25" s="2">
        <v>0.21</v>
      </c>
      <c r="V25" s="2">
        <v>8</v>
      </c>
      <c r="W25" s="4">
        <v>8.2100000000000009</v>
      </c>
    </row>
    <row r="26" spans="1:23" ht="15.75" customHeight="1" thickBot="1" x14ac:dyDescent="0.3">
      <c r="A26" s="5"/>
      <c r="B26" s="6"/>
      <c r="C26" s="40">
        <f>SUM(C10:C25)</f>
        <v>5.75</v>
      </c>
      <c r="D26" s="7">
        <f>SUM(D10:D25)</f>
        <v>100</v>
      </c>
      <c r="E26" s="43">
        <f>SUM(E10:E25)</f>
        <v>105.75</v>
      </c>
      <c r="F26" s="21"/>
      <c r="G26" s="9"/>
      <c r="H26" s="6"/>
      <c r="I26" s="7">
        <f>SUM(I10:I25)</f>
        <v>5.75</v>
      </c>
      <c r="J26" s="7">
        <f>SUM(J10:J25)</f>
        <v>100</v>
      </c>
      <c r="K26" s="8">
        <f>SUM(K10:K25)</f>
        <v>105.75</v>
      </c>
      <c r="L26" s="21"/>
      <c r="M26" s="3">
        <v>47492</v>
      </c>
      <c r="N26" t="s">
        <v>15</v>
      </c>
      <c r="O26" s="2">
        <v>0.14000000000000001</v>
      </c>
      <c r="P26" s="2">
        <v>8</v>
      </c>
      <c r="Q26" s="4">
        <v>8.14</v>
      </c>
      <c r="S26" s="3">
        <v>47492</v>
      </c>
      <c r="T26" t="s">
        <v>15</v>
      </c>
      <c r="U26" s="2">
        <v>0.14000000000000001</v>
      </c>
      <c r="V26" s="2">
        <v>8</v>
      </c>
      <c r="W26" s="4">
        <v>8.14</v>
      </c>
    </row>
    <row r="27" spans="1:23" ht="15.75" customHeight="1" thickBot="1" x14ac:dyDescent="0.3">
      <c r="B27" s="21"/>
      <c r="F27" s="21"/>
      <c r="I27" s="21"/>
      <c r="J27" s="21"/>
      <c r="K27" s="21"/>
      <c r="L27" s="21"/>
      <c r="M27" s="3">
        <v>47673</v>
      </c>
      <c r="N27" t="s">
        <v>15</v>
      </c>
      <c r="O27" s="2">
        <v>7.0000000000000007E-2</v>
      </c>
      <c r="P27" s="2">
        <v>8</v>
      </c>
      <c r="Q27" s="4">
        <v>8.07</v>
      </c>
      <c r="S27" s="3">
        <v>47673</v>
      </c>
      <c r="T27" t="s">
        <v>15</v>
      </c>
      <c r="U27" s="2">
        <v>7.0000000000000007E-2</v>
      </c>
      <c r="V27" s="2">
        <v>8</v>
      </c>
      <c r="W27" s="4">
        <v>8.07</v>
      </c>
    </row>
    <row r="28" spans="1:23" ht="15.75" customHeight="1" thickBot="1" x14ac:dyDescent="0.3">
      <c r="B28" s="21"/>
      <c r="F28" s="21"/>
      <c r="G28" s="21"/>
      <c r="H28" s="21"/>
      <c r="I28" s="21"/>
      <c r="J28" s="21"/>
      <c r="K28" s="21"/>
      <c r="L28" s="21"/>
      <c r="M28" s="5"/>
      <c r="N28" s="10"/>
      <c r="O28" s="7">
        <f>SUM(O10:O27)</f>
        <v>4.9399999999999995</v>
      </c>
      <c r="P28" s="7">
        <f>SUM(P10:P27)</f>
        <v>100</v>
      </c>
      <c r="Q28" s="8">
        <f>SUM(Q10:Q27)</f>
        <v>104.94</v>
      </c>
      <c r="S28" s="5"/>
      <c r="T28" s="10"/>
      <c r="U28" s="7">
        <f>SUM(U10:U27)</f>
        <v>4.9399999999999995</v>
      </c>
      <c r="V28" s="7">
        <f>SUM(V10:V27)</f>
        <v>100</v>
      </c>
      <c r="W28" s="8">
        <f>SUM(W10:W27)</f>
        <v>104.94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O29" s="26"/>
      <c r="P29" s="26"/>
      <c r="Q29" s="26"/>
      <c r="U29" s="26"/>
      <c r="V29" s="26"/>
      <c r="W29" s="26"/>
    </row>
    <row r="30" spans="1:23" ht="15.75" customHeight="1" thickBot="1" x14ac:dyDescent="0.35">
      <c r="A30" s="20" t="s">
        <v>16</v>
      </c>
      <c r="B30" s="16"/>
      <c r="C30" s="17" t="s">
        <v>2</v>
      </c>
      <c r="D30" s="17" t="s">
        <v>3</v>
      </c>
      <c r="E30" s="18" t="s">
        <v>4</v>
      </c>
      <c r="F30" s="21"/>
      <c r="G30" s="20" t="s">
        <v>17</v>
      </c>
      <c r="H30" s="16"/>
      <c r="I30" s="17" t="s">
        <v>2</v>
      </c>
      <c r="J30" s="17" t="s">
        <v>3</v>
      </c>
      <c r="K30" s="18" t="s">
        <v>4</v>
      </c>
      <c r="L30" s="21"/>
      <c r="M30" s="20" t="s">
        <v>18</v>
      </c>
      <c r="N30" s="16"/>
      <c r="O30" s="17" t="s">
        <v>2</v>
      </c>
      <c r="P30" s="17" t="s">
        <v>3</v>
      </c>
      <c r="Q30" s="18" t="s">
        <v>4</v>
      </c>
      <c r="U30" s="26"/>
      <c r="V30" s="26"/>
      <c r="W30" s="26"/>
    </row>
    <row r="31" spans="1:23" ht="19.5" customHeight="1" x14ac:dyDescent="0.3">
      <c r="A31" s="31" t="s">
        <v>8</v>
      </c>
      <c r="B31" s="21">
        <v>1</v>
      </c>
      <c r="C31" s="27"/>
      <c r="D31" s="27"/>
      <c r="E31" s="28"/>
      <c r="F31" s="21"/>
      <c r="G31" s="31" t="s">
        <v>8</v>
      </c>
      <c r="H31" s="21">
        <v>0.125</v>
      </c>
      <c r="I31" s="27"/>
      <c r="J31" s="27"/>
      <c r="K31" s="28"/>
      <c r="L31" s="21"/>
      <c r="M31" s="31" t="s">
        <v>8</v>
      </c>
      <c r="N31" s="21">
        <v>1</v>
      </c>
      <c r="O31" s="27"/>
      <c r="P31" s="27"/>
      <c r="Q31" s="28"/>
      <c r="T31" s="26"/>
      <c r="U31" s="26"/>
      <c r="V31" s="26"/>
    </row>
    <row r="32" spans="1:23" ht="18.75" customHeight="1" x14ac:dyDescent="0.3">
      <c r="A32" s="31" t="s">
        <v>9</v>
      </c>
      <c r="B32" s="24">
        <v>44076</v>
      </c>
      <c r="C32" s="27"/>
      <c r="D32" s="27"/>
      <c r="E32" s="28"/>
      <c r="F32" s="21"/>
      <c r="G32" s="31" t="s">
        <v>9</v>
      </c>
      <c r="H32" s="24">
        <v>44076</v>
      </c>
      <c r="I32" s="27"/>
      <c r="J32" s="27"/>
      <c r="K32" s="28"/>
      <c r="M32" s="31" t="s">
        <v>9</v>
      </c>
      <c r="N32" s="24">
        <v>44076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10</v>
      </c>
      <c r="B33" s="24">
        <v>44078</v>
      </c>
      <c r="C33" s="27"/>
      <c r="D33" s="27"/>
      <c r="E33" s="28"/>
      <c r="F33" s="21"/>
      <c r="G33" s="31" t="s">
        <v>10</v>
      </c>
      <c r="H33" s="24">
        <v>44078</v>
      </c>
      <c r="I33" s="27"/>
      <c r="J33" s="27"/>
      <c r="K33" s="28"/>
      <c r="M33" s="31" t="s">
        <v>10</v>
      </c>
      <c r="N33" s="24">
        <v>44078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11</v>
      </c>
      <c r="B34" s="32">
        <v>1.25E-3</v>
      </c>
      <c r="C34" s="27"/>
      <c r="D34" s="27"/>
      <c r="E34" s="28"/>
      <c r="F34" s="21"/>
      <c r="G34" s="31" t="s">
        <v>11</v>
      </c>
      <c r="H34" s="32">
        <v>1.25E-3</v>
      </c>
      <c r="I34" s="27"/>
      <c r="J34" s="27"/>
      <c r="K34" s="28"/>
      <c r="M34" s="31" t="s">
        <v>11</v>
      </c>
      <c r="N34" s="32">
        <v>1.25E-3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12</v>
      </c>
      <c r="B35" s="21">
        <v>100</v>
      </c>
      <c r="C35" s="27"/>
      <c r="D35" s="27"/>
      <c r="E35" s="28"/>
      <c r="F35" s="21"/>
      <c r="G35" s="31" t="s">
        <v>12</v>
      </c>
      <c r="H35" s="21">
        <v>100</v>
      </c>
      <c r="I35" s="27"/>
      <c r="J35" s="27"/>
      <c r="K35" s="28"/>
      <c r="M35" s="31" t="s">
        <v>12</v>
      </c>
      <c r="N35" s="21">
        <v>100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13</v>
      </c>
      <c r="B36" s="46">
        <f ca="1">B34*DAYS360(B33,TODAY())/360*100</f>
        <v>0.35555555555555557</v>
      </c>
      <c r="C36" s="27"/>
      <c r="D36" s="27"/>
      <c r="E36" s="28"/>
      <c r="F36" s="21"/>
      <c r="G36" s="31" t="s">
        <v>13</v>
      </c>
      <c r="H36" s="46">
        <f ca="1">H34*DAYS360(H33,TODAY())/360*100</f>
        <v>0.35555555555555557</v>
      </c>
      <c r="I36" s="27"/>
      <c r="J36" s="27"/>
      <c r="K36" s="28"/>
      <c r="M36" s="31" t="s">
        <v>13</v>
      </c>
      <c r="N36" s="46">
        <f ca="1">N34*DAYS360(N32,TODAY())/360*100</f>
        <v>0.35625000000000001</v>
      </c>
      <c r="O36" s="27"/>
      <c r="P36" s="27"/>
      <c r="Q36" s="28"/>
      <c r="T36" s="26"/>
      <c r="U36" s="26"/>
      <c r="V36" s="26"/>
    </row>
    <row r="37" spans="1:22" ht="18.75" customHeight="1" thickBot="1" x14ac:dyDescent="0.35">
      <c r="A37" s="31" t="s">
        <v>14</v>
      </c>
      <c r="B37" s="46">
        <f ca="1">B35+B36</f>
        <v>100.35555555555555</v>
      </c>
      <c r="C37" s="27"/>
      <c r="D37" s="27"/>
      <c r="E37" s="28"/>
      <c r="F37" s="21"/>
      <c r="G37" s="31" t="s">
        <v>14</v>
      </c>
      <c r="H37" s="46">
        <f ca="1">H35+H36</f>
        <v>100.35555555555555</v>
      </c>
      <c r="I37" s="27"/>
      <c r="J37" s="27"/>
      <c r="K37" s="28"/>
      <c r="M37" s="31" t="s">
        <v>14</v>
      </c>
      <c r="N37" s="46">
        <f ca="1">N35+N36</f>
        <v>100.35625</v>
      </c>
      <c r="O37" s="27"/>
      <c r="P37" s="27"/>
      <c r="Q37" s="28"/>
      <c r="T37" s="26"/>
      <c r="U37" s="26"/>
      <c r="V37" s="26"/>
    </row>
    <row r="38" spans="1:22" ht="19.5" customHeight="1" thickBot="1" x14ac:dyDescent="0.3">
      <c r="A38" s="3">
        <v>44570</v>
      </c>
      <c r="B38" s="1" t="s">
        <v>15</v>
      </c>
      <c r="C38" s="2">
        <v>0.56000000000000005</v>
      </c>
      <c r="D38" s="2">
        <v>0</v>
      </c>
      <c r="E38" s="4">
        <v>0.56000000000000005</v>
      </c>
      <c r="F38" s="21"/>
      <c r="G38" s="3">
        <v>44570</v>
      </c>
      <c r="H38" s="1" t="s">
        <v>15</v>
      </c>
      <c r="I38" s="2">
        <v>1</v>
      </c>
      <c r="J38" s="2">
        <v>0</v>
      </c>
      <c r="K38" s="4">
        <v>1</v>
      </c>
      <c r="M38" s="3">
        <v>44570</v>
      </c>
      <c r="N38" s="1" t="s">
        <v>15</v>
      </c>
      <c r="O38" s="2">
        <v>1.25</v>
      </c>
      <c r="P38" s="2">
        <v>0</v>
      </c>
      <c r="Q38" s="4">
        <v>1.25</v>
      </c>
      <c r="T38" s="26"/>
      <c r="U38" s="26"/>
      <c r="V38" s="26"/>
    </row>
    <row r="39" spans="1:22" ht="15.75" customHeight="1" thickBot="1" x14ac:dyDescent="0.3">
      <c r="A39" s="3">
        <v>44751</v>
      </c>
      <c r="B39" s="1" t="s">
        <v>15</v>
      </c>
      <c r="C39" s="2">
        <v>0.56000000000000005</v>
      </c>
      <c r="D39" s="2">
        <v>0</v>
      </c>
      <c r="E39" s="4">
        <v>0.56000000000000005</v>
      </c>
      <c r="F39" s="21"/>
      <c r="G39" s="3">
        <v>44751</v>
      </c>
      <c r="H39" s="1" t="s">
        <v>15</v>
      </c>
      <c r="I39" s="2">
        <v>1</v>
      </c>
      <c r="J39" s="2">
        <v>0</v>
      </c>
      <c r="K39" s="4">
        <v>1</v>
      </c>
      <c r="M39" s="3">
        <v>44751</v>
      </c>
      <c r="N39" s="1" t="s">
        <v>15</v>
      </c>
      <c r="O39" s="2">
        <v>1.25</v>
      </c>
      <c r="P39" s="2">
        <v>0</v>
      </c>
      <c r="Q39" s="4">
        <v>1.25</v>
      </c>
      <c r="T39" s="26"/>
      <c r="U39" s="26"/>
      <c r="V39" s="26"/>
    </row>
    <row r="40" spans="1:22" ht="15.75" customHeight="1" thickBot="1" x14ac:dyDescent="0.3">
      <c r="A40" s="3">
        <v>44935</v>
      </c>
      <c r="B40" s="1" t="s">
        <v>15</v>
      </c>
      <c r="C40" s="2">
        <v>0.75</v>
      </c>
      <c r="D40" s="2">
        <v>0</v>
      </c>
      <c r="E40" s="4">
        <v>0.75</v>
      </c>
      <c r="F40" s="21"/>
      <c r="G40" s="3">
        <v>44935</v>
      </c>
      <c r="H40" s="1" t="s">
        <v>15</v>
      </c>
      <c r="I40" s="2">
        <v>1.94</v>
      </c>
      <c r="J40" s="2">
        <v>0</v>
      </c>
      <c r="K40" s="4">
        <v>1.94</v>
      </c>
      <c r="M40" s="3">
        <v>44935</v>
      </c>
      <c r="N40" s="1" t="s">
        <v>15</v>
      </c>
      <c r="O40" s="2">
        <v>1.75</v>
      </c>
      <c r="P40" s="2">
        <v>0</v>
      </c>
      <c r="Q40" s="4">
        <v>1.75</v>
      </c>
      <c r="T40" s="26"/>
      <c r="U40" s="26"/>
      <c r="V40" s="26"/>
    </row>
    <row r="41" spans="1:22" ht="15.75" customHeight="1" thickBot="1" x14ac:dyDescent="0.3">
      <c r="A41" s="3">
        <v>45116</v>
      </c>
      <c r="B41" s="1" t="s">
        <v>15</v>
      </c>
      <c r="C41" s="2">
        <v>0.75</v>
      </c>
      <c r="D41" s="2">
        <v>0</v>
      </c>
      <c r="E41" s="4">
        <v>0.75</v>
      </c>
      <c r="F41" s="21"/>
      <c r="G41" s="3">
        <v>45116</v>
      </c>
      <c r="H41" s="1" t="s">
        <v>15</v>
      </c>
      <c r="I41" s="2">
        <v>1.94</v>
      </c>
      <c r="J41" s="2">
        <v>0</v>
      </c>
      <c r="K41" s="4">
        <v>1.94</v>
      </c>
      <c r="M41" s="3">
        <v>45116</v>
      </c>
      <c r="N41" s="1" t="s">
        <v>15</v>
      </c>
      <c r="O41" s="2">
        <v>1.75</v>
      </c>
      <c r="P41" s="2">
        <v>0</v>
      </c>
      <c r="Q41" s="4">
        <v>1.75</v>
      </c>
      <c r="T41" s="26"/>
      <c r="U41" s="26"/>
      <c r="V41" s="26"/>
    </row>
    <row r="42" spans="1:22" ht="15.75" customHeight="1" thickBot="1" x14ac:dyDescent="0.3">
      <c r="A42" s="3">
        <v>45300</v>
      </c>
      <c r="B42" s="1" t="s">
        <v>15</v>
      </c>
      <c r="C42" s="2">
        <v>1.81</v>
      </c>
      <c r="D42" s="2">
        <v>0</v>
      </c>
      <c r="E42" s="4">
        <v>1.81</v>
      </c>
      <c r="F42" s="21"/>
      <c r="G42" s="3">
        <v>45300</v>
      </c>
      <c r="H42" s="1" t="s">
        <v>15</v>
      </c>
      <c r="I42" s="2">
        <v>2.12</v>
      </c>
      <c r="J42" s="2">
        <v>0</v>
      </c>
      <c r="K42" s="4">
        <v>2.12</v>
      </c>
      <c r="M42" s="3">
        <v>45300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45482</v>
      </c>
      <c r="B43" s="1" t="s">
        <v>15</v>
      </c>
      <c r="C43" s="2">
        <v>1.81</v>
      </c>
      <c r="D43" s="2">
        <v>0</v>
      </c>
      <c r="E43" s="4">
        <v>1.81</v>
      </c>
      <c r="F43" s="21"/>
      <c r="G43" s="3">
        <v>45482</v>
      </c>
      <c r="H43" s="1" t="s">
        <v>15</v>
      </c>
      <c r="I43" s="2">
        <v>2.12</v>
      </c>
      <c r="J43" s="2">
        <v>0</v>
      </c>
      <c r="K43" s="4">
        <v>2.12</v>
      </c>
      <c r="M43" s="3">
        <v>45482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45666</v>
      </c>
      <c r="B44" s="1" t="s">
        <v>15</v>
      </c>
      <c r="C44" s="2">
        <v>2.06</v>
      </c>
      <c r="D44" s="2">
        <v>0</v>
      </c>
      <c r="E44" s="4">
        <v>2.06</v>
      </c>
      <c r="F44" s="21"/>
      <c r="G44" s="3">
        <v>45666</v>
      </c>
      <c r="H44" s="1" t="s">
        <v>15</v>
      </c>
      <c r="I44" s="2">
        <v>2.5</v>
      </c>
      <c r="J44" s="2">
        <v>0</v>
      </c>
      <c r="K44" s="4">
        <v>2.5</v>
      </c>
      <c r="M44" s="3">
        <v>45666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45847</v>
      </c>
      <c r="B45" s="1" t="s">
        <v>15</v>
      </c>
      <c r="C45" s="2">
        <v>2.06</v>
      </c>
      <c r="D45" s="2">
        <v>0</v>
      </c>
      <c r="E45" s="4">
        <v>2.06</v>
      </c>
      <c r="F45" s="21"/>
      <c r="G45" s="3">
        <v>45847</v>
      </c>
      <c r="H45" s="1" t="s">
        <v>15</v>
      </c>
      <c r="I45" s="2">
        <v>2.5</v>
      </c>
      <c r="J45" s="2">
        <v>0</v>
      </c>
      <c r="K45" s="4">
        <v>2.5</v>
      </c>
      <c r="M45" s="3">
        <v>45847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46031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46031</v>
      </c>
      <c r="H46" s="1" t="s">
        <v>15</v>
      </c>
      <c r="I46" s="2">
        <v>2.5</v>
      </c>
      <c r="J46" s="2">
        <v>0</v>
      </c>
      <c r="K46" s="4">
        <v>2.5</v>
      </c>
      <c r="M46" s="3">
        <v>46031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46212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46212</v>
      </c>
      <c r="H47" s="1" t="s">
        <v>15</v>
      </c>
      <c r="I47" s="2">
        <v>2.5</v>
      </c>
      <c r="J47" s="2">
        <v>0</v>
      </c>
      <c r="K47" s="4">
        <v>2.5</v>
      </c>
      <c r="M47" s="3">
        <v>46212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46396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46396</v>
      </c>
      <c r="H48" s="1" t="s">
        <v>15</v>
      </c>
      <c r="I48" s="2">
        <v>2.5</v>
      </c>
      <c r="J48" s="2">
        <v>0</v>
      </c>
      <c r="K48" s="4">
        <v>2.5</v>
      </c>
      <c r="M48" s="3">
        <v>46396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46577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46577</v>
      </c>
      <c r="H49" s="1" t="s">
        <v>15</v>
      </c>
      <c r="I49" s="2">
        <v>2.5</v>
      </c>
      <c r="J49" s="2">
        <v>4.55</v>
      </c>
      <c r="K49" s="4">
        <v>7.05</v>
      </c>
      <c r="M49" s="3">
        <v>46577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46761</v>
      </c>
      <c r="B50" s="1" t="s">
        <v>15</v>
      </c>
      <c r="C50" s="2">
        <v>2.38</v>
      </c>
      <c r="D50" s="2">
        <v>0</v>
      </c>
      <c r="E50" s="4">
        <v>2.38</v>
      </c>
      <c r="F50" s="21"/>
      <c r="G50" s="3">
        <v>46761</v>
      </c>
      <c r="H50" s="1" t="s">
        <v>15</v>
      </c>
      <c r="I50" s="2">
        <v>2.39</v>
      </c>
      <c r="J50" s="2">
        <v>4.55</v>
      </c>
      <c r="K50" s="4">
        <v>6.94</v>
      </c>
      <c r="M50" s="3">
        <v>46761</v>
      </c>
      <c r="N50" s="1" t="s">
        <v>15</v>
      </c>
      <c r="O50" s="2">
        <v>1.75</v>
      </c>
      <c r="P50" s="2">
        <v>3.57</v>
      </c>
      <c r="Q50" s="4">
        <v>5.32</v>
      </c>
      <c r="T50" s="26"/>
      <c r="U50" s="26"/>
      <c r="V50" s="26"/>
    </row>
    <row r="51" spans="1:23" ht="15.75" customHeight="1" thickBot="1" x14ac:dyDescent="0.3">
      <c r="A51" s="3">
        <v>46943</v>
      </c>
      <c r="B51" s="1" t="s">
        <v>15</v>
      </c>
      <c r="C51" s="2">
        <v>2.38</v>
      </c>
      <c r="D51" s="2">
        <v>0</v>
      </c>
      <c r="E51" s="4">
        <v>2.38</v>
      </c>
      <c r="F51" s="21"/>
      <c r="G51" s="3">
        <v>46943</v>
      </c>
      <c r="H51" s="1" t="s">
        <v>15</v>
      </c>
      <c r="I51" s="2">
        <v>2.27</v>
      </c>
      <c r="J51" s="2">
        <v>4.55</v>
      </c>
      <c r="K51" s="4">
        <v>6.82</v>
      </c>
      <c r="M51" s="3">
        <v>46943</v>
      </c>
      <c r="N51" s="1" t="s">
        <v>15</v>
      </c>
      <c r="O51" s="2">
        <v>1.69</v>
      </c>
      <c r="P51" s="2">
        <v>3.57</v>
      </c>
      <c r="Q51" s="4">
        <v>5.26</v>
      </c>
      <c r="T51" s="26"/>
      <c r="U51" s="26"/>
      <c r="V51" s="26"/>
    </row>
    <row r="52" spans="1:23" ht="15.75" customHeight="1" thickBot="1" x14ac:dyDescent="0.3">
      <c r="A52" s="3">
        <v>47127</v>
      </c>
      <c r="B52" s="1" t="s">
        <v>15</v>
      </c>
      <c r="C52" s="2">
        <v>2.5</v>
      </c>
      <c r="D52" s="2">
        <v>0</v>
      </c>
      <c r="E52" s="4">
        <v>2.5</v>
      </c>
      <c r="F52" s="21"/>
      <c r="G52" s="3">
        <v>47127</v>
      </c>
      <c r="H52" s="1" t="s">
        <v>15</v>
      </c>
      <c r="I52" s="2">
        <v>2.16</v>
      </c>
      <c r="J52" s="2">
        <v>4.55</v>
      </c>
      <c r="K52" s="4">
        <v>6.71</v>
      </c>
      <c r="M52" s="3">
        <v>47127</v>
      </c>
      <c r="N52" s="1" t="s">
        <v>15</v>
      </c>
      <c r="O52" s="2">
        <v>1.63</v>
      </c>
      <c r="P52" s="2">
        <v>3.57</v>
      </c>
      <c r="Q52" s="4">
        <v>5.2</v>
      </c>
      <c r="T52" s="26"/>
      <c r="U52" s="26"/>
      <c r="V52" s="26"/>
    </row>
    <row r="53" spans="1:23" ht="15.75" customHeight="1" thickBot="1" x14ac:dyDescent="0.3">
      <c r="A53" s="3">
        <v>47308</v>
      </c>
      <c r="B53" s="1" t="s">
        <v>15</v>
      </c>
      <c r="C53" s="2">
        <v>2.5</v>
      </c>
      <c r="D53" s="2">
        <v>0</v>
      </c>
      <c r="E53" s="4">
        <v>2.5</v>
      </c>
      <c r="F53" s="21"/>
      <c r="G53" s="3">
        <v>47308</v>
      </c>
      <c r="H53" s="1" t="s">
        <v>15</v>
      </c>
      <c r="I53" s="2">
        <v>2.0499999999999998</v>
      </c>
      <c r="J53" s="2">
        <v>4.55</v>
      </c>
      <c r="K53" s="4">
        <v>6.6</v>
      </c>
      <c r="M53" s="3">
        <v>47308</v>
      </c>
      <c r="N53" s="1" t="s">
        <v>15</v>
      </c>
      <c r="O53" s="2">
        <v>1.56</v>
      </c>
      <c r="P53" s="2">
        <v>3.57</v>
      </c>
      <c r="Q53" s="4">
        <v>5.13</v>
      </c>
      <c r="T53" s="26"/>
      <c r="U53" s="26"/>
      <c r="V53" s="26"/>
    </row>
    <row r="54" spans="1:23" ht="15.75" customHeight="1" thickBot="1" x14ac:dyDescent="0.3">
      <c r="A54" s="3">
        <v>47492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47492</v>
      </c>
      <c r="H54" s="1" t="s">
        <v>15</v>
      </c>
      <c r="I54" s="2">
        <v>1.93</v>
      </c>
      <c r="J54" s="2">
        <v>4.55</v>
      </c>
      <c r="K54" s="4">
        <v>6.48</v>
      </c>
      <c r="M54" s="3">
        <v>47492</v>
      </c>
      <c r="N54" s="1" t="s">
        <v>15</v>
      </c>
      <c r="O54" s="2">
        <v>2.09</v>
      </c>
      <c r="P54" s="2">
        <v>3.57</v>
      </c>
      <c r="Q54" s="4">
        <v>5.66</v>
      </c>
      <c r="T54" s="26"/>
      <c r="U54" s="26"/>
      <c r="V54" s="26"/>
    </row>
    <row r="55" spans="1:23" ht="15.75" customHeight="1" thickBot="1" x14ac:dyDescent="0.3">
      <c r="A55" s="3">
        <v>47673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47673</v>
      </c>
      <c r="H55" s="1" t="s">
        <v>15</v>
      </c>
      <c r="I55" s="2">
        <v>1.82</v>
      </c>
      <c r="J55" s="2">
        <v>4.55</v>
      </c>
      <c r="K55" s="4">
        <v>6.37</v>
      </c>
      <c r="M55" s="3">
        <v>47673</v>
      </c>
      <c r="N55" s="1" t="s">
        <v>15</v>
      </c>
      <c r="O55" s="2">
        <v>2</v>
      </c>
      <c r="P55" s="2">
        <v>3.57</v>
      </c>
      <c r="Q55" s="4">
        <v>5.57</v>
      </c>
      <c r="T55" s="26"/>
      <c r="U55" s="26"/>
      <c r="V55" s="26"/>
    </row>
    <row r="56" spans="1:23" ht="15.75" customHeight="1" thickBot="1" x14ac:dyDescent="0.3">
      <c r="A56" s="3">
        <v>47857</v>
      </c>
      <c r="B56" s="1" t="s">
        <v>15</v>
      </c>
      <c r="C56" s="2">
        <v>2.5</v>
      </c>
      <c r="D56" s="2">
        <v>10</v>
      </c>
      <c r="E56" s="4">
        <v>12.5</v>
      </c>
      <c r="F56" s="21"/>
      <c r="G56" s="3">
        <v>47857</v>
      </c>
      <c r="H56" s="1" t="s">
        <v>15</v>
      </c>
      <c r="I56" s="2">
        <v>1.7</v>
      </c>
      <c r="J56" s="2">
        <v>4.55</v>
      </c>
      <c r="K56" s="4">
        <v>6.25</v>
      </c>
      <c r="M56" s="3">
        <v>47857</v>
      </c>
      <c r="N56" s="1" t="s">
        <v>15</v>
      </c>
      <c r="O56" s="2">
        <v>1.92</v>
      </c>
      <c r="P56" s="2">
        <v>3.57</v>
      </c>
      <c r="Q56" s="4">
        <v>5.49</v>
      </c>
      <c r="T56" s="26"/>
      <c r="U56" s="26"/>
      <c r="V56" s="26"/>
    </row>
    <row r="57" spans="1:23" ht="15.75" customHeight="1" thickBot="1" x14ac:dyDescent="0.3">
      <c r="A57" s="3">
        <v>48038</v>
      </c>
      <c r="B57" s="1" t="s">
        <v>15</v>
      </c>
      <c r="C57" s="2">
        <v>2.25</v>
      </c>
      <c r="D57" s="2">
        <v>10</v>
      </c>
      <c r="E57" s="4">
        <v>12.25</v>
      </c>
      <c r="F57" s="21"/>
      <c r="G57" s="3">
        <v>48038</v>
      </c>
      <c r="H57" s="1" t="s">
        <v>15</v>
      </c>
      <c r="I57" s="2">
        <v>1.59</v>
      </c>
      <c r="J57" s="2">
        <v>4.55</v>
      </c>
      <c r="K57" s="4">
        <v>6.14</v>
      </c>
      <c r="M57" s="3">
        <v>48038</v>
      </c>
      <c r="N57" s="1" t="s">
        <v>15</v>
      </c>
      <c r="O57" s="2">
        <v>1.83</v>
      </c>
      <c r="P57" s="2">
        <v>3.57</v>
      </c>
      <c r="Q57" s="4">
        <v>5.4</v>
      </c>
      <c r="T57" s="26"/>
      <c r="U57" s="26"/>
      <c r="V57" s="26"/>
    </row>
    <row r="58" spans="1:23" ht="15.75" customHeight="1" thickBot="1" x14ac:dyDescent="0.3">
      <c r="A58" s="3">
        <v>48222</v>
      </c>
      <c r="B58" s="1" t="s">
        <v>15</v>
      </c>
      <c r="C58" s="2">
        <v>2</v>
      </c>
      <c r="D58" s="2">
        <v>10</v>
      </c>
      <c r="E58" s="4">
        <v>12</v>
      </c>
      <c r="F58" s="21"/>
      <c r="G58" s="3">
        <v>48222</v>
      </c>
      <c r="H58" s="1" t="s">
        <v>15</v>
      </c>
      <c r="I58" s="2">
        <v>1.48</v>
      </c>
      <c r="J58" s="2">
        <v>4.55</v>
      </c>
      <c r="K58" s="4">
        <v>6.03</v>
      </c>
      <c r="M58" s="3">
        <v>48222</v>
      </c>
      <c r="N58" s="1" t="s">
        <v>15</v>
      </c>
      <c r="O58" s="2">
        <v>1.74</v>
      </c>
      <c r="P58" s="2">
        <v>3.57</v>
      </c>
      <c r="Q58" s="4">
        <v>5.31</v>
      </c>
      <c r="T58" s="26"/>
      <c r="U58" s="26"/>
      <c r="V58" s="26"/>
    </row>
    <row r="59" spans="1:23" ht="15.75" customHeight="1" thickBot="1" x14ac:dyDescent="0.3">
      <c r="A59" s="3">
        <v>48404</v>
      </c>
      <c r="B59" s="1" t="s">
        <v>15</v>
      </c>
      <c r="C59" s="2">
        <v>1.75</v>
      </c>
      <c r="D59" s="2">
        <v>10</v>
      </c>
      <c r="E59" s="4">
        <v>11.75</v>
      </c>
      <c r="F59" s="21"/>
      <c r="G59" s="3">
        <v>48404</v>
      </c>
      <c r="H59" s="1" t="s">
        <v>15</v>
      </c>
      <c r="I59" s="2">
        <v>1.36</v>
      </c>
      <c r="J59" s="2">
        <v>4.55</v>
      </c>
      <c r="K59" s="4">
        <v>5.91</v>
      </c>
      <c r="L59" s="21"/>
      <c r="M59" s="3">
        <v>48404</v>
      </c>
      <c r="N59" s="1" t="s">
        <v>15</v>
      </c>
      <c r="O59" s="2">
        <v>1.65</v>
      </c>
      <c r="P59" s="2">
        <v>3.57</v>
      </c>
      <c r="Q59" s="4">
        <v>5.22</v>
      </c>
      <c r="U59" s="26"/>
      <c r="V59" s="26"/>
      <c r="W59" s="26"/>
    </row>
    <row r="60" spans="1:23" ht="15.75" customHeight="1" thickBot="1" x14ac:dyDescent="0.3">
      <c r="A60" s="3">
        <v>48588</v>
      </c>
      <c r="B60" s="1" t="s">
        <v>15</v>
      </c>
      <c r="C60" s="2">
        <v>1.5</v>
      </c>
      <c r="D60" s="2">
        <v>10</v>
      </c>
      <c r="E60" s="4">
        <v>11.5</v>
      </c>
      <c r="F60" s="21"/>
      <c r="G60" s="3">
        <v>48588</v>
      </c>
      <c r="H60" s="1" t="s">
        <v>15</v>
      </c>
      <c r="I60" s="2">
        <v>1.25</v>
      </c>
      <c r="J60" s="2">
        <v>4.55</v>
      </c>
      <c r="K60" s="4">
        <v>5.8</v>
      </c>
      <c r="L60" s="21"/>
      <c r="M60" s="3">
        <v>48588</v>
      </c>
      <c r="N60" s="1" t="s">
        <v>15</v>
      </c>
      <c r="O60" s="2">
        <v>1.57</v>
      </c>
      <c r="P60" s="2">
        <v>3.57</v>
      </c>
      <c r="Q60" s="4">
        <v>5.14</v>
      </c>
      <c r="U60" s="26"/>
      <c r="V60" s="26"/>
      <c r="W60" s="26"/>
    </row>
    <row r="61" spans="1:23" ht="15.75" customHeight="1" thickBot="1" x14ac:dyDescent="0.3">
      <c r="A61" s="3">
        <v>48769</v>
      </c>
      <c r="B61" s="1" t="s">
        <v>15</v>
      </c>
      <c r="C61" s="2">
        <v>1.25</v>
      </c>
      <c r="D61" s="2">
        <v>10</v>
      </c>
      <c r="E61" s="4">
        <v>11.25</v>
      </c>
      <c r="F61" s="21"/>
      <c r="G61" s="3">
        <v>48769</v>
      </c>
      <c r="H61" s="1" t="s">
        <v>15</v>
      </c>
      <c r="I61" s="2">
        <v>1.1399999999999999</v>
      </c>
      <c r="J61" s="2">
        <v>4.55</v>
      </c>
      <c r="K61" s="4">
        <v>5.69</v>
      </c>
      <c r="L61" s="21"/>
      <c r="M61" s="3">
        <v>48769</v>
      </c>
      <c r="N61" s="1" t="s">
        <v>15</v>
      </c>
      <c r="O61" s="2">
        <v>1.48</v>
      </c>
      <c r="P61" s="2">
        <v>3.57</v>
      </c>
      <c r="Q61" s="4">
        <v>5.05</v>
      </c>
      <c r="U61" s="26"/>
      <c r="V61" s="26"/>
      <c r="W61" s="26"/>
    </row>
    <row r="62" spans="1:23" ht="15.75" customHeight="1" thickBot="1" x14ac:dyDescent="0.3">
      <c r="A62" s="3">
        <v>48953</v>
      </c>
      <c r="B62" s="1" t="s">
        <v>15</v>
      </c>
      <c r="C62" s="2">
        <v>1</v>
      </c>
      <c r="D62" s="2">
        <v>10</v>
      </c>
      <c r="E62" s="4">
        <v>11</v>
      </c>
      <c r="F62" s="21"/>
      <c r="G62" s="3">
        <v>48953</v>
      </c>
      <c r="H62" s="1" t="s">
        <v>15</v>
      </c>
      <c r="I62" s="2">
        <v>1.02</v>
      </c>
      <c r="J62" s="2">
        <v>4.55</v>
      </c>
      <c r="K62" s="4">
        <v>5.57</v>
      </c>
      <c r="L62" s="21"/>
      <c r="M62" s="3">
        <v>48953</v>
      </c>
      <c r="N62" s="1" t="s">
        <v>15</v>
      </c>
      <c r="O62" s="2">
        <v>1.39</v>
      </c>
      <c r="P62" s="2">
        <v>3.57</v>
      </c>
      <c r="Q62" s="4">
        <v>4.96</v>
      </c>
      <c r="U62" s="26"/>
      <c r="V62" s="26"/>
      <c r="W62" s="26"/>
    </row>
    <row r="63" spans="1:23" ht="15.75" customHeight="1" thickBot="1" x14ac:dyDescent="0.3">
      <c r="A63" s="3">
        <v>49134</v>
      </c>
      <c r="B63" s="1" t="s">
        <v>15</v>
      </c>
      <c r="C63" s="2">
        <v>0.75</v>
      </c>
      <c r="D63" s="2">
        <v>10</v>
      </c>
      <c r="E63" s="4">
        <v>10.75</v>
      </c>
      <c r="F63" s="21"/>
      <c r="G63" s="3">
        <v>49134</v>
      </c>
      <c r="H63" s="1" t="s">
        <v>15</v>
      </c>
      <c r="I63" s="2">
        <v>0.91</v>
      </c>
      <c r="J63" s="2">
        <v>4.55</v>
      </c>
      <c r="K63" s="4">
        <v>5.46</v>
      </c>
      <c r="L63" s="21"/>
      <c r="M63" s="3">
        <v>49134</v>
      </c>
      <c r="N63" s="1" t="s">
        <v>15</v>
      </c>
      <c r="O63" s="2">
        <v>1.31</v>
      </c>
      <c r="P63" s="2">
        <v>3.57</v>
      </c>
      <c r="Q63" s="4">
        <v>4.88</v>
      </c>
      <c r="U63" s="26"/>
      <c r="V63" s="26"/>
      <c r="W63" s="26"/>
    </row>
    <row r="64" spans="1:23" ht="15.75" customHeight="1" thickBot="1" x14ac:dyDescent="0.3">
      <c r="A64" s="3">
        <v>49318</v>
      </c>
      <c r="B64" s="1" t="s">
        <v>15</v>
      </c>
      <c r="C64" s="2">
        <v>0.5</v>
      </c>
      <c r="D64" s="2">
        <v>10</v>
      </c>
      <c r="E64" s="4">
        <v>10.5</v>
      </c>
      <c r="F64" s="21"/>
      <c r="G64" s="3">
        <v>49318</v>
      </c>
      <c r="H64" s="1" t="s">
        <v>15</v>
      </c>
      <c r="I64" s="2">
        <v>0.8</v>
      </c>
      <c r="J64" s="2">
        <v>4.55</v>
      </c>
      <c r="K64" s="4">
        <v>5.35</v>
      </c>
      <c r="L64" s="21"/>
      <c r="M64" s="3">
        <v>49318</v>
      </c>
      <c r="N64" s="1" t="s">
        <v>15</v>
      </c>
      <c r="O64" s="2">
        <v>1.22</v>
      </c>
      <c r="P64" s="2">
        <v>3.57</v>
      </c>
      <c r="Q64" s="4">
        <v>4.79</v>
      </c>
      <c r="U64" s="26"/>
      <c r="V64" s="26"/>
      <c r="W64" s="26"/>
    </row>
    <row r="65" spans="1:23" ht="15.75" customHeight="1" thickBot="1" x14ac:dyDescent="0.3">
      <c r="A65" s="3">
        <v>49499</v>
      </c>
      <c r="B65" s="1" t="s">
        <v>15</v>
      </c>
      <c r="C65" s="2">
        <v>0.25</v>
      </c>
      <c r="D65" s="2">
        <v>10</v>
      </c>
      <c r="E65" s="4">
        <v>10.25</v>
      </c>
      <c r="F65" s="21"/>
      <c r="G65" s="3">
        <v>49499</v>
      </c>
      <c r="H65" s="1" t="s">
        <v>15</v>
      </c>
      <c r="I65" s="2">
        <v>0.68</v>
      </c>
      <c r="J65" s="2">
        <v>4.55</v>
      </c>
      <c r="K65" s="4">
        <v>5.23</v>
      </c>
      <c r="L65" s="21"/>
      <c r="M65" s="3">
        <v>49499</v>
      </c>
      <c r="N65" s="1" t="s">
        <v>15</v>
      </c>
      <c r="O65" s="2">
        <v>1.1299999999999999</v>
      </c>
      <c r="P65" s="2">
        <v>3.57</v>
      </c>
      <c r="Q65" s="4">
        <v>4.7</v>
      </c>
      <c r="U65" s="26"/>
      <c r="V65" s="26"/>
      <c r="W65" s="26"/>
    </row>
    <row r="66" spans="1:23" ht="15.75" customHeight="1" thickBot="1" x14ac:dyDescent="0.3">
      <c r="A66" s="5"/>
      <c r="B66" s="6"/>
      <c r="C66" s="7">
        <f>SUM(C38:C65)</f>
        <v>47.11</v>
      </c>
      <c r="D66" s="7">
        <f>SUM(D38:D65)</f>
        <v>100</v>
      </c>
      <c r="E66" s="8">
        <f>SUM(E38:E65)</f>
        <v>147.11000000000001</v>
      </c>
      <c r="F66" s="21"/>
      <c r="G66" s="3">
        <v>49683</v>
      </c>
      <c r="H66" s="1" t="s">
        <v>15</v>
      </c>
      <c r="I66" s="2">
        <v>0.56999999999999995</v>
      </c>
      <c r="J66" s="2">
        <v>4.55</v>
      </c>
      <c r="K66" s="4">
        <v>5.12</v>
      </c>
      <c r="L66" s="21"/>
      <c r="M66" s="3">
        <v>49683</v>
      </c>
      <c r="N66" s="1" t="s">
        <v>15</v>
      </c>
      <c r="O66" s="2">
        <v>1.04</v>
      </c>
      <c r="P66" s="2">
        <v>3.57</v>
      </c>
      <c r="Q66" s="4">
        <v>4.6100000000000003</v>
      </c>
      <c r="U66" s="26"/>
      <c r="V66" s="26"/>
      <c r="W66" s="26"/>
    </row>
    <row r="67" spans="1:23" ht="15.75" customHeight="1" thickBot="1" x14ac:dyDescent="0.3">
      <c r="B67" s="21"/>
      <c r="F67" s="21"/>
      <c r="G67" s="3">
        <v>49865</v>
      </c>
      <c r="H67" s="1" t="s">
        <v>15</v>
      </c>
      <c r="I67" s="2">
        <v>0.45</v>
      </c>
      <c r="J67" s="2">
        <v>4.55</v>
      </c>
      <c r="K67" s="4">
        <v>5</v>
      </c>
      <c r="L67" s="21"/>
      <c r="M67" s="3">
        <v>49865</v>
      </c>
      <c r="N67" s="1" t="s">
        <v>15</v>
      </c>
      <c r="O67" s="2">
        <v>0.96</v>
      </c>
      <c r="P67" s="2">
        <v>3.57</v>
      </c>
      <c r="Q67" s="4">
        <v>4.53</v>
      </c>
      <c r="U67" s="26"/>
      <c r="V67" s="26"/>
      <c r="W67" s="26"/>
    </row>
    <row r="68" spans="1:23" ht="15.75" customHeight="1" thickBot="1" x14ac:dyDescent="0.3">
      <c r="B68" s="21"/>
      <c r="F68" s="21"/>
      <c r="G68" s="3">
        <v>50049</v>
      </c>
      <c r="H68" s="1" t="s">
        <v>15</v>
      </c>
      <c r="I68" s="2">
        <v>0.34</v>
      </c>
      <c r="J68" s="2">
        <v>4.55</v>
      </c>
      <c r="K68" s="4">
        <v>4.8899999999999997</v>
      </c>
      <c r="L68" s="21"/>
      <c r="M68" s="3">
        <v>50049</v>
      </c>
      <c r="N68" s="1" t="s">
        <v>15</v>
      </c>
      <c r="O68" s="2">
        <v>0.87</v>
      </c>
      <c r="P68" s="2">
        <v>3.57</v>
      </c>
      <c r="Q68" s="4">
        <v>4.4400000000000004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50230</v>
      </c>
      <c r="H69" s="1" t="s">
        <v>15</v>
      </c>
      <c r="I69" s="2">
        <v>0.23</v>
      </c>
      <c r="J69" s="2">
        <v>4.55</v>
      </c>
      <c r="K69" s="4">
        <v>4.78</v>
      </c>
      <c r="L69" s="21"/>
      <c r="M69" s="3">
        <v>50230</v>
      </c>
      <c r="N69" s="1" t="s">
        <v>15</v>
      </c>
      <c r="O69" s="2">
        <v>0.78</v>
      </c>
      <c r="P69" s="2">
        <v>3.57</v>
      </c>
      <c r="Q69" s="4">
        <v>4.3499999999999996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50414</v>
      </c>
      <c r="H70" s="1" t="s">
        <v>15</v>
      </c>
      <c r="I70" s="2">
        <v>0.11</v>
      </c>
      <c r="J70" s="2">
        <v>4.55</v>
      </c>
      <c r="K70" s="4">
        <v>4.66</v>
      </c>
      <c r="L70" s="21"/>
      <c r="M70" s="3">
        <v>50414</v>
      </c>
      <c r="N70" s="1" t="s">
        <v>15</v>
      </c>
      <c r="O70" s="2">
        <v>0.7</v>
      </c>
      <c r="P70" s="2">
        <v>3.57</v>
      </c>
      <c r="Q70" s="4">
        <v>4.2699999999999996</v>
      </c>
      <c r="U70" s="26"/>
      <c r="V70" s="26"/>
      <c r="W70" s="26"/>
    </row>
    <row r="71" spans="1:23" ht="15.75" customHeight="1" thickBot="1" x14ac:dyDescent="0.3">
      <c r="B71" s="21"/>
      <c r="F71" s="21"/>
      <c r="G71" s="5"/>
      <c r="H71" s="10"/>
      <c r="I71" s="7">
        <f>SUM(I38:I70)</f>
        <v>51.370000000000005</v>
      </c>
      <c r="J71" s="7">
        <f>SUM(J38:J70)</f>
        <v>100.09999999999997</v>
      </c>
      <c r="K71" s="8">
        <f>SUM(K38:K70)</f>
        <v>151.46999999999997</v>
      </c>
      <c r="L71" s="21"/>
      <c r="M71" s="3">
        <v>50595</v>
      </c>
      <c r="N71" s="1" t="s">
        <v>15</v>
      </c>
      <c r="O71" s="2">
        <v>0.61</v>
      </c>
      <c r="P71" s="2">
        <v>3.57</v>
      </c>
      <c r="Q71" s="4">
        <v>4.18</v>
      </c>
      <c r="U71" s="26"/>
      <c r="V71" s="26"/>
      <c r="W71" s="26"/>
    </row>
    <row r="72" spans="1:23" ht="15.75" customHeight="1" thickBot="1" x14ac:dyDescent="0.3">
      <c r="B72" s="21"/>
      <c r="F72" s="21"/>
      <c r="L72" s="21"/>
      <c r="M72" s="3">
        <v>50779</v>
      </c>
      <c r="N72" s="1" t="s">
        <v>15</v>
      </c>
      <c r="O72" s="2">
        <v>0.52</v>
      </c>
      <c r="P72" s="2">
        <v>3.57</v>
      </c>
      <c r="Q72" s="4">
        <v>4.09</v>
      </c>
      <c r="U72" s="26"/>
      <c r="V72" s="26"/>
      <c r="W72" s="26"/>
    </row>
    <row r="73" spans="1:23" ht="15.75" customHeight="1" thickBot="1" x14ac:dyDescent="0.3">
      <c r="B73" s="21"/>
      <c r="F73" s="21"/>
      <c r="L73" s="21"/>
      <c r="M73" s="3">
        <v>50960</v>
      </c>
      <c r="N73" s="1" t="s">
        <v>15</v>
      </c>
      <c r="O73" s="2">
        <v>0.44</v>
      </c>
      <c r="P73" s="2">
        <v>3.57</v>
      </c>
      <c r="Q73" s="4">
        <v>4.01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51144</v>
      </c>
      <c r="N74" s="1" t="s">
        <v>15</v>
      </c>
      <c r="O74" s="2">
        <v>0.35</v>
      </c>
      <c r="P74" s="2">
        <v>3.57</v>
      </c>
      <c r="Q74" s="4">
        <v>3.92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51326</v>
      </c>
      <c r="N75" s="1" t="s">
        <v>15</v>
      </c>
      <c r="O75" s="2">
        <v>0.26</v>
      </c>
      <c r="P75" s="2">
        <v>3.57</v>
      </c>
      <c r="Q75" s="4">
        <v>3.83</v>
      </c>
    </row>
    <row r="76" spans="1:23" ht="15.75" customHeight="1" thickBot="1" x14ac:dyDescent="0.3">
      <c r="B76" s="21"/>
      <c r="F76" s="21"/>
      <c r="L76" s="21"/>
      <c r="M76" s="3">
        <v>51510</v>
      </c>
      <c r="N76" s="1" t="s">
        <v>15</v>
      </c>
      <c r="O76" s="2">
        <v>0.17</v>
      </c>
      <c r="P76" s="2">
        <v>3.57</v>
      </c>
      <c r="Q76" s="4">
        <v>3.74</v>
      </c>
    </row>
    <row r="77" spans="1:23" ht="15.75" customHeight="1" thickBot="1" x14ac:dyDescent="0.3">
      <c r="B77" s="21"/>
      <c r="F77" s="21"/>
      <c r="L77" s="21"/>
      <c r="M77" s="3">
        <v>51691</v>
      </c>
      <c r="N77" s="1" t="s">
        <v>15</v>
      </c>
      <c r="O77" s="2">
        <v>0.09</v>
      </c>
      <c r="P77" s="2">
        <v>3.57</v>
      </c>
      <c r="Q77" s="4">
        <v>3.66</v>
      </c>
    </row>
    <row r="78" spans="1:23" ht="15.75" customHeight="1" thickBot="1" x14ac:dyDescent="0.3">
      <c r="B78" s="21"/>
      <c r="F78" s="21"/>
      <c r="L78" s="21"/>
      <c r="M78" s="5"/>
      <c r="N78" s="10"/>
      <c r="O78" s="7">
        <f>SUM(O38:O77)</f>
        <v>52.750000000000007</v>
      </c>
      <c r="P78" s="7">
        <f>SUM(P38:P77)</f>
        <v>99.959999999999923</v>
      </c>
      <c r="Q78" s="8">
        <f>SUM(Q38:Q77)</f>
        <v>152.70999999999998</v>
      </c>
    </row>
    <row r="79" spans="1:23" ht="15.75" customHeight="1" x14ac:dyDescent="0.25">
      <c r="B79" s="21"/>
    </row>
    <row r="80" spans="1:23" ht="15.75" customHeight="1" x14ac:dyDescent="0.25">
      <c r="B80" s="21"/>
    </row>
    <row r="81" spans="1:13" x14ac:dyDescent="0.25">
      <c r="B81" s="21"/>
    </row>
    <row r="82" spans="1:13" x14ac:dyDescent="0.25">
      <c r="B82" s="21"/>
      <c r="M82" s="21"/>
    </row>
    <row r="83" spans="1:13" x14ac:dyDescent="0.25">
      <c r="A83" s="22"/>
      <c r="B83" s="23"/>
      <c r="D83" s="21"/>
      <c r="E83" s="21"/>
      <c r="G83" s="21"/>
      <c r="H83" s="21"/>
      <c r="I83" s="21"/>
      <c r="J83" s="21"/>
      <c r="K83" s="21"/>
    </row>
    <row r="84" spans="1:13" x14ac:dyDescent="0.25">
      <c r="A84" s="22"/>
      <c r="B84" s="23"/>
      <c r="D84" s="21"/>
      <c r="E84" s="21"/>
      <c r="F84" s="21"/>
      <c r="G84" s="21"/>
      <c r="H84" s="21"/>
      <c r="I84" s="21"/>
      <c r="J84" s="21"/>
      <c r="K84" s="21"/>
      <c r="L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4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B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L106" s="21"/>
    </row>
    <row r="107" spans="2:12" x14ac:dyDescent="0.25">
      <c r="B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topLeftCell="A7" workbookViewId="0">
      <selection activeCell="Q9" sqref="Q9:Q20"/>
    </sheetView>
  </sheetViews>
  <sheetFormatPr baseColWidth="10" defaultRowHeight="15" x14ac:dyDescent="0.25"/>
  <cols>
    <col min="1" max="1" width="22.140625" style="74" bestFit="1" customWidth="1"/>
    <col min="2" max="2" width="10.7109375" style="74" bestFit="1" customWidth="1"/>
    <col min="7" max="7" width="22.140625" style="74" bestFit="1" customWidth="1"/>
    <col min="8" max="8" width="11.85546875" style="74" bestFit="1" customWidth="1"/>
    <col min="13" max="13" width="22.140625" style="74" bestFit="1" customWidth="1"/>
    <col min="14" max="14" width="11.85546875" style="74" bestFit="1" customWidth="1"/>
    <col min="15" max="17" width="11.42578125" style="74" customWidth="1"/>
    <col min="19" max="19" width="22.140625" style="74" bestFit="1" customWidth="1"/>
    <col min="21" max="23" width="11.42578125" style="74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2.8444444444444446</v>
      </c>
      <c r="C8" s="27"/>
      <c r="D8" s="48"/>
      <c r="E8" s="28"/>
      <c r="F8" s="47"/>
      <c r="G8" s="31" t="s">
        <v>13</v>
      </c>
      <c r="H8" s="46">
        <f ca="1">H6*DAYS360(H5,TODAY())/360*100</f>
        <v>2.8444444444444446</v>
      </c>
      <c r="I8" s="27"/>
      <c r="J8" s="27"/>
      <c r="K8" s="28"/>
      <c r="L8" s="21"/>
      <c r="M8" s="31" t="s">
        <v>13</v>
      </c>
      <c r="N8" s="46">
        <f ca="1">N6*DAYS360(N5,TODAY())/360*100</f>
        <v>0.35555555555555557</v>
      </c>
      <c r="O8" s="27"/>
      <c r="P8" s="27"/>
      <c r="Q8" s="28"/>
      <c r="S8" s="31" t="s">
        <v>13</v>
      </c>
      <c r="T8" s="46">
        <f ca="1">T6*DAYS360(T5,TODAY())/360*100</f>
        <v>0.35625000000000001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102.84444444444445</v>
      </c>
      <c r="C9" s="27"/>
      <c r="D9" s="27"/>
      <c r="E9" s="28">
        <v>-34.799999999999997</v>
      </c>
      <c r="F9" s="21"/>
      <c r="G9" s="31" t="s">
        <v>14</v>
      </c>
      <c r="H9" s="46">
        <f ca="1">H7+H8</f>
        <v>102.84444444444445</v>
      </c>
      <c r="I9" s="27"/>
      <c r="J9" s="27"/>
      <c r="K9" s="28"/>
      <c r="L9" s="21"/>
      <c r="M9" s="31" t="s">
        <v>14</v>
      </c>
      <c r="N9" s="46">
        <f ca="1">N7+N8</f>
        <v>100.35555555555555</v>
      </c>
      <c r="O9" s="27"/>
      <c r="P9" s="27"/>
      <c r="Q9" s="28">
        <v>-32.700000000000003</v>
      </c>
      <c r="S9" s="31" t="s">
        <v>14</v>
      </c>
      <c r="T9" s="46">
        <f ca="1">T7+T8</f>
        <v>100.35625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0.35555555555555557</v>
      </c>
      <c r="C37" s="27"/>
      <c r="D37" s="27"/>
      <c r="E37" s="28"/>
      <c r="F37" s="21"/>
      <c r="G37" s="31" t="s">
        <v>13</v>
      </c>
      <c r="H37" s="46">
        <f ca="1">H35*DAYS360(H34,TODAY())/360*100</f>
        <v>0.35555555555555557</v>
      </c>
      <c r="I37" s="27"/>
      <c r="J37" s="27"/>
      <c r="K37" s="28"/>
      <c r="M37" s="31" t="s">
        <v>13</v>
      </c>
      <c r="N37" s="46">
        <f ca="1">N35*DAYS360(N33,TODAY())/360*100</f>
        <v>0.35625000000000001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100.35555555555555</v>
      </c>
      <c r="C38" s="27"/>
      <c r="D38" s="27"/>
      <c r="E38" s="28"/>
      <c r="F38" s="21"/>
      <c r="G38" s="31" t="s">
        <v>14</v>
      </c>
      <c r="H38" s="46">
        <f ca="1">H36+H37</f>
        <v>100.35555555555555</v>
      </c>
      <c r="I38" s="27"/>
      <c r="J38" s="27"/>
      <c r="K38" s="28"/>
      <c r="M38" s="31" t="s">
        <v>14</v>
      </c>
      <c r="N38" s="46">
        <f ca="1">N36+N37</f>
        <v>100.35625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abSelected="1" topLeftCell="E3" workbookViewId="0">
      <selection activeCell="T6" sqref="T6"/>
    </sheetView>
  </sheetViews>
  <sheetFormatPr baseColWidth="10" defaultRowHeight="15" x14ac:dyDescent="0.25"/>
  <cols>
    <col min="1" max="1" width="22.140625" style="74" bestFit="1" customWidth="1"/>
    <col min="2" max="2" width="10.7109375" style="74" bestFit="1" customWidth="1"/>
    <col min="7" max="7" width="22.140625" style="74" bestFit="1" customWidth="1"/>
    <col min="8" max="8" width="11.85546875" style="74" bestFit="1" customWidth="1"/>
    <col min="13" max="13" width="22.140625" style="74" bestFit="1" customWidth="1"/>
    <col min="14" max="14" width="11.85546875" style="74" bestFit="1" customWidth="1"/>
    <col min="15" max="17" width="11.42578125" style="74" customWidth="1"/>
    <col min="19" max="19" width="22.140625" style="74" bestFit="1" customWidth="1"/>
    <col min="21" max="23" width="11.42578125" style="74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-44751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44751</v>
      </c>
      <c r="C5" s="27"/>
      <c r="D5" s="26">
        <f>DAYS360(B5,A10)</f>
        <v>-44109</v>
      </c>
      <c r="E5" s="28"/>
      <c r="G5" s="31" t="s">
        <v>10</v>
      </c>
      <c r="H5" s="24">
        <v>44751</v>
      </c>
      <c r="I5" s="27"/>
      <c r="J5" s="27"/>
      <c r="K5" s="28"/>
      <c r="L5" s="21"/>
      <c r="M5" s="31" t="s">
        <v>10</v>
      </c>
      <c r="N5" s="24">
        <v>40733</v>
      </c>
      <c r="O5" s="27"/>
      <c r="P5" s="27"/>
      <c r="Q5" s="28"/>
      <c r="S5" s="31" t="s">
        <v>10</v>
      </c>
      <c r="T5" s="24">
        <v>44751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-44109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5.0000000000000001E-3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0.99722222222222223</v>
      </c>
      <c r="C8" s="27"/>
      <c r="D8" s="48"/>
      <c r="E8" s="28"/>
      <c r="F8" s="47"/>
      <c r="G8" s="31" t="s">
        <v>13</v>
      </c>
      <c r="H8" s="46">
        <f ca="1">H6*DAYS360(H5,TODAY())/360*100</f>
        <v>0.99722222222222223</v>
      </c>
      <c r="I8" s="27"/>
      <c r="J8" s="27"/>
      <c r="K8" s="28"/>
      <c r="L8" s="21"/>
      <c r="M8" s="31" t="s">
        <v>13</v>
      </c>
      <c r="N8" s="46">
        <f ca="1">N6*DAYS360(N5,TODAY())/360*100</f>
        <v>5.9986111111111109</v>
      </c>
      <c r="O8" s="27"/>
      <c r="P8" s="27"/>
      <c r="Q8" s="28"/>
      <c r="S8" s="31" t="s">
        <v>13</v>
      </c>
      <c r="T8" s="46">
        <f ca="1">T6*DAYS360(T5,TODAY())/360*100</f>
        <v>0.12465277777777778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100.99722222222222</v>
      </c>
      <c r="C9" s="27"/>
      <c r="D9" s="27"/>
      <c r="E9" s="41">
        <f>-'Paridad usd'!B44</f>
        <v>-21.72</v>
      </c>
      <c r="F9" s="21"/>
      <c r="G9" s="31" t="s">
        <v>14</v>
      </c>
      <c r="H9" s="46">
        <f ca="1">H7+H8</f>
        <v>100.99722222222222</v>
      </c>
      <c r="I9" s="27"/>
      <c r="J9" s="27"/>
      <c r="K9" s="50">
        <f>-'Paridad usd'!D44</f>
        <v>-25.506</v>
      </c>
      <c r="L9" s="21"/>
      <c r="M9" s="31" t="s">
        <v>14</v>
      </c>
      <c r="N9" s="46">
        <f ca="1">N7+N8</f>
        <v>105.99861111111112</v>
      </c>
      <c r="O9" s="27"/>
      <c r="P9" s="27"/>
      <c r="Q9" s="50">
        <f>-'Paridad usd'!F44</f>
        <v>-21.03</v>
      </c>
      <c r="S9" s="31" t="s">
        <v>14</v>
      </c>
      <c r="T9" s="46">
        <f ca="1">T7+T8</f>
        <v>100.12465277777778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84.03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44751</v>
      </c>
      <c r="C34" s="27"/>
      <c r="D34" s="27"/>
      <c r="E34" s="28"/>
      <c r="F34" s="21"/>
      <c r="G34" s="31" t="s">
        <v>10</v>
      </c>
      <c r="H34" s="24">
        <v>44751</v>
      </c>
      <c r="I34" s="27"/>
      <c r="J34" s="27"/>
      <c r="K34" s="28"/>
      <c r="M34" s="31" t="s">
        <v>10</v>
      </c>
      <c r="N34" s="24">
        <v>44751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1.125E-2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1.1218750000000002</v>
      </c>
      <c r="C37" s="27"/>
      <c r="D37" s="27"/>
      <c r="E37" s="28"/>
      <c r="F37" s="21"/>
      <c r="G37" s="31" t="s">
        <v>13</v>
      </c>
      <c r="H37" s="46">
        <f ca="1">H35*DAYS360(H34,TODAY())/360*100</f>
        <v>0.12465277777777778</v>
      </c>
      <c r="I37" s="27"/>
      <c r="J37" s="27"/>
      <c r="K37" s="28"/>
      <c r="M37" s="31" t="s">
        <v>13</v>
      </c>
      <c r="N37" s="46">
        <f ca="1">N35*DAYS360(N33,TODAY())/360*100</f>
        <v>0.35625000000000001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101.121875</v>
      </c>
      <c r="C38" s="27"/>
      <c r="D38" s="27"/>
      <c r="E38" s="50">
        <f>-'Paridad usd'!J44</f>
        <v>-22.15</v>
      </c>
      <c r="F38" s="21"/>
      <c r="G38" s="31" t="s">
        <v>14</v>
      </c>
      <c r="H38" s="46">
        <f ca="1">H36+H37</f>
        <v>100.12465277777778</v>
      </c>
      <c r="I38" s="27"/>
      <c r="J38" s="27"/>
      <c r="K38" s="50">
        <f>-'Paridad usd'!L44</f>
        <v>-27.3</v>
      </c>
      <c r="M38" s="31" t="s">
        <v>14</v>
      </c>
      <c r="N38" s="46">
        <f ca="1">N36+N37</f>
        <v>100.35625</v>
      </c>
      <c r="O38" s="27"/>
      <c r="P38" s="27"/>
      <c r="Q38" s="50">
        <f>-'Paridad usd'!N44</f>
        <v>-24.599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74" bestFit="1" customWidth="1"/>
    <col min="2" max="2" width="15.140625" style="74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4" t="s">
        <v>20</v>
      </c>
    </row>
    <row r="198" spans="1:1" x14ac:dyDescent="0.25">
      <c r="A198" s="44" t="s">
        <v>21</v>
      </c>
    </row>
    <row r="199" spans="1:1" x14ac:dyDescent="0.25">
      <c r="A199" s="44" t="s">
        <v>22</v>
      </c>
    </row>
    <row r="200" spans="1:1" x14ac:dyDescent="0.25">
      <c r="A200" s="44" t="s">
        <v>23</v>
      </c>
    </row>
    <row r="201" spans="1:1" x14ac:dyDescent="0.25">
      <c r="A201" s="44" t="s">
        <v>24</v>
      </c>
    </row>
    <row r="202" spans="1:1" x14ac:dyDescent="0.25">
      <c r="A202" s="44" t="s">
        <v>25</v>
      </c>
    </row>
    <row r="203" spans="1:1" x14ac:dyDescent="0.25">
      <c r="A203" s="44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4" t="s">
        <v>27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2"/>
  <sheetViews>
    <sheetView workbookViewId="0"/>
  </sheetViews>
  <sheetFormatPr baseColWidth="10" defaultRowHeight="15" x14ac:dyDescent="0.25"/>
  <cols>
    <col min="1" max="1" width="17.5703125" style="74" customWidth="1"/>
    <col min="2" max="2" width="12.140625" style="74" customWidth="1"/>
    <col min="3" max="3" width="13.5703125" style="74" customWidth="1"/>
    <col min="4" max="6" width="12.140625" style="74" customWidth="1"/>
    <col min="7" max="7" width="13.5703125" style="74" customWidth="1"/>
    <col min="8" max="8" width="12.140625" style="74" customWidth="1"/>
  </cols>
  <sheetData>
    <row r="1" spans="1:8" x14ac:dyDescent="0.25">
      <c r="B1" s="35" t="s">
        <v>28</v>
      </c>
    </row>
    <row r="2" spans="1:8" x14ac:dyDescent="0.25">
      <c r="A2" s="35" t="s">
        <v>19</v>
      </c>
      <c r="B2" t="s">
        <v>29</v>
      </c>
      <c r="C2" t="s">
        <v>30</v>
      </c>
      <c r="D2" t="s">
        <v>31</v>
      </c>
      <c r="E2" t="s">
        <v>32</v>
      </c>
      <c r="F2" t="s">
        <v>33</v>
      </c>
      <c r="G2" t="s">
        <v>34</v>
      </c>
      <c r="H2" t="s">
        <v>35</v>
      </c>
    </row>
    <row r="3" spans="1:8" x14ac:dyDescent="0.25">
      <c r="A3" s="36">
        <v>44088</v>
      </c>
      <c r="B3" s="25">
        <v>0.5222639633169438</v>
      </c>
      <c r="C3" s="25">
        <v>0.54192447931053533</v>
      </c>
      <c r="D3" s="25">
        <v>0.49250262253944088</v>
      </c>
      <c r="E3" s="25">
        <v>0.52082611207394569</v>
      </c>
      <c r="F3" s="25">
        <v>0.44034939767296771</v>
      </c>
      <c r="G3" s="25">
        <v>0.49997945289919588</v>
      </c>
      <c r="H3" s="25">
        <v>0.44952889208414271</v>
      </c>
    </row>
    <row r="4" spans="1:8" x14ac:dyDescent="0.25">
      <c r="A4" s="36">
        <v>44089</v>
      </c>
      <c r="B4" s="25">
        <v>0.51821672237107419</v>
      </c>
      <c r="C4" s="25">
        <v>0.54190951026158052</v>
      </c>
      <c r="D4" s="25">
        <v>0.48399227981885679</v>
      </c>
      <c r="E4" s="25">
        <v>0.51288667592809101</v>
      </c>
      <c r="F4" s="25">
        <v>0.43143882647761589</v>
      </c>
      <c r="G4" s="25">
        <v>0.49997774071702289</v>
      </c>
      <c r="H4" s="25">
        <v>0.44961583260463073</v>
      </c>
    </row>
    <row r="5" spans="1:8" x14ac:dyDescent="0.25">
      <c r="A5" s="36">
        <v>44090</v>
      </c>
      <c r="B5" s="25">
        <v>0.4924939233233897</v>
      </c>
      <c r="C5" s="25">
        <v>0.51416970500497183</v>
      </c>
      <c r="D5" s="25">
        <v>0.45195814935688228</v>
      </c>
      <c r="E5" s="25">
        <v>0.48155259683098589</v>
      </c>
      <c r="F5" s="25">
        <v>0.41041603817568489</v>
      </c>
      <c r="G5" s="25">
        <v>0.48097693946180659</v>
      </c>
      <c r="H5" s="25">
        <v>0.42285785384466501</v>
      </c>
    </row>
    <row r="6" spans="1:8" x14ac:dyDescent="0.25">
      <c r="A6" s="36">
        <v>44091</v>
      </c>
      <c r="B6" s="25">
        <v>0.48905261704184511</v>
      </c>
      <c r="C6" s="25">
        <v>0.48401187681259489</v>
      </c>
      <c r="D6" s="25">
        <v>0.4429474983287911</v>
      </c>
      <c r="E6" s="25">
        <v>0.47090296403273502</v>
      </c>
      <c r="F6" s="25">
        <v>0.40040451826331402</v>
      </c>
      <c r="G6" s="25">
        <v>0.46247624265876752</v>
      </c>
      <c r="H6" s="25">
        <v>0.42133093711659092</v>
      </c>
    </row>
    <row r="7" spans="1:8" x14ac:dyDescent="0.25">
      <c r="A7" s="36">
        <v>44092</v>
      </c>
      <c r="B7" s="25">
        <v>0.48742611721814072</v>
      </c>
      <c r="C7" s="25">
        <v>0.48843423741921232</v>
      </c>
      <c r="D7" s="25">
        <v>0.4429459798564308</v>
      </c>
      <c r="E7" s="25">
        <v>0.47290457458806701</v>
      </c>
      <c r="F7" s="25">
        <v>0.40040314563293178</v>
      </c>
      <c r="G7" s="25">
        <v>0.46887430825708182</v>
      </c>
      <c r="H7" s="25">
        <v>0.4198041153742475</v>
      </c>
    </row>
    <row r="8" spans="1:8" x14ac:dyDescent="0.25">
      <c r="A8" s="36">
        <v>44095</v>
      </c>
      <c r="B8" s="25">
        <v>0.47780938440719162</v>
      </c>
      <c r="C8" s="25">
        <v>0.47377723770333341</v>
      </c>
      <c r="D8" s="25">
        <v>0.43393244637635447</v>
      </c>
      <c r="E8" s="25">
        <v>0.46304584026736723</v>
      </c>
      <c r="F8" s="25">
        <v>0.38638506182531218</v>
      </c>
      <c r="G8" s="25">
        <v>0.45747023310127077</v>
      </c>
      <c r="H8" s="25">
        <v>0.40604186176701312</v>
      </c>
    </row>
    <row r="9" spans="1:8" x14ac:dyDescent="0.25">
      <c r="A9" s="36">
        <v>44096</v>
      </c>
      <c r="B9" s="25">
        <v>0.46872410936205472</v>
      </c>
      <c r="C9" s="25">
        <v>0.47376415354874352</v>
      </c>
      <c r="D9" s="25">
        <v>0.42692399986287749</v>
      </c>
      <c r="E9" s="25">
        <v>0.45571035620959982</v>
      </c>
      <c r="F9" s="25">
        <v>0.37787528710020218</v>
      </c>
      <c r="G9" s="25">
        <v>0.45326895418122037</v>
      </c>
      <c r="H9" s="25">
        <v>0.38847230381146552</v>
      </c>
    </row>
    <row r="10" spans="1:8" x14ac:dyDescent="0.25">
      <c r="A10" s="36">
        <v>44097</v>
      </c>
      <c r="B10" s="25">
        <v>0.47979895611830659</v>
      </c>
      <c r="C10" s="25">
        <v>0.4747590511170639</v>
      </c>
      <c r="D10" s="25">
        <v>0.4304260038188481</v>
      </c>
      <c r="E10" s="25">
        <v>0.4673501946060431</v>
      </c>
      <c r="F10" s="25">
        <v>0.38588191737713012</v>
      </c>
      <c r="G10" s="25">
        <v>0.46296670444933752</v>
      </c>
      <c r="H10" s="25">
        <v>0.40107256763153992</v>
      </c>
    </row>
    <row r="11" spans="1:8" x14ac:dyDescent="0.25">
      <c r="A11" s="36">
        <v>44098</v>
      </c>
      <c r="B11" s="25">
        <v>0.47948332044626091</v>
      </c>
      <c r="C11" s="25">
        <v>0.4818016127250635</v>
      </c>
      <c r="D11" s="25">
        <v>0.43442847740236951</v>
      </c>
      <c r="E11" s="25">
        <v>0.46182198261634938</v>
      </c>
      <c r="F11" s="25">
        <v>0.39488948003510321</v>
      </c>
      <c r="G11" s="25">
        <v>0.45696557108710989</v>
      </c>
      <c r="H11" s="25">
        <v>0.42275265369305609</v>
      </c>
    </row>
    <row r="12" spans="1:8" x14ac:dyDescent="0.25">
      <c r="A12" s="36">
        <v>44099</v>
      </c>
      <c r="B12" s="25">
        <v>0.46808052356888408</v>
      </c>
      <c r="C12" s="25">
        <v>0.4838041587275288</v>
      </c>
      <c r="D12" s="25">
        <v>0.42932197056696142</v>
      </c>
      <c r="E12" s="25">
        <v>0.45378405512081749</v>
      </c>
      <c r="F12" s="25">
        <v>0.40039353748375972</v>
      </c>
      <c r="G12" s="25">
        <v>0.45286432917955088</v>
      </c>
      <c r="H12" s="25">
        <v>0.41870380800022111</v>
      </c>
    </row>
    <row r="13" spans="1:8" x14ac:dyDescent="0.25">
      <c r="A13" s="36">
        <v>44102</v>
      </c>
      <c r="B13" s="25">
        <v>0.46652998674618951</v>
      </c>
      <c r="C13" s="25">
        <v>0.48678760768721002</v>
      </c>
      <c r="D13" s="25">
        <v>0.42471307710238732</v>
      </c>
      <c r="E13" s="25">
        <v>0.45075361681060561</v>
      </c>
      <c r="F13" s="25">
        <v>0.39538455209861639</v>
      </c>
      <c r="G13" s="25">
        <v>0.44846006862402671</v>
      </c>
      <c r="H13" s="25">
        <v>0.4136205967302829</v>
      </c>
    </row>
    <row r="14" spans="1:8" x14ac:dyDescent="0.25">
      <c r="A14" s="36">
        <v>44103</v>
      </c>
      <c r="B14" s="25">
        <v>0.46359444459784083</v>
      </c>
      <c r="C14" s="25">
        <v>0.47871165474777039</v>
      </c>
      <c r="D14" s="25">
        <v>0.41840550944922639</v>
      </c>
      <c r="E14" s="25">
        <v>0.44843846693345429</v>
      </c>
      <c r="F14" s="25">
        <v>0.39077873418415793</v>
      </c>
      <c r="G14" s="25">
        <v>0.44465888428124789</v>
      </c>
      <c r="H14" s="25">
        <v>0.40251094305465818</v>
      </c>
    </row>
    <row r="15" spans="1:8" x14ac:dyDescent="0.25">
      <c r="A15" s="36">
        <v>44104</v>
      </c>
      <c r="B15" s="25">
        <v>0.46217074382903528</v>
      </c>
      <c r="C15" s="25">
        <v>0.48272958197581312</v>
      </c>
      <c r="D15" s="25">
        <v>0.42440987529052032</v>
      </c>
      <c r="E15" s="25">
        <v>0.44772958552215408</v>
      </c>
      <c r="F15" s="25">
        <v>0.3905772012697194</v>
      </c>
      <c r="G15" s="25">
        <v>0.44705713150793758</v>
      </c>
      <c r="H15" s="25">
        <v>0.41097207923665291</v>
      </c>
    </row>
    <row r="16" spans="1:8" x14ac:dyDescent="0.25">
      <c r="A16" s="36">
        <v>44105</v>
      </c>
      <c r="B16" s="25">
        <v>0.46608824097849189</v>
      </c>
      <c r="C16" s="25">
        <v>0.48694883900715102</v>
      </c>
      <c r="D16" s="25">
        <v>0.42941323671067022</v>
      </c>
      <c r="E16" s="25">
        <v>0.44872729272954798</v>
      </c>
      <c r="F16" s="25">
        <v>0.39838337578285948</v>
      </c>
      <c r="G16" s="25">
        <v>0.4439559084885405</v>
      </c>
      <c r="H16" s="25">
        <v>0.41156454359849509</v>
      </c>
    </row>
    <row r="17" spans="1:8" x14ac:dyDescent="0.25">
      <c r="A17" s="36">
        <v>44106</v>
      </c>
      <c r="B17" s="25">
        <v>0.45801352843732751</v>
      </c>
      <c r="C17" s="25">
        <v>0.47685808945334068</v>
      </c>
      <c r="D17" s="25">
        <v>0.42190456602221299</v>
      </c>
      <c r="E17" s="25">
        <v>0.44470572057205721</v>
      </c>
      <c r="F17" s="25">
        <v>0.40038392979569448</v>
      </c>
      <c r="G17" s="25">
        <v>0.43985480943738658</v>
      </c>
      <c r="H17" s="25">
        <v>0.40398645847726949</v>
      </c>
    </row>
    <row r="18" spans="1:8" x14ac:dyDescent="0.25">
      <c r="A18" s="36">
        <v>44109</v>
      </c>
      <c r="B18" s="25">
        <v>0.45737100737100739</v>
      </c>
      <c r="C18" s="25">
        <v>0.48356983132264031</v>
      </c>
      <c r="D18" s="25">
        <v>0.41689547961593698</v>
      </c>
      <c r="E18" s="25">
        <v>0.44569118435708088</v>
      </c>
      <c r="F18" s="25">
        <v>0.40037981235624198</v>
      </c>
      <c r="G18" s="25">
        <v>0.43445090109679391</v>
      </c>
      <c r="H18" s="25">
        <v>0.39840142034562198</v>
      </c>
    </row>
    <row r="19" spans="1:8" x14ac:dyDescent="0.25">
      <c r="A19" s="36">
        <v>44110</v>
      </c>
      <c r="B19" s="25">
        <v>0.4564515238515901</v>
      </c>
      <c r="C19" s="25">
        <v>0.47962676678445232</v>
      </c>
      <c r="D19" s="25">
        <v>0.41439168529157688</v>
      </c>
      <c r="E19" s="25">
        <v>0.4461869534129036</v>
      </c>
      <c r="F19" s="25">
        <v>0.40027834528526968</v>
      </c>
      <c r="G19" s="25">
        <v>0.43994877308806513</v>
      </c>
      <c r="H19" s="25">
        <v>0.40302850274250818</v>
      </c>
    </row>
    <row r="20" spans="1:8" x14ac:dyDescent="0.25">
      <c r="A20" s="36">
        <v>44111</v>
      </c>
      <c r="B20" s="25">
        <v>0.4578495514147688</v>
      </c>
      <c r="C20" s="25">
        <v>0.48062111801242241</v>
      </c>
      <c r="D20" s="25">
        <v>0.4163921501414003</v>
      </c>
      <c r="E20" s="25">
        <v>0.44969405293915432</v>
      </c>
      <c r="F20" s="25">
        <v>0.39937612477504503</v>
      </c>
      <c r="G20" s="25">
        <v>0.44494666735151611</v>
      </c>
      <c r="H20" s="25">
        <v>0.40442794231931611</v>
      </c>
    </row>
    <row r="21" spans="1:8" x14ac:dyDescent="0.25">
      <c r="A21" s="36">
        <v>44112</v>
      </c>
      <c r="B21" s="25">
        <v>0.45662783636062498</v>
      </c>
      <c r="C21" s="25">
        <v>0.49118726881245522</v>
      </c>
      <c r="D21" s="25">
        <v>0.41478922002152702</v>
      </c>
      <c r="E21" s="25">
        <v>0.44868410197178449</v>
      </c>
      <c r="F21" s="25">
        <v>0.39537099881395549</v>
      </c>
      <c r="G21" s="25">
        <v>0.44794477393198101</v>
      </c>
      <c r="H21" s="25">
        <v>0.40219663321060739</v>
      </c>
    </row>
    <row r="22" spans="1:8" x14ac:dyDescent="0.25">
      <c r="A22" s="36">
        <v>44113</v>
      </c>
      <c r="B22" s="25">
        <v>0.45973859276230439</v>
      </c>
      <c r="C22" s="25">
        <v>0.48966240649239517</v>
      </c>
      <c r="D22" s="25">
        <v>0.41598892114888242</v>
      </c>
      <c r="E22" s="25">
        <v>0.44897905867146998</v>
      </c>
      <c r="F22" s="25">
        <v>0.39536964353659421</v>
      </c>
      <c r="G22" s="25">
        <v>0.45014296133709092</v>
      </c>
      <c r="H22" s="25">
        <v>0.40339431448869417</v>
      </c>
    </row>
    <row r="23" spans="1:8" x14ac:dyDescent="0.25">
      <c r="A23" s="36">
        <v>44117</v>
      </c>
      <c r="B23" s="25">
        <v>0.45787447213712018</v>
      </c>
      <c r="C23" s="25">
        <v>0.48759349728133372</v>
      </c>
      <c r="D23" s="25">
        <v>0.41598321741604433</v>
      </c>
      <c r="E23" s="25">
        <v>0.44905473594478279</v>
      </c>
      <c r="F23" s="25">
        <v>0.39286191731423808</v>
      </c>
      <c r="G23" s="25">
        <v>0.4500368098999798</v>
      </c>
      <c r="H23" s="25">
        <v>0.40031908391147147</v>
      </c>
    </row>
    <row r="24" spans="1:8" x14ac:dyDescent="0.25">
      <c r="A24" s="36">
        <v>44118</v>
      </c>
      <c r="B24" s="25">
        <v>0.45232115257231181</v>
      </c>
      <c r="C24" s="25">
        <v>0.48758003974387282</v>
      </c>
      <c r="D24" s="25">
        <v>0.41117738198072201</v>
      </c>
      <c r="E24" s="25">
        <v>0.44613787603805749</v>
      </c>
      <c r="F24" s="25">
        <v>0.38235092482141148</v>
      </c>
      <c r="G24" s="25">
        <v>0.45493456420651818</v>
      </c>
      <c r="H24" s="25">
        <v>0.39707998950232748</v>
      </c>
    </row>
    <row r="25" spans="1:8" x14ac:dyDescent="0.25">
      <c r="A25" s="36">
        <v>44119</v>
      </c>
      <c r="B25" s="25">
        <v>0.448883614384677</v>
      </c>
      <c r="C25" s="25">
        <v>0.46802362487235388</v>
      </c>
      <c r="D25" s="25">
        <v>0.40426965752931621</v>
      </c>
      <c r="E25" s="25">
        <v>0.44562990664485169</v>
      </c>
      <c r="F25" s="25">
        <v>0.36533405545481662</v>
      </c>
      <c r="G25" s="25">
        <v>0.44493447882674808</v>
      </c>
      <c r="H25" s="25">
        <v>0.38315314039855392</v>
      </c>
    </row>
    <row r="26" spans="1:8" x14ac:dyDescent="0.25">
      <c r="A26" s="36">
        <v>44120</v>
      </c>
      <c r="B26" s="25">
        <v>0.44625213887508969</v>
      </c>
      <c r="C26" s="25">
        <v>0.47345035049953083</v>
      </c>
      <c r="D26" s="25">
        <v>0.39836289222373811</v>
      </c>
      <c r="E26" s="25">
        <v>0.44351609976077211</v>
      </c>
      <c r="F26" s="25">
        <v>0.35832642064346287</v>
      </c>
      <c r="G26" s="25">
        <v>0.44293325663256222</v>
      </c>
      <c r="H26" s="25">
        <v>0.37981395413078461</v>
      </c>
    </row>
    <row r="27" spans="1:8" x14ac:dyDescent="0.25">
      <c r="A27" s="36">
        <v>44123</v>
      </c>
      <c r="B27" s="25">
        <v>0.43825785799045169</v>
      </c>
      <c r="C27" s="25">
        <v>0.4542732566161658</v>
      </c>
      <c r="D27" s="25">
        <v>0.38885023154416481</v>
      </c>
      <c r="E27" s="25">
        <v>0.43506743473060477</v>
      </c>
      <c r="F27" s="25">
        <v>0.35832273588883129</v>
      </c>
      <c r="G27" s="25">
        <v>0.43792951134577651</v>
      </c>
      <c r="H27" s="25">
        <v>0.36243798185980192</v>
      </c>
    </row>
    <row r="28" spans="1:8" x14ac:dyDescent="0.25">
      <c r="A28" s="36">
        <v>44124</v>
      </c>
      <c r="B28" s="25">
        <v>0.42001490148462939</v>
      </c>
      <c r="C28" s="25">
        <v>0.44821734091285392</v>
      </c>
      <c r="D28" s="25">
        <v>0.37833946897558768</v>
      </c>
      <c r="E28" s="25">
        <v>0.41529049465203888</v>
      </c>
      <c r="F28" s="25">
        <v>0.34831252699339821</v>
      </c>
      <c r="G28" s="25">
        <v>0.41693146332109787</v>
      </c>
      <c r="H28" s="25">
        <v>0.36333404685784521</v>
      </c>
    </row>
    <row r="29" spans="1:8" x14ac:dyDescent="0.25">
      <c r="A29" s="36">
        <v>44125</v>
      </c>
      <c r="B29" s="25">
        <v>0.41476585998509891</v>
      </c>
      <c r="C29" s="25">
        <v>0.44619056817241087</v>
      </c>
      <c r="D29" s="25">
        <v>0.36782877846294121</v>
      </c>
      <c r="E29" s="25">
        <v>0.40444603307716631</v>
      </c>
      <c r="F29" s="25">
        <v>0.33980372867528857</v>
      </c>
      <c r="G29" s="25">
        <v>0.4054319651839246</v>
      </c>
      <c r="H29" s="25">
        <v>0.34779786708832361</v>
      </c>
    </row>
    <row r="30" spans="1:8" x14ac:dyDescent="0.25">
      <c r="A30" s="36">
        <v>44126</v>
      </c>
      <c r="B30" s="25">
        <v>0.42402041942604862</v>
      </c>
      <c r="C30" s="25">
        <v>0.48344370860927149</v>
      </c>
      <c r="D30" s="25">
        <v>0.37773634057722633</v>
      </c>
      <c r="E30" s="25">
        <v>0.40243332416827049</v>
      </c>
      <c r="F30" s="25">
        <v>0.34630835675601562</v>
      </c>
      <c r="G30" s="25">
        <v>0.41492895052217088</v>
      </c>
      <c r="H30" s="25">
        <v>0.35282745287578537</v>
      </c>
    </row>
    <row r="31" spans="1:8" x14ac:dyDescent="0.25">
      <c r="A31" s="36">
        <v>44127</v>
      </c>
      <c r="B31" s="25">
        <v>0.43972020639607068</v>
      </c>
      <c r="C31" s="25">
        <v>0.4935018349383295</v>
      </c>
      <c r="D31" s="25">
        <v>0.37313096205195712</v>
      </c>
      <c r="E31" s="25">
        <v>0.40292957204327678</v>
      </c>
      <c r="F31" s="25">
        <v>0.34180317473375349</v>
      </c>
      <c r="G31" s="25">
        <v>0.42492578351041432</v>
      </c>
      <c r="H31" s="25">
        <v>0.35735270256741319</v>
      </c>
    </row>
    <row r="32" spans="1:8" x14ac:dyDescent="0.25">
      <c r="A32" s="36">
        <v>44130</v>
      </c>
      <c r="B32" s="25">
        <v>0.40846484935437588</v>
      </c>
      <c r="C32" s="25">
        <v>0.47331972188500171</v>
      </c>
      <c r="D32" s="25">
        <v>0.36031589338598219</v>
      </c>
      <c r="E32" s="25">
        <v>0.38364538656109087</v>
      </c>
      <c r="F32" s="25">
        <v>0.33429307886366127</v>
      </c>
      <c r="G32" s="25">
        <v>0.40492511658802832</v>
      </c>
      <c r="H32" s="25">
        <v>0.34471998232630069</v>
      </c>
    </row>
    <row r="33" spans="1:8" x14ac:dyDescent="0.25">
      <c r="A33" s="36">
        <v>44131</v>
      </c>
      <c r="B33" s="25">
        <v>0.43302524486136018</v>
      </c>
      <c r="C33" s="25">
        <v>0.45316595392467929</v>
      </c>
      <c r="D33" s="25">
        <v>0.36631990265471559</v>
      </c>
      <c r="E33" s="25">
        <v>0.39357481613856621</v>
      </c>
      <c r="F33" s="25">
        <v>0.3402971773295172</v>
      </c>
      <c r="G33" s="25">
        <v>0.40492373011932692</v>
      </c>
      <c r="H33" s="25">
        <v>0.35478849174159932</v>
      </c>
    </row>
    <row r="34" spans="1:8" x14ac:dyDescent="0.25">
      <c r="A34" s="36">
        <v>44132</v>
      </c>
      <c r="B34" s="25">
        <v>0.44509739005683391</v>
      </c>
      <c r="C34" s="25">
        <v>0.48336368150968378</v>
      </c>
      <c r="D34" s="25">
        <v>0.36131429394061959</v>
      </c>
      <c r="E34" s="25">
        <v>0.38935474115415281</v>
      </c>
      <c r="F34" s="25">
        <v>0.33819418261090117</v>
      </c>
      <c r="G34" s="25">
        <v>0.40492234366011998</v>
      </c>
      <c r="H34" s="25">
        <v>0.35276168911409178</v>
      </c>
    </row>
    <row r="35" spans="1:8" x14ac:dyDescent="0.25">
      <c r="A35" s="36">
        <v>44133</v>
      </c>
      <c r="B35" s="25">
        <v>0.45767235909178688</v>
      </c>
      <c r="C35" s="25">
        <v>0.47025960769167108</v>
      </c>
      <c r="D35" s="25">
        <v>0.36121296877088721</v>
      </c>
      <c r="E35" s="25">
        <v>0.38874730229425269</v>
      </c>
      <c r="F35" s="25">
        <v>0.33679180934165559</v>
      </c>
      <c r="G35" s="25">
        <v>0.39572275275031932</v>
      </c>
      <c r="H35" s="25">
        <v>0.35285151679362697</v>
      </c>
    </row>
    <row r="36" spans="1:8" x14ac:dyDescent="0.25">
      <c r="A36" s="36">
        <v>44134</v>
      </c>
      <c r="B36" s="25">
        <v>0.45212149635841969</v>
      </c>
      <c r="C36" s="25">
        <v>0.46823273008165972</v>
      </c>
      <c r="D36" s="25">
        <v>0.36011078053662748</v>
      </c>
      <c r="E36" s="25">
        <v>0.38181805685379672</v>
      </c>
      <c r="F36" s="25">
        <v>0.33528935931008952</v>
      </c>
      <c r="G36" s="25">
        <v>0.39842086160968032</v>
      </c>
      <c r="H36" s="25">
        <v>0.35374760123148291</v>
      </c>
    </row>
    <row r="37" spans="1:8" x14ac:dyDescent="0.25">
      <c r="A37" s="36">
        <v>44137</v>
      </c>
      <c r="B37" s="25">
        <v>0.44010234200435849</v>
      </c>
      <c r="C37" s="25">
        <v>0.45137927229593672</v>
      </c>
      <c r="D37" s="25">
        <v>0.36280938197298379</v>
      </c>
      <c r="E37" s="25">
        <v>0.38772250553256998</v>
      </c>
      <c r="F37" s="25">
        <v>0.3362867650839243</v>
      </c>
      <c r="G37" s="25">
        <v>0.40461547416464372</v>
      </c>
      <c r="H37" s="25">
        <v>0.35331154511162732</v>
      </c>
    </row>
    <row r="38" spans="1:8" x14ac:dyDescent="0.25">
      <c r="A38" s="36">
        <v>44138</v>
      </c>
      <c r="B38" s="25">
        <v>0.4510647688403398</v>
      </c>
      <c r="C38" s="25">
        <v>0.45066203243958952</v>
      </c>
      <c r="D38" s="25">
        <v>0.3688132386410376</v>
      </c>
      <c r="E38" s="25">
        <v>0.38510831317352101</v>
      </c>
      <c r="F38" s="25">
        <v>0.34048918259343552</v>
      </c>
      <c r="G38" s="25">
        <v>0.41141264526025301</v>
      </c>
      <c r="H38" s="25">
        <v>0.35773446343281518</v>
      </c>
    </row>
    <row r="39" spans="1:8" x14ac:dyDescent="0.25">
      <c r="A39" s="36">
        <v>44139</v>
      </c>
      <c r="B39" s="25">
        <v>0.45205913993324692</v>
      </c>
      <c r="C39" s="25">
        <v>0.45759661269412188</v>
      </c>
      <c r="D39" s="25">
        <v>0.37281536093887641</v>
      </c>
      <c r="E39" s="25">
        <v>0.38520335931164351</v>
      </c>
      <c r="F39" s="25">
        <v>0.34028784622608849</v>
      </c>
      <c r="G39" s="25">
        <v>0.40911173274259321</v>
      </c>
      <c r="H39" s="25">
        <v>0.35873102420136871</v>
      </c>
    </row>
    <row r="40" spans="1:8" x14ac:dyDescent="0.25">
      <c r="A40" s="36">
        <v>44140</v>
      </c>
      <c r="B40" s="25">
        <v>0.45808738346113531</v>
      </c>
      <c r="C40" s="25">
        <v>0.46815523804269882</v>
      </c>
      <c r="D40" s="25">
        <v>0.37431534786155463</v>
      </c>
      <c r="E40" s="25">
        <v>0.38118453968166699</v>
      </c>
      <c r="F40" s="25">
        <v>0.34639182324835299</v>
      </c>
      <c r="G40" s="25">
        <v>0.40641092363317632</v>
      </c>
      <c r="H40" s="25">
        <v>0.36526954373227138</v>
      </c>
    </row>
    <row r="41" spans="1:8" x14ac:dyDescent="0.25">
      <c r="A41" s="36">
        <v>44141</v>
      </c>
      <c r="B41" s="25">
        <v>0.45716866639084258</v>
      </c>
      <c r="C41" s="25">
        <v>0.45908150599917252</v>
      </c>
      <c r="D41" s="25">
        <v>0.37411389693407138</v>
      </c>
      <c r="E41" s="25">
        <v>0.38127963713834101</v>
      </c>
      <c r="F41" s="25">
        <v>0.34619046802968251</v>
      </c>
      <c r="G41" s="25">
        <v>0.40490986595449641</v>
      </c>
      <c r="H41" s="25">
        <v>0.36072396004071838</v>
      </c>
    </row>
    <row r="42" spans="1:8" x14ac:dyDescent="0.25">
      <c r="A42" s="36">
        <v>44144</v>
      </c>
      <c r="B42" s="25">
        <v>0.46005019581885381</v>
      </c>
      <c r="C42" s="25">
        <v>0.4630702189861548</v>
      </c>
      <c r="D42" s="25">
        <v>0.37931436327367202</v>
      </c>
      <c r="E42" s="25">
        <v>0.38477555732702928</v>
      </c>
      <c r="F42" s="25">
        <v>0.34778823545541171</v>
      </c>
      <c r="G42" s="25">
        <v>0.41630305271375162</v>
      </c>
      <c r="H42" s="25">
        <v>0.37529932165260049</v>
      </c>
    </row>
    <row r="43" spans="1:8" x14ac:dyDescent="0.25">
      <c r="A43" s="36">
        <v>44145</v>
      </c>
      <c r="B43" s="25">
        <v>0.45450095148790642</v>
      </c>
      <c r="C43" s="25">
        <v>0.46799001627182218</v>
      </c>
      <c r="D43" s="25">
        <v>0.38531801932416831</v>
      </c>
      <c r="E43" s="25">
        <v>0.38527192512266523</v>
      </c>
      <c r="F43" s="25">
        <v>0.35229076052495378</v>
      </c>
      <c r="G43" s="25">
        <v>0.41490195809894242</v>
      </c>
      <c r="H43" s="25">
        <v>0.37377644213351918</v>
      </c>
    </row>
    <row r="44" spans="1:8" x14ac:dyDescent="0.25">
      <c r="A44" s="36">
        <v>44146</v>
      </c>
      <c r="B44" s="25">
        <v>0.45096525096525092</v>
      </c>
      <c r="C44" s="25">
        <v>0.46505791505791511</v>
      </c>
      <c r="D44" s="25">
        <v>0.38481628735947349</v>
      </c>
      <c r="E44" s="25">
        <v>0.3932930181418362</v>
      </c>
      <c r="F44" s="25">
        <v>0.35419111598574171</v>
      </c>
      <c r="G44" s="25">
        <v>0.41889957886807949</v>
      </c>
      <c r="H44" s="25">
        <v>0.37577974054650842</v>
      </c>
    </row>
    <row r="45" spans="1:8" x14ac:dyDescent="0.25">
      <c r="A45" s="36">
        <v>44147</v>
      </c>
      <c r="B45" s="25">
        <v>0.44290008549129922</v>
      </c>
      <c r="C45" s="25">
        <v>0.46554838531755882</v>
      </c>
      <c r="D45" s="25">
        <v>0.39031947381589732</v>
      </c>
      <c r="E45" s="25">
        <v>0.3959964816316433</v>
      </c>
      <c r="F45" s="25">
        <v>0.35679203183427532</v>
      </c>
      <c r="G45" s="25">
        <v>0.42239729380869723</v>
      </c>
      <c r="H45" s="25">
        <v>0.36871612460281039</v>
      </c>
    </row>
    <row r="46" spans="1:8" x14ac:dyDescent="0.25">
      <c r="A46" s="36">
        <v>44148</v>
      </c>
      <c r="B46" s="25">
        <v>0.45295350504660531</v>
      </c>
      <c r="C46" s="25">
        <v>0.46553554685345538</v>
      </c>
      <c r="D46" s="25">
        <v>0.39702360142856158</v>
      </c>
      <c r="E46" s="25">
        <v>0.40030510431269067</v>
      </c>
      <c r="F46" s="25">
        <v>0.35919276670711059</v>
      </c>
      <c r="G46" s="25">
        <v>0.42489523131282703</v>
      </c>
      <c r="H46" s="25">
        <v>0.37102167268110592</v>
      </c>
    </row>
    <row r="47" spans="1:8" x14ac:dyDescent="0.25">
      <c r="A47" s="36">
        <v>44151</v>
      </c>
      <c r="B47" s="25">
        <v>0.45291603474424369</v>
      </c>
      <c r="C47" s="25">
        <v>0.46308148352405898</v>
      </c>
      <c r="D47" s="25">
        <v>0.39832056620910661</v>
      </c>
      <c r="E47" s="25">
        <v>0.40390022675736958</v>
      </c>
      <c r="F47" s="25">
        <v>0.36209140918204719</v>
      </c>
      <c r="G47" s="25">
        <v>0.4282899940083883</v>
      </c>
      <c r="H47" s="25">
        <v>0.37521775876640739</v>
      </c>
    </row>
    <row r="48" spans="1:8" x14ac:dyDescent="0.25">
      <c r="A48" s="36">
        <v>44152</v>
      </c>
      <c r="B48" s="25">
        <v>0.44334224893839957</v>
      </c>
      <c r="C48" s="25">
        <v>0.45994871229250539</v>
      </c>
      <c r="D48" s="25">
        <v>0.39681799798468642</v>
      </c>
      <c r="E48" s="25">
        <v>0.40309210345491031</v>
      </c>
      <c r="F48" s="25">
        <v>0.35828712050067518</v>
      </c>
      <c r="G48" s="25">
        <v>0.41679152001533842</v>
      </c>
      <c r="H48" s="25">
        <v>0.37470247745727753</v>
      </c>
    </row>
    <row r="49" spans="1:8" x14ac:dyDescent="0.25">
      <c r="A49" s="36">
        <v>44153</v>
      </c>
      <c r="B49" s="25">
        <v>0.43779468938704608</v>
      </c>
      <c r="C49" s="25">
        <v>0.44785893512008162</v>
      </c>
      <c r="D49" s="25">
        <v>0.39431464147761741</v>
      </c>
      <c r="E49" s="25">
        <v>0.39867247516044357</v>
      </c>
      <c r="F49" s="25">
        <v>0.35678469463647361</v>
      </c>
      <c r="G49" s="25">
        <v>0.41399083118492719</v>
      </c>
      <c r="H49" s="25">
        <v>0.37771254523064612</v>
      </c>
    </row>
    <row r="50" spans="1:8" x14ac:dyDescent="0.25">
      <c r="A50" s="36">
        <v>44154</v>
      </c>
      <c r="B50" s="25">
        <v>0.4257058564023381</v>
      </c>
      <c r="C50" s="25">
        <v>0.44784658652255432</v>
      </c>
      <c r="D50" s="25">
        <v>0.39031010940199062</v>
      </c>
      <c r="E50" s="25">
        <v>0.39555711301671059</v>
      </c>
      <c r="F50" s="25">
        <v>0.35278029119026078</v>
      </c>
      <c r="G50" s="25">
        <v>0.40889077575168281</v>
      </c>
      <c r="H50" s="25">
        <v>0.3715568862275449</v>
      </c>
    </row>
    <row r="51" spans="1:8" x14ac:dyDescent="0.25">
      <c r="A51" s="36">
        <v>44155</v>
      </c>
      <c r="B51" s="25">
        <v>0.42468774986903418</v>
      </c>
      <c r="C51" s="25">
        <v>0.44290303013592869</v>
      </c>
      <c r="D51" s="25">
        <v>0.38820710904859668</v>
      </c>
      <c r="E51" s="25">
        <v>0.39173961439624011</v>
      </c>
      <c r="F51" s="25">
        <v>0.35227868622094882</v>
      </c>
      <c r="G51" s="25">
        <v>0.4083895110569401</v>
      </c>
      <c r="H51" s="25">
        <v>0.37013531272312111</v>
      </c>
    </row>
    <row r="52" spans="1:8" x14ac:dyDescent="0.25">
      <c r="A52" s="36">
        <v>44159</v>
      </c>
      <c r="B52" s="25">
        <v>0.42916907892923112</v>
      </c>
      <c r="C52" s="25">
        <v>0.44587296336117782</v>
      </c>
      <c r="D52" s="25">
        <v>0.38079602979028221</v>
      </c>
      <c r="E52" s="25">
        <v>0.38971184367828732</v>
      </c>
      <c r="F52" s="25">
        <v>0.35027230072693499</v>
      </c>
      <c r="G52" s="25">
        <v>0.41188292368949919</v>
      </c>
      <c r="H52" s="25">
        <v>0.36434919660501391</v>
      </c>
    </row>
    <row r="53" spans="1:8" x14ac:dyDescent="0.25">
      <c r="A53" s="36">
        <v>44160</v>
      </c>
      <c r="B53" s="25">
        <v>0.43660335226332908</v>
      </c>
      <c r="C53" s="25">
        <v>0.45280366102442521</v>
      </c>
      <c r="D53" s="25">
        <v>0.38029433739812318</v>
      </c>
      <c r="E53" s="25">
        <v>0.39321735784758288</v>
      </c>
      <c r="F53" s="25">
        <v>0.35426569927445578</v>
      </c>
      <c r="G53" s="25">
        <v>0.41588036318319388</v>
      </c>
      <c r="H53" s="25">
        <v>0.36655332004441898</v>
      </c>
    </row>
    <row r="54" spans="1:8" x14ac:dyDescent="0.25">
      <c r="A54" s="36">
        <v>44161</v>
      </c>
      <c r="B54" s="25">
        <v>0.43467953135768439</v>
      </c>
      <c r="C54" s="25">
        <v>0.45379738111647139</v>
      </c>
      <c r="D54" s="25">
        <v>0.37538925541941559</v>
      </c>
      <c r="E54" s="25">
        <v>0.39120577121264172</v>
      </c>
      <c r="F54" s="25">
        <v>0.34926912860937359</v>
      </c>
      <c r="G54" s="25">
        <v>0.41188010339455983</v>
      </c>
      <c r="H54" s="25">
        <v>0.35959375808259342</v>
      </c>
    </row>
    <row r="55" spans="1:8" x14ac:dyDescent="0.25">
      <c r="A55" s="36">
        <v>44162</v>
      </c>
      <c r="B55" s="25">
        <v>0.43235334656522217</v>
      </c>
      <c r="C55" s="25">
        <v>0.45378487154041242</v>
      </c>
      <c r="D55" s="25">
        <v>0.37528789208159691</v>
      </c>
      <c r="E55" s="25">
        <v>0.39130070352863577</v>
      </c>
      <c r="F55" s="25">
        <v>0.35026869927615711</v>
      </c>
      <c r="G55" s="25">
        <v>0.41477783940346341</v>
      </c>
      <c r="H55" s="25">
        <v>0.36481874862061348</v>
      </c>
    </row>
    <row r="56" spans="1:8" x14ac:dyDescent="0.25">
      <c r="A56" s="36">
        <v>44165</v>
      </c>
      <c r="B56" s="25">
        <v>0.42457068827696459</v>
      </c>
      <c r="C56" s="25">
        <v>0.4442900851732407</v>
      </c>
      <c r="D56" s="25">
        <v>0.37178138248468873</v>
      </c>
      <c r="E56" s="25">
        <v>0.38727242748595059</v>
      </c>
      <c r="F56" s="25">
        <v>0.35026509789943761</v>
      </c>
      <c r="G56" s="25">
        <v>0.40687598642879402</v>
      </c>
      <c r="H56" s="25">
        <v>0.36236832396012569</v>
      </c>
    </row>
    <row r="57" spans="1:8" x14ac:dyDescent="0.25">
      <c r="A57" s="36">
        <v>44166</v>
      </c>
      <c r="B57" s="25">
        <v>0.42113836824696799</v>
      </c>
      <c r="C57" s="25">
        <v>0.44488147739801542</v>
      </c>
      <c r="D57" s="25">
        <v>0.36977860031530613</v>
      </c>
      <c r="E57" s="25">
        <v>0.38596317669689473</v>
      </c>
      <c r="F57" s="25">
        <v>0.34626088148605122</v>
      </c>
      <c r="G57" s="25">
        <v>0.40667465507206679</v>
      </c>
      <c r="H57" s="25">
        <v>0.35601406799531071</v>
      </c>
    </row>
    <row r="58" spans="1:8" x14ac:dyDescent="0.25">
      <c r="A58" s="36">
        <v>44167</v>
      </c>
      <c r="B58" s="25">
        <v>0.42012072434607639</v>
      </c>
      <c r="C58" s="25">
        <v>0.44265593561368211</v>
      </c>
      <c r="D58" s="25">
        <v>0.38008506379784829</v>
      </c>
      <c r="E58" s="25">
        <v>0.38766298896690071</v>
      </c>
      <c r="F58" s="25">
        <v>0.34726044533400052</v>
      </c>
      <c r="G58" s="25">
        <v>0.40597348086726398</v>
      </c>
      <c r="H58" s="25">
        <v>0.35841933048074498</v>
      </c>
    </row>
    <row r="59" spans="1:8" x14ac:dyDescent="0.25">
      <c r="A59" s="36">
        <v>44168</v>
      </c>
      <c r="B59" s="25">
        <v>0.42051154842621691</v>
      </c>
      <c r="C59" s="25">
        <v>0.44264373518549138</v>
      </c>
      <c r="D59" s="25">
        <v>0.37417935307866829</v>
      </c>
      <c r="E59" s="25">
        <v>0.38956335357643379</v>
      </c>
      <c r="F59" s="25">
        <v>0.34725925519737338</v>
      </c>
      <c r="G59" s="25">
        <v>0.40487243745121398</v>
      </c>
      <c r="H59" s="25">
        <v>0.35921362028423859</v>
      </c>
    </row>
    <row r="60" spans="1:8" x14ac:dyDescent="0.25">
      <c r="A60" s="36">
        <v>44169</v>
      </c>
      <c r="B60" s="25">
        <v>0.42009756635338857</v>
      </c>
      <c r="C60" s="25">
        <v>0.43961359314279419</v>
      </c>
      <c r="D60" s="25">
        <v>0.37157613706076092</v>
      </c>
      <c r="E60" s="25">
        <v>0.38715084566450958</v>
      </c>
      <c r="F60" s="25">
        <v>0.34495635455115609</v>
      </c>
      <c r="G60" s="25">
        <v>0.39927283433700911</v>
      </c>
      <c r="H60" s="25">
        <v>0.35537688719414429</v>
      </c>
    </row>
    <row r="61" spans="1:8" x14ac:dyDescent="0.25">
      <c r="A61" s="36">
        <v>44174</v>
      </c>
      <c r="B61" s="25">
        <v>0.41943617724867732</v>
      </c>
      <c r="C61" s="25">
        <v>0.43754133597883599</v>
      </c>
      <c r="D61" s="25">
        <v>0.37156976983289242</v>
      </c>
      <c r="E61" s="25">
        <v>0.39233939660383582</v>
      </c>
      <c r="F61" s="25">
        <v>0.34495044347265819</v>
      </c>
      <c r="G61" s="25">
        <v>0.39986579846489878</v>
      </c>
      <c r="H61" s="25">
        <v>0.35129545109827232</v>
      </c>
    </row>
    <row r="62" spans="1:8" x14ac:dyDescent="0.25">
      <c r="A62" s="36">
        <v>44175</v>
      </c>
      <c r="B62" s="25">
        <v>0.42364903965388961</v>
      </c>
      <c r="C62" s="25">
        <v>0.43752927884482901</v>
      </c>
      <c r="D62" s="25">
        <v>0.37377008728910283</v>
      </c>
      <c r="E62" s="25">
        <v>0.39784994985506061</v>
      </c>
      <c r="F62" s="25">
        <v>0.34775128603202998</v>
      </c>
      <c r="G62" s="25">
        <v>0.40586239596849022</v>
      </c>
      <c r="H62" s="25">
        <v>0.3574244831972313</v>
      </c>
    </row>
    <row r="63" spans="1:8" x14ac:dyDescent="0.25">
      <c r="A63" s="36">
        <v>44176</v>
      </c>
      <c r="B63" s="25">
        <v>0.42162579222926427</v>
      </c>
      <c r="C63" s="25">
        <v>0.43942821713970792</v>
      </c>
      <c r="D63" s="25">
        <v>0.37346859042462038</v>
      </c>
      <c r="E63" s="25">
        <v>0.39964967715345517</v>
      </c>
      <c r="F63" s="25">
        <v>0.34945131772850341</v>
      </c>
      <c r="G63" s="25">
        <v>0.4077603560424512</v>
      </c>
      <c r="H63" s="25">
        <v>0.35831925821240218</v>
      </c>
    </row>
    <row r="64" spans="1:8" x14ac:dyDescent="0.25">
      <c r="A64" s="36">
        <v>44179</v>
      </c>
      <c r="B64" s="25">
        <v>0.42340120684429511</v>
      </c>
      <c r="C64" s="25">
        <v>0.44552668558675218</v>
      </c>
      <c r="D64" s="25">
        <v>0.37446546010356663</v>
      </c>
      <c r="E64" s="25">
        <v>0.40444685615375098</v>
      </c>
      <c r="F64" s="25">
        <v>0.34824687363987478</v>
      </c>
      <c r="G64" s="25">
        <v>0.41485366463199619</v>
      </c>
      <c r="H64" s="25">
        <v>0.3582859132065197</v>
      </c>
    </row>
    <row r="65" spans="1:8" x14ac:dyDescent="0.25">
      <c r="A65" s="36">
        <v>44180</v>
      </c>
      <c r="B65" s="25">
        <v>0.4198696754284455</v>
      </c>
      <c r="C65" s="25">
        <v>0.44149170661817377</v>
      </c>
      <c r="D65" s="25">
        <v>0.37026121167673082</v>
      </c>
      <c r="E65" s="25">
        <v>0.40143281039646128</v>
      </c>
      <c r="F65" s="25">
        <v>0.34824568017162788</v>
      </c>
      <c r="G65" s="25">
        <v>0.40645523512173742</v>
      </c>
      <c r="H65" s="25">
        <v>0.35324285015130308</v>
      </c>
    </row>
    <row r="66" spans="1:8" x14ac:dyDescent="0.25">
      <c r="A66" s="36">
        <v>44181</v>
      </c>
      <c r="B66" s="25">
        <v>0.41784681085548969</v>
      </c>
      <c r="C66" s="25">
        <v>0.43725582036093119</v>
      </c>
      <c r="D66" s="25">
        <v>0.37306190990249999</v>
      </c>
      <c r="E66" s="25">
        <v>0.3989202555120544</v>
      </c>
      <c r="F66" s="25">
        <v>0.34824448671156122</v>
      </c>
      <c r="G66" s="25">
        <v>0.40785334040841481</v>
      </c>
      <c r="H66" s="25">
        <v>0.35323189329840948</v>
      </c>
    </row>
    <row r="67" spans="1:8" x14ac:dyDescent="0.25">
      <c r="A67" s="36">
        <v>44182</v>
      </c>
      <c r="B67" s="25">
        <v>0.41803642274630809</v>
      </c>
      <c r="C67" s="25">
        <v>0.43714321137315398</v>
      </c>
      <c r="D67" s="25">
        <v>0.37926496593510528</v>
      </c>
      <c r="E67" s="25">
        <v>0.399516456948184</v>
      </c>
      <c r="F67" s="25">
        <v>0.35074504105608018</v>
      </c>
      <c r="G67" s="25">
        <v>0.40995118210512621</v>
      </c>
      <c r="H67" s="25">
        <v>0.36076839304669078</v>
      </c>
    </row>
    <row r="68" spans="1:8" x14ac:dyDescent="0.25">
      <c r="A68" s="36">
        <v>44183</v>
      </c>
      <c r="B68" s="25">
        <v>0.41983497258726621</v>
      </c>
      <c r="C68" s="25">
        <v>0.4374328456897264</v>
      </c>
      <c r="D68" s="25">
        <v>0.38286617065973938</v>
      </c>
      <c r="E68" s="25">
        <v>0.40332156544912562</v>
      </c>
      <c r="F68" s="25">
        <v>0.35524696963985242</v>
      </c>
      <c r="G68" s="25">
        <v>0.41384835009089133</v>
      </c>
      <c r="H68" s="25">
        <v>0.36407798106646722</v>
      </c>
    </row>
    <row r="69" spans="1:8" x14ac:dyDescent="0.25">
      <c r="A69" s="36">
        <v>44186</v>
      </c>
      <c r="B69" s="25">
        <v>0.42442561983471078</v>
      </c>
      <c r="C69" s="25">
        <v>0.44624517906336092</v>
      </c>
      <c r="D69" s="25">
        <v>0.38636463331048659</v>
      </c>
      <c r="E69" s="25">
        <v>0.4085192307692308</v>
      </c>
      <c r="F69" s="25">
        <v>0.35574366004112401</v>
      </c>
      <c r="G69" s="25">
        <v>0.41134504125158328</v>
      </c>
      <c r="H69" s="25">
        <v>0.37229496898690562</v>
      </c>
    </row>
    <row r="70" spans="1:8" x14ac:dyDescent="0.25">
      <c r="A70" s="36">
        <v>44187</v>
      </c>
      <c r="B70" s="25">
        <v>0.42531886173934602</v>
      </c>
      <c r="C70" s="25">
        <v>0.43748519324536511</v>
      </c>
      <c r="D70" s="25">
        <v>0.38676358203021921</v>
      </c>
      <c r="E70" s="25">
        <v>0.40821279927473519</v>
      </c>
      <c r="F70" s="25">
        <v>0.35974516879654289</v>
      </c>
      <c r="G70" s="25">
        <v>0.41234325307845299</v>
      </c>
      <c r="H70" s="25">
        <v>0.36725256625397562</v>
      </c>
    </row>
    <row r="71" spans="1:8" x14ac:dyDescent="0.25">
      <c r="A71" s="36">
        <v>44188</v>
      </c>
      <c r="B71" s="25">
        <v>0.42500550933832848</v>
      </c>
      <c r="C71" s="25">
        <v>0.44239986777588008</v>
      </c>
      <c r="D71" s="25">
        <v>0.38606178161904298</v>
      </c>
      <c r="E71" s="25">
        <v>0.40730474437515451</v>
      </c>
      <c r="F71" s="25">
        <v>0.35724223960082518</v>
      </c>
      <c r="G71" s="25">
        <v>0.41284164977816717</v>
      </c>
      <c r="H71" s="25">
        <v>0.36522889689819382</v>
      </c>
    </row>
    <row r="72" spans="1:8" x14ac:dyDescent="0.25">
      <c r="A72" s="36">
        <v>44193</v>
      </c>
      <c r="B72" s="25">
        <v>0.42464538518742939</v>
      </c>
      <c r="C72" s="25">
        <v>0.44233894290357229</v>
      </c>
      <c r="D72" s="25">
        <v>0.39025794446329248</v>
      </c>
      <c r="E72" s="25">
        <v>0.41008419520101091</v>
      </c>
      <c r="F72" s="25">
        <v>0.35723611839332159</v>
      </c>
      <c r="G72" s="25">
        <v>0.41873222030898583</v>
      </c>
      <c r="H72" s="25">
        <v>0.3696992038254962</v>
      </c>
    </row>
    <row r="73" spans="1:8" x14ac:dyDescent="0.25">
      <c r="A73" s="36">
        <v>44194</v>
      </c>
      <c r="B73" s="25">
        <v>0.42573950644486058</v>
      </c>
      <c r="C73" s="25">
        <v>0.45016800705078769</v>
      </c>
      <c r="D73" s="25">
        <v>0.38825529115034541</v>
      </c>
      <c r="E73" s="25">
        <v>0.41037935391715202</v>
      </c>
      <c r="F73" s="25">
        <v>0.35773522316043432</v>
      </c>
      <c r="G73" s="25">
        <v>0.41173361449825069</v>
      </c>
      <c r="H73" s="25">
        <v>0.36817881159739829</v>
      </c>
    </row>
    <row r="74" spans="1:8" x14ac:dyDescent="0.25">
      <c r="A74" s="36">
        <v>44195</v>
      </c>
      <c r="B74" s="25">
        <v>0.42572778099093889</v>
      </c>
      <c r="C74" s="25">
        <v>0.4513619212867333</v>
      </c>
      <c r="D74" s="25">
        <v>0.38225003341226632</v>
      </c>
      <c r="E74" s="25">
        <v>0.41047397986512651</v>
      </c>
      <c r="F74" s="25">
        <v>0.35923497904451202</v>
      </c>
      <c r="G74" s="25">
        <v>0.41573057555311371</v>
      </c>
      <c r="H74" s="25">
        <v>0.36716147457119142</v>
      </c>
    </row>
    <row r="75" spans="1:8" x14ac:dyDescent="0.25">
      <c r="A75" s="36">
        <v>44200</v>
      </c>
      <c r="B75" s="25">
        <v>0.4157184556920196</v>
      </c>
      <c r="C75" s="25">
        <v>0.43330809054359198</v>
      </c>
      <c r="D75" s="25">
        <v>0.37253730115758671</v>
      </c>
      <c r="E75" s="25">
        <v>0.40653583102150681</v>
      </c>
      <c r="F75" s="25">
        <v>0.3482218125244162</v>
      </c>
      <c r="G75" s="25">
        <v>0.40482808670290699</v>
      </c>
      <c r="H75" s="25">
        <v>0.36308150148453811</v>
      </c>
    </row>
    <row r="76" spans="1:8" x14ac:dyDescent="0.25">
      <c r="A76" s="36">
        <v>44201</v>
      </c>
      <c r="B76" s="25">
        <v>0.41460140437835608</v>
      </c>
      <c r="C76" s="25">
        <v>0.43018036623984579</v>
      </c>
      <c r="D76" s="25">
        <v>0.36923393245720748</v>
      </c>
      <c r="E76" s="25">
        <v>0.40352262583258952</v>
      </c>
      <c r="F76" s="25">
        <v>0.34521871733803949</v>
      </c>
      <c r="G76" s="25">
        <v>0.40252768506632441</v>
      </c>
      <c r="H76" s="25">
        <v>0.35844386656793009</v>
      </c>
    </row>
    <row r="77" spans="1:8" x14ac:dyDescent="0.25">
      <c r="A77" s="36">
        <v>44202</v>
      </c>
      <c r="B77" s="25">
        <v>0.41710265447736528</v>
      </c>
      <c r="C77" s="25">
        <v>0.44072172045379449</v>
      </c>
      <c r="D77" s="25">
        <v>0.37403569372481288</v>
      </c>
      <c r="E77" s="25">
        <v>0.40201329378158651</v>
      </c>
      <c r="F77" s="25">
        <v>0.34621816487101459</v>
      </c>
      <c r="G77" s="25">
        <v>0.40932337416046499</v>
      </c>
      <c r="H77" s="25">
        <v>0.35953902956492989</v>
      </c>
    </row>
    <row r="78" spans="1:8" x14ac:dyDescent="0.25">
      <c r="A78" s="36">
        <v>44203</v>
      </c>
      <c r="B78" s="25">
        <v>0.41437756422611999</v>
      </c>
      <c r="C78" s="25">
        <v>0.43216675386182779</v>
      </c>
      <c r="D78" s="25">
        <v>0.37133271879294222</v>
      </c>
      <c r="E78" s="25">
        <v>0.39649395058846137</v>
      </c>
      <c r="F78" s="25">
        <v>0.34871854621218101</v>
      </c>
      <c r="G78" s="25">
        <v>0.40582349457598921</v>
      </c>
      <c r="H78" s="25">
        <v>0.35309158162650289</v>
      </c>
    </row>
    <row r="79" spans="1:8" x14ac:dyDescent="0.25">
      <c r="A79" s="36">
        <v>44204</v>
      </c>
      <c r="B79" s="25">
        <v>0.4105471116250895</v>
      </c>
      <c r="C79" s="25">
        <v>0.43215485434219952</v>
      </c>
      <c r="D79" s="25">
        <v>0.37023076026838653</v>
      </c>
      <c r="E79" s="25">
        <v>0.39598725589826689</v>
      </c>
      <c r="F79" s="25">
        <v>0.34621579203476138</v>
      </c>
      <c r="G79" s="25">
        <v>0.40442271880819369</v>
      </c>
      <c r="H79" s="25">
        <v>0.35197443191602212</v>
      </c>
    </row>
    <row r="80" spans="1:8" x14ac:dyDescent="0.25">
      <c r="A80" s="36">
        <v>44207</v>
      </c>
      <c r="B80" s="25">
        <v>0.40970925910630218</v>
      </c>
      <c r="C80" s="25">
        <v>0.43312408799317198</v>
      </c>
      <c r="D80" s="25">
        <v>0.36412321251726232</v>
      </c>
      <c r="E80" s="25">
        <v>0.39135963527004569</v>
      </c>
      <c r="F80" s="25">
        <v>0.34521161945165008</v>
      </c>
      <c r="G80" s="25">
        <v>0.40251941765851618</v>
      </c>
      <c r="H80" s="25">
        <v>0.35194170578086642</v>
      </c>
    </row>
    <row r="81" spans="1:8" x14ac:dyDescent="0.25">
      <c r="A81" s="36">
        <v>44208</v>
      </c>
      <c r="B81" s="25">
        <v>0.41150680028632791</v>
      </c>
      <c r="C81" s="25">
        <v>0.43220775287704422</v>
      </c>
      <c r="D81" s="25">
        <v>0.36372172077499298</v>
      </c>
      <c r="E81" s="25">
        <v>0.39135426107494992</v>
      </c>
      <c r="F81" s="25">
        <v>0.34721165642069479</v>
      </c>
      <c r="G81" s="25">
        <v>0.40331767830980519</v>
      </c>
      <c r="H81" s="25">
        <v>0.34991976528763968</v>
      </c>
    </row>
    <row r="82" spans="1:8" x14ac:dyDescent="0.25">
      <c r="A82" s="36">
        <v>44209</v>
      </c>
      <c r="B82" s="25">
        <v>0.40737549211243562</v>
      </c>
      <c r="C82" s="25">
        <v>0.42405638300801152</v>
      </c>
      <c r="D82" s="25">
        <v>0.3624196859054975</v>
      </c>
      <c r="E82" s="25">
        <v>0.39074742869697759</v>
      </c>
      <c r="F82" s="25">
        <v>0.34270773722427628</v>
      </c>
      <c r="G82" s="25">
        <v>0.39342080490735382</v>
      </c>
      <c r="H82" s="25">
        <v>0.34588697930835</v>
      </c>
    </row>
    <row r="83" spans="1:8" x14ac:dyDescent="0.25">
      <c r="A83" s="36">
        <v>44210</v>
      </c>
      <c r="B83" s="25">
        <v>0.40424925668979178</v>
      </c>
      <c r="C83" s="25">
        <v>0.41861854421319228</v>
      </c>
      <c r="D83" s="25">
        <v>0.35711524754646629</v>
      </c>
      <c r="E83" s="25">
        <v>0.38843650444908268</v>
      </c>
      <c r="F83" s="25">
        <v>0.33820384889522448</v>
      </c>
      <c r="G83" s="25">
        <v>0.38982110949085008</v>
      </c>
      <c r="H83" s="25">
        <v>0.34577571483664821</v>
      </c>
    </row>
    <row r="84" spans="1:8" x14ac:dyDescent="0.25">
      <c r="A84" s="36">
        <v>44211</v>
      </c>
      <c r="B84" s="25">
        <v>0.40273090158293179</v>
      </c>
      <c r="C84" s="25">
        <v>0.42202339986235382</v>
      </c>
      <c r="D84" s="25">
        <v>0.35721408378308922</v>
      </c>
      <c r="E84" s="25">
        <v>0.3878297288019224</v>
      </c>
      <c r="F84" s="25">
        <v>0.33670179045660931</v>
      </c>
      <c r="G84" s="25">
        <v>0.39071935920036971</v>
      </c>
      <c r="H84" s="25">
        <v>0.34435740724799863</v>
      </c>
    </row>
    <row r="85" spans="1:8" x14ac:dyDescent="0.25">
      <c r="A85" s="36">
        <v>44214</v>
      </c>
      <c r="B85" s="25">
        <v>0.40289859061880651</v>
      </c>
      <c r="C85" s="25">
        <v>0.42198854877780217</v>
      </c>
      <c r="D85" s="25">
        <v>0.35821100100058928</v>
      </c>
      <c r="E85" s="25">
        <v>0.38891635085406712</v>
      </c>
      <c r="F85" s="25">
        <v>0.33819921323519331</v>
      </c>
      <c r="G85" s="25">
        <v>0.39661255981762039</v>
      </c>
      <c r="H85" s="25">
        <v>0.34432539627890318</v>
      </c>
    </row>
    <row r="86" spans="1:8" x14ac:dyDescent="0.25">
      <c r="A86" s="36">
        <v>44215</v>
      </c>
      <c r="B86" s="25">
        <v>0.40389220732747938</v>
      </c>
      <c r="C86" s="25">
        <v>0.43302870984612851</v>
      </c>
      <c r="D86" s="25">
        <v>0.35871006651155302</v>
      </c>
      <c r="E86" s="25">
        <v>0.38881077592717178</v>
      </c>
      <c r="F86" s="25">
        <v>0.33869834731983461</v>
      </c>
      <c r="G86" s="25">
        <v>0.3993099175392536</v>
      </c>
      <c r="H86" s="25">
        <v>0.3458226749890691</v>
      </c>
    </row>
    <row r="87" spans="1:8" x14ac:dyDescent="0.25">
      <c r="A87" s="36">
        <v>44216</v>
      </c>
      <c r="B87" s="25">
        <v>0.40157032755298649</v>
      </c>
      <c r="C87" s="25">
        <v>0.43070602807597019</v>
      </c>
      <c r="D87" s="25">
        <v>0.36381180824452591</v>
      </c>
      <c r="E87" s="25">
        <v>0.38830427021831659</v>
      </c>
      <c r="F87" s="25">
        <v>0.33889730322447997</v>
      </c>
      <c r="G87" s="25">
        <v>0.40100773601697809</v>
      </c>
      <c r="H87" s="25">
        <v>0.34279615795090718</v>
      </c>
    </row>
    <row r="88" spans="1:8" x14ac:dyDescent="0.25">
      <c r="A88" s="36">
        <v>44217</v>
      </c>
      <c r="B88" s="25">
        <v>0.40085601827640299</v>
      </c>
      <c r="C88" s="25">
        <v>0.43250254603506638</v>
      </c>
      <c r="D88" s="25">
        <v>0.36030853473414398</v>
      </c>
      <c r="E88" s="25">
        <v>0.38779777841853053</v>
      </c>
      <c r="F88" s="25">
        <v>0.33419342016441023</v>
      </c>
      <c r="G88" s="25">
        <v>0.39880742518167589</v>
      </c>
      <c r="H88" s="25">
        <v>0.33876459227689443</v>
      </c>
    </row>
    <row r="89" spans="1:8" x14ac:dyDescent="0.25">
      <c r="A89" s="36">
        <v>44218</v>
      </c>
      <c r="B89" s="25">
        <v>0.40184960915996909</v>
      </c>
      <c r="C89" s="25">
        <v>0.43701144996146651</v>
      </c>
      <c r="D89" s="25">
        <v>0.36220839387044612</v>
      </c>
      <c r="E89" s="25">
        <v>0.3877924538664323</v>
      </c>
      <c r="F89" s="25">
        <v>0.33719400202856442</v>
      </c>
      <c r="G89" s="25">
        <v>0.40480314367670522</v>
      </c>
      <c r="H89" s="25">
        <v>0.34217179367133932</v>
      </c>
    </row>
    <row r="90" spans="1:8" x14ac:dyDescent="0.25">
      <c r="A90" s="36">
        <v>44221</v>
      </c>
      <c r="B90" s="25">
        <v>0.40071143525526348</v>
      </c>
      <c r="C90" s="25">
        <v>0.43566946470345402</v>
      </c>
      <c r="D90" s="25">
        <v>0.36520636661127009</v>
      </c>
      <c r="E90" s="25">
        <v>0.3867742156930048</v>
      </c>
      <c r="F90" s="25">
        <v>0.33618997035996367</v>
      </c>
      <c r="G90" s="25">
        <v>0.40379948313337549</v>
      </c>
      <c r="H90" s="25">
        <v>0.34374817135087687</v>
      </c>
    </row>
    <row r="91" spans="1:8" x14ac:dyDescent="0.25">
      <c r="A91" s="36">
        <v>44222</v>
      </c>
      <c r="B91" s="25">
        <v>0.40029860193747252</v>
      </c>
      <c r="C91" s="25">
        <v>0.43344754513430211</v>
      </c>
      <c r="D91" s="25">
        <v>0.36400444085034062</v>
      </c>
      <c r="E91" s="25">
        <v>0.38666868032291718</v>
      </c>
      <c r="F91" s="25">
        <v>0.33618881837744491</v>
      </c>
      <c r="G91" s="25">
        <v>0.40379810094952517</v>
      </c>
      <c r="H91" s="25">
        <v>0.34222990183255081</v>
      </c>
    </row>
    <row r="92" spans="1:8" x14ac:dyDescent="0.25">
      <c r="A92" s="36">
        <v>44223</v>
      </c>
      <c r="B92" s="25">
        <v>0.40018713707790959</v>
      </c>
      <c r="C92" s="25">
        <v>0.43192888791039441</v>
      </c>
      <c r="D92" s="25">
        <v>0.36690481330331659</v>
      </c>
      <c r="E92" s="25">
        <v>0.38516001482762879</v>
      </c>
      <c r="F92" s="25">
        <v>0.33908928614260703</v>
      </c>
      <c r="G92" s="25">
        <v>0.40279722194648582</v>
      </c>
      <c r="H92" s="25">
        <v>0.34171677571910941</v>
      </c>
    </row>
    <row r="93" spans="1:8" x14ac:dyDescent="0.25">
      <c r="A93" s="36">
        <v>44224</v>
      </c>
      <c r="B93" s="25">
        <v>0.396258737409874</v>
      </c>
      <c r="C93" s="25">
        <v>0.43191700148604772</v>
      </c>
      <c r="D93" s="25">
        <v>0.3677040001644748</v>
      </c>
      <c r="E93" s="25">
        <v>0.38355116834619302</v>
      </c>
      <c r="F93" s="25">
        <v>0.33718706953857958</v>
      </c>
      <c r="G93" s="25">
        <v>0.40019716034338759</v>
      </c>
      <c r="H93" s="25">
        <v>0.3407011722917857</v>
      </c>
    </row>
    <row r="94" spans="1:8" x14ac:dyDescent="0.25">
      <c r="A94" s="36">
        <v>44225</v>
      </c>
      <c r="B94" s="25">
        <v>0.39725226340845921</v>
      </c>
      <c r="C94" s="25">
        <v>0.43190511571589751</v>
      </c>
      <c r="D94" s="25">
        <v>0.36720246437247939</v>
      </c>
      <c r="E94" s="25">
        <v>0.38224302914647368</v>
      </c>
      <c r="F94" s="25">
        <v>0.33508475563581291</v>
      </c>
      <c r="G94" s="25">
        <v>0.40019579050416049</v>
      </c>
      <c r="H94" s="25">
        <v>0.33797715375269749</v>
      </c>
    </row>
    <row r="95" spans="1:8" x14ac:dyDescent="0.25">
      <c r="A95" s="36">
        <v>44228</v>
      </c>
      <c r="B95" s="25">
        <v>0.39952947003467071</v>
      </c>
      <c r="C95" s="25">
        <v>0.43186946233008638</v>
      </c>
      <c r="D95" s="25">
        <v>0.36769896039637878</v>
      </c>
      <c r="E95" s="25">
        <v>0.38172620191647683</v>
      </c>
      <c r="F95" s="25">
        <v>0.33618190664811781</v>
      </c>
      <c r="G95" s="25">
        <v>0.40378980804512721</v>
      </c>
      <c r="H95" s="25">
        <v>0.33965406878703819</v>
      </c>
    </row>
    <row r="96" spans="1:8" x14ac:dyDescent="0.25">
      <c r="A96" s="36">
        <v>44229</v>
      </c>
      <c r="B96" s="25">
        <v>0.40022150070164819</v>
      </c>
      <c r="C96" s="25">
        <v>0.42934677929725118</v>
      </c>
      <c r="D96" s="25">
        <v>0.36669716251546208</v>
      </c>
      <c r="E96" s="25">
        <v>0.38051837513556552</v>
      </c>
      <c r="F96" s="25">
        <v>0.33568048574062082</v>
      </c>
      <c r="G96" s="25">
        <v>0.39919083493922702</v>
      </c>
      <c r="H96" s="25">
        <v>0.33964354909201028</v>
      </c>
    </row>
    <row r="97" spans="1:8" x14ac:dyDescent="0.25">
      <c r="A97" s="36">
        <v>44230</v>
      </c>
      <c r="B97" s="25">
        <v>0.39769975786924938</v>
      </c>
      <c r="C97" s="25">
        <v>0.42431350429231779</v>
      </c>
      <c r="D97" s="25">
        <v>0.36569537149984233</v>
      </c>
      <c r="E97" s="25">
        <v>0.37860908242271157</v>
      </c>
      <c r="F97" s="25">
        <v>0.33367826647112842</v>
      </c>
      <c r="G97" s="25">
        <v>0.3958912080615018</v>
      </c>
      <c r="H97" s="25">
        <v>0.34063786149843772</v>
      </c>
    </row>
    <row r="98" spans="1:8" x14ac:dyDescent="0.25">
      <c r="A98" s="36">
        <v>44231</v>
      </c>
      <c r="B98" s="25">
        <v>0.39648369789517118</v>
      </c>
      <c r="C98" s="25">
        <v>0.42932315311597191</v>
      </c>
      <c r="D98" s="25">
        <v>0.36299268447292232</v>
      </c>
      <c r="E98" s="25">
        <v>0.37720090603335849</v>
      </c>
      <c r="F98" s="25">
        <v>0.33707892888348262</v>
      </c>
      <c r="G98" s="25">
        <v>0.39698926939467061</v>
      </c>
      <c r="H98" s="25">
        <v>0.34263691264775209</v>
      </c>
    </row>
    <row r="99" spans="1:8" x14ac:dyDescent="0.25">
      <c r="A99" s="36">
        <v>44232</v>
      </c>
      <c r="B99" s="25">
        <v>0.39647278930281182</v>
      </c>
      <c r="C99" s="25">
        <v>0.43704396632366699</v>
      </c>
      <c r="D99" s="25">
        <v>0.36018996319976981</v>
      </c>
      <c r="E99" s="25">
        <v>0.37699530516431923</v>
      </c>
      <c r="F99" s="25">
        <v>0.33767809049978409</v>
      </c>
      <c r="G99" s="25">
        <v>0.39958652226892483</v>
      </c>
      <c r="H99" s="25">
        <v>0.34272677847591648</v>
      </c>
    </row>
    <row r="100" spans="1:8" x14ac:dyDescent="0.25">
      <c r="A100" s="36">
        <v>44235</v>
      </c>
      <c r="B100" s="25">
        <v>0.39714297504745649</v>
      </c>
      <c r="C100" s="25">
        <v>0.43299127898979339</v>
      </c>
      <c r="D100" s="25">
        <v>0.36018626070330889</v>
      </c>
      <c r="E100" s="25">
        <v>0.37728040192727419</v>
      </c>
      <c r="F100" s="25">
        <v>0.33717436071393092</v>
      </c>
      <c r="G100" s="25">
        <v>0.39958241916216852</v>
      </c>
      <c r="H100" s="25">
        <v>0.34269493980546439</v>
      </c>
    </row>
    <row r="101" spans="1:8" x14ac:dyDescent="0.25">
      <c r="A101" s="36">
        <v>44236</v>
      </c>
      <c r="B101" s="25">
        <v>0.39632874828060521</v>
      </c>
      <c r="C101" s="25">
        <v>0.42976616231086662</v>
      </c>
      <c r="D101" s="25">
        <v>0.3581839986294329</v>
      </c>
      <c r="E101" s="25">
        <v>0.37597254632807142</v>
      </c>
      <c r="F101" s="25">
        <v>0.3369731026212095</v>
      </c>
      <c r="G101" s="25">
        <v>0.39868154435925518</v>
      </c>
      <c r="H101" s="25">
        <v>0.33967039394460702</v>
      </c>
    </row>
    <row r="102" spans="1:8" x14ac:dyDescent="0.25">
      <c r="A102" s="36">
        <v>44237</v>
      </c>
      <c r="B102" s="25">
        <v>0.39571538609666862</v>
      </c>
      <c r="C102" s="25">
        <v>0.42975433963302251</v>
      </c>
      <c r="D102" s="25">
        <v>0.35518123974219717</v>
      </c>
      <c r="E102" s="25">
        <v>0.37526595379610439</v>
      </c>
      <c r="F102" s="25">
        <v>0.33447067167835642</v>
      </c>
      <c r="G102" s="25">
        <v>0.39638144721574747</v>
      </c>
      <c r="H102" s="25">
        <v>0.34046356727298999</v>
      </c>
    </row>
    <row r="103" spans="1:8" x14ac:dyDescent="0.25">
      <c r="A103" s="36">
        <v>44238</v>
      </c>
      <c r="B103" s="25">
        <v>0.39259187940140838</v>
      </c>
      <c r="C103" s="25">
        <v>0.42723233934859151</v>
      </c>
      <c r="D103" s="25">
        <v>0.35518002275125748</v>
      </c>
      <c r="E103" s="25">
        <v>0.37085186405314879</v>
      </c>
      <c r="F103" s="25">
        <v>0.33526993133506022</v>
      </c>
      <c r="G103" s="25">
        <v>0.39558053408725302</v>
      </c>
      <c r="H103" s="25">
        <v>0.33954890115182962</v>
      </c>
    </row>
    <row r="104" spans="1:8" x14ac:dyDescent="0.25">
      <c r="A104" s="36">
        <v>44239</v>
      </c>
      <c r="B104" s="25">
        <v>0.3915770362831128</v>
      </c>
      <c r="C104" s="25">
        <v>0.43374687095975578</v>
      </c>
      <c r="D104" s="25">
        <v>0.35317779841221442</v>
      </c>
      <c r="E104" s="25">
        <v>0.36523547417402169</v>
      </c>
      <c r="F104" s="25">
        <v>0.33416822852600447</v>
      </c>
      <c r="G104" s="25">
        <v>0.3977779527181744</v>
      </c>
      <c r="H104" s="25">
        <v>0.33702700936090568</v>
      </c>
    </row>
    <row r="105" spans="1:8" x14ac:dyDescent="0.25">
      <c r="A105" s="36">
        <v>44244</v>
      </c>
      <c r="B105" s="25">
        <v>0.38841107871720121</v>
      </c>
      <c r="C105" s="25">
        <v>0.42565597667638477</v>
      </c>
      <c r="D105" s="25">
        <v>0.34706878002316188</v>
      </c>
      <c r="E105" s="25">
        <v>0.36210436739959923</v>
      </c>
      <c r="F105" s="25">
        <v>0.32865982772444141</v>
      </c>
      <c r="G105" s="25">
        <v>0.39207442293474981</v>
      </c>
      <c r="H105" s="25">
        <v>0.33044626825627232</v>
      </c>
    </row>
    <row r="106" spans="1:8" x14ac:dyDescent="0.25">
      <c r="A106" s="36">
        <v>44245</v>
      </c>
      <c r="B106" s="25">
        <v>0.39101047883605161</v>
      </c>
      <c r="C106" s="25">
        <v>0.4236365136554911</v>
      </c>
      <c r="D106" s="25">
        <v>0.34796802565622442</v>
      </c>
      <c r="E106" s="25">
        <v>0.36821120245954508</v>
      </c>
      <c r="F106" s="25">
        <v>0.32875874994432241</v>
      </c>
      <c r="G106" s="25">
        <v>0.39027412216901858</v>
      </c>
      <c r="H106" s="25">
        <v>0.33154084015808433</v>
      </c>
    </row>
    <row r="107" spans="1:8" x14ac:dyDescent="0.25">
      <c r="A107" s="36">
        <v>44246</v>
      </c>
      <c r="B107" s="25">
        <v>0.38698432343234318</v>
      </c>
      <c r="C107" s="25">
        <v>0.42372524752475249</v>
      </c>
      <c r="D107" s="25">
        <v>0.34816692934968818</v>
      </c>
      <c r="E107" s="25">
        <v>0.36259538841614047</v>
      </c>
      <c r="F107" s="25">
        <v>0.33015829507298022</v>
      </c>
      <c r="G107" s="25">
        <v>0.3857754047301229</v>
      </c>
      <c r="H107" s="25">
        <v>0.32640847492605068</v>
      </c>
    </row>
    <row r="108" spans="1:8" x14ac:dyDescent="0.25">
      <c r="A108" s="36">
        <v>44249</v>
      </c>
      <c r="B108" s="25">
        <v>0.38394109396914439</v>
      </c>
      <c r="C108" s="25">
        <v>0.42559744795533921</v>
      </c>
      <c r="D108" s="25">
        <v>0.34416147301987582</v>
      </c>
      <c r="E108" s="25">
        <v>0.36418346760358478</v>
      </c>
      <c r="F108" s="25">
        <v>0.32755368100787008</v>
      </c>
      <c r="G108" s="25">
        <v>0.38397250943790151</v>
      </c>
      <c r="H108" s="25">
        <v>0.32386756406332218</v>
      </c>
    </row>
    <row r="109" spans="1:8" x14ac:dyDescent="0.25">
      <c r="A109" s="36">
        <v>44250</v>
      </c>
      <c r="B109" s="25">
        <v>0.37830959190408092</v>
      </c>
      <c r="C109" s="25">
        <v>0.41956330436695632</v>
      </c>
      <c r="D109" s="25">
        <v>0.34115889592412912</v>
      </c>
      <c r="E109" s="25">
        <v>0.35816727053140102</v>
      </c>
      <c r="F109" s="25">
        <v>0.32755255872598199</v>
      </c>
      <c r="G109" s="25">
        <v>0.37767494712055139</v>
      </c>
      <c r="H109" s="25">
        <v>0.32245164662833248</v>
      </c>
    </row>
    <row r="110" spans="1:8" x14ac:dyDescent="0.25">
      <c r="A110" s="36">
        <v>44251</v>
      </c>
      <c r="B110" s="25">
        <v>0.38040698473807227</v>
      </c>
      <c r="C110" s="25">
        <v>0.41654062972638528</v>
      </c>
      <c r="D110" s="25">
        <v>0.34315865211656071</v>
      </c>
      <c r="E110" s="25">
        <v>0.36146846908666708</v>
      </c>
      <c r="F110" s="25">
        <v>0.33115310160519418</v>
      </c>
      <c r="G110" s="25">
        <v>0.38087173782835632</v>
      </c>
      <c r="H110" s="25">
        <v>0.32635796206819467</v>
      </c>
    </row>
    <row r="111" spans="1:8" x14ac:dyDescent="0.25">
      <c r="A111" s="36">
        <v>44252</v>
      </c>
      <c r="B111" s="25">
        <v>0.38059726117802339</v>
      </c>
      <c r="C111" s="25">
        <v>0.42154759940603859</v>
      </c>
      <c r="D111" s="25">
        <v>0.346158853720543</v>
      </c>
      <c r="E111" s="25">
        <v>0.36537068042708531</v>
      </c>
      <c r="F111" s="25">
        <v>0.33215242611335338</v>
      </c>
      <c r="G111" s="25">
        <v>0.37987103663545257</v>
      </c>
      <c r="H111" s="25">
        <v>0.33036445043570362</v>
      </c>
    </row>
    <row r="112" spans="1:8" x14ac:dyDescent="0.25">
      <c r="A112" s="36">
        <v>44253</v>
      </c>
      <c r="B112" s="25">
        <v>0.38189155003162212</v>
      </c>
      <c r="C112" s="25">
        <v>0.41651772211070481</v>
      </c>
      <c r="D112" s="25">
        <v>0.34865880692233109</v>
      </c>
      <c r="E112" s="25">
        <v>0.36847132446786612</v>
      </c>
      <c r="F112" s="25">
        <v>0.3311508323996889</v>
      </c>
      <c r="G112" s="25">
        <v>0.37607203852459298</v>
      </c>
      <c r="H112" s="25">
        <v>0.33135834224543759</v>
      </c>
    </row>
    <row r="113" spans="1:8" x14ac:dyDescent="0.25">
      <c r="A113" s="36">
        <v>44256</v>
      </c>
      <c r="B113" s="25">
        <v>0.38326505361561719</v>
      </c>
      <c r="C113" s="25">
        <v>0.41648336541105307</v>
      </c>
      <c r="D113" s="25">
        <v>0.35065611402336649</v>
      </c>
      <c r="E113" s="25">
        <v>0.36845615479621252</v>
      </c>
      <c r="F113" s="25">
        <v>0.33214787405351698</v>
      </c>
      <c r="G113" s="25">
        <v>0.37766719145732081</v>
      </c>
      <c r="H113" s="25">
        <v>0.33142798198260148</v>
      </c>
    </row>
    <row r="114" spans="1:8" x14ac:dyDescent="0.25">
      <c r="A114" s="36">
        <v>44257</v>
      </c>
      <c r="B114" s="25">
        <v>0.37823678205163452</v>
      </c>
      <c r="C114" s="25">
        <v>0.41145418052844301</v>
      </c>
      <c r="D114" s="25">
        <v>0.34465226075903399</v>
      </c>
      <c r="E114" s="25">
        <v>0.36354242428400868</v>
      </c>
      <c r="F114" s="25">
        <v>0.32264253728530762</v>
      </c>
      <c r="G114" s="25">
        <v>0.36937104055362951</v>
      </c>
      <c r="H114" s="25">
        <v>0.32338579076396218</v>
      </c>
    </row>
    <row r="115" spans="1:8" x14ac:dyDescent="0.25">
      <c r="A115" s="36">
        <v>44258</v>
      </c>
      <c r="B115" s="25">
        <v>0.37631969646981189</v>
      </c>
      <c r="C115" s="25">
        <v>0.4089340701638623</v>
      </c>
      <c r="D115" s="25">
        <v>0.3356471329898037</v>
      </c>
      <c r="E115" s="25">
        <v>0.3628362059501592</v>
      </c>
      <c r="F115" s="25">
        <v>0.32054051090889157</v>
      </c>
      <c r="G115" s="25">
        <v>0.36976952721249079</v>
      </c>
      <c r="H115" s="25">
        <v>0.31976152492023319</v>
      </c>
    </row>
    <row r="116" spans="1:8" x14ac:dyDescent="0.25">
      <c r="A116" s="36">
        <v>44259</v>
      </c>
      <c r="B116" s="25">
        <v>0.3793198251450251</v>
      </c>
      <c r="C116" s="25">
        <v>0.40541060676875701</v>
      </c>
      <c r="D116" s="25">
        <v>0.33814707081504619</v>
      </c>
      <c r="E116" s="25">
        <v>0.36443401534175901</v>
      </c>
      <c r="F116" s="25">
        <v>0.3231405440037276</v>
      </c>
      <c r="G116" s="25">
        <v>0.36956838693558491</v>
      </c>
      <c r="H116" s="25">
        <v>0.3268795318661748</v>
      </c>
    </row>
    <row r="117" spans="1:8" x14ac:dyDescent="0.25">
      <c r="A117" s="36">
        <v>44260</v>
      </c>
      <c r="B117" s="25">
        <v>0.3763993511849123</v>
      </c>
      <c r="C117" s="25">
        <v>0.38633364491120031</v>
      </c>
      <c r="D117" s="25">
        <v>0.33514461719783201</v>
      </c>
      <c r="E117" s="25">
        <v>0.35811812168949148</v>
      </c>
      <c r="F117" s="25">
        <v>0.32273926420304649</v>
      </c>
      <c r="G117" s="25">
        <v>0.36057278974892532</v>
      </c>
      <c r="H117" s="25">
        <v>0.31773393933976468</v>
      </c>
    </row>
    <row r="118" spans="1:8" x14ac:dyDescent="0.25">
      <c r="A118" s="36">
        <v>44263</v>
      </c>
      <c r="B118" s="25">
        <v>0.37014734585039999</v>
      </c>
      <c r="C118" s="25">
        <v>0.39934574044038812</v>
      </c>
      <c r="D118" s="25">
        <v>0.33063927613343969</v>
      </c>
      <c r="E118" s="25">
        <v>0.35760253577946399</v>
      </c>
      <c r="F118" s="25">
        <v>0.32013485132435932</v>
      </c>
      <c r="G118" s="25">
        <v>0.36056908760485579</v>
      </c>
      <c r="H118" s="25">
        <v>0.31770444802728148</v>
      </c>
    </row>
    <row r="119" spans="1:8" x14ac:dyDescent="0.25">
      <c r="A119" s="36">
        <v>44264</v>
      </c>
      <c r="B119" s="25">
        <v>0.36371570729561831</v>
      </c>
      <c r="C119" s="25">
        <v>0.38428445763923252</v>
      </c>
      <c r="D119" s="25">
        <v>0.32613626241100729</v>
      </c>
      <c r="E119" s="25">
        <v>0.3519882543428744</v>
      </c>
      <c r="F119" s="25">
        <v>0.31993367091730113</v>
      </c>
      <c r="G119" s="25">
        <v>0.35237312962886908</v>
      </c>
      <c r="H119" s="25">
        <v>0.30635196732920372</v>
      </c>
    </row>
    <row r="120" spans="1:8" x14ac:dyDescent="0.25">
      <c r="A120" s="36">
        <v>44265</v>
      </c>
      <c r="B120" s="25">
        <v>0.35116413315374262</v>
      </c>
      <c r="C120" s="25">
        <v>0.3712306550482421</v>
      </c>
      <c r="D120" s="25">
        <v>0.32113307226624732</v>
      </c>
      <c r="E120" s="25">
        <v>0.3356563619149549</v>
      </c>
      <c r="F120" s="25">
        <v>0.31433025328989073</v>
      </c>
      <c r="G120" s="25">
        <v>0.34367755117406878</v>
      </c>
      <c r="H120" s="25">
        <v>0.29911553705428812</v>
      </c>
    </row>
    <row r="121" spans="1:8" x14ac:dyDescent="0.25">
      <c r="A121" s="36">
        <v>44266</v>
      </c>
      <c r="B121" s="25">
        <v>0.35065283122594842</v>
      </c>
      <c r="C121" s="25">
        <v>0.37322704782847721</v>
      </c>
      <c r="D121" s="25">
        <v>0.32063176647937508</v>
      </c>
      <c r="E121" s="25">
        <v>0.33565175631174532</v>
      </c>
      <c r="F121" s="25">
        <v>0.31512950527614092</v>
      </c>
      <c r="G121" s="25">
        <v>0.34627468428077618</v>
      </c>
      <c r="H121" s="25">
        <v>0.30372336037398601</v>
      </c>
    </row>
    <row r="122" spans="1:8" x14ac:dyDescent="0.25">
      <c r="A122" s="36">
        <v>44267</v>
      </c>
      <c r="B122" s="25">
        <v>0.35626151012891338</v>
      </c>
      <c r="C122" s="25">
        <v>0.37923641461202268</v>
      </c>
      <c r="D122" s="25">
        <v>0.32763352188049238</v>
      </c>
      <c r="E122" s="25">
        <v>0.34446151946323461</v>
      </c>
      <c r="F122" s="25">
        <v>0.32513250262949628</v>
      </c>
      <c r="G122" s="25">
        <v>0.35286918488249119</v>
      </c>
      <c r="H122" s="25">
        <v>0.30612279972089412</v>
      </c>
    </row>
    <row r="123" spans="1:8" x14ac:dyDescent="0.25">
      <c r="A123" s="36">
        <v>44270</v>
      </c>
      <c r="B123" s="25">
        <v>0.36596306068601581</v>
      </c>
      <c r="C123" s="25">
        <v>0.38823383905013198</v>
      </c>
      <c r="D123" s="25">
        <v>0.33663373120828821</v>
      </c>
      <c r="E123" s="25">
        <v>0.35015641293013561</v>
      </c>
      <c r="F123" s="25">
        <v>0.33463293637198338</v>
      </c>
      <c r="G123" s="25">
        <v>0.35926131268951461</v>
      </c>
      <c r="H123" s="25">
        <v>0.31061053905057812</v>
      </c>
    </row>
    <row r="124" spans="1:8" x14ac:dyDescent="0.25">
      <c r="A124" s="36">
        <v>44271</v>
      </c>
      <c r="B124" s="25">
        <v>0.36765837570427368</v>
      </c>
      <c r="C124" s="25">
        <v>0.40116394118455412</v>
      </c>
      <c r="D124" s="25">
        <v>0.34263494184353432</v>
      </c>
      <c r="E124" s="25">
        <v>0.3545585511422103</v>
      </c>
      <c r="F124" s="25">
        <v>0.33503194751357562</v>
      </c>
      <c r="G124" s="25">
        <v>0.36275774739471928</v>
      </c>
      <c r="H124" s="25">
        <v>0.31401302562163841</v>
      </c>
    </row>
    <row r="125" spans="1:8" x14ac:dyDescent="0.25">
      <c r="A125" s="36">
        <v>44272</v>
      </c>
      <c r="B125" s="25">
        <v>0.36955422415214639</v>
      </c>
      <c r="C125" s="25">
        <v>0.39974852965426272</v>
      </c>
      <c r="D125" s="25">
        <v>0.34063298685103077</v>
      </c>
      <c r="E125" s="25">
        <v>0.35855994292456711</v>
      </c>
      <c r="F125" s="25">
        <v>0.33763181516071339</v>
      </c>
      <c r="G125" s="25">
        <v>0.36855261536776679</v>
      </c>
      <c r="H125" s="25">
        <v>0.31771635953727823</v>
      </c>
    </row>
    <row r="126" spans="1:8" x14ac:dyDescent="0.25">
      <c r="A126" s="36">
        <v>44273</v>
      </c>
      <c r="B126" s="25">
        <v>0.36834034133069499</v>
      </c>
      <c r="C126" s="25">
        <v>0.39913568032539087</v>
      </c>
      <c r="D126" s="25">
        <v>0.33933131657113891</v>
      </c>
      <c r="E126" s="25">
        <v>0.35875533359858408</v>
      </c>
      <c r="F126" s="25">
        <v>0.33963143271197421</v>
      </c>
      <c r="G126" s="25">
        <v>0.36585317439946341</v>
      </c>
      <c r="H126" s="25">
        <v>0.31710443565431662</v>
      </c>
    </row>
    <row r="127" spans="1:8" x14ac:dyDescent="0.25">
      <c r="A127" s="36">
        <v>44274</v>
      </c>
      <c r="B127" s="25">
        <v>0.3711388369792239</v>
      </c>
      <c r="C127" s="25">
        <v>0.39721886336154782</v>
      </c>
      <c r="D127" s="25">
        <v>0.34463218768842852</v>
      </c>
      <c r="E127" s="25">
        <v>0.35975194819449019</v>
      </c>
      <c r="F127" s="25">
        <v>0.3426314202707888</v>
      </c>
      <c r="G127" s="25">
        <v>0.36924961840943471</v>
      </c>
      <c r="H127" s="25">
        <v>0.32271402650244679</v>
      </c>
    </row>
    <row r="128" spans="1:8" x14ac:dyDescent="0.25">
      <c r="A128" s="36">
        <v>44277</v>
      </c>
      <c r="B128" s="25">
        <v>0.3766247149020362</v>
      </c>
      <c r="C128" s="25">
        <v>0.40119809843093068</v>
      </c>
      <c r="D128" s="25">
        <v>0.35313181975463442</v>
      </c>
      <c r="E128" s="25">
        <v>0.36464446913885112</v>
      </c>
      <c r="F128" s="25">
        <v>0.34863013933283321</v>
      </c>
      <c r="G128" s="25">
        <v>0.37524170006262808</v>
      </c>
      <c r="H128" s="25">
        <v>0.32860397431095562</v>
      </c>
    </row>
    <row r="129" spans="1:8" x14ac:dyDescent="0.25">
      <c r="A129" s="36">
        <v>44278</v>
      </c>
      <c r="B129" s="25">
        <v>0.37360546273906348</v>
      </c>
      <c r="C129" s="25">
        <v>0.40118707408221588</v>
      </c>
      <c r="D129" s="25">
        <v>0.35333068395159861</v>
      </c>
      <c r="E129" s="25">
        <v>0.36053339186742028</v>
      </c>
      <c r="F129" s="25">
        <v>0.35263042495169439</v>
      </c>
      <c r="G129" s="25">
        <v>0.37054366499887059</v>
      </c>
      <c r="H129" s="25">
        <v>0.32849347829074871</v>
      </c>
    </row>
    <row r="130" spans="1:8" x14ac:dyDescent="0.25">
      <c r="A130" s="36">
        <v>44280</v>
      </c>
      <c r="B130" s="25">
        <v>0.36506017475408031</v>
      </c>
      <c r="C130" s="25">
        <v>0.3892303676430181</v>
      </c>
      <c r="D130" s="25">
        <v>0.34812637464284979</v>
      </c>
      <c r="E130" s="25">
        <v>0.35381375696216422</v>
      </c>
      <c r="F130" s="25">
        <v>0.34612564835179888</v>
      </c>
      <c r="G130" s="25">
        <v>0.36274657431109769</v>
      </c>
      <c r="H130" s="25">
        <v>0.31613284497983141</v>
      </c>
    </row>
    <row r="131" spans="1:8" x14ac:dyDescent="0.25">
      <c r="A131" s="36">
        <v>44281</v>
      </c>
      <c r="B131" s="25">
        <v>0.3660530292622613</v>
      </c>
      <c r="C131" s="25">
        <v>0.39212803956587439</v>
      </c>
      <c r="D131" s="25">
        <v>0.34752496616934181</v>
      </c>
      <c r="E131" s="25">
        <v>0.35370875917415462</v>
      </c>
      <c r="F131" s="25">
        <v>0.34362356326761329</v>
      </c>
      <c r="G131" s="25">
        <v>0.36184596430588117</v>
      </c>
      <c r="H131" s="25">
        <v>0.3130130044149731</v>
      </c>
    </row>
    <row r="132" spans="1:8" x14ac:dyDescent="0.25">
      <c r="A132" s="36">
        <v>44284</v>
      </c>
      <c r="B132" s="25">
        <v>0.36281389087312488</v>
      </c>
      <c r="C132" s="25">
        <v>0.38216797626243199</v>
      </c>
      <c r="D132" s="25">
        <v>0.34321989188004032</v>
      </c>
      <c r="E132" s="25">
        <v>0.3471851079590661</v>
      </c>
      <c r="F132" s="25">
        <v>0.33811810975066631</v>
      </c>
      <c r="G132" s="25">
        <v>0.35624623555823248</v>
      </c>
      <c r="H132" s="25">
        <v>0.30907167052583118</v>
      </c>
    </row>
    <row r="133" spans="1:8" x14ac:dyDescent="0.25">
      <c r="A133" s="36">
        <v>44285</v>
      </c>
      <c r="B133" s="25">
        <v>0.35899337893898181</v>
      </c>
      <c r="C133" s="25">
        <v>0.38205719937360921</v>
      </c>
      <c r="D133" s="25">
        <v>0.34011764343146089</v>
      </c>
      <c r="E133" s="25">
        <v>0.34337508059095462</v>
      </c>
      <c r="F133" s="25">
        <v>0.33911729742136831</v>
      </c>
      <c r="G133" s="25">
        <v>0.35064902176182122</v>
      </c>
      <c r="H133" s="25">
        <v>0.30785836731468852</v>
      </c>
    </row>
    <row r="134" spans="1:8" x14ac:dyDescent="0.25">
      <c r="A134" s="36">
        <v>44286</v>
      </c>
      <c r="B134" s="25">
        <v>0.36098901098901098</v>
      </c>
      <c r="C134" s="25">
        <v>0.38956730769230768</v>
      </c>
      <c r="D134" s="25">
        <v>0.33911613566289822</v>
      </c>
      <c r="E134" s="25">
        <v>0.34096707818930039</v>
      </c>
      <c r="F134" s="25">
        <v>0.33561493662213082</v>
      </c>
      <c r="G134" s="25">
        <v>0.34984839670100271</v>
      </c>
      <c r="H134" s="25">
        <v>0.30584266575060121</v>
      </c>
    </row>
    <row r="135" spans="1:8" x14ac:dyDescent="0.25">
      <c r="A135" s="36">
        <v>44291</v>
      </c>
      <c r="B135" s="25">
        <v>0.36254360664743851</v>
      </c>
      <c r="C135" s="25">
        <v>0.38941354209586598</v>
      </c>
      <c r="D135" s="25">
        <v>0.33911032698994542</v>
      </c>
      <c r="E135" s="25">
        <v>0.34895411837322537</v>
      </c>
      <c r="F135" s="25">
        <v>0.33260821157568388</v>
      </c>
      <c r="G135" s="25">
        <v>0.35323990897113428</v>
      </c>
      <c r="H135" s="25">
        <v>0.30689862439677817</v>
      </c>
    </row>
    <row r="136" spans="1:8" x14ac:dyDescent="0.25">
      <c r="A136" s="36">
        <v>44292</v>
      </c>
      <c r="B136" s="25">
        <v>0.35992693512058449</v>
      </c>
      <c r="C136" s="25">
        <v>0.38799923089600619</v>
      </c>
      <c r="D136" s="25">
        <v>0.33710852123628843</v>
      </c>
      <c r="E136" s="25">
        <v>0.34674649548733988</v>
      </c>
      <c r="F136" s="25">
        <v>0.33010626708597968</v>
      </c>
      <c r="G136" s="25">
        <v>0.35373833055000409</v>
      </c>
      <c r="H136" s="25">
        <v>0.30588623202841109</v>
      </c>
    </row>
    <row r="137" spans="1:8" x14ac:dyDescent="0.25">
      <c r="A137" s="36">
        <v>44293</v>
      </c>
      <c r="B137" s="25">
        <v>0.35881423901996867</v>
      </c>
      <c r="C137" s="25">
        <v>0.37996813799544038</v>
      </c>
      <c r="D137" s="25">
        <v>0.3243032883760924</v>
      </c>
      <c r="E137" s="25">
        <v>0.34614097411771161</v>
      </c>
      <c r="F137" s="25">
        <v>0.33210577341413527</v>
      </c>
      <c r="G137" s="25">
        <v>0.35263793687567802</v>
      </c>
      <c r="H137" s="25">
        <v>0.304472752375817</v>
      </c>
    </row>
    <row r="138" spans="1:8" x14ac:dyDescent="0.25">
      <c r="A138" s="36">
        <v>44294</v>
      </c>
      <c r="B138" s="25">
        <v>0.35970665787738959</v>
      </c>
      <c r="C138" s="25">
        <v>0.37604784662711488</v>
      </c>
      <c r="D138" s="25">
        <v>0.33320498239171248</v>
      </c>
      <c r="E138" s="25">
        <v>0.34433395512152298</v>
      </c>
      <c r="F138" s="25">
        <v>0.33110432053934802</v>
      </c>
      <c r="G138" s="25">
        <v>0.35353605869590521</v>
      </c>
      <c r="H138" s="25">
        <v>0.30486447872735012</v>
      </c>
    </row>
    <row r="139" spans="1:8" x14ac:dyDescent="0.25">
      <c r="A139" s="36">
        <v>44295</v>
      </c>
      <c r="B139" s="25">
        <v>0.35709027987585479</v>
      </c>
      <c r="C139" s="25">
        <v>0.37864401658930491</v>
      </c>
      <c r="D139" s="25">
        <v>0.33110318626695312</v>
      </c>
      <c r="E139" s="25">
        <v>0.34222661125512632</v>
      </c>
      <c r="F139" s="25">
        <v>0.33140327978924938</v>
      </c>
      <c r="G139" s="25">
        <v>0.35123657257057211</v>
      </c>
      <c r="H139" s="25">
        <v>0.30274914915464951</v>
      </c>
    </row>
    <row r="140" spans="1:8" x14ac:dyDescent="0.25">
      <c r="A140" s="36">
        <v>44298</v>
      </c>
      <c r="B140" s="25">
        <v>0.3633760848072064</v>
      </c>
      <c r="C140" s="25">
        <v>0.38693287927057007</v>
      </c>
      <c r="D140" s="25">
        <v>0.33710159226068132</v>
      </c>
      <c r="E140" s="25">
        <v>0.34691820276497692</v>
      </c>
      <c r="F140" s="25">
        <v>0.33510098933925292</v>
      </c>
      <c r="G140" s="25">
        <v>0.35892711705484193</v>
      </c>
      <c r="H140" s="25">
        <v>0.30683222988379438</v>
      </c>
    </row>
    <row r="141" spans="1:8" x14ac:dyDescent="0.25">
      <c r="A141" s="36">
        <v>44299</v>
      </c>
      <c r="B141" s="25">
        <v>0.36486968939664399</v>
      </c>
      <c r="C141" s="25">
        <v>0.39995331337709061</v>
      </c>
      <c r="D141" s="25">
        <v>0.3385008547067106</v>
      </c>
      <c r="E141" s="25">
        <v>0.34861547323522563</v>
      </c>
      <c r="F141" s="25">
        <v>0.33509984139109938</v>
      </c>
      <c r="G141" s="25">
        <v>0.36362230214596392</v>
      </c>
      <c r="H141" s="25">
        <v>0.30932946909005998</v>
      </c>
    </row>
    <row r="142" spans="1:8" x14ac:dyDescent="0.25">
      <c r="A142" s="36">
        <v>44300</v>
      </c>
      <c r="B142" s="25">
        <v>0.36455896083923761</v>
      </c>
      <c r="C142" s="25">
        <v>0.39292579777008851</v>
      </c>
      <c r="D142" s="25">
        <v>0.3365991353617846</v>
      </c>
      <c r="E142" s="25">
        <v>0.34610774336890038</v>
      </c>
      <c r="F142" s="25">
        <v>0.33489863452934759</v>
      </c>
      <c r="G142" s="25">
        <v>0.36072328077091548</v>
      </c>
      <c r="H142" s="25">
        <v>0.30801645457479759</v>
      </c>
    </row>
    <row r="143" spans="1:8" x14ac:dyDescent="0.25">
      <c r="A143" s="36">
        <v>44301</v>
      </c>
      <c r="B143" s="25">
        <v>0.36184264726074422</v>
      </c>
      <c r="C143" s="25">
        <v>0.39091033914595641</v>
      </c>
      <c r="D143" s="25">
        <v>0.33509754551838722</v>
      </c>
      <c r="E143" s="25">
        <v>0.34289926626894329</v>
      </c>
      <c r="F143" s="25">
        <v>0.33109638079577958</v>
      </c>
      <c r="G143" s="25">
        <v>0.35952297031397029</v>
      </c>
      <c r="H143" s="25">
        <v>0.30860851202637052</v>
      </c>
    </row>
    <row r="144" spans="1:8" x14ac:dyDescent="0.25">
      <c r="A144" s="36">
        <v>44302</v>
      </c>
      <c r="B144" s="25">
        <v>0.3628350175746925</v>
      </c>
      <c r="C144" s="25">
        <v>0.38999752855887521</v>
      </c>
      <c r="D144" s="25">
        <v>0.33609668534783982</v>
      </c>
      <c r="E144" s="25">
        <v>0.34239398760217238</v>
      </c>
      <c r="F144" s="25">
        <v>0.33159539045478842</v>
      </c>
      <c r="G144" s="25">
        <v>0.36371849185219662</v>
      </c>
      <c r="H144" s="25">
        <v>0.31080468610512152</v>
      </c>
    </row>
    <row r="145" spans="1:8" x14ac:dyDescent="0.25">
      <c r="A145" s="36">
        <v>44305</v>
      </c>
      <c r="B145" s="25">
        <v>0.36280512919080699</v>
      </c>
      <c r="C145" s="25">
        <v>0.39397429912957532</v>
      </c>
      <c r="D145" s="25">
        <v>0.33509295386733989</v>
      </c>
      <c r="E145" s="25">
        <v>0.3440817893827397</v>
      </c>
      <c r="F145" s="25">
        <v>0.33159198270753187</v>
      </c>
      <c r="G145" s="25">
        <v>0.36461405267786567</v>
      </c>
      <c r="H145" s="25">
        <v>0.30877086973986428</v>
      </c>
    </row>
    <row r="146" spans="1:8" x14ac:dyDescent="0.25">
      <c r="A146" s="36">
        <v>44306</v>
      </c>
      <c r="B146" s="25">
        <v>0.3622940691927512</v>
      </c>
      <c r="C146" s="25">
        <v>0.39436436024162552</v>
      </c>
      <c r="D146" s="25">
        <v>0.33659221704576597</v>
      </c>
      <c r="E146" s="25">
        <v>0.34297586396050472</v>
      </c>
      <c r="F146" s="25">
        <v>0.33009043573581798</v>
      </c>
      <c r="G146" s="25">
        <v>0.36171508743113312</v>
      </c>
      <c r="H146" s="25">
        <v>0.30936281241417191</v>
      </c>
    </row>
    <row r="147" spans="1:8" x14ac:dyDescent="0.25">
      <c r="A147" s="36">
        <v>44307</v>
      </c>
      <c r="B147" s="25">
        <v>0.36478954449356138</v>
      </c>
      <c r="C147" s="25">
        <v>0.39084594052881583</v>
      </c>
      <c r="D147" s="25">
        <v>0.33809146995248712</v>
      </c>
      <c r="E147" s="25">
        <v>0.3438721355987987</v>
      </c>
      <c r="F147" s="25">
        <v>0.3300893049831975</v>
      </c>
      <c r="G147" s="25">
        <v>0.36601045063665388</v>
      </c>
      <c r="H147" s="25">
        <v>0.31025545077225708</v>
      </c>
    </row>
    <row r="148" spans="1:8" x14ac:dyDescent="0.25">
      <c r="A148" s="36">
        <v>44308</v>
      </c>
      <c r="B148" s="25">
        <v>0.36678381198176929</v>
      </c>
      <c r="C148" s="25">
        <v>0.39885234199110431</v>
      </c>
      <c r="D148" s="25">
        <v>0.34209138057426303</v>
      </c>
      <c r="E148" s="25">
        <v>0.34406763391020539</v>
      </c>
      <c r="F148" s="25">
        <v>0.3345893766143011</v>
      </c>
      <c r="G148" s="25">
        <v>0.36670864244846563</v>
      </c>
      <c r="H148" s="25">
        <v>0.31235092585599628</v>
      </c>
    </row>
    <row r="149" spans="1:8" x14ac:dyDescent="0.25">
      <c r="A149" s="36">
        <v>44309</v>
      </c>
      <c r="B149" s="25">
        <v>0.36627268484199538</v>
      </c>
      <c r="C149" s="25">
        <v>0.39834033440408528</v>
      </c>
      <c r="D149" s="25">
        <v>0.3387893382844106</v>
      </c>
      <c r="E149" s="25">
        <v>0.34256133181575082</v>
      </c>
      <c r="F149" s="25">
        <v>0.3280865159648263</v>
      </c>
      <c r="G149" s="25">
        <v>0.36630770652185068</v>
      </c>
      <c r="H149" s="25">
        <v>0.31574936407295401</v>
      </c>
    </row>
    <row r="150" spans="1:8" x14ac:dyDescent="0.25">
      <c r="A150" s="36">
        <v>44312</v>
      </c>
      <c r="B150" s="25">
        <v>0.36914841047603358</v>
      </c>
      <c r="C150" s="25">
        <v>0.39580244880030752</v>
      </c>
      <c r="D150" s="25">
        <v>0.33758555250303163</v>
      </c>
      <c r="E150" s="25">
        <v>0.34905383539478368</v>
      </c>
      <c r="F150" s="25">
        <v>0.32808314435850178</v>
      </c>
      <c r="G150" s="25">
        <v>0.36820241174940799</v>
      </c>
      <c r="H150" s="25">
        <v>0.31572010132699918</v>
      </c>
    </row>
    <row r="151" spans="1:8" x14ac:dyDescent="0.25">
      <c r="A151" s="36">
        <v>44313</v>
      </c>
      <c r="B151" s="25">
        <v>0.37054108216432857</v>
      </c>
      <c r="C151" s="25">
        <v>0.39478957915831658</v>
      </c>
      <c r="D151" s="25">
        <v>0.33908477119279817</v>
      </c>
      <c r="E151" s="25">
        <v>0.35285285285285278</v>
      </c>
      <c r="F151" s="25">
        <v>0.32958239559889968</v>
      </c>
      <c r="G151" s="25">
        <v>0.37109879994661871</v>
      </c>
      <c r="H151" s="25">
        <v>0.32122275119017779</v>
      </c>
    </row>
    <row r="152" spans="1:8" x14ac:dyDescent="0.25">
      <c r="A152" s="36">
        <v>44314</v>
      </c>
      <c r="B152" s="25">
        <v>0.37323624684308782</v>
      </c>
      <c r="C152" s="25">
        <v>0.39327577687493143</v>
      </c>
      <c r="D152" s="25">
        <v>0.34308459620180309</v>
      </c>
      <c r="E152" s="25">
        <v>0.35384900175515582</v>
      </c>
      <c r="F152" s="25">
        <v>0.33158175988599919</v>
      </c>
      <c r="G152" s="25">
        <v>0.36929899602378891</v>
      </c>
      <c r="H152" s="25">
        <v>0.32271616463933661</v>
      </c>
    </row>
    <row r="153" spans="1:8" x14ac:dyDescent="0.25">
      <c r="A153" s="36">
        <v>44315</v>
      </c>
      <c r="B153" s="25">
        <v>0.3687172307776771</v>
      </c>
      <c r="C153" s="25">
        <v>0.39777375168135282</v>
      </c>
      <c r="D153" s="25">
        <v>0.33908244812951088</v>
      </c>
      <c r="E153" s="25">
        <v>0.35264298152998119</v>
      </c>
      <c r="F153" s="25">
        <v>0.32757965121656291</v>
      </c>
      <c r="G153" s="25">
        <v>0.36719944976543167</v>
      </c>
      <c r="H153" s="25">
        <v>0.31819632689344152</v>
      </c>
    </row>
    <row r="154" spans="1:8" x14ac:dyDescent="0.25">
      <c r="A154" s="36">
        <v>44316</v>
      </c>
      <c r="B154" s="25">
        <v>0.36920807027175412</v>
      </c>
      <c r="C154" s="25">
        <v>0.39074938237716172</v>
      </c>
      <c r="D154" s="25">
        <v>0.34068167026341928</v>
      </c>
      <c r="E154" s="25">
        <v>0.35193747429041539</v>
      </c>
      <c r="F154" s="25">
        <v>0.32957900866646123</v>
      </c>
      <c r="G154" s="25">
        <v>0.37179441554886389</v>
      </c>
      <c r="H154" s="25">
        <v>0.32069190376497242</v>
      </c>
    </row>
    <row r="155" spans="1:8" x14ac:dyDescent="0.25">
      <c r="A155" s="36">
        <v>44319</v>
      </c>
      <c r="B155" s="25">
        <v>0.36837619740345301</v>
      </c>
      <c r="C155" s="25">
        <v>0.39632750528367139</v>
      </c>
      <c r="D155" s="25">
        <v>0.33657722833663889</v>
      </c>
      <c r="E155" s="25">
        <v>0.3521231815501899</v>
      </c>
      <c r="F155" s="25">
        <v>0.32557470378477249</v>
      </c>
      <c r="G155" s="25">
        <v>0.37039176301913129</v>
      </c>
      <c r="H155" s="25">
        <v>0.32066218938424212</v>
      </c>
    </row>
    <row r="156" spans="1:8" x14ac:dyDescent="0.25">
      <c r="A156" s="36">
        <v>44320</v>
      </c>
      <c r="B156" s="25">
        <v>0.36816572432343408</v>
      </c>
      <c r="C156" s="25">
        <v>0.36676318823077347</v>
      </c>
      <c r="D156" s="25">
        <v>0.33657607541430601</v>
      </c>
      <c r="E156" s="25">
        <v>0.35151781062330317</v>
      </c>
      <c r="F156" s="25">
        <v>0.32837422157062901</v>
      </c>
      <c r="G156" s="25">
        <v>0.37019066259700789</v>
      </c>
      <c r="H156" s="25">
        <v>0.32075248965361042</v>
      </c>
    </row>
    <row r="157" spans="1:8" x14ac:dyDescent="0.25">
      <c r="A157" s="36">
        <v>44321</v>
      </c>
      <c r="B157" s="25">
        <v>0.36665294359818862</v>
      </c>
      <c r="C157" s="25">
        <v>0.38819129957458492</v>
      </c>
      <c r="D157" s="25">
        <v>0.33877541233493752</v>
      </c>
      <c r="E157" s="25">
        <v>0.35071227805580307</v>
      </c>
      <c r="F157" s="25">
        <v>0.32807302995529819</v>
      </c>
      <c r="G157" s="25">
        <v>0.3678913240602919</v>
      </c>
      <c r="H157" s="25">
        <v>0.31863836796321399</v>
      </c>
    </row>
    <row r="158" spans="1:8" x14ac:dyDescent="0.25">
      <c r="A158" s="36">
        <v>44322</v>
      </c>
      <c r="B158" s="25">
        <v>0.36604182676473818</v>
      </c>
      <c r="C158" s="25">
        <v>0.39268854978592599</v>
      </c>
      <c r="D158" s="25">
        <v>0.33527348459936429</v>
      </c>
      <c r="E158" s="25">
        <v>0.34800510036196119</v>
      </c>
      <c r="F158" s="25">
        <v>0.32497122657020722</v>
      </c>
      <c r="G158" s="25">
        <v>0.36499250631317448</v>
      </c>
      <c r="H158" s="25">
        <v>0.31622378390249262</v>
      </c>
    </row>
    <row r="159" spans="1:8" x14ac:dyDescent="0.25">
      <c r="A159" s="36">
        <v>44323</v>
      </c>
      <c r="B159" s="25">
        <v>0.36362763125394509</v>
      </c>
      <c r="C159" s="25">
        <v>0.38867085654691658</v>
      </c>
      <c r="D159" s="25">
        <v>0.33457218509472941</v>
      </c>
      <c r="E159" s="25">
        <v>0.34329626938316632</v>
      </c>
      <c r="F159" s="25">
        <v>0.32306970339491048</v>
      </c>
      <c r="G159" s="25">
        <v>0.36289303226380432</v>
      </c>
      <c r="H159" s="25">
        <v>0.31410993264318038</v>
      </c>
    </row>
    <row r="160" spans="1:8" x14ac:dyDescent="0.25">
      <c r="A160" s="36">
        <v>44326</v>
      </c>
      <c r="B160" s="25">
        <v>0.36459934138309552</v>
      </c>
      <c r="C160" s="25">
        <v>0.39565038419319432</v>
      </c>
      <c r="D160" s="25">
        <v>0.33546893197232308</v>
      </c>
      <c r="E160" s="25">
        <v>0.34428297230600491</v>
      </c>
      <c r="F160" s="25">
        <v>0.32256628074261828</v>
      </c>
      <c r="G160" s="25">
        <v>0.36448793840889648</v>
      </c>
      <c r="H160" s="25">
        <v>0.31458176079050298</v>
      </c>
    </row>
    <row r="161" spans="1:8" x14ac:dyDescent="0.25">
      <c r="A161" s="36">
        <v>44327</v>
      </c>
      <c r="B161" s="25">
        <v>0.36048269805987759</v>
      </c>
      <c r="C161" s="25">
        <v>0.38882851732938167</v>
      </c>
      <c r="D161" s="25">
        <v>0.33156699470098411</v>
      </c>
      <c r="E161" s="25">
        <v>0.33847356082313101</v>
      </c>
      <c r="F161" s="25">
        <v>0.3200646706012516</v>
      </c>
      <c r="G161" s="25">
        <v>0.35869167256912721</v>
      </c>
      <c r="H161" s="25">
        <v>0.310664942069311</v>
      </c>
    </row>
    <row r="162" spans="1:8" x14ac:dyDescent="0.25">
      <c r="A162" s="36">
        <v>44328</v>
      </c>
      <c r="B162" s="25">
        <v>0.36367789912738052</v>
      </c>
      <c r="C162" s="25">
        <v>0.39252373634816973</v>
      </c>
      <c r="D162" s="25">
        <v>0.33406635564598453</v>
      </c>
      <c r="E162" s="25">
        <v>0.34137122645389489</v>
      </c>
      <c r="F162" s="25">
        <v>0.3225640709455988</v>
      </c>
      <c r="G162" s="25">
        <v>0.36368613388445592</v>
      </c>
      <c r="H162" s="25">
        <v>0.31376090133732221</v>
      </c>
    </row>
    <row r="163" spans="1:8" x14ac:dyDescent="0.25">
      <c r="A163" s="36">
        <v>44329</v>
      </c>
      <c r="B163" s="25">
        <v>0.36507010948604668</v>
      </c>
      <c r="C163" s="25">
        <v>0.38770545783826799</v>
      </c>
      <c r="D163" s="25">
        <v>0.33536546517642152</v>
      </c>
      <c r="E163" s="25">
        <v>0.34246740605678411</v>
      </c>
      <c r="F163" s="25">
        <v>0.32216288796100612</v>
      </c>
      <c r="G163" s="25">
        <v>0.36418445661806731</v>
      </c>
      <c r="H163" s="25">
        <v>0.31254910167520328</v>
      </c>
    </row>
    <row r="164" spans="1:8" x14ac:dyDescent="0.25">
      <c r="A164" s="36">
        <v>44330</v>
      </c>
      <c r="B164" s="25">
        <v>0.37477499725606411</v>
      </c>
      <c r="C164" s="25">
        <v>0.39560695862144662</v>
      </c>
      <c r="D164" s="25">
        <v>0.34506617707505549</v>
      </c>
      <c r="E164" s="25">
        <v>0.35116939021715288</v>
      </c>
      <c r="F164" s="25">
        <v>0.33056339571972698</v>
      </c>
      <c r="G164" s="25">
        <v>0.37417451942488389</v>
      </c>
      <c r="H164" s="25">
        <v>0.32506106430276921</v>
      </c>
    </row>
    <row r="165" spans="1:8" x14ac:dyDescent="0.25">
      <c r="A165" s="36">
        <v>44333</v>
      </c>
      <c r="B165" s="25">
        <v>0.38105331028616901</v>
      </c>
      <c r="C165" s="25">
        <v>0.40759184569374712</v>
      </c>
      <c r="D165" s="25">
        <v>0.35206390200961141</v>
      </c>
      <c r="E165" s="25">
        <v>0.35725938009787928</v>
      </c>
      <c r="F165" s="25">
        <v>0.33796134229843089</v>
      </c>
      <c r="G165" s="25">
        <v>0.38346250047047642</v>
      </c>
      <c r="H165" s="25">
        <v>0.32953832116162363</v>
      </c>
    </row>
    <row r="166" spans="1:8" x14ac:dyDescent="0.25">
      <c r="A166" s="36">
        <v>44334</v>
      </c>
      <c r="B166" s="25">
        <v>0.38054214223002641</v>
      </c>
      <c r="C166" s="25">
        <v>0.4030742427568042</v>
      </c>
      <c r="D166" s="25">
        <v>0.35506323043829718</v>
      </c>
      <c r="E166" s="25">
        <v>0.35725448264517201</v>
      </c>
      <c r="F166" s="25">
        <v>0.33505966816008331</v>
      </c>
      <c r="G166" s="25">
        <v>0.38346118840202842</v>
      </c>
      <c r="H166" s="25">
        <v>0.32952814785340889</v>
      </c>
    </row>
    <row r="167" spans="1:8" x14ac:dyDescent="0.25">
      <c r="A167" s="36">
        <v>44335</v>
      </c>
      <c r="B167" s="25">
        <v>0.3750240061455733</v>
      </c>
      <c r="C167" s="25">
        <v>0.40156108535213592</v>
      </c>
      <c r="D167" s="25">
        <v>0.35156140284775772</v>
      </c>
      <c r="E167" s="25">
        <v>0.35094518087979282</v>
      </c>
      <c r="F167" s="25">
        <v>0.33605869518306281</v>
      </c>
      <c r="G167" s="25">
        <v>0.37866413010377781</v>
      </c>
      <c r="H167" s="25">
        <v>0.32951797517330322</v>
      </c>
    </row>
    <row r="168" spans="1:8" x14ac:dyDescent="0.25">
      <c r="A168" s="36">
        <v>44336</v>
      </c>
      <c r="B168" s="25">
        <v>0.37341152263374477</v>
      </c>
      <c r="C168" s="25">
        <v>0.40355281207133048</v>
      </c>
      <c r="D168" s="25">
        <v>0.35256036992635731</v>
      </c>
      <c r="E168" s="25">
        <v>0.34803838245373547</v>
      </c>
      <c r="F168" s="25">
        <v>0.33005651652680251</v>
      </c>
      <c r="G168" s="25">
        <v>0.37956203380551568</v>
      </c>
      <c r="H168" s="25">
        <v>0.32850625964671581</v>
      </c>
    </row>
    <row r="169" spans="1:8" x14ac:dyDescent="0.25">
      <c r="A169" s="36">
        <v>44337</v>
      </c>
      <c r="B169" s="25">
        <v>0.36979643905517001</v>
      </c>
      <c r="C169" s="25">
        <v>0.40354174096732598</v>
      </c>
      <c r="D169" s="25">
        <v>0.35075886021969438</v>
      </c>
      <c r="E169" s="25">
        <v>0.34423105920412328</v>
      </c>
      <c r="F169" s="25">
        <v>0.3336559902175365</v>
      </c>
      <c r="G169" s="25">
        <v>0.37466511097956962</v>
      </c>
      <c r="H169" s="25">
        <v>0.32298780006791078</v>
      </c>
    </row>
    <row r="170" spans="1:8" x14ac:dyDescent="0.25">
      <c r="A170" s="36">
        <v>44342</v>
      </c>
      <c r="B170" s="25">
        <v>0.37815585911784072</v>
      </c>
      <c r="C170" s="25">
        <v>0.40649001536098311</v>
      </c>
      <c r="D170" s="25">
        <v>0.36655523435038162</v>
      </c>
      <c r="E170" s="25">
        <v>0.35471380009868958</v>
      </c>
      <c r="F170" s="25">
        <v>0.3470522955513845</v>
      </c>
      <c r="G170" s="25">
        <v>0.38714732469736468</v>
      </c>
      <c r="H170" s="25">
        <v>0.33495425302807919</v>
      </c>
    </row>
    <row r="171" spans="1:8" x14ac:dyDescent="0.25">
      <c r="A171" s="36">
        <v>44343</v>
      </c>
      <c r="B171" s="25">
        <v>0.38144937872013612</v>
      </c>
      <c r="C171" s="25">
        <v>0.41048358339962149</v>
      </c>
      <c r="D171" s="25">
        <v>0.36655397883934959</v>
      </c>
      <c r="E171" s="25">
        <v>0.35681017585701158</v>
      </c>
      <c r="F171" s="25">
        <v>0.35255191689187099</v>
      </c>
      <c r="G171" s="25">
        <v>0.38674636548087882</v>
      </c>
      <c r="H171" s="25">
        <v>0.33844856024937159</v>
      </c>
    </row>
    <row r="172" spans="1:8" x14ac:dyDescent="0.25">
      <c r="A172" s="36">
        <v>44344</v>
      </c>
      <c r="B172" s="25">
        <v>0.37683361676449612</v>
      </c>
      <c r="C172" s="25">
        <v>0.40056091941412042</v>
      </c>
      <c r="D172" s="25">
        <v>0.36325224861110161</v>
      </c>
      <c r="E172" s="25">
        <v>0.35370350064420619</v>
      </c>
      <c r="F172" s="25">
        <v>0.34604977428260231</v>
      </c>
      <c r="G172" s="25">
        <v>0.38514650936811418</v>
      </c>
      <c r="H172" s="25">
        <v>0.33543422649868659</v>
      </c>
    </row>
    <row r="173" spans="1:8" x14ac:dyDescent="0.25">
      <c r="A173" s="36">
        <v>44347</v>
      </c>
      <c r="B173" s="25">
        <v>0.37640218315460361</v>
      </c>
      <c r="C173" s="25">
        <v>0.4054332026000384</v>
      </c>
      <c r="D173" s="25">
        <v>0.36254842256328762</v>
      </c>
      <c r="E173" s="25">
        <v>0.35318868984800089</v>
      </c>
      <c r="F173" s="25">
        <v>0.34404595134281629</v>
      </c>
      <c r="G173" s="25">
        <v>0.3854422778859346</v>
      </c>
      <c r="H173" s="25">
        <v>0.33440196949072343</v>
      </c>
    </row>
    <row r="174" spans="1:8" x14ac:dyDescent="0.25">
      <c r="A174" s="36">
        <v>44348</v>
      </c>
      <c r="B174" s="25">
        <v>0.37889446547090122</v>
      </c>
      <c r="C174" s="25">
        <v>0.40842520980747082</v>
      </c>
      <c r="D174" s="25">
        <v>0.36804789664408383</v>
      </c>
      <c r="E174" s="25">
        <v>0.35618541158411232</v>
      </c>
      <c r="F174" s="25">
        <v>0.34904542371952513</v>
      </c>
      <c r="G174" s="25">
        <v>0.38763891169869158</v>
      </c>
      <c r="H174" s="25">
        <v>0.33749528557419989</v>
      </c>
    </row>
    <row r="175" spans="1:8" x14ac:dyDescent="0.25">
      <c r="A175" s="36">
        <v>44349</v>
      </c>
      <c r="B175" s="25">
        <v>0.3838891479033541</v>
      </c>
      <c r="C175" s="25">
        <v>0.41942517072100483</v>
      </c>
      <c r="D175" s="25">
        <v>0.37604764987344291</v>
      </c>
      <c r="E175" s="25">
        <v>0.36318407960199001</v>
      </c>
      <c r="F175" s="25">
        <v>0.35364481115757818</v>
      </c>
      <c r="G175" s="25">
        <v>0.39473095359475557</v>
      </c>
      <c r="H175" s="25">
        <v>0.34239046583946758</v>
      </c>
    </row>
    <row r="176" spans="1:8" x14ac:dyDescent="0.25">
      <c r="A176" s="36">
        <v>44350</v>
      </c>
      <c r="B176" s="25">
        <v>0.38237713909609478</v>
      </c>
      <c r="C176" s="25">
        <v>0.41841268100043882</v>
      </c>
      <c r="D176" s="25">
        <v>0.3696455727418449</v>
      </c>
      <c r="E176" s="25">
        <v>0.36067786853790912</v>
      </c>
      <c r="F176" s="25">
        <v>0.34504253949117009</v>
      </c>
      <c r="G176" s="25">
        <v>0.38823569664082341</v>
      </c>
      <c r="H176" s="25">
        <v>0.33306957034517748</v>
      </c>
    </row>
    <row r="177" spans="1:8" x14ac:dyDescent="0.25">
      <c r="A177" s="36">
        <v>44351</v>
      </c>
      <c r="B177" s="25">
        <v>0.38086521321815442</v>
      </c>
      <c r="C177" s="25">
        <v>0.41770053475935831</v>
      </c>
      <c r="D177" s="25">
        <v>0.37014436661928651</v>
      </c>
      <c r="E177" s="25">
        <v>0.35867196601110118</v>
      </c>
      <c r="F177" s="25">
        <v>0.34614148956210511</v>
      </c>
      <c r="G177" s="25">
        <v>0.39083192199127531</v>
      </c>
      <c r="H177" s="25">
        <v>0.3357622092325625</v>
      </c>
    </row>
    <row r="178" spans="1:8" x14ac:dyDescent="0.25">
      <c r="A178" s="36">
        <v>44354</v>
      </c>
      <c r="B178" s="25">
        <v>0.38203493473730388</v>
      </c>
      <c r="C178" s="25">
        <v>0.42387161346934299</v>
      </c>
      <c r="D178" s="25">
        <v>0.37304088119245937</v>
      </c>
      <c r="E178" s="25">
        <v>0.36516007016774482</v>
      </c>
      <c r="F178" s="25">
        <v>0.35353874397194213</v>
      </c>
      <c r="G178" s="25">
        <v>0.39492401070213978</v>
      </c>
      <c r="H178" s="25">
        <v>0.33833369899078541</v>
      </c>
    </row>
    <row r="179" spans="1:8" x14ac:dyDescent="0.25">
      <c r="A179" s="36">
        <v>44355</v>
      </c>
      <c r="B179" s="25">
        <v>0.38782938934437472</v>
      </c>
      <c r="C179" s="25">
        <v>0.42536126573254002</v>
      </c>
      <c r="D179" s="25">
        <v>0.37553986895869079</v>
      </c>
      <c r="E179" s="25">
        <v>0.37035727500719479</v>
      </c>
      <c r="F179" s="25">
        <v>0.35903811706037281</v>
      </c>
      <c r="G179" s="25">
        <v>0.39921855487393892</v>
      </c>
      <c r="H179" s="25">
        <v>0.34122603446443689</v>
      </c>
    </row>
    <row r="180" spans="1:8" x14ac:dyDescent="0.25">
      <c r="A180" s="36">
        <v>44356</v>
      </c>
      <c r="B180" s="25">
        <v>0.39332327940773237</v>
      </c>
      <c r="C180" s="25">
        <v>0.4403619413216342</v>
      </c>
      <c r="D180" s="25">
        <v>0.38153919923279789</v>
      </c>
      <c r="E180" s="25">
        <v>0.37665478963957788</v>
      </c>
      <c r="F180" s="25">
        <v>0.36403740110285299</v>
      </c>
      <c r="G180" s="25">
        <v>0.40431230327083623</v>
      </c>
      <c r="H180" s="25">
        <v>0.34772152332636341</v>
      </c>
    </row>
    <row r="181" spans="1:8" x14ac:dyDescent="0.25">
      <c r="A181" s="36">
        <v>44357</v>
      </c>
      <c r="B181" s="25">
        <v>0.3953140851635546</v>
      </c>
      <c r="C181" s="25">
        <v>0.44034986701763051</v>
      </c>
      <c r="D181" s="25">
        <v>0.38333807124680191</v>
      </c>
      <c r="E181" s="25">
        <v>0.3798508996724726</v>
      </c>
      <c r="F181" s="25">
        <v>0.37003675022519361</v>
      </c>
      <c r="G181" s="25">
        <v>0.40421101611120808</v>
      </c>
      <c r="H181" s="25">
        <v>0.35081356966329491</v>
      </c>
    </row>
    <row r="182" spans="1:8" x14ac:dyDescent="0.25">
      <c r="A182" s="36">
        <v>44358</v>
      </c>
      <c r="B182" s="25">
        <v>0.39930631717481901</v>
      </c>
      <c r="C182" s="25">
        <v>0.4493447027856986</v>
      </c>
      <c r="D182" s="25">
        <v>0.38663707478799342</v>
      </c>
      <c r="E182" s="25">
        <v>0.38314696047799152</v>
      </c>
      <c r="F182" s="25">
        <v>0.377036154151768</v>
      </c>
      <c r="G182" s="25">
        <v>0.40560828241219099</v>
      </c>
      <c r="H182" s="25">
        <v>0.35180361133581028</v>
      </c>
    </row>
    <row r="183" spans="1:8" x14ac:dyDescent="0.25">
      <c r="A183" s="36">
        <v>44361</v>
      </c>
      <c r="B183" s="25">
        <v>0.3987731322823852</v>
      </c>
      <c r="C183" s="25">
        <v>0.45281014393420149</v>
      </c>
      <c r="D183" s="25">
        <v>0.38703313639866432</v>
      </c>
      <c r="E183" s="25">
        <v>0.38313120931825972</v>
      </c>
      <c r="F183" s="25">
        <v>0.38003253703228018</v>
      </c>
      <c r="G183" s="25">
        <v>0.40580392425201428</v>
      </c>
      <c r="H183" s="25">
        <v>0.35117059377945342</v>
      </c>
    </row>
    <row r="184" spans="1:8" x14ac:dyDescent="0.25">
      <c r="A184" s="36">
        <v>44362</v>
      </c>
      <c r="B184" s="25">
        <v>0.39726121285228638</v>
      </c>
      <c r="C184" s="25">
        <v>0.44028950542822681</v>
      </c>
      <c r="D184" s="25">
        <v>0.38253144094035119</v>
      </c>
      <c r="E184" s="25">
        <v>0.38072516991887739</v>
      </c>
      <c r="F184" s="25">
        <v>0.38283146559991232</v>
      </c>
      <c r="G184" s="25">
        <v>0.40290537350403371</v>
      </c>
      <c r="H184" s="25">
        <v>0.34755709703068022</v>
      </c>
    </row>
    <row r="185" spans="1:8" x14ac:dyDescent="0.25">
      <c r="A185" s="36">
        <v>44363</v>
      </c>
      <c r="B185" s="25">
        <v>0.39514899799873893</v>
      </c>
      <c r="C185" s="25">
        <v>0.43527428242454153</v>
      </c>
      <c r="D185" s="25">
        <v>0.38543035924062508</v>
      </c>
      <c r="E185" s="25">
        <v>0.37971963769406802</v>
      </c>
      <c r="F185" s="25">
        <v>0.37202930367802939</v>
      </c>
      <c r="G185" s="25">
        <v>0.40040644982500068</v>
      </c>
      <c r="H185" s="25">
        <v>0.34464431977463472</v>
      </c>
    </row>
    <row r="186" spans="1:8" x14ac:dyDescent="0.25">
      <c r="A186" s="36">
        <v>44364</v>
      </c>
      <c r="B186" s="25">
        <v>0.3934371401940896</v>
      </c>
      <c r="C186" s="25">
        <v>0.43125993749657332</v>
      </c>
      <c r="D186" s="25">
        <v>0.37982861722458539</v>
      </c>
      <c r="E186" s="25">
        <v>0.37541313820603472</v>
      </c>
      <c r="F186" s="25">
        <v>0.37002787881278731</v>
      </c>
      <c r="G186" s="25">
        <v>0.39640902123932559</v>
      </c>
      <c r="H186" s="25">
        <v>0.34163165434095721</v>
      </c>
    </row>
    <row r="187" spans="1:8" x14ac:dyDescent="0.25">
      <c r="A187" s="36">
        <v>44365</v>
      </c>
      <c r="B187" s="25">
        <v>0.3923257216480715</v>
      </c>
      <c r="C187" s="25">
        <v>0.43224869102771463</v>
      </c>
      <c r="D187" s="25">
        <v>0.37902725880970889</v>
      </c>
      <c r="E187" s="25">
        <v>0.37310733224626258</v>
      </c>
      <c r="F187" s="25">
        <v>0.36902653957990128</v>
      </c>
      <c r="G187" s="25">
        <v>0.39670736839224191</v>
      </c>
      <c r="H187" s="25">
        <v>0.33831898043596709</v>
      </c>
    </row>
    <row r="188" spans="1:8" x14ac:dyDescent="0.25">
      <c r="A188" s="36">
        <v>44369</v>
      </c>
      <c r="B188" s="25">
        <v>0.38617986459446868</v>
      </c>
      <c r="C188" s="25">
        <v>0.42169640654551432</v>
      </c>
      <c r="D188" s="25">
        <v>0.37322172866228509</v>
      </c>
      <c r="E188" s="25">
        <v>0.36658536919556611</v>
      </c>
      <c r="F188" s="25">
        <v>0.36202107656952631</v>
      </c>
      <c r="G188" s="25">
        <v>0.38711156271275737</v>
      </c>
      <c r="H188" s="25">
        <v>0.33367483647253532</v>
      </c>
    </row>
    <row r="189" spans="1:8" x14ac:dyDescent="0.25">
      <c r="A189" s="36">
        <v>44370</v>
      </c>
      <c r="B189" s="25">
        <v>0.38566906041004267</v>
      </c>
      <c r="C189" s="25">
        <v>0.41618243613638861</v>
      </c>
      <c r="D189" s="25">
        <v>0.37352046687489732</v>
      </c>
      <c r="E189" s="25">
        <v>0.36548010522854318</v>
      </c>
      <c r="F189" s="25">
        <v>0.36001972710833469</v>
      </c>
      <c r="G189" s="25">
        <v>0.38880852839948821</v>
      </c>
      <c r="H189" s="25">
        <v>0.33316430020283971</v>
      </c>
    </row>
    <row r="190" spans="1:8" x14ac:dyDescent="0.25">
      <c r="A190" s="36">
        <v>44371</v>
      </c>
      <c r="B190" s="25">
        <v>0.38175688639166783</v>
      </c>
      <c r="C190" s="25">
        <v>0.40716732903933128</v>
      </c>
      <c r="D190" s="25">
        <v>0.37111906433549668</v>
      </c>
      <c r="E190" s="25">
        <v>0.36007398780571348</v>
      </c>
      <c r="F190" s="25">
        <v>0.35751836566946932</v>
      </c>
      <c r="G190" s="25">
        <v>0.38411194170273188</v>
      </c>
      <c r="H190" s="25">
        <v>0.32965240779127342</v>
      </c>
    </row>
    <row r="191" spans="1:8" x14ac:dyDescent="0.25">
      <c r="A191" s="36">
        <v>44372</v>
      </c>
      <c r="B191" s="25">
        <v>0.37464369895302307</v>
      </c>
      <c r="C191" s="25">
        <v>0.40015348352792851</v>
      </c>
      <c r="D191" s="25">
        <v>0.36201735699656828</v>
      </c>
      <c r="E191" s="25">
        <v>0.34996711698133892</v>
      </c>
      <c r="F191" s="25">
        <v>0.34751666175775547</v>
      </c>
      <c r="G191" s="25">
        <v>0.37472014670060477</v>
      </c>
      <c r="H191" s="25">
        <v>0.32073840081679078</v>
      </c>
    </row>
    <row r="192" spans="1:8" x14ac:dyDescent="0.25">
      <c r="A192" s="36">
        <v>44375</v>
      </c>
      <c r="B192" s="25">
        <v>0.37251226396996362</v>
      </c>
      <c r="C192" s="25">
        <v>0.40512209158924611</v>
      </c>
      <c r="D192" s="25">
        <v>0.36001356215473868</v>
      </c>
      <c r="E192" s="25">
        <v>0.34855252161284578</v>
      </c>
      <c r="F192" s="25">
        <v>0.34501299706495792</v>
      </c>
      <c r="G192" s="25">
        <v>0.37491609618917621</v>
      </c>
      <c r="H192" s="25">
        <v>0.320108529946797</v>
      </c>
    </row>
    <row r="193" spans="1:8" x14ac:dyDescent="0.25">
      <c r="A193" s="36">
        <v>44376</v>
      </c>
      <c r="B193" s="25">
        <v>0.36730063030967391</v>
      </c>
      <c r="C193" s="25">
        <v>0.39510824883529733</v>
      </c>
      <c r="D193" s="25">
        <v>0.35351210657899251</v>
      </c>
      <c r="E193" s="25">
        <v>0.34154678723112752</v>
      </c>
      <c r="F193" s="25">
        <v>0.34101167848213981</v>
      </c>
      <c r="G193" s="25">
        <v>0.373616147793363</v>
      </c>
      <c r="H193" s="25">
        <v>0.31409681066082012</v>
      </c>
    </row>
    <row r="194" spans="1:8" x14ac:dyDescent="0.25">
      <c r="A194" s="36">
        <v>44377</v>
      </c>
      <c r="B194" s="25">
        <v>0.36368967690663451</v>
      </c>
      <c r="C194" s="25">
        <v>0.39559754460003832</v>
      </c>
      <c r="D194" s="25">
        <v>0.35011079108602661</v>
      </c>
      <c r="E194" s="25">
        <v>0.33934183666479428</v>
      </c>
      <c r="F194" s="25">
        <v>0.33901044895219368</v>
      </c>
      <c r="G194" s="25">
        <v>0.37551291305879902</v>
      </c>
      <c r="H194" s="25">
        <v>0.31308684943426091</v>
      </c>
    </row>
    <row r="195" spans="1:8" x14ac:dyDescent="0.25">
      <c r="A195" s="36">
        <v>44378</v>
      </c>
      <c r="B195" s="25">
        <v>0.36257946947276121</v>
      </c>
      <c r="C195" s="25">
        <v>0.40008769045270198</v>
      </c>
      <c r="D195" s="25">
        <v>0.3525096577988438</v>
      </c>
      <c r="E195" s="25">
        <v>0.33803704515563349</v>
      </c>
      <c r="F195" s="25">
        <v>0.34350941121674572</v>
      </c>
      <c r="G195" s="25">
        <v>0.37501214497334939</v>
      </c>
      <c r="H195" s="25">
        <v>0.31357732043517578</v>
      </c>
    </row>
    <row r="196" spans="1:8" x14ac:dyDescent="0.25">
      <c r="A196" s="36">
        <v>44379</v>
      </c>
      <c r="B196" s="25">
        <v>0.36507001342723261</v>
      </c>
      <c r="C196" s="25">
        <v>0.39707615159071608</v>
      </c>
      <c r="D196" s="25">
        <v>0.35730856561629898</v>
      </c>
      <c r="E196" s="25">
        <v>0.34063266340608012</v>
      </c>
      <c r="F196" s="25">
        <v>0.34750833067916009</v>
      </c>
      <c r="G196" s="25">
        <v>0.37181417912234899</v>
      </c>
      <c r="H196" s="25">
        <v>0.31756851649499718</v>
      </c>
    </row>
    <row r="197" spans="1:8" x14ac:dyDescent="0.25">
      <c r="A197" s="36">
        <v>44382</v>
      </c>
      <c r="B197" s="25">
        <v>0.36403989478298993</v>
      </c>
      <c r="C197" s="25">
        <v>0.39554334721613332</v>
      </c>
      <c r="D197" s="25">
        <v>0.35660488499842458</v>
      </c>
      <c r="E197" s="25">
        <v>0.33801852156282541</v>
      </c>
      <c r="F197" s="25">
        <v>0.34900478088740938</v>
      </c>
      <c r="G197" s="25">
        <v>0.37410795536184688</v>
      </c>
      <c r="H197" s="25">
        <v>0.31503884040498142</v>
      </c>
    </row>
    <row r="198" spans="1:8" x14ac:dyDescent="0.25">
      <c r="A198" s="36">
        <v>44383</v>
      </c>
      <c r="B198" s="25">
        <v>0.36302983806888228</v>
      </c>
      <c r="C198" s="25">
        <v>0.39803271501767268</v>
      </c>
      <c r="D198" s="25">
        <v>0.35400363702366799</v>
      </c>
      <c r="E198" s="25">
        <v>0.33771387865254737</v>
      </c>
      <c r="F198" s="25">
        <v>0.34600355483104278</v>
      </c>
      <c r="G198" s="25">
        <v>0.36981119165808551</v>
      </c>
      <c r="H198" s="25">
        <v>0.31082874101372387</v>
      </c>
    </row>
    <row r="199" spans="1:8" x14ac:dyDescent="0.25">
      <c r="A199" s="36">
        <v>44384</v>
      </c>
      <c r="B199" s="25">
        <v>0.35601950791824211</v>
      </c>
      <c r="C199" s="25">
        <v>0.3890213162365061</v>
      </c>
      <c r="D199" s="25">
        <v>0.35700244522222763</v>
      </c>
      <c r="E199" s="25">
        <v>0.33760924956848132</v>
      </c>
      <c r="F199" s="25">
        <v>0.34700237672860768</v>
      </c>
      <c r="G199" s="25">
        <v>0.36971003188417689</v>
      </c>
      <c r="H199" s="25">
        <v>0.31261927105095522</v>
      </c>
    </row>
    <row r="200" spans="1:8" x14ac:dyDescent="0.25">
      <c r="A200" s="36">
        <v>44385</v>
      </c>
      <c r="B200" s="25">
        <v>0.3554097372530754</v>
      </c>
      <c r="C200" s="25">
        <v>0.39041069618345708</v>
      </c>
      <c r="D200" s="25">
        <v>0.35660122123705901</v>
      </c>
      <c r="E200" s="25">
        <v>0.3386046384197044</v>
      </c>
      <c r="F200" s="25">
        <v>0.3505012003465765</v>
      </c>
      <c r="G200" s="25">
        <v>0.36811045845321222</v>
      </c>
      <c r="H200" s="25">
        <v>0.31500970920336591</v>
      </c>
    </row>
    <row r="201" spans="1:8" x14ac:dyDescent="0.25">
      <c r="A201" s="36">
        <v>44389</v>
      </c>
      <c r="B201" s="25">
        <v>0.35797057776073199</v>
      </c>
      <c r="C201" s="25">
        <v>0.39146782456236467</v>
      </c>
      <c r="D201" s="25">
        <v>0.35959630551740912</v>
      </c>
      <c r="E201" s="25">
        <v>0.34288590879826858</v>
      </c>
      <c r="F201" s="25">
        <v>0.3524963784618651</v>
      </c>
      <c r="G201" s="25">
        <v>0.37060274431859003</v>
      </c>
      <c r="H201" s="25">
        <v>0.31897050615182843</v>
      </c>
    </row>
    <row r="202" spans="1:8" x14ac:dyDescent="0.25">
      <c r="A202" s="36">
        <v>44390</v>
      </c>
      <c r="B202" s="25">
        <v>0.36046049747972819</v>
      </c>
      <c r="C202" s="25">
        <v>0.39305692526846381</v>
      </c>
      <c r="D202" s="25">
        <v>0.36499500006849223</v>
      </c>
      <c r="E202" s="25">
        <v>0.34748095994740008</v>
      </c>
      <c r="F202" s="25">
        <v>0.35999506856070462</v>
      </c>
      <c r="G202" s="25">
        <v>0.37369814651368038</v>
      </c>
      <c r="H202" s="25">
        <v>0.32745962826500841</v>
      </c>
    </row>
    <row r="203" spans="1:8" x14ac:dyDescent="0.25">
      <c r="A203" s="36">
        <v>44391</v>
      </c>
      <c r="B203" s="25">
        <v>0.36395014381591562</v>
      </c>
      <c r="C203" s="25">
        <v>0.39494589782221612</v>
      </c>
      <c r="D203" s="25">
        <v>0.36819369531343638</v>
      </c>
      <c r="E203" s="25">
        <v>0.35087596739949323</v>
      </c>
      <c r="F203" s="25">
        <v>0.36279378777760662</v>
      </c>
      <c r="G203" s="25">
        <v>0.37659374305116061</v>
      </c>
      <c r="H203" s="25">
        <v>0.32594976801520309</v>
      </c>
    </row>
    <row r="204" spans="1:8" x14ac:dyDescent="0.25">
      <c r="A204" s="36">
        <v>44392</v>
      </c>
      <c r="B204" s="25">
        <v>0.3636402235249</v>
      </c>
      <c r="C204" s="25">
        <v>0.39493507916506881</v>
      </c>
      <c r="D204" s="25">
        <v>0.36999239741649143</v>
      </c>
      <c r="E204" s="25">
        <v>0.35287099690436402</v>
      </c>
      <c r="F204" s="25">
        <v>0.36349253097539092</v>
      </c>
      <c r="G204" s="25">
        <v>0.37509407627362168</v>
      </c>
      <c r="H204" s="25">
        <v>0.32713950159901928</v>
      </c>
    </row>
    <row r="205" spans="1:8" x14ac:dyDescent="0.25">
      <c r="A205" s="36">
        <v>44393</v>
      </c>
      <c r="B205" s="25">
        <v>0.3639302051661325</v>
      </c>
      <c r="C205" s="25">
        <v>0.39702385843810778</v>
      </c>
      <c r="D205" s="25">
        <v>0.37199108240555878</v>
      </c>
      <c r="E205" s="25">
        <v>0.35566589505115948</v>
      </c>
      <c r="F205" s="25">
        <v>0.36749119027968508</v>
      </c>
      <c r="G205" s="25">
        <v>0.37749019044393578</v>
      </c>
      <c r="H205" s="25">
        <v>0.32642957170199582</v>
      </c>
    </row>
    <row r="206" spans="1:8" x14ac:dyDescent="0.25">
      <c r="A206" s="36">
        <v>44396</v>
      </c>
      <c r="B206" s="25">
        <v>0.36589975349219389</v>
      </c>
      <c r="C206" s="25">
        <v>0.39889071487263761</v>
      </c>
      <c r="D206" s="25">
        <v>0.37648710660593809</v>
      </c>
      <c r="E206" s="25">
        <v>0.35835091083413229</v>
      </c>
      <c r="F206" s="25">
        <v>0.36598746618266498</v>
      </c>
      <c r="G206" s="25">
        <v>0.37988368910782699</v>
      </c>
      <c r="H206" s="25">
        <v>0.32929850388578857</v>
      </c>
    </row>
    <row r="207" spans="1:8" x14ac:dyDescent="0.25">
      <c r="A207" s="36">
        <v>44397</v>
      </c>
      <c r="B207" s="25">
        <v>0.36988852674536438</v>
      </c>
      <c r="C207" s="25">
        <v>0.40887677686176771</v>
      </c>
      <c r="D207" s="25">
        <v>0.38198561013112531</v>
      </c>
      <c r="E207" s="25">
        <v>0.36184547533933242</v>
      </c>
      <c r="F207" s="25">
        <v>0.37598583615000808</v>
      </c>
      <c r="G207" s="25">
        <v>0.38188019334909218</v>
      </c>
      <c r="H207" s="25">
        <v>0.33108774764720178</v>
      </c>
    </row>
    <row r="208" spans="1:8" x14ac:dyDescent="0.25">
      <c r="A208" s="36">
        <v>44398</v>
      </c>
      <c r="B208" s="25">
        <v>0.37187773882559161</v>
      </c>
      <c r="C208" s="25">
        <v>0.40036837204206832</v>
      </c>
      <c r="D208" s="25">
        <v>0.38148432256208648</v>
      </c>
      <c r="E208" s="25">
        <v>0.36314030570317207</v>
      </c>
      <c r="F208" s="25">
        <v>0.37848444584469132</v>
      </c>
      <c r="G208" s="25">
        <v>0.38347712454074617</v>
      </c>
      <c r="H208" s="25">
        <v>0.33247702904405219</v>
      </c>
    </row>
    <row r="209" spans="1:8" x14ac:dyDescent="0.25">
      <c r="A209" s="36">
        <v>44399</v>
      </c>
      <c r="B209" s="25">
        <v>0.37186755402185528</v>
      </c>
      <c r="C209" s="25">
        <v>0.40585544874428292</v>
      </c>
      <c r="D209" s="25">
        <v>0.38548283809282458</v>
      </c>
      <c r="E209" s="25">
        <v>0.36293536767424978</v>
      </c>
      <c r="F209" s="25">
        <v>0.38208298945594887</v>
      </c>
      <c r="G209" s="25">
        <v>0.38537371332396009</v>
      </c>
      <c r="H209" s="25">
        <v>0.33286662535901712</v>
      </c>
    </row>
    <row r="210" spans="1:8" x14ac:dyDescent="0.25">
      <c r="A210" s="36">
        <v>44400</v>
      </c>
      <c r="B210" s="25">
        <v>0.36985813660513778</v>
      </c>
      <c r="C210" s="25">
        <v>0.40534452538752258</v>
      </c>
      <c r="D210" s="25">
        <v>0.38588149883224782</v>
      </c>
      <c r="E210" s="25">
        <v>0.36273043525899151</v>
      </c>
      <c r="F210" s="25">
        <v>0.38498154198086387</v>
      </c>
      <c r="G210" s="25">
        <v>0.38906829408464583</v>
      </c>
      <c r="H210" s="25">
        <v>0.33325619766812947</v>
      </c>
    </row>
    <row r="211" spans="1:8" x14ac:dyDescent="0.25">
      <c r="A211" s="36">
        <v>44403</v>
      </c>
      <c r="B211" s="25">
        <v>0.37042747213626531</v>
      </c>
      <c r="C211" s="25">
        <v>0.4053112249089465</v>
      </c>
      <c r="D211" s="25">
        <v>0.38447761602920377</v>
      </c>
      <c r="E211" s="25">
        <v>0.36211567169289338</v>
      </c>
      <c r="F211" s="25">
        <v>0.38297770335288689</v>
      </c>
      <c r="G211" s="25">
        <v>0.38556821641517891</v>
      </c>
      <c r="H211" s="25">
        <v>0.33482456110325748</v>
      </c>
    </row>
    <row r="212" spans="1:8" x14ac:dyDescent="0.25">
      <c r="A212" s="36">
        <v>44404</v>
      </c>
      <c r="B212" s="25">
        <v>0.37031737773152962</v>
      </c>
      <c r="C212" s="25">
        <v>0.40280135823429541</v>
      </c>
      <c r="D212" s="25">
        <v>0.38397633022621891</v>
      </c>
      <c r="E212" s="25">
        <v>0.36111095894163081</v>
      </c>
      <c r="F212" s="25">
        <v>0.38297639186625482</v>
      </c>
      <c r="G212" s="25">
        <v>0.38576667305218793</v>
      </c>
      <c r="H212" s="25">
        <v>0.33431452413387103</v>
      </c>
    </row>
    <row r="213" spans="1:8" x14ac:dyDescent="0.25">
      <c r="A213" s="36">
        <v>44405</v>
      </c>
      <c r="B213" s="25">
        <v>0.36960760152249511</v>
      </c>
      <c r="C213" s="25">
        <v>0.40279032832224321</v>
      </c>
      <c r="D213" s="25">
        <v>0.38447498279221559</v>
      </c>
      <c r="E213" s="25">
        <v>0.3600062997302072</v>
      </c>
      <c r="F213" s="25">
        <v>0.37997527558138339</v>
      </c>
      <c r="G213" s="25">
        <v>0.38646456560929637</v>
      </c>
      <c r="H213" s="25">
        <v>0.33690270423827151</v>
      </c>
    </row>
    <row r="214" spans="1:8" x14ac:dyDescent="0.25">
      <c r="A214" s="36">
        <v>44406</v>
      </c>
      <c r="B214" s="25">
        <v>0.36839813800657167</v>
      </c>
      <c r="C214" s="25">
        <v>0.40977546549835708</v>
      </c>
      <c r="D214" s="25">
        <v>0.38447366618724749</v>
      </c>
      <c r="E214" s="25">
        <v>0.35900164338537383</v>
      </c>
      <c r="F214" s="25">
        <v>0.38147387165262647</v>
      </c>
      <c r="G214" s="25">
        <v>0.38636335648068959</v>
      </c>
      <c r="H214" s="25">
        <v>0.33479362037100419</v>
      </c>
    </row>
    <row r="215" spans="1:8" x14ac:dyDescent="0.25">
      <c r="A215" s="36">
        <v>44407</v>
      </c>
      <c r="B215" s="25">
        <v>0.36778839571753241</v>
      </c>
      <c r="C215" s="25">
        <v>0.40876482024040961</v>
      </c>
      <c r="D215" s="25">
        <v>0.38477232801750549</v>
      </c>
      <c r="E215" s="25">
        <v>0.35859684200435488</v>
      </c>
      <c r="F215" s="25">
        <v>0.38097260128552402</v>
      </c>
      <c r="G215" s="25">
        <v>0.38776044962730599</v>
      </c>
      <c r="H215" s="25">
        <v>0.33558279059102147</v>
      </c>
    </row>
    <row r="216" spans="1:8" x14ac:dyDescent="0.25">
      <c r="A216" s="36">
        <v>44409</v>
      </c>
      <c r="B216" s="25">
        <v>0.36726857048982831</v>
      </c>
      <c r="C216" s="25">
        <v>0.40474495523368842</v>
      </c>
      <c r="D216" s="25">
        <v>0.38296983456782507</v>
      </c>
      <c r="E216" s="25">
        <v>0.35768730400010962</v>
      </c>
      <c r="F216" s="25">
        <v>0.38047003147012393</v>
      </c>
      <c r="G216" s="25">
        <v>0.38955574635774948</v>
      </c>
      <c r="H216" s="25">
        <v>0.33576197695469312</v>
      </c>
    </row>
    <row r="217" spans="1:8" x14ac:dyDescent="0.25">
      <c r="A217" s="36">
        <v>44410</v>
      </c>
      <c r="B217" s="25">
        <v>0.36625917205125402</v>
      </c>
      <c r="C217" s="25">
        <v>0.39983709341802648</v>
      </c>
      <c r="D217" s="25">
        <v>0.3822685806646029</v>
      </c>
      <c r="E217" s="25">
        <v>0.35578303023663449</v>
      </c>
      <c r="F217" s="25">
        <v>0.37896885187518831</v>
      </c>
      <c r="G217" s="25">
        <v>0.38915487079847028</v>
      </c>
      <c r="H217" s="25">
        <v>0.33675089659703777</v>
      </c>
    </row>
    <row r="218" spans="1:8" x14ac:dyDescent="0.25">
      <c r="A218" s="36">
        <v>44411</v>
      </c>
      <c r="B218" s="25">
        <v>0.36405065023956201</v>
      </c>
      <c r="C218" s="25">
        <v>0.40472279260780292</v>
      </c>
      <c r="D218" s="25">
        <v>0.38146734012498928</v>
      </c>
      <c r="E218" s="25">
        <v>0.35397877439233139</v>
      </c>
      <c r="F218" s="25">
        <v>0.37596781097508769</v>
      </c>
      <c r="G218" s="25">
        <v>0.38745548771101651</v>
      </c>
      <c r="H218" s="25">
        <v>0.33404260415775522</v>
      </c>
    </row>
    <row r="219" spans="1:8" x14ac:dyDescent="0.25">
      <c r="A219" s="36">
        <v>44412</v>
      </c>
      <c r="B219" s="25">
        <v>0.36274160871707822</v>
      </c>
      <c r="C219" s="25">
        <v>0.40970815309642439</v>
      </c>
      <c r="D219" s="25">
        <v>0.37696643449555872</v>
      </c>
      <c r="E219" s="25">
        <v>0.35177471037712588</v>
      </c>
      <c r="F219" s="25">
        <v>0.37146692417798421</v>
      </c>
      <c r="G219" s="25">
        <v>0.38655519675989269</v>
      </c>
      <c r="H219" s="25">
        <v>0.32993559955378232</v>
      </c>
    </row>
    <row r="220" spans="1:8" x14ac:dyDescent="0.25">
      <c r="A220" s="36">
        <v>44413</v>
      </c>
      <c r="B220" s="25">
        <v>0.36223204752648719</v>
      </c>
      <c r="C220" s="25">
        <v>0.40370137158814029</v>
      </c>
      <c r="D220" s="25">
        <v>0.37396542100559188</v>
      </c>
      <c r="E220" s="25">
        <v>0.34957070672490997</v>
      </c>
      <c r="F220" s="25">
        <v>0.36996579083440922</v>
      </c>
      <c r="G220" s="25">
        <v>0.38355733280426357</v>
      </c>
      <c r="H220" s="25">
        <v>0.32722768381107498</v>
      </c>
    </row>
    <row r="221" spans="1:8" x14ac:dyDescent="0.25">
      <c r="A221" s="36">
        <v>44417</v>
      </c>
      <c r="B221" s="25">
        <v>0.36089348772275598</v>
      </c>
      <c r="C221" s="25">
        <v>0.40016013796501598</v>
      </c>
      <c r="D221" s="25">
        <v>0.3739602987354082</v>
      </c>
      <c r="E221" s="25">
        <v>0.35085100847585271</v>
      </c>
      <c r="F221" s="25">
        <v>0.37076063842537271</v>
      </c>
      <c r="G221" s="25">
        <v>0.38285290123520133</v>
      </c>
      <c r="H221" s="25">
        <v>0.32668785646591098</v>
      </c>
    </row>
    <row r="222" spans="1:8" x14ac:dyDescent="0.25">
      <c r="A222" s="36">
        <v>44418</v>
      </c>
      <c r="B222" s="25">
        <v>0.36468028030220079</v>
      </c>
      <c r="C222" s="25">
        <v>0.40464524252709949</v>
      </c>
      <c r="D222" s="25">
        <v>0.37735864562787641</v>
      </c>
      <c r="E222" s="25">
        <v>0.353345108993318</v>
      </c>
      <c r="F222" s="25">
        <v>0.37495890861275483</v>
      </c>
      <c r="G222" s="25">
        <v>0.38644738012328023</v>
      </c>
      <c r="H222" s="25">
        <v>0.32877572804904748</v>
      </c>
    </row>
    <row r="223" spans="1:8" x14ac:dyDescent="0.25">
      <c r="A223" s="36">
        <v>44419</v>
      </c>
      <c r="B223" s="25">
        <v>0.36616894314729148</v>
      </c>
      <c r="C223" s="25">
        <v>0.40463416637013111</v>
      </c>
      <c r="D223" s="25">
        <v>0.37805727434913178</v>
      </c>
      <c r="E223" s="25">
        <v>0.35513945750551118</v>
      </c>
      <c r="F223" s="25">
        <v>0.37545756815154452</v>
      </c>
      <c r="G223" s="25">
        <v>0.38654594089819161</v>
      </c>
      <c r="H223" s="25">
        <v>0.3299643855393658</v>
      </c>
    </row>
    <row r="224" spans="1:8" x14ac:dyDescent="0.25">
      <c r="A224" s="36">
        <v>44420</v>
      </c>
      <c r="B224" s="25">
        <v>0.36985547708983418</v>
      </c>
      <c r="C224" s="25">
        <v>0.40662122953960689</v>
      </c>
      <c r="D224" s="25">
        <v>0.38395529287685681</v>
      </c>
      <c r="E224" s="25">
        <v>0.35663389654133693</v>
      </c>
      <c r="F224" s="25">
        <v>0.37895587500085598</v>
      </c>
      <c r="G224" s="25">
        <v>0.39093944120625018</v>
      </c>
      <c r="H224" s="25">
        <v>0.33764616531990438</v>
      </c>
    </row>
    <row r="225" spans="1:8" x14ac:dyDescent="0.25">
      <c r="A225" s="36">
        <v>44421</v>
      </c>
      <c r="B225" s="25">
        <v>0.36115368824414951</v>
      </c>
      <c r="C225" s="25">
        <v>0.40561105788969481</v>
      </c>
      <c r="D225" s="25">
        <v>0.37745475713527488</v>
      </c>
      <c r="E225" s="25">
        <v>0.35103169713151228</v>
      </c>
      <c r="F225" s="25">
        <v>0.37395517660554378</v>
      </c>
      <c r="G225" s="25">
        <v>0.38754211633515201</v>
      </c>
      <c r="H225" s="25">
        <v>0.33214169645758862</v>
      </c>
    </row>
    <row r="226" spans="1:8" x14ac:dyDescent="0.25">
      <c r="A226" s="36">
        <v>44425</v>
      </c>
      <c r="B226" s="25">
        <v>0.36051479241358553</v>
      </c>
      <c r="C226" s="25">
        <v>0.39767508689345632</v>
      </c>
      <c r="D226" s="25">
        <v>0.3774495872126668</v>
      </c>
      <c r="E226" s="25">
        <v>0.35251167184654769</v>
      </c>
      <c r="F226" s="25">
        <v>0.36395139005406812</v>
      </c>
      <c r="G226" s="25">
        <v>0.38354158899123991</v>
      </c>
      <c r="H226" s="25">
        <v>0.32660740000889338</v>
      </c>
    </row>
    <row r="227" spans="1:8" x14ac:dyDescent="0.25">
      <c r="A227" s="36">
        <v>44426</v>
      </c>
      <c r="B227" s="25">
        <v>0.35960591133004932</v>
      </c>
      <c r="C227" s="25">
        <v>0.39956212370005473</v>
      </c>
      <c r="D227" s="25">
        <v>0.37644843172168202</v>
      </c>
      <c r="E227" s="25">
        <v>0.350907721796276</v>
      </c>
      <c r="F227" s="25">
        <v>0.36654978770031499</v>
      </c>
      <c r="G227" s="25">
        <v>0.38204207285787578</v>
      </c>
      <c r="H227" s="25">
        <v>0.33139143521685588</v>
      </c>
    </row>
    <row r="228" spans="1:8" x14ac:dyDescent="0.25">
      <c r="A228" s="36">
        <v>44427</v>
      </c>
      <c r="B228" s="25">
        <v>0.3610943871267891</v>
      </c>
      <c r="C228" s="25">
        <v>0.39955118907528531</v>
      </c>
      <c r="D228" s="25">
        <v>0.37244770426070312</v>
      </c>
      <c r="E228" s="25">
        <v>0.35240207554661079</v>
      </c>
      <c r="F228" s="25">
        <v>0.36694847641255862</v>
      </c>
      <c r="G228" s="25">
        <v>0.37864484814486687</v>
      </c>
      <c r="H228" s="25">
        <v>0.33158098156781329</v>
      </c>
    </row>
    <row r="229" spans="1:8" x14ac:dyDescent="0.25">
      <c r="A229" s="36">
        <v>44428</v>
      </c>
      <c r="B229" s="25">
        <v>0.36168381588309351</v>
      </c>
      <c r="C229" s="25">
        <v>0.3895517486727601</v>
      </c>
      <c r="D229" s="25">
        <v>0.3719465008457688</v>
      </c>
      <c r="E229" s="25">
        <v>0.35249719339558072</v>
      </c>
      <c r="F229" s="25">
        <v>0.36594736373535308</v>
      </c>
      <c r="G229" s="25">
        <v>0.37944258975481621</v>
      </c>
      <c r="H229" s="25">
        <v>0.32657723905355401</v>
      </c>
    </row>
    <row r="230" spans="1:8" x14ac:dyDescent="0.25">
      <c r="A230" s="36">
        <v>44431</v>
      </c>
      <c r="B230" s="25">
        <v>0.36405116979066909</v>
      </c>
      <c r="C230" s="25">
        <v>0.39950745656040498</v>
      </c>
      <c r="D230" s="25">
        <v>0.37394237189474222</v>
      </c>
      <c r="E230" s="25">
        <v>0.35238277773974952</v>
      </c>
      <c r="F230" s="25">
        <v>0.369942988238114</v>
      </c>
      <c r="G230" s="25">
        <v>0.38702946759932272</v>
      </c>
      <c r="H230" s="25">
        <v>0.32854431353773023</v>
      </c>
    </row>
    <row r="231" spans="1:8" x14ac:dyDescent="0.25">
      <c r="A231" s="36">
        <v>44432</v>
      </c>
      <c r="B231" s="25">
        <v>0.36653806162097091</v>
      </c>
      <c r="C231" s="25">
        <v>0.40948393805067579</v>
      </c>
      <c r="D231" s="25">
        <v>0.37744054018887441</v>
      </c>
      <c r="E231" s="25">
        <v>0.35367713495605507</v>
      </c>
      <c r="F231" s="25">
        <v>0.37144148524547499</v>
      </c>
      <c r="G231" s="25">
        <v>0.39541791514454983</v>
      </c>
      <c r="H231" s="25">
        <v>0.33752145930085431</v>
      </c>
    </row>
    <row r="232" spans="1:8" x14ac:dyDescent="0.25">
      <c r="A232" s="36">
        <v>44433</v>
      </c>
      <c r="B232" s="25">
        <v>0.36652803239663989</v>
      </c>
      <c r="C232" s="25">
        <v>0.4134675896790434</v>
      </c>
      <c r="D232" s="25">
        <v>0.37663937653870783</v>
      </c>
      <c r="E232" s="25">
        <v>0.35347242186537431</v>
      </c>
      <c r="F232" s="25">
        <v>0.37144021339031053</v>
      </c>
      <c r="G232" s="25">
        <v>0.39441778373700648</v>
      </c>
      <c r="H232" s="25">
        <v>0.33451541089449188</v>
      </c>
    </row>
    <row r="233" spans="1:8" x14ac:dyDescent="0.25">
      <c r="A233" s="36">
        <v>44434</v>
      </c>
      <c r="B233" s="25">
        <v>0.36531957973076501</v>
      </c>
      <c r="C233" s="25">
        <v>0.41645233665316839</v>
      </c>
      <c r="D233" s="25">
        <v>0.37493836629595129</v>
      </c>
      <c r="E233" s="25">
        <v>0.35396725440806048</v>
      </c>
      <c r="F233" s="25">
        <v>0.37093902372212789</v>
      </c>
      <c r="G233" s="25">
        <v>0.39251876124477519</v>
      </c>
      <c r="H233" s="25">
        <v>0.33949772938666078</v>
      </c>
    </row>
    <row r="234" spans="1:8" x14ac:dyDescent="0.25">
      <c r="A234" s="36">
        <v>44435</v>
      </c>
      <c r="B234" s="25">
        <v>0.36650797559440751</v>
      </c>
      <c r="C234" s="25">
        <v>0.42043557963282169</v>
      </c>
      <c r="D234" s="25">
        <v>0.37793657913569301</v>
      </c>
      <c r="E234" s="25">
        <v>0.3560610001505839</v>
      </c>
      <c r="F234" s="25">
        <v>0.37373728381196308</v>
      </c>
      <c r="G234" s="25">
        <v>0.3955137348260187</v>
      </c>
      <c r="H234" s="25">
        <v>0.3407853207997511</v>
      </c>
    </row>
    <row r="235" spans="1:8" x14ac:dyDescent="0.25">
      <c r="A235" s="36">
        <v>44438</v>
      </c>
      <c r="B235" s="25">
        <v>0.37206992777413</v>
      </c>
      <c r="C235" s="25">
        <v>0.42439538192164589</v>
      </c>
      <c r="D235" s="25">
        <v>0.38393162861408242</v>
      </c>
      <c r="E235" s="25">
        <v>0.35984367300005471</v>
      </c>
      <c r="F235" s="25">
        <v>0.3819319847150508</v>
      </c>
      <c r="G235" s="25">
        <v>0.40150224721407018</v>
      </c>
      <c r="H235" s="25">
        <v>0.34943993872833951</v>
      </c>
    </row>
    <row r="236" spans="1:8" x14ac:dyDescent="0.25">
      <c r="A236" s="36">
        <v>44439</v>
      </c>
      <c r="B236" s="25">
        <v>0.37515525401471828</v>
      </c>
      <c r="C236" s="25">
        <v>0.42038957130741672</v>
      </c>
      <c r="D236" s="25">
        <v>0.38443022328139081</v>
      </c>
      <c r="E236" s="25">
        <v>0.36283657070893738</v>
      </c>
      <c r="F236" s="25">
        <v>0.38393031401834599</v>
      </c>
      <c r="G236" s="25">
        <v>0.40269938398497762</v>
      </c>
      <c r="H236" s="25">
        <v>0.34942918588470212</v>
      </c>
    </row>
    <row r="237" spans="1:8" x14ac:dyDescent="0.25">
      <c r="A237" s="36">
        <v>44440</v>
      </c>
      <c r="B237" s="25">
        <v>0.37883952508617391</v>
      </c>
      <c r="C237" s="25">
        <v>0.42437216173332598</v>
      </c>
      <c r="D237" s="25">
        <v>0.38692844473967147</v>
      </c>
      <c r="E237" s="25">
        <v>0.36852739069729251</v>
      </c>
      <c r="F237" s="25">
        <v>0.38592862963698488</v>
      </c>
      <c r="G237" s="25">
        <v>0.40629352451054163</v>
      </c>
      <c r="H237" s="25">
        <v>0.35540846399485793</v>
      </c>
    </row>
    <row r="238" spans="1:8" x14ac:dyDescent="0.25">
      <c r="A238" s="36">
        <v>44441</v>
      </c>
      <c r="B238" s="25">
        <v>0.38342224045958151</v>
      </c>
      <c r="C238" s="25">
        <v>0.43334701135275611</v>
      </c>
      <c r="D238" s="25">
        <v>0.39392580164695012</v>
      </c>
      <c r="E238" s="25">
        <v>0.37431797960440771</v>
      </c>
      <c r="F238" s="25">
        <v>0.39192617828833609</v>
      </c>
      <c r="G238" s="25">
        <v>0.40898876404494378</v>
      </c>
      <c r="H238" s="25">
        <v>0.35739414348963228</v>
      </c>
    </row>
    <row r="239" spans="1:8" x14ac:dyDescent="0.25">
      <c r="A239" s="36">
        <v>44442</v>
      </c>
      <c r="B239" s="25">
        <v>0.38441021993653568</v>
      </c>
      <c r="C239" s="25">
        <v>0.42185277382645803</v>
      </c>
      <c r="D239" s="25">
        <v>0.39242474046073361</v>
      </c>
      <c r="E239" s="25">
        <v>0.37591162943495399</v>
      </c>
      <c r="F239" s="25">
        <v>0.39242474046073361</v>
      </c>
      <c r="G239" s="25">
        <v>0.40868774070856401</v>
      </c>
      <c r="H239" s="25">
        <v>0.35638486995049651</v>
      </c>
    </row>
    <row r="240" spans="1:8" x14ac:dyDescent="0.25">
      <c r="A240" s="36">
        <v>44445</v>
      </c>
      <c r="B240" s="25">
        <v>0.38537706173582431</v>
      </c>
      <c r="C240" s="25">
        <v>0.42681008780327689</v>
      </c>
      <c r="D240" s="25">
        <v>0.39592000246525533</v>
      </c>
      <c r="E240" s="25">
        <v>0.37729506289437298</v>
      </c>
      <c r="F240" s="25">
        <v>0.39342050750019691</v>
      </c>
      <c r="G240" s="25">
        <v>0.41337761527384909</v>
      </c>
      <c r="H240" s="25">
        <v>0.35884743839114491</v>
      </c>
    </row>
    <row r="241" spans="1:8" x14ac:dyDescent="0.25">
      <c r="A241" s="36">
        <v>44446</v>
      </c>
      <c r="B241" s="25">
        <v>0.38935995623632391</v>
      </c>
      <c r="C241" s="25">
        <v>0.42929431072210072</v>
      </c>
      <c r="D241" s="25">
        <v>0.39691844141614741</v>
      </c>
      <c r="E241" s="25">
        <v>0.37818915959485361</v>
      </c>
      <c r="F241" s="25">
        <v>0.39391905772786412</v>
      </c>
      <c r="G241" s="25">
        <v>0.41167835277217218</v>
      </c>
      <c r="H241" s="25">
        <v>0.36282901483557811</v>
      </c>
    </row>
    <row r="242" spans="1:8" x14ac:dyDescent="0.25">
      <c r="A242" s="36">
        <v>44447</v>
      </c>
      <c r="B242" s="25">
        <v>0.38735264352725579</v>
      </c>
      <c r="C242" s="25">
        <v>0.42429091108011269</v>
      </c>
      <c r="D242" s="25">
        <v>0.39141823112295032</v>
      </c>
      <c r="E242" s="25">
        <v>0.37758448419813578</v>
      </c>
      <c r="F242" s="25">
        <v>0.39041843998342812</v>
      </c>
      <c r="G242" s="25">
        <v>0.40298798444442158</v>
      </c>
      <c r="H242" s="25">
        <v>0.35802686045756432</v>
      </c>
    </row>
    <row r="243" spans="1:8" x14ac:dyDescent="0.25">
      <c r="A243" s="36">
        <v>44448</v>
      </c>
      <c r="B243" s="25">
        <v>0.38634374487172479</v>
      </c>
      <c r="C243" s="25">
        <v>0.41679202450631803</v>
      </c>
      <c r="D243" s="25">
        <v>0.38891742164334969</v>
      </c>
      <c r="E243" s="25">
        <v>0.37707974049437459</v>
      </c>
      <c r="F243" s="25">
        <v>0.38791763392704293</v>
      </c>
      <c r="G243" s="25">
        <v>0.40048978698370569</v>
      </c>
      <c r="H243" s="25">
        <v>0.35532099617853558</v>
      </c>
    </row>
    <row r="244" spans="1:8" x14ac:dyDescent="0.25">
      <c r="A244" s="36">
        <v>44449</v>
      </c>
      <c r="B244" s="25">
        <v>0.38832973224297779</v>
      </c>
      <c r="C244" s="25">
        <v>0.4167806252222192</v>
      </c>
      <c r="D244" s="25">
        <v>0.38591673714232888</v>
      </c>
      <c r="E244" s="25">
        <v>0.37647509683423902</v>
      </c>
      <c r="F244" s="25">
        <v>0.38941598216823092</v>
      </c>
      <c r="G244" s="25">
        <v>0.3944960717986955</v>
      </c>
      <c r="H244" s="25">
        <v>0.34443119012055362</v>
      </c>
    </row>
    <row r="245" spans="1:8" x14ac:dyDescent="0.25">
      <c r="A245" s="36">
        <v>44452</v>
      </c>
      <c r="B245" s="25">
        <v>0.39528523765246398</v>
      </c>
      <c r="C245" s="25">
        <v>0.43321664934638732</v>
      </c>
      <c r="D245" s="25">
        <v>0.39641040038895309</v>
      </c>
      <c r="E245" s="25">
        <v>0.38395286453343552</v>
      </c>
      <c r="F245" s="25">
        <v>0.39491073935343379</v>
      </c>
      <c r="G245" s="25">
        <v>0.41516540345308778</v>
      </c>
      <c r="H245" s="25">
        <v>0.35537707540140939</v>
      </c>
    </row>
    <row r="246" spans="1:8" x14ac:dyDescent="0.25">
      <c r="A246" s="36">
        <v>44453</v>
      </c>
      <c r="B246" s="25">
        <v>0.39277900839554791</v>
      </c>
      <c r="C246" s="25">
        <v>0.42921213115650719</v>
      </c>
      <c r="D246" s="25">
        <v>0.3939096166290611</v>
      </c>
      <c r="E246" s="25">
        <v>0.38234907687464931</v>
      </c>
      <c r="F246" s="25">
        <v>0.3939096166290611</v>
      </c>
      <c r="G246" s="25">
        <v>0.41047004381329588</v>
      </c>
      <c r="H246" s="25">
        <v>0.35546593849003588</v>
      </c>
    </row>
    <row r="247" spans="1:8" x14ac:dyDescent="0.25">
      <c r="A247" s="36">
        <v>44454</v>
      </c>
      <c r="B247" s="25">
        <v>0.39725989936556549</v>
      </c>
      <c r="C247" s="25">
        <v>0.4341910960402538</v>
      </c>
      <c r="D247" s="25">
        <v>0.39440815152635689</v>
      </c>
      <c r="E247" s="25">
        <v>0.38124486779438332</v>
      </c>
      <c r="F247" s="25">
        <v>0.39290850076009692</v>
      </c>
      <c r="G247" s="25">
        <v>0.41356463208586142</v>
      </c>
      <c r="H247" s="25">
        <v>0.35525542356431039</v>
      </c>
    </row>
    <row r="248" spans="1:8" x14ac:dyDescent="0.25">
      <c r="A248" s="36">
        <v>44455</v>
      </c>
      <c r="B248" s="25">
        <v>0.40124148869260851</v>
      </c>
      <c r="C248" s="25">
        <v>0.42918865705925779</v>
      </c>
      <c r="D248" s="25">
        <v>0.39490668300983672</v>
      </c>
      <c r="E248" s="25">
        <v>0.38143946133107071</v>
      </c>
      <c r="F248" s="25">
        <v>0.39240727362369848</v>
      </c>
      <c r="G248" s="25">
        <v>0.4123647731198205</v>
      </c>
      <c r="H248" s="25">
        <v>0.35724025275014443</v>
      </c>
    </row>
    <row r="249" spans="1:8" x14ac:dyDescent="0.25">
      <c r="A249" s="36">
        <v>44456</v>
      </c>
      <c r="B249" s="25">
        <v>0.4002324309543342</v>
      </c>
      <c r="C249" s="25">
        <v>0.43416735028712061</v>
      </c>
      <c r="D249" s="25">
        <v>0.39190604991953992</v>
      </c>
      <c r="E249" s="25">
        <v>0.38063500752702889</v>
      </c>
      <c r="F249" s="25">
        <v>0.39140616975382608</v>
      </c>
      <c r="G249" s="25">
        <v>0.40796908133251247</v>
      </c>
      <c r="H249" s="25">
        <v>0.35722926562553392</v>
      </c>
    </row>
    <row r="250" spans="1:8" x14ac:dyDescent="0.25">
      <c r="A250" s="36">
        <v>44459</v>
      </c>
      <c r="B250" s="25">
        <v>0.39920159680638723</v>
      </c>
      <c r="C250" s="25">
        <v>0.43413173652694609</v>
      </c>
      <c r="D250" s="25">
        <v>0.38610347413146712</v>
      </c>
      <c r="E250" s="25">
        <v>0.37842157842157842</v>
      </c>
      <c r="F250" s="25">
        <v>0.3849037740564859</v>
      </c>
      <c r="G250" s="25">
        <v>0.39987550575785868</v>
      </c>
      <c r="H250" s="25">
        <v>0.35071090047393372</v>
      </c>
    </row>
    <row r="251" spans="1:8" x14ac:dyDescent="0.25">
      <c r="A251" s="36">
        <v>44460</v>
      </c>
      <c r="B251" s="25">
        <v>0.39719472849565263</v>
      </c>
      <c r="C251" s="25">
        <v>0.41116640236233393</v>
      </c>
      <c r="D251" s="25">
        <v>0.38730184816176733</v>
      </c>
      <c r="E251" s="25">
        <v>0.37721761502039031</v>
      </c>
      <c r="F251" s="25">
        <v>0.3849024562268466</v>
      </c>
      <c r="G251" s="25">
        <v>0.39587939148517021</v>
      </c>
      <c r="H251" s="25">
        <v>0.34920352893742362</v>
      </c>
    </row>
    <row r="252" spans="1:8" x14ac:dyDescent="0.25">
      <c r="A252" s="36">
        <v>44461</v>
      </c>
      <c r="B252" s="25">
        <v>0.39518796992481198</v>
      </c>
      <c r="C252" s="25">
        <v>0.41414900888585099</v>
      </c>
      <c r="D252" s="25">
        <v>0.38350149790293592</v>
      </c>
      <c r="E252" s="25">
        <v>0.37651317139924728</v>
      </c>
      <c r="F252" s="25">
        <v>0.38190190875631258</v>
      </c>
      <c r="G252" s="25">
        <v>0.39348119773586188</v>
      </c>
      <c r="H252" s="25">
        <v>0.3417100879815495</v>
      </c>
    </row>
    <row r="253" spans="1:8" x14ac:dyDescent="0.25">
      <c r="A253" s="36">
        <v>44462</v>
      </c>
      <c r="B253" s="25">
        <v>0.39218339895013121</v>
      </c>
      <c r="C253" s="25">
        <v>0.41323955599300077</v>
      </c>
      <c r="D253" s="25">
        <v>0.37990112162587819</v>
      </c>
      <c r="E253" s="25">
        <v>0.37600853905523018</v>
      </c>
      <c r="F253" s="25">
        <v>0.37890138183212579</v>
      </c>
      <c r="G253" s="25">
        <v>0.39048381249444231</v>
      </c>
      <c r="H253" s="25">
        <v>0.34469256946057858</v>
      </c>
    </row>
    <row r="254" spans="1:8" x14ac:dyDescent="0.25">
      <c r="A254" s="36">
        <v>44463</v>
      </c>
      <c r="B254" s="25">
        <v>0.38478825491429042</v>
      </c>
      <c r="C254" s="25">
        <v>0.40813899445006419</v>
      </c>
      <c r="D254" s="25">
        <v>0.37340153452685432</v>
      </c>
      <c r="E254" s="25">
        <v>0.37320634399332209</v>
      </c>
      <c r="F254" s="25">
        <v>0.37939995275218519</v>
      </c>
      <c r="G254" s="25">
        <v>0.38548909493240119</v>
      </c>
      <c r="H254" s="25">
        <v>0.34358457496421158</v>
      </c>
    </row>
    <row r="255" spans="1:8" x14ac:dyDescent="0.25">
      <c r="A255" s="36">
        <v>44466</v>
      </c>
      <c r="B255" s="25">
        <v>0.38365910333515579</v>
      </c>
      <c r="C255" s="25">
        <v>0.40610989611809728</v>
      </c>
      <c r="D255" s="25">
        <v>0.37789646672144622</v>
      </c>
      <c r="E255" s="25">
        <v>0.37159277504105093</v>
      </c>
      <c r="F255" s="25">
        <v>0.37389756231169541</v>
      </c>
      <c r="G255" s="25">
        <v>0.39047847053592799</v>
      </c>
      <c r="H255" s="25">
        <v>0.34016124624214272</v>
      </c>
    </row>
    <row r="256" spans="1:8" x14ac:dyDescent="0.25">
      <c r="A256" s="36">
        <v>44467</v>
      </c>
      <c r="B256" s="25">
        <v>0.38364861540143791</v>
      </c>
      <c r="C256" s="25">
        <v>0.41108772313496078</v>
      </c>
      <c r="D256" s="25">
        <v>0.37889489559403039</v>
      </c>
      <c r="E256" s="25">
        <v>0.37078857705833251</v>
      </c>
      <c r="F256" s="25">
        <v>0.37889489559403039</v>
      </c>
      <c r="G256" s="25">
        <v>0.39497111744205532</v>
      </c>
      <c r="H256" s="25">
        <v>0.34414082649822869</v>
      </c>
    </row>
    <row r="257" spans="1:8" x14ac:dyDescent="0.25">
      <c r="A257" s="36">
        <v>44468</v>
      </c>
      <c r="B257" s="25">
        <v>0.38812804111311572</v>
      </c>
      <c r="C257" s="25">
        <v>0.41656415723579898</v>
      </c>
      <c r="D257" s="25">
        <v>0.38189275614382268</v>
      </c>
      <c r="E257" s="25">
        <v>0.37188226923182183</v>
      </c>
      <c r="F257" s="25">
        <v>0.37789387911613859</v>
      </c>
      <c r="G257" s="25">
        <v>0.40096172261894991</v>
      </c>
      <c r="H257" s="25">
        <v>0.34662394359461363</v>
      </c>
    </row>
    <row r="258" spans="1:8" x14ac:dyDescent="0.25">
      <c r="A258" s="36">
        <v>44469</v>
      </c>
      <c r="B258" s="25">
        <v>0.38911516278052649</v>
      </c>
      <c r="C258" s="25">
        <v>0.41306071125932808</v>
      </c>
      <c r="D258" s="25">
        <v>0.37989201699516922</v>
      </c>
      <c r="E258" s="25">
        <v>0.37077843000424171</v>
      </c>
      <c r="F258" s="25">
        <v>0.37489343782418011</v>
      </c>
      <c r="G258" s="25">
        <v>0.39946236743013691</v>
      </c>
      <c r="H258" s="25">
        <v>0.34411966646968201</v>
      </c>
    </row>
    <row r="259" spans="1:8" x14ac:dyDescent="0.25">
      <c r="A259" s="36">
        <v>44470</v>
      </c>
      <c r="B259" s="25">
        <v>0.38112289525475618</v>
      </c>
      <c r="C259" s="25">
        <v>0.41983380712879947</v>
      </c>
      <c r="D259" s="25">
        <v>0.37989071636926358</v>
      </c>
      <c r="E259" s="25">
        <v>0.36937496579278628</v>
      </c>
      <c r="F259" s="25">
        <v>0.37089330466578108</v>
      </c>
      <c r="G259" s="25">
        <v>0.39936113600142281</v>
      </c>
      <c r="H259" s="25">
        <v>0.34311166978644331</v>
      </c>
    </row>
    <row r="260" spans="1:8" x14ac:dyDescent="0.25">
      <c r="A260" s="36">
        <v>44473</v>
      </c>
      <c r="B260" s="25">
        <v>0.38059283352010281</v>
      </c>
      <c r="C260" s="25">
        <v>0.41401317407822452</v>
      </c>
      <c r="D260" s="25">
        <v>0.37788741025790262</v>
      </c>
      <c r="E260" s="25">
        <v>0.36826111346751128</v>
      </c>
      <c r="F260" s="25">
        <v>0.37088949525312659</v>
      </c>
      <c r="G260" s="25">
        <v>0.3968604329045784</v>
      </c>
      <c r="H260" s="25">
        <v>0.34278083085425037</v>
      </c>
    </row>
    <row r="261" spans="1:8" x14ac:dyDescent="0.25">
      <c r="A261" s="36">
        <v>44474</v>
      </c>
      <c r="B261" s="25">
        <v>0.38407401333770641</v>
      </c>
      <c r="C261" s="25">
        <v>0.41599704821252881</v>
      </c>
      <c r="D261" s="25">
        <v>0.37988551395469861</v>
      </c>
      <c r="E261" s="25">
        <v>0.36645824211908928</v>
      </c>
      <c r="F261" s="25">
        <v>0.37368738188491141</v>
      </c>
      <c r="G261" s="25">
        <v>0.39945553663157751</v>
      </c>
      <c r="H261" s="25">
        <v>0.34356813027678362</v>
      </c>
    </row>
    <row r="262" spans="1:8" x14ac:dyDescent="0.25">
      <c r="A262" s="36">
        <v>44475</v>
      </c>
      <c r="B262" s="25">
        <v>0.37907567848260398</v>
      </c>
      <c r="C262" s="25">
        <v>0.41598567875591019</v>
      </c>
      <c r="D262" s="25">
        <v>0.37338619393404071</v>
      </c>
      <c r="E262" s="25">
        <v>0.36335700310580249</v>
      </c>
      <c r="F262" s="25">
        <v>0.36888756509146181</v>
      </c>
      <c r="G262" s="25">
        <v>0.39446099336865043</v>
      </c>
      <c r="H262" s="25">
        <v>0.33009450104337079</v>
      </c>
    </row>
    <row r="263" spans="1:8" x14ac:dyDescent="0.25">
      <c r="A263" s="36">
        <v>44476</v>
      </c>
      <c r="B263" s="25">
        <v>0.37357884667942071</v>
      </c>
      <c r="C263" s="25">
        <v>0.40899152773981962</v>
      </c>
      <c r="D263" s="25">
        <v>0.37238522373241117</v>
      </c>
      <c r="E263" s="25">
        <v>0.36345190860582838</v>
      </c>
      <c r="F263" s="25">
        <v>0.3678866102913485</v>
      </c>
      <c r="G263" s="25">
        <v>0.3909644322845417</v>
      </c>
      <c r="H263" s="25">
        <v>0.33905945835183232</v>
      </c>
    </row>
    <row r="264" spans="1:8" x14ac:dyDescent="0.25">
      <c r="A264" s="36">
        <v>44481</v>
      </c>
      <c r="B264" s="25">
        <v>0.37552261237874018</v>
      </c>
      <c r="C264" s="25">
        <v>0.40394862686159311</v>
      </c>
      <c r="D264" s="25">
        <v>0.38387510912545569</v>
      </c>
      <c r="E264" s="25">
        <v>0.36122990628633972</v>
      </c>
      <c r="F264" s="25">
        <v>0.36878002019890788</v>
      </c>
      <c r="G264" s="25">
        <v>0.38686342572801419</v>
      </c>
      <c r="H264" s="25">
        <v>0.33501903672465899</v>
      </c>
    </row>
    <row r="265" spans="1:8" x14ac:dyDescent="0.25">
      <c r="A265" s="36">
        <v>44482</v>
      </c>
      <c r="B265" s="25">
        <v>0.36902940212045032</v>
      </c>
      <c r="C265" s="25">
        <v>0.40453601486501262</v>
      </c>
      <c r="D265" s="25">
        <v>0.37487675284837862</v>
      </c>
      <c r="E265" s="25">
        <v>0.36062575243515382</v>
      </c>
      <c r="F265" s="25">
        <v>0.36587971078001752</v>
      </c>
      <c r="G265" s="25">
        <v>0.3805708501193546</v>
      </c>
      <c r="H265" s="25">
        <v>0.33700284090909088</v>
      </c>
    </row>
    <row r="266" spans="1:8" x14ac:dyDescent="0.25">
      <c r="A266" s="36">
        <v>44483</v>
      </c>
      <c r="B266" s="25">
        <v>0.37300871656146678</v>
      </c>
      <c r="C266" s="25">
        <v>0.40392655135666861</v>
      </c>
      <c r="D266" s="25">
        <v>0.36987712985754728</v>
      </c>
      <c r="E266" s="25">
        <v>0.36022134971339448</v>
      </c>
      <c r="F266" s="25">
        <v>0.37087679777608118</v>
      </c>
      <c r="G266" s="25">
        <v>0.38146829590262887</v>
      </c>
      <c r="H266" s="25">
        <v>0.3240312353818891</v>
      </c>
    </row>
    <row r="267" spans="1:8" x14ac:dyDescent="0.25">
      <c r="A267" s="36">
        <v>44484</v>
      </c>
      <c r="B267" s="25">
        <v>0.37399584676758291</v>
      </c>
      <c r="C267" s="25">
        <v>0.40501256899284122</v>
      </c>
      <c r="D267" s="25">
        <v>0.36987586358003138</v>
      </c>
      <c r="E267" s="25">
        <v>0.35921776245588122</v>
      </c>
      <c r="F267" s="25">
        <v>0.37187519257235591</v>
      </c>
      <c r="G267" s="25">
        <v>0.37697327022516491</v>
      </c>
      <c r="H267" s="25">
        <v>0.33349266940269462</v>
      </c>
    </row>
    <row r="268" spans="1:8" x14ac:dyDescent="0.25">
      <c r="A268" s="36">
        <v>44487</v>
      </c>
      <c r="B268" s="25">
        <v>0.36917843774760262</v>
      </c>
      <c r="C268" s="25">
        <v>0.39391000245894919</v>
      </c>
      <c r="D268" s="25">
        <v>0.3728710274870678</v>
      </c>
      <c r="E268" s="25">
        <v>0.35800467845857098</v>
      </c>
      <c r="F268" s="25">
        <v>0.36387413942437719</v>
      </c>
      <c r="G268" s="25">
        <v>0.37347432210142573</v>
      </c>
      <c r="H268" s="25">
        <v>0.32997279018398212</v>
      </c>
    </row>
    <row r="269" spans="1:8" x14ac:dyDescent="0.25">
      <c r="A269" s="44" t="s">
        <v>36</v>
      </c>
      <c r="B269" s="25"/>
      <c r="C269" s="25"/>
      <c r="D269" s="25"/>
      <c r="E269" s="25"/>
      <c r="F269" s="25"/>
      <c r="G269" s="25"/>
      <c r="H269" s="25"/>
    </row>
    <row r="270" spans="1:8" x14ac:dyDescent="0.25">
      <c r="A270" s="36">
        <v>44517</v>
      </c>
      <c r="B270" s="25">
        <v>0.34625726843384019</v>
      </c>
      <c r="C270" s="25">
        <v>0.39109633916627989</v>
      </c>
      <c r="D270" s="25">
        <v>0.35883901400399132</v>
      </c>
      <c r="E270" s="25">
        <v>0.32511657163172941</v>
      </c>
      <c r="F270" s="25">
        <v>0.35384125614878248</v>
      </c>
      <c r="G270" s="25">
        <v>0.36335124007919539</v>
      </c>
      <c r="H270" s="25">
        <v>0.31074531259060162</v>
      </c>
    </row>
    <row r="271" spans="1:8" x14ac:dyDescent="0.25">
      <c r="A271" s="36">
        <v>44516</v>
      </c>
      <c r="B271" s="25">
        <v>0.36868686868686867</v>
      </c>
      <c r="C271" s="25">
        <v>0.39110701610701609</v>
      </c>
      <c r="D271" s="25">
        <v>0.36083935234313491</v>
      </c>
      <c r="E271" s="25">
        <v>0.32791603992889379</v>
      </c>
      <c r="F271" s="25">
        <v>0.35934001985417452</v>
      </c>
      <c r="G271" s="25">
        <v>0.36944330460949248</v>
      </c>
      <c r="H271" s="25">
        <v>0.32071494354811197</v>
      </c>
    </row>
    <row r="272" spans="1:8" x14ac:dyDescent="0.25">
      <c r="A272" s="36">
        <v>44515</v>
      </c>
      <c r="B272" s="25">
        <v>0.38065467252723262</v>
      </c>
      <c r="C272" s="25">
        <v>0.38663354172923092</v>
      </c>
      <c r="D272" s="25">
        <v>0.37633374296971539</v>
      </c>
      <c r="E272" s="25">
        <v>0.35127924626345219</v>
      </c>
      <c r="F272" s="25">
        <v>0.36483882120570021</v>
      </c>
      <c r="G272" s="25">
        <v>0.37493631150427947</v>
      </c>
      <c r="H272" s="25">
        <v>0.33566538523200568</v>
      </c>
    </row>
    <row r="273" spans="1:8" x14ac:dyDescent="0.25">
      <c r="A273" s="36">
        <v>44512</v>
      </c>
      <c r="B273" s="25">
        <v>0.38546933872112699</v>
      </c>
      <c r="C273" s="25">
        <v>0.38367553104352098</v>
      </c>
      <c r="D273" s="25">
        <v>0.38093562366923861</v>
      </c>
      <c r="E273" s="25">
        <v>0.35758280228646439</v>
      </c>
      <c r="F273" s="25">
        <v>0.37143972121618751</v>
      </c>
      <c r="G273" s="25">
        <v>0.37194463062003308</v>
      </c>
      <c r="H273" s="25">
        <v>0.33868469710098448</v>
      </c>
    </row>
    <row r="274" spans="1:8" x14ac:dyDescent="0.25">
      <c r="A274" s="36">
        <v>44511</v>
      </c>
      <c r="B274" s="25">
        <v>0.37969965870307171</v>
      </c>
      <c r="C274" s="25">
        <v>0.38866894197952218</v>
      </c>
      <c r="D274" s="25">
        <v>0.38533504492939658</v>
      </c>
      <c r="E274" s="25">
        <v>0.35838632478632482</v>
      </c>
      <c r="F274" s="25">
        <v>0.36484381685922118</v>
      </c>
      <c r="G274" s="25">
        <v>0.37194590250824972</v>
      </c>
      <c r="H274" s="25">
        <v>0.33969125799573557</v>
      </c>
    </row>
    <row r="275" spans="1:8" x14ac:dyDescent="0.25">
      <c r="A275" s="36">
        <v>44510</v>
      </c>
      <c r="B275" s="25">
        <v>0.38100562472695498</v>
      </c>
      <c r="C275" s="25">
        <v>0.38867955439056362</v>
      </c>
      <c r="D275" s="25">
        <v>0.3858361517711657</v>
      </c>
      <c r="E275" s="25">
        <v>0.3580917345878234</v>
      </c>
      <c r="F275" s="25">
        <v>0.36984294340759399</v>
      </c>
      <c r="G275" s="25">
        <v>0.36545682102628291</v>
      </c>
      <c r="H275" s="25">
        <v>0.34169407333615359</v>
      </c>
    </row>
    <row r="276" spans="1:8" x14ac:dyDescent="0.25">
      <c r="A276" s="36">
        <v>44509</v>
      </c>
      <c r="B276" s="25">
        <v>0.38011905086967213</v>
      </c>
      <c r="C276" s="25">
        <v>0.37274390410397829</v>
      </c>
      <c r="D276" s="25">
        <v>0.38683705151597098</v>
      </c>
      <c r="E276" s="25">
        <v>0.35849595886383212</v>
      </c>
      <c r="F276" s="25">
        <v>0.37414239892100237</v>
      </c>
      <c r="G276" s="25">
        <v>0.3659573303970482</v>
      </c>
      <c r="H276" s="25">
        <v>0.34409550096040009</v>
      </c>
    </row>
    <row r="277" spans="1:8" x14ac:dyDescent="0.25">
      <c r="A277" s="36">
        <v>44508</v>
      </c>
      <c r="B277" s="25">
        <v>0.37873409426028071</v>
      </c>
      <c r="C277" s="25">
        <v>0.37823575992572772</v>
      </c>
      <c r="D277" s="25">
        <v>0.38533900219771189</v>
      </c>
      <c r="E277" s="25">
        <v>0.35929952681819433</v>
      </c>
      <c r="F277" s="25">
        <v>0.37484338735185979</v>
      </c>
      <c r="G277" s="25">
        <v>0.36895415002462112</v>
      </c>
      <c r="H277" s="25">
        <v>0.34868883445127569</v>
      </c>
    </row>
    <row r="278" spans="1:8" x14ac:dyDescent="0.25">
      <c r="A278" s="36">
        <v>44505</v>
      </c>
      <c r="B278" s="25">
        <v>0.3808582976050684</v>
      </c>
      <c r="C278" s="25">
        <v>0.37278462000600782</v>
      </c>
      <c r="D278" s="25">
        <v>0.38514304102095381</v>
      </c>
      <c r="E278" s="25">
        <v>0.3579165469987281</v>
      </c>
      <c r="F278" s="25">
        <v>0.37484723691372351</v>
      </c>
      <c r="G278" s="25">
        <v>0.36276703062965709</v>
      </c>
      <c r="H278" s="25">
        <v>0.34324105762767387</v>
      </c>
    </row>
    <row r="279" spans="1:8" x14ac:dyDescent="0.25">
      <c r="A279" s="36">
        <v>44504</v>
      </c>
      <c r="B279" s="25">
        <v>0.37428996668305198</v>
      </c>
      <c r="C279" s="25">
        <v>0.37678191053580201</v>
      </c>
      <c r="D279" s="25">
        <v>0.38384488460142818</v>
      </c>
      <c r="E279" s="25">
        <v>0.35642386279712251</v>
      </c>
      <c r="F279" s="25">
        <v>0.37214961077372838</v>
      </c>
      <c r="G279" s="25">
        <v>0.36576388033977603</v>
      </c>
      <c r="H279" s="25">
        <v>0.33976428196081382</v>
      </c>
    </row>
    <row r="280" spans="1:8" x14ac:dyDescent="0.25">
      <c r="A280" s="36">
        <v>44503</v>
      </c>
      <c r="B280" s="25">
        <v>0.36981456700439691</v>
      </c>
      <c r="C280" s="25">
        <v>0.37729060272551002</v>
      </c>
      <c r="D280" s="25">
        <v>0.37884820123443691</v>
      </c>
      <c r="E280" s="25">
        <v>0.35523065771298062</v>
      </c>
      <c r="F280" s="25">
        <v>0.36135521041226631</v>
      </c>
      <c r="G280" s="25">
        <v>0.35647871092614569</v>
      </c>
      <c r="H280" s="25">
        <v>0.3357890893456133</v>
      </c>
    </row>
    <row r="281" spans="1:8" x14ac:dyDescent="0.25">
      <c r="A281" s="36">
        <v>44502</v>
      </c>
      <c r="B281" s="25">
        <v>0.37012371640812758</v>
      </c>
      <c r="C281" s="25">
        <v>0.37381199475639071</v>
      </c>
      <c r="D281" s="25">
        <v>0.38034890249079129</v>
      </c>
      <c r="E281" s="25">
        <v>0.35633377099403679</v>
      </c>
      <c r="F281" s="25">
        <v>0.35985704309247007</v>
      </c>
      <c r="G281" s="25">
        <v>0.35727876454214058</v>
      </c>
      <c r="H281" s="25">
        <v>0.33380652734742899</v>
      </c>
    </row>
    <row r="282" spans="1:8" x14ac:dyDescent="0.25">
      <c r="A282" s="36">
        <v>44501</v>
      </c>
      <c r="B282" s="25">
        <v>0.36046429059128771</v>
      </c>
      <c r="C282" s="25">
        <v>0.37980335927898401</v>
      </c>
      <c r="D282" s="25">
        <v>0.37885079506358788</v>
      </c>
      <c r="E282" s="25">
        <v>0.35603911646037062</v>
      </c>
      <c r="F282" s="25">
        <v>0.36885473186929801</v>
      </c>
      <c r="G282" s="25">
        <v>0.35897751560229119</v>
      </c>
      <c r="H282" s="25">
        <v>0.33381677956558092</v>
      </c>
    </row>
    <row r="283" spans="1:8" x14ac:dyDescent="0.25">
      <c r="A283" s="36">
        <v>44498</v>
      </c>
      <c r="B283" s="25">
        <v>0.36488036709275651</v>
      </c>
      <c r="C283" s="25">
        <v>0.38083142139189341</v>
      </c>
      <c r="D283" s="25">
        <v>0.3768554527030728</v>
      </c>
      <c r="E283" s="25">
        <v>0.35645311303206051</v>
      </c>
      <c r="F283" s="25">
        <v>0.36585967026346061</v>
      </c>
      <c r="G283" s="25">
        <v>0.36527210674983412</v>
      </c>
      <c r="H283" s="25">
        <v>0.33733549937203078</v>
      </c>
    </row>
    <row r="284" spans="1:8" x14ac:dyDescent="0.25">
      <c r="A284" s="36">
        <v>44497</v>
      </c>
      <c r="B284" s="25">
        <v>0.36887820600366011</v>
      </c>
      <c r="C284" s="25">
        <v>0.38482969599300759</v>
      </c>
      <c r="D284" s="25">
        <v>0.37385788279113069</v>
      </c>
      <c r="E284" s="25">
        <v>0.35765616665070921</v>
      </c>
      <c r="F284" s="25">
        <v>0.36286206270903859</v>
      </c>
      <c r="G284" s="25">
        <v>0.36946730911938608</v>
      </c>
      <c r="H284" s="25">
        <v>0.33535268038457472</v>
      </c>
    </row>
    <row r="285" spans="1:8" x14ac:dyDescent="0.25">
      <c r="A285" s="36">
        <v>44496</v>
      </c>
      <c r="B285" s="25">
        <v>0.36819038514067193</v>
      </c>
      <c r="C285" s="25">
        <v>0.38882818901939359</v>
      </c>
      <c r="D285" s="25">
        <v>0.37285953921467929</v>
      </c>
      <c r="E285" s="25">
        <v>0.35816030638763502</v>
      </c>
      <c r="F285" s="25">
        <v>0.36116394508917882</v>
      </c>
      <c r="G285" s="25">
        <v>0.36956842897202652</v>
      </c>
      <c r="H285" s="25">
        <v>0.33336973958155569</v>
      </c>
    </row>
    <row r="286" spans="1:8" x14ac:dyDescent="0.25">
      <c r="A286" s="36">
        <v>44495</v>
      </c>
      <c r="B286" s="25">
        <v>0.37009478543527552</v>
      </c>
      <c r="C286" s="25">
        <v>0.3888388101286569</v>
      </c>
      <c r="D286" s="25">
        <v>0.37236100222862012</v>
      </c>
      <c r="E286" s="25">
        <v>0.35826505628581978</v>
      </c>
      <c r="F286" s="25">
        <v>0.35836622630593368</v>
      </c>
      <c r="G286" s="25">
        <v>0.37246553746507582</v>
      </c>
      <c r="H286" s="25">
        <v>0.33487495776176612</v>
      </c>
    </row>
    <row r="287" spans="1:8" x14ac:dyDescent="0.25">
      <c r="A287" s="36">
        <v>44494</v>
      </c>
      <c r="B287" s="25">
        <v>0.36791138548951052</v>
      </c>
      <c r="C287" s="25">
        <v>0.38685533216783208</v>
      </c>
      <c r="D287" s="25">
        <v>0.36986320128171768</v>
      </c>
      <c r="E287" s="25">
        <v>0.35817010450292708</v>
      </c>
      <c r="F287" s="25">
        <v>0.35706793377791768</v>
      </c>
      <c r="G287" s="25">
        <v>0.37396466701776232</v>
      </c>
      <c r="H287" s="25">
        <v>0.32890515134552112</v>
      </c>
    </row>
    <row r="288" spans="1:8" x14ac:dyDescent="0.25">
      <c r="A288" s="36">
        <v>44491</v>
      </c>
      <c r="B288" s="25">
        <v>0.36704411965578482</v>
      </c>
      <c r="C288" s="25">
        <v>0.38888130036880209</v>
      </c>
      <c r="D288" s="25">
        <v>0.3673678985296383</v>
      </c>
      <c r="E288" s="25">
        <v>0.35768552082620891</v>
      </c>
      <c r="F288" s="25">
        <v>0.35597199637116789</v>
      </c>
      <c r="G288" s="25">
        <v>0.37646495562813131</v>
      </c>
      <c r="H288" s="25">
        <v>0.33092901397873331</v>
      </c>
    </row>
    <row r="289" spans="1:8" x14ac:dyDescent="0.25">
      <c r="A289" s="36">
        <v>44490</v>
      </c>
      <c r="B289" s="25">
        <v>0.36775215823407281</v>
      </c>
      <c r="C289" s="25">
        <v>0.38889192437984921</v>
      </c>
      <c r="D289" s="25">
        <v>0.36736915619094568</v>
      </c>
      <c r="E289" s="25">
        <v>0.35798998686802358</v>
      </c>
      <c r="F289" s="25">
        <v>0.3558732506230658</v>
      </c>
      <c r="G289" s="25">
        <v>0.37596695096678001</v>
      </c>
      <c r="H289" s="25">
        <v>0.33093918125460853</v>
      </c>
    </row>
    <row r="290" spans="1:8" x14ac:dyDescent="0.25">
      <c r="A290" s="36">
        <v>44489</v>
      </c>
      <c r="B290" s="25">
        <v>0.37195038658033491</v>
      </c>
      <c r="C290" s="25">
        <v>0.39388847908641372</v>
      </c>
      <c r="D290" s="25">
        <v>0.36737041386086422</v>
      </c>
      <c r="E290" s="25">
        <v>0.35789502482798252</v>
      </c>
      <c r="F290" s="25">
        <v>0.3578737637066377</v>
      </c>
      <c r="G290" s="25">
        <v>0.37696682432039608</v>
      </c>
      <c r="H290" s="25">
        <v>0.33094934915525032</v>
      </c>
    </row>
    <row r="291" spans="1:8" x14ac:dyDescent="0.25">
      <c r="A291" s="36">
        <v>44488</v>
      </c>
      <c r="B291" s="25">
        <v>0.36956723676301839</v>
      </c>
      <c r="C291" s="25">
        <v>0.39389924047866243</v>
      </c>
      <c r="D291" s="25">
        <v>0.36987079855666849</v>
      </c>
      <c r="E291" s="25">
        <v>0.35770019972093792</v>
      </c>
      <c r="F291" s="25">
        <v>0.3599742555682604</v>
      </c>
      <c r="G291" s="25">
        <v>0.37297374936733102</v>
      </c>
      <c r="H291" s="25">
        <v>0.33395011573204791</v>
      </c>
    </row>
    <row r="292" spans="1:8" x14ac:dyDescent="0.25">
      <c r="A292" s="44" t="s">
        <v>27</v>
      </c>
      <c r="B292">
        <v>113.6130689699972</v>
      </c>
      <c r="C292">
        <v>121.40348418158131</v>
      </c>
      <c r="D292">
        <v>107.0287474550654</v>
      </c>
      <c r="E292">
        <v>108.11652297385589</v>
      </c>
      <c r="F292">
        <v>102.5840624037579</v>
      </c>
      <c r="G292">
        <v>113.24215803588081</v>
      </c>
      <c r="H292">
        <v>98.871672167098779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Z689"/>
  <sheetViews>
    <sheetView zoomScaleNormal="100" workbookViewId="0">
      <pane ySplit="1" topLeftCell="A239" activePane="bottomLeft" state="frozen"/>
      <selection pane="bottomLeft" activeCell="C252" sqref="C252"/>
    </sheetView>
  </sheetViews>
  <sheetFormatPr baseColWidth="10" defaultRowHeight="15" x14ac:dyDescent="0.25"/>
  <cols>
    <col min="1" max="1" width="14.7109375" style="74" bestFit="1" customWidth="1"/>
    <col min="3" max="3" width="11.5703125" style="74" bestFit="1" customWidth="1"/>
    <col min="4" max="4" width="8.28515625" style="74" bestFit="1" customWidth="1"/>
    <col min="5" max="5" width="11.5703125" style="74" bestFit="1" customWidth="1"/>
    <col min="7" max="7" width="11.5703125" style="74" bestFit="1" customWidth="1"/>
    <col min="13" max="13" width="11.85546875" style="74" bestFit="1" customWidth="1"/>
    <col min="16" max="16" width="7.85546875" style="74" bestFit="1" customWidth="1"/>
    <col min="17" max="17" width="8.85546875" style="74" customWidth="1"/>
    <col min="18" max="19" width="7.85546875" style="74" bestFit="1" customWidth="1"/>
    <col min="20" max="20" width="9.140625" style="74" bestFit="1" customWidth="1"/>
    <col min="26" max="26" width="11.85546875" style="74" bestFit="1" customWidth="1"/>
  </cols>
  <sheetData>
    <row r="1" spans="1:25" ht="19.5" customHeight="1" thickBot="1" x14ac:dyDescent="0.35">
      <c r="A1" s="33" t="s">
        <v>37</v>
      </c>
      <c r="B1" s="33" t="s">
        <v>38</v>
      </c>
      <c r="C1" s="34" t="s">
        <v>39</v>
      </c>
      <c r="D1" s="33" t="s">
        <v>40</v>
      </c>
      <c r="E1" s="37" t="s">
        <v>41</v>
      </c>
      <c r="F1" s="33" t="s">
        <v>42</v>
      </c>
      <c r="G1" s="34" t="s">
        <v>43</v>
      </c>
      <c r="H1" s="33" t="s">
        <v>44</v>
      </c>
      <c r="I1" s="34" t="s">
        <v>45</v>
      </c>
      <c r="J1" s="37" t="s">
        <v>46</v>
      </c>
      <c r="K1" s="34" t="s">
        <v>47</v>
      </c>
      <c r="L1" s="33" t="s">
        <v>48</v>
      </c>
      <c r="M1" s="34" t="s">
        <v>49</v>
      </c>
      <c r="N1" s="37" t="s">
        <v>50</v>
      </c>
      <c r="O1" s="34" t="s">
        <v>51</v>
      </c>
      <c r="P1" s="33" t="s">
        <v>52</v>
      </c>
      <c r="Q1" s="33" t="s">
        <v>53</v>
      </c>
      <c r="R1" s="33" t="s">
        <v>54</v>
      </c>
      <c r="S1" s="37" t="s">
        <v>55</v>
      </c>
      <c r="T1" s="33" t="s">
        <v>56</v>
      </c>
      <c r="U1" s="33" t="s">
        <v>57</v>
      </c>
      <c r="V1" s="33" t="s">
        <v>58</v>
      </c>
      <c r="W1" s="33" t="s">
        <v>59</v>
      </c>
      <c r="X1" s="33" t="s">
        <v>60</v>
      </c>
      <c r="Y1" s="72" t="s">
        <v>61</v>
      </c>
    </row>
    <row r="2" spans="1:25" s="67" customFormat="1" x14ac:dyDescent="0.25">
      <c r="A2" s="63">
        <v>45114</v>
      </c>
      <c r="B2" s="64">
        <v>29.797999999999998</v>
      </c>
      <c r="C2" s="81">
        <f>myParidad('Flujo de Fondos'!$B$5,A2,B2,'Flujo de Fondos'!$B$7,'Flujo de Fondos'!$B$6)</f>
        <v>0.29504570979030464</v>
      </c>
      <c r="D2" s="64">
        <v>33.4</v>
      </c>
      <c r="E2" s="85">
        <f>myParidad('Flujo de Fondos'!$H$5,$A2,D2,'Flujo de Fondos'!$H$7,'Flujo de Fondos'!$H$6)</f>
        <v>0.33071101104088108</v>
      </c>
      <c r="F2" s="64">
        <v>28.15</v>
      </c>
      <c r="G2" s="81">
        <f>myParidad('Flujo de Fondos'!$N$5,$A2,F2,'Flujo de Fondos'!$N$7,'Flujo de Fondos'!$N$6)</f>
        <v>0.26556260580762719</v>
      </c>
      <c r="H2" s="66">
        <v>34.409999999999997</v>
      </c>
      <c r="I2" s="81">
        <f>myParidad('Flujo de Fondos'!$T$5,$A2,H2,'Flujo de Fondos'!$T$7,'Flujo de Fondos'!$T$6)</f>
        <v>0.34367276296932237</v>
      </c>
      <c r="J2" s="66">
        <v>30</v>
      </c>
      <c r="K2" s="81">
        <f>myParidad('Flujo de Fondos'!$B$34,$A2,J2,'Flujo de Fondos'!$B$36,'Flujo de Fondos'!$B$35)</f>
        <v>0.2966806314285037</v>
      </c>
      <c r="L2" s="64">
        <v>32.85</v>
      </c>
      <c r="M2" s="81">
        <f>myParidad('Flujo de Fondos'!$H$34,'Paridad usd'!$A2,'Paridad usd'!L2,'Flujo de Fondos'!$H$36,'Flujo de Fondos'!$H$35)</f>
        <v>0.3280921320413322</v>
      </c>
      <c r="N2" s="66">
        <v>29.725999999999999</v>
      </c>
      <c r="O2" s="81">
        <f>myParidad('Flujo de Fondos'!$N$34,$A2,N2,'Flujo de Fondos'!$N$36,'Flujo de Fondos'!$N$35)</f>
        <v>0.29689091984963895</v>
      </c>
      <c r="P2" s="65">
        <f t="shared" ref="P2:P65" si="0">C2-G2</f>
        <v>2.948310398267745E-2</v>
      </c>
      <c r="Q2" s="65">
        <f t="shared" ref="Q2:Q65" si="1">E2-C2</f>
        <v>3.5665301250576431E-2</v>
      </c>
      <c r="R2" s="65">
        <f t="shared" ref="R2:R65" si="2">C2-M2</f>
        <v>-3.3046422251027552E-2</v>
      </c>
      <c r="S2" s="65">
        <f t="shared" ref="S2:S65" si="3">C2-O2</f>
        <v>-1.8452100593343013E-3</v>
      </c>
      <c r="T2" s="65">
        <f t="shared" ref="T2:T65" si="4">E2-O2</f>
        <v>3.382009119124213E-2</v>
      </c>
      <c r="U2" s="65">
        <f t="shared" ref="U2:U65" si="5">G2-O2</f>
        <v>-3.1328314042011751E-2</v>
      </c>
      <c r="V2" s="65">
        <f t="shared" ref="V2:V65" si="6">G2-K2</f>
        <v>-3.111802562087651E-2</v>
      </c>
      <c r="W2" s="65">
        <f t="shared" ref="W2:W65" si="7">C2-K2</f>
        <v>-1.6349216381990606E-3</v>
      </c>
      <c r="X2" s="65">
        <f t="shared" ref="X2:X65" si="8">I2-G2</f>
        <v>7.8110157161695171E-2</v>
      </c>
      <c r="Y2" s="73">
        <f t="shared" ref="Y2:Y65" si="9">G2-M2</f>
        <v>-6.2529526233705002E-2</v>
      </c>
    </row>
    <row r="3" spans="1:25" s="67" customFormat="1" x14ac:dyDescent="0.25">
      <c r="A3" s="63">
        <v>45113</v>
      </c>
      <c r="B3" s="64">
        <v>30.1</v>
      </c>
      <c r="C3" s="81">
        <f>myParidad('Flujo de Fondos'!$B$5,A3,B3,'Flujo de Fondos'!$B$7,'Flujo de Fondos'!$B$6)</f>
        <v>0.2980440562096468</v>
      </c>
      <c r="D3" s="64">
        <v>34.19</v>
      </c>
      <c r="E3" s="85">
        <f>myParidad('Flujo de Fondos'!$H$5,$A3,D3,'Flujo de Fondos'!$H$7,'Flujo de Fondos'!$H$6)</f>
        <v>0.33854240138896424</v>
      </c>
      <c r="F3" s="64">
        <v>28.29</v>
      </c>
      <c r="G3" s="81">
        <f>myParidad('Flujo de Fondos'!$N$5,$A3,F3,'Flujo de Fondos'!$N$7,'Flujo de Fondos'!$N$6)</f>
        <v>0.2668867924528302</v>
      </c>
      <c r="H3" s="66">
        <v>34.700000000000003</v>
      </c>
      <c r="I3" s="81">
        <f>myParidad('Flujo de Fondos'!$T$5,$A3,H3,'Flujo de Fondos'!$T$7,'Flujo de Fondos'!$T$6)</f>
        <v>0.34657034771960793</v>
      </c>
      <c r="J3" s="66">
        <v>30.29</v>
      </c>
      <c r="K3" s="81">
        <f>myParidad('Flujo de Fondos'!$B$34,$A3,J3,'Flujo de Fondos'!$B$36,'Flujo de Fondos'!$B$35)</f>
        <v>0.29955767498255764</v>
      </c>
      <c r="L3" s="64">
        <v>33.299999999999997</v>
      </c>
      <c r="M3" s="81">
        <f>myParidad('Flujo de Fondos'!$H$34,'Paridad usd'!$A3,'Paridad usd'!L3,'Flujo de Fondos'!$H$36,'Flujo de Fondos'!$H$35)</f>
        <v>0.3325876823937447</v>
      </c>
      <c r="N3" s="66">
        <v>29.95</v>
      </c>
      <c r="O3" s="81">
        <f>myParidad('Flujo de Fondos'!$N$34,$A3,N3,'Flujo de Fondos'!$N$36,'Flujo de Fondos'!$N$35)</f>
        <v>0.29912916179257221</v>
      </c>
      <c r="P3" s="65">
        <f t="shared" si="0"/>
        <v>3.11572637568166E-2</v>
      </c>
      <c r="Q3" s="65">
        <f t="shared" si="1"/>
        <v>4.0498345179317441E-2</v>
      </c>
      <c r="R3" s="65">
        <f t="shared" si="2"/>
        <v>-3.4543626184097898E-2</v>
      </c>
      <c r="S3" s="65">
        <f t="shared" si="3"/>
        <v>-1.0851055829254053E-3</v>
      </c>
      <c r="T3" s="65">
        <f t="shared" si="4"/>
        <v>3.9413239596392036E-2</v>
      </c>
      <c r="U3" s="65">
        <f t="shared" si="5"/>
        <v>-3.2242369339742005E-2</v>
      </c>
      <c r="V3" s="65">
        <f t="shared" si="6"/>
        <v>-3.2670882529727441E-2</v>
      </c>
      <c r="W3" s="65">
        <f t="shared" si="7"/>
        <v>-1.5136187729108408E-3</v>
      </c>
      <c r="X3" s="65">
        <f t="shared" si="8"/>
        <v>7.9683555266777728E-2</v>
      </c>
      <c r="Y3" s="73">
        <f t="shared" si="9"/>
        <v>-6.5700889940914498E-2</v>
      </c>
    </row>
    <row r="4" spans="1:25" s="67" customFormat="1" x14ac:dyDescent="0.25">
      <c r="A4" s="63">
        <v>45112</v>
      </c>
      <c r="B4" s="64">
        <v>32.4</v>
      </c>
      <c r="C4" s="81">
        <f>myParidad('Flujo de Fondos'!$B$5,A4,B4,'Flujo de Fondos'!$B$7,'Flujo de Fondos'!$B$6)</f>
        <v>0.32082689020916416</v>
      </c>
      <c r="D4" s="64">
        <v>36.072000000000003</v>
      </c>
      <c r="E4" s="85">
        <f>myParidad('Flujo de Fondos'!$H$5,$A4,D4,'Flujo de Fondos'!$H$7,'Flujo de Fondos'!$H$6)</f>
        <v>0.35718727109953613</v>
      </c>
      <c r="F4" s="64">
        <v>30.16</v>
      </c>
      <c r="G4" s="81">
        <f>myParidad('Flujo de Fondos'!$N$5,$A4,F4,'Flujo de Fondos'!$N$7,'Flujo de Fondos'!$N$6)</f>
        <v>0.28453197896069993</v>
      </c>
      <c r="H4" s="66">
        <v>36.450000000000003</v>
      </c>
      <c r="I4" s="81">
        <f>myParidad('Flujo de Fondos'!$T$5,$A4,H4,'Flujo de Fondos'!$T$7,'Flujo de Fondos'!$T$6)</f>
        <v>0.36404992457954383</v>
      </c>
      <c r="J4" s="66">
        <v>32.43</v>
      </c>
      <c r="K4" s="81">
        <f>myParidad('Flujo de Fondos'!$B$34,$A4,J4,'Flujo de Fondos'!$B$36,'Flujo de Fondos'!$B$35)</f>
        <v>0.3207313149240133</v>
      </c>
      <c r="L4" s="64">
        <v>36.799999999999997</v>
      </c>
      <c r="M4" s="81">
        <f>myParidad('Flujo de Fondos'!$H$34,'Paridad usd'!$A4,'Paridad usd'!L4,'Flujo de Fondos'!$H$36,'Flujo de Fondos'!$H$35)</f>
        <v>0.3675456028676875</v>
      </c>
      <c r="N4" s="66">
        <v>33</v>
      </c>
      <c r="O4" s="81">
        <f>myParidad('Flujo de Fondos'!$N$34,$A4,N4,'Flujo de Fondos'!$N$36,'Flujo de Fondos'!$N$35)</f>
        <v>0.32959252431069808</v>
      </c>
      <c r="P4" s="65">
        <f t="shared" si="0"/>
        <v>3.6294911248464234E-2</v>
      </c>
      <c r="Q4" s="65">
        <f t="shared" si="1"/>
        <v>3.6360380890371968E-2</v>
      </c>
      <c r="R4" s="65">
        <f t="shared" si="2"/>
        <v>-4.6718712658523343E-2</v>
      </c>
      <c r="S4" s="65">
        <f t="shared" si="3"/>
        <v>-8.7656341015339145E-3</v>
      </c>
      <c r="T4" s="65">
        <f t="shared" si="4"/>
        <v>2.7594746788838054E-2</v>
      </c>
      <c r="U4" s="65">
        <f t="shared" si="5"/>
        <v>-4.5060545349998149E-2</v>
      </c>
      <c r="V4" s="65">
        <f t="shared" si="6"/>
        <v>-3.6199335963313373E-2</v>
      </c>
      <c r="W4" s="65">
        <f t="shared" si="7"/>
        <v>9.5575285150861777E-5</v>
      </c>
      <c r="X4" s="65">
        <f t="shared" si="8"/>
        <v>7.9517945618843899E-2</v>
      </c>
      <c r="Y4" s="73">
        <f t="shared" si="9"/>
        <v>-8.3013623906987577E-2</v>
      </c>
    </row>
    <row r="5" spans="1:25" s="67" customFormat="1" x14ac:dyDescent="0.25">
      <c r="A5" s="63">
        <v>45111</v>
      </c>
      <c r="B5" s="64">
        <v>32.597999999999999</v>
      </c>
      <c r="C5" s="81">
        <f>myParidad('Flujo de Fondos'!$B$5,A5,B5,'Flujo de Fondos'!$B$7,'Flujo de Fondos'!$B$6)</f>
        <v>0.32279625610417795</v>
      </c>
      <c r="D5" s="64">
        <v>35.948</v>
      </c>
      <c r="E5" s="85">
        <f>myParidad('Flujo de Fondos'!$H$5,$A5,D5,'Flujo de Fondos'!$H$7,'Flujo de Fondos'!$H$6)</f>
        <v>0.35596907216494844</v>
      </c>
      <c r="F5" s="64">
        <v>30.71</v>
      </c>
      <c r="G5" s="81">
        <f>myParidad('Flujo de Fondos'!$N$5,$A5,F5,'Flujo de Fondos'!$N$7,'Flujo de Fondos'!$N$6)</f>
        <v>0.28972446948745123</v>
      </c>
      <c r="H5" s="66">
        <v>37</v>
      </c>
      <c r="I5" s="81">
        <f>myParidad('Flujo de Fondos'!$T$5,$A5,H5,'Flujo de Fondos'!$T$7,'Flujo de Fondos'!$T$6)</f>
        <v>0.36954439731837463</v>
      </c>
      <c r="J5" s="66">
        <v>32.5</v>
      </c>
      <c r="K5" s="81">
        <f>myParidad('Flujo de Fondos'!$B$34,$A5,J5,'Flujo de Fondos'!$B$36,'Flujo de Fondos'!$B$35)</f>
        <v>0.32143341010703158</v>
      </c>
      <c r="L5" s="64">
        <v>37</v>
      </c>
      <c r="M5" s="81">
        <f>myParidad('Flujo de Fondos'!$H$34,'Paridad usd'!$A5,'Paridad usd'!L5,'Flujo de Fondos'!$H$36,'Flujo de Fondos'!$H$35)</f>
        <v>0.36954439731837463</v>
      </c>
      <c r="N5" s="66">
        <v>33</v>
      </c>
      <c r="O5" s="81">
        <f>myParidad('Flujo de Fondos'!$N$34,$A5,N5,'Flujo de Fondos'!$N$36,'Flujo de Fondos'!$N$35)</f>
        <v>0.32959365166233412</v>
      </c>
      <c r="P5" s="65">
        <f t="shared" si="0"/>
        <v>3.3071786616726717E-2</v>
      </c>
      <c r="Q5" s="65">
        <f t="shared" si="1"/>
        <v>3.3172816060770494E-2</v>
      </c>
      <c r="R5" s="65">
        <f t="shared" si="2"/>
        <v>-4.6748141214196681E-2</v>
      </c>
      <c r="S5" s="65">
        <f t="shared" si="3"/>
        <v>-6.7973955581561718E-3</v>
      </c>
      <c r="T5" s="65">
        <f t="shared" si="4"/>
        <v>2.6375420502614322E-2</v>
      </c>
      <c r="U5" s="65">
        <f t="shared" si="5"/>
        <v>-3.9869182174882889E-2</v>
      </c>
      <c r="V5" s="65">
        <f t="shared" si="6"/>
        <v>-3.170894061958035E-2</v>
      </c>
      <c r="W5" s="65">
        <f t="shared" si="7"/>
        <v>1.3628459971463669E-3</v>
      </c>
      <c r="X5" s="65">
        <f t="shared" si="8"/>
        <v>7.9819927830923398E-2</v>
      </c>
      <c r="Y5" s="73">
        <f t="shared" si="9"/>
        <v>-7.9819927830923398E-2</v>
      </c>
    </row>
    <row r="6" spans="1:25" s="67" customFormat="1" x14ac:dyDescent="0.25">
      <c r="A6" s="63">
        <v>45110</v>
      </c>
      <c r="B6" s="64">
        <v>32.587000000000003</v>
      </c>
      <c r="C6" s="81">
        <f>myParidad('Flujo de Fondos'!$B$5,A6,B6,'Flujo de Fondos'!$B$7,'Flujo de Fondos'!$B$6)</f>
        <v>0.3226960850809843</v>
      </c>
      <c r="D6" s="64">
        <v>36.700000000000003</v>
      </c>
      <c r="E6" s="85">
        <f>myParidad('Flujo de Fondos'!$H$5,$A6,D6,'Flujo de Fondos'!$H$7,'Flujo de Fondos'!$H$6)</f>
        <v>0.36342548631270521</v>
      </c>
      <c r="F6" s="64">
        <v>30.62</v>
      </c>
      <c r="G6" s="81">
        <f>myParidad('Flujo de Fondos'!$N$5,$A6,F6,'Flujo de Fondos'!$N$7,'Flujo de Fondos'!$N$6)</f>
        <v>0.288879124287579</v>
      </c>
      <c r="H6" s="66">
        <v>36.799999999999997</v>
      </c>
      <c r="I6" s="81">
        <f>myParidad('Flujo de Fondos'!$T$5,$A6,H6,'Flujo de Fondos'!$T$7,'Flujo de Fondos'!$T$6)</f>
        <v>0.36754811721205777</v>
      </c>
      <c r="J6" s="66">
        <v>32.299999999999997</v>
      </c>
      <c r="K6" s="81">
        <f>myParidad('Flujo de Fondos'!$B$34,$A6,J6,'Flujo de Fondos'!$B$36,'Flujo de Fondos'!$B$35)</f>
        <v>0.31946509682248814</v>
      </c>
      <c r="L6" s="64">
        <v>36.85</v>
      </c>
      <c r="M6" s="81">
        <f>myParidad('Flujo de Fondos'!$H$34,'Paridad usd'!$A6,'Paridad usd'!L6,'Flujo de Fondos'!$H$36,'Flujo de Fondos'!$H$35)</f>
        <v>0.36804750324087854</v>
      </c>
      <c r="N6" s="66">
        <v>33.200000000000003</v>
      </c>
      <c r="O6" s="81">
        <f>myParidad('Flujo de Fondos'!$N$34,$A6,N6,'Flujo de Fondos'!$N$36,'Flujo de Fondos'!$N$35)</f>
        <v>0.33159232313696518</v>
      </c>
      <c r="P6" s="65">
        <f t="shared" si="0"/>
        <v>3.3816960793405293E-2</v>
      </c>
      <c r="Q6" s="65">
        <f t="shared" si="1"/>
        <v>4.0729401231720919E-2</v>
      </c>
      <c r="R6" s="65">
        <f t="shared" si="2"/>
        <v>-4.5351418159894241E-2</v>
      </c>
      <c r="S6" s="65">
        <f t="shared" si="3"/>
        <v>-8.8962380559808873E-3</v>
      </c>
      <c r="T6" s="65">
        <f t="shared" si="4"/>
        <v>3.1833163175740031E-2</v>
      </c>
      <c r="U6" s="65">
        <f t="shared" si="5"/>
        <v>-4.271319884938618E-2</v>
      </c>
      <c r="V6" s="65">
        <f t="shared" si="6"/>
        <v>-3.0585972534909134E-2</v>
      </c>
      <c r="W6" s="65">
        <f t="shared" si="7"/>
        <v>3.2309882584961591E-3</v>
      </c>
      <c r="X6" s="65">
        <f t="shared" si="8"/>
        <v>7.8668992924478764E-2</v>
      </c>
      <c r="Y6" s="73">
        <f t="shared" si="9"/>
        <v>-7.9168378953299534E-2</v>
      </c>
    </row>
    <row r="7" spans="1:25" s="67" customFormat="1" x14ac:dyDescent="0.25">
      <c r="A7" s="63">
        <v>45107</v>
      </c>
      <c r="B7" s="64">
        <v>31</v>
      </c>
      <c r="C7" s="81">
        <f>myParidad('Flujo de Fondos'!$B$5,A7,B7,'Flujo de Fondos'!$B$7,'Flujo de Fondos'!$B$6)</f>
        <v>0.30700564358584764</v>
      </c>
      <c r="D7" s="64">
        <v>34.5</v>
      </c>
      <c r="E7" s="85">
        <f>myParidad('Flujo de Fondos'!$H$5,$A7,D7,'Flujo de Fondos'!$H$7,'Flujo de Fondos'!$H$6)</f>
        <v>0.34166757108747559</v>
      </c>
      <c r="F7" s="64">
        <v>29.47</v>
      </c>
      <c r="G7" s="81">
        <f>myParidad('Flujo de Fondos'!$N$5,$A7,F7,'Flujo de Fondos'!$N$7,'Flujo de Fondos'!$N$6)</f>
        <v>0.27804042701682735</v>
      </c>
      <c r="H7" s="66">
        <v>35.46</v>
      </c>
      <c r="I7" s="81">
        <f>myParidad('Flujo de Fondos'!$T$5,$A7,H7,'Flujo de Fondos'!$T$7,'Flujo de Fondos'!$T$6)</f>
        <v>0.35416820588597464</v>
      </c>
      <c r="J7" s="66">
        <v>31.15</v>
      </c>
      <c r="K7" s="81">
        <f>myParidad('Flujo de Fondos'!$B$34,$A7,J7,'Flujo de Fondos'!$B$36,'Flujo de Fondos'!$B$35)</f>
        <v>0.30811913117708428</v>
      </c>
      <c r="L7" s="64">
        <v>36.200000000000003</v>
      </c>
      <c r="M7" s="81">
        <f>myParidad('Flujo de Fondos'!$H$34,'Paridad usd'!$A7,'Paridad usd'!L7,'Flujo de Fondos'!$H$36,'Flujo de Fondos'!$H$35)</f>
        <v>0.36155919495409711</v>
      </c>
      <c r="N7" s="66">
        <v>32.4</v>
      </c>
      <c r="O7" s="81">
        <f>myParidad('Flujo de Fondos'!$N$34,$A7,N7,'Flujo de Fondos'!$N$36,'Flujo de Fondos'!$N$35)</f>
        <v>0.32360546730698186</v>
      </c>
      <c r="P7" s="65">
        <f t="shared" si="0"/>
        <v>2.8965216569020291E-2</v>
      </c>
      <c r="Q7" s="65">
        <f t="shared" si="1"/>
        <v>3.4661927501627943E-2</v>
      </c>
      <c r="R7" s="65">
        <f t="shared" si="2"/>
        <v>-5.4553551368249464E-2</v>
      </c>
      <c r="S7" s="65">
        <f t="shared" si="3"/>
        <v>-1.6599823721134221E-2</v>
      </c>
      <c r="T7" s="65">
        <f t="shared" si="4"/>
        <v>1.8062103780493721E-2</v>
      </c>
      <c r="U7" s="65">
        <f t="shared" si="5"/>
        <v>-4.5565040290154513E-2</v>
      </c>
      <c r="V7" s="65">
        <f t="shared" si="6"/>
        <v>-3.007870416025693E-2</v>
      </c>
      <c r="W7" s="65">
        <f t="shared" si="7"/>
        <v>-1.1134875912366393E-3</v>
      </c>
      <c r="X7" s="65">
        <f t="shared" si="8"/>
        <v>7.6127778869147289E-2</v>
      </c>
      <c r="Y7" s="73">
        <f t="shared" si="9"/>
        <v>-8.3518767937269756E-2</v>
      </c>
    </row>
    <row r="8" spans="1:25" s="67" customFormat="1" x14ac:dyDescent="0.25">
      <c r="A8" s="63">
        <v>45106</v>
      </c>
      <c r="B8" s="64">
        <v>30.65</v>
      </c>
      <c r="C8" s="81">
        <f>myParidad('Flujo de Fondos'!$B$5,A8,B8,'Flujo de Fondos'!$B$7,'Flujo de Fondos'!$B$6)</f>
        <v>0.30354768688102018</v>
      </c>
      <c r="D8" s="64">
        <v>33.950000000000003</v>
      </c>
      <c r="E8" s="85">
        <f>myParidad('Flujo de Fondos'!$H$5,$A8,D8,'Flujo de Fondos'!$H$7,'Flujo de Fondos'!$H$6)</f>
        <v>0.3362298195631529</v>
      </c>
      <c r="F8" s="64">
        <v>28.94</v>
      </c>
      <c r="G8" s="81">
        <f>myParidad('Flujo de Fondos'!$N$5,$A8,F8,'Flujo de Fondos'!$N$7,'Flujo de Fondos'!$N$6)</f>
        <v>0.27304356816977499</v>
      </c>
      <c r="H8" s="66">
        <v>34.869999999999997</v>
      </c>
      <c r="I8" s="81">
        <f>myParidad('Flujo de Fondos'!$T$5,$A8,H8,'Flujo de Fondos'!$T$7,'Flujo de Fondos'!$T$6)</f>
        <v>0.34827658155324859</v>
      </c>
      <c r="J8" s="66">
        <v>30.83</v>
      </c>
      <c r="K8" s="81">
        <f>myParidad('Flujo de Fondos'!$B$34,$A8,J8,'Flujo de Fondos'!$B$36,'Flujo de Fondos'!$B$35)</f>
        <v>0.30496315994512102</v>
      </c>
      <c r="L8" s="64">
        <v>35.1</v>
      </c>
      <c r="M8" s="81">
        <f>myParidad('Flujo de Fondos'!$H$34,'Paridad usd'!$A8,'Paridad usd'!L8,'Flujo de Fondos'!$H$36,'Flujo de Fondos'!$H$35)</f>
        <v>0.35057378871577366</v>
      </c>
      <c r="N8" s="66">
        <v>31.7</v>
      </c>
      <c r="O8" s="81">
        <f>myParidad('Flujo de Fondos'!$N$34,$A8,N8,'Flujo de Fondos'!$N$36,'Flujo de Fondos'!$N$35)</f>
        <v>0.31661507413931694</v>
      </c>
      <c r="P8" s="65">
        <f t="shared" si="0"/>
        <v>3.0504118711245198E-2</v>
      </c>
      <c r="Q8" s="65">
        <f t="shared" si="1"/>
        <v>3.2682132682132714E-2</v>
      </c>
      <c r="R8" s="65">
        <f t="shared" si="2"/>
        <v>-4.7026101834753475E-2</v>
      </c>
      <c r="S8" s="65">
        <f t="shared" si="3"/>
        <v>-1.3067387258296759E-2</v>
      </c>
      <c r="T8" s="65">
        <f t="shared" si="4"/>
        <v>1.9614745423835955E-2</v>
      </c>
      <c r="U8" s="65">
        <f t="shared" si="5"/>
        <v>-4.3571505969541957E-2</v>
      </c>
      <c r="V8" s="65">
        <f t="shared" si="6"/>
        <v>-3.1919591775346035E-2</v>
      </c>
      <c r="W8" s="65">
        <f t="shared" si="7"/>
        <v>-1.4154730641008362E-3</v>
      </c>
      <c r="X8" s="65">
        <f t="shared" si="8"/>
        <v>7.5233013383473601E-2</v>
      </c>
      <c r="Y8" s="73">
        <f t="shared" si="9"/>
        <v>-7.7530220545998674E-2</v>
      </c>
    </row>
    <row r="9" spans="1:25" s="67" customFormat="1" x14ac:dyDescent="0.25">
      <c r="A9" s="63">
        <v>45105</v>
      </c>
      <c r="B9" s="64">
        <v>30.88</v>
      </c>
      <c r="C9" s="81">
        <f>myParidad('Flujo de Fondos'!$B$5,A9,B9,'Flujo de Fondos'!$B$7,'Flujo de Fondos'!$B$6)</f>
        <v>0.30583383079177295</v>
      </c>
      <c r="D9" s="64">
        <v>35</v>
      </c>
      <c r="E9" s="85">
        <f>myParidad('Flujo de Fondos'!$H$5,$A9,D9,'Flujo de Fondos'!$H$7,'Flujo de Fondos'!$H$6)</f>
        <v>0.34663808541813645</v>
      </c>
      <c r="F9" s="64">
        <v>28.78</v>
      </c>
      <c r="G9" s="81">
        <f>myParidad('Flujo de Fondos'!$N$5,$A9,F9,'Flujo de Fondos'!$N$7,'Flujo de Fondos'!$N$6)</f>
        <v>0.27153750710851471</v>
      </c>
      <c r="H9" s="66">
        <v>34.869999999999997</v>
      </c>
      <c r="I9" s="81">
        <f>myParidad('Flujo de Fondos'!$T$5,$A9,H9,'Flujo de Fondos'!$T$7,'Flujo de Fondos'!$T$6)</f>
        <v>0.34827777283703998</v>
      </c>
      <c r="J9" s="66">
        <v>30.12</v>
      </c>
      <c r="K9" s="81">
        <f>myParidad('Flujo de Fondos'!$B$34,$A9,J9,'Flujo de Fondos'!$B$36,'Flujo de Fondos'!$B$35)</f>
        <v>0.29794908972647755</v>
      </c>
      <c r="L9" s="64">
        <v>35</v>
      </c>
      <c r="M9" s="81">
        <f>myParidad('Flujo de Fondos'!$H$34,'Paridad usd'!$A9,'Paridad usd'!L9,'Flujo de Fondos'!$H$36,'Flujo de Fondos'!$H$35)</f>
        <v>0.34957619871799256</v>
      </c>
      <c r="N9" s="66">
        <v>31.411999999999999</v>
      </c>
      <c r="O9" s="81">
        <f>myParidad('Flujo de Fondos'!$N$34,$A9,N9,'Flujo de Fondos'!$N$36,'Flujo de Fondos'!$N$35)</f>
        <v>0.31373964440370233</v>
      </c>
      <c r="P9" s="65">
        <f t="shared" si="0"/>
        <v>3.4296323683258245E-2</v>
      </c>
      <c r="Q9" s="65">
        <f t="shared" si="1"/>
        <v>4.0804254626363501E-2</v>
      </c>
      <c r="R9" s="65">
        <f t="shared" si="2"/>
        <v>-4.3742367926219605E-2</v>
      </c>
      <c r="S9" s="65">
        <f t="shared" si="3"/>
        <v>-7.9058136119293798E-3</v>
      </c>
      <c r="T9" s="65">
        <f t="shared" si="4"/>
        <v>3.2898441014434121E-2</v>
      </c>
      <c r="U9" s="65">
        <f t="shared" si="5"/>
        <v>-4.2202137295187625E-2</v>
      </c>
      <c r="V9" s="65">
        <f t="shared" si="6"/>
        <v>-2.6411582617962837E-2</v>
      </c>
      <c r="W9" s="65">
        <f t="shared" si="7"/>
        <v>7.8847410652954086E-3</v>
      </c>
      <c r="X9" s="65">
        <f t="shared" si="8"/>
        <v>7.674026572852527E-2</v>
      </c>
      <c r="Y9" s="73">
        <f t="shared" si="9"/>
        <v>-7.803869160947785E-2</v>
      </c>
    </row>
    <row r="10" spans="1:25" s="67" customFormat="1" x14ac:dyDescent="0.25">
      <c r="A10" s="63">
        <v>45104</v>
      </c>
      <c r="B10" s="64">
        <v>29.43</v>
      </c>
      <c r="C10" s="81">
        <f>myParidad('Flujo de Fondos'!$B$5,A10,B10,'Flujo de Fondos'!$B$7,'Flujo de Fondos'!$B$6)</f>
        <v>0.29148101918432689</v>
      </c>
      <c r="D10" s="64">
        <v>33.296999999999997</v>
      </c>
      <c r="E10" s="85">
        <f>myParidad('Flujo de Fondos'!$H$5,$A10,D10,'Flujo de Fondos'!$H$7,'Flujo de Fondos'!$H$6)</f>
        <v>0.3297806148753154</v>
      </c>
      <c r="F10" s="64">
        <v>28.06</v>
      </c>
      <c r="G10" s="81">
        <f>myParidad('Flujo de Fondos'!$N$5,$A10,F10,'Flujo de Fondos'!$N$7,'Flujo de Fondos'!$N$6)</f>
        <v>0.26474777371366531</v>
      </c>
      <c r="H10" s="66">
        <v>34.35</v>
      </c>
      <c r="I10" s="81">
        <f>myParidad('Flujo de Fondos'!$T$5,$A10,H10,'Flujo de Fondos'!$T$7,'Flujo de Fondos'!$T$6)</f>
        <v>0.34308524283999137</v>
      </c>
      <c r="J10" s="66">
        <v>29.7</v>
      </c>
      <c r="K10" s="81">
        <f>myParidad('Flujo de Fondos'!$B$34,$A10,J10,'Flujo de Fondos'!$B$36,'Flujo de Fondos'!$B$35)</f>
        <v>0.29380337898955539</v>
      </c>
      <c r="L10" s="64">
        <v>34.590000000000003</v>
      </c>
      <c r="M10" s="81">
        <f>myParidad('Flujo de Fondos'!$H$34,'Paridad usd'!$A10,'Paridad usd'!L10,'Flujo de Fondos'!$H$36,'Flujo de Fondos'!$H$35)</f>
        <v>0.34548234497337127</v>
      </c>
      <c r="N10" s="66">
        <v>31.4</v>
      </c>
      <c r="O10" s="81">
        <f>myParidad('Flujo de Fondos'!$N$34,$A10,N10,'Flujo de Fondos'!$N$36,'Flujo de Fondos'!$N$35)</f>
        <v>0.31362086245053067</v>
      </c>
      <c r="P10" s="65">
        <f t="shared" si="0"/>
        <v>2.6733245470661582E-2</v>
      </c>
      <c r="Q10" s="65">
        <f t="shared" si="1"/>
        <v>3.8299595690988508E-2</v>
      </c>
      <c r="R10" s="65">
        <f t="shared" si="2"/>
        <v>-5.4001325789044374E-2</v>
      </c>
      <c r="S10" s="65">
        <f t="shared" si="3"/>
        <v>-2.2139843266203774E-2</v>
      </c>
      <c r="T10" s="65">
        <f t="shared" si="4"/>
        <v>1.6159752424784735E-2</v>
      </c>
      <c r="U10" s="65">
        <f t="shared" si="5"/>
        <v>-4.8873088736865355E-2</v>
      </c>
      <c r="V10" s="65">
        <f t="shared" si="6"/>
        <v>-2.9055605275890073E-2</v>
      </c>
      <c r="W10" s="65">
        <f t="shared" si="7"/>
        <v>-2.3223598052284911E-3</v>
      </c>
      <c r="X10" s="65">
        <f t="shared" si="8"/>
        <v>7.8337469126326054E-2</v>
      </c>
      <c r="Y10" s="73">
        <f t="shared" si="9"/>
        <v>-8.0734571259705956E-2</v>
      </c>
    </row>
    <row r="11" spans="1:25" s="67" customFormat="1" x14ac:dyDescent="0.25">
      <c r="A11" s="63">
        <v>45103</v>
      </c>
      <c r="B11" s="64">
        <v>29.85</v>
      </c>
      <c r="C11" s="81">
        <f>myParidad('Flujo de Fondos'!$B$5,A11,B11,'Flujo de Fondos'!$B$7,'Flujo de Fondos'!$B$6)</f>
        <v>0.29564881146206451</v>
      </c>
      <c r="D11" s="64">
        <v>33.011000000000003</v>
      </c>
      <c r="E11" s="85">
        <f>myParidad('Flujo de Fondos'!$H$5,$A11,D11,'Flujo de Fondos'!$H$7,'Flujo de Fondos'!$H$6)</f>
        <v>0.32695688158037556</v>
      </c>
      <c r="F11" s="64">
        <v>28.26</v>
      </c>
      <c r="G11" s="81">
        <f>myParidad('Flujo de Fondos'!$N$5,$A11,F11,'Flujo de Fondos'!$N$7,'Flujo de Fondos'!$N$6)</f>
        <v>0.26663823187281893</v>
      </c>
      <c r="H11" s="66">
        <v>34.5</v>
      </c>
      <c r="I11" s="81">
        <f>myParidad('Flujo de Fondos'!$T$5,$A11,H11,'Flujo de Fondos'!$T$7,'Flujo de Fondos'!$T$6)</f>
        <v>0.34458461033274956</v>
      </c>
      <c r="J11" s="66">
        <v>29.95</v>
      </c>
      <c r="K11" s="81">
        <f>myParidad('Flujo de Fondos'!$B$34,$A11,J11,'Flujo de Fondos'!$B$36,'Flujo de Fondos'!$B$35)</f>
        <v>0.29628550520381614</v>
      </c>
      <c r="L11" s="64">
        <v>34.99</v>
      </c>
      <c r="M11" s="81">
        <f>myParidad('Flujo de Fondos'!$H$34,'Paridad usd'!$A11,'Paridad usd'!L11,'Flujo de Fondos'!$H$36,'Flujo de Fondos'!$H$35)</f>
        <v>0.34947871059544661</v>
      </c>
      <c r="N11" s="66">
        <v>31.8</v>
      </c>
      <c r="O11" s="81">
        <f>myParidad('Flujo de Fondos'!$N$34,$A11,N11,'Flujo de Fondos'!$N$36,'Flujo de Fondos'!$N$35)</f>
        <v>0.317617119089317</v>
      </c>
      <c r="P11" s="65">
        <f t="shared" si="0"/>
        <v>2.9010579589245578E-2</v>
      </c>
      <c r="Q11" s="65">
        <f t="shared" si="1"/>
        <v>3.1308070118311049E-2</v>
      </c>
      <c r="R11" s="65">
        <f t="shared" si="2"/>
        <v>-5.3829899133382098E-2</v>
      </c>
      <c r="S11" s="65">
        <f t="shared" si="3"/>
        <v>-2.1968307627252492E-2</v>
      </c>
      <c r="T11" s="65">
        <f t="shared" si="4"/>
        <v>9.3397624910585564E-3</v>
      </c>
      <c r="U11" s="65">
        <f t="shared" si="5"/>
        <v>-5.097888721649807E-2</v>
      </c>
      <c r="V11" s="65">
        <f t="shared" si="6"/>
        <v>-2.9647273330997204E-2</v>
      </c>
      <c r="W11" s="65">
        <f t="shared" si="7"/>
        <v>-6.3669374175162607E-4</v>
      </c>
      <c r="X11" s="65">
        <f t="shared" si="8"/>
        <v>7.7946378459930632E-2</v>
      </c>
      <c r="Y11" s="73">
        <f t="shared" si="9"/>
        <v>-8.2840478722627675E-2</v>
      </c>
    </row>
    <row r="12" spans="1:25" s="67" customFormat="1" x14ac:dyDescent="0.25">
      <c r="A12" s="63">
        <v>45100</v>
      </c>
      <c r="B12" s="64">
        <v>28.445</v>
      </c>
      <c r="C12" s="81">
        <f>myParidad('Flujo de Fondos'!$B$5,A12,B12,'Flujo de Fondos'!$B$7,'Flujo de Fondos'!$B$6)</f>
        <v>0.28175594995793646</v>
      </c>
      <c r="D12" s="64">
        <v>32.43</v>
      </c>
      <c r="E12" s="85">
        <f>myParidad('Flujo de Fondos'!$H$5,$A12,D12,'Flujo de Fondos'!$H$7,'Flujo de Fondos'!$H$6)</f>
        <v>0.32122852723276074</v>
      </c>
      <c r="F12" s="64">
        <v>26.7</v>
      </c>
      <c r="G12" s="81">
        <f>myParidad('Flujo de Fondos'!$N$5,$A12,F12,'Flujo de Fondos'!$N$7,'Flujo de Fondos'!$N$6)</f>
        <v>0.25192911706541549</v>
      </c>
      <c r="H12" s="66">
        <v>32.64</v>
      </c>
      <c r="I12" s="81">
        <f>myParidad('Flujo de Fondos'!$T$5,$A12,H12,'Flujo de Fondos'!$T$7,'Flujo de Fondos'!$T$6)</f>
        <v>0.32601035064255396</v>
      </c>
      <c r="J12" s="66">
        <v>28.699000000000002</v>
      </c>
      <c r="K12" s="81">
        <f>myParidad('Flujo de Fondos'!$B$34,$A12,J12,'Flujo de Fondos'!$B$36,'Flujo de Fondos'!$B$35)</f>
        <v>0.28393574596548771</v>
      </c>
      <c r="L12" s="64">
        <v>33.65</v>
      </c>
      <c r="M12" s="81">
        <f>myParidad('Flujo de Fondos'!$H$34,'Paridad usd'!$A12,'Paridad usd'!L12,'Flujo de Fondos'!$H$36,'Flujo de Fondos'!$H$35)</f>
        <v>0.33609829347800058</v>
      </c>
      <c r="N12" s="66">
        <v>30.7</v>
      </c>
      <c r="O12" s="81">
        <f>myParidad('Flujo de Fondos'!$N$34,$A12,N12,'Flujo de Fondos'!$N$36,'Flujo de Fondos'!$N$35)</f>
        <v>0.30663350994872568</v>
      </c>
      <c r="P12" s="65">
        <f t="shared" si="0"/>
        <v>2.9826832892520971E-2</v>
      </c>
      <c r="Q12" s="65">
        <f t="shared" si="1"/>
        <v>3.9472577274824283E-2</v>
      </c>
      <c r="R12" s="65">
        <f t="shared" si="2"/>
        <v>-5.4342343520064118E-2</v>
      </c>
      <c r="S12" s="65">
        <f t="shared" si="3"/>
        <v>-2.4877559990789222E-2</v>
      </c>
      <c r="T12" s="65">
        <f t="shared" si="4"/>
        <v>1.4595017284035061E-2</v>
      </c>
      <c r="U12" s="65">
        <f t="shared" si="5"/>
        <v>-5.4704392883310193E-2</v>
      </c>
      <c r="V12" s="65">
        <f t="shared" si="6"/>
        <v>-3.200662890007222E-2</v>
      </c>
      <c r="W12" s="65">
        <f t="shared" si="7"/>
        <v>-2.179796007551249E-3</v>
      </c>
      <c r="X12" s="65">
        <f t="shared" si="8"/>
        <v>7.4081233577138472E-2</v>
      </c>
      <c r="Y12" s="73">
        <f t="shared" si="9"/>
        <v>-8.4169176412585089E-2</v>
      </c>
    </row>
    <row r="13" spans="1:25" s="67" customFormat="1" x14ac:dyDescent="0.25">
      <c r="A13" s="63">
        <v>45099</v>
      </c>
      <c r="B13" s="64">
        <v>28.58</v>
      </c>
      <c r="C13" s="81">
        <f>myParidad('Flujo de Fondos'!$B$5,A13,B13,'Flujo de Fondos'!$B$7,'Flujo de Fondos'!$B$6)</f>
        <v>0.28310084672166735</v>
      </c>
      <c r="D13" s="64">
        <v>32.5</v>
      </c>
      <c r="E13" s="85">
        <f>myParidad('Flujo de Fondos'!$H$5,$A13,D13,'Flujo de Fondos'!$H$7,'Flujo de Fondos'!$H$6)</f>
        <v>0.32193063395570992</v>
      </c>
      <c r="F13" s="64">
        <v>26.74</v>
      </c>
      <c r="G13" s="81">
        <f>myParidad('Flujo de Fondos'!$N$5,$A13,F13,'Flujo de Fondos'!$N$7,'Flujo de Fondos'!$N$6)</f>
        <v>0.25230980017061755</v>
      </c>
      <c r="H13" s="66">
        <v>32.6</v>
      </c>
      <c r="I13" s="81">
        <f>myParidad('Flujo de Fondos'!$T$5,$A13,H13,'Flujo de Fondos'!$T$7,'Flujo de Fondos'!$T$6)</f>
        <v>0.32561194193221776</v>
      </c>
      <c r="J13" s="66">
        <v>28.3</v>
      </c>
      <c r="K13" s="81">
        <f>myParidad('Flujo de Fondos'!$B$34,$A13,J13,'Flujo de Fondos'!$B$36,'Flujo de Fondos'!$B$35)</f>
        <v>0.2799967472181939</v>
      </c>
      <c r="L13" s="64">
        <v>33.68</v>
      </c>
      <c r="M13" s="81">
        <f>myParidad('Flujo de Fondos'!$H$34,'Paridad usd'!$A13,'Paridad usd'!L13,'Flujo de Fondos'!$H$36,'Flujo de Fondos'!$H$35)</f>
        <v>0.33639908602076979</v>
      </c>
      <c r="N13" s="66">
        <v>30.7</v>
      </c>
      <c r="O13" s="81">
        <f>myParidad('Flujo de Fondos'!$N$34,$A13,N13,'Flujo de Fondos'!$N$36,'Flujo de Fondos'!$N$35)</f>
        <v>0.30663455881346885</v>
      </c>
      <c r="P13" s="65">
        <f t="shared" si="0"/>
        <v>3.0791046551049805E-2</v>
      </c>
      <c r="Q13" s="65">
        <f t="shared" si="1"/>
        <v>3.8829787234042568E-2</v>
      </c>
      <c r="R13" s="65">
        <f t="shared" si="2"/>
        <v>-5.3298239299102435E-2</v>
      </c>
      <c r="S13" s="65">
        <f t="shared" si="3"/>
        <v>-2.3533712091801495E-2</v>
      </c>
      <c r="T13" s="65">
        <f t="shared" si="4"/>
        <v>1.5296075142241072E-2</v>
      </c>
      <c r="U13" s="65">
        <f t="shared" si="5"/>
        <v>-5.4324758642851301E-2</v>
      </c>
      <c r="V13" s="65">
        <f t="shared" si="6"/>
        <v>-2.7686947047576349E-2</v>
      </c>
      <c r="W13" s="65">
        <f t="shared" si="7"/>
        <v>3.1040995034734564E-3</v>
      </c>
      <c r="X13" s="65">
        <f t="shared" si="8"/>
        <v>7.3302141761600215E-2</v>
      </c>
      <c r="Y13" s="73">
        <f t="shared" si="9"/>
        <v>-8.408928585015224E-2</v>
      </c>
    </row>
    <row r="14" spans="1:25" s="67" customFormat="1" x14ac:dyDescent="0.25">
      <c r="A14" s="63">
        <v>45098</v>
      </c>
      <c r="B14" s="64">
        <v>27.4</v>
      </c>
      <c r="C14" s="81">
        <f>myParidad('Flujo de Fondos'!$B$5,A14,B14,'Flujo de Fondos'!$B$7,'Flujo de Fondos'!$B$6)</f>
        <v>0.27141965424593589</v>
      </c>
      <c r="D14" s="64">
        <v>31.5</v>
      </c>
      <c r="E14" s="85">
        <f>myParidad('Flujo de Fondos'!$H$5,$A14,D14,'Flujo de Fondos'!$H$7,'Flujo de Fondos'!$H$6)</f>
        <v>0.31203354411485329</v>
      </c>
      <c r="F14" s="64">
        <v>26</v>
      </c>
      <c r="G14" s="81">
        <f>myParidad('Flujo de Fondos'!$N$5,$A14,F14,'Flujo de Fondos'!$N$7,'Flujo de Fondos'!$N$6)</f>
        <v>0.24533057584178891</v>
      </c>
      <c r="H14" s="66">
        <v>31.9</v>
      </c>
      <c r="I14" s="81">
        <f>myParidad('Flujo de Fondos'!$T$5,$A14,H14,'Flujo de Fondos'!$T$7,'Flujo de Fondos'!$T$6)</f>
        <v>0.31862136433758509</v>
      </c>
      <c r="J14" s="66">
        <v>27.26</v>
      </c>
      <c r="K14" s="81">
        <f>myParidad('Flujo de Fondos'!$B$34,$A14,J14,'Flujo de Fondos'!$B$36,'Flujo de Fondos'!$B$35)</f>
        <v>0.26971533902813405</v>
      </c>
      <c r="L14" s="64">
        <v>33</v>
      </c>
      <c r="M14" s="81">
        <f>myParidad('Flujo de Fondos'!$H$34,'Paridad usd'!$A14,'Paridad usd'!L14,'Flujo de Fondos'!$H$36,'Flujo de Fondos'!$H$35)</f>
        <v>0.32960830793543289</v>
      </c>
      <c r="N14" s="66">
        <v>29.8</v>
      </c>
      <c r="O14" s="81">
        <f>myParidad('Flujo de Fondos'!$N$34,$A14,N14,'Flujo de Fondos'!$N$36,'Flujo de Fondos'!$N$35)</f>
        <v>0.29764629019623939</v>
      </c>
      <c r="P14" s="65">
        <f t="shared" si="0"/>
        <v>2.6089078404146981E-2</v>
      </c>
      <c r="Q14" s="65">
        <f t="shared" si="1"/>
        <v>4.0613889868917397E-2</v>
      </c>
      <c r="R14" s="65">
        <f t="shared" si="2"/>
        <v>-5.8188653689496994E-2</v>
      </c>
      <c r="S14" s="65">
        <f t="shared" si="3"/>
        <v>-2.6226635950303501E-2</v>
      </c>
      <c r="T14" s="65">
        <f t="shared" si="4"/>
        <v>1.4387253918613896E-2</v>
      </c>
      <c r="U14" s="65">
        <f t="shared" si="5"/>
        <v>-5.2315714354450482E-2</v>
      </c>
      <c r="V14" s="65">
        <f t="shared" si="6"/>
        <v>-2.4384763186345138E-2</v>
      </c>
      <c r="W14" s="65">
        <f t="shared" si="7"/>
        <v>1.7043152178018439E-3</v>
      </c>
      <c r="X14" s="65">
        <f t="shared" si="8"/>
        <v>7.3290788495796177E-2</v>
      </c>
      <c r="Y14" s="73">
        <f t="shared" si="9"/>
        <v>-8.4277732093643976E-2</v>
      </c>
    </row>
    <row r="15" spans="1:25" s="67" customFormat="1" x14ac:dyDescent="0.25">
      <c r="A15" s="63">
        <v>45093</v>
      </c>
      <c r="B15" s="64">
        <v>26.1</v>
      </c>
      <c r="C15" s="81">
        <f>myParidad('Flujo de Fondos'!$B$5,A15,B15,'Flujo de Fondos'!$B$7,'Flujo de Fondos'!$B$6)</f>
        <v>0.25857716736333536</v>
      </c>
      <c r="D15" s="64">
        <v>30.64</v>
      </c>
      <c r="E15" s="85">
        <f>myParidad('Flujo de Fondos'!$H$5,$A15,D15,'Flujo de Fondos'!$H$7,'Flujo de Fondos'!$H$6)</f>
        <v>0.30355572444492701</v>
      </c>
      <c r="F15" s="64">
        <v>23.71</v>
      </c>
      <c r="G15" s="81">
        <f>myParidad('Flujo de Fondos'!$N$5,$A15,F15,'Flujo de Fondos'!$N$7,'Flujo de Fondos'!$N$6)</f>
        <v>0.22373707342295762</v>
      </c>
      <c r="H15" s="66">
        <v>30.5</v>
      </c>
      <c r="I15" s="81">
        <f>myParidad('Flujo de Fondos'!$T$5,$A15,H15,'Flujo de Fondos'!$T$7,'Flujo de Fondos'!$T$6)</f>
        <v>0.30464319187800587</v>
      </c>
      <c r="J15" s="66">
        <v>26.498000000000001</v>
      </c>
      <c r="K15" s="81">
        <f>myParidad('Flujo de Fondos'!$B$34,$A15,J15,'Flujo de Fondos'!$B$36,'Flujo de Fondos'!$B$35)</f>
        <v>0.26221595645897017</v>
      </c>
      <c r="L15" s="64">
        <v>32</v>
      </c>
      <c r="M15" s="81">
        <f>myParidad('Flujo de Fondos'!$H$34,'Paridad usd'!$A15,'Paridad usd'!L15,'Flujo de Fondos'!$H$36,'Flujo de Fondos'!$H$35)</f>
        <v>0.31962564393757997</v>
      </c>
      <c r="N15" s="66">
        <v>28.5</v>
      </c>
      <c r="O15" s="81">
        <f>myParidad('Flujo de Fondos'!$N$34,$A15,N15,'Flujo de Fondos'!$N$36,'Flujo de Fondos'!$N$35)</f>
        <v>0.28466658913190718</v>
      </c>
      <c r="P15" s="65">
        <f t="shared" si="0"/>
        <v>3.4840093940377737E-2</v>
      </c>
      <c r="Q15" s="65">
        <f t="shared" si="1"/>
        <v>4.4978557081591652E-2</v>
      </c>
      <c r="R15" s="65">
        <f t="shared" si="2"/>
        <v>-6.1048476574244614E-2</v>
      </c>
      <c r="S15" s="65">
        <f t="shared" si="3"/>
        <v>-2.6089421768571819E-2</v>
      </c>
      <c r="T15" s="65">
        <f t="shared" si="4"/>
        <v>1.8889135313019834E-2</v>
      </c>
      <c r="U15" s="65">
        <f t="shared" si="5"/>
        <v>-6.0929515708949555E-2</v>
      </c>
      <c r="V15" s="65">
        <f t="shared" si="6"/>
        <v>-3.8478883036012546E-2</v>
      </c>
      <c r="W15" s="65">
        <f t="shared" si="7"/>
        <v>-3.638789095634809E-3</v>
      </c>
      <c r="X15" s="65">
        <f t="shared" si="8"/>
        <v>8.0906118455048248E-2</v>
      </c>
      <c r="Y15" s="73">
        <f t="shared" si="9"/>
        <v>-9.5888570514622351E-2</v>
      </c>
    </row>
    <row r="16" spans="1:25" s="67" customFormat="1" x14ac:dyDescent="0.25">
      <c r="A16" s="63">
        <v>45092</v>
      </c>
      <c r="B16" s="64">
        <v>26.6</v>
      </c>
      <c r="C16" s="81">
        <f>myParidad('Flujo de Fondos'!$B$5,A16,B16,'Flujo de Fondos'!$B$7,'Flujo de Fondos'!$B$6)</f>
        <v>0.26353790613718414</v>
      </c>
      <c r="D16" s="64">
        <v>30.001000000000001</v>
      </c>
      <c r="E16" s="85">
        <f>myParidad('Flujo de Fondos'!$H$5,$A16,D16,'Flujo de Fondos'!$H$7,'Flujo de Fondos'!$H$6)</f>
        <v>0.29723310985043838</v>
      </c>
      <c r="F16" s="64">
        <v>23.81</v>
      </c>
      <c r="G16" s="81">
        <f>myParidad('Flujo de Fondos'!$N$5,$A16,F16,'Flujo de Fondos'!$N$7,'Flujo de Fondos'!$N$6)</f>
        <v>0.22468361793715017</v>
      </c>
      <c r="H16" s="66">
        <v>30.7</v>
      </c>
      <c r="I16" s="81">
        <f>myParidad('Flujo de Fondos'!$T$5,$A16,H16,'Flujo de Fondos'!$T$7,'Flujo de Fondos'!$T$6)</f>
        <v>0.30664190106758887</v>
      </c>
      <c r="J16" s="66">
        <v>26.649000000000001</v>
      </c>
      <c r="K16" s="81">
        <f>myParidad('Flujo de Fondos'!$B$34,$A16,J16,'Flujo de Fondos'!$B$36,'Flujo de Fondos'!$B$35)</f>
        <v>0.26371824895194007</v>
      </c>
      <c r="L16" s="64">
        <v>31.77</v>
      </c>
      <c r="M16" s="81">
        <f>myParidad('Flujo de Fondos'!$H$34,'Paridad usd'!$A16,'Paridad usd'!L16,'Flujo de Fondos'!$H$36,'Flujo de Fondos'!$H$35)</f>
        <v>0.31732942009502602</v>
      </c>
      <c r="N16" s="66">
        <v>28.8</v>
      </c>
      <c r="O16" s="81">
        <f>myParidad('Flujo de Fondos'!$N$34,$A16,N16,'Flujo de Fondos'!$N$36,'Flujo de Fondos'!$N$35)</f>
        <v>0.28766406354223323</v>
      </c>
      <c r="P16" s="65">
        <f t="shared" si="0"/>
        <v>3.8854288200033976E-2</v>
      </c>
      <c r="Q16" s="65">
        <f t="shared" si="1"/>
        <v>3.369520371325424E-2</v>
      </c>
      <c r="R16" s="65">
        <f t="shared" si="2"/>
        <v>-5.3791513957841874E-2</v>
      </c>
      <c r="S16" s="65">
        <f t="shared" si="3"/>
        <v>-2.4126157405049087E-2</v>
      </c>
      <c r="T16" s="65">
        <f t="shared" si="4"/>
        <v>9.5690463082051536E-3</v>
      </c>
      <c r="U16" s="65">
        <f t="shared" si="5"/>
        <v>-6.2980445605083063E-2</v>
      </c>
      <c r="V16" s="65">
        <f t="shared" si="6"/>
        <v>-3.9034631014789906E-2</v>
      </c>
      <c r="W16" s="65">
        <f t="shared" si="7"/>
        <v>-1.8034281475592939E-4</v>
      </c>
      <c r="X16" s="65">
        <f t="shared" si="8"/>
        <v>8.1958283130438708E-2</v>
      </c>
      <c r="Y16" s="73">
        <f t="shared" si="9"/>
        <v>-9.2645802157875851E-2</v>
      </c>
    </row>
    <row r="17" spans="1:25" s="67" customFormat="1" x14ac:dyDescent="0.25">
      <c r="A17" s="63">
        <v>45091</v>
      </c>
      <c r="B17" s="64">
        <v>26.062000000000001</v>
      </c>
      <c r="C17" s="81">
        <f>myParidad('Flujo de Fondos'!$B$5,A17,B17,'Flujo de Fondos'!$B$7,'Flujo de Fondos'!$B$6)</f>
        <v>0.25821471226927256</v>
      </c>
      <c r="D17" s="64">
        <v>30.024000000000001</v>
      </c>
      <c r="E17" s="85">
        <f>myParidad('Flujo de Fondos'!$H$5,$A17,D17,'Flujo de Fondos'!$H$7,'Flujo de Fondos'!$H$6)</f>
        <v>0.29746905537459284</v>
      </c>
      <c r="F17" s="64">
        <v>23.65</v>
      </c>
      <c r="G17" s="81">
        <f>myParidad('Flujo de Fondos'!$N$5,$A17,F17,'Flujo de Fondos'!$N$7,'Flujo de Fondos'!$N$6)</f>
        <v>0.22317665916905813</v>
      </c>
      <c r="H17" s="66">
        <v>30.57</v>
      </c>
      <c r="I17" s="81">
        <f>myParidad('Flujo de Fondos'!$T$5,$A17,H17,'Flujo de Fondos'!$T$7,'Flujo de Fondos'!$T$6)</f>
        <v>0.30534446192789216</v>
      </c>
      <c r="J17" s="66">
        <v>26.6</v>
      </c>
      <c r="K17" s="81">
        <f>myParidad('Flujo de Fondos'!$B$34,$A17,J17,'Flujo de Fondos'!$B$36,'Flujo de Fondos'!$B$35)</f>
        <v>0.26324137463566732</v>
      </c>
      <c r="L17" s="64">
        <v>31.4</v>
      </c>
      <c r="M17" s="81">
        <f>myParidad('Flujo de Fondos'!$H$34,'Paridad usd'!$A17,'Paridad usd'!L17,'Flujo de Fondos'!$H$36,'Flujo de Fondos'!$H$35)</f>
        <v>0.31363480878429223</v>
      </c>
      <c r="N17" s="66">
        <v>28.5</v>
      </c>
      <c r="O17" s="81">
        <f>myParidad('Flujo de Fondos'!$N$34,$A17,N17,'Flujo de Fondos'!$N$36,'Flujo de Fondos'!$N$35)</f>
        <v>0.28466853663542452</v>
      </c>
      <c r="P17" s="65">
        <f t="shared" si="0"/>
        <v>3.5038053100214434E-2</v>
      </c>
      <c r="Q17" s="65">
        <f t="shared" si="1"/>
        <v>3.9254343105320277E-2</v>
      </c>
      <c r="R17" s="65">
        <f t="shared" si="2"/>
        <v>-5.5420096515019668E-2</v>
      </c>
      <c r="S17" s="65">
        <f t="shared" si="3"/>
        <v>-2.6453824366151957E-2</v>
      </c>
      <c r="T17" s="65">
        <f t="shared" si="4"/>
        <v>1.2800518739168321E-2</v>
      </c>
      <c r="U17" s="65">
        <f t="shared" si="5"/>
        <v>-6.149187746636639E-2</v>
      </c>
      <c r="V17" s="65">
        <f t="shared" si="6"/>
        <v>-4.0064715466609196E-2</v>
      </c>
      <c r="W17" s="65">
        <f t="shared" si="7"/>
        <v>-5.0266623663947629E-3</v>
      </c>
      <c r="X17" s="65">
        <f t="shared" si="8"/>
        <v>8.2167802758834035E-2</v>
      </c>
      <c r="Y17" s="73">
        <f t="shared" si="9"/>
        <v>-9.0458149615234101E-2</v>
      </c>
    </row>
    <row r="18" spans="1:25" s="67" customFormat="1" x14ac:dyDescent="0.25">
      <c r="A18" s="63">
        <v>45090</v>
      </c>
      <c r="B18" s="64">
        <v>26.49</v>
      </c>
      <c r="C18" s="81">
        <f>myParidad('Flujo de Fondos'!$B$5,A18,B18,'Flujo de Fondos'!$B$7,'Flujo de Fondos'!$B$6)</f>
        <v>0.26246233611118652</v>
      </c>
      <c r="D18" s="64">
        <v>30.6</v>
      </c>
      <c r="E18" s="85">
        <f>myParidad('Flujo de Fondos'!$H$5,$A18,D18,'Flujo de Fondos'!$H$7,'Flujo de Fondos'!$H$6)</f>
        <v>0.30318412551915092</v>
      </c>
      <c r="F18" s="64">
        <v>23.7</v>
      </c>
      <c r="G18" s="81">
        <f>myParidad('Flujo de Fondos'!$N$5,$A18,F18,'Flujo de Fondos'!$N$7,'Flujo de Fondos'!$N$6)</f>
        <v>0.22365138255102965</v>
      </c>
      <c r="H18" s="66">
        <v>30.77</v>
      </c>
      <c r="I18" s="81">
        <f>myParidad('Flujo de Fondos'!$T$5,$A18,H18,'Flujo de Fondos'!$T$7,'Flujo de Fondos'!$T$6)</f>
        <v>0.30734318719021408</v>
      </c>
      <c r="J18" s="66">
        <v>26.908999999999999</v>
      </c>
      <c r="K18" s="81">
        <f>myParidad('Flujo de Fondos'!$B$34,$A18,J18,'Flujo de Fondos'!$B$36,'Flujo de Fondos'!$B$35)</f>
        <v>0.26630745193203886</v>
      </c>
      <c r="L18" s="64">
        <v>31.91</v>
      </c>
      <c r="M18" s="81">
        <f>myParidad('Flujo de Fondos'!$H$34,'Paridad usd'!$A18,'Paridad usd'!L18,'Flujo de Fondos'!$H$36,'Flujo de Fondos'!$H$35)</f>
        <v>0.31872996760610112</v>
      </c>
      <c r="N18" s="66">
        <v>29.2</v>
      </c>
      <c r="O18" s="81">
        <f>myParidad('Flujo de Fondos'!$N$34,$A18,N18,'Flujo de Fondos'!$N$36,'Flujo de Fondos'!$N$35)</f>
        <v>0.29166139310868544</v>
      </c>
      <c r="P18" s="65">
        <f t="shared" si="0"/>
        <v>3.8810953560156874E-2</v>
      </c>
      <c r="Q18" s="65">
        <f t="shared" si="1"/>
        <v>4.0721789407964393E-2</v>
      </c>
      <c r="R18" s="65">
        <f t="shared" si="2"/>
        <v>-5.6267631494914594E-2</v>
      </c>
      <c r="S18" s="65">
        <f t="shared" si="3"/>
        <v>-2.9199056997498918E-2</v>
      </c>
      <c r="T18" s="65">
        <f t="shared" si="4"/>
        <v>1.1522732410465475E-2</v>
      </c>
      <c r="U18" s="65">
        <f t="shared" si="5"/>
        <v>-6.8010010557655792E-2</v>
      </c>
      <c r="V18" s="65">
        <f t="shared" si="6"/>
        <v>-4.2656069381009215E-2</v>
      </c>
      <c r="W18" s="65">
        <f t="shared" si="7"/>
        <v>-3.8451158208523406E-3</v>
      </c>
      <c r="X18" s="65">
        <f t="shared" si="8"/>
        <v>8.3691804639184436E-2</v>
      </c>
      <c r="Y18" s="73">
        <f t="shared" si="9"/>
        <v>-9.5078585055071468E-2</v>
      </c>
    </row>
    <row r="19" spans="1:25" s="67" customFormat="1" x14ac:dyDescent="0.25">
      <c r="A19" s="63">
        <v>45089</v>
      </c>
      <c r="B19" s="64">
        <v>26.5</v>
      </c>
      <c r="C19" s="81">
        <f>myParidad('Flujo de Fondos'!$B$5,A19,B19,'Flujo de Fondos'!$B$7,'Flujo de Fondos'!$B$6)</f>
        <v>0.26256854335197349</v>
      </c>
      <c r="D19" s="64">
        <v>29</v>
      </c>
      <c r="E19" s="85">
        <f>myParidad('Flujo de Fondos'!$H$5,$A19,D19,'Flujo de Fondos'!$H$7,'Flujo de Fondos'!$H$6)</f>
        <v>0.28733916064932952</v>
      </c>
      <c r="F19" s="64">
        <v>23.65</v>
      </c>
      <c r="G19" s="81">
        <f>myParidad('Flujo de Fondos'!$N$5,$A19,F19,'Flujo de Fondos'!$N$7,'Flujo de Fondos'!$N$6)</f>
        <v>0.2231824292879673</v>
      </c>
      <c r="H19" s="66">
        <v>30.5</v>
      </c>
      <c r="I19" s="81">
        <f>myParidad('Flujo de Fondos'!$T$5,$A19,H19,'Flujo de Fondos'!$T$7,'Flujo de Fondos'!$T$6)</f>
        <v>0.30464736024738487</v>
      </c>
      <c r="J19" s="66">
        <v>26.3</v>
      </c>
      <c r="K19" s="81">
        <f>myParidad('Flujo de Fondos'!$B$34,$A19,J19,'Flujo de Fondos'!$B$36,'Flujo de Fondos'!$B$35)</f>
        <v>0.260288365724202</v>
      </c>
      <c r="L19" s="64">
        <v>32.6</v>
      </c>
      <c r="M19" s="81">
        <f>myParidad('Flujo de Fondos'!$H$34,'Paridad usd'!$A19,'Paridad usd'!L19,'Flujo de Fondos'!$H$36,'Flujo de Fondos'!$H$35)</f>
        <v>0.3256230801332704</v>
      </c>
      <c r="N19" s="66">
        <v>28.5</v>
      </c>
      <c r="O19" s="81">
        <f>myParidad('Flujo de Fondos'!$N$34,$A19,N19,'Flujo de Fondos'!$N$36,'Flujo de Fondos'!$N$35)</f>
        <v>0.28467048416558915</v>
      </c>
      <c r="P19" s="65">
        <f t="shared" si="0"/>
        <v>3.9386114064006189E-2</v>
      </c>
      <c r="Q19" s="65">
        <f t="shared" si="1"/>
        <v>2.4770617297356023E-2</v>
      </c>
      <c r="R19" s="65">
        <f t="shared" si="2"/>
        <v>-6.305453678129691E-2</v>
      </c>
      <c r="S19" s="65">
        <f t="shared" si="3"/>
        <v>-2.2101940813615661E-2</v>
      </c>
      <c r="T19" s="65">
        <f t="shared" si="4"/>
        <v>2.668676483740362E-3</v>
      </c>
      <c r="U19" s="65">
        <f t="shared" si="5"/>
        <v>-6.1488054877621851E-2</v>
      </c>
      <c r="V19" s="65">
        <f t="shared" si="6"/>
        <v>-3.7105936436234693E-2</v>
      </c>
      <c r="W19" s="65">
        <f t="shared" si="7"/>
        <v>2.2801776277714958E-3</v>
      </c>
      <c r="X19" s="65">
        <f t="shared" si="8"/>
        <v>8.1464930959417564E-2</v>
      </c>
      <c r="Y19" s="73">
        <f t="shared" si="9"/>
        <v>-0.1024406508453031</v>
      </c>
    </row>
    <row r="20" spans="1:25" s="67" customFormat="1" x14ac:dyDescent="0.25">
      <c r="A20" s="63">
        <v>45086</v>
      </c>
      <c r="B20" s="64">
        <v>25.5</v>
      </c>
      <c r="C20" s="81">
        <f>myParidad('Flujo de Fondos'!$B$5,A20,B20,'Flujo de Fondos'!$B$7,'Flujo de Fondos'!$B$6)</f>
        <v>0.25268087416858964</v>
      </c>
      <c r="D20" s="64">
        <v>28.600999999999999</v>
      </c>
      <c r="E20" s="85">
        <f>myParidad('Flujo de Fondos'!$H$5,$A20,D20,'Flujo de Fondos'!$H$7,'Flujo de Fondos'!$H$6)</f>
        <v>0.28340885027826795</v>
      </c>
      <c r="F20" s="64">
        <v>23.14</v>
      </c>
      <c r="G20" s="81">
        <f>myParidad('Flujo de Fondos'!$N$5,$A20,F20,'Flujo de Fondos'!$N$7,'Flujo de Fondos'!$N$6)</f>
        <v>0.21837808488358565</v>
      </c>
      <c r="H20" s="66">
        <v>29.93</v>
      </c>
      <c r="I20" s="81">
        <f>myParidad('Flujo de Fondos'!$T$5,$A20,H20,'Flujo de Fondos'!$T$7,'Flujo de Fondos'!$T$6)</f>
        <v>0.2989570184890622</v>
      </c>
      <c r="J20" s="66">
        <v>25.202000000000002</v>
      </c>
      <c r="K20" s="81">
        <f>myParidad('Flujo de Fondos'!$B$34,$A20,J20,'Flujo de Fondos'!$B$36,'Flujo de Fondos'!$B$35)</f>
        <v>0.24944440113214583</v>
      </c>
      <c r="L20" s="64">
        <v>32</v>
      </c>
      <c r="M20" s="81">
        <f>myParidad('Flujo de Fondos'!$H$34,'Paridad usd'!$A20,'Paridad usd'!L20,'Flujo de Fondos'!$H$36,'Flujo de Fondos'!$H$35)</f>
        <v>0.31963329741563618</v>
      </c>
      <c r="N20" s="66">
        <v>27.7</v>
      </c>
      <c r="O20" s="81">
        <f>myParidad('Flujo de Fondos'!$N$34,$A20,N20,'Flujo de Fondos'!$N$36,'Flujo de Fondos'!$N$35)</f>
        <v>0.27668257307541005</v>
      </c>
      <c r="P20" s="65">
        <f t="shared" si="0"/>
        <v>3.4302789285003993E-2</v>
      </c>
      <c r="Q20" s="65">
        <f t="shared" si="1"/>
        <v>3.0727976109678312E-2</v>
      </c>
      <c r="R20" s="65">
        <f t="shared" si="2"/>
        <v>-6.6952423247046533E-2</v>
      </c>
      <c r="S20" s="65">
        <f t="shared" si="3"/>
        <v>-2.4001698906820412E-2</v>
      </c>
      <c r="T20" s="65">
        <f t="shared" si="4"/>
        <v>6.7262772028578999E-3</v>
      </c>
      <c r="U20" s="65">
        <f t="shared" si="5"/>
        <v>-5.8304488191824405E-2</v>
      </c>
      <c r="V20" s="65">
        <f t="shared" si="6"/>
        <v>-3.1066316248560183E-2</v>
      </c>
      <c r="W20" s="65">
        <f t="shared" si="7"/>
        <v>3.2364730364438099E-3</v>
      </c>
      <c r="X20" s="65">
        <f t="shared" si="8"/>
        <v>8.0578933605476549E-2</v>
      </c>
      <c r="Y20" s="73">
        <f t="shared" si="9"/>
        <v>-0.10125521253205053</v>
      </c>
    </row>
    <row r="21" spans="1:25" s="67" customFormat="1" x14ac:dyDescent="0.25">
      <c r="A21" s="63">
        <v>45085</v>
      </c>
      <c r="B21" s="64">
        <v>26</v>
      </c>
      <c r="C21" s="81">
        <f>myParidad('Flujo de Fondos'!$B$5,A21,B21,'Flujo de Fondos'!$B$7,'Flujo de Fondos'!$B$6)</f>
        <v>0.2576423956127491</v>
      </c>
      <c r="D21" s="64">
        <v>28.913</v>
      </c>
      <c r="E21" s="85">
        <f>myParidad('Flujo de Fondos'!$H$5,$A21,D21,'Flujo de Fondos'!$H$7,'Flujo de Fondos'!$H$6)</f>
        <v>0.28650825324428519</v>
      </c>
      <c r="F21" s="64">
        <v>23.355</v>
      </c>
      <c r="G21" s="81">
        <f>myParidad('Flujo de Fondos'!$N$5,$A21,F21,'Flujo de Fondos'!$N$7,'Flujo de Fondos'!$N$6)</f>
        <v>0.22040994415141174</v>
      </c>
      <c r="H21" s="66">
        <v>29.72</v>
      </c>
      <c r="I21" s="81">
        <f>myParidad('Flujo de Fondos'!$T$5,$A21,H21,'Flujo de Fondos'!$T$7,'Flujo de Fondos'!$T$6)</f>
        <v>0.29686044045509585</v>
      </c>
      <c r="J21" s="66">
        <v>25.8</v>
      </c>
      <c r="K21" s="81">
        <f>myParidad('Flujo de Fondos'!$B$34,$A21,J21,'Flujo de Fondos'!$B$36,'Flujo de Fondos'!$B$35)</f>
        <v>0.25537107719842989</v>
      </c>
      <c r="L21" s="64">
        <v>32.1</v>
      </c>
      <c r="M21" s="81">
        <f>myParidad('Flujo de Fondos'!$H$34,'Paridad usd'!$A21,'Paridad usd'!L21,'Flujo de Fondos'!$H$36,'Flujo de Fondos'!$H$35)</f>
        <v>0.32063324827081352</v>
      </c>
      <c r="N21" s="66">
        <v>28.15</v>
      </c>
      <c r="O21" s="81">
        <f>myParidad('Flujo de Fondos'!$N$34,$A21,N21,'Flujo de Fondos'!$N$36,'Flujo de Fondos'!$N$35)</f>
        <v>0.28117837815649221</v>
      </c>
      <c r="P21" s="65">
        <f t="shared" si="0"/>
        <v>3.7232451461337357E-2</v>
      </c>
      <c r="Q21" s="65">
        <f t="shared" si="1"/>
        <v>2.8865857631536096E-2</v>
      </c>
      <c r="R21" s="65">
        <f t="shared" si="2"/>
        <v>-6.2990852658064422E-2</v>
      </c>
      <c r="S21" s="65">
        <f t="shared" si="3"/>
        <v>-2.3535982543743117E-2</v>
      </c>
      <c r="T21" s="65">
        <f t="shared" si="4"/>
        <v>5.329875087792979E-3</v>
      </c>
      <c r="U21" s="65">
        <f t="shared" si="5"/>
        <v>-6.0768434005080474E-2</v>
      </c>
      <c r="V21" s="65">
        <f t="shared" si="6"/>
        <v>-3.4961133047018145E-2</v>
      </c>
      <c r="W21" s="65">
        <f t="shared" si="7"/>
        <v>2.2713184143192122E-3</v>
      </c>
      <c r="X21" s="65">
        <f t="shared" si="8"/>
        <v>7.6450496303684112E-2</v>
      </c>
      <c r="Y21" s="73">
        <f t="shared" si="9"/>
        <v>-0.10022330411940178</v>
      </c>
    </row>
    <row r="22" spans="1:25" s="67" customFormat="1" x14ac:dyDescent="0.25">
      <c r="A22" s="63">
        <v>45084</v>
      </c>
      <c r="B22" s="64">
        <v>25.4</v>
      </c>
      <c r="C22" s="81">
        <f>myParidad('Flujo de Fondos'!$B$5,A22,B22,'Flujo de Fondos'!$B$7,'Flujo de Fondos'!$B$6)</f>
        <v>0.25170363532701651</v>
      </c>
      <c r="D22" s="64">
        <v>29.4</v>
      </c>
      <c r="E22" s="85">
        <f>myParidad('Flujo de Fondos'!$H$5,$A22,D22,'Flujo de Fondos'!$H$7,'Flujo de Fondos'!$H$6)</f>
        <v>0.29134200309505059</v>
      </c>
      <c r="F22" s="64">
        <v>23.5</v>
      </c>
      <c r="G22" s="81">
        <f>myParidad('Flujo de Fondos'!$N$5,$A22,F22,'Flujo de Fondos'!$N$7,'Flujo de Fondos'!$N$6)</f>
        <v>0.22178123101188091</v>
      </c>
      <c r="H22" s="66">
        <v>30.1</v>
      </c>
      <c r="I22" s="81">
        <f>myParidad('Flujo de Fondos'!$T$5,$A22,H22,'Flujo de Fondos'!$T$7,'Flujo de Fondos'!$T$6)</f>
        <v>0.3006571273171349</v>
      </c>
      <c r="J22" s="66">
        <v>24.811</v>
      </c>
      <c r="K22" s="81">
        <f>myParidad('Flujo de Fondos'!$B$34,$A22,J22,'Flujo de Fondos'!$B$36,'Flujo de Fondos'!$B$35)</f>
        <v>0.2455893449763896</v>
      </c>
      <c r="L22" s="64">
        <v>32.479999999999997</v>
      </c>
      <c r="M22" s="81">
        <f>myParidad('Flujo de Fondos'!$H$34,'Paridad usd'!$A22,'Paridad usd'!L22,'Flujo de Fondos'!$H$36,'Flujo de Fondos'!$H$35)</f>
        <v>0.32443001645383857</v>
      </c>
      <c r="N22" s="66">
        <v>27.600999999999999</v>
      </c>
      <c r="O22" s="81">
        <f>myParidad('Flujo de Fondos'!$N$34,$A22,N22,'Flujo de Fondos'!$N$36,'Flujo de Fondos'!$N$35)</f>
        <v>0.27569559372359603</v>
      </c>
      <c r="P22" s="65">
        <f t="shared" si="0"/>
        <v>2.9922404315135598E-2</v>
      </c>
      <c r="Q22" s="65">
        <f t="shared" si="1"/>
        <v>3.9638367768034088E-2</v>
      </c>
      <c r="R22" s="65">
        <f t="shared" si="2"/>
        <v>-7.2726381126822059E-2</v>
      </c>
      <c r="S22" s="65">
        <f t="shared" si="3"/>
        <v>-2.3991958396579527E-2</v>
      </c>
      <c r="T22" s="65">
        <f t="shared" si="4"/>
        <v>1.5646409371454562E-2</v>
      </c>
      <c r="U22" s="65">
        <f t="shared" si="5"/>
        <v>-5.3914362711715125E-2</v>
      </c>
      <c r="V22" s="65">
        <f t="shared" si="6"/>
        <v>-2.3808113964508687E-2</v>
      </c>
      <c r="W22" s="65">
        <f t="shared" si="7"/>
        <v>6.1142903506269108E-3</v>
      </c>
      <c r="X22" s="65">
        <f t="shared" si="8"/>
        <v>7.887589630525399E-2</v>
      </c>
      <c r="Y22" s="73">
        <f t="shared" si="9"/>
        <v>-0.10264878544195766</v>
      </c>
    </row>
    <row r="23" spans="1:25" s="67" customFormat="1" x14ac:dyDescent="0.25">
      <c r="A23" s="63">
        <v>45083</v>
      </c>
      <c r="B23" s="64">
        <v>24.6</v>
      </c>
      <c r="C23" s="81">
        <f>myParidad('Flujo de Fondos'!$B$5,A23,B23,'Flujo de Fondos'!$B$7,'Flujo de Fondos'!$B$6)</f>
        <v>0.24378258036490011</v>
      </c>
      <c r="D23" s="64">
        <v>29</v>
      </c>
      <c r="E23" s="85">
        <f>myParidad('Flujo de Fondos'!$H$5,$A23,D23,'Flujo de Fondos'!$H$7,'Flujo de Fondos'!$H$6)</f>
        <v>0.28738596872284972</v>
      </c>
      <c r="F23" s="64">
        <v>22.87</v>
      </c>
      <c r="G23" s="81">
        <f>myParidad('Flujo de Fondos'!$N$5,$A23,F23,'Flujo de Fondos'!$N$7,'Flujo de Fondos'!$N$6)</f>
        <v>0.21583839689722042</v>
      </c>
      <c r="H23" s="66">
        <v>29.5</v>
      </c>
      <c r="I23" s="81">
        <f>myParidad('Flujo de Fondos'!$T$5,$A23,H23,'Flujo de Fondos'!$T$7,'Flujo de Fondos'!$T$6)</f>
        <v>0.2946649699656555</v>
      </c>
      <c r="J23" s="66">
        <v>24.3</v>
      </c>
      <c r="K23" s="81">
        <f>myParidad('Flujo de Fondos'!$B$34,$A23,J23,'Flujo de Fondos'!$B$36,'Flujo de Fondos'!$B$35)</f>
        <v>0.24053859818026496</v>
      </c>
      <c r="L23" s="64">
        <v>31.35</v>
      </c>
      <c r="M23" s="81">
        <f>myParidad('Flujo de Fondos'!$H$34,'Paridad usd'!$A23,'Paridad usd'!L23,'Flujo de Fondos'!$H$36,'Flujo de Fondos'!$H$35)</f>
        <v>0.31314395960756947</v>
      </c>
      <c r="N23" s="66">
        <v>27.75</v>
      </c>
      <c r="O23" s="81">
        <f>myParidad('Flujo de Fondos'!$N$34,$A23,N23,'Flujo de Fondos'!$N$36,'Flujo de Fondos'!$N$35)</f>
        <v>0.27718484462870985</v>
      </c>
      <c r="P23" s="65">
        <f t="shared" si="0"/>
        <v>2.7944183467679684E-2</v>
      </c>
      <c r="Q23" s="65">
        <f t="shared" si="1"/>
        <v>4.3603388357949607E-2</v>
      </c>
      <c r="R23" s="65">
        <f t="shared" si="2"/>
        <v>-6.9361379242669358E-2</v>
      </c>
      <c r="S23" s="65">
        <f t="shared" si="3"/>
        <v>-3.3402264263809739E-2</v>
      </c>
      <c r="T23" s="65">
        <f t="shared" si="4"/>
        <v>1.0201124094139868E-2</v>
      </c>
      <c r="U23" s="65">
        <f t="shared" si="5"/>
        <v>-6.1346447731489423E-2</v>
      </c>
      <c r="V23" s="65">
        <f t="shared" si="6"/>
        <v>-2.4700201283044537E-2</v>
      </c>
      <c r="W23" s="65">
        <f t="shared" si="7"/>
        <v>3.2439821846351469E-3</v>
      </c>
      <c r="X23" s="65">
        <f t="shared" si="8"/>
        <v>7.8826573068435074E-2</v>
      </c>
      <c r="Y23" s="73">
        <f t="shared" si="9"/>
        <v>-9.7305562710349042E-2</v>
      </c>
    </row>
    <row r="24" spans="1:25" s="67" customFormat="1" x14ac:dyDescent="0.25">
      <c r="A24" s="63">
        <v>45082</v>
      </c>
      <c r="B24" s="64">
        <v>24.48</v>
      </c>
      <c r="C24" s="81">
        <f>myParidad('Flujo de Fondos'!$B$5,A24,B24,'Flujo de Fondos'!$B$7,'Flujo de Fondos'!$B$6)</f>
        <v>0.24259998370937527</v>
      </c>
      <c r="D24" s="64">
        <v>27.99</v>
      </c>
      <c r="E24" s="85">
        <f>myParidad('Flujo de Fondos'!$H$5,$A24,D24,'Flujo de Fondos'!$H$7,'Flujo de Fondos'!$H$6)</f>
        <v>0.27738454019711656</v>
      </c>
      <c r="F24" s="64">
        <v>21.93</v>
      </c>
      <c r="G24" s="81">
        <f>myParidad('Flujo de Fondos'!$N$5,$A24,F24,'Flujo de Fondos'!$N$7,'Flujo de Fondos'!$N$6)</f>
        <v>0.20696970872280185</v>
      </c>
      <c r="H24" s="66">
        <v>28.4</v>
      </c>
      <c r="I24" s="81">
        <f>myParidad('Flujo de Fondos'!$T$5,$A24,H24,'Flujo de Fondos'!$T$7,'Flujo de Fondos'!$T$6)</f>
        <v>0.2836784330091574</v>
      </c>
      <c r="J24" s="66">
        <v>23.15</v>
      </c>
      <c r="K24" s="81">
        <f>myParidad('Flujo de Fondos'!$B$34,$A24,J24,'Flujo de Fondos'!$B$36,'Flujo de Fondos'!$B$35)</f>
        <v>0.22916207594438925</v>
      </c>
      <c r="L24" s="64">
        <v>29.5</v>
      </c>
      <c r="M24" s="81">
        <f>myParidad('Flujo de Fondos'!$H$34,'Paridad usd'!$A24,'Paridad usd'!L24,'Flujo de Fondos'!$H$36,'Flujo de Fondos'!$H$35)</f>
        <v>0.29466597794965294</v>
      </c>
      <c r="N24" s="66">
        <v>26.004000000000001</v>
      </c>
      <c r="O24" s="81">
        <f>myParidad('Flujo de Fondos'!$N$34,$A24,N24,'Flujo de Fondos'!$N$36,'Flujo de Fondos'!$N$35)</f>
        <v>0.25974556239331442</v>
      </c>
      <c r="P24" s="65">
        <f t="shared" si="0"/>
        <v>3.5630274986573424E-2</v>
      </c>
      <c r="Q24" s="65">
        <f t="shared" si="1"/>
        <v>3.4784556487741286E-2</v>
      </c>
      <c r="R24" s="65">
        <f t="shared" si="2"/>
        <v>-5.2065994240277663E-2</v>
      </c>
      <c r="S24" s="65">
        <f t="shared" si="3"/>
        <v>-1.714557868393915E-2</v>
      </c>
      <c r="T24" s="65">
        <f t="shared" si="4"/>
        <v>1.7638977803802136E-2</v>
      </c>
      <c r="U24" s="65">
        <f t="shared" si="5"/>
        <v>-5.2775853670512574E-2</v>
      </c>
      <c r="V24" s="65">
        <f t="shared" si="6"/>
        <v>-2.2192367221587406E-2</v>
      </c>
      <c r="W24" s="65">
        <f t="shared" si="7"/>
        <v>1.3437907764986018E-2</v>
      </c>
      <c r="X24" s="65">
        <f t="shared" si="8"/>
        <v>7.6708724286355556E-2</v>
      </c>
      <c r="Y24" s="73">
        <f t="shared" si="9"/>
        <v>-8.7696269226851087E-2</v>
      </c>
    </row>
    <row r="25" spans="1:25" s="67" customFormat="1" x14ac:dyDescent="0.25">
      <c r="A25" s="63">
        <v>45079</v>
      </c>
      <c r="B25" s="64">
        <v>23.55</v>
      </c>
      <c r="C25" s="81">
        <f>myParidad('Flujo de Fondos'!$B$5,A25,B25,'Flujo de Fondos'!$B$7,'Flujo de Fondos'!$B$6)</f>
        <v>0.23340257412838059</v>
      </c>
      <c r="D25" s="64">
        <v>27.75</v>
      </c>
      <c r="E25" s="85">
        <f>myParidad('Flujo de Fondos'!$H$5,$A25,D25,'Flujo de Fondos'!$H$7,'Flujo de Fondos'!$H$6)</f>
        <v>0.2750285109156077</v>
      </c>
      <c r="F25" s="64">
        <v>21.79</v>
      </c>
      <c r="G25" s="81">
        <f>myParidad('Flujo de Fondos'!$N$5,$A25,F25,'Flujo de Fondos'!$N$7,'Flujo de Fondos'!$N$6)</f>
        <v>0.20565640110671526</v>
      </c>
      <c r="H25" s="66">
        <v>28.05</v>
      </c>
      <c r="I25" s="81">
        <f>myParidad('Flujo de Fondos'!$T$5,$A25,H25,'Flujo de Fondos'!$T$7,'Flujo de Fondos'!$T$6)</f>
        <v>0.28018527133904381</v>
      </c>
      <c r="J25" s="66">
        <v>22.95</v>
      </c>
      <c r="K25" s="81">
        <f>myParidad('Flujo de Fondos'!$B$34,$A25,J25,'Flujo de Fondos'!$B$36,'Flujo de Fondos'!$B$35)</f>
        <v>0.2272030703300876</v>
      </c>
      <c r="L25" s="64">
        <v>29.4</v>
      </c>
      <c r="M25" s="81">
        <f>myParidad('Flujo de Fondos'!$H$34,'Paridad usd'!$A25,'Paridad usd'!L25,'Flujo de Fondos'!$H$36,'Flujo de Fondos'!$H$35)</f>
        <v>0.29367012397033465</v>
      </c>
      <c r="N25" s="66">
        <v>26.7</v>
      </c>
      <c r="O25" s="81">
        <f>myParidad('Flujo de Fondos'!$N$34,$A25,N25,'Flujo de Fondos'!$N$36,'Flujo de Fondos'!$N$35)</f>
        <v>0.26670041870775291</v>
      </c>
      <c r="P25" s="65">
        <f t="shared" si="0"/>
        <v>2.7746173021665321E-2</v>
      </c>
      <c r="Q25" s="65">
        <f t="shared" si="1"/>
        <v>4.1625936787227119E-2</v>
      </c>
      <c r="R25" s="65">
        <f t="shared" si="2"/>
        <v>-6.0267549841954066E-2</v>
      </c>
      <c r="S25" s="65">
        <f t="shared" si="3"/>
        <v>-3.3297844579372321E-2</v>
      </c>
      <c r="T25" s="65">
        <f t="shared" si="4"/>
        <v>8.3280922078547981E-3</v>
      </c>
      <c r="U25" s="65">
        <f t="shared" si="5"/>
        <v>-6.1044017601037642E-2</v>
      </c>
      <c r="V25" s="65">
        <f t="shared" si="6"/>
        <v>-2.1546669223372339E-2</v>
      </c>
      <c r="W25" s="65">
        <f t="shared" si="7"/>
        <v>6.1995037982929824E-3</v>
      </c>
      <c r="X25" s="65">
        <f t="shared" si="8"/>
        <v>7.4528870232328542E-2</v>
      </c>
      <c r="Y25" s="73">
        <f t="shared" si="9"/>
        <v>-8.8013722863619387E-2</v>
      </c>
    </row>
    <row r="26" spans="1:25" s="67" customFormat="1" x14ac:dyDescent="0.25">
      <c r="A26" s="63">
        <v>45078</v>
      </c>
      <c r="B26" s="64">
        <v>23.071999999999999</v>
      </c>
      <c r="C26" s="81">
        <f>myParidad('Flujo de Fondos'!$B$5,A26,B26,'Flujo de Fondos'!$B$7,'Flujo de Fondos'!$B$6)</f>
        <v>0.22867135525565482</v>
      </c>
      <c r="D26" s="64">
        <v>27.4</v>
      </c>
      <c r="E26" s="85">
        <f>myParidad('Flujo de Fondos'!$H$5,$A26,D26,'Flujo de Fondos'!$H$7,'Flujo de Fondos'!$H$6)</f>
        <v>0.27156705677899368</v>
      </c>
      <c r="F26" s="64">
        <v>21.99</v>
      </c>
      <c r="G26" s="81">
        <f>myParidad('Flujo de Fondos'!$N$5,$A26,F26,'Flujo de Fondos'!$N$7,'Flujo de Fondos'!$N$6)</f>
        <v>0.2075467063158575</v>
      </c>
      <c r="H26" s="66">
        <v>27.9</v>
      </c>
      <c r="I26" s="81">
        <f>myParidad('Flujo de Fondos'!$T$5,$A26,H26,'Flujo de Fondos'!$T$7,'Flujo de Fondos'!$T$6)</f>
        <v>0.27868790771977953</v>
      </c>
      <c r="J26" s="66">
        <v>22.8</v>
      </c>
      <c r="K26" s="81">
        <f>myParidad('Flujo de Fondos'!$B$34,$A26,J26,'Flujo de Fondos'!$B$36,'Flujo de Fondos'!$B$35)</f>
        <v>0.22572497058753727</v>
      </c>
      <c r="L26" s="64">
        <v>29.1</v>
      </c>
      <c r="M26" s="81">
        <f>myParidad('Flujo de Fondos'!$H$34,'Paridad usd'!$A26,'Paridad usd'!L26,'Flujo de Fondos'!$H$36,'Flujo de Fondos'!$H$35)</f>
        <v>0.2906744843958991</v>
      </c>
      <c r="N26" s="66">
        <v>26.838999999999999</v>
      </c>
      <c r="O26" s="81">
        <f>myParidad('Flujo de Fondos'!$N$34,$A26,N26,'Flujo de Fondos'!$N$36,'Flujo de Fondos'!$N$35)</f>
        <v>0.26808977617531049</v>
      </c>
      <c r="P26" s="65">
        <f t="shared" si="0"/>
        <v>2.1124648939797319E-2</v>
      </c>
      <c r="Q26" s="65">
        <f t="shared" si="1"/>
        <v>4.2895701523338853E-2</v>
      </c>
      <c r="R26" s="65">
        <f t="shared" si="2"/>
        <v>-6.2003129140244279E-2</v>
      </c>
      <c r="S26" s="65">
        <f t="shared" si="3"/>
        <v>-3.9418420919655667E-2</v>
      </c>
      <c r="T26" s="65">
        <f t="shared" si="4"/>
        <v>3.477280603683186E-3</v>
      </c>
      <c r="U26" s="65">
        <f t="shared" si="5"/>
        <v>-6.0543069859452986E-2</v>
      </c>
      <c r="V26" s="65">
        <f t="shared" si="6"/>
        <v>-1.8178264271679762E-2</v>
      </c>
      <c r="W26" s="65">
        <f t="shared" si="7"/>
        <v>2.9463846681175576E-3</v>
      </c>
      <c r="X26" s="65">
        <f t="shared" si="8"/>
        <v>7.1141201403922022E-2</v>
      </c>
      <c r="Y26" s="73">
        <f t="shared" si="9"/>
        <v>-8.3127778080041598E-2</v>
      </c>
    </row>
    <row r="27" spans="1:25" s="67" customFormat="1" x14ac:dyDescent="0.25">
      <c r="A27" s="63">
        <v>45077</v>
      </c>
      <c r="B27" s="64">
        <v>23.39</v>
      </c>
      <c r="C27" s="81">
        <f>myParidad('Flujo de Fondos'!$B$5,A27,B27,'Flujo de Fondos'!$B$7,'Flujo de Fondos'!$B$6)</f>
        <v>0.23182941400097756</v>
      </c>
      <c r="D27" s="64">
        <v>29</v>
      </c>
      <c r="E27" s="85">
        <f>myParidad('Flujo de Fondos'!$H$5,$A27,D27,'Flujo de Fondos'!$H$7,'Flujo de Fondos'!$H$6)</f>
        <v>0.28743279204909572</v>
      </c>
      <c r="F27" s="64">
        <v>21.82</v>
      </c>
      <c r="G27" s="81">
        <f>myParidad('Flujo de Fondos'!$N$5,$A27,F27,'Flujo de Fondos'!$N$7,'Flujo de Fondos'!$N$6)</f>
        <v>0.20594486967314854</v>
      </c>
      <c r="H27" s="66">
        <v>27.86</v>
      </c>
      <c r="I27" s="81">
        <f>myParidad('Flujo de Fondos'!$T$5,$A27,H27,'Flujo de Fondos'!$T$7,'Flujo de Fondos'!$T$6)</f>
        <v>0.27828930714339467</v>
      </c>
      <c r="J27" s="66">
        <v>23.5</v>
      </c>
      <c r="K27" s="81">
        <f>myParidad('Flujo de Fondos'!$B$34,$A27,J27,'Flujo de Fondos'!$B$36,'Flujo de Fondos'!$B$35)</f>
        <v>0.2326622227345779</v>
      </c>
      <c r="L27" s="64">
        <v>28.46</v>
      </c>
      <c r="M27" s="81">
        <f>myParidad('Flujo de Fondos'!$H$34,'Paridad usd'!$A27,'Paridad usd'!L27,'Flujo de Fondos'!$H$36,'Flujo de Fondos'!$H$35)</f>
        <v>0.28428261598352528</v>
      </c>
      <c r="N27" s="66">
        <v>25.510999999999999</v>
      </c>
      <c r="O27" s="81">
        <f>myParidad('Flujo de Fondos'!$N$34,$A27,N27,'Flujo de Fondos'!$N$36,'Flujo de Fondos'!$N$35)</f>
        <v>0.25482550303428364</v>
      </c>
      <c r="P27" s="65">
        <f t="shared" si="0"/>
        <v>2.5884544327829023E-2</v>
      </c>
      <c r="Q27" s="65">
        <f t="shared" si="1"/>
        <v>5.5603378048118157E-2</v>
      </c>
      <c r="R27" s="65">
        <f t="shared" si="2"/>
        <v>-5.2453201982547715E-2</v>
      </c>
      <c r="S27" s="65">
        <f t="shared" si="3"/>
        <v>-2.2996089033306077E-2</v>
      </c>
      <c r="T27" s="65">
        <f t="shared" si="4"/>
        <v>3.260728901481208E-2</v>
      </c>
      <c r="U27" s="65">
        <f t="shared" si="5"/>
        <v>-4.8880633361135101E-2</v>
      </c>
      <c r="V27" s="65">
        <f t="shared" si="6"/>
        <v>-2.6717353061429361E-2</v>
      </c>
      <c r="W27" s="65">
        <f t="shared" si="7"/>
        <v>-8.3280873360033758E-4</v>
      </c>
      <c r="X27" s="65">
        <f t="shared" si="8"/>
        <v>7.2344437470246131E-2</v>
      </c>
      <c r="Y27" s="73">
        <f t="shared" si="9"/>
        <v>-7.8337746310376738E-2</v>
      </c>
    </row>
    <row r="28" spans="1:25" s="67" customFormat="1" x14ac:dyDescent="0.25">
      <c r="A28" s="63">
        <v>45076</v>
      </c>
      <c r="B28" s="64">
        <v>23.24</v>
      </c>
      <c r="C28" s="81">
        <f>myParidad('Flujo de Fondos'!$B$5,A28,B28,'Flujo de Fondos'!$B$7,'Flujo de Fondos'!$B$6)</f>
        <v>0.23034894772572978</v>
      </c>
      <c r="D28" s="64">
        <v>28.49</v>
      </c>
      <c r="E28" s="85">
        <f>myParidad('Flujo de Fondos'!$H$5,$A28,D28,'Flujo de Fondos'!$H$7,'Flujo de Fondos'!$H$6)</f>
        <v>0.28238560760353021</v>
      </c>
      <c r="F28" s="64">
        <v>22.02</v>
      </c>
      <c r="G28" s="81">
        <f>myParidad('Flujo de Fondos'!$N$5,$A28,F28,'Flujo de Fondos'!$N$7,'Flujo de Fondos'!$N$6)</f>
        <v>0.20783522749311509</v>
      </c>
      <c r="H28" s="66">
        <v>28.4</v>
      </c>
      <c r="I28" s="81">
        <f>myParidad('Flujo de Fondos'!$T$5,$A28,H28,'Flujo de Fondos'!$T$7,'Flujo de Fondos'!$T$6)</f>
        <v>0.28368425553750104</v>
      </c>
      <c r="J28" s="66">
        <v>23.2</v>
      </c>
      <c r="K28" s="81">
        <f>myParidad('Flujo de Fondos'!$B$34,$A28,J28,'Flujo de Fondos'!$B$36,'Flujo de Fondos'!$B$35)</f>
        <v>0.2296990760362804</v>
      </c>
      <c r="L28" s="64">
        <v>28.89</v>
      </c>
      <c r="M28" s="81">
        <f>myParidad('Flujo de Fondos'!$H$34,'Paridad usd'!$A28,'Paridad usd'!L28,'Flujo de Fondos'!$H$36,'Flujo de Fondos'!$H$35)</f>
        <v>0.28857880783374668</v>
      </c>
      <c r="N28" s="66">
        <v>24.71</v>
      </c>
      <c r="O28" s="81">
        <f>myParidad('Flujo de Fondos'!$N$34,$A28,N28,'Flujo de Fondos'!$N$36,'Flujo de Fondos'!$N$35)</f>
        <v>0.24682528008210042</v>
      </c>
      <c r="P28" s="65">
        <f t="shared" si="0"/>
        <v>2.2513720232614692E-2</v>
      </c>
      <c r="Q28" s="65">
        <f t="shared" si="1"/>
        <v>5.2036659877800429E-2</v>
      </c>
      <c r="R28" s="65">
        <f t="shared" si="2"/>
        <v>-5.8229860108016895E-2</v>
      </c>
      <c r="S28" s="65">
        <f t="shared" si="3"/>
        <v>-1.6476332356370638E-2</v>
      </c>
      <c r="T28" s="65">
        <f t="shared" si="4"/>
        <v>3.5560327521429791E-2</v>
      </c>
      <c r="U28" s="65">
        <f t="shared" si="5"/>
        <v>-3.899005258898533E-2</v>
      </c>
      <c r="V28" s="65">
        <f t="shared" si="6"/>
        <v>-2.186384854316531E-2</v>
      </c>
      <c r="W28" s="65">
        <f t="shared" si="7"/>
        <v>6.4987168944938278E-4</v>
      </c>
      <c r="X28" s="65">
        <f t="shared" si="8"/>
        <v>7.5849028044385952E-2</v>
      </c>
      <c r="Y28" s="73">
        <f t="shared" si="9"/>
        <v>-8.0743580340631588E-2</v>
      </c>
    </row>
    <row r="29" spans="1:25" s="67" customFormat="1" x14ac:dyDescent="0.25">
      <c r="A29" s="63">
        <v>45075</v>
      </c>
      <c r="B29" s="64">
        <v>23.24</v>
      </c>
      <c r="C29" s="81">
        <f>myParidad('Flujo de Fondos'!$B$5,A29,B29,'Flujo de Fondos'!$B$7,'Flujo de Fondos'!$B$6)</f>
        <v>0.2303552031283945</v>
      </c>
      <c r="D29" s="64">
        <v>28.31</v>
      </c>
      <c r="E29" s="85">
        <f>myParidad('Flujo de Fondos'!$H$5,$A29,D29,'Flujo de Fondos'!$H$7,'Flujo de Fondos'!$H$6)</f>
        <v>0.28060911362155116</v>
      </c>
      <c r="F29" s="64">
        <v>22.09</v>
      </c>
      <c r="G29" s="81">
        <f>myParidad('Flujo de Fondos'!$N$5,$A29,F29,'Flujo de Fondos'!$N$7,'Flujo de Fondos'!$N$6)</f>
        <v>0.20849861653435392</v>
      </c>
      <c r="H29" s="66">
        <v>28.4</v>
      </c>
      <c r="I29" s="81">
        <f>myParidad('Flujo de Fondos'!$T$5,$A29,H29,'Flujo de Fondos'!$T$7,'Flujo de Fondos'!$T$6)</f>
        <v>0.28368522598212942</v>
      </c>
      <c r="J29" s="66">
        <v>23.4</v>
      </c>
      <c r="K29" s="81">
        <f>myParidad('Flujo de Fondos'!$B$34,$A29,J29,'Flujo de Fondos'!$B$36,'Flujo de Fondos'!$B$35)</f>
        <v>0.23168631067829482</v>
      </c>
      <c r="L29" s="64">
        <v>29</v>
      </c>
      <c r="M29" s="81">
        <f>myParidad('Flujo de Fondos'!$H$34,'Paridad usd'!$A29,'Paridad usd'!L29,'Flujo de Fondos'!$H$36,'Flujo de Fondos'!$H$35)</f>
        <v>0.28967857582682227</v>
      </c>
      <c r="N29" s="66">
        <v>24.45</v>
      </c>
      <c r="O29" s="81">
        <f>myParidad('Flujo de Fondos'!$N$34,$A29,N29,'Flujo de Fondos'!$N$36,'Flujo de Fondos'!$N$35)</f>
        <v>0.24422900617123466</v>
      </c>
      <c r="P29" s="65">
        <f t="shared" si="0"/>
        <v>2.1856586594040578E-2</v>
      </c>
      <c r="Q29" s="65">
        <f t="shared" si="1"/>
        <v>5.0253910493156667E-2</v>
      </c>
      <c r="R29" s="65">
        <f t="shared" si="2"/>
        <v>-5.9323372698427773E-2</v>
      </c>
      <c r="S29" s="65">
        <f t="shared" si="3"/>
        <v>-1.3873803042840166E-2</v>
      </c>
      <c r="T29" s="65">
        <f t="shared" si="4"/>
        <v>3.6380107450316501E-2</v>
      </c>
      <c r="U29" s="65">
        <f t="shared" si="5"/>
        <v>-3.5730389636880744E-2</v>
      </c>
      <c r="V29" s="65">
        <f t="shared" si="6"/>
        <v>-2.3187694143940896E-2</v>
      </c>
      <c r="W29" s="65">
        <f t="shared" si="7"/>
        <v>-1.3311075499003178E-3</v>
      </c>
      <c r="X29" s="65">
        <f t="shared" si="8"/>
        <v>7.5186609447775499E-2</v>
      </c>
      <c r="Y29" s="73">
        <f t="shared" si="9"/>
        <v>-8.1179959292468351E-2</v>
      </c>
    </row>
    <row r="30" spans="1:25" s="67" customFormat="1" x14ac:dyDescent="0.25">
      <c r="A30" s="63">
        <v>45070</v>
      </c>
      <c r="B30" s="64">
        <v>22.661000000000001</v>
      </c>
      <c r="C30" s="81">
        <f>myParidad('Flujo de Fondos'!$B$5,A30,B30,'Flujo de Fondos'!$B$7,'Flujo de Fondos'!$B$6)</f>
        <v>0.22464664982753471</v>
      </c>
      <c r="D30" s="64">
        <v>27.3</v>
      </c>
      <c r="E30" s="85">
        <f>myParidad('Flujo de Fondos'!$H$5,$A30,D30,'Flujo de Fondos'!$H$7,'Flujo de Fondos'!$H$6)</f>
        <v>0.27063472663570443</v>
      </c>
      <c r="F30" s="64">
        <v>22.04</v>
      </c>
      <c r="G30" s="81">
        <f>myParidad('Flujo de Fondos'!$N$5,$A30,F30,'Flujo de Fondos'!$N$7,'Flujo de Fondos'!$N$6)</f>
        <v>0.20804013602803315</v>
      </c>
      <c r="H30" s="66">
        <v>28.18</v>
      </c>
      <c r="I30" s="81">
        <f>myParidad('Flujo de Fondos'!$T$5,$A30,H30,'Flujo de Fondos'!$T$7,'Flujo de Fondos'!$T$6)</f>
        <v>0.28149247910672931</v>
      </c>
      <c r="J30" s="66">
        <v>23.3</v>
      </c>
      <c r="K30" s="81">
        <f>myParidad('Flujo de Fondos'!$B$34,$A30,J30,'Flujo de Fondos'!$B$36,'Flujo de Fondos'!$B$35)</f>
        <v>0.230731404580308</v>
      </c>
      <c r="L30" s="64">
        <v>28.1</v>
      </c>
      <c r="M30" s="81">
        <f>myParidad('Flujo de Fondos'!$H$34,'Paridad usd'!$A30,'Paridad usd'!L30,'Flujo de Fondos'!$H$36,'Flujo de Fondos'!$H$35)</f>
        <v>0.28069335212558882</v>
      </c>
      <c r="N30" s="66">
        <v>25</v>
      </c>
      <c r="O30" s="81">
        <f>myParidad('Flujo de Fondos'!$N$34,$A30,N30,'Flujo de Fondos'!$N$36,'Flujo de Fondos'!$N$35)</f>
        <v>0.24972718160639576</v>
      </c>
      <c r="P30" s="65">
        <f t="shared" si="0"/>
        <v>1.6606513799501565E-2</v>
      </c>
      <c r="Q30" s="65">
        <f t="shared" si="1"/>
        <v>4.5988076808169714E-2</v>
      </c>
      <c r="R30" s="65">
        <f t="shared" si="2"/>
        <v>-5.6046702298054113E-2</v>
      </c>
      <c r="S30" s="65">
        <f t="shared" si="3"/>
        <v>-2.5080531778861048E-2</v>
      </c>
      <c r="T30" s="65">
        <f t="shared" si="4"/>
        <v>2.0907545029308666E-2</v>
      </c>
      <c r="U30" s="65">
        <f t="shared" si="5"/>
        <v>-4.1687045578362614E-2</v>
      </c>
      <c r="V30" s="65">
        <f t="shared" si="6"/>
        <v>-2.2691268552274851E-2</v>
      </c>
      <c r="W30" s="65">
        <f t="shared" si="7"/>
        <v>-6.0847547527732859E-3</v>
      </c>
      <c r="X30" s="65">
        <f t="shared" si="8"/>
        <v>7.3452343078696164E-2</v>
      </c>
      <c r="Y30" s="73">
        <f t="shared" si="9"/>
        <v>-7.2653216097555678E-2</v>
      </c>
    </row>
    <row r="31" spans="1:25" s="67" customFormat="1" x14ac:dyDescent="0.25">
      <c r="A31" s="63">
        <v>45069</v>
      </c>
      <c r="B31" s="64">
        <v>23.2</v>
      </c>
      <c r="C31" s="81">
        <f>myParidad('Flujo de Fondos'!$B$5,A31,B31,'Flujo de Fondos'!$B$7,'Flujo de Fondos'!$B$6)</f>
        <v>0.22999619751208647</v>
      </c>
      <c r="D31" s="64">
        <v>27.158000000000001</v>
      </c>
      <c r="E31" s="85">
        <f>myParidad('Flujo de Fondos'!$H$5,$A31,D31,'Flujo de Fondos'!$H$7,'Flujo de Fondos'!$H$6)</f>
        <v>0.26923434189798467</v>
      </c>
      <c r="F31" s="64">
        <v>22.16</v>
      </c>
      <c r="G31" s="81">
        <f>myParidad('Flujo de Fondos'!$N$5,$A31,F31,'Flujo de Fondos'!$N$7,'Flujo de Fondos'!$N$6)</f>
        <v>0.20917554567083893</v>
      </c>
      <c r="H31" s="66">
        <v>27.87</v>
      </c>
      <c r="I31" s="81">
        <f>myParidad('Flujo de Fondos'!$T$5,$A31,H31,'Flujo de Fondos'!$T$7,'Flujo de Fondos'!$T$6)</f>
        <v>0.27839681442812281</v>
      </c>
      <c r="J31" s="66">
        <v>23.11</v>
      </c>
      <c r="K31" s="81">
        <f>myParidad('Flujo de Fondos'!$B$34,$A31,J31,'Flujo de Fondos'!$B$36,'Flujo de Fondos'!$B$35)</f>
        <v>0.22885688898535586</v>
      </c>
      <c r="L31" s="64">
        <v>28.699000000000002</v>
      </c>
      <c r="M31" s="81">
        <f>myParidad('Flujo de Fondos'!$H$34,'Paridad usd'!$A31,'Paridad usd'!L31,'Flujo de Fondos'!$H$36,'Flujo de Fondos'!$H$35)</f>
        <v>0.28667779609876914</v>
      </c>
      <c r="N31" s="66">
        <v>25.52</v>
      </c>
      <c r="O31" s="81">
        <f>myParidad('Flujo de Fondos'!$N$34,$A31,N31,'Flujo de Fondos'!$N$36,'Flujo de Fondos'!$N$35)</f>
        <v>0.25492237905294918</v>
      </c>
      <c r="P31" s="65">
        <f t="shared" si="0"/>
        <v>2.0820651841247539E-2</v>
      </c>
      <c r="Q31" s="65">
        <f t="shared" si="1"/>
        <v>3.9238144385898205E-2</v>
      </c>
      <c r="R31" s="65">
        <f t="shared" si="2"/>
        <v>-5.6681598586682674E-2</v>
      </c>
      <c r="S31" s="65">
        <f t="shared" si="3"/>
        <v>-2.4926181540862707E-2</v>
      </c>
      <c r="T31" s="65">
        <f t="shared" si="4"/>
        <v>1.4311962845035497E-2</v>
      </c>
      <c r="U31" s="65">
        <f t="shared" si="5"/>
        <v>-4.5746833382110247E-2</v>
      </c>
      <c r="V31" s="65">
        <f t="shared" si="6"/>
        <v>-1.968134331451693E-2</v>
      </c>
      <c r="W31" s="65">
        <f t="shared" si="7"/>
        <v>1.1393085267306091E-3</v>
      </c>
      <c r="X31" s="65">
        <f t="shared" si="8"/>
        <v>6.9221268757283877E-2</v>
      </c>
      <c r="Y31" s="73">
        <f t="shared" si="9"/>
        <v>-7.7502250427930214E-2</v>
      </c>
    </row>
    <row r="32" spans="1:25" s="67" customFormat="1" x14ac:dyDescent="0.25">
      <c r="A32" s="63">
        <v>45068</v>
      </c>
      <c r="B32" s="64">
        <v>23.3</v>
      </c>
      <c r="C32" s="81">
        <f>myParidad('Flujo de Fondos'!$B$5,A32,B32,'Flujo de Fondos'!$B$7,'Flujo de Fondos'!$B$6)</f>
        <v>0.23099383436999213</v>
      </c>
      <c r="D32" s="64">
        <v>27.29</v>
      </c>
      <c r="E32" s="85">
        <f>myParidad('Flujo de Fondos'!$H$5,$A32,D32,'Flujo de Fondos'!$H$7,'Flujo de Fondos'!$H$6)</f>
        <v>0.27055028926854441</v>
      </c>
      <c r="F32" s="64">
        <v>22.22</v>
      </c>
      <c r="G32" s="81">
        <f>myParidad('Flujo de Fondos'!$N$5,$A32,F32,'Flujo de Fondos'!$N$7,'Flujo de Fondos'!$N$6)</f>
        <v>0.20974461757289711</v>
      </c>
      <c r="H32" s="66">
        <v>27.79</v>
      </c>
      <c r="I32" s="81">
        <f>myParidad('Flujo de Fondos'!$T$5,$A32,H32,'Flujo de Fondos'!$T$7,'Flujo de Fondos'!$T$6)</f>
        <v>0.27759863435927434</v>
      </c>
      <c r="J32" s="66">
        <v>23.5</v>
      </c>
      <c r="K32" s="81">
        <f>myParidad('Flujo de Fondos'!$B$34,$A32,J32,'Flujo de Fondos'!$B$36,'Flujo de Fondos'!$B$35)</f>
        <v>0.23272613810949863</v>
      </c>
      <c r="L32" s="64">
        <v>27.76</v>
      </c>
      <c r="M32" s="81">
        <f>myParidad('Flujo de Fondos'!$H$34,'Paridad usd'!$A32,'Paridad usd'!L32,'Flujo de Fondos'!$H$36,'Flujo de Fondos'!$H$35)</f>
        <v>0.27729895969102036</v>
      </c>
      <c r="N32" s="66">
        <v>24.951000000000001</v>
      </c>
      <c r="O32" s="81">
        <f>myParidad('Flujo de Fondos'!$N$34,$A32,N32,'Flujo de Fondos'!$N$36,'Flujo de Fondos'!$N$35)</f>
        <v>0.24923942158683896</v>
      </c>
      <c r="P32" s="65">
        <f t="shared" si="0"/>
        <v>2.1249216797095016E-2</v>
      </c>
      <c r="Q32" s="65">
        <f t="shared" si="1"/>
        <v>3.9556454898552279E-2</v>
      </c>
      <c r="R32" s="65">
        <f t="shared" si="2"/>
        <v>-4.6305125321028234E-2</v>
      </c>
      <c r="S32" s="65">
        <f t="shared" si="3"/>
        <v>-1.8245587216846826E-2</v>
      </c>
      <c r="T32" s="65">
        <f t="shared" si="4"/>
        <v>2.1310867681705453E-2</v>
      </c>
      <c r="U32" s="65">
        <f t="shared" si="5"/>
        <v>-3.9494804013941842E-2</v>
      </c>
      <c r="V32" s="65">
        <f t="shared" si="6"/>
        <v>-2.2981520536601519E-2</v>
      </c>
      <c r="W32" s="65">
        <f t="shared" si="7"/>
        <v>-1.7323037395065022E-3</v>
      </c>
      <c r="X32" s="65">
        <f t="shared" si="8"/>
        <v>6.785401678637723E-2</v>
      </c>
      <c r="Y32" s="73">
        <f t="shared" si="9"/>
        <v>-6.7554342118123251E-2</v>
      </c>
    </row>
    <row r="33" spans="1:26" s="67" customFormat="1" x14ac:dyDescent="0.25">
      <c r="A33" s="63">
        <v>45065</v>
      </c>
      <c r="B33" s="64">
        <v>23.2</v>
      </c>
      <c r="C33" s="81">
        <f>myParidad('Flujo de Fondos'!$B$5,A33,B33,'Flujo de Fondos'!$B$7,'Flujo de Fondos'!$B$6)</f>
        <v>0.23002118759167708</v>
      </c>
      <c r="D33" s="64">
        <v>27.010999999999999</v>
      </c>
      <c r="E33" s="85">
        <f>myParidad('Flujo de Fondos'!$H$5,$A33,D33,'Flujo de Fondos'!$H$7,'Flujo de Fondos'!$H$6)</f>
        <v>0.26780613353615473</v>
      </c>
      <c r="F33" s="64">
        <v>22.19</v>
      </c>
      <c r="G33" s="81">
        <f>myParidad('Flujo de Fondos'!$N$5,$A33,F33,'Flujo de Fondos'!$N$7,'Flujo de Fondos'!$N$6)</f>
        <v>0.2094695598199969</v>
      </c>
      <c r="H33" s="66">
        <v>27.62</v>
      </c>
      <c r="I33" s="81">
        <f>myParidad('Flujo de Fondos'!$T$5,$A33,H33,'Flujo de Fondos'!$T$7,'Flujo de Fondos'!$T$6)</f>
        <v>0.27590330945490127</v>
      </c>
      <c r="J33" s="66">
        <v>23.1</v>
      </c>
      <c r="K33" s="81">
        <f>myParidad('Flujo de Fondos'!$B$34,$A33,J33,'Flujo de Fondos'!$B$36,'Flujo de Fondos'!$B$35)</f>
        <v>0.22878579229782992</v>
      </c>
      <c r="L33" s="64">
        <v>27.6</v>
      </c>
      <c r="M33" s="81">
        <f>myParidad('Flujo de Fondos'!$H$34,'Paridad usd'!$A33,'Paridad usd'!L33,'Flujo de Fondos'!$H$36,'Flujo de Fondos'!$H$35)</f>
        <v>0.27570352429237055</v>
      </c>
      <c r="N33" s="66">
        <v>24.7</v>
      </c>
      <c r="O33" s="81">
        <f>myParidad('Flujo de Fondos'!$N$34,$A33,N33,'Flujo de Fondos'!$N$36,'Flujo de Fondos'!$N$35)</f>
        <v>0.24673467572541855</v>
      </c>
      <c r="P33" s="65">
        <f t="shared" si="0"/>
        <v>2.0551627771680181E-2</v>
      </c>
      <c r="Q33" s="65">
        <f t="shared" si="1"/>
        <v>3.7784945944477649E-2</v>
      </c>
      <c r="R33" s="65">
        <f t="shared" si="2"/>
        <v>-4.5682336700693466E-2</v>
      </c>
      <c r="S33" s="65">
        <f t="shared" si="3"/>
        <v>-1.6713488133741461E-2</v>
      </c>
      <c r="T33" s="65">
        <f t="shared" si="4"/>
        <v>2.1071457810736188E-2</v>
      </c>
      <c r="U33" s="65">
        <f t="shared" si="5"/>
        <v>-3.7265115905421642E-2</v>
      </c>
      <c r="V33" s="65">
        <f t="shared" si="6"/>
        <v>-1.9316232477833012E-2</v>
      </c>
      <c r="W33" s="65">
        <f t="shared" si="7"/>
        <v>1.2353952938471691E-3</v>
      </c>
      <c r="X33" s="65">
        <f t="shared" si="8"/>
        <v>6.6433749634904365E-2</v>
      </c>
      <c r="Y33" s="73">
        <f t="shared" si="9"/>
        <v>-6.6233964472373646E-2</v>
      </c>
    </row>
    <row r="34" spans="1:26" s="67" customFormat="1" x14ac:dyDescent="0.25">
      <c r="A34" s="63">
        <v>45064</v>
      </c>
      <c r="B34" s="64">
        <v>22.707999999999998</v>
      </c>
      <c r="C34" s="81">
        <f>myParidad('Flujo de Fondos'!$B$5,A34,B34,'Flujo de Fondos'!$B$7,'Flujo de Fondos'!$B$6)</f>
        <v>0.2251492679216581</v>
      </c>
      <c r="D34" s="64">
        <v>26.9</v>
      </c>
      <c r="E34" s="85">
        <f>myParidad('Flujo de Fondos'!$H$5,$A34,D34,'Flujo de Fondos'!$H$7,'Flujo de Fondos'!$H$6)</f>
        <v>0.26671284600548717</v>
      </c>
      <c r="F34" s="64">
        <v>21.71</v>
      </c>
      <c r="G34" s="81">
        <f>myParidad('Flujo de Fondos'!$N$5,$A34,F34,'Flujo de Fondos'!$N$7,'Flujo de Fondos'!$N$6)</f>
        <v>0.20494109736069624</v>
      </c>
      <c r="H34" s="66">
        <v>27.09</v>
      </c>
      <c r="I34" s="81">
        <f>myParidad('Flujo de Fondos'!$T$5,$A34,H34,'Flujo de Fondos'!$T$7,'Flujo de Fondos'!$T$6)</f>
        <v>0.27060992839866854</v>
      </c>
      <c r="J34" s="66">
        <v>22.7</v>
      </c>
      <c r="K34" s="81">
        <f>myParidad('Flujo de Fondos'!$B$34,$A34,J34,'Flujo de Fondos'!$B$36,'Flujo de Fondos'!$B$35)</f>
        <v>0.22483099685567656</v>
      </c>
      <c r="L34" s="64">
        <v>27.2</v>
      </c>
      <c r="M34" s="81">
        <f>myParidad('Flujo de Fondos'!$H$34,'Paridad usd'!$A34,'Paridad usd'!L34,'Flujo de Fondos'!$H$36,'Flujo de Fondos'!$H$35)</f>
        <v>0.27170875055163474</v>
      </c>
      <c r="N34" s="66">
        <v>24.26</v>
      </c>
      <c r="O34" s="81">
        <f>myParidad('Flujo de Fondos'!$N$34,$A34,N34,'Flujo de Fondos'!$N$36,'Flujo de Fondos'!$N$35)</f>
        <v>0.24234023119053894</v>
      </c>
      <c r="P34" s="65">
        <f t="shared" si="0"/>
        <v>2.0208170560961858E-2</v>
      </c>
      <c r="Q34" s="65">
        <f t="shared" si="1"/>
        <v>4.1563578083829072E-2</v>
      </c>
      <c r="R34" s="65">
        <f t="shared" si="2"/>
        <v>-4.655948262997664E-2</v>
      </c>
      <c r="S34" s="65">
        <f t="shared" si="3"/>
        <v>-1.7190963268880838E-2</v>
      </c>
      <c r="T34" s="65">
        <f t="shared" si="4"/>
        <v>2.4372614814948235E-2</v>
      </c>
      <c r="U34" s="65">
        <f t="shared" si="5"/>
        <v>-3.7399133829842696E-2</v>
      </c>
      <c r="V34" s="65">
        <f t="shared" si="6"/>
        <v>-1.9889899494980323E-2</v>
      </c>
      <c r="W34" s="65">
        <f t="shared" si="7"/>
        <v>3.1827106598153465E-4</v>
      </c>
      <c r="X34" s="65">
        <f t="shared" si="8"/>
        <v>6.5668831037972303E-2</v>
      </c>
      <c r="Y34" s="73">
        <f t="shared" si="9"/>
        <v>-6.6767653190938497E-2</v>
      </c>
    </row>
    <row r="35" spans="1:26" s="67" customFormat="1" x14ac:dyDescent="0.25">
      <c r="A35" s="63">
        <v>45063</v>
      </c>
      <c r="B35" s="64">
        <v>23.510999999999999</v>
      </c>
      <c r="C35" s="81">
        <f>myParidad('Flujo de Fondos'!$B$5,A35,B35,'Flujo de Fondos'!$B$7,'Flujo de Fondos'!$B$6)</f>
        <v>0.23311732587199827</v>
      </c>
      <c r="D35" s="64">
        <v>27.5</v>
      </c>
      <c r="E35" s="85">
        <f>myParidad('Flujo de Fondos'!$H$5,$A35,D35,'Flujo de Fondos'!$H$7,'Flujo de Fondos'!$H$6)</f>
        <v>0.27266923829186135</v>
      </c>
      <c r="F35" s="64">
        <v>23.17</v>
      </c>
      <c r="G35" s="81">
        <f>myParidad('Flujo de Fondos'!$N$5,$A35,F35,'Flujo de Fondos'!$N$7,'Flujo de Fondos'!$N$6)</f>
        <v>0.21872623819992243</v>
      </c>
      <c r="H35" s="66">
        <v>28.7</v>
      </c>
      <c r="I35" s="81">
        <f>myParidad('Flujo de Fondos'!$T$5,$A35,H35,'Flujo de Fondos'!$T$7,'Flujo de Fondos'!$T$6)</f>
        <v>0.28669366977749799</v>
      </c>
      <c r="J35" s="66">
        <v>23.7</v>
      </c>
      <c r="K35" s="81">
        <f>myParidad('Flujo de Fondos'!$B$34,$A35,J35,'Flujo de Fondos'!$B$36,'Flujo de Fondos'!$B$35)</f>
        <v>0.23474261214078315</v>
      </c>
      <c r="L35" s="64">
        <v>27.815000000000001</v>
      </c>
      <c r="M35" s="81">
        <f>myParidad('Flujo de Fondos'!$H$34,'Paridad usd'!$A35,'Paridad usd'!L35,'Flujo de Fondos'!$H$36,'Flujo de Fondos'!$H$35)</f>
        <v>0.27785311584881911</v>
      </c>
      <c r="N35" s="66">
        <v>25.05</v>
      </c>
      <c r="O35" s="81">
        <f>myParidad('Flujo de Fondos'!$N$34,$A35,N35,'Flujo de Fondos'!$N$36,'Flujo de Fondos'!$N$35)</f>
        <v>0.25023262815074304</v>
      </c>
      <c r="P35" s="65">
        <f t="shared" si="0"/>
        <v>1.4391087672075836E-2</v>
      </c>
      <c r="Q35" s="65">
        <f t="shared" si="1"/>
        <v>3.9551912419863083E-2</v>
      </c>
      <c r="R35" s="65">
        <f t="shared" si="2"/>
        <v>-4.4735789976820844E-2</v>
      </c>
      <c r="S35" s="65">
        <f t="shared" si="3"/>
        <v>-1.7115302278744776E-2</v>
      </c>
      <c r="T35" s="65">
        <f t="shared" si="4"/>
        <v>2.2436610141118307E-2</v>
      </c>
      <c r="U35" s="65">
        <f t="shared" si="5"/>
        <v>-3.1506389950820612E-2</v>
      </c>
      <c r="V35" s="65">
        <f t="shared" si="6"/>
        <v>-1.6016373940860723E-2</v>
      </c>
      <c r="W35" s="65">
        <f t="shared" si="7"/>
        <v>-1.6252862687848868E-3</v>
      </c>
      <c r="X35" s="65">
        <f t="shared" si="8"/>
        <v>6.7967431577575566E-2</v>
      </c>
      <c r="Y35" s="73">
        <f t="shared" si="9"/>
        <v>-5.9126877648896681E-2</v>
      </c>
      <c r="Z35" s="80"/>
    </row>
    <row r="36" spans="1:26" s="67" customFormat="1" x14ac:dyDescent="0.25">
      <c r="A36" s="63">
        <v>45062</v>
      </c>
      <c r="B36" s="64">
        <v>23.61</v>
      </c>
      <c r="C36" s="81">
        <f>myParidad('Flujo de Fondos'!$B$5,A36,B36,'Flujo de Fondos'!$B$7,'Flujo de Fondos'!$B$6)</f>
        <v>0.23410529461302326</v>
      </c>
      <c r="D36" s="64">
        <v>27.7</v>
      </c>
      <c r="E36" s="85">
        <f>myParidad('Flujo de Fondos'!$H$5,$A36,D36,'Flujo de Fondos'!$H$7,'Flujo de Fondos'!$H$6)</f>
        <v>0.27465974844475838</v>
      </c>
      <c r="F36" s="64">
        <v>23.48</v>
      </c>
      <c r="G36" s="81">
        <f>myParidad('Flujo de Fondos'!$N$5,$A36,F36,'Flujo de Fondos'!$N$7,'Flujo de Fondos'!$N$6)</f>
        <v>0.22165552380090264</v>
      </c>
      <c r="H36" s="66">
        <v>28.67</v>
      </c>
      <c r="I36" s="81">
        <f>myParidad('Flujo de Fondos'!$T$5,$A36,H36,'Flujo de Fondos'!$T$7,'Flujo de Fondos'!$T$6)</f>
        <v>0.28639496974113188</v>
      </c>
      <c r="J36" s="66">
        <v>23.6</v>
      </c>
      <c r="K36" s="81">
        <f>myParidad('Flujo de Fondos'!$B$34,$A36,J36,'Flujo de Fondos'!$B$36,'Flujo de Fondos'!$B$35)</f>
        <v>0.23375927326754842</v>
      </c>
      <c r="L36" s="64">
        <v>28.5</v>
      </c>
      <c r="M36" s="81">
        <f>myParidad('Flujo de Fondos'!$H$34,'Paridad usd'!$A36,'Paridad usd'!L36,'Flujo de Fondos'!$H$36,'Flujo de Fondos'!$H$35)</f>
        <v>0.28469677843119146</v>
      </c>
      <c r="N36" s="66">
        <v>25</v>
      </c>
      <c r="O36" s="81">
        <f>myParidad('Flujo de Fondos'!$N$34,$A36,N36,'Flujo de Fondos'!$N$36,'Flujo de Fondos'!$N$35)</f>
        <v>0.24973401616771179</v>
      </c>
      <c r="P36" s="65">
        <f t="shared" si="0"/>
        <v>1.244977081212062E-2</v>
      </c>
      <c r="Q36" s="65">
        <f t="shared" si="1"/>
        <v>4.0554453831735116E-2</v>
      </c>
      <c r="R36" s="65">
        <f t="shared" si="2"/>
        <v>-5.0591483818168193E-2</v>
      </c>
      <c r="S36" s="65">
        <f t="shared" si="3"/>
        <v>-1.5628721554688529E-2</v>
      </c>
      <c r="T36" s="65">
        <f t="shared" si="4"/>
        <v>2.4925732277046586E-2</v>
      </c>
      <c r="U36" s="65">
        <f t="shared" si="5"/>
        <v>-2.8078492366809149E-2</v>
      </c>
      <c r="V36" s="65">
        <f t="shared" si="6"/>
        <v>-1.2103749466645775E-2</v>
      </c>
      <c r="W36" s="65">
        <f t="shared" si="7"/>
        <v>3.4602134547484509E-4</v>
      </c>
      <c r="X36" s="65">
        <f t="shared" si="8"/>
        <v>6.4739445940229234E-2</v>
      </c>
      <c r="Y36" s="73">
        <f t="shared" si="9"/>
        <v>-6.3041254630288812E-2</v>
      </c>
      <c r="Z36" s="80"/>
    </row>
    <row r="37" spans="1:26" s="67" customFormat="1" x14ac:dyDescent="0.25">
      <c r="A37" s="63">
        <v>45061</v>
      </c>
      <c r="B37" s="64">
        <v>23.3</v>
      </c>
      <c r="C37" s="81">
        <f>myParidad('Flujo de Fondos'!$B$5,A37,B37,'Flujo de Fondos'!$B$7,'Flujo de Fondos'!$B$6)</f>
        <v>0.23103776147785929</v>
      </c>
      <c r="D37" s="64">
        <v>27.98</v>
      </c>
      <c r="E37" s="85">
        <f>myParidad('Flujo de Fondos'!$H$5,$A37,D37,'Flujo de Fondos'!$H$7,'Flujo de Fondos'!$H$6)</f>
        <v>0.27744362944851941</v>
      </c>
      <c r="F37" s="64">
        <v>23.05</v>
      </c>
      <c r="G37" s="81">
        <f>myParidad('Flujo de Fondos'!$N$5,$A37,F37,'Flujo de Fondos'!$N$7,'Flujo de Fondos'!$N$6)</f>
        <v>0.21759905855576248</v>
      </c>
      <c r="H37" s="66">
        <v>28.2</v>
      </c>
      <c r="I37" s="81">
        <f>myParidad('Flujo de Fondos'!$T$5,$A37,H37,'Flujo de Fondos'!$T$7,'Flujo de Fondos'!$T$6)</f>
        <v>0.28170093393999518</v>
      </c>
      <c r="J37" s="66">
        <v>23.8</v>
      </c>
      <c r="K37" s="81">
        <f>myParidad('Flujo de Fondos'!$B$34,$A37,J37,'Flujo de Fondos'!$B$36,'Flujo de Fondos'!$B$35)</f>
        <v>0.23574748125784459</v>
      </c>
      <c r="L37" s="64">
        <v>28.9</v>
      </c>
      <c r="M37" s="81">
        <f>myParidad('Flujo de Fondos'!$H$34,'Paridad usd'!$A37,'Paridad usd'!L37,'Flujo de Fondos'!$H$36,'Flujo de Fondos'!$H$35)</f>
        <v>0.28869351031439222</v>
      </c>
      <c r="N37" s="66">
        <v>24.7</v>
      </c>
      <c r="O37" s="81">
        <f>myParidad('Flujo de Fondos'!$N$34,$A37,N37,'Flujo de Fondos'!$N$36,'Flujo de Fondos'!$N$35)</f>
        <v>0.24673805206800997</v>
      </c>
      <c r="P37" s="65">
        <f t="shared" si="0"/>
        <v>1.3438702922096812E-2</v>
      </c>
      <c r="Q37" s="65">
        <f t="shared" si="1"/>
        <v>4.6405867970660125E-2</v>
      </c>
      <c r="R37" s="65">
        <f t="shared" si="2"/>
        <v>-5.7655748836532933E-2</v>
      </c>
      <c r="S37" s="65">
        <f t="shared" si="3"/>
        <v>-1.5700290590150684E-2</v>
      </c>
      <c r="T37" s="65">
        <f t="shared" si="4"/>
        <v>3.0705577380509441E-2</v>
      </c>
      <c r="U37" s="65">
        <f t="shared" si="5"/>
        <v>-2.9138993512247496E-2</v>
      </c>
      <c r="V37" s="65">
        <f t="shared" si="6"/>
        <v>-1.8148422702082112E-2</v>
      </c>
      <c r="W37" s="65">
        <f t="shared" si="7"/>
        <v>-4.7097197799852997E-3</v>
      </c>
      <c r="X37" s="65">
        <f t="shared" si="8"/>
        <v>6.4101875384232704E-2</v>
      </c>
      <c r="Y37" s="73">
        <f t="shared" si="9"/>
        <v>-7.1094451758629745E-2</v>
      </c>
      <c r="Z37" s="80"/>
    </row>
    <row r="38" spans="1:26" s="67" customFormat="1" x14ac:dyDescent="0.25">
      <c r="A38" s="63">
        <v>45058</v>
      </c>
      <c r="B38" s="64">
        <v>22.785</v>
      </c>
      <c r="C38" s="81">
        <f>myParidad('Flujo de Fondos'!$B$5,A38,B38,'Flujo de Fondos'!$B$7,'Flujo de Fondos'!$B$6)</f>
        <v>0.22594954764039449</v>
      </c>
      <c r="D38" s="64">
        <v>28.94</v>
      </c>
      <c r="E38" s="85">
        <f>myParidad('Flujo de Fondos'!$H$5,$A38,D38,'Flujo de Fondos'!$H$7,'Flujo de Fondos'!$H$6)</f>
        <v>0.28698617110875652</v>
      </c>
      <c r="F38" s="64">
        <v>22.2</v>
      </c>
      <c r="G38" s="81">
        <f>myParidad('Flujo de Fondos'!$N$5,$A38,F38,'Flujo de Fondos'!$N$7,'Flujo de Fondos'!$N$6)</f>
        <v>0.20958292919495636</v>
      </c>
      <c r="H38" s="66">
        <v>27.86</v>
      </c>
      <c r="I38" s="81">
        <f>myParidad('Flujo de Fondos'!$T$5,$A38,H38,'Flujo de Fondos'!$T$7,'Flujo de Fondos'!$T$6)</f>
        <v>0.27830739599120102</v>
      </c>
      <c r="J38" s="66">
        <v>23.74</v>
      </c>
      <c r="K38" s="81">
        <f>myParidad('Flujo de Fondos'!$B$34,$A38,J38,'Flujo de Fondos'!$B$36,'Flujo de Fondos'!$B$35)</f>
        <v>0.23517469967397533</v>
      </c>
      <c r="L38" s="64">
        <v>28.39</v>
      </c>
      <c r="M38" s="81">
        <f>myParidad('Flujo de Fondos'!$H$34,'Paridad usd'!$A38,'Paridad usd'!L38,'Flujo de Fondos'!$H$36,'Flujo de Fondos'!$H$35)</f>
        <v>0.28360182958328062</v>
      </c>
      <c r="N38" s="66">
        <v>24.23</v>
      </c>
      <c r="O38" s="81">
        <f>myParidad('Flujo de Fondos'!$N$34,$A38,N38,'Flujo de Fondos'!$N$36,'Flujo de Fondos'!$N$35)</f>
        <v>0.24204552063412782</v>
      </c>
      <c r="P38" s="65">
        <f t="shared" si="0"/>
        <v>1.636661844543813E-2</v>
      </c>
      <c r="Q38" s="65">
        <f t="shared" si="1"/>
        <v>6.1036623468362028E-2</v>
      </c>
      <c r="R38" s="65">
        <f t="shared" si="2"/>
        <v>-5.765228194288613E-2</v>
      </c>
      <c r="S38" s="65">
        <f t="shared" si="3"/>
        <v>-1.6095972993733332E-2</v>
      </c>
      <c r="T38" s="65">
        <f t="shared" si="4"/>
        <v>4.4940650474628696E-2</v>
      </c>
      <c r="U38" s="65">
        <f t="shared" si="5"/>
        <v>-3.2462591439171462E-2</v>
      </c>
      <c r="V38" s="65">
        <f t="shared" si="6"/>
        <v>-2.5591770479018977E-2</v>
      </c>
      <c r="W38" s="65">
        <f t="shared" si="7"/>
        <v>-9.2251520335808468E-3</v>
      </c>
      <c r="X38" s="65">
        <f t="shared" si="8"/>
        <v>6.8724466796244665E-2</v>
      </c>
      <c r="Y38" s="73">
        <f t="shared" si="9"/>
        <v>-7.401890038832426E-2</v>
      </c>
      <c r="Z38" s="80"/>
    </row>
    <row r="39" spans="1:26" s="67" customFormat="1" x14ac:dyDescent="0.25">
      <c r="A39" s="63">
        <v>45057</v>
      </c>
      <c r="B39" s="64">
        <v>22.39</v>
      </c>
      <c r="C39" s="81">
        <f>myParidad('Flujo de Fondos'!$B$5,A39,B39,'Flujo de Fondos'!$B$7,'Flujo de Fondos'!$B$6)</f>
        <v>0.22203852632722926</v>
      </c>
      <c r="D39" s="64">
        <v>27.75</v>
      </c>
      <c r="E39" s="85">
        <f>myParidad('Flujo de Fondos'!$H$5,$A39,D39,'Flujo de Fondos'!$H$7,'Flujo de Fondos'!$H$6)</f>
        <v>0.27519290333097862</v>
      </c>
      <c r="F39" s="64">
        <v>21.69</v>
      </c>
      <c r="G39" s="81">
        <f>myParidad('Flujo de Fondos'!$N$5,$A39,F39,'Flujo de Fondos'!$N$7,'Flujo de Fondos'!$N$6)</f>
        <v>0.20477083441104962</v>
      </c>
      <c r="H39" s="66">
        <v>27.77</v>
      </c>
      <c r="I39" s="81">
        <f>myParidad('Flujo de Fondos'!$T$5,$A39,H39,'Flujo de Fondos'!$T$7,'Flujo de Fondos'!$T$6)</f>
        <v>0.27740929026431205</v>
      </c>
      <c r="J39" s="66">
        <v>22.56</v>
      </c>
      <c r="K39" s="81">
        <f>myParidad('Flujo de Fondos'!$B$34,$A39,J39,'Flujo de Fondos'!$B$36,'Flujo de Fondos'!$B$35)</f>
        <v>0.22349213242229113</v>
      </c>
      <c r="L39" s="64">
        <v>28.3</v>
      </c>
      <c r="M39" s="81">
        <f>myParidad('Flujo de Fondos'!$H$34,'Paridad usd'!$A39,'Paridad usd'!L39,'Flujo de Fondos'!$H$36,'Flujo de Fondos'!$H$35)</f>
        <v>0.28270374196903247</v>
      </c>
      <c r="N39" s="66">
        <v>25.1</v>
      </c>
      <c r="O39" s="81">
        <f>myParidad('Flujo de Fondos'!$N$34,$A39,N39,'Flujo de Fondos'!$N$36,'Flujo de Fondos'!$N$35)</f>
        <v>0.25073724111034329</v>
      </c>
      <c r="P39" s="65">
        <f t="shared" si="0"/>
        <v>1.7267691916179634E-2</v>
      </c>
      <c r="Q39" s="65">
        <f t="shared" si="1"/>
        <v>5.3154377003749365E-2</v>
      </c>
      <c r="R39" s="65">
        <f t="shared" si="2"/>
        <v>-6.0665215641803216E-2</v>
      </c>
      <c r="S39" s="65">
        <f t="shared" si="3"/>
        <v>-2.8698714783114032E-2</v>
      </c>
      <c r="T39" s="65">
        <f t="shared" si="4"/>
        <v>2.4455662220635332E-2</v>
      </c>
      <c r="U39" s="65">
        <f t="shared" si="5"/>
        <v>-4.5966406699293666E-2</v>
      </c>
      <c r="V39" s="65">
        <f t="shared" si="6"/>
        <v>-1.8721298011241505E-2</v>
      </c>
      <c r="W39" s="65">
        <f t="shared" si="7"/>
        <v>-1.4536060950618712E-3</v>
      </c>
      <c r="X39" s="65">
        <f t="shared" si="8"/>
        <v>7.2638455853262424E-2</v>
      </c>
      <c r="Y39" s="73">
        <f t="shared" si="9"/>
        <v>-7.793290755798285E-2</v>
      </c>
      <c r="Z39" s="80"/>
    </row>
    <row r="40" spans="1:26" s="67" customFormat="1" x14ac:dyDescent="0.25">
      <c r="A40" s="63">
        <v>45056</v>
      </c>
      <c r="B40" s="64">
        <v>22.021000000000001</v>
      </c>
      <c r="C40" s="81">
        <f>myParidad('Flujo de Fondos'!$B$5,A40,B40,'Flujo de Fondos'!$B$7,'Flujo de Fondos'!$B$6)</f>
        <v>0.21838513788887381</v>
      </c>
      <c r="D40" s="64">
        <v>27.8</v>
      </c>
      <c r="E40" s="85">
        <f>myParidad('Flujo de Fondos'!$H$5,$A40,D40,'Flujo de Fondos'!$H$7,'Flujo de Fondos'!$H$6)</f>
        <v>0.27569623692433093</v>
      </c>
      <c r="F40" s="64">
        <v>21.16</v>
      </c>
      <c r="G40" s="81">
        <f>myParidad('Flujo de Fondos'!$N$5,$A40,F40,'Flujo de Fondos'!$N$7,'Flujo de Fondos'!$N$6)</f>
        <v>0.19976979682630006</v>
      </c>
      <c r="H40" s="66">
        <v>27.75</v>
      </c>
      <c r="I40" s="81">
        <f>myParidad('Flujo de Fondos'!$T$5,$A40,H40,'Flujo de Fondos'!$T$7,'Flujo de Fondos'!$T$6)</f>
        <v>0.27721044799096833</v>
      </c>
      <c r="J40" s="66">
        <v>22.7</v>
      </c>
      <c r="K40" s="81">
        <f>myParidad('Flujo de Fondos'!$B$34,$A40,J40,'Flujo de Fondos'!$B$36,'Flujo de Fondos'!$B$35)</f>
        <v>0.2248859183361889</v>
      </c>
      <c r="L40" s="64">
        <v>28.4</v>
      </c>
      <c r="M40" s="81">
        <f>myParidad('Flujo de Fondos'!$H$34,'Paridad usd'!$A40,'Paridad usd'!L40,'Flujo de Fondos'!$H$36,'Flujo de Fondos'!$H$35)</f>
        <v>0.28370366569165767</v>
      </c>
      <c r="N40" s="66">
        <v>25.25</v>
      </c>
      <c r="O40" s="81">
        <f>myParidad('Flujo de Fondos'!$N$34,$A40,N40,'Flujo de Fondos'!$N$36,'Flujo de Fondos'!$N$35)</f>
        <v>0.25223653375754779</v>
      </c>
      <c r="P40" s="65">
        <f t="shared" si="0"/>
        <v>1.8615341062573759E-2</v>
      </c>
      <c r="Q40" s="65">
        <f t="shared" si="1"/>
        <v>5.7311099035457114E-2</v>
      </c>
      <c r="R40" s="65">
        <f t="shared" si="2"/>
        <v>-6.5318527802783855E-2</v>
      </c>
      <c r="S40" s="65">
        <f t="shared" si="3"/>
        <v>-3.3851395868673972E-2</v>
      </c>
      <c r="T40" s="65">
        <f t="shared" si="4"/>
        <v>2.3459703166783141E-2</v>
      </c>
      <c r="U40" s="65">
        <f t="shared" si="5"/>
        <v>-5.2466736931247732E-2</v>
      </c>
      <c r="V40" s="65">
        <f t="shared" si="6"/>
        <v>-2.5116121509888845E-2</v>
      </c>
      <c r="W40" s="65">
        <f t="shared" si="7"/>
        <v>-6.5007804473150854E-3</v>
      </c>
      <c r="X40" s="65">
        <f t="shared" si="8"/>
        <v>7.7440651164668278E-2</v>
      </c>
      <c r="Y40" s="73">
        <f t="shared" si="9"/>
        <v>-8.3933868865357614E-2</v>
      </c>
      <c r="Z40" s="80"/>
    </row>
    <row r="41" spans="1:26" s="67" customFormat="1" x14ac:dyDescent="0.25">
      <c r="A41" s="63">
        <v>45055</v>
      </c>
      <c r="B41" s="64">
        <v>21.89</v>
      </c>
      <c r="C41" s="81">
        <f>myParidad('Flujo de Fondos'!$B$5,A41,B41,'Flujo de Fondos'!$B$7,'Flujo de Fondos'!$B$6)</f>
        <v>0.21709189218563199</v>
      </c>
      <c r="D41" s="64">
        <v>26.98</v>
      </c>
      <c r="E41" s="85">
        <f>myParidad('Flujo de Fondos'!$H$5,$A41,D41,'Flujo de Fondos'!$H$7,'Flujo de Fondos'!$H$6)</f>
        <v>0.2675714596239539</v>
      </c>
      <c r="F41" s="64">
        <v>21.06</v>
      </c>
      <c r="G41" s="81">
        <f>myParidad('Flujo de Fondos'!$N$5,$A41,F41,'Flujo de Fondos'!$N$7,'Flujo de Fondos'!$N$6)</f>
        <v>0.19882827655777138</v>
      </c>
      <c r="H41" s="66">
        <v>27.7</v>
      </c>
      <c r="I41" s="81">
        <f>myParidad('Flujo de Fondos'!$T$5,$A41,H41,'Flujo de Fondos'!$T$7,'Flujo de Fondos'!$T$6)</f>
        <v>0.27671191636104875</v>
      </c>
      <c r="J41" s="66">
        <v>21.901</v>
      </c>
      <c r="K41" s="81">
        <f>myParidad('Flujo de Fondos'!$B$34,$A41,J41,'Flujo de Fondos'!$B$36,'Flujo de Fondos'!$B$35)</f>
        <v>0.21697695564844471</v>
      </c>
      <c r="L41" s="64">
        <v>28</v>
      </c>
      <c r="M41" s="81">
        <f>myParidad('Flujo de Fondos'!$H$34,'Paridad usd'!$A41,'Paridad usd'!L41,'Flujo de Fondos'!$H$36,'Flujo de Fondos'!$H$35)</f>
        <v>0.27970879632163775</v>
      </c>
      <c r="N41" s="66">
        <v>25</v>
      </c>
      <c r="O41" s="81">
        <f>myParidad('Flujo de Fondos'!$N$34,$A41,N41,'Flujo de Fondos'!$N$36,'Flujo de Fondos'!$N$35)</f>
        <v>0.24973999671574798</v>
      </c>
      <c r="P41" s="65">
        <f t="shared" si="0"/>
        <v>1.8263615627860608E-2</v>
      </c>
      <c r="Q41" s="65">
        <f t="shared" si="1"/>
        <v>5.047956743832191E-2</v>
      </c>
      <c r="R41" s="65">
        <f t="shared" si="2"/>
        <v>-6.2616904136005763E-2</v>
      </c>
      <c r="S41" s="65">
        <f t="shared" si="3"/>
        <v>-3.264810453011599E-2</v>
      </c>
      <c r="T41" s="65">
        <f t="shared" si="4"/>
        <v>1.783146290820592E-2</v>
      </c>
      <c r="U41" s="65">
        <f t="shared" si="5"/>
        <v>-5.0911720157976598E-2</v>
      </c>
      <c r="V41" s="65">
        <f t="shared" si="6"/>
        <v>-1.8148679090673331E-2</v>
      </c>
      <c r="W41" s="65">
        <f t="shared" si="7"/>
        <v>1.1493653718727681E-4</v>
      </c>
      <c r="X41" s="65">
        <f t="shared" si="8"/>
        <v>7.7883639803277366E-2</v>
      </c>
      <c r="Y41" s="73">
        <f t="shared" si="9"/>
        <v>-8.0880519763866371E-2</v>
      </c>
      <c r="Z41" s="80"/>
    </row>
    <row r="42" spans="1:26" s="67" customFormat="1" x14ac:dyDescent="0.25">
      <c r="A42" s="63">
        <v>45054</v>
      </c>
      <c r="B42" s="64">
        <v>21.79</v>
      </c>
      <c r="C42" s="81">
        <f>myParidad('Flujo de Fondos'!$B$5,A42,B42,'Flujo de Fondos'!$B$7,'Flujo de Fondos'!$B$6)</f>
        <v>0.2161060239654376</v>
      </c>
      <c r="D42" s="64">
        <v>26.95</v>
      </c>
      <c r="E42" s="85">
        <f>myParidad('Flujo de Fondos'!$H$5,$A42,D42,'Flujo de Fondos'!$H$7,'Flujo de Fondos'!$H$6)</f>
        <v>0.26728119990218185</v>
      </c>
      <c r="F42" s="64">
        <v>21.05</v>
      </c>
      <c r="G42" s="81">
        <f>myParidad('Flujo de Fondos'!$N$5,$A42,F42,'Flujo de Fondos'!$N$7,'Flujo de Fondos'!$N$6)</f>
        <v>0.19873643641442817</v>
      </c>
      <c r="H42" s="66">
        <v>27.31</v>
      </c>
      <c r="I42" s="81">
        <f>myParidad('Flujo de Fondos'!$T$5,$A42,H42,'Flujo de Fondos'!$T$7,'Flujo de Fondos'!$T$6)</f>
        <v>0.2728169057450659</v>
      </c>
      <c r="J42" s="66">
        <v>21.9</v>
      </c>
      <c r="K42" s="81">
        <f>myParidad('Flujo de Fondos'!$B$34,$A42,J42,'Flujo de Fondos'!$B$36,'Flujo de Fondos'!$B$35)</f>
        <v>0.21697367394232628</v>
      </c>
      <c r="L42" s="64">
        <v>27.5</v>
      </c>
      <c r="M42" s="81">
        <f>myParidad('Flujo de Fondos'!$H$34,'Paridad usd'!$A42,'Paridad usd'!L42,'Flujo de Fondos'!$H$36,'Flujo de Fondos'!$H$35)</f>
        <v>0.27471493621344972</v>
      </c>
      <c r="N42" s="66">
        <v>24.38</v>
      </c>
      <c r="O42" s="81">
        <f>myParidad('Flujo de Fondos'!$N$34,$A42,N42,'Flujo de Fondos'!$N$36,'Flujo de Fondos'!$N$35)</f>
        <v>0.24354727799577836</v>
      </c>
      <c r="P42" s="65">
        <f t="shared" si="0"/>
        <v>1.7369587551009424E-2</v>
      </c>
      <c r="Q42" s="65">
        <f t="shared" si="1"/>
        <v>5.1175175936744255E-2</v>
      </c>
      <c r="R42" s="65">
        <f t="shared" si="2"/>
        <v>-5.8608912248012124E-2</v>
      </c>
      <c r="S42" s="65">
        <f t="shared" si="3"/>
        <v>-2.7441254030340756E-2</v>
      </c>
      <c r="T42" s="65">
        <f t="shared" si="4"/>
        <v>2.3733921906403499E-2</v>
      </c>
      <c r="U42" s="65">
        <f t="shared" si="5"/>
        <v>-4.481084158135018E-2</v>
      </c>
      <c r="V42" s="65">
        <f t="shared" si="6"/>
        <v>-1.8237237527898104E-2</v>
      </c>
      <c r="W42" s="65">
        <f t="shared" si="7"/>
        <v>-8.6764997688867918E-4</v>
      </c>
      <c r="X42" s="65">
        <f t="shared" si="8"/>
        <v>7.4080469330637722E-2</v>
      </c>
      <c r="Y42" s="73">
        <f t="shared" si="9"/>
        <v>-7.5978499799021548E-2</v>
      </c>
      <c r="Z42" s="80"/>
    </row>
    <row r="43" spans="1:26" s="67" customFormat="1" x14ac:dyDescent="0.25">
      <c r="A43" s="63">
        <v>45051</v>
      </c>
      <c r="B43" s="64">
        <v>21.7</v>
      </c>
      <c r="C43" s="81">
        <f>myParidad('Flujo de Fondos'!$B$5,A43,B43,'Flujo de Fondos'!$B$7,'Flujo de Fondos'!$B$6)</f>
        <v>0.21523097826086957</v>
      </c>
      <c r="D43" s="64">
        <v>26</v>
      </c>
      <c r="E43" s="85">
        <f>myParidad('Flujo de Fondos'!$H$5,$A43,D43,'Flujo de Fondos'!$H$7,'Flujo de Fondos'!$H$6)</f>
        <v>0.25788043478260869</v>
      </c>
      <c r="F43" s="64">
        <v>20.96</v>
      </c>
      <c r="G43" s="81">
        <f>myParidad('Flujo de Fondos'!$N$5,$A43,F43,'Flujo de Fondos'!$N$7,'Flujo de Fondos'!$N$6)</f>
        <v>0.19789441009855402</v>
      </c>
      <c r="H43" s="66">
        <v>27.2</v>
      </c>
      <c r="I43" s="81">
        <f>myParidad('Flujo de Fondos'!$T$5,$A43,H43,'Flujo de Fondos'!$T$7,'Flujo de Fondos'!$T$6)</f>
        <v>0.27172083475880943</v>
      </c>
      <c r="J43" s="66">
        <v>22.001000000000001</v>
      </c>
      <c r="K43" s="81">
        <f>myParidad('Flujo de Fondos'!$B$34,$A43,J43,'Flujo de Fondos'!$B$36,'Flujo de Fondos'!$B$35)</f>
        <v>0.21799429928741093</v>
      </c>
      <c r="L43" s="64">
        <v>27.3</v>
      </c>
      <c r="M43" s="81">
        <f>myParidad('Flujo de Fondos'!$H$34,'Paridad usd'!$A43,'Paridad usd'!L43,'Flujo de Fondos'!$H$36,'Flujo de Fondos'!$H$35)</f>
        <v>0.27271980841601096</v>
      </c>
      <c r="N43" s="66">
        <v>23.611999999999998</v>
      </c>
      <c r="O43" s="81">
        <f>myParidad('Flujo de Fondos'!$N$34,$A43,N43,'Flujo de Fondos'!$N$36,'Flujo de Fondos'!$N$35)</f>
        <v>0.23587765993841942</v>
      </c>
      <c r="P43" s="65">
        <f t="shared" si="0"/>
        <v>1.7336568162315547E-2</v>
      </c>
      <c r="Q43" s="65">
        <f t="shared" si="1"/>
        <v>4.2649456521739126E-2</v>
      </c>
      <c r="R43" s="65">
        <f t="shared" si="2"/>
        <v>-5.748883015514139E-2</v>
      </c>
      <c r="S43" s="65">
        <f t="shared" si="3"/>
        <v>-2.064668167754985E-2</v>
      </c>
      <c r="T43" s="65">
        <f t="shared" si="4"/>
        <v>2.2002774844189277E-2</v>
      </c>
      <c r="U43" s="65">
        <f t="shared" si="5"/>
        <v>-3.7983249839865396E-2</v>
      </c>
      <c r="V43" s="65">
        <f t="shared" si="6"/>
        <v>-2.0099889188856912E-2</v>
      </c>
      <c r="W43" s="65">
        <f t="shared" si="7"/>
        <v>-2.7633210265413655E-3</v>
      </c>
      <c r="X43" s="65">
        <f t="shared" si="8"/>
        <v>7.3826424660255408E-2</v>
      </c>
      <c r="Y43" s="73">
        <f t="shared" si="9"/>
        <v>-7.4825398317456937E-2</v>
      </c>
      <c r="Z43" s="80"/>
    </row>
    <row r="44" spans="1:26" x14ac:dyDescent="0.25">
      <c r="A44" s="63">
        <v>45050</v>
      </c>
      <c r="B44" s="64">
        <v>21.72</v>
      </c>
      <c r="C44" s="81">
        <f>myParidad('Flujo de Fondos'!$B$5,A44,B44,'Flujo de Fondos'!$B$7,'Flujo de Fondos'!$B$6)</f>
        <v>0.21543520204353378</v>
      </c>
      <c r="D44" s="64">
        <v>25.506</v>
      </c>
      <c r="E44" s="85">
        <f>myParidad('Flujo de Fondos'!$H$5,$A44,D44,'Flujo de Fondos'!$H$7,'Flujo de Fondos'!$H$6)</f>
        <v>0.25298758118427134</v>
      </c>
      <c r="F44" s="64">
        <v>21.03</v>
      </c>
      <c r="G44" s="81">
        <f>myParidad('Flujo de Fondos'!$N$5,$A44,F44,'Flujo de Fondos'!$N$7,'Flujo de Fondos'!$N$6)</f>
        <v>0.19855788507055372</v>
      </c>
      <c r="H44" s="66">
        <v>27.29</v>
      </c>
      <c r="I44" s="81">
        <f>myParidad('Flujo de Fondos'!$T$5,$A44,H44,'Flujo de Fondos'!$T$7,'Flujo de Fondos'!$T$6)</f>
        <v>0.27262084372508971</v>
      </c>
      <c r="J44" s="66">
        <v>22.15</v>
      </c>
      <c r="K44" s="81">
        <f>myParidad('Flujo de Fondos'!$B$34,$A44,J44,'Flujo de Fondos'!$B$36,'Flujo de Fondos'!$B$35)</f>
        <v>0.21947735085224862</v>
      </c>
      <c r="L44" s="64">
        <v>27.3</v>
      </c>
      <c r="M44" s="81">
        <f>myParidad('Flujo de Fondos'!$H$34,'Paridad usd'!$A44,'Paridad usd'!L44,'Flujo de Fondos'!$H$36,'Flujo de Fondos'!$H$35)</f>
        <v>0.27272074143257419</v>
      </c>
      <c r="N44" s="66">
        <v>24.599</v>
      </c>
      <c r="O44" s="81">
        <f>myParidad('Flujo de Fondos'!$N$34,$A44,N44,'Flujo de Fondos'!$N$36,'Flujo de Fondos'!$N$35)</f>
        <v>0.24573837064102169</v>
      </c>
      <c r="P44" s="65">
        <f t="shared" si="0"/>
        <v>1.6877316972980061E-2</v>
      </c>
      <c r="Q44" s="65">
        <f t="shared" si="1"/>
        <v>3.7552379140737557E-2</v>
      </c>
      <c r="R44" s="65">
        <f t="shared" si="2"/>
        <v>-5.7285539389040407E-2</v>
      </c>
      <c r="S44" s="65">
        <f t="shared" si="3"/>
        <v>-3.0303168597487912E-2</v>
      </c>
      <c r="T44" s="65">
        <f t="shared" si="4"/>
        <v>7.2492105432496456E-3</v>
      </c>
      <c r="U44" s="65">
        <f t="shared" si="5"/>
        <v>-4.7180485570467973E-2</v>
      </c>
      <c r="V44" s="65">
        <f t="shared" si="6"/>
        <v>-2.0919465781694901E-2</v>
      </c>
      <c r="W44" s="65">
        <f t="shared" si="7"/>
        <v>-4.0421488087148405E-3</v>
      </c>
      <c r="X44" s="65">
        <f t="shared" si="8"/>
        <v>7.4062958654535993E-2</v>
      </c>
      <c r="Y44" s="73">
        <f t="shared" si="9"/>
        <v>-7.4162856362020468E-2</v>
      </c>
      <c r="Z44" s="80"/>
    </row>
    <row r="45" spans="1:26" x14ac:dyDescent="0.25">
      <c r="A45" s="63">
        <v>45049</v>
      </c>
      <c r="B45" s="64">
        <v>22.09</v>
      </c>
      <c r="C45" s="81">
        <f>myParidad('Flujo de Fondos'!$B$5,A45,B45,'Flujo de Fondos'!$B$7,'Flujo de Fondos'!$B$6)</f>
        <v>0.21911109299418446</v>
      </c>
      <c r="D45" s="64">
        <v>25.8</v>
      </c>
      <c r="E45" s="85">
        <f>myParidad('Flujo de Fondos'!$H$5,$A45,D45,'Flujo de Fondos'!$H$7,'Flujo de Fondos'!$H$6)</f>
        <v>0.25591064731778901</v>
      </c>
      <c r="F45" s="64">
        <v>21.11</v>
      </c>
      <c r="G45" s="81">
        <f>myParidad('Flujo de Fondos'!$N$5,$A45,F45,'Flujo de Fondos'!$N$7,'Flujo de Fondos'!$N$6)</f>
        <v>0.19931579491955093</v>
      </c>
      <c r="H45" s="66">
        <v>27.36</v>
      </c>
      <c r="I45" s="81">
        <f>myParidad('Flujo de Fondos'!$T$5,$A45,H45,'Flujo de Fondos'!$T$7,'Flujo de Fondos'!$T$6)</f>
        <v>0.27332106275102808</v>
      </c>
      <c r="J45" s="66">
        <v>22.1</v>
      </c>
      <c r="K45" s="81">
        <f>myParidad('Flujo de Fondos'!$B$34,$A45,J45,'Flujo de Fondos'!$B$36,'Flujo de Fondos'!$B$35)</f>
        <v>0.2189886046653681</v>
      </c>
      <c r="L45" s="64">
        <v>27.1</v>
      </c>
      <c r="M45" s="81">
        <f>myParidad('Flujo de Fondos'!$H$34,'Paridad usd'!$A45,'Paridad usd'!L45,'Flujo de Fondos'!$H$36,'Flujo de Fondos'!$H$35)</f>
        <v>0.27072371347049928</v>
      </c>
      <c r="N45" s="66">
        <v>24.9</v>
      </c>
      <c r="O45" s="81">
        <f>myParidad('Flujo de Fondos'!$N$34,$A45,N45,'Flujo de Fondos'!$N$36,'Flujo de Fondos'!$N$35)</f>
        <v>0.2487461426352558</v>
      </c>
      <c r="P45" s="65">
        <f t="shared" si="0"/>
        <v>1.9795298074633538E-2</v>
      </c>
      <c r="Q45" s="65">
        <f t="shared" si="1"/>
        <v>3.6799554323604544E-2</v>
      </c>
      <c r="R45" s="65">
        <f t="shared" si="2"/>
        <v>-5.1612620476314819E-2</v>
      </c>
      <c r="S45" s="65">
        <f t="shared" si="3"/>
        <v>-2.9635049641071332E-2</v>
      </c>
      <c r="T45" s="65">
        <f t="shared" si="4"/>
        <v>7.1645046825332126E-3</v>
      </c>
      <c r="U45" s="65">
        <f t="shared" si="5"/>
        <v>-4.943034771570487E-2</v>
      </c>
      <c r="V45" s="65">
        <f t="shared" si="6"/>
        <v>-1.9672809745817171E-2</v>
      </c>
      <c r="W45" s="65">
        <f t="shared" si="7"/>
        <v>1.2248832881636695E-4</v>
      </c>
      <c r="X45" s="65">
        <f t="shared" si="8"/>
        <v>7.4005267831477151E-2</v>
      </c>
      <c r="Y45" s="73">
        <f t="shared" si="9"/>
        <v>-7.1407918550948357E-2</v>
      </c>
      <c r="Z45" s="80"/>
    </row>
    <row r="46" spans="1:26" x14ac:dyDescent="0.25">
      <c r="A46" s="63">
        <v>45048</v>
      </c>
      <c r="B46" s="64">
        <v>22.2</v>
      </c>
      <c r="C46" s="81">
        <f>myParidad('Flujo de Fondos'!$B$5,A46,B46,'Flujo de Fondos'!$B$7,'Flujo de Fondos'!$B$6)</f>
        <v>0.2202081691442237</v>
      </c>
      <c r="D46" s="64">
        <v>25.8</v>
      </c>
      <c r="E46" s="85">
        <f>myParidad('Flujo de Fondos'!$H$5,$A46,D46,'Flujo de Fondos'!$H$7,'Flujo de Fondos'!$H$6)</f>
        <v>0.25591760197842217</v>
      </c>
      <c r="F46" s="64">
        <v>21.2</v>
      </c>
      <c r="G46" s="81">
        <f>myParidad('Flujo de Fondos'!$N$5,$A46,F46,'Flujo de Fondos'!$N$7,'Flujo de Fondos'!$N$6)</f>
        <v>0.20016814330983637</v>
      </c>
      <c r="H46" s="66">
        <v>27.05</v>
      </c>
      <c r="I46" s="81">
        <f>myParidad('Flujo de Fondos'!$T$5,$A46,H46,'Flujo de Fondos'!$T$7,'Flujo de Fondos'!$T$6)</f>
        <v>0.27022514770935041</v>
      </c>
      <c r="J46" s="66">
        <v>22.3</v>
      </c>
      <c r="K46" s="81">
        <f>myParidad('Flujo de Fondos'!$B$34,$A46,J46,'Flujo de Fondos'!$B$36,'Flujo de Fondos'!$B$35)</f>
        <v>0.22097715094358833</v>
      </c>
      <c r="L46" s="64">
        <v>26.8</v>
      </c>
      <c r="M46" s="81">
        <f>myParidad('Flujo de Fondos'!$H$34,'Paridad usd'!$A46,'Paridad usd'!L46,'Flujo de Fondos'!$H$36,'Flujo de Fondos'!$H$35)</f>
        <v>0.2677276879338481</v>
      </c>
      <c r="N46" s="66">
        <v>24.69</v>
      </c>
      <c r="O46" s="81">
        <f>myParidad('Flujo de Fondos'!$N$34,$A46,N46,'Flujo de Fondos'!$N$36,'Flujo de Fondos'!$N$35)</f>
        <v>0.24664912742860859</v>
      </c>
      <c r="P46" s="65">
        <f t="shared" si="0"/>
        <v>2.0040025834387326E-2</v>
      </c>
      <c r="Q46" s="65">
        <f t="shared" si="1"/>
        <v>3.5709432834198473E-2</v>
      </c>
      <c r="R46" s="65">
        <f t="shared" si="2"/>
        <v>-4.7519518789624404E-2</v>
      </c>
      <c r="S46" s="65">
        <f t="shared" si="3"/>
        <v>-2.6440958284384891E-2</v>
      </c>
      <c r="T46" s="65">
        <f t="shared" si="4"/>
        <v>9.2684745498135823E-3</v>
      </c>
      <c r="U46" s="65">
        <f t="shared" si="5"/>
        <v>-4.6480984118772217E-2</v>
      </c>
      <c r="V46" s="65">
        <f t="shared" si="6"/>
        <v>-2.0809007633751958E-2</v>
      </c>
      <c r="W46" s="65">
        <f t="shared" si="7"/>
        <v>-7.6898179936463196E-4</v>
      </c>
      <c r="X46" s="65">
        <f t="shared" si="8"/>
        <v>7.0057004399514039E-2</v>
      </c>
      <c r="Y46" s="73">
        <f t="shared" si="9"/>
        <v>-6.755954462401173E-2</v>
      </c>
      <c r="Z46" s="80"/>
    </row>
    <row r="47" spans="1:26" x14ac:dyDescent="0.25">
      <c r="A47" s="63">
        <v>45044</v>
      </c>
      <c r="B47" s="64">
        <v>21.52</v>
      </c>
      <c r="C47" s="81">
        <f>myParidad('Flujo de Fondos'!$B$5,A47,B47,'Flujo de Fondos'!$B$7,'Flujo de Fondos'!$B$6)</f>
        <v>0.21348626097355475</v>
      </c>
      <c r="D47" s="64">
        <v>25.65</v>
      </c>
      <c r="E47" s="85">
        <f>myParidad('Flujo de Fondos'!$H$5,$A47,D47,'Flujo de Fondos'!$H$7,'Flujo de Fondos'!$H$6)</f>
        <v>0.25445736960834942</v>
      </c>
      <c r="F47" s="64">
        <v>20.6</v>
      </c>
      <c r="G47" s="81">
        <f>myParidad('Flujo de Fondos'!$N$5,$A47,F47,'Flujo de Fondos'!$N$7,'Flujo de Fondos'!$N$6)</f>
        <v>0.19451307058503967</v>
      </c>
      <c r="H47" s="66">
        <v>25.8</v>
      </c>
      <c r="I47" s="81">
        <f>myParidad('Flujo de Fondos'!$T$5,$A47,H47,'Flujo de Fondos'!$T$7,'Flujo de Fondos'!$T$6)</f>
        <v>0.25774137594810687</v>
      </c>
      <c r="J47" s="66">
        <v>21.5</v>
      </c>
      <c r="K47" s="81">
        <f>myParidad('Flujo de Fondos'!$B$34,$A47,J47,'Flujo de Fondos'!$B$36,'Flujo de Fondos'!$B$35)</f>
        <v>0.21307575083916819</v>
      </c>
      <c r="L47" s="64">
        <v>25.8</v>
      </c>
      <c r="M47" s="81">
        <f>myParidad('Flujo de Fondos'!$H$34,'Paridad usd'!$A47,'Paridad usd'!L47,'Flujo de Fondos'!$H$36,'Flujo de Fondos'!$H$35)</f>
        <v>0.25774137594810687</v>
      </c>
      <c r="N47" s="66">
        <v>23.939</v>
      </c>
      <c r="O47" s="81">
        <f>myParidad('Flujo de Fondos'!$N$34,$A47,N47,'Flujo de Fondos'!$N$36,'Flujo de Fondos'!$N$35)</f>
        <v>0.23915003096208257</v>
      </c>
      <c r="P47" s="65">
        <f t="shared" si="0"/>
        <v>1.8973190388515082E-2</v>
      </c>
      <c r="Q47" s="65">
        <f t="shared" si="1"/>
        <v>4.0971108634794667E-2</v>
      </c>
      <c r="R47" s="65">
        <f t="shared" si="2"/>
        <v>-4.4255114974552118E-2</v>
      </c>
      <c r="S47" s="65">
        <f t="shared" si="3"/>
        <v>-2.5663769988527818E-2</v>
      </c>
      <c r="T47" s="65">
        <f t="shared" si="4"/>
        <v>1.5307338646266849E-2</v>
      </c>
      <c r="U47" s="65">
        <f t="shared" si="5"/>
        <v>-4.46369603770429E-2</v>
      </c>
      <c r="V47" s="65">
        <f t="shared" si="6"/>
        <v>-1.8562680254128522E-2</v>
      </c>
      <c r="W47" s="65">
        <f t="shared" si="7"/>
        <v>4.1051013438656025E-4</v>
      </c>
      <c r="X47" s="65">
        <f t="shared" si="8"/>
        <v>6.32283053630672E-2</v>
      </c>
      <c r="Y47" s="73">
        <f t="shared" si="9"/>
        <v>-6.32283053630672E-2</v>
      </c>
      <c r="Z47" s="80"/>
    </row>
    <row r="48" spans="1:26" x14ac:dyDescent="0.25">
      <c r="A48" s="63">
        <v>45043</v>
      </c>
      <c r="B48" s="64">
        <v>21.25</v>
      </c>
      <c r="C48" s="81">
        <f>myParidad('Flujo de Fondos'!$B$5,A48,B48,'Flujo de Fondos'!$B$7,'Flujo de Fondos'!$B$6)</f>
        <v>0.21081349206349206</v>
      </c>
      <c r="D48" s="64">
        <v>24.7</v>
      </c>
      <c r="E48" s="85">
        <f>myParidad('Flujo de Fondos'!$H$5,$A48,D48,'Flujo de Fondos'!$H$7,'Flujo de Fondos'!$H$6)</f>
        <v>0.24503968253968253</v>
      </c>
      <c r="F48" s="64">
        <v>20.38</v>
      </c>
      <c r="G48" s="81">
        <f>myParidad('Flujo de Fondos'!$N$5,$A48,F48,'Flujo de Fondos'!$N$7,'Flujo de Fondos'!$N$6)</f>
        <v>0.19243823567455698</v>
      </c>
      <c r="H48" s="66">
        <v>25.34</v>
      </c>
      <c r="I48" s="81">
        <f>myParidad('Flujo de Fondos'!$T$5,$A48,H48,'Flujo de Fondos'!$T$7,'Flujo de Fondos'!$T$6)</f>
        <v>0.25314685314685315</v>
      </c>
      <c r="J48" s="66">
        <v>21.9</v>
      </c>
      <c r="K48" s="81">
        <f>myParidad('Flujo de Fondos'!$B$34,$A48,J48,'Flujo de Fondos'!$B$36,'Flujo de Fondos'!$B$35)</f>
        <v>0.21704658077304259</v>
      </c>
      <c r="L48" s="64">
        <v>26</v>
      </c>
      <c r="M48" s="81">
        <f>myParidad('Flujo de Fondos'!$H$34,'Paridad usd'!$A48,'Paridad usd'!L48,'Flujo de Fondos'!$H$36,'Flujo de Fondos'!$H$35)</f>
        <v>0.25974025974025972</v>
      </c>
      <c r="N48" s="66">
        <v>22.998999999999999</v>
      </c>
      <c r="O48" s="81">
        <f>myParidad('Flujo de Fondos'!$N$34,$A48,N48,'Flujo de Fondos'!$N$36,'Flujo de Fondos'!$N$35)</f>
        <v>0.22976023976023974</v>
      </c>
      <c r="P48" s="65">
        <f t="shared" si="0"/>
        <v>1.8375256388935085E-2</v>
      </c>
      <c r="Q48" s="65">
        <f t="shared" si="1"/>
        <v>3.4226190476190466E-2</v>
      </c>
      <c r="R48" s="65">
        <f t="shared" si="2"/>
        <v>-4.8926767676767652E-2</v>
      </c>
      <c r="S48" s="65">
        <f t="shared" si="3"/>
        <v>-1.8946747696747673E-2</v>
      </c>
      <c r="T48" s="65">
        <f t="shared" si="4"/>
        <v>1.5279442779442792E-2</v>
      </c>
      <c r="U48" s="65">
        <f t="shared" si="5"/>
        <v>-3.7322004085682758E-2</v>
      </c>
      <c r="V48" s="65">
        <f t="shared" si="6"/>
        <v>-2.4608345098485612E-2</v>
      </c>
      <c r="W48" s="65">
        <f t="shared" si="7"/>
        <v>-6.2330887095505272E-3</v>
      </c>
      <c r="X48" s="65">
        <f t="shared" si="8"/>
        <v>6.0708617472296167E-2</v>
      </c>
      <c r="Y48" s="73">
        <f t="shared" si="9"/>
        <v>-6.7302024065702737E-2</v>
      </c>
      <c r="Z48" s="80"/>
    </row>
    <row r="49" spans="1:26" x14ac:dyDescent="0.25">
      <c r="A49" s="63">
        <v>45042</v>
      </c>
      <c r="B49" s="64">
        <v>21.6</v>
      </c>
      <c r="C49" s="81">
        <f>myParidad('Flujo de Fondos'!$B$5,A49,B49,'Flujo de Fondos'!$B$7,'Flujo de Fondos'!$B$6)</f>
        <v>0.21429153869152784</v>
      </c>
      <c r="D49" s="64">
        <v>23.8</v>
      </c>
      <c r="E49" s="85">
        <f>myParidad('Flujo de Fondos'!$H$5,$A49,D49,'Flujo de Fondos'!$H$7,'Flujo de Fondos'!$H$6)</f>
        <v>0.23611752874344269</v>
      </c>
      <c r="F49" s="64">
        <v>20.777999999999999</v>
      </c>
      <c r="G49" s="81">
        <f>myParidad('Flujo de Fondos'!$N$5,$A49,F49,'Flujo de Fondos'!$N$7,'Flujo de Fondos'!$N$6)</f>
        <v>0.196198890168027</v>
      </c>
      <c r="H49" s="66">
        <v>25.76</v>
      </c>
      <c r="I49" s="81">
        <f>myParidad('Flujo de Fondos'!$T$5,$A49,H49,'Flujo de Fondos'!$T$7,'Flujo de Fondos'!$T$6)</f>
        <v>0.25734353777570984</v>
      </c>
      <c r="J49" s="66">
        <v>21.15</v>
      </c>
      <c r="K49" s="81">
        <f>myParidad('Flujo de Fondos'!$B$34,$A49,J49,'Flujo de Fondos'!$B$36,'Flujo de Fondos'!$B$35)</f>
        <v>0.20961988194922934</v>
      </c>
      <c r="L49" s="64">
        <v>26.2</v>
      </c>
      <c r="M49" s="81">
        <f>myParidad('Flujo de Fondos'!$H$34,'Paridad usd'!$A49,'Paridad usd'!L49,'Flujo de Fondos'!$H$36,'Flujo de Fondos'!$H$35)</f>
        <v>0.26173915720976698</v>
      </c>
      <c r="N49" s="66">
        <v>22.998999999999999</v>
      </c>
      <c r="O49" s="81">
        <f>myParidad('Flujo de Fondos'!$N$34,$A49,N49,'Flujo de Fondos'!$N$36,'Flujo de Fondos'!$N$35)</f>
        <v>0.22976102582700117</v>
      </c>
      <c r="P49" s="65">
        <f t="shared" si="0"/>
        <v>1.8092648523500843E-2</v>
      </c>
      <c r="Q49" s="65">
        <f t="shared" si="1"/>
        <v>2.1825990051914851E-2</v>
      </c>
      <c r="R49" s="65">
        <f t="shared" si="2"/>
        <v>-4.7447618518239143E-2</v>
      </c>
      <c r="S49" s="65">
        <f t="shared" si="3"/>
        <v>-1.5469487135473331E-2</v>
      </c>
      <c r="T49" s="65">
        <f t="shared" si="4"/>
        <v>6.3565029164415199E-3</v>
      </c>
      <c r="U49" s="65">
        <f t="shared" si="5"/>
        <v>-3.3562135658974174E-2</v>
      </c>
      <c r="V49" s="65">
        <f t="shared" si="6"/>
        <v>-1.3420991781202346E-2</v>
      </c>
      <c r="W49" s="65">
        <f t="shared" si="7"/>
        <v>4.6716567422984967E-3</v>
      </c>
      <c r="X49" s="65">
        <f t="shared" si="8"/>
        <v>6.1144647607682845E-2</v>
      </c>
      <c r="Y49" s="73">
        <f t="shared" si="9"/>
        <v>-6.5540267041739986E-2</v>
      </c>
      <c r="Z49" s="80"/>
    </row>
    <row r="50" spans="1:26" x14ac:dyDescent="0.25">
      <c r="A50" s="63">
        <v>45041</v>
      </c>
      <c r="B50" s="64">
        <v>21.6</v>
      </c>
      <c r="C50" s="81">
        <f>myParidad('Flujo de Fondos'!$B$5,A50,B50,'Flujo de Fondos'!$B$7,'Flujo de Fondos'!$B$6)</f>
        <v>0.21429736341397121</v>
      </c>
      <c r="D50" s="64">
        <v>24.9</v>
      </c>
      <c r="E50" s="85">
        <f>myParidad('Flujo de Fondos'!$H$5,$A50,D50,'Flujo de Fondos'!$H$7,'Flujo de Fondos'!$H$6)</f>
        <v>0.24703723837999456</v>
      </c>
      <c r="F50" s="64">
        <v>20.61</v>
      </c>
      <c r="G50" s="81">
        <f>myParidad('Flujo de Fondos'!$N$5,$A50,F50,'Flujo de Fondos'!$N$7,'Flujo de Fondos'!$N$6)</f>
        <v>0.19461504630827339</v>
      </c>
      <c r="H50" s="66">
        <v>25.85</v>
      </c>
      <c r="I50" s="81">
        <f>myParidad('Flujo de Fondos'!$T$5,$A50,H50,'Flujo de Fondos'!$T$7,'Flujo de Fondos'!$T$6)</f>
        <v>0.25824352526600297</v>
      </c>
      <c r="J50" s="66">
        <v>20.6</v>
      </c>
      <c r="K50" s="81">
        <f>myParidad('Flujo de Fondos'!$B$34,$A50,J50,'Flujo de Fondos'!$B$36,'Flujo de Fondos'!$B$35)</f>
        <v>0.20417501103153324</v>
      </c>
      <c r="L50" s="64">
        <v>26</v>
      </c>
      <c r="M50" s="81">
        <f>myParidad('Flujo de Fondos'!$H$34,'Paridad usd'!$A50,'Paridad usd'!L50,'Flujo de Fondos'!$H$36,'Flujo de Fondos'!$H$35)</f>
        <v>0.25974203701803006</v>
      </c>
      <c r="N50" s="66">
        <v>22.5</v>
      </c>
      <c r="O50" s="81">
        <f>myParidad('Flujo de Fondos'!$N$34,$A50,N50,'Flujo de Fondos'!$N$36,'Flujo de Fondos'!$N$35)</f>
        <v>0.22477676280406444</v>
      </c>
      <c r="P50" s="65">
        <f t="shared" si="0"/>
        <v>1.9682317105697816E-2</v>
      </c>
      <c r="Q50" s="65">
        <f t="shared" si="1"/>
        <v>3.2739874966023347E-2</v>
      </c>
      <c r="R50" s="65">
        <f t="shared" si="2"/>
        <v>-4.5444673604058849E-2</v>
      </c>
      <c r="S50" s="65">
        <f t="shared" si="3"/>
        <v>-1.0479399390093236E-2</v>
      </c>
      <c r="T50" s="65">
        <f t="shared" si="4"/>
        <v>2.2260475575930111E-2</v>
      </c>
      <c r="U50" s="65">
        <f t="shared" si="5"/>
        <v>-3.0161716495791052E-2</v>
      </c>
      <c r="V50" s="65">
        <f t="shared" si="6"/>
        <v>-9.559964723259845E-3</v>
      </c>
      <c r="W50" s="65">
        <f t="shared" si="7"/>
        <v>1.0122352382437971E-2</v>
      </c>
      <c r="X50" s="65">
        <f t="shared" si="8"/>
        <v>6.3628478957729578E-2</v>
      </c>
      <c r="Y50" s="73">
        <f t="shared" si="9"/>
        <v>-6.5126990709756666E-2</v>
      </c>
      <c r="Z50" s="80"/>
    </row>
    <row r="51" spans="1:26" x14ac:dyDescent="0.25">
      <c r="A51" s="63">
        <v>45040</v>
      </c>
      <c r="B51" s="64">
        <v>22.498999999999999</v>
      </c>
      <c r="C51" s="81">
        <f>myParidad('Flujo de Fondos'!$B$5,A51,B51,'Flujo de Fondos'!$B$7,'Flujo de Fondos'!$B$6)</f>
        <v>0.22322256652803826</v>
      </c>
      <c r="D51" s="64">
        <v>24.5</v>
      </c>
      <c r="E51" s="85">
        <f>myParidad('Flujo de Fondos'!$H$5,$A51,D51,'Flujo de Fondos'!$H$7,'Flujo de Fondos'!$H$6)</f>
        <v>0.24307537579167687</v>
      </c>
      <c r="F51" s="64">
        <v>20.57</v>
      </c>
      <c r="G51" s="81">
        <f>myParidad('Flujo de Fondos'!$N$5,$A51,F51,'Flujo de Fondos'!$N$7,'Flujo de Fondos'!$N$6)</f>
        <v>0.19423984891406987</v>
      </c>
      <c r="H51" s="66">
        <v>25.4</v>
      </c>
      <c r="I51" s="81">
        <f>myParidad('Flujo de Fondos'!$T$5,$A51,H51,'Flujo de Fondos'!$T$7,'Flujo de Fondos'!$T$6)</f>
        <v>0.25374885815066595</v>
      </c>
      <c r="J51" s="66">
        <v>21.06</v>
      </c>
      <c r="K51" s="81">
        <f>myParidad('Flujo de Fondos'!$B$34,$A51,J51,'Flujo de Fondos'!$B$36,'Flujo de Fondos'!$B$35)</f>
        <v>0.20874063563939022</v>
      </c>
      <c r="L51" s="64">
        <v>26.7</v>
      </c>
      <c r="M51" s="81">
        <f>myParidad('Flujo de Fondos'!$H$34,'Paridad usd'!$A51,'Paridad usd'!L51,'Flujo de Fondos'!$H$36,'Flujo de Fondos'!$H$35)</f>
        <v>0.26673600443396772</v>
      </c>
      <c r="N51" s="66">
        <v>22.65</v>
      </c>
      <c r="O51" s="81">
        <f>myParidad('Flujo de Fondos'!$N$34,$A51,N51,'Flujo de Fondos'!$N$36,'Flujo de Fondos'!$N$35)</f>
        <v>0.22627604870521981</v>
      </c>
      <c r="P51" s="65">
        <f t="shared" si="0"/>
        <v>2.8982717613968395E-2</v>
      </c>
      <c r="Q51" s="65">
        <f t="shared" si="1"/>
        <v>1.985280926363861E-2</v>
      </c>
      <c r="R51" s="65">
        <f t="shared" si="2"/>
        <v>-4.3513437905929458E-2</v>
      </c>
      <c r="S51" s="65">
        <f t="shared" si="3"/>
        <v>-3.0534821771815435E-3</v>
      </c>
      <c r="T51" s="65">
        <f t="shared" si="4"/>
        <v>1.6799327086457067E-2</v>
      </c>
      <c r="U51" s="65">
        <f t="shared" si="5"/>
        <v>-3.2036199791149939E-2</v>
      </c>
      <c r="V51" s="65">
        <f t="shared" si="6"/>
        <v>-1.4500786725320347E-2</v>
      </c>
      <c r="W51" s="65">
        <f t="shared" si="7"/>
        <v>1.4481930888648048E-2</v>
      </c>
      <c r="X51" s="65">
        <f t="shared" si="8"/>
        <v>5.9509009236596078E-2</v>
      </c>
      <c r="Y51" s="73">
        <f t="shared" si="9"/>
        <v>-7.2496155519897854E-2</v>
      </c>
      <c r="Z51" s="80"/>
    </row>
    <row r="52" spans="1:26" x14ac:dyDescent="0.25">
      <c r="A52" s="63">
        <v>45037</v>
      </c>
      <c r="B52" s="64">
        <v>22.1</v>
      </c>
      <c r="C52" s="81">
        <f>myParidad('Flujo de Fondos'!$B$5,A52,B52,'Flujo de Fondos'!$B$7,'Flujo de Fondos'!$B$6)</f>
        <v>0.21928179198608166</v>
      </c>
      <c r="D52" s="64">
        <v>25.5</v>
      </c>
      <c r="E52" s="85">
        <f>myParidad('Flujo de Fondos'!$H$5,$A52,D52,'Flujo de Fondos'!$H$7,'Flujo de Fondos'!$H$6)</f>
        <v>0.25301745229163269</v>
      </c>
      <c r="F52" s="64">
        <v>21.379000000000001</v>
      </c>
      <c r="G52" s="81">
        <f>myParidad('Flujo de Fondos'!$N$5,$A52,F52,'Flujo de Fondos'!$N$7,'Flujo de Fondos'!$N$6)</f>
        <v>0.20188696574562767</v>
      </c>
      <c r="H52" s="66">
        <v>25.59</v>
      </c>
      <c r="I52" s="81">
        <f>myParidad('Flujo de Fondos'!$T$5,$A52,H52,'Flujo de Fondos'!$T$7,'Flujo de Fondos'!$T$6)</f>
        <v>0.25564960347057336</v>
      </c>
      <c r="J52" s="66">
        <v>21.4</v>
      </c>
      <c r="K52" s="81">
        <f>myParidad('Flujo de Fondos'!$B$34,$A52,J52,'Flujo de Fondos'!$B$36,'Flujo de Fondos'!$B$35)</f>
        <v>0.21213005900045487</v>
      </c>
      <c r="L52" s="64">
        <v>26.3</v>
      </c>
      <c r="M52" s="81">
        <f>myParidad('Flujo de Fondos'!$H$34,'Paridad usd'!$A52,'Paridad usd'!L52,'Flujo de Fondos'!$H$36,'Flujo de Fondos'!$H$35)</f>
        <v>0.26274265616553649</v>
      </c>
      <c r="N52" s="66">
        <v>23</v>
      </c>
      <c r="O52" s="81">
        <f>myParidad('Flujo de Fondos'!$N$34,$A52,N52,'Flujo de Fondos'!$N$36,'Flujo de Fondos'!$N$35)</f>
        <v>0.22977494645655283</v>
      </c>
      <c r="P52" s="65">
        <f t="shared" si="0"/>
        <v>1.7394826240453992E-2</v>
      </c>
      <c r="Q52" s="65">
        <f t="shared" si="1"/>
        <v>3.373566030555103E-2</v>
      </c>
      <c r="R52" s="65">
        <f t="shared" si="2"/>
        <v>-4.3460864179454828E-2</v>
      </c>
      <c r="S52" s="65">
        <f t="shared" si="3"/>
        <v>-1.0493154470471167E-2</v>
      </c>
      <c r="T52" s="65">
        <f t="shared" si="4"/>
        <v>2.3242505835079863E-2</v>
      </c>
      <c r="U52" s="65">
        <f t="shared" si="5"/>
        <v>-2.7887980710925159E-2</v>
      </c>
      <c r="V52" s="65">
        <f t="shared" si="6"/>
        <v>-1.0243093254827196E-2</v>
      </c>
      <c r="W52" s="65">
        <f t="shared" si="7"/>
        <v>7.1517329856267964E-3</v>
      </c>
      <c r="X52" s="65">
        <f t="shared" si="8"/>
        <v>5.3762637724945689E-2</v>
      </c>
      <c r="Y52" s="73">
        <f t="shared" si="9"/>
        <v>-6.085569041990882E-2</v>
      </c>
      <c r="Z52" s="80"/>
    </row>
    <row r="53" spans="1:26" x14ac:dyDescent="0.25">
      <c r="A53" s="63">
        <v>45036</v>
      </c>
      <c r="B53" s="64">
        <v>22.5</v>
      </c>
      <c r="C53" s="81">
        <f>myParidad('Flujo de Fondos'!$B$5,A53,B53,'Flujo de Fondos'!$B$7,'Flujo de Fondos'!$B$6)</f>
        <v>0.22325676226722849</v>
      </c>
      <c r="D53" s="64">
        <v>25</v>
      </c>
      <c r="E53" s="85">
        <f>myParidad('Flujo de Fondos'!$H$5,$A53,D53,'Flujo de Fondos'!$H$7,'Flujo de Fondos'!$H$6)</f>
        <v>0.24806306918580942</v>
      </c>
      <c r="F53" s="64">
        <v>21.521999999999998</v>
      </c>
      <c r="G53" s="81">
        <f>myParidad('Flujo de Fondos'!$N$5,$A53,F53,'Flujo de Fondos'!$N$7,'Flujo de Fondos'!$N$6)</f>
        <v>0.20323997774989327</v>
      </c>
      <c r="H53" s="66">
        <v>25.061</v>
      </c>
      <c r="I53" s="81">
        <f>myParidad('Flujo de Fondos'!$T$5,$A53,H53,'Flujo de Fondos'!$T$7,'Flujo de Fondos'!$T$6)</f>
        <v>0.25036563627965858</v>
      </c>
      <c r="J53" s="66">
        <v>21.85</v>
      </c>
      <c r="K53" s="81">
        <f>myParidad('Flujo de Fondos'!$B$34,$A53,J53,'Flujo de Fondos'!$B$36,'Flujo de Fondos'!$B$35)</f>
        <v>0.21659735542240255</v>
      </c>
      <c r="L53" s="64">
        <v>27</v>
      </c>
      <c r="M53" s="81">
        <f>myParidad('Flujo de Fondos'!$H$34,'Paridad usd'!$A53,'Paridad usd'!L53,'Flujo de Fondos'!$H$36,'Flujo de Fondos'!$H$35)</f>
        <v>0.2697367295619002</v>
      </c>
      <c r="N53" s="66">
        <v>23.061</v>
      </c>
      <c r="O53" s="81">
        <f>myParidad('Flujo de Fondos'!$N$34,$A53,N53,'Flujo de Fondos'!$N$36,'Flujo de Fondos'!$N$35)</f>
        <v>0.23038513779359188</v>
      </c>
      <c r="P53" s="65">
        <f t="shared" si="0"/>
        <v>2.0016784517335212E-2</v>
      </c>
      <c r="Q53" s="65">
        <f t="shared" si="1"/>
        <v>2.4806306918580934E-2</v>
      </c>
      <c r="R53" s="65">
        <f t="shared" si="2"/>
        <v>-4.6479967294671715E-2</v>
      </c>
      <c r="S53" s="65">
        <f t="shared" si="3"/>
        <v>-7.1283755263633897E-3</v>
      </c>
      <c r="T53" s="65">
        <f t="shared" si="4"/>
        <v>1.7677931392217544E-2</v>
      </c>
      <c r="U53" s="65">
        <f t="shared" si="5"/>
        <v>-2.7145160043698602E-2</v>
      </c>
      <c r="V53" s="65">
        <f t="shared" si="6"/>
        <v>-1.3357377672509274E-2</v>
      </c>
      <c r="W53" s="65">
        <f t="shared" si="7"/>
        <v>6.659406844825938E-3</v>
      </c>
      <c r="X53" s="65">
        <f t="shared" si="8"/>
        <v>4.7125658529765302E-2</v>
      </c>
      <c r="Y53" s="73">
        <f t="shared" si="9"/>
        <v>-6.6496751812006927E-2</v>
      </c>
      <c r="Z53" s="80"/>
    </row>
    <row r="54" spans="1:26" x14ac:dyDescent="0.25">
      <c r="A54" s="63">
        <v>45035</v>
      </c>
      <c r="B54" s="64">
        <v>23</v>
      </c>
      <c r="C54" s="81">
        <f>myParidad('Flujo de Fondos'!$B$5,A54,B54,'Flujo de Fondos'!$B$7,'Flujo de Fondos'!$B$6)</f>
        <v>0.22822422792518487</v>
      </c>
      <c r="D54" s="64">
        <v>24.9</v>
      </c>
      <c r="E54" s="85">
        <f>myParidad('Flujo de Fondos'!$H$5,$A54,D54,'Flujo de Fondos'!$H$7,'Flujo de Fondos'!$H$6)</f>
        <v>0.24707753371030883</v>
      </c>
      <c r="F54" s="64">
        <v>22.17</v>
      </c>
      <c r="G54" s="81">
        <f>myParidad('Flujo de Fondos'!$N$5,$A54,F54,'Flujo de Fondos'!$N$7,'Flujo de Fondos'!$N$6)</f>
        <v>0.20936198287237071</v>
      </c>
      <c r="H54" s="66">
        <v>24.16</v>
      </c>
      <c r="I54" s="81">
        <f>myParidad('Flujo de Fondos'!$T$5,$A54,H54,'Flujo de Fondos'!$T$7,'Flujo de Fondos'!$T$6)</f>
        <v>0.24136524749900781</v>
      </c>
      <c r="J54" s="66">
        <v>22.26</v>
      </c>
      <c r="K54" s="81">
        <f>myParidad('Flujo de Fondos'!$B$34,$A54,J54,'Flujo de Fondos'!$B$36,'Flujo de Fondos'!$B$35)</f>
        <v>0.22066839582286563</v>
      </c>
      <c r="L54" s="64">
        <v>26.7</v>
      </c>
      <c r="M54" s="81">
        <f>myParidad('Flujo de Fondos'!$H$34,'Paridad usd'!$A54,'Paridad usd'!L54,'Flujo de Fondos'!$H$36,'Flujo de Fondos'!$H$35)</f>
        <v>0.26674056739335716</v>
      </c>
      <c r="N54" s="66">
        <v>23.49</v>
      </c>
      <c r="O54" s="81">
        <f>myParidad('Flujo de Fondos'!$N$34,$A54,N54,'Flujo de Fondos'!$N$36,'Flujo de Fondos'!$N$35)</f>
        <v>0.23467175760561643</v>
      </c>
      <c r="P54" s="65">
        <f t="shared" si="0"/>
        <v>1.8862245052814169E-2</v>
      </c>
      <c r="Q54" s="65">
        <f t="shared" si="1"/>
        <v>1.8853305785123953E-2</v>
      </c>
      <c r="R54" s="65">
        <f t="shared" si="2"/>
        <v>-3.8516339468172289E-2</v>
      </c>
      <c r="S54" s="65">
        <f t="shared" si="3"/>
        <v>-6.4475296804315518E-3</v>
      </c>
      <c r="T54" s="65">
        <f t="shared" si="4"/>
        <v>1.2405776104692401E-2</v>
      </c>
      <c r="U54" s="65">
        <f t="shared" si="5"/>
        <v>-2.5309774733245721E-2</v>
      </c>
      <c r="V54" s="65">
        <f t="shared" si="6"/>
        <v>-1.1306412950494921E-2</v>
      </c>
      <c r="W54" s="65">
        <f t="shared" si="7"/>
        <v>7.5558321023192487E-3</v>
      </c>
      <c r="X54" s="65">
        <f t="shared" si="8"/>
        <v>3.2003264626637107E-2</v>
      </c>
      <c r="Y54" s="73">
        <f t="shared" si="9"/>
        <v>-5.7378584520986459E-2</v>
      </c>
      <c r="Z54" s="25"/>
    </row>
    <row r="55" spans="1:26" x14ac:dyDescent="0.25">
      <c r="A55" s="63">
        <v>45034</v>
      </c>
      <c r="B55" s="64">
        <v>24.95</v>
      </c>
      <c r="C55" s="81">
        <f>myParidad('Flujo de Fondos'!$B$5,A55,B55,'Flujo de Fondos'!$B$7,'Flujo de Fondos'!$B$6)</f>
        <v>0.24758040399097409</v>
      </c>
      <c r="D55" s="64">
        <v>27.498999999999999</v>
      </c>
      <c r="E55" s="85">
        <f>myParidad('Flujo de Fondos'!$H$5,$A55,D55,'Flujo de Fondos'!$H$7,'Flujo de Fondos'!$H$6)</f>
        <v>0.27287428975341871</v>
      </c>
      <c r="F55" s="64">
        <v>24.3</v>
      </c>
      <c r="G55" s="81">
        <f>myParidad('Flujo de Fondos'!$N$5,$A55,F55,'Flujo de Fondos'!$N$7,'Flujo de Fondos'!$N$6)</f>
        <v>0.22947956688787985</v>
      </c>
      <c r="H55" s="66">
        <v>27.54</v>
      </c>
      <c r="I55" s="81">
        <f>myParidad('Flujo de Fondos'!$T$5,$A55,H55,'Flujo de Fondos'!$T$7,'Flujo de Fondos'!$T$6)</f>
        <v>0.27513334679061047</v>
      </c>
      <c r="J55" s="66">
        <v>23.951000000000001</v>
      </c>
      <c r="K55" s="81">
        <f>myParidad('Flujo de Fondos'!$B$34,$A55,J55,'Flujo de Fondos'!$B$36,'Flujo de Fondos'!$B$35)</f>
        <v>0.23743891467236128</v>
      </c>
      <c r="L55" s="64">
        <v>28.6</v>
      </c>
      <c r="M55" s="81">
        <f>myParidad('Flujo de Fondos'!$H$34,'Paridad usd'!$A55,'Paridad usd'!L55,'Flujo de Fondos'!$H$36,'Flujo de Fondos'!$H$35)</f>
        <v>0.28572308344994407</v>
      </c>
      <c r="N55" s="66">
        <v>24.85</v>
      </c>
      <c r="O55" s="81">
        <f>myParidad('Flujo de Fondos'!$N$34,$A55,N55,'Flujo de Fondos'!$N$36,'Flujo de Fondos'!$N$35)</f>
        <v>0.24825939243815071</v>
      </c>
      <c r="P55" s="65">
        <f t="shared" si="0"/>
        <v>1.8100837103094236E-2</v>
      </c>
      <c r="Q55" s="65">
        <f t="shared" si="1"/>
        <v>2.5293885762444623E-2</v>
      </c>
      <c r="R55" s="65">
        <f t="shared" si="2"/>
        <v>-3.8142679458969986E-2</v>
      </c>
      <c r="S55" s="65">
        <f t="shared" si="3"/>
        <v>-6.7898844717662055E-4</v>
      </c>
      <c r="T55" s="65">
        <f t="shared" si="4"/>
        <v>2.4614897315268003E-2</v>
      </c>
      <c r="U55" s="65">
        <f t="shared" si="5"/>
        <v>-1.8779825550270857E-2</v>
      </c>
      <c r="V55" s="65">
        <f t="shared" si="6"/>
        <v>-7.9593477844814298E-3</v>
      </c>
      <c r="W55" s="65">
        <f t="shared" si="7"/>
        <v>1.0141489318612806E-2</v>
      </c>
      <c r="X55" s="65">
        <f t="shared" si="8"/>
        <v>4.5653779902730618E-2</v>
      </c>
      <c r="Y55" s="73">
        <f t="shared" si="9"/>
        <v>-5.6243516562064222E-2</v>
      </c>
      <c r="Z55" s="80"/>
    </row>
    <row r="56" spans="1:26" x14ac:dyDescent="0.25">
      <c r="A56" s="63">
        <v>45033</v>
      </c>
      <c r="B56" s="64">
        <v>25.998999999999999</v>
      </c>
      <c r="C56" s="81">
        <f>myParidad('Flujo de Fondos'!$B$5,A56,B56,'Flujo de Fondos'!$B$7,'Flujo de Fondos'!$B$6)</f>
        <v>0.25799671034745253</v>
      </c>
      <c r="D56" s="64">
        <v>28.4</v>
      </c>
      <c r="E56" s="85">
        <f>myParidad('Flujo de Fondos'!$H$5,$A56,D56,'Flujo de Fondos'!$H$7,'Flujo de Fondos'!$H$6)</f>
        <v>0.28182263063454949</v>
      </c>
      <c r="F56" s="64">
        <v>25.12</v>
      </c>
      <c r="G56" s="81">
        <f>myParidad('Flujo de Fondos'!$N$5,$A56,F56,'Flujo de Fondos'!$N$7,'Flujo de Fondos'!$N$6)</f>
        <v>0.23722639068564036</v>
      </c>
      <c r="H56" s="66">
        <v>28.35</v>
      </c>
      <c r="I56" s="81">
        <f>myParidad('Flujo de Fondos'!$T$5,$A56,H56,'Flujo de Fondos'!$T$7,'Flujo de Fondos'!$T$6)</f>
        <v>0.28322647306368509</v>
      </c>
      <c r="J56" s="66">
        <v>24.5</v>
      </c>
      <c r="K56" s="81">
        <f>myParidad('Flujo de Fondos'!$B$34,$A56,J56,'Flujo de Fondos'!$B$36,'Flujo de Fondos'!$B$35)</f>
        <v>0.24288886323666217</v>
      </c>
      <c r="L56" s="64">
        <v>28.8</v>
      </c>
      <c r="M56" s="81">
        <f>myParidad('Flujo de Fondos'!$H$34,'Paridad usd'!$A56,'Paridad usd'!L56,'Flujo de Fondos'!$H$36,'Flujo de Fondos'!$H$35)</f>
        <v>0.28772213136628327</v>
      </c>
      <c r="N56" s="66">
        <v>25.81</v>
      </c>
      <c r="O56" s="81">
        <f>myParidad('Flujo de Fondos'!$N$34,$A56,N56,'Flujo de Fondos'!$N$36,'Flujo de Fondos'!$N$35)</f>
        <v>0.25785097953346425</v>
      </c>
      <c r="P56" s="65">
        <f t="shared" si="0"/>
        <v>2.077031966181217E-2</v>
      </c>
      <c r="Q56" s="65">
        <f t="shared" si="1"/>
        <v>2.3825920287096958E-2</v>
      </c>
      <c r="R56" s="65">
        <f t="shared" si="2"/>
        <v>-2.9725421018830744E-2</v>
      </c>
      <c r="S56" s="65">
        <f t="shared" si="3"/>
        <v>1.4573081398827625E-4</v>
      </c>
      <c r="T56" s="65">
        <f t="shared" si="4"/>
        <v>2.3971651101085234E-2</v>
      </c>
      <c r="U56" s="65">
        <f t="shared" si="5"/>
        <v>-2.0624588847823894E-2</v>
      </c>
      <c r="V56" s="65">
        <f t="shared" si="6"/>
        <v>-5.6624725510218132E-3</v>
      </c>
      <c r="W56" s="65">
        <f t="shared" si="7"/>
        <v>1.5107847110790357E-2</v>
      </c>
      <c r="X56" s="65">
        <f t="shared" si="8"/>
        <v>4.6000082378044732E-2</v>
      </c>
      <c r="Y56" s="73">
        <f t="shared" si="9"/>
        <v>-5.0495740680642914E-2</v>
      </c>
      <c r="Z56" s="25"/>
    </row>
    <row r="57" spans="1:26" x14ac:dyDescent="0.25">
      <c r="A57" s="63">
        <v>45030</v>
      </c>
      <c r="B57" s="64">
        <v>25.719000000000001</v>
      </c>
      <c r="C57" s="81">
        <f>myParidad('Flujo de Fondos'!$B$5,A57,B57,'Flujo de Fondos'!$B$7,'Flujo de Fondos'!$B$6)</f>
        <v>0.25523899507871339</v>
      </c>
      <c r="D57" s="64">
        <v>28.3</v>
      </c>
      <c r="E57" s="85">
        <f>myParidad('Flujo de Fondos'!$H$5,$A57,D57,'Flujo de Fondos'!$H$7,'Flujo de Fondos'!$H$6)</f>
        <v>0.2808532042741782</v>
      </c>
      <c r="F57" s="64">
        <v>25.15</v>
      </c>
      <c r="G57" s="81">
        <f>myParidad('Flujo de Fondos'!$N$5,$A57,F57,'Flujo de Fondos'!$N$7,'Flujo de Fondos'!$N$6)</f>
        <v>0.23751892052731671</v>
      </c>
      <c r="H57" s="66">
        <v>28.31</v>
      </c>
      <c r="I57" s="81">
        <f>myParidad('Flujo de Fondos'!$T$5,$A57,H57,'Flujo de Fondos'!$T$7,'Flujo de Fondos'!$T$6)</f>
        <v>0.28282976197400428</v>
      </c>
      <c r="J57" s="66">
        <v>24.3</v>
      </c>
      <c r="K57" s="81">
        <f>myParidad('Flujo de Fondos'!$B$34,$A57,J57,'Flujo de Fondos'!$B$36,'Flujo de Fondos'!$B$35)</f>
        <v>0.24092818264852586</v>
      </c>
      <c r="L57" s="64">
        <v>29</v>
      </c>
      <c r="M57" s="81">
        <f>myParidad('Flujo de Fondos'!$H$34,'Paridad usd'!$A57,'Paridad usd'!L57,'Flujo de Fondos'!$H$36,'Flujo de Fondos'!$H$35)</f>
        <v>0.28972317545906479</v>
      </c>
      <c r="N57" s="66">
        <v>25.9</v>
      </c>
      <c r="O57" s="81">
        <f>myParidad('Flujo de Fondos'!$N$34,$A57,N57,'Flujo de Fondos'!$N$36,'Flujo de Fondos'!$N$35)</f>
        <v>0.25875276704792338</v>
      </c>
      <c r="P57" s="65">
        <f t="shared" si="0"/>
        <v>1.7720074551396681E-2</v>
      </c>
      <c r="Q57" s="65">
        <f t="shared" si="1"/>
        <v>2.561420919546481E-2</v>
      </c>
      <c r="R57" s="65">
        <f t="shared" si="2"/>
        <v>-3.4484180380351392E-2</v>
      </c>
      <c r="S57" s="65">
        <f t="shared" si="3"/>
        <v>-3.5137719692099889E-3</v>
      </c>
      <c r="T57" s="65">
        <f t="shared" si="4"/>
        <v>2.2100437226254821E-2</v>
      </c>
      <c r="U57" s="65">
        <f t="shared" si="5"/>
        <v>-2.123384652060667E-2</v>
      </c>
      <c r="V57" s="65">
        <f t="shared" si="6"/>
        <v>-3.4092621212091501E-3</v>
      </c>
      <c r="W57" s="65">
        <f t="shared" si="7"/>
        <v>1.4310812430187531E-2</v>
      </c>
      <c r="X57" s="65">
        <f t="shared" si="8"/>
        <v>4.5310841446687566E-2</v>
      </c>
      <c r="Y57" s="73">
        <f t="shared" si="9"/>
        <v>-5.2204254931748073E-2</v>
      </c>
      <c r="Z57" s="80"/>
    </row>
    <row r="58" spans="1:26" x14ac:dyDescent="0.25">
      <c r="A58" s="63">
        <v>45029</v>
      </c>
      <c r="B58" s="64">
        <v>26.15</v>
      </c>
      <c r="C58" s="81">
        <f>myParidad('Flujo de Fondos'!$B$5,A58,B58,'Flujo de Fondos'!$B$7,'Flujo de Fondos'!$B$6)</f>
        <v>0.25952335635434226</v>
      </c>
      <c r="D58" s="64">
        <v>29.5</v>
      </c>
      <c r="E58" s="85">
        <f>myParidad('Flujo de Fondos'!$H$5,$A58,D58,'Flujo de Fondos'!$H$7,'Flujo de Fondos'!$H$6)</f>
        <v>0.29277013431943011</v>
      </c>
      <c r="F58" s="64">
        <v>26</v>
      </c>
      <c r="G58" s="81">
        <f>myParidad('Flujo de Fondos'!$N$5,$A58,F58,'Flujo de Fondos'!$N$7,'Flujo de Fondos'!$N$6)</f>
        <v>0.24554957565721383</v>
      </c>
      <c r="H58" s="66">
        <v>29.5</v>
      </c>
      <c r="I58" s="81">
        <f>myParidad('Flujo de Fondos'!$T$5,$A58,H58,'Flujo de Fondos'!$T$7,'Flujo de Fondos'!$T$6)</f>
        <v>0.29471941097174609</v>
      </c>
      <c r="J58" s="66">
        <v>24.98</v>
      </c>
      <c r="K58" s="81">
        <f>myParidad('Flujo de Fondos'!$B$34,$A58,J58,'Flujo de Fondos'!$B$36,'Flujo de Fondos'!$B$35)</f>
        <v>0.2476777746840429</v>
      </c>
      <c r="L58" s="64">
        <v>29.9</v>
      </c>
      <c r="M58" s="81">
        <f>myParidad('Flujo de Fondos'!$H$34,'Paridad usd'!$A58,'Paridad usd'!L58,'Flujo de Fondos'!$H$36,'Flujo de Fondos'!$H$35)</f>
        <v>0.29871560637475281</v>
      </c>
      <c r="N58" s="66">
        <v>26.3</v>
      </c>
      <c r="O58" s="81">
        <f>myParidad('Flujo de Fondos'!$N$34,$A58,N58,'Flujo de Fondos'!$N$36,'Flujo de Fondos'!$N$35)</f>
        <v>0.26274984774769228</v>
      </c>
      <c r="P58" s="65">
        <f t="shared" si="0"/>
        <v>1.397378069712843E-2</v>
      </c>
      <c r="Q58" s="65">
        <f t="shared" si="1"/>
        <v>3.3246777965087848E-2</v>
      </c>
      <c r="R58" s="65">
        <f t="shared" si="2"/>
        <v>-3.9192250020410546E-2</v>
      </c>
      <c r="S58" s="65">
        <f t="shared" si="3"/>
        <v>-3.2264913933500172E-3</v>
      </c>
      <c r="T58" s="65">
        <f t="shared" si="4"/>
        <v>3.0020286571737831E-2</v>
      </c>
      <c r="U58" s="65">
        <f t="shared" si="5"/>
        <v>-1.7200272090478447E-2</v>
      </c>
      <c r="V58" s="65">
        <f t="shared" si="6"/>
        <v>-2.128199026829064E-3</v>
      </c>
      <c r="W58" s="65">
        <f t="shared" si="7"/>
        <v>1.1845581670299365E-2</v>
      </c>
      <c r="X58" s="65">
        <f t="shared" si="8"/>
        <v>4.9169835314532256E-2</v>
      </c>
      <c r="Y58" s="73">
        <f t="shared" si="9"/>
        <v>-5.3166030717538976E-2</v>
      </c>
      <c r="Z58" s="25"/>
    </row>
    <row r="59" spans="1:26" x14ac:dyDescent="0.25">
      <c r="A59" s="63">
        <v>45028</v>
      </c>
      <c r="B59" s="64">
        <v>26.1</v>
      </c>
      <c r="C59" s="81">
        <f>myParidad('Flujo de Fondos'!$B$5,A59,B59,'Flujo de Fondos'!$B$7,'Flujo de Fondos'!$B$6)</f>
        <v>0.25903417897055225</v>
      </c>
      <c r="D59" s="64">
        <v>29.25</v>
      </c>
      <c r="E59" s="85">
        <f>myParidad('Flujo de Fondos'!$H$5,$A59,D59,'Flujo de Fondos'!$H$7,'Flujo de Fondos'!$H$6)</f>
        <v>0.29029692470837754</v>
      </c>
      <c r="F59" s="64">
        <v>25.89</v>
      </c>
      <c r="G59" s="81">
        <f>myParidad('Flujo de Fondos'!$N$5,$A59,F59,'Flujo de Fondos'!$N$7,'Flujo de Fondos'!$N$6)</f>
        <v>0.24451387541238115</v>
      </c>
      <c r="H59" s="66">
        <v>29.36</v>
      </c>
      <c r="I59" s="81">
        <f>myParidad('Flujo de Fondos'!$T$5,$A59,H59,'Flujo de Fondos'!$T$7,'Flujo de Fondos'!$T$6)</f>
        <v>0.29332174615176698</v>
      </c>
      <c r="J59" s="66">
        <v>24.85</v>
      </c>
      <c r="K59" s="81">
        <f>myParidad('Flujo de Fondos'!$B$34,$A59,J59,'Flujo de Fondos'!$B$36,'Flujo de Fondos'!$B$35)</f>
        <v>0.24639634897943247</v>
      </c>
      <c r="L59" s="64">
        <v>29.95</v>
      </c>
      <c r="M59" s="81">
        <f>myParidad('Flujo de Fondos'!$H$34,'Paridad usd'!$A59,'Paridad usd'!L59,'Flujo de Fondos'!$H$36,'Flujo de Fondos'!$H$35)</f>
        <v>0.29921615453833178</v>
      </c>
      <c r="N59" s="66">
        <v>26.1</v>
      </c>
      <c r="O59" s="81">
        <f>myParidad('Flujo de Fondos'!$N$34,$A59,N59,'Flujo de Fondos'!$N$36,'Flujo de Fondos'!$N$35)</f>
        <v>0.26075264218532423</v>
      </c>
      <c r="P59" s="65">
        <f t="shared" si="0"/>
        <v>1.4520303558171105E-2</v>
      </c>
      <c r="Q59" s="65">
        <f t="shared" si="1"/>
        <v>3.1262745737825282E-2</v>
      </c>
      <c r="R59" s="65">
        <f t="shared" si="2"/>
        <v>-4.0181975567779527E-2</v>
      </c>
      <c r="S59" s="65">
        <f t="shared" si="3"/>
        <v>-1.7184632147719814E-3</v>
      </c>
      <c r="T59" s="65">
        <f t="shared" si="4"/>
        <v>2.95442825230533E-2</v>
      </c>
      <c r="U59" s="65">
        <f t="shared" si="5"/>
        <v>-1.6238766772943086E-2</v>
      </c>
      <c r="V59" s="65">
        <f t="shared" si="6"/>
        <v>-1.8824735670513182E-3</v>
      </c>
      <c r="W59" s="65">
        <f t="shared" si="7"/>
        <v>1.2637829991119787E-2</v>
      </c>
      <c r="X59" s="65">
        <f t="shared" si="8"/>
        <v>4.8807870739385834E-2</v>
      </c>
      <c r="Y59" s="73">
        <f t="shared" si="9"/>
        <v>-5.4702279125950631E-2</v>
      </c>
      <c r="Z59" s="80"/>
    </row>
    <row r="60" spans="1:26" x14ac:dyDescent="0.25">
      <c r="A60" s="63">
        <v>45027</v>
      </c>
      <c r="B60" s="64">
        <v>25.68</v>
      </c>
      <c r="C60" s="81">
        <f>myParidad('Flujo de Fondos'!$B$5,A60,B60,'Flujo de Fondos'!$B$7,'Flujo de Fondos'!$B$6)</f>
        <v>0.25487274309332175</v>
      </c>
      <c r="D60" s="64">
        <v>28.25</v>
      </c>
      <c r="E60" s="85">
        <f>myParidad('Flujo de Fondos'!$H$5,$A60,D60,'Flujo de Fondos'!$H$7,'Flujo de Fondos'!$H$6)</f>
        <v>0.280379867304764</v>
      </c>
      <c r="F60" s="64">
        <v>25.39</v>
      </c>
      <c r="G60" s="81">
        <f>myParidad('Flujo de Fondos'!$N$5,$A60,F60,'Flujo de Fondos'!$N$7,'Flujo de Fondos'!$N$6)</f>
        <v>0.23979480942893369</v>
      </c>
      <c r="H60" s="66">
        <v>28.76</v>
      </c>
      <c r="I60" s="81">
        <f>myParidad('Flujo de Fondos'!$T$5,$A60,H60,'Flujo de Fondos'!$T$7,'Flujo de Fondos'!$T$6)</f>
        <v>0.28732841560716582</v>
      </c>
      <c r="J60" s="66">
        <v>24.689</v>
      </c>
      <c r="K60" s="81">
        <f>myParidad('Flujo de Fondos'!$B$34,$A60,J60,'Flujo de Fondos'!$B$36,'Flujo de Fondos'!$B$35)</f>
        <v>0.2448074598280382</v>
      </c>
      <c r="L60" s="64">
        <v>29.201000000000001</v>
      </c>
      <c r="M60" s="81">
        <f>myParidad('Flujo de Fondos'!$H$34,'Paridad usd'!$A60,'Paridad usd'!L60,'Flujo de Fondos'!$H$36,'Flujo de Fondos'!$H$35)</f>
        <v>0.29173425118723401</v>
      </c>
      <c r="N60" s="66">
        <v>25.35</v>
      </c>
      <c r="O60" s="81">
        <f>myParidad('Flujo de Fondos'!$N$34,$A60,N60,'Flujo de Fondos'!$N$36,'Flujo de Fondos'!$N$35)</f>
        <v>0.25326061667738714</v>
      </c>
      <c r="P60" s="65">
        <f t="shared" si="0"/>
        <v>1.507793366438806E-2</v>
      </c>
      <c r="Q60" s="65">
        <f t="shared" si="1"/>
        <v>2.5507124211442245E-2</v>
      </c>
      <c r="R60" s="65">
        <f t="shared" si="2"/>
        <v>-3.6861508093912254E-2</v>
      </c>
      <c r="S60" s="65">
        <f t="shared" si="3"/>
        <v>1.6121264159346116E-3</v>
      </c>
      <c r="T60" s="65">
        <f t="shared" si="4"/>
        <v>2.7119250627376856E-2</v>
      </c>
      <c r="U60" s="65">
        <f t="shared" si="5"/>
        <v>-1.3465807248453449E-2</v>
      </c>
      <c r="V60" s="65">
        <f t="shared" si="6"/>
        <v>-5.0126503991045068E-3</v>
      </c>
      <c r="W60" s="65">
        <f t="shared" si="7"/>
        <v>1.0065283265283553E-2</v>
      </c>
      <c r="X60" s="65">
        <f t="shared" si="8"/>
        <v>4.753360617823213E-2</v>
      </c>
      <c r="Y60" s="73">
        <f t="shared" si="9"/>
        <v>-5.1939441758300314E-2</v>
      </c>
    </row>
    <row r="61" spans="1:26" x14ac:dyDescent="0.25">
      <c r="A61" s="63">
        <v>45026</v>
      </c>
      <c r="B61" s="64">
        <v>25.25</v>
      </c>
      <c r="C61" s="81">
        <f>myParidad('Flujo de Fondos'!$B$5,A61,B61,'Flujo de Fondos'!$B$7,'Flujo de Fondos'!$B$6)</f>
        <v>0.25061182868796739</v>
      </c>
      <c r="D61" s="64">
        <v>28.748999999999999</v>
      </c>
      <c r="E61" s="85">
        <f>myParidad('Flujo de Fondos'!$H$5,$A61,D61,'Flujo de Fondos'!$H$7,'Flujo de Fondos'!$H$6)</f>
        <v>0.28534017675050982</v>
      </c>
      <c r="F61" s="64">
        <v>25.17</v>
      </c>
      <c r="G61" s="81">
        <f>myParidad('Flujo de Fondos'!$N$5,$A61,F61,'Flujo de Fondos'!$N$7,'Flujo de Fondos'!$N$6)</f>
        <v>0.23772010401976895</v>
      </c>
      <c r="H61" s="66">
        <v>28.899000000000001</v>
      </c>
      <c r="I61" s="81">
        <f>myParidad('Flujo de Fondos'!$T$5,$A61,H61,'Flujo de Fondos'!$T$7,'Flujo de Fondos'!$T$6)</f>
        <v>0.28871809083910699</v>
      </c>
      <c r="J61" s="66">
        <v>24.6</v>
      </c>
      <c r="K61" s="81">
        <f>myParidad('Flujo de Fondos'!$B$34,$A61,J61,'Flujo de Fondos'!$B$36,'Flujo de Fondos'!$B$35)</f>
        <v>0.24393242210713983</v>
      </c>
      <c r="L61" s="64">
        <v>29.9</v>
      </c>
      <c r="M61" s="81">
        <f>myParidad('Flujo de Fondos'!$H$34,'Paridad usd'!$A61,'Paridad usd'!L61,'Flujo de Fondos'!$H$36,'Flujo de Fondos'!$H$35)</f>
        <v>0.29871867248310663</v>
      </c>
      <c r="N61" s="66">
        <v>25.5</v>
      </c>
      <c r="O61" s="81">
        <f>myParidad('Flujo de Fondos'!$N$34,$A61,N61,'Flujo de Fondos'!$N$36,'Flujo de Fondos'!$N$35)</f>
        <v>0.25476007185014116</v>
      </c>
      <c r="P61" s="65">
        <f t="shared" si="0"/>
        <v>1.2891724668198434E-2</v>
      </c>
      <c r="Q61" s="65">
        <f t="shared" si="1"/>
        <v>3.4728348062542436E-2</v>
      </c>
      <c r="R61" s="65">
        <f t="shared" si="2"/>
        <v>-4.8106843795139242E-2</v>
      </c>
      <c r="S61" s="65">
        <f t="shared" si="3"/>
        <v>-4.1482431621737703E-3</v>
      </c>
      <c r="T61" s="65">
        <f t="shared" si="4"/>
        <v>3.0580104900368665E-2</v>
      </c>
      <c r="U61" s="65">
        <f t="shared" si="5"/>
        <v>-1.7039967830372205E-2</v>
      </c>
      <c r="V61" s="65">
        <f t="shared" si="6"/>
        <v>-6.2123180873708828E-3</v>
      </c>
      <c r="W61" s="65">
        <f t="shared" si="7"/>
        <v>6.6794065808275516E-3</v>
      </c>
      <c r="X61" s="65">
        <f t="shared" si="8"/>
        <v>5.0997986819338037E-2</v>
      </c>
      <c r="Y61" s="73">
        <f t="shared" si="9"/>
        <v>-6.0998568463337677E-2</v>
      </c>
    </row>
    <row r="62" spans="1:26" x14ac:dyDescent="0.25">
      <c r="A62" s="63">
        <v>45021</v>
      </c>
      <c r="B62" s="64">
        <v>25.2</v>
      </c>
      <c r="C62" s="81">
        <f>myParidad('Flujo de Fondos'!$B$5,A62,B62,'Flujo de Fondos'!$B$7,'Flujo de Fondos'!$B$6)</f>
        <v>0.25014957846070163</v>
      </c>
      <c r="D62" s="64">
        <v>28.25</v>
      </c>
      <c r="E62" s="85">
        <f>myParidad('Flujo de Fondos'!$H$5,$A62,D62,'Flujo de Fondos'!$H$7,'Flujo de Fondos'!$H$6)</f>
        <v>0.28042561871090566</v>
      </c>
      <c r="F62" s="64">
        <v>24.95</v>
      </c>
      <c r="G62" s="81">
        <f>myParidad('Flujo de Fondos'!$N$5,$A62,F62,'Flujo de Fondos'!$N$7,'Flujo de Fondos'!$N$6)</f>
        <v>0.23565754062726424</v>
      </c>
      <c r="H62" s="66">
        <v>28.8</v>
      </c>
      <c r="I62" s="81">
        <f>myParidad('Flujo de Fondos'!$T$5,$A62,H62,'Flujo de Fondos'!$T$7,'Flujo de Fondos'!$T$6)</f>
        <v>0.28773394464022994</v>
      </c>
      <c r="J62" s="66">
        <v>24.5</v>
      </c>
      <c r="K62" s="81">
        <f>myParidad('Flujo de Fondos'!$B$34,$A62,J62,'Flujo de Fondos'!$B$36,'Flujo de Fondos'!$B$35)</f>
        <v>0.24297795740923139</v>
      </c>
      <c r="L62" s="64">
        <v>29.75</v>
      </c>
      <c r="M62" s="81">
        <f>myParidad('Flujo de Fondos'!$H$34,'Paridad usd'!$A62,'Paridad usd'!L62,'Flujo de Fondos'!$H$36,'Flujo de Fondos'!$H$35)</f>
        <v>0.29722516850857084</v>
      </c>
      <c r="N62" s="66">
        <v>25.4</v>
      </c>
      <c r="O62" s="81">
        <f>myParidad('Flujo de Fondos'!$N$34,$A62,N62,'Flujo de Fondos'!$N$36,'Flujo de Fondos'!$N$35)</f>
        <v>0.25376535395353611</v>
      </c>
      <c r="P62" s="65">
        <f t="shared" si="0"/>
        <v>1.4492037833437388E-2</v>
      </c>
      <c r="Q62" s="65">
        <f t="shared" si="1"/>
        <v>3.0276040250204028E-2</v>
      </c>
      <c r="R62" s="65">
        <f t="shared" si="2"/>
        <v>-4.7075590047869209E-2</v>
      </c>
      <c r="S62" s="65">
        <f t="shared" si="3"/>
        <v>-3.6157754928344832E-3</v>
      </c>
      <c r="T62" s="65">
        <f t="shared" si="4"/>
        <v>2.6660264757369545E-2</v>
      </c>
      <c r="U62" s="65">
        <f t="shared" si="5"/>
        <v>-1.8107813326271871E-2</v>
      </c>
      <c r="V62" s="65">
        <f t="shared" si="6"/>
        <v>-7.320416781967154E-3</v>
      </c>
      <c r="W62" s="65">
        <f t="shared" si="7"/>
        <v>7.1716210514702339E-3</v>
      </c>
      <c r="X62" s="65">
        <f t="shared" si="8"/>
        <v>5.2076404012965705E-2</v>
      </c>
      <c r="Y62" s="73">
        <f t="shared" si="9"/>
        <v>-6.1567627881306597E-2</v>
      </c>
    </row>
    <row r="63" spans="1:26" x14ac:dyDescent="0.25">
      <c r="A63" s="63">
        <v>45020</v>
      </c>
      <c r="B63" s="64">
        <v>25.5</v>
      </c>
      <c r="C63" s="81">
        <f>myParidad('Flujo de Fondos'!$B$5,A63,B63,'Flujo de Fondos'!$B$7,'Flujo de Fondos'!$B$6)</f>
        <v>0.25313443389812068</v>
      </c>
      <c r="D63" s="64">
        <v>29</v>
      </c>
      <c r="E63" s="85">
        <f>myParidad('Flujo de Fondos'!$H$5,$A63,D63,'Flujo de Fondos'!$H$7,'Flujo de Fondos'!$H$6)</f>
        <v>0.28787837580570591</v>
      </c>
      <c r="F63" s="64">
        <v>25.19</v>
      </c>
      <c r="G63" s="81">
        <f>myParidad('Flujo de Fondos'!$N$5,$A63,F63,'Flujo de Fondos'!$N$7,'Flujo de Fondos'!$N$6)</f>
        <v>0.23792746516231708</v>
      </c>
      <c r="H63" s="66">
        <v>29.1</v>
      </c>
      <c r="I63" s="81">
        <f>myParidad('Flujo de Fondos'!$T$5,$A63,H63,'Flujo de Fondos'!$T$7,'Flujo de Fondos'!$T$6)</f>
        <v>0.29073216796854956</v>
      </c>
      <c r="J63" s="66">
        <v>25.3</v>
      </c>
      <c r="K63" s="81">
        <f>myParidad('Flujo de Fondos'!$B$34,$A63,J63,'Flujo de Fondos'!$B$36,'Flujo de Fondos'!$B$35)</f>
        <v>0.2509196015229892</v>
      </c>
      <c r="L63" s="64">
        <v>29.85</v>
      </c>
      <c r="M63" s="81">
        <f>myParidad('Flujo de Fondos'!$H$34,'Paridad usd'!$A63,'Paridad usd'!L63,'Flujo de Fondos'!$H$36,'Flujo de Fondos'!$H$35)</f>
        <v>0.298225265081141</v>
      </c>
      <c r="N63" s="66">
        <v>26.15</v>
      </c>
      <c r="O63" s="81">
        <f>myParidad('Flujo de Fondos'!$N$34,$A63,N63,'Flujo de Fondos'!$N$36,'Flujo de Fondos'!$N$35)</f>
        <v>0.26125931932568969</v>
      </c>
      <c r="P63" s="65">
        <f t="shared" si="0"/>
        <v>1.52069687358036E-2</v>
      </c>
      <c r="Q63" s="65">
        <f t="shared" si="1"/>
        <v>3.474394190758523E-2</v>
      </c>
      <c r="R63" s="65">
        <f t="shared" si="2"/>
        <v>-4.5090831183020319E-2</v>
      </c>
      <c r="S63" s="65">
        <f t="shared" si="3"/>
        <v>-8.1248854275690063E-3</v>
      </c>
      <c r="T63" s="65">
        <f t="shared" si="4"/>
        <v>2.6619056480016223E-2</v>
      </c>
      <c r="U63" s="65">
        <f t="shared" si="5"/>
        <v>-2.3331854163372606E-2</v>
      </c>
      <c r="V63" s="65">
        <f t="shared" si="6"/>
        <v>-1.2992136360672119E-2</v>
      </c>
      <c r="W63" s="65">
        <f t="shared" si="7"/>
        <v>2.2148323751314813E-3</v>
      </c>
      <c r="X63" s="65">
        <f t="shared" si="8"/>
        <v>5.2804702806232479E-2</v>
      </c>
      <c r="Y63" s="73">
        <f t="shared" si="9"/>
        <v>-6.0297799918823919E-2</v>
      </c>
    </row>
    <row r="64" spans="1:26" x14ac:dyDescent="0.25">
      <c r="A64" s="63">
        <v>45019</v>
      </c>
      <c r="B64" s="64">
        <v>26.3</v>
      </c>
      <c r="C64" s="81">
        <f>myParidad('Flujo de Fondos'!$B$5,A64,B64,'Flujo de Fondos'!$B$7,'Flujo de Fondos'!$B$6)</f>
        <v>0.26108300696257614</v>
      </c>
      <c r="D64" s="64">
        <v>29.98</v>
      </c>
      <c r="E64" s="85">
        <f>myParidad('Flujo de Fondos'!$H$5,$A64,D64,'Flujo de Fondos'!$H$7,'Flujo de Fondos'!$H$6)</f>
        <v>0.29761477371627504</v>
      </c>
      <c r="F64" s="64">
        <v>26.1</v>
      </c>
      <c r="G64" s="81">
        <f>myParidad('Flujo de Fondos'!$N$5,$A64,F64,'Flujo de Fondos'!$N$7,'Flujo de Fondos'!$N$6)</f>
        <v>0.24652589084698395</v>
      </c>
      <c r="H64" s="66">
        <v>30.39</v>
      </c>
      <c r="I64" s="81">
        <f>myParidad('Flujo de Fondos'!$T$5,$A64,H64,'Flujo de Fondos'!$T$7,'Flujo de Fondos'!$T$6)</f>
        <v>0.30362133384427992</v>
      </c>
      <c r="J64" s="66">
        <v>25.5</v>
      </c>
      <c r="K64" s="81">
        <f>myParidad('Flujo de Fondos'!$B$34,$A64,J64,'Flujo de Fondos'!$B$36,'Flujo de Fondos'!$B$35)</f>
        <v>0.25291088678450607</v>
      </c>
      <c r="L64" s="64">
        <v>29.65</v>
      </c>
      <c r="M64" s="81">
        <f>myParidad('Flujo de Fondos'!$H$34,'Paridad usd'!$A64,'Paridad usd'!L64,'Flujo de Fondos'!$H$36,'Flujo de Fondos'!$H$35)</f>
        <v>0.29622811939726551</v>
      </c>
      <c r="N64" s="66">
        <v>26.3</v>
      </c>
      <c r="O64" s="81">
        <f>myParidad('Flujo de Fondos'!$N$34,$A64,N64,'Flujo de Fondos'!$N$36,'Flujo de Fondos'!$N$35)</f>
        <v>0.26275883777902476</v>
      </c>
      <c r="P64" s="65">
        <f t="shared" si="0"/>
        <v>1.4557116115592184E-2</v>
      </c>
      <c r="Q64" s="65">
        <f t="shared" si="1"/>
        <v>3.6531766753698902E-2</v>
      </c>
      <c r="R64" s="65">
        <f t="shared" si="2"/>
        <v>-3.5145112434689374E-2</v>
      </c>
      <c r="S64" s="65">
        <f t="shared" si="3"/>
        <v>-1.6758308164486202E-3</v>
      </c>
      <c r="T64" s="65">
        <f t="shared" si="4"/>
        <v>3.4855935937250282E-2</v>
      </c>
      <c r="U64" s="65">
        <f t="shared" si="5"/>
        <v>-1.6232946932040804E-2</v>
      </c>
      <c r="V64" s="65">
        <f t="shared" si="6"/>
        <v>-6.3849959375221199E-3</v>
      </c>
      <c r="W64" s="65">
        <f t="shared" si="7"/>
        <v>8.1721201780700636E-3</v>
      </c>
      <c r="X64" s="65">
        <f t="shared" si="8"/>
        <v>5.7095442997295964E-2</v>
      </c>
      <c r="Y64" s="73">
        <f t="shared" si="9"/>
        <v>-4.9702228550281558E-2</v>
      </c>
    </row>
    <row r="65" spans="1:26" x14ac:dyDescent="0.25">
      <c r="A65" s="63">
        <v>45016</v>
      </c>
      <c r="B65" s="64">
        <v>25.611000000000001</v>
      </c>
      <c r="C65" s="81">
        <f>myParidad('Flujo de Fondos'!$B$5,A65,B65,'Flujo de Fondos'!$B$7,'Flujo de Fondos'!$B$6)</f>
        <v>0.25426397388820893</v>
      </c>
      <c r="D65" s="64">
        <v>29.5</v>
      </c>
      <c r="E65" s="85">
        <f>myParidad('Flujo de Fondos'!$H$5,$A65,D65,'Flujo de Fondos'!$H$7,'Flujo de Fondos'!$H$6)</f>
        <v>0.29287365701074392</v>
      </c>
      <c r="F65" s="64">
        <v>25.6</v>
      </c>
      <c r="G65" s="81">
        <f>myParidad('Flujo de Fondos'!$N$5,$A65,F65,'Flujo de Fondos'!$N$7,'Flujo de Fondos'!$N$6)</f>
        <v>0.2418125590362693</v>
      </c>
      <c r="H65" s="66">
        <v>29.7</v>
      </c>
      <c r="I65" s="81">
        <f>myParidad('Flujo de Fondos'!$T$5,$A65,H65,'Flujo de Fondos'!$T$7,'Flujo de Fondos'!$T$6)</f>
        <v>0.29673070672163959</v>
      </c>
      <c r="J65" s="66">
        <v>25</v>
      </c>
      <c r="K65" s="81">
        <f>myParidad('Flujo de Fondos'!$B$34,$A65,J65,'Flujo de Fondos'!$B$36,'Flujo de Fondos'!$B$35)</f>
        <v>0.24797459109669309</v>
      </c>
      <c r="L65" s="64">
        <v>29.3</v>
      </c>
      <c r="M65" s="81">
        <f>myParidad('Flujo de Fondos'!$H$34,'Paridad usd'!$A65,'Paridad usd'!L65,'Flujo de Fondos'!$H$36,'Flujo de Fondos'!$H$35)</f>
        <v>0.2927343335671394</v>
      </c>
      <c r="N65" s="66">
        <v>25.8</v>
      </c>
      <c r="O65" s="81">
        <f>myParidad('Flujo de Fondos'!$N$34,$A65,N65,'Flujo de Fondos'!$N$36,'Flujo de Fondos'!$N$35)</f>
        <v>0.25776606846526268</v>
      </c>
      <c r="P65" s="65">
        <f t="shared" si="0"/>
        <v>1.2451414851939624E-2</v>
      </c>
      <c r="Q65" s="65">
        <f t="shared" si="1"/>
        <v>3.8609683122534988E-2</v>
      </c>
      <c r="R65" s="65">
        <f t="shared" si="2"/>
        <v>-3.8470359678930477E-2</v>
      </c>
      <c r="S65" s="65">
        <f t="shared" si="3"/>
        <v>-3.5020945770537493E-3</v>
      </c>
      <c r="T65" s="65">
        <f t="shared" si="4"/>
        <v>3.5107588545481239E-2</v>
      </c>
      <c r="U65" s="65">
        <f t="shared" si="5"/>
        <v>-1.5953509428993373E-2</v>
      </c>
      <c r="V65" s="65">
        <f t="shared" si="6"/>
        <v>-6.1620320604237888E-3</v>
      </c>
      <c r="W65" s="65">
        <f t="shared" si="7"/>
        <v>6.2893827915158351E-3</v>
      </c>
      <c r="X65" s="65">
        <f t="shared" si="8"/>
        <v>5.4918147685370289E-2</v>
      </c>
      <c r="Y65" s="73">
        <f t="shared" si="9"/>
        <v>-5.0921774530870101E-2</v>
      </c>
    </row>
    <row r="66" spans="1:26" x14ac:dyDescent="0.25">
      <c r="A66" s="63">
        <v>45015</v>
      </c>
      <c r="B66" s="64">
        <v>25.89</v>
      </c>
      <c r="C66" s="81">
        <f>myParidad('Flujo de Fondos'!$B$5,A66,B66,'Flujo de Fondos'!$B$7,'Flujo de Fondos'!$B$6)</f>
        <v>0.25704085518441955</v>
      </c>
      <c r="D66" s="64">
        <v>28.98</v>
      </c>
      <c r="E66" s="85">
        <f>myParidad('Flujo de Fondos'!$H$5,$A66,D66,'Flujo de Fondos'!$H$7,'Flujo de Fondos'!$H$6)</f>
        <v>0.28771896420411275</v>
      </c>
      <c r="F66" s="64">
        <v>25.9</v>
      </c>
      <c r="G66" s="81">
        <f>myParidad('Flujo de Fondos'!$N$5,$A66,F66,'Flujo de Fondos'!$N$7,'Flujo de Fondos'!$N$6)</f>
        <v>0.24464946559354053</v>
      </c>
      <c r="H66" s="66">
        <v>30.09</v>
      </c>
      <c r="I66" s="81">
        <f>myParidad('Flujo de Fondos'!$T$5,$A66,H66,'Flujo de Fondos'!$T$7,'Flujo de Fondos'!$T$6)</f>
        <v>0.30062819916240113</v>
      </c>
      <c r="J66" s="66">
        <v>25.29</v>
      </c>
      <c r="K66" s="81">
        <f>myParidad('Flujo de Fondos'!$B$34,$A66,J66,'Flujo de Fondos'!$B$36,'Flujo de Fondos'!$B$35)</f>
        <v>0.25085876566024401</v>
      </c>
      <c r="L66" s="64">
        <v>29.5</v>
      </c>
      <c r="M66" s="81">
        <f>myParidad('Flujo de Fondos'!$H$34,'Paridad usd'!$A66,'Paridad usd'!L66,'Flujo de Fondos'!$H$36,'Flujo de Fondos'!$H$35)</f>
        <v>0.29473352859058932</v>
      </c>
      <c r="N66" s="66">
        <v>25.78</v>
      </c>
      <c r="O66" s="81">
        <f>myParidad('Flujo de Fondos'!$N$34,$A66,N66,'Flujo de Fondos'!$N$36,'Flujo de Fondos'!$N$35)</f>
        <v>0.2575671310869625</v>
      </c>
      <c r="P66" s="65">
        <f t="shared" ref="P66:P129" si="10">C66-G66</f>
        <v>1.2391389590879015E-2</v>
      </c>
      <c r="Q66" s="65">
        <f t="shared" ref="Q66:Q129" si="11">E66-C66</f>
        <v>3.06781090196932E-2</v>
      </c>
      <c r="R66" s="65">
        <f t="shared" ref="R66:R129" si="12">C66-M66</f>
        <v>-3.7692673406169774E-2</v>
      </c>
      <c r="S66" s="65">
        <f t="shared" ref="S66:S129" si="13">C66-O66</f>
        <v>-5.2627590254294976E-4</v>
      </c>
      <c r="T66" s="65">
        <f t="shared" ref="T66:T129" si="14">E66-O66</f>
        <v>3.0151833117150251E-2</v>
      </c>
      <c r="U66" s="65">
        <f t="shared" ref="U66:U129" si="15">G66-O66</f>
        <v>-1.2917665493421965E-2</v>
      </c>
      <c r="V66" s="65">
        <f t="shared" ref="V66:V129" si="16">G66-K66</f>
        <v>-6.209300066703477E-3</v>
      </c>
      <c r="W66" s="65">
        <f t="shared" ref="W66:W129" si="17">C66-K66</f>
        <v>6.182089524175538E-3</v>
      </c>
      <c r="X66" s="65">
        <f t="shared" ref="X66:X129" si="18">I66-G66</f>
        <v>5.59787335688606E-2</v>
      </c>
      <c r="Y66" s="73">
        <f t="shared" ref="Y66:Y129" si="19">G66-M66</f>
        <v>-5.0084062997048789E-2</v>
      </c>
    </row>
    <row r="67" spans="1:26" x14ac:dyDescent="0.25">
      <c r="A67" s="63">
        <v>45014</v>
      </c>
      <c r="B67" s="64">
        <v>25.22</v>
      </c>
      <c r="C67" s="81">
        <f>myParidad('Flujo de Fondos'!$B$5,A67,B67,'Flujo de Fondos'!$B$7,'Flujo de Fondos'!$B$6)</f>
        <v>0.25039577836411608</v>
      </c>
      <c r="D67" s="64">
        <v>28</v>
      </c>
      <c r="E67" s="85">
        <f>myParidad('Flujo de Fondos'!$H$5,$A67,D67,'Flujo de Fondos'!$H$7,'Flujo de Fondos'!$H$6)</f>
        <v>0.27799689905611619</v>
      </c>
      <c r="F67" s="64">
        <v>25</v>
      </c>
      <c r="G67" s="81">
        <f>myParidad('Flujo de Fondos'!$N$5,$A67,F67,'Flujo de Fondos'!$N$7,'Flujo de Fondos'!$N$6)</f>
        <v>0.23615118851981728</v>
      </c>
      <c r="H67" s="66">
        <v>29.021000000000001</v>
      </c>
      <c r="I67" s="81">
        <f>myParidad('Flujo de Fondos'!$T$5,$A67,H67,'Flujo de Fondos'!$T$7,'Flujo de Fondos'!$T$6)</f>
        <v>0.28994884744220106</v>
      </c>
      <c r="J67" s="66">
        <v>24.19</v>
      </c>
      <c r="K67" s="81">
        <f>myParidad('Flujo de Fondos'!$B$34,$A67,J67,'Flujo de Fondos'!$B$36,'Flujo de Fondos'!$B$35)</f>
        <v>0.23995488624743944</v>
      </c>
      <c r="L67" s="64">
        <v>28.879000000000001</v>
      </c>
      <c r="M67" s="81">
        <f>myParidad('Flujo de Fondos'!$H$34,'Paridad usd'!$A67,'Paridad usd'!L67,'Flujo de Fondos'!$H$36,'Flujo de Fondos'!$H$35)</f>
        <v>0.28853012526388905</v>
      </c>
      <c r="N67" s="66">
        <v>25.15</v>
      </c>
      <c r="O67" s="81">
        <f>myParidad('Flujo de Fondos'!$N$34,$A67,N67,'Flujo de Fondos'!$N$36,'Flujo de Fondos'!$N$35)</f>
        <v>0.25127368158131547</v>
      </c>
      <c r="P67" s="65">
        <f t="shared" si="10"/>
        <v>1.4244589844298799E-2</v>
      </c>
      <c r="Q67" s="65">
        <f t="shared" si="11"/>
        <v>2.7601120692000103E-2</v>
      </c>
      <c r="R67" s="65">
        <f t="shared" si="12"/>
        <v>-3.8134346899772964E-2</v>
      </c>
      <c r="S67" s="65">
        <f t="shared" si="13"/>
        <v>-8.779032171993828E-4</v>
      </c>
      <c r="T67" s="65">
        <f t="shared" si="14"/>
        <v>2.672321747480072E-2</v>
      </c>
      <c r="U67" s="65">
        <f t="shared" si="15"/>
        <v>-1.5122493061498182E-2</v>
      </c>
      <c r="V67" s="65">
        <f t="shared" si="16"/>
        <v>-3.8036977276221517E-3</v>
      </c>
      <c r="W67" s="65">
        <f t="shared" si="17"/>
        <v>1.0440892116676648E-2</v>
      </c>
      <c r="X67" s="65">
        <f t="shared" si="18"/>
        <v>5.3797658922383779E-2</v>
      </c>
      <c r="Y67" s="73">
        <f t="shared" si="19"/>
        <v>-5.2378936744071763E-2</v>
      </c>
      <c r="Z67" s="25"/>
    </row>
    <row r="68" spans="1:26" x14ac:dyDescent="0.25">
      <c r="A68" s="63">
        <v>45013</v>
      </c>
      <c r="B68" s="64">
        <v>23.8</v>
      </c>
      <c r="C68" s="81">
        <f>myParidad('Flujo de Fondos'!$B$5,A68,B68,'Flujo de Fondos'!$B$7,'Flujo de Fondos'!$B$6)</f>
        <v>0.23630379195908818</v>
      </c>
      <c r="D68" s="64">
        <v>26.26</v>
      </c>
      <c r="E68" s="85">
        <f>myParidad('Flujo de Fondos'!$H$5,$A68,D68,'Flujo de Fondos'!$H$7,'Flujo de Fondos'!$H$6)</f>
        <v>0.26072846961536372</v>
      </c>
      <c r="F68" s="64">
        <v>23.55</v>
      </c>
      <c r="G68" s="81">
        <f>myParidad('Flujo de Fondos'!$N$5,$A68,F68,'Flujo de Fondos'!$N$7,'Flujo de Fondos'!$N$6)</f>
        <v>0.22245729813664597</v>
      </c>
      <c r="H68" s="66">
        <v>27.35</v>
      </c>
      <c r="I68" s="81">
        <f>myParidad('Flujo de Fondos'!$T$5,$A68,H68,'Flujo de Fondos'!$T$7,'Flujo de Fondos'!$T$6)</f>
        <v>0.27325481930596524</v>
      </c>
      <c r="J68" s="66">
        <v>23.3</v>
      </c>
      <c r="K68" s="81">
        <f>myParidad('Flujo de Fondos'!$B$34,$A68,J68,'Flujo de Fondos'!$B$36,'Flujo de Fondos'!$B$35)</f>
        <v>0.23113351768934429</v>
      </c>
      <c r="L68" s="64">
        <v>26.7</v>
      </c>
      <c r="M68" s="81">
        <f>myParidad('Flujo de Fondos'!$H$34,'Paridad usd'!$A68,'Paridad usd'!L68,'Flujo de Fondos'!$H$36,'Flujo de Fondos'!$H$35)</f>
        <v>0.26676064626944318</v>
      </c>
      <c r="N68" s="66">
        <v>24</v>
      </c>
      <c r="O68" s="81">
        <f>myParidad('Flujo de Fondos'!$N$34,$A68,N68,'Flujo de Fondos'!$N$36,'Flujo de Fondos'!$N$35)</f>
        <v>0.23978485057927476</v>
      </c>
      <c r="P68" s="65">
        <f t="shared" si="10"/>
        <v>1.3846493822442213E-2</v>
      </c>
      <c r="Q68" s="65">
        <f t="shared" si="11"/>
        <v>2.442467765627554E-2</v>
      </c>
      <c r="R68" s="65">
        <f t="shared" si="12"/>
        <v>-3.0456854310354997E-2</v>
      </c>
      <c r="S68" s="65">
        <f t="shared" si="13"/>
        <v>-3.4810586201865779E-3</v>
      </c>
      <c r="T68" s="65">
        <f t="shared" si="14"/>
        <v>2.0943619036088962E-2</v>
      </c>
      <c r="U68" s="65">
        <f t="shared" si="15"/>
        <v>-1.7327552442628791E-2</v>
      </c>
      <c r="V68" s="65">
        <f t="shared" si="16"/>
        <v>-8.6762195526983166E-3</v>
      </c>
      <c r="W68" s="65">
        <f t="shared" si="17"/>
        <v>5.1702742697438964E-3</v>
      </c>
      <c r="X68" s="65">
        <f t="shared" si="18"/>
        <v>5.0797521169319265E-2</v>
      </c>
      <c r="Y68" s="73">
        <f t="shared" si="19"/>
        <v>-4.430334813279721E-2</v>
      </c>
    </row>
    <row r="69" spans="1:26" x14ac:dyDescent="0.25">
      <c r="A69" s="63">
        <v>45012</v>
      </c>
      <c r="B69" s="64">
        <v>23.7</v>
      </c>
      <c r="C69" s="81">
        <f>myParidad('Flujo de Fondos'!$B$5,A69,B69,'Flujo de Fondos'!$B$7,'Flujo de Fondos'!$B$6)</f>
        <v>0.23531731998585456</v>
      </c>
      <c r="D69" s="64">
        <v>27</v>
      </c>
      <c r="E69" s="85">
        <f>myParidad('Flujo de Fondos'!$H$5,$A69,D69,'Flujo de Fondos'!$H$7,'Flujo de Fondos'!$H$6)</f>
        <v>0.26808302276869511</v>
      </c>
      <c r="F69" s="64">
        <v>23.399000000000001</v>
      </c>
      <c r="G69" s="81">
        <f>myParidad('Flujo de Fondos'!$N$5,$A69,F69,'Flujo de Fondos'!$N$7,'Flujo de Fondos'!$N$6)</f>
        <v>0.22103378666908216</v>
      </c>
      <c r="H69" s="66">
        <v>26.7</v>
      </c>
      <c r="I69" s="81">
        <f>myParidad('Flujo de Fondos'!$T$5,$A69,H69,'Flujo de Fondos'!$T$7,'Flujo de Fondos'!$T$6)</f>
        <v>0.26676155901745358</v>
      </c>
      <c r="J69" s="66">
        <v>22.55</v>
      </c>
      <c r="K69" s="81">
        <f>myParidad('Flujo de Fondos'!$B$34,$A69,J69,'Flujo de Fondos'!$B$36,'Flujo de Fondos'!$B$35)</f>
        <v>0.22370043723607011</v>
      </c>
      <c r="L69" s="64">
        <v>26.3</v>
      </c>
      <c r="M69" s="81">
        <f>myParidad('Flujo de Fondos'!$H$34,'Paridad usd'!$A69,'Paridad usd'!L69,'Flujo de Fondos'!$H$36,'Flujo de Fondos'!$H$35)</f>
        <v>0.26276513116700484</v>
      </c>
      <c r="N69" s="66">
        <v>23.75</v>
      </c>
      <c r="O69" s="81">
        <f>myParidad('Flujo de Fondos'!$N$34,$A69,N69,'Flujo de Fondos'!$N$36,'Flujo de Fondos'!$N$35)</f>
        <v>0.23728790362039409</v>
      </c>
      <c r="P69" s="65">
        <f t="shared" si="10"/>
        <v>1.4283533316772401E-2</v>
      </c>
      <c r="Q69" s="65">
        <f t="shared" si="11"/>
        <v>3.276570278284055E-2</v>
      </c>
      <c r="R69" s="65">
        <f t="shared" si="12"/>
        <v>-2.7447811181150278E-2</v>
      </c>
      <c r="S69" s="65">
        <f t="shared" si="13"/>
        <v>-1.97058363453953E-3</v>
      </c>
      <c r="T69" s="65">
        <f t="shared" si="14"/>
        <v>3.079511914830102E-2</v>
      </c>
      <c r="U69" s="65">
        <f t="shared" si="15"/>
        <v>-1.6254116951311931E-2</v>
      </c>
      <c r="V69" s="65">
        <f t="shared" si="16"/>
        <v>-2.6666505669879492E-3</v>
      </c>
      <c r="W69" s="65">
        <f t="shared" si="17"/>
        <v>1.1616882749784452E-2</v>
      </c>
      <c r="X69" s="65">
        <f t="shared" si="18"/>
        <v>4.5727772348371415E-2</v>
      </c>
      <c r="Y69" s="73">
        <f t="shared" si="19"/>
        <v>-4.1731344497922679E-2</v>
      </c>
    </row>
    <row r="70" spans="1:26" x14ac:dyDescent="0.25">
      <c r="A70" s="63">
        <v>45008</v>
      </c>
      <c r="B70" s="64">
        <v>23.94</v>
      </c>
      <c r="C70" s="81">
        <f>myParidad('Flujo de Fondos'!$B$5,A70,B70,'Flujo de Fondos'!$B$7,'Flujo de Fondos'!$B$6)</f>
        <v>0.23772614740049516</v>
      </c>
      <c r="D70" s="64">
        <v>26.6</v>
      </c>
      <c r="E70" s="85">
        <f>myParidad('Flujo de Fondos'!$H$5,$A70,D70,'Flujo de Fondos'!$H$7,'Flujo de Fondos'!$H$6)</f>
        <v>0.26414016377832794</v>
      </c>
      <c r="F70" s="64">
        <v>23.49</v>
      </c>
      <c r="G70" s="81">
        <f>myParidad('Flujo de Fondos'!$N$5,$A70,F70,'Flujo de Fondos'!$N$7,'Flujo de Fondos'!$N$6)</f>
        <v>0.22190488515043674</v>
      </c>
      <c r="H70" s="66">
        <v>27.68</v>
      </c>
      <c r="I70" s="81">
        <f>myParidad('Flujo de Fondos'!$T$5,$A70,H70,'Flujo de Fondos'!$T$7,'Flujo de Fondos'!$T$6)</f>
        <v>0.27655659231429869</v>
      </c>
      <c r="J70" s="66">
        <v>23.05</v>
      </c>
      <c r="K70" s="81">
        <f>myParidad('Flujo de Fondos'!$B$34,$A70,J70,'Flujo de Fondos'!$B$36,'Flujo de Fondos'!$B$35)</f>
        <v>0.22868850509491595</v>
      </c>
      <c r="L70" s="64">
        <v>26.85</v>
      </c>
      <c r="M70" s="81">
        <f>myParidad('Flujo de Fondos'!$H$34,'Paridad usd'!$A70,'Paridad usd'!L70,'Flujo de Fondos'!$H$36,'Flujo de Fondos'!$H$35)</f>
        <v>0.26826389102741766</v>
      </c>
      <c r="N70" s="66">
        <v>23.92</v>
      </c>
      <c r="O70" s="81">
        <f>myParidad('Flujo de Fondos'!$N$34,$A70,N70,'Flujo de Fondos'!$N$36,'Flujo de Fondos'!$N$35)</f>
        <v>0.23898965636409053</v>
      </c>
      <c r="P70" s="65">
        <f t="shared" si="10"/>
        <v>1.5821262250058421E-2</v>
      </c>
      <c r="Q70" s="65">
        <f t="shared" si="11"/>
        <v>2.6414016377832777E-2</v>
      </c>
      <c r="R70" s="65">
        <f t="shared" si="12"/>
        <v>-3.0537743626922492E-2</v>
      </c>
      <c r="S70" s="65">
        <f t="shared" si="13"/>
        <v>-1.2635089635953667E-3</v>
      </c>
      <c r="T70" s="65">
        <f t="shared" si="14"/>
        <v>2.5150507414237411E-2</v>
      </c>
      <c r="U70" s="65">
        <f t="shared" si="15"/>
        <v>-1.7084771213653788E-2</v>
      </c>
      <c r="V70" s="65">
        <f t="shared" si="16"/>
        <v>-6.7836199444792078E-3</v>
      </c>
      <c r="W70" s="65">
        <f t="shared" si="17"/>
        <v>9.0376423055792132E-3</v>
      </c>
      <c r="X70" s="65">
        <f t="shared" si="18"/>
        <v>5.4651707163861946E-2</v>
      </c>
      <c r="Y70" s="73">
        <f t="shared" si="19"/>
        <v>-4.6359005876980913E-2</v>
      </c>
    </row>
    <row r="71" spans="1:26" x14ac:dyDescent="0.25">
      <c r="A71" s="63">
        <v>45007</v>
      </c>
      <c r="B71" s="64">
        <v>24.1</v>
      </c>
      <c r="C71" s="81">
        <f>myParidad('Flujo de Fondos'!$B$5,A71,B71,'Flujo de Fondos'!$B$7,'Flujo de Fondos'!$B$6)</f>
        <v>0.23932147132440965</v>
      </c>
      <c r="D71" s="64">
        <v>28</v>
      </c>
      <c r="E71" s="85">
        <f>myParidad('Flujo de Fondos'!$H$5,$A71,D71,'Flujo de Fondos'!$H$7,'Flujo de Fondos'!$H$6)</f>
        <v>0.27804984220263357</v>
      </c>
      <c r="F71" s="64">
        <v>23.7</v>
      </c>
      <c r="G71" s="81">
        <f>myParidad('Flujo de Fondos'!$N$5,$A71,F71,'Flujo de Fondos'!$N$7,'Flujo de Fondos'!$N$6)</f>
        <v>0.2238916064911872</v>
      </c>
      <c r="H71" s="66">
        <v>27.68</v>
      </c>
      <c r="I71" s="81">
        <f>myParidad('Flujo de Fondos'!$T$5,$A71,H71,'Flujo de Fondos'!$T$7,'Flujo de Fondos'!$T$6)</f>
        <v>0.27655753859629911</v>
      </c>
      <c r="J71" s="66">
        <v>23.85</v>
      </c>
      <c r="K71" s="81">
        <f>myParidad('Flujo de Fondos'!$B$34,$A71,J71,'Flujo de Fondos'!$B$36,'Flujo de Fondos'!$B$35)</f>
        <v>0.23663286941393935</v>
      </c>
      <c r="L71" s="64">
        <v>27.7</v>
      </c>
      <c r="M71" s="81">
        <f>myParidad('Flujo de Fondos'!$H$34,'Paridad usd'!$A71,'Paridad usd'!L71,'Flujo de Fondos'!$H$36,'Flujo de Fondos'!$H$35)</f>
        <v>0.27675736340742363</v>
      </c>
      <c r="N71" s="66">
        <v>25.25</v>
      </c>
      <c r="O71" s="81">
        <f>myParidad('Flujo de Fondos'!$N$34,$A71,N71,'Flujo de Fondos'!$N$36,'Flujo de Fondos'!$N$35)</f>
        <v>0.25227882404467317</v>
      </c>
      <c r="P71" s="65">
        <f t="shared" si="10"/>
        <v>1.5429864833222451E-2</v>
      </c>
      <c r="Q71" s="65">
        <f t="shared" si="11"/>
        <v>3.8728370878223922E-2</v>
      </c>
      <c r="R71" s="65">
        <f t="shared" si="12"/>
        <v>-3.7435892083013983E-2</v>
      </c>
      <c r="S71" s="65">
        <f t="shared" si="13"/>
        <v>-1.2957352720263521E-2</v>
      </c>
      <c r="T71" s="65">
        <f t="shared" si="14"/>
        <v>2.5771018157960401E-2</v>
      </c>
      <c r="U71" s="65">
        <f t="shared" si="15"/>
        <v>-2.8387217553485972E-2</v>
      </c>
      <c r="V71" s="65">
        <f t="shared" si="16"/>
        <v>-1.2741262922752156E-2</v>
      </c>
      <c r="W71" s="65">
        <f t="shared" si="17"/>
        <v>2.6886019104702952E-3</v>
      </c>
      <c r="X71" s="65">
        <f t="shared" si="18"/>
        <v>5.2665932105111918E-2</v>
      </c>
      <c r="Y71" s="73">
        <f t="shared" si="19"/>
        <v>-5.2865756916236434E-2</v>
      </c>
    </row>
    <row r="72" spans="1:26" x14ac:dyDescent="0.25">
      <c r="A72" s="63">
        <v>45006</v>
      </c>
      <c r="B72" s="64">
        <v>25.45</v>
      </c>
      <c r="C72" s="81">
        <f>myParidad('Flujo de Fondos'!$B$5,A72,B72,'Flujo de Fondos'!$B$7,'Flujo de Fondos'!$B$6)</f>
        <v>0.25273432186097128</v>
      </c>
      <c r="D72" s="64">
        <v>30</v>
      </c>
      <c r="E72" s="85">
        <f>myParidad('Flujo de Fondos'!$H$5,$A72,D72,'Flujo de Fondos'!$H$7,'Flujo de Fondos'!$H$6)</f>
        <v>0.29791865052373828</v>
      </c>
      <c r="F72" s="64">
        <v>25.021000000000001</v>
      </c>
      <c r="G72" s="81">
        <f>myParidad('Flujo de Fondos'!$N$5,$A72,F72,'Flujo de Fondos'!$N$7,'Flujo de Fondos'!$N$6)</f>
        <v>0.23637402456226625</v>
      </c>
      <c r="H72" s="66">
        <v>29.25</v>
      </c>
      <c r="I72" s="81">
        <f>myParidad('Flujo de Fondos'!$T$5,$A72,H72,'Flujo de Fondos'!$T$7,'Flujo de Fondos'!$T$6)</f>
        <v>0.2922447862312022</v>
      </c>
      <c r="J72" s="66">
        <v>24.481000000000002</v>
      </c>
      <c r="K72" s="81">
        <f>myParidad('Flujo de Fondos'!$B$34,$A72,J72,'Flujo de Fondos'!$B$36,'Flujo de Fondos'!$B$35)</f>
        <v>0.24290089875804891</v>
      </c>
      <c r="L72" s="64">
        <v>29.02</v>
      </c>
      <c r="M72" s="81">
        <f>myParidad('Flujo de Fondos'!$H$34,'Paridad usd'!$A72,'Paridad usd'!L72,'Flujo de Fondos'!$H$36,'Flujo de Fondos'!$H$35)</f>
        <v>0.28994679304032439</v>
      </c>
      <c r="N72" s="66">
        <v>26.199000000000002</v>
      </c>
      <c r="O72" s="81">
        <f>myParidad('Flujo de Fondos'!$N$34,$A72,N72,'Flujo de Fondos'!$N$36,'Flujo de Fondos'!$N$35)</f>
        <v>0.26176140699047068</v>
      </c>
      <c r="P72" s="65">
        <f t="shared" si="10"/>
        <v>1.6360297298705029E-2</v>
      </c>
      <c r="Q72" s="65">
        <f t="shared" si="11"/>
        <v>4.5184328662767004E-2</v>
      </c>
      <c r="R72" s="65">
        <f t="shared" si="12"/>
        <v>-3.7212471179353113E-2</v>
      </c>
      <c r="S72" s="65">
        <f t="shared" si="13"/>
        <v>-9.0270851294994015E-3</v>
      </c>
      <c r="T72" s="65">
        <f t="shared" si="14"/>
        <v>3.6157243533267602E-2</v>
      </c>
      <c r="U72" s="65">
        <f t="shared" si="15"/>
        <v>-2.538738242820443E-2</v>
      </c>
      <c r="V72" s="65">
        <f t="shared" si="16"/>
        <v>-6.5268741957826559E-3</v>
      </c>
      <c r="W72" s="65">
        <f t="shared" si="17"/>
        <v>9.8334231029223729E-3</v>
      </c>
      <c r="X72" s="65">
        <f t="shared" si="18"/>
        <v>5.5870761668935953E-2</v>
      </c>
      <c r="Y72" s="73">
        <f t="shared" si="19"/>
        <v>-5.3572768478058141E-2</v>
      </c>
      <c r="Z72" s="80"/>
    </row>
    <row r="73" spans="1:26" x14ac:dyDescent="0.25">
      <c r="A73" s="63">
        <v>45005</v>
      </c>
      <c r="B73" s="64">
        <v>24.98</v>
      </c>
      <c r="C73" s="81">
        <f>myParidad('Flujo de Fondos'!$B$5,A73,B73,'Flujo de Fondos'!$B$7,'Flujo de Fondos'!$B$6)</f>
        <v>0.24807367905534092</v>
      </c>
      <c r="D73" s="64">
        <v>28.998999999999999</v>
      </c>
      <c r="E73" s="85">
        <f>myParidad('Flujo de Fondos'!$H$5,$A73,D73,'Flujo de Fondos'!$H$7,'Flujo de Fondos'!$H$6)</f>
        <v>0.28798593350383628</v>
      </c>
      <c r="F73" s="64">
        <v>24.72</v>
      </c>
      <c r="G73" s="81">
        <f>myParidad('Flujo de Fondos'!$N$5,$A73,F73,'Flujo de Fondos'!$N$7,'Flujo de Fondos'!$N$6)</f>
        <v>0.23353349207992544</v>
      </c>
      <c r="H73" s="66">
        <v>29.1</v>
      </c>
      <c r="I73" s="81">
        <f>myParidad('Flujo de Fondos'!$T$5,$A73,H73,'Flujo de Fondos'!$T$7,'Flujo de Fondos'!$T$6)</f>
        <v>0.2907470898601901</v>
      </c>
      <c r="J73" s="66">
        <v>24.3</v>
      </c>
      <c r="K73" s="81">
        <f>myParidad('Flujo de Fondos'!$B$34,$A73,J73,'Flujo de Fondos'!$B$36,'Flujo de Fondos'!$B$35)</f>
        <v>0.24111238726952694</v>
      </c>
      <c r="L73" s="64">
        <v>28.62</v>
      </c>
      <c r="M73" s="81">
        <f>myParidad('Flujo de Fondos'!$H$34,'Paridad usd'!$A73,'Paridad usd'!L73,'Flujo de Fondos'!$H$36,'Flujo de Fondos'!$H$35)</f>
        <v>0.28595126157383649</v>
      </c>
      <c r="N73" s="66">
        <v>25.25</v>
      </c>
      <c r="O73" s="81">
        <f>myParidad('Flujo de Fondos'!$N$34,$A73,N73,'Flujo de Fondos'!$N$36,'Flujo de Fondos'!$N$35)</f>
        <v>0.25228055048006187</v>
      </c>
      <c r="P73" s="65">
        <f t="shared" si="10"/>
        <v>1.4540186975415481E-2</v>
      </c>
      <c r="Q73" s="65">
        <f t="shared" si="11"/>
        <v>3.991225444849536E-2</v>
      </c>
      <c r="R73" s="65">
        <f t="shared" si="12"/>
        <v>-3.7877582518495573E-2</v>
      </c>
      <c r="S73" s="65">
        <f t="shared" si="13"/>
        <v>-4.2068714247209538E-3</v>
      </c>
      <c r="T73" s="65">
        <f t="shared" si="14"/>
        <v>3.5705383023774406E-2</v>
      </c>
      <c r="U73" s="65">
        <f t="shared" si="15"/>
        <v>-1.8747058400136435E-2</v>
      </c>
      <c r="V73" s="65">
        <f t="shared" si="16"/>
        <v>-7.5788951896015033E-3</v>
      </c>
      <c r="W73" s="65">
        <f t="shared" si="17"/>
        <v>6.9612917858139778E-3</v>
      </c>
      <c r="X73" s="65">
        <f t="shared" si="18"/>
        <v>5.7213597780264663E-2</v>
      </c>
      <c r="Y73" s="73">
        <f t="shared" si="19"/>
        <v>-5.2417769493911054E-2</v>
      </c>
      <c r="Z73" s="80"/>
    </row>
    <row r="74" spans="1:26" x14ac:dyDescent="0.25">
      <c r="A74" s="63">
        <v>45002</v>
      </c>
      <c r="B74" s="64">
        <v>24.9</v>
      </c>
      <c r="C74" s="81">
        <f>myParidad('Flujo de Fondos'!$B$5,A74,B74,'Flujo de Fondos'!$B$7,'Flujo de Fondos'!$B$6)</f>
        <v>0.24729939321379008</v>
      </c>
      <c r="D74" s="64">
        <v>28.398</v>
      </c>
      <c r="E74" s="85">
        <f>myParidad('Flujo de Fondos'!$H$5,$A74,D74,'Flujo de Fondos'!$H$7,'Flujo de Fondos'!$H$6)</f>
        <v>0.28204048869418519</v>
      </c>
      <c r="F74" s="64">
        <v>24.75</v>
      </c>
      <c r="G74" s="81">
        <f>myParidad('Flujo de Fondos'!$N$5,$A74,F74,'Flujo de Fondos'!$N$7,'Flujo de Fondos'!$N$6)</f>
        <v>0.23382598454748993</v>
      </c>
      <c r="H74" s="66">
        <v>29.3</v>
      </c>
      <c r="I74" s="81">
        <f>myParidad('Flujo de Fondos'!$T$5,$A74,H74,'Flujo de Fondos'!$T$7,'Flujo de Fondos'!$T$6)</f>
        <v>0.29274835672076399</v>
      </c>
      <c r="J74" s="66">
        <v>24.1</v>
      </c>
      <c r="K74" s="81">
        <f>myParidad('Flujo de Fondos'!$B$34,$A74,J74,'Flujo de Fondos'!$B$36,'Flujo de Fondos'!$B$35)</f>
        <v>0.23914986457508522</v>
      </c>
      <c r="L74" s="64">
        <v>28.65</v>
      </c>
      <c r="M74" s="81">
        <f>myParidad('Flujo de Fondos'!$H$34,'Paridad usd'!$A74,'Paridad usd'!L74,'Flujo de Fondos'!$H$36,'Flujo de Fondos'!$H$35)</f>
        <v>0.28625393925084941</v>
      </c>
      <c r="N74" s="66">
        <v>25.7</v>
      </c>
      <c r="O74" s="81">
        <f>myParidad('Flujo de Fondos'!$N$34,$A74,N74,'Flujo de Fondos'!$N$36,'Flujo de Fondos'!$N$35)</f>
        <v>0.25677927534892953</v>
      </c>
      <c r="P74" s="65">
        <f t="shared" si="10"/>
        <v>1.3473408666300146E-2</v>
      </c>
      <c r="Q74" s="65">
        <f t="shared" si="11"/>
        <v>3.4741095480395112E-2</v>
      </c>
      <c r="R74" s="65">
        <f t="shared" si="12"/>
        <v>-3.8954546037059334E-2</v>
      </c>
      <c r="S74" s="65">
        <f t="shared" si="13"/>
        <v>-9.4798821351394502E-3</v>
      </c>
      <c r="T74" s="65">
        <f t="shared" si="14"/>
        <v>2.5261213345255662E-2</v>
      </c>
      <c r="U74" s="65">
        <f t="shared" si="15"/>
        <v>-2.2953290801439596E-2</v>
      </c>
      <c r="V74" s="65">
        <f t="shared" si="16"/>
        <v>-5.3238800275952902E-3</v>
      </c>
      <c r="W74" s="65">
        <f t="shared" si="17"/>
        <v>8.149528638704856E-3</v>
      </c>
      <c r="X74" s="65">
        <f t="shared" si="18"/>
        <v>5.8922372173274062E-2</v>
      </c>
      <c r="Y74" s="73">
        <f t="shared" si="19"/>
        <v>-5.2427954703359481E-2</v>
      </c>
      <c r="Z74" s="80"/>
    </row>
    <row r="75" spans="1:26" x14ac:dyDescent="0.25">
      <c r="A75" s="63">
        <v>45001</v>
      </c>
      <c r="B75" s="64">
        <v>25.25</v>
      </c>
      <c r="C75" s="81">
        <f>myParidad('Flujo de Fondos'!$B$5,A75,B75,'Flujo de Fondos'!$B$7,'Flujo de Fondos'!$B$6)</f>
        <v>0.25078231292517006</v>
      </c>
      <c r="D75" s="64">
        <v>28.5</v>
      </c>
      <c r="E75" s="85">
        <f>myParidad('Flujo de Fondos'!$H$5,$A75,D75,'Flujo de Fondos'!$H$7,'Flujo de Fondos'!$H$6)</f>
        <v>0.28306122448979593</v>
      </c>
      <c r="F75" s="64">
        <v>25.15</v>
      </c>
      <c r="G75" s="81">
        <f>myParidad('Flujo de Fondos'!$N$5,$A75,F75,'Flujo de Fondos'!$N$7,'Flujo de Fondos'!$N$6)</f>
        <v>0.23760806543459129</v>
      </c>
      <c r="H75" s="66">
        <v>29.71</v>
      </c>
      <c r="I75" s="81">
        <f>myParidad('Flujo de Fondos'!$T$5,$A75,H75,'Flujo de Fondos'!$T$7,'Flujo de Fondos'!$T$6)</f>
        <v>0.2968458511548332</v>
      </c>
      <c r="J75" s="66">
        <v>24.7</v>
      </c>
      <c r="K75" s="81">
        <f>myParidad('Flujo de Fondos'!$B$34,$A75,J75,'Flujo de Fondos'!$B$36,'Flujo de Fondos'!$B$35)</f>
        <v>0.24511129991503822</v>
      </c>
      <c r="L75" s="64">
        <v>29.2</v>
      </c>
      <c r="M75" s="81">
        <f>myParidad('Flujo de Fondos'!$H$34,'Paridad usd'!$A75,'Paridad usd'!L75,'Flujo de Fondos'!$H$36,'Flujo de Fondos'!$H$35)</f>
        <v>0.29175021385799826</v>
      </c>
      <c r="N75" s="66">
        <v>25.8</v>
      </c>
      <c r="O75" s="81">
        <f>myParidad('Flujo de Fondos'!$N$34,$A75,N75,'Flujo de Fondos'!$N$36,'Flujo de Fondos'!$N$35)</f>
        <v>0.25777929854576564</v>
      </c>
      <c r="P75" s="65">
        <f t="shared" si="10"/>
        <v>1.3174247490578772E-2</v>
      </c>
      <c r="Q75" s="65">
        <f t="shared" si="11"/>
        <v>3.2278911564625867E-2</v>
      </c>
      <c r="R75" s="65">
        <f t="shared" si="12"/>
        <v>-4.0967900932828205E-2</v>
      </c>
      <c r="S75" s="65">
        <f t="shared" si="13"/>
        <v>-6.996985620595586E-3</v>
      </c>
      <c r="T75" s="65">
        <f t="shared" si="14"/>
        <v>2.5281925944030281E-2</v>
      </c>
      <c r="U75" s="65">
        <f t="shared" si="15"/>
        <v>-2.0171233111174358E-2</v>
      </c>
      <c r="V75" s="65">
        <f t="shared" si="16"/>
        <v>-7.5032344804469298E-3</v>
      </c>
      <c r="W75" s="65">
        <f t="shared" si="17"/>
        <v>5.6710130101318423E-3</v>
      </c>
      <c r="X75" s="65">
        <f t="shared" si="18"/>
        <v>5.9237785720241909E-2</v>
      </c>
      <c r="Y75" s="73">
        <f t="shared" si="19"/>
        <v>-5.4142148423406977E-2</v>
      </c>
      <c r="Z75" s="80"/>
    </row>
    <row r="76" spans="1:26" x14ac:dyDescent="0.25">
      <c r="A76" s="63">
        <v>45000</v>
      </c>
      <c r="B76" s="64">
        <v>24.64</v>
      </c>
      <c r="C76" s="81">
        <f>myParidad('Flujo de Fondos'!$B$5,A76,B76,'Flujo de Fondos'!$B$7,'Flujo de Fondos'!$B$6)</f>
        <v>0.2447304688562954</v>
      </c>
      <c r="D76" s="64">
        <v>28.5</v>
      </c>
      <c r="E76" s="85">
        <f>myParidad('Flujo de Fondos'!$H$5,$A76,D76,'Flujo de Fondos'!$H$7,'Flujo de Fondos'!$H$6)</f>
        <v>0.28306892704563391</v>
      </c>
      <c r="F76" s="64">
        <v>24.32</v>
      </c>
      <c r="G76" s="81">
        <f>myParidad('Flujo de Fondos'!$N$5,$A76,F76,'Flujo de Fondos'!$N$7,'Flujo de Fondos'!$N$6)</f>
        <v>0.2297695005629829</v>
      </c>
      <c r="H76" s="66">
        <v>28.876000000000001</v>
      </c>
      <c r="I76" s="81">
        <f>myParidad('Flujo de Fondos'!$T$5,$A76,H76,'Flujo de Fondos'!$T$7,'Flujo de Fondos'!$T$6)</f>
        <v>0.28851397267398693</v>
      </c>
      <c r="J76" s="66">
        <v>24.16</v>
      </c>
      <c r="K76" s="81">
        <f>myParidad('Flujo de Fondos'!$B$34,$A76,J76,'Flujo de Fondos'!$B$36,'Flujo de Fondos'!$B$35)</f>
        <v>0.23975992468758603</v>
      </c>
      <c r="L76" s="64">
        <v>28.35</v>
      </c>
      <c r="M76" s="81">
        <f>myParidad('Flujo de Fondos'!$H$34,'Paridad usd'!$A76,'Paridad usd'!L76,'Flujo de Fondos'!$H$36,'Flujo de Fondos'!$H$35)</f>
        <v>0.28325845426331658</v>
      </c>
      <c r="N76" s="66">
        <v>24.66</v>
      </c>
      <c r="O76" s="81">
        <f>myParidad('Flujo de Fondos'!$N$34,$A76,N76,'Flujo de Fondos'!$N$36,'Flujo de Fondos'!$N$35)</f>
        <v>0.24638989354967852</v>
      </c>
      <c r="P76" s="65">
        <f t="shared" si="10"/>
        <v>1.4960968293312504E-2</v>
      </c>
      <c r="Q76" s="65">
        <f t="shared" si="11"/>
        <v>3.8338458189338509E-2</v>
      </c>
      <c r="R76" s="65">
        <f t="shared" si="12"/>
        <v>-3.8527985407021181E-2</v>
      </c>
      <c r="S76" s="65">
        <f t="shared" si="13"/>
        <v>-1.6594246933831214E-3</v>
      </c>
      <c r="T76" s="65">
        <f t="shared" si="14"/>
        <v>3.6679033495955388E-2</v>
      </c>
      <c r="U76" s="65">
        <f t="shared" si="15"/>
        <v>-1.6620392986695626E-2</v>
      </c>
      <c r="V76" s="65">
        <f t="shared" si="16"/>
        <v>-9.9904241246031311E-3</v>
      </c>
      <c r="W76" s="65">
        <f t="shared" si="17"/>
        <v>4.9705441687093732E-3</v>
      </c>
      <c r="X76" s="65">
        <f t="shared" si="18"/>
        <v>5.8744472111004031E-2</v>
      </c>
      <c r="Y76" s="73">
        <f t="shared" si="19"/>
        <v>-5.3488953700333686E-2</v>
      </c>
      <c r="Z76" s="80"/>
    </row>
    <row r="77" spans="1:26" x14ac:dyDescent="0.25">
      <c r="A77" s="63">
        <v>44999</v>
      </c>
      <c r="B77" s="64">
        <v>25.15</v>
      </c>
      <c r="C77" s="81">
        <f>myParidad('Flujo de Fondos'!$B$5,A77,B77,'Flujo de Fondos'!$B$7,'Flujo de Fondos'!$B$6)</f>
        <v>0.24980271035158375</v>
      </c>
      <c r="D77" s="64">
        <v>29</v>
      </c>
      <c r="E77" s="85">
        <f>myParidad('Flujo de Fondos'!$H$5,$A77,D77,'Flujo de Fondos'!$H$7,'Flujo de Fondos'!$H$6)</f>
        <v>0.28804288668771089</v>
      </c>
      <c r="F77" s="64">
        <v>24.83</v>
      </c>
      <c r="G77" s="81">
        <f>myParidad('Flujo de Fondos'!$N$5,$A77,F77,'Flujo de Fondos'!$N$7,'Flujo de Fondos'!$N$6)</f>
        <v>0.23459089379545983</v>
      </c>
      <c r="H77" s="66">
        <v>29.48</v>
      </c>
      <c r="I77" s="81">
        <f>myParidad('Flujo de Fondos'!$T$5,$A77,H77,'Flujo de Fondos'!$T$7,'Flujo de Fondos'!$T$6)</f>
        <v>0.29454983438723276</v>
      </c>
      <c r="J77" s="66">
        <v>24.949000000000002</v>
      </c>
      <c r="K77" s="81">
        <f>myParidad('Flujo de Fondos'!$B$34,$A77,J77,'Flujo de Fondos'!$B$36,'Flujo de Fondos'!$B$35)</f>
        <v>0.24759740612849726</v>
      </c>
      <c r="L77" s="64">
        <v>28.7</v>
      </c>
      <c r="M77" s="81">
        <f>myParidad('Flujo de Fondos'!$H$34,'Paridad usd'!$A77,'Paridad usd'!L77,'Flujo de Fondos'!$H$36,'Flujo de Fondos'!$H$35)</f>
        <v>0.28675645342312006</v>
      </c>
      <c r="N77" s="66">
        <v>25.3</v>
      </c>
      <c r="O77" s="81">
        <f>myParidad('Flujo de Fondos'!$N$34,$A77,N77,'Flujo de Fondos'!$N$36,'Flujo de Fondos'!$N$35)</f>
        <v>0.25278530563083407</v>
      </c>
      <c r="P77" s="65">
        <f t="shared" si="10"/>
        <v>1.5211816556123914E-2</v>
      </c>
      <c r="Q77" s="65">
        <f t="shared" si="11"/>
        <v>3.8240176336127141E-2</v>
      </c>
      <c r="R77" s="65">
        <f t="shared" si="12"/>
        <v>-3.6953743071536316E-2</v>
      </c>
      <c r="S77" s="65">
        <f t="shared" si="13"/>
        <v>-2.9825952792503219E-3</v>
      </c>
      <c r="T77" s="65">
        <f t="shared" si="14"/>
        <v>3.5257581056876819E-2</v>
      </c>
      <c r="U77" s="65">
        <f t="shared" si="15"/>
        <v>-1.8194411835374236E-2</v>
      </c>
      <c r="V77" s="65">
        <f t="shared" si="16"/>
        <v>-1.3006512333037429E-2</v>
      </c>
      <c r="W77" s="65">
        <f t="shared" si="17"/>
        <v>2.205304223086485E-3</v>
      </c>
      <c r="X77" s="65">
        <f t="shared" si="18"/>
        <v>5.9958940591772925E-2</v>
      </c>
      <c r="Y77" s="73">
        <f t="shared" si="19"/>
        <v>-5.216555962766023E-2</v>
      </c>
      <c r="Z77" s="80"/>
    </row>
    <row r="78" spans="1:26" x14ac:dyDescent="0.25">
      <c r="A78" s="63">
        <v>44998</v>
      </c>
      <c r="B78" s="64">
        <v>25.248999999999999</v>
      </c>
      <c r="C78" s="81">
        <f>myParidad('Flujo de Fondos'!$B$5,A78,B78,'Flujo de Fondos'!$B$7,'Flujo de Fondos'!$B$6)</f>
        <v>0.25079285383840855</v>
      </c>
      <c r="D78" s="64">
        <v>28.99</v>
      </c>
      <c r="E78" s="85">
        <f>myParidad('Flujo de Fondos'!$H$5,$A78,D78,'Flujo de Fondos'!$H$7,'Flujo de Fondos'!$H$6)</f>
        <v>0.28795139739298442</v>
      </c>
      <c r="F78" s="64">
        <v>24.902000000000001</v>
      </c>
      <c r="G78" s="81">
        <f>myParidad('Flujo de Fondos'!$N$5,$A78,F78,'Flujo de Fondos'!$N$7,'Flujo de Fondos'!$N$6)</f>
        <v>0.23527418624215363</v>
      </c>
      <c r="H78" s="66">
        <v>29.58</v>
      </c>
      <c r="I78" s="81">
        <f>myParidad('Flujo de Fondos'!$T$5,$A78,H78,'Flujo de Fondos'!$T$7,'Flujo de Fondos'!$T$6)</f>
        <v>0.29554999709150137</v>
      </c>
      <c r="J78" s="66">
        <v>24.65</v>
      </c>
      <c r="K78" s="81">
        <f>myParidad('Flujo de Fondos'!$B$34,$A78,J78,'Flujo de Fondos'!$B$36,'Flujo de Fondos'!$B$35)</f>
        <v>0.2446375708221315</v>
      </c>
      <c r="L78" s="64">
        <v>28.6</v>
      </c>
      <c r="M78" s="81">
        <f>myParidad('Flujo de Fondos'!$H$34,'Paridad usd'!$A78,'Paridad usd'!L78,'Flujo de Fondos'!$H$36,'Flujo de Fondos'!$H$35)</f>
        <v>0.28575827981125557</v>
      </c>
      <c r="N78" s="66">
        <v>25.25</v>
      </c>
      <c r="O78" s="81">
        <f>myParidad('Flujo de Fondos'!$N$34,$A78,N78,'Flujo de Fondos'!$N$36,'Flujo de Fondos'!$N$35)</f>
        <v>0.25228659319000707</v>
      </c>
      <c r="P78" s="65">
        <f t="shared" si="10"/>
        <v>1.551866759625492E-2</v>
      </c>
      <c r="Q78" s="65">
        <f t="shared" si="11"/>
        <v>3.7158543554575874E-2</v>
      </c>
      <c r="R78" s="65">
        <f t="shared" si="12"/>
        <v>-3.496542597284702E-2</v>
      </c>
      <c r="S78" s="65">
        <f t="shared" si="13"/>
        <v>-1.493739351598522E-3</v>
      </c>
      <c r="T78" s="65">
        <f t="shared" si="14"/>
        <v>3.5664804202977352E-2</v>
      </c>
      <c r="U78" s="65">
        <f t="shared" si="15"/>
        <v>-1.7012406947853442E-2</v>
      </c>
      <c r="V78" s="65">
        <f t="shared" si="16"/>
        <v>-9.3633845799778737E-3</v>
      </c>
      <c r="W78" s="65">
        <f t="shared" si="17"/>
        <v>6.1552830162770467E-3</v>
      </c>
      <c r="X78" s="65">
        <f t="shared" si="18"/>
        <v>6.0275810849347744E-2</v>
      </c>
      <c r="Y78" s="73">
        <f t="shared" si="19"/>
        <v>-5.048409356910194E-2</v>
      </c>
      <c r="Z78" s="80"/>
    </row>
    <row r="79" spans="1:26" x14ac:dyDescent="0.25">
      <c r="A79" s="63">
        <v>44995</v>
      </c>
      <c r="B79" s="64">
        <v>25.3</v>
      </c>
      <c r="C79" s="81">
        <f>myParidad('Flujo de Fondos'!$B$5,A79,B79,'Flujo de Fondos'!$B$7,'Flujo de Fondos'!$B$6)</f>
        <v>0.25131994339211844</v>
      </c>
      <c r="D79" s="64">
        <v>29</v>
      </c>
      <c r="E79" s="85">
        <f>myParidad('Flujo de Fondos'!$H$5,$A79,D79,'Flujo de Fondos'!$H$7,'Flujo de Fondos'!$H$6)</f>
        <v>0.28807424341389071</v>
      </c>
      <c r="F79" s="64">
        <v>25.1</v>
      </c>
      <c r="G79" s="81">
        <f>myParidad('Flujo de Fondos'!$N$5,$A79,F79,'Flujo de Fondos'!$N$7,'Flujo de Fondos'!$N$6)</f>
        <v>0.23715409903963139</v>
      </c>
      <c r="H79" s="66">
        <v>29.588000000000001</v>
      </c>
      <c r="I79" s="81">
        <f>myParidad('Flujo de Fondos'!$T$5,$A79,H79,'Flujo de Fondos'!$T$7,'Flujo de Fondos'!$T$6)</f>
        <v>0.295632964235365</v>
      </c>
      <c r="J79" s="66">
        <v>24.86</v>
      </c>
      <c r="K79" s="81">
        <f>myParidad('Flujo de Fondos'!$B$34,$A79,J79,'Flujo de Fondos'!$B$36,'Flujo de Fondos'!$B$35)</f>
        <v>0.24674434730587771</v>
      </c>
      <c r="L79" s="64">
        <v>29.07</v>
      </c>
      <c r="M79" s="81">
        <f>myParidad('Flujo de Fondos'!$H$34,'Paridad usd'!$A79,'Paridad usd'!L79,'Flujo de Fondos'!$H$36,'Flujo de Fondos'!$H$35)</f>
        <v>0.29045728911457547</v>
      </c>
      <c r="N79" s="66">
        <v>25.7</v>
      </c>
      <c r="O79" s="81">
        <f>myParidad('Flujo de Fondos'!$N$34,$A79,N79,'Flujo de Fondos'!$N$36,'Flujo de Fondos'!$N$35)</f>
        <v>0.25678542587700687</v>
      </c>
      <c r="P79" s="65">
        <f t="shared" si="10"/>
        <v>1.416584435248705E-2</v>
      </c>
      <c r="Q79" s="65">
        <f t="shared" si="11"/>
        <v>3.6754300021772268E-2</v>
      </c>
      <c r="R79" s="65">
        <f t="shared" si="12"/>
        <v>-3.9137345722457029E-2</v>
      </c>
      <c r="S79" s="65">
        <f t="shared" si="13"/>
        <v>-5.4654824848884287E-3</v>
      </c>
      <c r="T79" s="65">
        <f t="shared" si="14"/>
        <v>3.1288817536883839E-2</v>
      </c>
      <c r="U79" s="65">
        <f t="shared" si="15"/>
        <v>-1.9631326837375479E-2</v>
      </c>
      <c r="V79" s="65">
        <f t="shared" si="16"/>
        <v>-9.5902482662463262E-3</v>
      </c>
      <c r="W79" s="65">
        <f t="shared" si="17"/>
        <v>4.5755960862407241E-3</v>
      </c>
      <c r="X79" s="65">
        <f t="shared" si="18"/>
        <v>5.8478865195733615E-2</v>
      </c>
      <c r="Y79" s="73">
        <f t="shared" si="19"/>
        <v>-5.3303190074944079E-2</v>
      </c>
      <c r="Z79" s="80"/>
    </row>
    <row r="80" spans="1:26" x14ac:dyDescent="0.25">
      <c r="A80" s="63">
        <v>44994</v>
      </c>
      <c r="B80" s="64">
        <v>26.100999999999999</v>
      </c>
      <c r="C80" s="81">
        <f>myParidad('Flujo de Fondos'!$B$5,A80,B80,'Flujo de Fondos'!$B$7,'Flujo de Fondos'!$B$6)</f>
        <v>0.25928380916092858</v>
      </c>
      <c r="D80" s="64">
        <v>29.75</v>
      </c>
      <c r="E80" s="85">
        <f>myParidad('Flujo de Fondos'!$H$5,$A80,D80,'Flujo de Fondos'!$H$7,'Flujo de Fondos'!$H$6)</f>
        <v>0.29553248237759572</v>
      </c>
      <c r="F80" s="64">
        <v>26.1</v>
      </c>
      <c r="G80" s="81">
        <f>myParidad('Flujo de Fondos'!$N$5,$A80,F80,'Flujo de Fondos'!$N$7,'Flujo de Fondos'!$N$6)</f>
        <v>0.24660566132977829</v>
      </c>
      <c r="H80" s="66">
        <v>30.85</v>
      </c>
      <c r="I80" s="81">
        <f>myParidad('Flujo de Fondos'!$T$5,$A80,H80,'Flujo de Fondos'!$T$7,'Flujo de Fondos'!$T$6)</f>
        <v>0.30824348230753174</v>
      </c>
      <c r="J80" s="66">
        <v>25.95</v>
      </c>
      <c r="K80" s="81">
        <f>myParidad('Flujo de Fondos'!$B$34,$A80,J80,'Flujo de Fondos'!$B$36,'Flujo de Fondos'!$B$35)</f>
        <v>0.25757086479008251</v>
      </c>
      <c r="L80" s="64">
        <v>29.77</v>
      </c>
      <c r="M80" s="81">
        <f>myParidad('Flujo de Fondos'!$H$34,'Paridad usd'!$A80,'Paridad usd'!L80,'Flujo de Fondos'!$H$36,'Flujo de Fondos'!$H$35)</f>
        <v>0.29745246250551766</v>
      </c>
      <c r="N80" s="66">
        <v>26.361000000000001</v>
      </c>
      <c r="O80" s="81">
        <f>myParidad('Flujo de Fondos'!$N$34,$A80,N80,'Flujo de Fondos'!$N$36,'Flujo de Fondos'!$N$35)</f>
        <v>0.26339080833416029</v>
      </c>
      <c r="P80" s="65">
        <f t="shared" si="10"/>
        <v>1.2678147831150288E-2</v>
      </c>
      <c r="Q80" s="65">
        <f t="shared" si="11"/>
        <v>3.6248673216667138E-2</v>
      </c>
      <c r="R80" s="65">
        <f t="shared" si="12"/>
        <v>-3.8168653344589076E-2</v>
      </c>
      <c r="S80" s="65">
        <f t="shared" si="13"/>
        <v>-4.1069991732317068E-3</v>
      </c>
      <c r="T80" s="65">
        <f t="shared" si="14"/>
        <v>3.2141674043435431E-2</v>
      </c>
      <c r="U80" s="65">
        <f t="shared" si="15"/>
        <v>-1.6785147004381995E-2</v>
      </c>
      <c r="V80" s="65">
        <f t="shared" si="16"/>
        <v>-1.0965203460304218E-2</v>
      </c>
      <c r="W80" s="65">
        <f t="shared" si="17"/>
        <v>1.7129443708460701E-3</v>
      </c>
      <c r="X80" s="65">
        <f t="shared" si="18"/>
        <v>6.1637820977753444E-2</v>
      </c>
      <c r="Y80" s="73">
        <f t="shared" si="19"/>
        <v>-5.0846801175739365E-2</v>
      </c>
      <c r="Z80" s="80"/>
    </row>
    <row r="81" spans="1:26" x14ac:dyDescent="0.25">
      <c r="A81" s="63">
        <v>44993</v>
      </c>
      <c r="B81" s="64">
        <v>26.6</v>
      </c>
      <c r="C81" s="81">
        <f>myParidad('Flujo de Fondos'!$B$5,A81,B81,'Flujo de Fondos'!$B$7,'Flujo de Fondos'!$B$6)</f>
        <v>0.26424799956453104</v>
      </c>
      <c r="D81" s="64">
        <v>30.35</v>
      </c>
      <c r="E81" s="85">
        <f>myParidad('Flujo de Fondos'!$H$5,$A81,D81,'Flujo de Fondos'!$H$7,'Flujo de Fondos'!$H$6)</f>
        <v>0.30150100702193677</v>
      </c>
      <c r="F81" s="64">
        <v>26.45</v>
      </c>
      <c r="G81" s="81">
        <f>myParidad('Flujo de Fondos'!$N$5,$A81,F81,'Flujo de Fondos'!$N$7,'Flujo de Fondos'!$N$6)</f>
        <v>0.24991586849598757</v>
      </c>
      <c r="H81" s="66">
        <v>31.03</v>
      </c>
      <c r="I81" s="81">
        <f>myParidad('Flujo de Fondos'!$T$5,$A81,H81,'Flujo de Fondos'!$T$7,'Flujo de Fondos'!$T$6)</f>
        <v>0.31004304651624343</v>
      </c>
      <c r="J81" s="66">
        <v>26.25</v>
      </c>
      <c r="K81" s="81">
        <f>myParidad('Flujo de Fondos'!$B$34,$A81,J81,'Flujo de Fondos'!$B$36,'Flujo de Fondos'!$B$35)</f>
        <v>0.26055653379926441</v>
      </c>
      <c r="L81" s="64">
        <v>30.004999999999999</v>
      </c>
      <c r="M81" s="81">
        <f>myParidad('Flujo de Fondos'!$H$34,'Paridad usd'!$A81,'Paridad usd'!L81,'Flujo de Fondos'!$H$36,'Flujo de Fondos'!$H$35)</f>
        <v>0.29980153434482382</v>
      </c>
      <c r="N81" s="66">
        <v>26.9</v>
      </c>
      <c r="O81" s="81">
        <f>myParidad('Flujo de Fondos'!$N$34,$A81,N81,'Flujo de Fondos'!$N$36,'Flujo de Fondos'!$N$35)</f>
        <v>0.26877724625481619</v>
      </c>
      <c r="P81" s="65">
        <f t="shared" si="10"/>
        <v>1.4332131068543474E-2</v>
      </c>
      <c r="Q81" s="65">
        <f t="shared" si="11"/>
        <v>3.7253007457405729E-2</v>
      </c>
      <c r="R81" s="65">
        <f t="shared" si="12"/>
        <v>-3.5553534780292773E-2</v>
      </c>
      <c r="S81" s="65">
        <f t="shared" si="13"/>
        <v>-4.5292466902851491E-3</v>
      </c>
      <c r="T81" s="65">
        <f t="shared" si="14"/>
        <v>3.272376076712058E-2</v>
      </c>
      <c r="U81" s="65">
        <f t="shared" si="15"/>
        <v>-1.8861377758828624E-2</v>
      </c>
      <c r="V81" s="65">
        <f t="shared" si="16"/>
        <v>-1.0640665303276842E-2</v>
      </c>
      <c r="W81" s="65">
        <f t="shared" si="17"/>
        <v>3.6914657652666327E-3</v>
      </c>
      <c r="X81" s="65">
        <f t="shared" si="18"/>
        <v>6.0127178020255856E-2</v>
      </c>
      <c r="Y81" s="73">
        <f t="shared" si="19"/>
        <v>-4.9885665848836247E-2</v>
      </c>
      <c r="Z81" s="80"/>
    </row>
    <row r="82" spans="1:26" x14ac:dyDescent="0.25">
      <c r="A82" s="63">
        <v>44992</v>
      </c>
      <c r="B82" s="64">
        <v>27.1</v>
      </c>
      <c r="C82" s="81">
        <f>myParidad('Flujo de Fondos'!$B$5,A82,B82,'Flujo de Fondos'!$B$7,'Flujo de Fondos'!$B$6)</f>
        <v>0.26922239460003811</v>
      </c>
      <c r="D82" s="64">
        <v>31.2</v>
      </c>
      <c r="E82" s="85">
        <f>myParidad('Flujo de Fondos'!$H$5,$A82,D82,'Flujo de Fondos'!$H$7,'Flujo de Fondos'!$H$6)</f>
        <v>0.30995345798971174</v>
      </c>
      <c r="F82" s="64">
        <v>26.9</v>
      </c>
      <c r="G82" s="81">
        <f>myParidad('Flujo de Fondos'!$N$5,$A82,F82,'Flujo de Fondos'!$N$7,'Flujo de Fondos'!$N$6)</f>
        <v>0.25417103508976296</v>
      </c>
      <c r="H82" s="66">
        <v>31.61</v>
      </c>
      <c r="I82" s="81">
        <f>myParidad('Flujo de Fondos'!$T$5,$A82,H82,'Flujo de Fondos'!$T$7,'Flujo de Fondos'!$T$6)</f>
        <v>0.31583932439322338</v>
      </c>
      <c r="J82" s="66">
        <v>26.9</v>
      </c>
      <c r="K82" s="81">
        <f>myParidad('Flujo de Fondos'!$B$34,$A82,J82,'Flujo de Fondos'!$B$36,'Flujo de Fondos'!$B$35)</f>
        <v>0.2670165789053231</v>
      </c>
      <c r="L82" s="64">
        <v>30.6</v>
      </c>
      <c r="M82" s="81">
        <f>myParidad('Flujo de Fondos'!$H$34,'Paridad usd'!$A82,'Paridad usd'!L82,'Flujo de Fondos'!$H$36,'Flujo de Fondos'!$H$35)</f>
        <v>0.30574765347778032</v>
      </c>
      <c r="N82" s="66">
        <v>27.8</v>
      </c>
      <c r="O82" s="81">
        <f>myParidad('Flujo de Fondos'!$N$34,$A82,N82,'Flujo de Fondos'!$N$36,'Flujo de Fondos'!$N$35)</f>
        <v>0.27777074400922525</v>
      </c>
      <c r="P82" s="65">
        <f t="shared" si="10"/>
        <v>1.5051359510275142E-2</v>
      </c>
      <c r="Q82" s="65">
        <f t="shared" si="11"/>
        <v>4.0731063389673638E-2</v>
      </c>
      <c r="R82" s="65">
        <f t="shared" si="12"/>
        <v>-3.6525258877742217E-2</v>
      </c>
      <c r="S82" s="65">
        <f t="shared" si="13"/>
        <v>-8.5483494091871393E-3</v>
      </c>
      <c r="T82" s="65">
        <f t="shared" si="14"/>
        <v>3.2182713980486499E-2</v>
      </c>
      <c r="U82" s="65">
        <f t="shared" si="15"/>
        <v>-2.3599708919462281E-2</v>
      </c>
      <c r="V82" s="65">
        <f t="shared" si="16"/>
        <v>-1.2845543815560134E-2</v>
      </c>
      <c r="W82" s="65">
        <f t="shared" si="17"/>
        <v>2.2058156947150076E-3</v>
      </c>
      <c r="X82" s="65">
        <f t="shared" si="18"/>
        <v>6.1668289303460411E-2</v>
      </c>
      <c r="Y82" s="73">
        <f t="shared" si="19"/>
        <v>-5.1576618388017359E-2</v>
      </c>
      <c r="Z82" s="80"/>
    </row>
    <row r="83" spans="1:26" x14ac:dyDescent="0.25">
      <c r="A83" s="63">
        <v>44991</v>
      </c>
      <c r="B83" s="64">
        <v>27.5</v>
      </c>
      <c r="C83" s="81">
        <f>myParidad('Flujo de Fondos'!$B$5,A83,B83,'Flujo de Fondos'!$B$7,'Flujo de Fondos'!$B$6)</f>
        <v>0.27320359281437123</v>
      </c>
      <c r="D83" s="64">
        <v>31.5</v>
      </c>
      <c r="E83" s="85">
        <f>myParidad('Flujo de Fondos'!$H$5,$A83,D83,'Flujo de Fondos'!$H$7,'Flujo de Fondos'!$H$6)</f>
        <v>0.31294229722373434</v>
      </c>
      <c r="F83" s="64">
        <v>27.7</v>
      </c>
      <c r="G83" s="81">
        <f>myParidad('Flujo de Fondos'!$N$5,$A83,F83,'Flujo de Fondos'!$N$7,'Flujo de Fondos'!$N$6)</f>
        <v>0.26173341272101269</v>
      </c>
      <c r="H83" s="66">
        <v>32.351999999999997</v>
      </c>
      <c r="I83" s="81">
        <f>myParidad('Flujo de Fondos'!$T$5,$A83,H83,'Flujo de Fondos'!$T$7,'Flujo de Fondos'!$T$6)</f>
        <v>0.32325431152477413</v>
      </c>
      <c r="J83" s="66">
        <v>27.5</v>
      </c>
      <c r="K83" s="81">
        <f>myParidad('Flujo de Fondos'!$B$34,$A83,J83,'Flujo de Fondos'!$B$36,'Flujo de Fondos'!$B$35)</f>
        <v>0.27298069078052761</v>
      </c>
      <c r="L83" s="64">
        <v>31</v>
      </c>
      <c r="M83" s="81">
        <f>myParidad('Flujo de Fondos'!$H$34,'Paridad usd'!$A83,'Paridad usd'!L83,'Flujo de Fondos'!$H$36,'Flujo de Fondos'!$H$35)</f>
        <v>0.30974541472762113</v>
      </c>
      <c r="N83" s="66">
        <v>27.8</v>
      </c>
      <c r="O83" s="81">
        <f>myParidad('Flujo de Fondos'!$N$34,$A83,N83,'Flujo de Fondos'!$N$36,'Flujo de Fondos'!$N$35)</f>
        <v>0.27777169449767314</v>
      </c>
      <c r="P83" s="65">
        <f t="shared" si="10"/>
        <v>1.147018009335854E-2</v>
      </c>
      <c r="Q83" s="65">
        <f t="shared" si="11"/>
        <v>3.9738704409363113E-2</v>
      </c>
      <c r="R83" s="65">
        <f t="shared" si="12"/>
        <v>-3.6541821913249894E-2</v>
      </c>
      <c r="S83" s="65">
        <f t="shared" si="13"/>
        <v>-4.5681016833019061E-3</v>
      </c>
      <c r="T83" s="65">
        <f t="shared" si="14"/>
        <v>3.5170602726061206E-2</v>
      </c>
      <c r="U83" s="65">
        <f t="shared" si="15"/>
        <v>-1.6038281776660446E-2</v>
      </c>
      <c r="V83" s="65">
        <f t="shared" si="16"/>
        <v>-1.124727805951492E-2</v>
      </c>
      <c r="W83" s="65">
        <f t="shared" si="17"/>
        <v>2.229020338436194E-4</v>
      </c>
      <c r="X83" s="65">
        <f t="shared" si="18"/>
        <v>6.1520898803761437E-2</v>
      </c>
      <c r="Y83" s="73">
        <f t="shared" si="19"/>
        <v>-4.8012002006608434E-2</v>
      </c>
      <c r="Z83" s="80"/>
    </row>
    <row r="84" spans="1:26" x14ac:dyDescent="0.25">
      <c r="A84" s="63">
        <v>44988</v>
      </c>
      <c r="B84" s="64">
        <v>26.69</v>
      </c>
      <c r="C84" s="81">
        <f>myParidad('Flujo de Fondos'!$B$5,A84,B84,'Flujo de Fondos'!$B$7,'Flujo de Fondos'!$B$6)</f>
        <v>0.2651781582600648</v>
      </c>
      <c r="D84" s="64">
        <v>30.7</v>
      </c>
      <c r="E84" s="85">
        <f>myParidad('Flujo de Fondos'!$H$5,$A84,D84,'Flujo de Fondos'!$H$7,'Flujo de Fondos'!$H$6)</f>
        <v>0.30501946266706592</v>
      </c>
      <c r="F84" s="64">
        <v>26.56</v>
      </c>
      <c r="G84" s="81">
        <f>myParidad('Flujo de Fondos'!$N$5,$A84,F84,'Flujo de Fondos'!$N$7,'Flujo de Fondos'!$N$6)</f>
        <v>0.250971458158048</v>
      </c>
      <c r="H84" s="66">
        <v>31.105</v>
      </c>
      <c r="I84" s="81">
        <f>myParidad('Flujo de Fondos'!$T$5,$A84,H84,'Flujo de Fondos'!$T$7,'Flujo de Fondos'!$T$6)</f>
        <v>0.31079774292782913</v>
      </c>
      <c r="J84" s="66">
        <v>26.5</v>
      </c>
      <c r="K84" s="81">
        <f>myParidad('Flujo de Fondos'!$B$34,$A84,J84,'Flujo de Fondos'!$B$36,'Flujo de Fondos'!$B$35)</f>
        <v>0.26307826731444617</v>
      </c>
      <c r="L84" s="64">
        <v>29.9</v>
      </c>
      <c r="M84" s="81">
        <f>myParidad('Flujo de Fondos'!$H$34,'Paridad usd'!$A84,'Paridad usd'!L84,'Flujo de Fondos'!$H$36,'Flujo de Fondos'!$H$35)</f>
        <v>0.29875751530435912</v>
      </c>
      <c r="N84" s="66">
        <v>27.199000000000002</v>
      </c>
      <c r="O84" s="81">
        <f>myParidad('Flujo de Fondos'!$N$34,$A84,N84,'Flujo de Fondos'!$N$36,'Flujo de Fondos'!$N$35)</f>
        <v>0.27176942002552723</v>
      </c>
      <c r="P84" s="65">
        <f t="shared" si="10"/>
        <v>1.42067001020168E-2</v>
      </c>
      <c r="Q84" s="65">
        <f t="shared" si="11"/>
        <v>3.9841304407001121E-2</v>
      </c>
      <c r="R84" s="65">
        <f t="shared" si="12"/>
        <v>-3.3579357044294322E-2</v>
      </c>
      <c r="S84" s="65">
        <f t="shared" si="13"/>
        <v>-6.5912617654624306E-3</v>
      </c>
      <c r="T84" s="65">
        <f t="shared" si="14"/>
        <v>3.3250042641538691E-2</v>
      </c>
      <c r="U84" s="65">
        <f t="shared" si="15"/>
        <v>-2.0797961867479231E-2</v>
      </c>
      <c r="V84" s="65">
        <f t="shared" si="16"/>
        <v>-1.2106809156398168E-2</v>
      </c>
      <c r="W84" s="65">
        <f t="shared" si="17"/>
        <v>2.0998909456186321E-3</v>
      </c>
      <c r="X84" s="65">
        <f t="shared" si="18"/>
        <v>5.9826284769781135E-2</v>
      </c>
      <c r="Y84" s="73">
        <f t="shared" si="19"/>
        <v>-4.7786057146311123E-2</v>
      </c>
      <c r="Z84" s="80"/>
    </row>
    <row r="85" spans="1:26" x14ac:dyDescent="0.25">
      <c r="A85" s="63">
        <v>44987</v>
      </c>
      <c r="B85" s="64">
        <v>27.1</v>
      </c>
      <c r="C85" s="81">
        <f>myParidad('Flujo de Fondos'!$B$5,A85,B85,'Flujo de Fondos'!$B$7,'Flujo de Fondos'!$B$6)</f>
        <v>0.26925903745644603</v>
      </c>
      <c r="D85" s="64">
        <v>30</v>
      </c>
      <c r="E85" s="85">
        <f>myParidad('Flujo de Fondos'!$H$5,$A85,D85,'Flujo de Fondos'!$H$7,'Flujo de Fondos'!$H$6)</f>
        <v>0.29807273519163763</v>
      </c>
      <c r="F85" s="64">
        <v>26.69</v>
      </c>
      <c r="G85" s="81">
        <f>myParidad('Flujo de Fondos'!$N$5,$A85,F85,'Flujo de Fondos'!$N$7,'Flujo de Fondos'!$N$6)</f>
        <v>0.25220312216843144</v>
      </c>
      <c r="H85" s="66">
        <v>31</v>
      </c>
      <c r="I85" s="81">
        <f>myParidad('Flujo de Fondos'!$T$5,$A85,H85,'Flujo de Fondos'!$T$7,'Flujo de Fondos'!$T$6)</f>
        <v>0.30974965438891855</v>
      </c>
      <c r="J85" s="66">
        <v>26.5</v>
      </c>
      <c r="K85" s="81">
        <f>myParidad('Flujo de Fondos'!$B$34,$A85,J85,'Flujo de Fondos'!$B$36,'Flujo de Fondos'!$B$35)</f>
        <v>0.26308631733554555</v>
      </c>
      <c r="L85" s="64">
        <v>29.7</v>
      </c>
      <c r="M85" s="81">
        <f>myParidad('Flujo de Fondos'!$H$34,'Paridad usd'!$A85,'Paridad usd'!L85,'Flujo de Fondos'!$H$36,'Flujo de Fondos'!$H$35)</f>
        <v>0.29676015275325424</v>
      </c>
      <c r="N85" s="66">
        <v>27</v>
      </c>
      <c r="O85" s="81">
        <f>myParidad('Flujo de Fondos'!$N$34,$A85,N85,'Flujo de Fondos'!$N$36,'Flujo de Fondos'!$N$35)</f>
        <v>0.2697819570484129</v>
      </c>
      <c r="P85" s="65">
        <f t="shared" si="10"/>
        <v>1.7055915288014589E-2</v>
      </c>
      <c r="Q85" s="65">
        <f t="shared" si="11"/>
        <v>2.8813697735191601E-2</v>
      </c>
      <c r="R85" s="65">
        <f t="shared" si="12"/>
        <v>-2.750111529680821E-2</v>
      </c>
      <c r="S85" s="65">
        <f t="shared" si="13"/>
        <v>-5.2291959196687499E-4</v>
      </c>
      <c r="T85" s="65">
        <f t="shared" si="14"/>
        <v>2.8290778143224726E-2</v>
      </c>
      <c r="U85" s="65">
        <f t="shared" si="15"/>
        <v>-1.7578834879981464E-2</v>
      </c>
      <c r="V85" s="65">
        <f t="shared" si="16"/>
        <v>-1.0883195167114113E-2</v>
      </c>
      <c r="W85" s="65">
        <f t="shared" si="17"/>
        <v>6.1727201209004767E-3</v>
      </c>
      <c r="X85" s="65">
        <f t="shared" si="18"/>
        <v>5.7546532220487112E-2</v>
      </c>
      <c r="Y85" s="73">
        <f t="shared" si="19"/>
        <v>-4.4557030584822799E-2</v>
      </c>
      <c r="Z85" s="80"/>
    </row>
    <row r="86" spans="1:26" x14ac:dyDescent="0.25">
      <c r="A86" s="63">
        <v>44986</v>
      </c>
      <c r="B86" s="64">
        <v>27.5</v>
      </c>
      <c r="C86" s="81">
        <f>myParidad('Flujo de Fondos'!$B$5,A86,B86,'Flujo de Fondos'!$B$7,'Flujo de Fondos'!$B$6)</f>
        <v>0.27324077854906764</v>
      </c>
      <c r="D86" s="64">
        <v>31</v>
      </c>
      <c r="E86" s="85">
        <f>myParidad('Flujo de Fondos'!$H$5,$A86,D86,'Flujo de Fondos'!$H$7,'Flujo de Fondos'!$H$6)</f>
        <v>0.30801687763713081</v>
      </c>
      <c r="F86" s="64">
        <v>27.3</v>
      </c>
      <c r="G86" s="81">
        <f>myParidad('Flujo de Fondos'!$N$5,$A86,F86,'Flujo de Fondos'!$N$7,'Flujo de Fondos'!$N$6)</f>
        <v>0.25797056424993203</v>
      </c>
      <c r="H86" s="66">
        <v>31.760999999999999</v>
      </c>
      <c r="I86" s="81">
        <f>myParidad('Flujo de Fondos'!$T$5,$A86,H86,'Flujo de Fondos'!$T$7,'Flujo de Fondos'!$T$6)</f>
        <v>0.31735459476106559</v>
      </c>
      <c r="J86" s="66">
        <v>27.888999999999999</v>
      </c>
      <c r="K86" s="81">
        <f>myParidad('Flujo de Fondos'!$B$34,$A86,J86,'Flujo de Fondos'!$B$36,'Flujo de Fondos'!$B$35)</f>
        <v>0.27688448396035564</v>
      </c>
      <c r="L86" s="64">
        <v>30.600999999999999</v>
      </c>
      <c r="M86" s="81">
        <f>myParidad('Flujo de Fondos'!$H$34,'Paridad usd'!$A86,'Paridad usd'!L86,'Flujo de Fondos'!$H$36,'Flujo de Fondos'!$H$35)</f>
        <v>0.30576392287029275</v>
      </c>
      <c r="N86" s="66">
        <v>28.2</v>
      </c>
      <c r="O86" s="81">
        <f>myParidad('Flujo de Fondos'!$N$34,$A86,N86,'Flujo de Fondos'!$N$36,'Flujo de Fondos'!$N$35)</f>
        <v>0.28177323044809827</v>
      </c>
      <c r="P86" s="65">
        <f t="shared" si="10"/>
        <v>1.5270214299135609E-2</v>
      </c>
      <c r="Q86" s="65">
        <f t="shared" si="11"/>
        <v>3.4776099088063173E-2</v>
      </c>
      <c r="R86" s="65">
        <f t="shared" si="12"/>
        <v>-3.2523144321225106E-2</v>
      </c>
      <c r="S86" s="65">
        <f t="shared" si="13"/>
        <v>-8.5324518990306242E-3</v>
      </c>
      <c r="T86" s="65">
        <f t="shared" si="14"/>
        <v>2.6243647189032548E-2</v>
      </c>
      <c r="U86" s="65">
        <f t="shared" si="15"/>
        <v>-2.3802666198166234E-2</v>
      </c>
      <c r="V86" s="65">
        <f t="shared" si="16"/>
        <v>-1.891391971042361E-2</v>
      </c>
      <c r="W86" s="65">
        <f t="shared" si="17"/>
        <v>-3.6437054112880007E-3</v>
      </c>
      <c r="X86" s="65">
        <f t="shared" si="18"/>
        <v>5.9384030511133556E-2</v>
      </c>
      <c r="Y86" s="73">
        <f t="shared" si="19"/>
        <v>-4.7793358620360715E-2</v>
      </c>
      <c r="Z86" s="80"/>
    </row>
    <row r="87" spans="1:26" x14ac:dyDescent="0.25">
      <c r="A87" s="63">
        <v>44985</v>
      </c>
      <c r="B87" s="64">
        <v>28.5</v>
      </c>
      <c r="C87" s="81">
        <f>myParidad('Flujo de Fondos'!$B$5,A87,B87,'Flujo de Fondos'!$B$7,'Flujo de Fondos'!$B$6)</f>
        <v>0.2831845157075189</v>
      </c>
      <c r="D87" s="64">
        <v>32.700000000000003</v>
      </c>
      <c r="E87" s="85">
        <f>myParidad('Flujo de Fondos'!$H$5,$A87,D87,'Flujo de Fondos'!$H$7,'Flujo de Fondos'!$H$6)</f>
        <v>0.32491697065389014</v>
      </c>
      <c r="F87" s="64">
        <v>28.56</v>
      </c>
      <c r="G87" s="81">
        <f>myParidad('Flujo de Fondos'!$N$5,$A87,F87,'Flujo de Fondos'!$N$7,'Flujo de Fondos'!$N$6)</f>
        <v>0.26988039144617615</v>
      </c>
      <c r="H87" s="66">
        <v>33.479999999999997</v>
      </c>
      <c r="I87" s="81">
        <f>myParidad('Flujo de Fondos'!$T$5,$A87,H87,'Flujo de Fondos'!$T$7,'Flujo de Fondos'!$T$6)</f>
        <v>0.33453191620413775</v>
      </c>
      <c r="J87" s="66">
        <v>28.001000000000001</v>
      </c>
      <c r="K87" s="81">
        <f>myParidad('Flujo de Fondos'!$B$34,$A87,J87,'Flujo de Fondos'!$B$36,'Flujo de Fondos'!$B$35)</f>
        <v>0.27800493699550505</v>
      </c>
      <c r="L87" s="64">
        <v>31.93</v>
      </c>
      <c r="M87" s="81">
        <f>myParidad('Flujo de Fondos'!$H$34,'Paridad usd'!$A87,'Paridad usd'!L87,'Flujo de Fondos'!$H$36,'Flujo de Fondos'!$H$35)</f>
        <v>0.31904432749098327</v>
      </c>
      <c r="N87" s="66">
        <v>28.6</v>
      </c>
      <c r="O87" s="81">
        <f>myParidad('Flujo de Fondos'!$N$34,$A87,N87,'Flujo de Fondos'!$N$36,'Flujo de Fondos'!$N$35)</f>
        <v>0.28577099173949644</v>
      </c>
      <c r="P87" s="65">
        <f t="shared" si="10"/>
        <v>1.3304124261342753E-2</v>
      </c>
      <c r="Q87" s="65">
        <f t="shared" si="11"/>
        <v>4.1732454946371234E-2</v>
      </c>
      <c r="R87" s="65">
        <f t="shared" si="12"/>
        <v>-3.5859811783464368E-2</v>
      </c>
      <c r="S87" s="65">
        <f t="shared" si="13"/>
        <v>-2.5864760319775359E-3</v>
      </c>
      <c r="T87" s="65">
        <f t="shared" si="14"/>
        <v>3.9145978914393698E-2</v>
      </c>
      <c r="U87" s="65">
        <f t="shared" si="15"/>
        <v>-1.5890600293320289E-2</v>
      </c>
      <c r="V87" s="65">
        <f t="shared" si="16"/>
        <v>-8.1245455493288987E-3</v>
      </c>
      <c r="W87" s="65">
        <f t="shared" si="17"/>
        <v>5.1795787120138548E-3</v>
      </c>
      <c r="X87" s="65">
        <f t="shared" si="18"/>
        <v>6.4651524757961598E-2</v>
      </c>
      <c r="Y87" s="73">
        <f t="shared" si="19"/>
        <v>-4.9163936044807122E-2</v>
      </c>
      <c r="Z87" s="80"/>
    </row>
    <row r="88" spans="1:26" x14ac:dyDescent="0.25">
      <c r="A88" s="63">
        <v>44984</v>
      </c>
      <c r="B88" s="64">
        <v>28.8</v>
      </c>
      <c r="C88" s="81">
        <f>myParidad('Flujo de Fondos'!$B$5,A88,B88,'Flujo de Fondos'!$B$7,'Flujo de Fondos'!$B$6)</f>
        <v>0.28617319576402689</v>
      </c>
      <c r="D88" s="64">
        <v>32.83</v>
      </c>
      <c r="E88" s="85">
        <f>myParidad('Flujo de Fondos'!$H$5,$A88,D88,'Flujo de Fondos'!$H$7,'Flujo de Fondos'!$H$6)</f>
        <v>0.32621757003239593</v>
      </c>
      <c r="F88" s="64">
        <v>28.85</v>
      </c>
      <c r="G88" s="81">
        <f>myParidad('Flujo de Fondos'!$N$5,$A88,F88,'Flujo de Fondos'!$N$7,'Flujo de Fondos'!$N$6)</f>
        <v>0.27262430259802461</v>
      </c>
      <c r="H88" s="66">
        <v>33.701000000000001</v>
      </c>
      <c r="I88" s="81">
        <f>myParidad('Flujo de Fondos'!$T$5,$A88,H88,'Flujo de Fondos'!$T$7,'Flujo de Fondos'!$T$6)</f>
        <v>0.33674129889505977</v>
      </c>
      <c r="J88" s="66">
        <v>28.4</v>
      </c>
      <c r="K88" s="81">
        <f>myParidad('Flujo de Fondos'!$B$34,$A88,J88,'Flujo de Fondos'!$B$36,'Flujo de Fondos'!$B$35)</f>
        <v>0.28197499464462406</v>
      </c>
      <c r="L88" s="64">
        <v>32</v>
      </c>
      <c r="M88" s="81">
        <f>myParidad('Flujo de Fondos'!$H$34,'Paridad usd'!$A88,'Paridad usd'!L88,'Flujo de Fondos'!$H$36,'Flujo de Fondos'!$H$35)</f>
        <v>0.31974486112109174</v>
      </c>
      <c r="N88" s="66">
        <v>28.9</v>
      </c>
      <c r="O88" s="81">
        <f>myParidad('Flujo de Fondos'!$N$34,$A88,N88,'Flujo de Fondos'!$N$36,'Flujo de Fondos'!$N$35)</f>
        <v>0.28876957769998596</v>
      </c>
      <c r="P88" s="65">
        <f t="shared" si="10"/>
        <v>1.3548893166002274E-2</v>
      </c>
      <c r="Q88" s="65">
        <f t="shared" si="11"/>
        <v>4.0044374268369043E-2</v>
      </c>
      <c r="R88" s="65">
        <f t="shared" si="12"/>
        <v>-3.357166535706485E-2</v>
      </c>
      <c r="S88" s="65">
        <f t="shared" si="13"/>
        <v>-2.596381935959069E-3</v>
      </c>
      <c r="T88" s="65">
        <f t="shared" si="14"/>
        <v>3.7447992332409974E-2</v>
      </c>
      <c r="U88" s="65">
        <f t="shared" si="15"/>
        <v>-1.6145275101961343E-2</v>
      </c>
      <c r="V88" s="65">
        <f t="shared" si="16"/>
        <v>-9.3506920465994403E-3</v>
      </c>
      <c r="W88" s="65">
        <f t="shared" si="17"/>
        <v>4.1982011194028335E-3</v>
      </c>
      <c r="X88" s="65">
        <f t="shared" si="18"/>
        <v>6.4116996297035156E-2</v>
      </c>
      <c r="Y88" s="73">
        <f t="shared" si="19"/>
        <v>-4.7120558523067124E-2</v>
      </c>
      <c r="Z88" s="80"/>
    </row>
    <row r="89" spans="1:26" x14ac:dyDescent="0.25">
      <c r="A89" s="63">
        <v>44981</v>
      </c>
      <c r="B89" s="64">
        <v>28.01</v>
      </c>
      <c r="C89" s="81">
        <f>myParidad('Flujo de Fondos'!$B$5,A89,B89,'Flujo de Fondos'!$B$7,'Flujo de Fondos'!$B$6)</f>
        <v>0.27834603866049551</v>
      </c>
      <c r="D89" s="64">
        <v>31.6</v>
      </c>
      <c r="E89" s="85">
        <f>myParidad('Flujo de Fondos'!$H$5,$A89,D89,'Flujo de Fondos'!$H$7,'Flujo de Fondos'!$H$6)</f>
        <v>0.31402123604682824</v>
      </c>
      <c r="F89" s="64">
        <v>27.875</v>
      </c>
      <c r="G89" s="81">
        <f>myParidad('Flujo de Fondos'!$N$5,$A89,F89,'Flujo de Fondos'!$N$7,'Flujo de Fondos'!$N$6)</f>
        <v>0.26342105944490474</v>
      </c>
      <c r="H89" s="66">
        <v>32.979999999999997</v>
      </c>
      <c r="I89" s="81">
        <f>myParidad('Flujo de Fondos'!$T$5,$A89,H89,'Flujo de Fondos'!$T$7,'Flujo de Fondos'!$T$6)</f>
        <v>0.32954043048283882</v>
      </c>
      <c r="J89" s="66">
        <v>27.8</v>
      </c>
      <c r="K89" s="81">
        <f>myParidad('Flujo de Fondos'!$B$34,$A89,J89,'Flujo de Fondos'!$B$36,'Flujo de Fondos'!$B$35)</f>
        <v>0.27604311898527562</v>
      </c>
      <c r="L89" s="64">
        <v>31.4</v>
      </c>
      <c r="M89" s="81">
        <f>myParidad('Flujo de Fondos'!$H$34,'Paridad usd'!$A89,'Paridad usd'!L89,'Flujo de Fondos'!$H$36,'Flujo de Fondos'!$H$35)</f>
        <v>0.3137528658933032</v>
      </c>
      <c r="N89" s="66">
        <v>28.3</v>
      </c>
      <c r="O89" s="81">
        <f>myParidad('Flujo de Fondos'!$N$34,$A89,N89,'Flujo de Fondos'!$N$36,'Flujo de Fondos'!$N$35)</f>
        <v>0.2827772644834548</v>
      </c>
      <c r="P89" s="65">
        <f t="shared" si="10"/>
        <v>1.4924979215590772E-2</v>
      </c>
      <c r="Q89" s="65">
        <f t="shared" si="11"/>
        <v>3.5675197386332735E-2</v>
      </c>
      <c r="R89" s="65">
        <f t="shared" si="12"/>
        <v>-3.5406827232807692E-2</v>
      </c>
      <c r="S89" s="65">
        <f t="shared" si="13"/>
        <v>-4.4312258229592949E-3</v>
      </c>
      <c r="T89" s="65">
        <f t="shared" si="14"/>
        <v>3.1243971563373441E-2</v>
      </c>
      <c r="U89" s="65">
        <f t="shared" si="15"/>
        <v>-1.9356205038550067E-2</v>
      </c>
      <c r="V89" s="65">
        <f t="shared" si="16"/>
        <v>-1.2622059540370878E-2</v>
      </c>
      <c r="W89" s="65">
        <f t="shared" si="17"/>
        <v>2.3029196752198944E-3</v>
      </c>
      <c r="X89" s="65">
        <f t="shared" si="18"/>
        <v>6.6119371037934083E-2</v>
      </c>
      <c r="Y89" s="73">
        <f t="shared" si="19"/>
        <v>-5.0331806448398464E-2</v>
      </c>
      <c r="Z89" s="80"/>
    </row>
    <row r="90" spans="1:26" x14ac:dyDescent="0.25">
      <c r="A90" s="63">
        <v>44980</v>
      </c>
      <c r="B90" s="64">
        <v>28.89</v>
      </c>
      <c r="C90" s="81">
        <f>myParidad('Flujo de Fondos'!$B$5,A90,B90,'Flujo de Fondos'!$B$7,'Flujo de Fondos'!$B$6)</f>
        <v>0.2870987503062975</v>
      </c>
      <c r="D90" s="64">
        <v>32.399000000000001</v>
      </c>
      <c r="E90" s="85">
        <f>myParidad('Flujo de Fondos'!$H$5,$A90,D90,'Flujo de Fondos'!$H$7,'Flujo de Fondos'!$H$6)</f>
        <v>0.32196996923412019</v>
      </c>
      <c r="F90" s="64">
        <v>28.65</v>
      </c>
      <c r="G90" s="81">
        <f>myParidad('Flujo de Fondos'!$N$5,$A90,F90,'Flujo de Fondos'!$N$7,'Flujo de Fondos'!$N$6)</f>
        <v>0.27074837857780881</v>
      </c>
      <c r="H90" s="66">
        <v>33.546999999999997</v>
      </c>
      <c r="I90" s="81">
        <f>myParidad('Flujo de Fondos'!$T$5,$A90,H90,'Flujo de Fondos'!$T$7,'Flujo de Fondos'!$T$6)</f>
        <v>0.33520711496805583</v>
      </c>
      <c r="J90" s="66">
        <v>28.5</v>
      </c>
      <c r="K90" s="81">
        <f>myParidad('Flujo de Fondos'!$B$34,$A90,J90,'Flujo de Fondos'!$B$36,'Flujo de Fondos'!$B$35)</f>
        <v>0.28300250628271006</v>
      </c>
      <c r="L90" s="64">
        <v>32.149000000000001</v>
      </c>
      <c r="M90" s="81">
        <f>myParidad('Flujo de Fondos'!$H$34,'Paridad usd'!$A90,'Paridad usd'!L90,'Flujo de Fondos'!$H$36,'Flujo de Fondos'!$H$35)</f>
        <v>0.32123807014362027</v>
      </c>
      <c r="N90" s="66">
        <v>28.55</v>
      </c>
      <c r="O90" s="81">
        <f>myParidad('Flujo de Fondos'!$N$34,$A90,N90,'Flujo de Fondos'!$N$36,'Flujo de Fondos'!$N$35)</f>
        <v>0.28527627305982639</v>
      </c>
      <c r="P90" s="65">
        <f t="shared" si="10"/>
        <v>1.6350371728488688E-2</v>
      </c>
      <c r="Q90" s="65">
        <f t="shared" si="11"/>
        <v>3.4871218927822689E-2</v>
      </c>
      <c r="R90" s="65">
        <f t="shared" si="12"/>
        <v>-3.4139319837322768E-2</v>
      </c>
      <c r="S90" s="65">
        <f t="shared" si="13"/>
        <v>1.8224772464711103E-3</v>
      </c>
      <c r="T90" s="65">
        <f t="shared" si="14"/>
        <v>3.6693696174293799E-2</v>
      </c>
      <c r="U90" s="65">
        <f t="shared" si="15"/>
        <v>-1.4527894482017578E-2</v>
      </c>
      <c r="V90" s="65">
        <f t="shared" si="16"/>
        <v>-1.2254127704901252E-2</v>
      </c>
      <c r="W90" s="65">
        <f t="shared" si="17"/>
        <v>4.0962440235874364E-3</v>
      </c>
      <c r="X90" s="65">
        <f t="shared" si="18"/>
        <v>6.4458736390247018E-2</v>
      </c>
      <c r="Y90" s="73">
        <f t="shared" si="19"/>
        <v>-5.0489691565811456E-2</v>
      </c>
      <c r="Z90" s="80"/>
    </row>
    <row r="91" spans="1:26" x14ac:dyDescent="0.25">
      <c r="A91" s="63">
        <v>44979</v>
      </c>
      <c r="B91" s="64">
        <v>27.51</v>
      </c>
      <c r="C91" s="81">
        <f>myParidad('Flujo de Fondos'!$B$5,A91,B91,'Flujo de Fondos'!$B$7,'Flujo de Fondos'!$B$6)</f>
        <v>0.27339223480723157</v>
      </c>
      <c r="D91" s="64">
        <v>31</v>
      </c>
      <c r="E91" s="85">
        <f>myParidad('Flujo de Fondos'!$H$5,$A91,D91,'Flujo de Fondos'!$H$7,'Flujo de Fondos'!$H$6)</f>
        <v>0.30807558266172946</v>
      </c>
      <c r="F91" s="64">
        <v>27.303000000000001</v>
      </c>
      <c r="G91" s="81">
        <f>myParidad('Flujo de Fondos'!$N$5,$A91,F91,'Flujo de Fondos'!$N$7,'Flujo de Fondos'!$N$6)</f>
        <v>0.25802229241643582</v>
      </c>
      <c r="H91" s="66">
        <v>32.15</v>
      </c>
      <c r="I91" s="81">
        <f>myParidad('Flujo de Fondos'!$T$5,$A91,H91,'Flujo de Fondos'!$T$7,'Flujo de Fondos'!$T$6)</f>
        <v>0.32124916161353462</v>
      </c>
      <c r="J91" s="66">
        <v>27.6</v>
      </c>
      <c r="K91" s="81">
        <f>myParidad('Flujo de Fondos'!$B$34,$A91,J91,'Flujo de Fondos'!$B$36,'Flujo de Fondos'!$B$35)</f>
        <v>0.27407397331084299</v>
      </c>
      <c r="L91" s="64">
        <v>31.2</v>
      </c>
      <c r="M91" s="81">
        <f>myParidad('Flujo de Fondos'!$H$34,'Paridad usd'!$A91,'Paridad usd'!L91,'Flujo de Fondos'!$H$36,'Flujo de Fondos'!$H$35)</f>
        <v>0.31175657363428555</v>
      </c>
      <c r="N91" s="66">
        <v>27.937999999999999</v>
      </c>
      <c r="O91" s="81">
        <f>myParidad('Flujo de Fondos'!$N$34,$A91,N91,'Flujo de Fondos'!$N$36,'Flujo de Fondos'!$N$35)</f>
        <v>0.27916202417290609</v>
      </c>
      <c r="P91" s="65">
        <f t="shared" si="10"/>
        <v>1.5369942390795754E-2</v>
      </c>
      <c r="Q91" s="65">
        <f t="shared" si="11"/>
        <v>3.4683347854497892E-2</v>
      </c>
      <c r="R91" s="65">
        <f t="shared" si="12"/>
        <v>-3.8364338827053979E-2</v>
      </c>
      <c r="S91" s="65">
        <f t="shared" si="13"/>
        <v>-5.7697893656745158E-3</v>
      </c>
      <c r="T91" s="65">
        <f t="shared" si="14"/>
        <v>2.8913558488823377E-2</v>
      </c>
      <c r="U91" s="65">
        <f t="shared" si="15"/>
        <v>-2.113973175647027E-2</v>
      </c>
      <c r="V91" s="65">
        <f t="shared" si="16"/>
        <v>-1.6051680894407172E-2</v>
      </c>
      <c r="W91" s="65">
        <f t="shared" si="17"/>
        <v>-6.8173850361141763E-4</v>
      </c>
      <c r="X91" s="65">
        <f t="shared" si="18"/>
        <v>6.3226869197098801E-2</v>
      </c>
      <c r="Y91" s="73">
        <f t="shared" si="19"/>
        <v>-5.3734281217849733E-2</v>
      </c>
      <c r="Z91" s="80"/>
    </row>
    <row r="92" spans="1:26" x14ac:dyDescent="0.25">
      <c r="A92" s="63">
        <v>44974</v>
      </c>
      <c r="B92" s="64">
        <v>26.54</v>
      </c>
      <c r="C92" s="81">
        <f>myParidad('Flujo de Fondos'!$B$5,A92,B92,'Flujo de Fondos'!$B$7,'Flujo de Fondos'!$B$6)</f>
        <v>0.26378836151730523</v>
      </c>
      <c r="D92" s="64">
        <v>30.55</v>
      </c>
      <c r="E92" s="85">
        <f>myParidad('Flujo de Fondos'!$H$5,$A92,D92,'Flujo de Fondos'!$H$7,'Flujo de Fondos'!$H$6)</f>
        <v>0.30364485472319802</v>
      </c>
      <c r="F92" s="64">
        <v>26.518999999999998</v>
      </c>
      <c r="G92" s="81">
        <f>myParidad('Flujo de Fondos'!$N$5,$A92,F92,'Flujo de Fondos'!$N$7,'Flujo de Fondos'!$N$6)</f>
        <v>0.25062945844823342</v>
      </c>
      <c r="H92" s="66">
        <v>31.5</v>
      </c>
      <c r="I92" s="81">
        <f>myParidad('Flujo de Fondos'!$T$5,$A92,H92,'Flujo de Fondos'!$T$7,'Flujo de Fondos'!$T$6)</f>
        <v>0.31475961851052109</v>
      </c>
      <c r="J92" s="66">
        <v>26.35</v>
      </c>
      <c r="K92" s="81">
        <f>myParidad('Flujo de Fondos'!$B$34,$A92,J92,'Flujo de Fondos'!$B$36,'Flujo de Fondos'!$B$35)</f>
        <v>0.26170125201100658</v>
      </c>
      <c r="L92" s="64">
        <v>29.65</v>
      </c>
      <c r="M92" s="81">
        <f>myParidad('Flujo de Fondos'!$H$34,'Paridad usd'!$A92,'Paridad usd'!L92,'Flujo de Fondos'!$H$36,'Flujo de Fondos'!$H$35)</f>
        <v>0.29627373615355396</v>
      </c>
      <c r="N92" s="66">
        <v>26.69</v>
      </c>
      <c r="O92" s="81">
        <f>myParidad('Flujo de Fondos'!$N$34,$A92,N92,'Flujo de Fondos'!$N$36,'Flujo de Fondos'!$N$35)</f>
        <v>0.26669632438240659</v>
      </c>
      <c r="P92" s="65">
        <f t="shared" si="10"/>
        <v>1.3158903069071803E-2</v>
      </c>
      <c r="Q92" s="65">
        <f t="shared" si="11"/>
        <v>3.9856493205892796E-2</v>
      </c>
      <c r="R92" s="65">
        <f t="shared" si="12"/>
        <v>-3.2485374636248732E-2</v>
      </c>
      <c r="S92" s="65">
        <f t="shared" si="13"/>
        <v>-2.9079628651013656E-3</v>
      </c>
      <c r="T92" s="65">
        <f t="shared" si="14"/>
        <v>3.694853034079143E-2</v>
      </c>
      <c r="U92" s="65">
        <f t="shared" si="15"/>
        <v>-1.6066865934173169E-2</v>
      </c>
      <c r="V92" s="65">
        <f t="shared" si="16"/>
        <v>-1.1071793562773158E-2</v>
      </c>
      <c r="W92" s="65">
        <f t="shared" si="17"/>
        <v>2.0871095062986456E-3</v>
      </c>
      <c r="X92" s="65">
        <f t="shared" si="18"/>
        <v>6.4130160062287667E-2</v>
      </c>
      <c r="Y92" s="73">
        <f t="shared" si="19"/>
        <v>-4.5644277705320535E-2</v>
      </c>
      <c r="Z92" s="80"/>
    </row>
    <row r="93" spans="1:26" x14ac:dyDescent="0.25">
      <c r="A93" s="63">
        <v>44973</v>
      </c>
      <c r="B93" s="64">
        <v>27.79</v>
      </c>
      <c r="C93" s="81">
        <f>myParidad('Flujo de Fondos'!$B$5,A93,B93,'Flujo de Fondos'!$B$7,'Flujo de Fondos'!$B$6)</f>
        <v>0.27621997712542889</v>
      </c>
      <c r="D93" s="64">
        <v>31.45</v>
      </c>
      <c r="E93" s="85">
        <f>myParidad('Flujo de Fondos'!$H$5,$A93,D93,'Flujo de Fondos'!$H$7,'Flujo de Fondos'!$H$6)</f>
        <v>0.31259871466695716</v>
      </c>
      <c r="F93" s="64">
        <v>27.55</v>
      </c>
      <c r="G93" s="81">
        <f>myParidad('Flujo de Fondos'!$N$5,$A93,F93,'Flujo de Fondos'!$N$7,'Flujo de Fondos'!$N$6)</f>
        <v>0.26037674779906783</v>
      </c>
      <c r="H93" s="66">
        <v>32.6</v>
      </c>
      <c r="I93" s="81">
        <f>myParidad('Flujo de Fondos'!$T$5,$A93,H93,'Flujo de Fondos'!$T$7,'Flujo de Fondos'!$T$6)</f>
        <v>0.32575233897516276</v>
      </c>
      <c r="J93" s="66">
        <v>27.5</v>
      </c>
      <c r="K93" s="81">
        <f>myParidad('Flujo de Fondos'!$B$34,$A93,J93,'Flujo de Fondos'!$B$36,'Flujo de Fondos'!$B$35)</f>
        <v>0.27313110973544036</v>
      </c>
      <c r="L93" s="64">
        <v>30.75</v>
      </c>
      <c r="M93" s="81">
        <f>myParidad('Flujo de Fondos'!$H$34,'Paridad usd'!$A93,'Paridad usd'!L93,'Flujo de Fondos'!$H$36,'Flujo de Fondos'!$H$35)</f>
        <v>0.30726639335847405</v>
      </c>
      <c r="N93" s="66">
        <v>27.4</v>
      </c>
      <c r="O93" s="81">
        <f>myParidad('Flujo de Fondos'!$N$34,$A93,N93,'Flujo de Fondos'!$N$36,'Flujo de Fondos'!$N$35)</f>
        <v>0.27379184318771344</v>
      </c>
      <c r="P93" s="65">
        <f t="shared" si="10"/>
        <v>1.5843229326361064E-2</v>
      </c>
      <c r="Q93" s="65">
        <f t="shared" si="11"/>
        <v>3.6378737541528261E-2</v>
      </c>
      <c r="R93" s="65">
        <f t="shared" si="12"/>
        <v>-3.104641623304516E-2</v>
      </c>
      <c r="S93" s="65">
        <f t="shared" si="13"/>
        <v>2.4281339377154598E-3</v>
      </c>
      <c r="T93" s="65">
        <f t="shared" si="14"/>
        <v>3.8806871479243721E-2</v>
      </c>
      <c r="U93" s="65">
        <f t="shared" si="15"/>
        <v>-1.3415095388645604E-2</v>
      </c>
      <c r="V93" s="65">
        <f t="shared" si="16"/>
        <v>-1.2754361936372527E-2</v>
      </c>
      <c r="W93" s="65">
        <f t="shared" si="17"/>
        <v>3.0888673899885366E-3</v>
      </c>
      <c r="X93" s="65">
        <f t="shared" si="18"/>
        <v>6.5375591176094927E-2</v>
      </c>
      <c r="Y93" s="73">
        <f t="shared" si="19"/>
        <v>-4.6889645559406223E-2</v>
      </c>
      <c r="Z93" s="80"/>
    </row>
    <row r="94" spans="1:26" x14ac:dyDescent="0.25">
      <c r="A94" s="63">
        <v>44972</v>
      </c>
      <c r="B94" s="64">
        <v>28.699000000000002</v>
      </c>
      <c r="C94" s="81">
        <f>myParidad('Flujo de Fondos'!$B$5,A94,B94,'Flujo de Fondos'!$B$7,'Flujo de Fondos'!$B$6)</f>
        <v>0.28526279240761421</v>
      </c>
      <c r="D94" s="64">
        <v>31.95</v>
      </c>
      <c r="E94" s="85">
        <f>myParidad('Flujo de Fondos'!$H$5,$A94,D94,'Flujo de Fondos'!$H$7,'Flujo de Fondos'!$H$6)</f>
        <v>0.31757713569891888</v>
      </c>
      <c r="F94" s="64">
        <v>28.428999999999998</v>
      </c>
      <c r="G94" s="81">
        <f>myParidad('Flujo de Fondos'!$N$5,$A94,F94,'Flujo de Fondos'!$N$7,'Flujo de Fondos'!$N$6)</f>
        <v>0.26868770957676819</v>
      </c>
      <c r="H94" s="66">
        <v>33.630000000000003</v>
      </c>
      <c r="I94" s="81">
        <f>myParidad('Flujo de Fondos'!$T$5,$A94,H94,'Flujo de Fondos'!$T$7,'Flujo de Fondos'!$T$6)</f>
        <v>0.33604566406931741</v>
      </c>
      <c r="J94" s="66">
        <v>28.01</v>
      </c>
      <c r="K94" s="81">
        <f>myParidad('Flujo de Fondos'!$B$34,$A94,J94,'Flujo de Fondos'!$B$36,'Flujo de Fondos'!$B$35)</f>
        <v>0.27820496685250129</v>
      </c>
      <c r="L94" s="64">
        <v>31.9</v>
      </c>
      <c r="M94" s="81">
        <f>myParidad('Flujo de Fondos'!$H$34,'Paridad usd'!$A94,'Paridad usd'!L94,'Flujo de Fondos'!$H$36,'Flujo de Fondos'!$H$35)</f>
        <v>0.31875874766016132</v>
      </c>
      <c r="N94" s="66">
        <v>27.78</v>
      </c>
      <c r="O94" s="81">
        <f>myParidad('Flujo de Fondos'!$N$34,$A94,N94,'Flujo de Fondos'!$N$36,'Flujo de Fondos'!$N$35)</f>
        <v>0.27758990626956997</v>
      </c>
      <c r="P94" s="65">
        <f t="shared" si="10"/>
        <v>1.6575082830846022E-2</v>
      </c>
      <c r="Q94" s="65">
        <f t="shared" si="11"/>
        <v>3.231434329130467E-2</v>
      </c>
      <c r="R94" s="65">
        <f t="shared" si="12"/>
        <v>-3.3495955252547116E-2</v>
      </c>
      <c r="S94" s="65">
        <f t="shared" si="13"/>
        <v>7.6728861380442326E-3</v>
      </c>
      <c r="T94" s="65">
        <f t="shared" si="14"/>
        <v>3.9987229429348903E-2</v>
      </c>
      <c r="U94" s="65">
        <f t="shared" si="15"/>
        <v>-8.9021966928017893E-3</v>
      </c>
      <c r="V94" s="65">
        <f t="shared" si="16"/>
        <v>-9.5172572757331042E-3</v>
      </c>
      <c r="W94" s="65">
        <f t="shared" si="17"/>
        <v>7.0578255551129176E-3</v>
      </c>
      <c r="X94" s="65">
        <f t="shared" si="18"/>
        <v>6.7357954492549221E-2</v>
      </c>
      <c r="Y94" s="73">
        <f t="shared" si="19"/>
        <v>-5.0071038083393138E-2</v>
      </c>
      <c r="Z94" s="80"/>
    </row>
    <row r="95" spans="1:26" x14ac:dyDescent="0.25">
      <c r="A95" s="63">
        <v>44971</v>
      </c>
      <c r="B95" s="64">
        <v>29.02</v>
      </c>
      <c r="C95" s="81">
        <f>myParidad('Flujo de Fondos'!$B$5,A95,B95,'Flujo de Fondos'!$B$7,'Flujo de Fondos'!$B$6)</f>
        <v>0.28846132897603488</v>
      </c>
      <c r="D95" s="64">
        <v>32.6</v>
      </c>
      <c r="E95" s="85">
        <f>myParidad('Flujo de Fondos'!$H$5,$A95,D95,'Flujo de Fondos'!$H$7,'Flujo de Fondos'!$H$6)</f>
        <v>0.3240468409586057</v>
      </c>
      <c r="F95" s="64">
        <v>28.899000000000001</v>
      </c>
      <c r="G95" s="81">
        <f>myParidad('Flujo de Fondos'!$N$5,$A95,F95,'Flujo de Fondos'!$N$7,'Flujo de Fondos'!$N$6)</f>
        <v>0.27313330226054533</v>
      </c>
      <c r="H95" s="66">
        <v>34.17</v>
      </c>
      <c r="I95" s="81">
        <f>myParidad('Flujo de Fondos'!$T$5,$A95,H95,'Flujo de Fondos'!$T$7,'Flujo de Fondos'!$T$6)</f>
        <v>0.34144274861405793</v>
      </c>
      <c r="J95" s="66">
        <v>28.7</v>
      </c>
      <c r="K95" s="81">
        <f>myParidad('Flujo de Fondos'!$B$34,$A95,J95,'Flujo de Fondos'!$B$36,'Flujo de Fondos'!$B$35)</f>
        <v>0.28506701136131707</v>
      </c>
      <c r="L95" s="64">
        <v>32.35</v>
      </c>
      <c r="M95" s="81">
        <f>myParidad('Flujo de Fondos'!$H$34,'Paridad usd'!$A95,'Paridad usd'!L95,'Flujo de Fondos'!$H$36,'Flujo de Fondos'!$H$35)</f>
        <v>0.32325645061939634</v>
      </c>
      <c r="N95" s="66">
        <v>28.798999999999999</v>
      </c>
      <c r="O95" s="81">
        <f>myParidad('Flujo de Fondos'!$N$34,$A95,N95,'Flujo de Fondos'!$N$36,'Flujo de Fondos'!$N$35)</f>
        <v>0.28777318458695506</v>
      </c>
      <c r="P95" s="65">
        <f t="shared" si="10"/>
        <v>1.5328026715489551E-2</v>
      </c>
      <c r="Q95" s="65">
        <f t="shared" si="11"/>
        <v>3.5585511982570817E-2</v>
      </c>
      <c r="R95" s="65">
        <f t="shared" si="12"/>
        <v>-3.479512164336146E-2</v>
      </c>
      <c r="S95" s="65">
        <f t="shared" si="13"/>
        <v>6.8814438907982556E-4</v>
      </c>
      <c r="T95" s="65">
        <f t="shared" si="14"/>
        <v>3.6273656371650642E-2</v>
      </c>
      <c r="U95" s="65">
        <f t="shared" si="15"/>
        <v>-1.4639882326409726E-2</v>
      </c>
      <c r="V95" s="65">
        <f t="shared" si="16"/>
        <v>-1.1933709100771739E-2</v>
      </c>
      <c r="W95" s="65">
        <f t="shared" si="17"/>
        <v>3.3943176147178122E-3</v>
      </c>
      <c r="X95" s="65">
        <f t="shared" si="18"/>
        <v>6.8309446353512604E-2</v>
      </c>
      <c r="Y95" s="73">
        <f t="shared" si="19"/>
        <v>-5.0123148358851011E-2</v>
      </c>
      <c r="Z95" s="80"/>
    </row>
    <row r="96" spans="1:26" x14ac:dyDescent="0.25">
      <c r="A96" s="63">
        <v>44970</v>
      </c>
      <c r="B96" s="64">
        <v>29.3</v>
      </c>
      <c r="C96" s="81">
        <f>myParidad('Flujo de Fondos'!$B$5,A96,B96,'Flujo de Fondos'!$B$7,'Flujo de Fondos'!$B$6)</f>
        <v>0.29125248508946322</v>
      </c>
      <c r="D96" s="64">
        <v>33.049999999999997</v>
      </c>
      <c r="E96" s="85">
        <f>myParidad('Flujo de Fondos'!$H$5,$A96,D96,'Flujo de Fondos'!$H$7,'Flujo de Fondos'!$H$6)</f>
        <v>0.32852882703777331</v>
      </c>
      <c r="F96" s="64">
        <v>29.05</v>
      </c>
      <c r="G96" s="81">
        <f>myParidad('Flujo de Fondos'!$N$5,$A96,F96,'Flujo de Fondos'!$N$7,'Flujo de Fondos'!$N$6)</f>
        <v>0.27456400429845801</v>
      </c>
      <c r="H96" s="66">
        <v>34.409999999999997</v>
      </c>
      <c r="I96" s="81">
        <f>myParidad('Flujo de Fondos'!$T$5,$A96,H96,'Flujo de Fondos'!$T$7,'Flujo de Fondos'!$T$6)</f>
        <v>0.34384211841119156</v>
      </c>
      <c r="J96" s="66">
        <v>28.8</v>
      </c>
      <c r="K96" s="81">
        <f>myParidad('Flujo de Fondos'!$B$34,$A96,J96,'Flujo de Fondos'!$B$36,'Flujo de Fondos'!$B$35)</f>
        <v>0.28606903402036254</v>
      </c>
      <c r="L96" s="64">
        <v>32.5</v>
      </c>
      <c r="M96" s="81">
        <f>myParidad('Flujo de Fondos'!$H$34,'Paridad usd'!$A96,'Paridad usd'!L96,'Flujo de Fondos'!$H$36,'Flujo de Fondos'!$H$35)</f>
        <v>0.32475643267549337</v>
      </c>
      <c r="N96" s="66">
        <v>29</v>
      </c>
      <c r="O96" s="81">
        <f>myParidad('Flujo de Fondos'!$N$34,$A96,N96,'Flujo de Fondos'!$N$36,'Flujo de Fondos'!$N$35)</f>
        <v>0.28978266300274796</v>
      </c>
      <c r="P96" s="65">
        <f t="shared" si="10"/>
        <v>1.6688480791005211E-2</v>
      </c>
      <c r="Q96" s="65">
        <f t="shared" si="11"/>
        <v>3.7276341948310088E-2</v>
      </c>
      <c r="R96" s="65">
        <f t="shared" si="12"/>
        <v>-3.3503947586030147E-2</v>
      </c>
      <c r="S96" s="65">
        <f t="shared" si="13"/>
        <v>1.4698220867152556E-3</v>
      </c>
      <c r="T96" s="65">
        <f t="shared" si="14"/>
        <v>3.8746164035025343E-2</v>
      </c>
      <c r="U96" s="65">
        <f t="shared" si="15"/>
        <v>-1.5218658704289956E-2</v>
      </c>
      <c r="V96" s="65">
        <f t="shared" si="16"/>
        <v>-1.1505029721904536E-2</v>
      </c>
      <c r="W96" s="65">
        <f t="shared" si="17"/>
        <v>5.1834510691006752E-3</v>
      </c>
      <c r="X96" s="65">
        <f t="shared" si="18"/>
        <v>6.9278114112733546E-2</v>
      </c>
      <c r="Y96" s="73">
        <f t="shared" si="19"/>
        <v>-5.0192428377035359E-2</v>
      </c>
      <c r="Z96" s="80"/>
    </row>
    <row r="97" spans="1:26" x14ac:dyDescent="0.25">
      <c r="A97" s="63">
        <v>44967</v>
      </c>
      <c r="B97" s="64">
        <v>29.51</v>
      </c>
      <c r="C97" s="81">
        <f>myParidad('Flujo de Fondos'!$B$5,A97,B97,'Flujo de Fondos'!$B$7,'Flujo de Fondos'!$B$6)</f>
        <v>0.29336392853251991</v>
      </c>
      <c r="D97" s="64">
        <v>33.5</v>
      </c>
      <c r="E97" s="85">
        <f>myParidad('Flujo de Fondos'!$H$5,$A97,D97,'Flujo de Fondos'!$H$7,'Flujo de Fondos'!$H$6)</f>
        <v>0.33302919708029199</v>
      </c>
      <c r="F97" s="64">
        <v>29.347999999999999</v>
      </c>
      <c r="G97" s="81">
        <f>myParidad('Flujo de Fondos'!$N$5,$A97,F97,'Flujo de Fondos'!$N$7,'Flujo de Fondos'!$N$6)</f>
        <v>0.27739130434782605</v>
      </c>
      <c r="H97" s="66">
        <v>34.35</v>
      </c>
      <c r="I97" s="81">
        <f>myParidad('Flujo de Fondos'!$T$5,$A97,H97,'Flujo de Fondos'!$T$7,'Flujo de Fondos'!$T$6)</f>
        <v>0.34324609193199551</v>
      </c>
      <c r="J97" s="66">
        <v>29</v>
      </c>
      <c r="K97" s="81">
        <f>myParidad('Flujo de Fondos'!$B$34,$A97,J97,'Flujo de Fondos'!$B$36,'Flujo de Fondos'!$B$35)</f>
        <v>0.28808208366219418</v>
      </c>
      <c r="L97" s="64">
        <v>32.5</v>
      </c>
      <c r="M97" s="81">
        <f>myParidad('Flujo de Fondos'!$H$34,'Paridad usd'!$A97,'Paridad usd'!L97,'Flujo de Fondos'!$H$36,'Flujo de Fondos'!$H$35)</f>
        <v>0.32475976674788515</v>
      </c>
      <c r="N97" s="66">
        <v>29.44</v>
      </c>
      <c r="O97" s="81">
        <f>myParidad('Flujo de Fondos'!$N$34,$A97,N97,'Flujo de Fondos'!$N$36,'Flujo de Fondos'!$N$35)</f>
        <v>0.29418238563254578</v>
      </c>
      <c r="P97" s="65">
        <f t="shared" si="10"/>
        <v>1.5972624184693862E-2</v>
      </c>
      <c r="Q97" s="65">
        <f t="shared" si="11"/>
        <v>3.9665268547772081E-2</v>
      </c>
      <c r="R97" s="65">
        <f t="shared" si="12"/>
        <v>-3.1395838215365235E-2</v>
      </c>
      <c r="S97" s="65">
        <f t="shared" si="13"/>
        <v>-8.1845710002587113E-4</v>
      </c>
      <c r="T97" s="65">
        <f t="shared" si="14"/>
        <v>3.884681144774621E-2</v>
      </c>
      <c r="U97" s="65">
        <f t="shared" si="15"/>
        <v>-1.6791081284719733E-2</v>
      </c>
      <c r="V97" s="65">
        <f t="shared" si="16"/>
        <v>-1.0690779314368126E-2</v>
      </c>
      <c r="W97" s="65">
        <f t="shared" si="17"/>
        <v>5.2818448703257359E-3</v>
      </c>
      <c r="X97" s="65">
        <f t="shared" si="18"/>
        <v>6.5854787584169461E-2</v>
      </c>
      <c r="Y97" s="73">
        <f t="shared" si="19"/>
        <v>-4.7368462400059097E-2</v>
      </c>
      <c r="Z97" s="80"/>
    </row>
    <row r="98" spans="1:26" x14ac:dyDescent="0.25">
      <c r="A98" s="63">
        <v>44966</v>
      </c>
      <c r="B98" s="64">
        <v>30</v>
      </c>
      <c r="C98" s="81">
        <f>myParidad('Flujo de Fondos'!$B$5,A98,B98,'Flujo de Fondos'!$B$7,'Flujo de Fondos'!$B$6)</f>
        <v>0.29824322483998367</v>
      </c>
      <c r="D98" s="64">
        <v>33.450000000000003</v>
      </c>
      <c r="E98" s="85">
        <f>myParidad('Flujo de Fondos'!$H$5,$A98,D98,'Flujo de Fondos'!$H$7,'Flujo de Fondos'!$H$6)</f>
        <v>0.3325411956965818</v>
      </c>
      <c r="F98" s="64">
        <v>29.7</v>
      </c>
      <c r="G98" s="81">
        <f>myParidad('Flujo de Fondos'!$N$5,$A98,F98,'Flujo de Fondos'!$N$7,'Flujo de Fondos'!$N$6)</f>
        <v>0.28072197117812331</v>
      </c>
      <c r="H98" s="66">
        <v>34.880000000000003</v>
      </c>
      <c r="I98" s="81">
        <f>myParidad('Flujo de Fondos'!$T$5,$A98,H98,'Flujo de Fondos'!$T$7,'Flujo de Fondos'!$T$6)</f>
        <v>0.34854336704139077</v>
      </c>
      <c r="J98" s="66">
        <v>29.45</v>
      </c>
      <c r="K98" s="81">
        <f>myParidad('Flujo de Fondos'!$B$34,$A98,J98,'Flujo de Fondos'!$B$36,'Flujo de Fondos'!$B$35)</f>
        <v>0.29256128055522479</v>
      </c>
      <c r="L98" s="64">
        <v>32.9</v>
      </c>
      <c r="M98" s="81">
        <f>myParidad('Flujo de Fondos'!$H$34,'Paridad usd'!$A98,'Paridad usd'!L98,'Flujo de Fondos'!$H$36,'Flujo de Fondos'!$H$35)</f>
        <v>0.32875793508204576</v>
      </c>
      <c r="N98" s="66">
        <v>29.5</v>
      </c>
      <c r="O98" s="81">
        <f>myParidad('Flujo de Fondos'!$N$34,$A98,N98,'Flujo de Fondos'!$N$36,'Flujo de Fondos'!$N$35)</f>
        <v>0.29478295090943313</v>
      </c>
      <c r="P98" s="65">
        <f t="shared" si="10"/>
        <v>1.7521253661860359E-2</v>
      </c>
      <c r="Q98" s="65">
        <f t="shared" si="11"/>
        <v>3.4297970856598137E-2</v>
      </c>
      <c r="R98" s="65">
        <f t="shared" si="12"/>
        <v>-3.0514710242062093E-2</v>
      </c>
      <c r="S98" s="65">
        <f t="shared" si="13"/>
        <v>3.4602739305505392E-3</v>
      </c>
      <c r="T98" s="65">
        <f t="shared" si="14"/>
        <v>3.7758244787148676E-2</v>
      </c>
      <c r="U98" s="65">
        <f t="shared" si="15"/>
        <v>-1.4060979731309819E-2</v>
      </c>
      <c r="V98" s="65">
        <f t="shared" si="16"/>
        <v>-1.1839309377101481E-2</v>
      </c>
      <c r="W98" s="65">
        <f t="shared" si="17"/>
        <v>5.6819442847588775E-3</v>
      </c>
      <c r="X98" s="65">
        <f t="shared" si="18"/>
        <v>6.7821395863267464E-2</v>
      </c>
      <c r="Y98" s="73">
        <f t="shared" si="19"/>
        <v>-4.8035963903922452E-2</v>
      </c>
      <c r="Z98" s="80"/>
    </row>
    <row r="99" spans="1:26" x14ac:dyDescent="0.25">
      <c r="A99" s="63">
        <v>44965</v>
      </c>
      <c r="B99" s="64">
        <v>30.2</v>
      </c>
      <c r="C99" s="81">
        <f>myParidad('Flujo de Fondos'!$B$5,A99,B99,'Flujo de Fondos'!$B$7,'Flujo de Fondos'!$B$6)</f>
        <v>0.30023969058124966</v>
      </c>
      <c r="D99" s="64">
        <v>33.75</v>
      </c>
      <c r="E99" s="85">
        <f>myParidad('Flujo de Fondos'!$H$5,$A99,D99,'Flujo de Fondos'!$H$7,'Flujo de Fondos'!$H$6)</f>
        <v>0.33553276679195948</v>
      </c>
      <c r="F99" s="64">
        <v>29.62</v>
      </c>
      <c r="G99" s="81">
        <f>myParidad('Flujo de Fondos'!$N$5,$A99,F99,'Flujo de Fondos'!$N$7,'Flujo de Fondos'!$N$6)</f>
        <v>0.27996944271804436</v>
      </c>
      <c r="H99" s="66">
        <v>34.85</v>
      </c>
      <c r="I99" s="81">
        <f>myParidad('Flujo de Fondos'!$T$5,$A99,H99,'Flujo de Fondos'!$T$7,'Flujo de Fondos'!$T$6)</f>
        <v>0.34824477951090638</v>
      </c>
      <c r="J99" s="66">
        <v>29.32</v>
      </c>
      <c r="K99" s="81">
        <f>myParidad('Flujo de Fondos'!$B$34,$A99,J99,'Flujo de Fondos'!$B$36,'Flujo de Fondos'!$B$35)</f>
        <v>0.29127875723821645</v>
      </c>
      <c r="L99" s="64">
        <v>33.14</v>
      </c>
      <c r="M99" s="81">
        <f>myParidad('Flujo de Fondos'!$H$34,'Paridad usd'!$A99,'Paridad usd'!L99,'Flujo de Fondos'!$H$36,'Flujo de Fondos'!$H$35)</f>
        <v>0.33115730252486192</v>
      </c>
      <c r="N99" s="66">
        <v>29.548999999999999</v>
      </c>
      <c r="O99" s="81">
        <f>myParidad('Flujo de Fondos'!$N$34,$A99,N99,'Flujo de Fondos'!$N$36,'Flujo de Fondos'!$N$35)</f>
        <v>0.29527360085416854</v>
      </c>
      <c r="P99" s="65">
        <f t="shared" si="10"/>
        <v>2.0270247863205304E-2</v>
      </c>
      <c r="Q99" s="65">
        <f t="shared" si="11"/>
        <v>3.5293076210709817E-2</v>
      </c>
      <c r="R99" s="65">
        <f t="shared" si="12"/>
        <v>-3.0917611943612255E-2</v>
      </c>
      <c r="S99" s="65">
        <f t="shared" si="13"/>
        <v>4.9660897270811244E-3</v>
      </c>
      <c r="T99" s="65">
        <f t="shared" si="14"/>
        <v>4.0259165937790942E-2</v>
      </c>
      <c r="U99" s="65">
        <f t="shared" si="15"/>
        <v>-1.530415813612418E-2</v>
      </c>
      <c r="V99" s="65">
        <f t="shared" si="16"/>
        <v>-1.1309314520172087E-2</v>
      </c>
      <c r="W99" s="65">
        <f t="shared" si="17"/>
        <v>8.9609333430332172E-3</v>
      </c>
      <c r="X99" s="65">
        <f t="shared" si="18"/>
        <v>6.8275336792862018E-2</v>
      </c>
      <c r="Y99" s="73">
        <f t="shared" si="19"/>
        <v>-5.1187859806817559E-2</v>
      </c>
      <c r="Z99" s="80"/>
    </row>
    <row r="100" spans="1:26" x14ac:dyDescent="0.25">
      <c r="A100" s="63">
        <v>44964</v>
      </c>
      <c r="B100" s="64">
        <v>30.48</v>
      </c>
      <c r="C100" s="81">
        <f>myParidad('Flujo de Fondos'!$B$5,A100,B100,'Flujo de Fondos'!$B$7,'Flujo de Fondos'!$B$6)</f>
        <v>0.30303162367553726</v>
      </c>
      <c r="D100" s="64">
        <v>33.729999999999997</v>
      </c>
      <c r="E100" s="85">
        <f>myParidad('Flujo de Fondos'!$H$5,$A100,D100,'Flujo de Fondos'!$H$7,'Flujo de Fondos'!$H$6)</f>
        <v>0.33534306648870971</v>
      </c>
      <c r="F100" s="64">
        <v>29.6</v>
      </c>
      <c r="G100" s="81">
        <f>myParidad('Flujo de Fondos'!$N$5,$A100,F100,'Flujo de Fondos'!$N$7,'Flujo de Fondos'!$N$6)</f>
        <v>0.27978402454972745</v>
      </c>
      <c r="H100" s="66">
        <v>34.74</v>
      </c>
      <c r="I100" s="81">
        <f>myParidad('Flujo de Fondos'!$T$5,$A100,H100,'Flujo de Fondos'!$T$7,'Flujo de Fondos'!$T$6)</f>
        <v>0.34714677307306657</v>
      </c>
      <c r="J100" s="66">
        <v>29.5</v>
      </c>
      <c r="K100" s="81">
        <f>myParidad('Flujo de Fondos'!$B$34,$A100,J100,'Flujo de Fondos'!$B$36,'Flujo de Fondos'!$B$35)</f>
        <v>0.29307593640381469</v>
      </c>
      <c r="L100" s="64">
        <v>33.299999999999997</v>
      </c>
      <c r="M100" s="81">
        <f>myParidad('Flujo de Fondos'!$H$34,'Paridad usd'!$A100,'Paridad usd'!L100,'Flujo de Fondos'!$H$36,'Flujo de Fondos'!$H$35)</f>
        <v>0.33275726952599644</v>
      </c>
      <c r="N100" s="66">
        <v>29.6</v>
      </c>
      <c r="O100" s="81">
        <f>myParidad('Flujo de Fondos'!$N$34,$A100,N100,'Flujo de Fondos'!$N$36,'Flujo de Fondos'!$N$35)</f>
        <v>0.29578423957866351</v>
      </c>
      <c r="P100" s="65">
        <f t="shared" si="10"/>
        <v>2.3247599125809815E-2</v>
      </c>
      <c r="Q100" s="65">
        <f t="shared" si="11"/>
        <v>3.2311442813172442E-2</v>
      </c>
      <c r="R100" s="65">
        <f t="shared" si="12"/>
        <v>-2.972564585045917E-2</v>
      </c>
      <c r="S100" s="65">
        <f t="shared" si="13"/>
        <v>7.2473840968737546E-3</v>
      </c>
      <c r="T100" s="65">
        <f t="shared" si="14"/>
        <v>3.9558826910046196E-2</v>
      </c>
      <c r="U100" s="65">
        <f t="shared" si="15"/>
        <v>-1.600021502893606E-2</v>
      </c>
      <c r="V100" s="65">
        <f t="shared" si="16"/>
        <v>-1.3291911854087235E-2</v>
      </c>
      <c r="W100" s="65">
        <f t="shared" si="17"/>
        <v>9.9556872717225797E-3</v>
      </c>
      <c r="X100" s="65">
        <f t="shared" si="18"/>
        <v>6.7362748523339122E-2</v>
      </c>
      <c r="Y100" s="73">
        <f t="shared" si="19"/>
        <v>-5.2973244976268985E-2</v>
      </c>
      <c r="Z100" s="80"/>
    </row>
    <row r="101" spans="1:26" x14ac:dyDescent="0.25">
      <c r="A101" s="63">
        <v>44963</v>
      </c>
      <c r="B101" s="64">
        <v>30.7</v>
      </c>
      <c r="C101" s="81">
        <f>myParidad('Flujo de Fondos'!$B$5,A101,B101,'Flujo de Fondos'!$B$7,'Flujo de Fondos'!$B$6)</f>
        <v>0.30522717367618218</v>
      </c>
      <c r="D101" s="64">
        <v>33.700000000000003</v>
      </c>
      <c r="E101" s="85">
        <f>myParidad('Flujo de Fondos'!$H$5,$A101,D101,'Flujo de Fondos'!$H$7,'Flujo de Fondos'!$H$6)</f>
        <v>0.33505393331880584</v>
      </c>
      <c r="F101" s="64">
        <v>29.81</v>
      </c>
      <c r="G101" s="81">
        <f>myParidad('Flujo de Fondos'!$N$5,$A101,F101,'Flujo de Fondos'!$N$7,'Flujo de Fondos'!$N$6)</f>
        <v>0.28177262721740254</v>
      </c>
      <c r="H101" s="66">
        <v>34.61</v>
      </c>
      <c r="I101" s="81">
        <f>myParidad('Flujo de Fondos'!$T$5,$A101,H101,'Flujo de Fondos'!$T$7,'Flujo de Fondos'!$T$6)</f>
        <v>0.34584890422022369</v>
      </c>
      <c r="J101" s="66">
        <v>29.6</v>
      </c>
      <c r="K101" s="81">
        <f>myParidad('Flujo de Fondos'!$B$34,$A101,J101,'Flujo de Fondos'!$B$36,'Flujo de Fondos'!$B$35)</f>
        <v>0.29407841909713245</v>
      </c>
      <c r="L101" s="64">
        <v>33.1</v>
      </c>
      <c r="M101" s="81">
        <f>myParidad('Flujo de Fondos'!$H$34,'Paridad usd'!$A101,'Paridad usd'!L101,'Flujo de Fondos'!$H$36,'Flujo de Fondos'!$H$35)</f>
        <v>0.33075985928024859</v>
      </c>
      <c r="N101" s="66">
        <v>29.5</v>
      </c>
      <c r="O101" s="81">
        <f>myParidad('Flujo de Fondos'!$N$34,$A101,N101,'Flujo de Fondos'!$N$36,'Flujo de Fondos'!$N$35)</f>
        <v>0.29478597730414902</v>
      </c>
      <c r="P101" s="65">
        <f t="shared" si="10"/>
        <v>2.3454546458779646E-2</v>
      </c>
      <c r="Q101" s="65">
        <f t="shared" si="11"/>
        <v>2.9826759642623657E-2</v>
      </c>
      <c r="R101" s="65">
        <f t="shared" si="12"/>
        <v>-2.5532685604066407E-2</v>
      </c>
      <c r="S101" s="65">
        <f t="shared" si="13"/>
        <v>1.0441196372033168E-2</v>
      </c>
      <c r="T101" s="65">
        <f t="shared" si="14"/>
        <v>4.0267956014656825E-2</v>
      </c>
      <c r="U101" s="65">
        <f t="shared" si="15"/>
        <v>-1.3013350086746478E-2</v>
      </c>
      <c r="V101" s="65">
        <f t="shared" si="16"/>
        <v>-1.230579187972991E-2</v>
      </c>
      <c r="W101" s="65">
        <f t="shared" si="17"/>
        <v>1.1148754579049736E-2</v>
      </c>
      <c r="X101" s="65">
        <f t="shared" si="18"/>
        <v>6.4076277002821147E-2</v>
      </c>
      <c r="Y101" s="73">
        <f t="shared" si="19"/>
        <v>-4.8987232062846053E-2</v>
      </c>
      <c r="Z101" s="80"/>
    </row>
    <row r="102" spans="1:26" x14ac:dyDescent="0.25">
      <c r="A102" s="63">
        <v>44960</v>
      </c>
      <c r="B102" s="64">
        <v>31.6</v>
      </c>
      <c r="C102" s="81">
        <f>myParidad('Flujo de Fondos'!$B$5,A102,B102,'Flujo de Fondos'!$B$7,'Flujo de Fondos'!$B$6)</f>
        <v>0.31420087716908662</v>
      </c>
      <c r="D102" s="64">
        <v>34.9</v>
      </c>
      <c r="E102" s="85">
        <f>myParidad('Flujo de Fondos'!$H$5,$A102,D102,'Flujo de Fondos'!$H$7,'Flujo de Fondos'!$H$6)</f>
        <v>0.34701299408864311</v>
      </c>
      <c r="F102" s="64">
        <v>30.31</v>
      </c>
      <c r="G102" s="81">
        <f>myParidad('Flujo de Fondos'!$N$5,$A102,F102,'Flujo de Fondos'!$N$7,'Flujo de Fondos'!$N$6)</f>
        <v>0.28650989938751992</v>
      </c>
      <c r="H102" s="66">
        <v>35.340000000000003</v>
      </c>
      <c r="I102" s="81">
        <f>myParidad('Flujo de Fondos'!$T$5,$A102,H102,'Flujo de Fondos'!$T$7,'Flujo de Fondos'!$T$6)</f>
        <v>0.35314723365810091</v>
      </c>
      <c r="J102" s="66">
        <v>30.41</v>
      </c>
      <c r="K102" s="81">
        <f>myParidad('Flujo de Fondos'!$B$34,$A102,J102,'Flujo de Fondos'!$B$36,'Flujo de Fondos'!$B$35)</f>
        <v>0.30215359278075138</v>
      </c>
      <c r="L102" s="64">
        <v>33.999000000000002</v>
      </c>
      <c r="M102" s="81">
        <f>myParidad('Flujo de Fondos'!$H$34,'Paridad usd'!$A102,'Paridad usd'!L102,'Flujo de Fondos'!$H$36,'Flujo de Fondos'!$H$35)</f>
        <v>0.33974682504645648</v>
      </c>
      <c r="N102" s="66">
        <v>30.25</v>
      </c>
      <c r="O102" s="81">
        <f>myParidad('Flujo de Fondos'!$N$34,$A102,N102,'Flujo de Fondos'!$N$36,'Flujo de Fondos'!$N$35)</f>
        <v>0.30228363944984582</v>
      </c>
      <c r="P102" s="65">
        <f t="shared" si="10"/>
        <v>2.7690977781566706E-2</v>
      </c>
      <c r="Q102" s="65">
        <f t="shared" si="11"/>
        <v>3.2812116919556489E-2</v>
      </c>
      <c r="R102" s="65">
        <f t="shared" si="12"/>
        <v>-2.5545947877369857E-2</v>
      </c>
      <c r="S102" s="65">
        <f t="shared" si="13"/>
        <v>1.1917237719240803E-2</v>
      </c>
      <c r="T102" s="65">
        <f t="shared" si="14"/>
        <v>4.4729354638797292E-2</v>
      </c>
      <c r="U102" s="65">
        <f t="shared" si="15"/>
        <v>-1.5773740062325903E-2</v>
      </c>
      <c r="V102" s="65">
        <f t="shared" si="16"/>
        <v>-1.5643693393231461E-2</v>
      </c>
      <c r="W102" s="65">
        <f t="shared" si="17"/>
        <v>1.2047284388335244E-2</v>
      </c>
      <c r="X102" s="65">
        <f t="shared" si="18"/>
        <v>6.6637334270580995E-2</v>
      </c>
      <c r="Y102" s="73">
        <f t="shared" si="19"/>
        <v>-5.3236925658936562E-2</v>
      </c>
      <c r="Z102" s="80"/>
    </row>
    <row r="103" spans="1:26" x14ac:dyDescent="0.25">
      <c r="A103" s="63">
        <v>44959</v>
      </c>
      <c r="B103" s="64">
        <v>33.14</v>
      </c>
      <c r="C103" s="81">
        <f>myParidad('Flujo de Fondos'!$B$5,A103,B103,'Flujo de Fondos'!$B$7,'Flujo de Fondos'!$B$6)</f>
        <v>0.32952217500272418</v>
      </c>
      <c r="D103" s="64">
        <v>36</v>
      </c>
      <c r="E103" s="85">
        <f>myParidad('Flujo de Fondos'!$H$5,$A103,D103,'Flujo de Fondos'!$H$7,'Flujo de Fondos'!$H$6)</f>
        <v>0.35796011768551816</v>
      </c>
      <c r="F103" s="64">
        <v>32.200000000000003</v>
      </c>
      <c r="G103" s="81">
        <f>myParidad('Flujo de Fondos'!$N$5,$A103,F103,'Flujo de Fondos'!$N$7,'Flujo de Fondos'!$N$6)</f>
        <v>0.30437935410354028</v>
      </c>
      <c r="H103" s="66">
        <v>37.35</v>
      </c>
      <c r="I103" s="81">
        <f>myParidad('Flujo de Fondos'!$T$5,$A103,H103,'Flujo de Fondos'!$T$7,'Flujo de Fondos'!$T$6)</f>
        <v>0.37323413458905985</v>
      </c>
      <c r="J103" s="66">
        <v>31.74</v>
      </c>
      <c r="K103" s="81">
        <f>myParidad('Flujo de Fondos'!$B$34,$A103,J103,'Flujo de Fondos'!$B$36,'Flujo de Fondos'!$B$35)</f>
        <v>0.31537812380900526</v>
      </c>
      <c r="L103" s="64">
        <v>34.9</v>
      </c>
      <c r="M103" s="81">
        <f>myParidad('Flujo de Fondos'!$H$34,'Paridad usd'!$A103,'Paridad usd'!L103,'Flujo de Fondos'!$H$36,'Flujo de Fondos'!$H$35)</f>
        <v>0.34875157422110276</v>
      </c>
      <c r="N103" s="66">
        <v>31.5</v>
      </c>
      <c r="O103" s="81">
        <f>myParidad('Flujo de Fondos'!$N$34,$A103,N103,'Flujo de Fondos'!$N$36,'Flujo de Fondos'!$N$35)</f>
        <v>0.31477577615944807</v>
      </c>
      <c r="P103" s="65">
        <f t="shared" si="10"/>
        <v>2.5142820899183904E-2</v>
      </c>
      <c r="Q103" s="65">
        <f t="shared" si="11"/>
        <v>2.8437942682793982E-2</v>
      </c>
      <c r="R103" s="65">
        <f t="shared" si="12"/>
        <v>-1.9229399218378573E-2</v>
      </c>
      <c r="S103" s="65">
        <f t="shared" si="13"/>
        <v>1.474639884327611E-2</v>
      </c>
      <c r="T103" s="65">
        <f t="shared" si="14"/>
        <v>4.3184341526070091E-2</v>
      </c>
      <c r="U103" s="65">
        <f t="shared" si="15"/>
        <v>-1.0396422055907795E-2</v>
      </c>
      <c r="V103" s="65">
        <f t="shared" si="16"/>
        <v>-1.0998769705464984E-2</v>
      </c>
      <c r="W103" s="65">
        <f t="shared" si="17"/>
        <v>1.4144051193718921E-2</v>
      </c>
      <c r="X103" s="65">
        <f t="shared" si="18"/>
        <v>6.8854780485519573E-2</v>
      </c>
      <c r="Y103" s="73">
        <f t="shared" si="19"/>
        <v>-4.4372220117562478E-2</v>
      </c>
      <c r="Z103" s="80"/>
    </row>
    <row r="104" spans="1:26" x14ac:dyDescent="0.25">
      <c r="A104" s="63">
        <v>44958</v>
      </c>
      <c r="B104" s="64">
        <v>33.1</v>
      </c>
      <c r="C104" s="81">
        <f>myParidad('Flujo de Fondos'!$B$5,A104,B104,'Flujo de Fondos'!$B$7,'Flujo de Fondos'!$B$6)</f>
        <v>0.329133407796878</v>
      </c>
      <c r="D104" s="64">
        <v>35.252000000000002</v>
      </c>
      <c r="E104" s="85">
        <f>myParidad('Flujo de Fondos'!$H$5,$A104,D104,'Flujo de Fondos'!$H$7,'Flujo de Fondos'!$H$6)</f>
        <v>0.35053205110741825</v>
      </c>
      <c r="F104" s="64">
        <v>32.01</v>
      </c>
      <c r="G104" s="81">
        <f>myParidad('Flujo de Fondos'!$N$5,$A104,F104,'Flujo de Fondos'!$N$7,'Flujo de Fondos'!$N$6)</f>
        <v>0.30258724506312723</v>
      </c>
      <c r="H104" s="66">
        <v>37.299999999999997</v>
      </c>
      <c r="I104" s="81">
        <f>myParidad('Flujo de Fondos'!$T$5,$A104,H104,'Flujo de Fondos'!$T$7,'Flujo de Fondos'!$T$6)</f>
        <v>0.37273576608363246</v>
      </c>
      <c r="J104" s="66">
        <v>31.3</v>
      </c>
      <c r="K104" s="81">
        <f>myParidad('Flujo de Fondos'!$B$34,$A104,J104,'Flujo de Fondos'!$B$36,'Flujo de Fondos'!$B$35)</f>
        <v>0.31101567737346997</v>
      </c>
      <c r="L104" s="64">
        <v>34.6</v>
      </c>
      <c r="M104" s="81">
        <f>myParidad('Flujo de Fondos'!$H$34,'Paridad usd'!$A104,'Paridad usd'!L104,'Flujo de Fondos'!$H$36,'Flujo de Fondos'!$H$35)</f>
        <v>0.3457548929354875</v>
      </c>
      <c r="N104" s="66">
        <v>31.09</v>
      </c>
      <c r="O104" s="81">
        <f>myParidad('Flujo de Fondos'!$N$34,$A104,N104,'Flujo de Fondos'!$N$36,'Flujo de Fondos'!$N$35)</f>
        <v>0.31067975784289903</v>
      </c>
      <c r="P104" s="65">
        <f t="shared" si="10"/>
        <v>2.6546162733750767E-2</v>
      </c>
      <c r="Q104" s="65">
        <f t="shared" si="11"/>
        <v>2.1398643310540255E-2</v>
      </c>
      <c r="R104" s="65">
        <f t="shared" si="12"/>
        <v>-1.6621485138609504E-2</v>
      </c>
      <c r="S104" s="65">
        <f t="shared" si="13"/>
        <v>1.8453649953978968E-2</v>
      </c>
      <c r="T104" s="65">
        <f t="shared" si="14"/>
        <v>3.9852293264519223E-2</v>
      </c>
      <c r="U104" s="65">
        <f t="shared" si="15"/>
        <v>-8.0925127797717988E-3</v>
      </c>
      <c r="V104" s="65">
        <f t="shared" si="16"/>
        <v>-8.4284323103427372E-3</v>
      </c>
      <c r="W104" s="65">
        <f t="shared" si="17"/>
        <v>1.8117730423408029E-2</v>
      </c>
      <c r="X104" s="65">
        <f t="shared" si="18"/>
        <v>7.0148521020505228E-2</v>
      </c>
      <c r="Y104" s="73">
        <f t="shared" si="19"/>
        <v>-4.3167647872360271E-2</v>
      </c>
      <c r="Z104" s="80"/>
    </row>
    <row r="105" spans="1:26" x14ac:dyDescent="0.25">
      <c r="A105" s="63">
        <v>44957</v>
      </c>
      <c r="B105" s="64">
        <v>32.590000000000003</v>
      </c>
      <c r="C105" s="81">
        <f>myParidad('Flujo de Fondos'!$B$5,A105,B105,'Flujo de Fondos'!$B$7,'Flujo de Fondos'!$B$6)</f>
        <v>0.32407099656731875</v>
      </c>
      <c r="D105" s="64">
        <v>35.700000000000003</v>
      </c>
      <c r="E105" s="85">
        <f>myParidad('Flujo de Fondos'!$H$5,$A105,D105,'Flujo de Fondos'!$H$7,'Flujo de Fondos'!$H$6)</f>
        <v>0.3549964583446848</v>
      </c>
      <c r="F105" s="64">
        <v>31.95</v>
      </c>
      <c r="G105" s="81">
        <f>myParidad('Flujo de Fondos'!$N$5,$A105,F105,'Flujo de Fondos'!$N$7,'Flujo de Fondos'!$N$6)</f>
        <v>0.30202398218170518</v>
      </c>
      <c r="H105" s="66">
        <v>37.4</v>
      </c>
      <c r="I105" s="81">
        <f>myParidad('Flujo de Fondos'!$T$5,$A105,H105,'Flujo de Fondos'!$T$7,'Flujo de Fondos'!$T$6)</f>
        <v>0.37373633669397616</v>
      </c>
      <c r="J105" s="66">
        <v>31.45</v>
      </c>
      <c r="K105" s="81">
        <f>myParidad('Flujo de Fondos'!$B$34,$A105,J105,'Flujo de Fondos'!$B$36,'Flujo de Fondos'!$B$35)</f>
        <v>0.31251573910853686</v>
      </c>
      <c r="L105" s="64">
        <v>34.4</v>
      </c>
      <c r="M105" s="81">
        <f>myParidad('Flujo de Fondos'!$H$34,'Paridad usd'!$A105,'Paridad usd'!L105,'Flujo de Fondos'!$H$36,'Flujo de Fondos'!$H$35)</f>
        <v>0.34375748615702617</v>
      </c>
      <c r="N105" s="66">
        <v>31.2</v>
      </c>
      <c r="O105" s="81">
        <f>myParidad('Flujo de Fondos'!$N$34,$A105,N105,'Flujo de Fondos'!$N$36,'Flujo de Fondos'!$N$35)</f>
        <v>0.31178004558427957</v>
      </c>
      <c r="P105" s="65">
        <f t="shared" si="10"/>
        <v>2.2047014385613573E-2</v>
      </c>
      <c r="Q105" s="65">
        <f t="shared" si="11"/>
        <v>3.0925461777366048E-2</v>
      </c>
      <c r="R105" s="65">
        <f t="shared" si="12"/>
        <v>-1.9686489589707423E-2</v>
      </c>
      <c r="S105" s="65">
        <f t="shared" si="13"/>
        <v>1.2290950983039173E-2</v>
      </c>
      <c r="T105" s="65">
        <f t="shared" si="14"/>
        <v>4.3216412760405221E-2</v>
      </c>
      <c r="U105" s="65">
        <f t="shared" si="15"/>
        <v>-9.7560634025743997E-3</v>
      </c>
      <c r="V105" s="65">
        <f t="shared" si="16"/>
        <v>-1.0491756926831686E-2</v>
      </c>
      <c r="W105" s="65">
        <f t="shared" si="17"/>
        <v>1.1555257458781887E-2</v>
      </c>
      <c r="X105" s="65">
        <f t="shared" si="18"/>
        <v>7.1712354512270982E-2</v>
      </c>
      <c r="Y105" s="73">
        <f t="shared" si="19"/>
        <v>-4.1733503975320996E-2</v>
      </c>
      <c r="Z105" s="80"/>
    </row>
    <row r="106" spans="1:26" x14ac:dyDescent="0.25">
      <c r="A106" s="63">
        <v>44956</v>
      </c>
      <c r="B106" s="64">
        <v>32.5</v>
      </c>
      <c r="C106" s="81">
        <f>myParidad('Flujo de Fondos'!$B$5,A106,B106,'Flujo de Fondos'!$B$7,'Flujo de Fondos'!$B$6)</f>
        <v>0.32318485219997278</v>
      </c>
      <c r="D106" s="64">
        <v>35.4</v>
      </c>
      <c r="E106" s="85">
        <f>myParidad('Flujo de Fondos'!$H$5,$A106,D106,'Flujo de Fondos'!$H$7,'Flujo de Fondos'!$H$6)</f>
        <v>0.35202288516550878</v>
      </c>
      <c r="F106" s="64">
        <v>32.011000000000003</v>
      </c>
      <c r="G106" s="81">
        <f>myParidad('Flujo de Fondos'!$N$5,$A106,F106,'Flujo de Fondos'!$N$7,'Flujo de Fondos'!$N$6)</f>
        <v>0.30260453491835337</v>
      </c>
      <c r="H106" s="66">
        <v>37.549999999999997</v>
      </c>
      <c r="I106" s="81">
        <f>myParidad('Flujo de Fondos'!$T$5,$A106,H106,'Flujo de Fondos'!$T$7,'Flujo de Fondos'!$T$6)</f>
        <v>0.37523656337160555</v>
      </c>
      <c r="J106" s="66">
        <v>31.3</v>
      </c>
      <c r="K106" s="81">
        <f>myParidad('Flujo de Fondos'!$B$34,$A106,J106,'Flujo de Fondos'!$B$36,'Flujo de Fondos'!$B$35)</f>
        <v>0.3110347291939628</v>
      </c>
      <c r="L106" s="64">
        <v>34.011000000000003</v>
      </c>
      <c r="M106" s="81">
        <f>myParidad('Flujo de Fondos'!$H$34,'Paridad usd'!$A106,'Paridad usd'!L106,'Flujo de Fondos'!$H$36,'Flujo de Fondos'!$H$35)</f>
        <v>0.33987139165996477</v>
      </c>
      <c r="N106" s="66">
        <v>31.3</v>
      </c>
      <c r="O106" s="81">
        <f>myParidad('Flujo de Fondos'!$N$34,$A106,N106,'Flujo de Fondos'!$N$36,'Flujo de Fondos'!$N$35)</f>
        <v>0.31278041101281634</v>
      </c>
      <c r="P106" s="65">
        <f t="shared" si="10"/>
        <v>2.0580317281619409E-2</v>
      </c>
      <c r="Q106" s="65">
        <f t="shared" si="11"/>
        <v>2.8838032965535998E-2</v>
      </c>
      <c r="R106" s="65">
        <f t="shared" si="12"/>
        <v>-1.6686539459991989E-2</v>
      </c>
      <c r="S106" s="65">
        <f t="shared" si="13"/>
        <v>1.0404441187156444E-2</v>
      </c>
      <c r="T106" s="65">
        <f t="shared" si="14"/>
        <v>3.9242474152692441E-2</v>
      </c>
      <c r="U106" s="65">
        <f t="shared" si="15"/>
        <v>-1.0175876094462966E-2</v>
      </c>
      <c r="V106" s="65">
        <f t="shared" si="16"/>
        <v>-8.4301942756094261E-3</v>
      </c>
      <c r="W106" s="65">
        <f t="shared" si="17"/>
        <v>1.2150123006009983E-2</v>
      </c>
      <c r="X106" s="65">
        <f t="shared" si="18"/>
        <v>7.2632028453252173E-2</v>
      </c>
      <c r="Y106" s="73">
        <f t="shared" si="19"/>
        <v>-3.7266856741611398E-2</v>
      </c>
      <c r="Z106" s="80"/>
    </row>
    <row r="107" spans="1:26" x14ac:dyDescent="0.25">
      <c r="A107" s="63">
        <v>44953</v>
      </c>
      <c r="B107" s="64">
        <v>32.79</v>
      </c>
      <c r="C107" s="81">
        <f>myParidad('Flujo de Fondos'!$B$5,A107,B107,'Flujo de Fondos'!$B$7,'Flujo de Fondos'!$B$6)</f>
        <v>0.32609530815759358</v>
      </c>
      <c r="D107" s="64">
        <v>35.520000000000003</v>
      </c>
      <c r="E107" s="85">
        <f>myParidad('Flujo de Fondos'!$H$5,$A107,D107,'Flujo de Fondos'!$H$7,'Flujo de Fondos'!$H$6)</f>
        <v>0.35324505476540791</v>
      </c>
      <c r="F107" s="64">
        <v>31.9</v>
      </c>
      <c r="G107" s="81">
        <f>myParidad('Flujo de Fondos'!$N$5,$A107,F107,'Flujo de Fondos'!$N$7,'Flujo de Fondos'!$N$6)</f>
        <v>0.30156695156695157</v>
      </c>
      <c r="H107" s="66">
        <v>37.19</v>
      </c>
      <c r="I107" s="81">
        <f>myParidad('Flujo de Fondos'!$T$5,$A107,H107,'Flujo de Fondos'!$T$7,'Flujo de Fondos'!$T$6)</f>
        <v>0.37164290456601939</v>
      </c>
      <c r="J107" s="66">
        <v>31.9</v>
      </c>
      <c r="K107" s="81">
        <f>myParidad('Flujo de Fondos'!$B$34,$A107,J107,'Flujo de Fondos'!$B$36,'Flujo de Fondos'!$B$35)</f>
        <v>0.31702618627858059</v>
      </c>
      <c r="L107" s="64">
        <v>34.6</v>
      </c>
      <c r="M107" s="81">
        <f>myParidad('Flujo de Fondos'!$H$34,'Paridad usd'!$A107,'Paridad usd'!L107,'Flujo de Fondos'!$H$36,'Flujo de Fondos'!$H$35)</f>
        <v>0.34576080930315334</v>
      </c>
      <c r="N107" s="66">
        <v>31.5</v>
      </c>
      <c r="O107" s="81">
        <f>myParidad('Flujo de Fondos'!$N$34,$A107,N107,'Flujo de Fondos'!$N$36,'Flujo de Fondos'!$N$35)</f>
        <v>0.3147822396835066</v>
      </c>
      <c r="P107" s="65">
        <f t="shared" si="10"/>
        <v>2.4528356590642009E-2</v>
      </c>
      <c r="Q107" s="65">
        <f t="shared" si="11"/>
        <v>2.7149746607814329E-2</v>
      </c>
      <c r="R107" s="65">
        <f t="shared" si="12"/>
        <v>-1.9665501145559761E-2</v>
      </c>
      <c r="S107" s="65">
        <f t="shared" si="13"/>
        <v>1.1313068474086974E-2</v>
      </c>
      <c r="T107" s="65">
        <f t="shared" si="14"/>
        <v>3.8462815081901303E-2</v>
      </c>
      <c r="U107" s="65">
        <f t="shared" si="15"/>
        <v>-1.3215288116555035E-2</v>
      </c>
      <c r="V107" s="65">
        <f t="shared" si="16"/>
        <v>-1.5459234711629022E-2</v>
      </c>
      <c r="W107" s="65">
        <f t="shared" si="17"/>
        <v>9.0691218790129868E-3</v>
      </c>
      <c r="X107" s="65">
        <f t="shared" si="18"/>
        <v>7.0075952999067825E-2</v>
      </c>
      <c r="Y107" s="73">
        <f t="shared" si="19"/>
        <v>-4.4193857736201769E-2</v>
      </c>
      <c r="Z107" s="80"/>
    </row>
    <row r="108" spans="1:26" x14ac:dyDescent="0.25">
      <c r="A108" s="63">
        <v>44952</v>
      </c>
      <c r="B108" s="64">
        <v>32</v>
      </c>
      <c r="C108" s="81">
        <f>myParidad('Flujo de Fondos'!$B$5,A108,B108,'Flujo de Fondos'!$B$7,'Flujo de Fondos'!$B$6)</f>
        <v>0.31824745919729708</v>
      </c>
      <c r="D108" s="64">
        <v>35.299999999999997</v>
      </c>
      <c r="E108" s="85">
        <f>myParidad('Flujo de Fondos'!$H$5,$A108,D108,'Flujo de Fondos'!$H$7,'Flujo de Fondos'!$H$6)</f>
        <v>0.3510667284270183</v>
      </c>
      <c r="F108" s="64">
        <v>31.55</v>
      </c>
      <c r="G108" s="81">
        <f>myParidad('Flujo de Fondos'!$N$5,$A108,F108,'Flujo de Fondos'!$N$7,'Flujo de Fondos'!$N$6)</f>
        <v>0.29826208575609631</v>
      </c>
      <c r="H108" s="66">
        <v>36.880000000000003</v>
      </c>
      <c r="I108" s="81">
        <f>myParidad('Flujo de Fondos'!$T$5,$A108,H108,'Flujo de Fondos'!$T$7,'Flujo de Fondos'!$T$6)</f>
        <v>0.36854630887642414</v>
      </c>
      <c r="J108" s="66">
        <v>30.8</v>
      </c>
      <c r="K108" s="81">
        <f>myParidad('Flujo de Fondos'!$B$34,$A108,J108,'Flujo de Fondos'!$B$36,'Flujo de Fondos'!$B$35)</f>
        <v>0.30610362514422634</v>
      </c>
      <c r="L108" s="64">
        <v>34</v>
      </c>
      <c r="M108" s="81">
        <f>myParidad('Flujo de Fondos'!$H$34,'Paridad usd'!$A108,'Paridad usd'!L108,'Flujo de Fondos'!$H$36,'Flujo de Fondos'!$H$35)</f>
        <v>0.33976611989692029</v>
      </c>
      <c r="N108" s="66">
        <v>31.2</v>
      </c>
      <c r="O108" s="81">
        <f>myParidad('Flujo de Fondos'!$N$34,$A108,N108,'Flujo de Fondos'!$N$36,'Flujo de Fondos'!$N$35)</f>
        <v>0.31178538061129152</v>
      </c>
      <c r="P108" s="65">
        <f t="shared" si="10"/>
        <v>1.9985373441200771E-2</v>
      </c>
      <c r="Q108" s="65">
        <f t="shared" si="11"/>
        <v>3.2819269229721226E-2</v>
      </c>
      <c r="R108" s="65">
        <f t="shared" si="12"/>
        <v>-2.1518660699623215E-2</v>
      </c>
      <c r="S108" s="65">
        <f t="shared" si="13"/>
        <v>6.4620785860055596E-3</v>
      </c>
      <c r="T108" s="65">
        <f t="shared" si="14"/>
        <v>3.9281347815726786E-2</v>
      </c>
      <c r="U108" s="65">
        <f t="shared" si="15"/>
        <v>-1.3523294855195211E-2</v>
      </c>
      <c r="V108" s="65">
        <f t="shared" si="16"/>
        <v>-7.8415393881300366E-3</v>
      </c>
      <c r="W108" s="65">
        <f t="shared" si="17"/>
        <v>1.2143834053070734E-2</v>
      </c>
      <c r="X108" s="65">
        <f t="shared" si="18"/>
        <v>7.0284223120327838E-2</v>
      </c>
      <c r="Y108" s="73">
        <f t="shared" si="19"/>
        <v>-4.1504034140823987E-2</v>
      </c>
      <c r="Z108" s="80"/>
    </row>
    <row r="109" spans="1:26" x14ac:dyDescent="0.25">
      <c r="A109" s="63">
        <v>44951</v>
      </c>
      <c r="B109" s="64">
        <v>32.18</v>
      </c>
      <c r="C109" s="81">
        <f>myParidad('Flujo de Fondos'!$B$5,A109,B109,'Flujo de Fondos'!$B$7,'Flujo de Fondos'!$B$6)</f>
        <v>0.32004632152588558</v>
      </c>
      <c r="D109" s="64">
        <v>35.4</v>
      </c>
      <c r="E109" s="85">
        <f>myParidad('Flujo de Fondos'!$H$5,$A109,D109,'Flujo de Fondos'!$H$7,'Flujo de Fondos'!$H$6)</f>
        <v>0.35207084468664851</v>
      </c>
      <c r="F109" s="64">
        <v>31.75</v>
      </c>
      <c r="G109" s="81">
        <f>myParidad('Flujo de Fondos'!$N$5,$A109,F109,'Flujo de Fondos'!$N$7,'Flujo de Fondos'!$N$6)</f>
        <v>0.30015669921520888</v>
      </c>
      <c r="H109" s="66">
        <v>36.65</v>
      </c>
      <c r="I109" s="81">
        <f>myParidad('Flujo de Fondos'!$T$5,$A109,H109,'Flujo de Fondos'!$T$7,'Flujo de Fondos'!$T$6)</f>
        <v>0.36624914442162898</v>
      </c>
      <c r="J109" s="66">
        <v>30.8</v>
      </c>
      <c r="K109" s="81">
        <f>myParidad('Flujo de Fondos'!$B$34,$A109,J109,'Flujo de Fondos'!$B$36,'Flujo de Fondos'!$B$35)</f>
        <v>0.3061130020422056</v>
      </c>
      <c r="L109" s="64">
        <v>34.25</v>
      </c>
      <c r="M109" s="81">
        <f>myParidad('Flujo de Fondos'!$H$34,'Paridad usd'!$A109,'Paridad usd'!L109,'Flujo de Fondos'!$H$36,'Flujo de Fondos'!$H$35)</f>
        <v>0.34226557152635179</v>
      </c>
      <c r="N109" s="66">
        <v>31.001000000000001</v>
      </c>
      <c r="O109" s="81">
        <f>myParidad('Flujo de Fondos'!$N$34,$A109,N109,'Flujo de Fondos'!$N$36,'Flujo de Fondos'!$N$35)</f>
        <v>0.30979780971937032</v>
      </c>
      <c r="P109" s="65">
        <f t="shared" si="10"/>
        <v>1.9889622310676702E-2</v>
      </c>
      <c r="Q109" s="65">
        <f t="shared" si="11"/>
        <v>3.202452316076293E-2</v>
      </c>
      <c r="R109" s="65">
        <f t="shared" si="12"/>
        <v>-2.2219250000466206E-2</v>
      </c>
      <c r="S109" s="65">
        <f t="shared" si="13"/>
        <v>1.0248511806515259E-2</v>
      </c>
      <c r="T109" s="65">
        <f t="shared" si="14"/>
        <v>4.2273034967278189E-2</v>
      </c>
      <c r="U109" s="65">
        <f t="shared" si="15"/>
        <v>-9.6411105041614431E-3</v>
      </c>
      <c r="V109" s="65">
        <f t="shared" si="16"/>
        <v>-5.9563028269967178E-3</v>
      </c>
      <c r="W109" s="65">
        <f t="shared" si="17"/>
        <v>1.3933319483679985E-2</v>
      </c>
      <c r="X109" s="65">
        <f t="shared" si="18"/>
        <v>6.6092445206420103E-2</v>
      </c>
      <c r="Y109" s="73">
        <f t="shared" si="19"/>
        <v>-4.2108872311142909E-2</v>
      </c>
      <c r="Z109" s="80"/>
    </row>
    <row r="110" spans="1:26" x14ac:dyDescent="0.25">
      <c r="A110" s="63">
        <v>44950</v>
      </c>
      <c r="B110" s="64">
        <v>31.99</v>
      </c>
      <c r="C110" s="81">
        <f>myParidad('Flujo de Fondos'!$B$5,A110,B110,'Flujo de Fondos'!$B$7,'Flujo de Fondos'!$B$6)</f>
        <v>0.31816534510477124</v>
      </c>
      <c r="D110" s="64">
        <v>35.75</v>
      </c>
      <c r="E110" s="85">
        <f>myParidad('Flujo de Fondos'!$H$5,$A110,D110,'Flujo de Fondos'!$H$7,'Flujo de Fondos'!$H$6)</f>
        <v>0.3555614594403117</v>
      </c>
      <c r="F110" s="64">
        <v>31.35</v>
      </c>
      <c r="G110" s="81">
        <f>myParidad('Flujo de Fondos'!$N$5,$A110,F110,'Flujo de Fondos'!$N$7,'Flujo de Fondos'!$N$6)</f>
        <v>0.29637903570457286</v>
      </c>
      <c r="H110" s="66">
        <v>36.549999999999997</v>
      </c>
      <c r="I110" s="81">
        <f>myParidad('Flujo de Fondos'!$T$5,$A110,H110,'Flujo de Fondos'!$T$7,'Flujo de Fondos'!$T$6)</f>
        <v>0.36525107888801805</v>
      </c>
      <c r="J110" s="66">
        <v>30.85</v>
      </c>
      <c r="K110" s="81">
        <f>myParidad('Flujo de Fondos'!$B$34,$A110,J110,'Flujo de Fondos'!$B$36,'Flujo de Fondos'!$B$35)</f>
        <v>0.30661933142948561</v>
      </c>
      <c r="L110" s="64">
        <v>34.39</v>
      </c>
      <c r="M110" s="81">
        <f>myParidad('Flujo de Fondos'!$H$34,'Paridad usd'!$A110,'Paridad usd'!L110,'Flujo de Fondos'!$H$36,'Flujo de Fondos'!$H$35)</f>
        <v>0.34366578941064141</v>
      </c>
      <c r="N110" s="66">
        <v>31.5</v>
      </c>
      <c r="O110" s="81">
        <f>myParidad('Flujo de Fondos'!$N$34,$A110,N110,'Flujo de Fondos'!$N$36,'Flujo de Fondos'!$N$35)</f>
        <v>0.31478547154507713</v>
      </c>
      <c r="P110" s="65">
        <f t="shared" si="10"/>
        <v>2.1786309400198378E-2</v>
      </c>
      <c r="Q110" s="65">
        <f t="shared" si="11"/>
        <v>3.7396114335540465E-2</v>
      </c>
      <c r="R110" s="65">
        <f t="shared" si="12"/>
        <v>-2.5500444305870174E-2</v>
      </c>
      <c r="S110" s="65">
        <f t="shared" si="13"/>
        <v>3.3798735596941021E-3</v>
      </c>
      <c r="T110" s="65">
        <f t="shared" si="14"/>
        <v>4.0775987895234567E-2</v>
      </c>
      <c r="U110" s="65">
        <f t="shared" si="15"/>
        <v>-1.8406435840504276E-2</v>
      </c>
      <c r="V110" s="65">
        <f t="shared" si="16"/>
        <v>-1.0240295724912751E-2</v>
      </c>
      <c r="W110" s="65">
        <f t="shared" si="17"/>
        <v>1.1546013675285627E-2</v>
      </c>
      <c r="X110" s="65">
        <f t="shared" si="18"/>
        <v>6.8872043183445197E-2</v>
      </c>
      <c r="Y110" s="73">
        <f t="shared" si="19"/>
        <v>-4.7286753706068552E-2</v>
      </c>
      <c r="Z110" s="80"/>
    </row>
    <row r="111" spans="1:26" x14ac:dyDescent="0.25">
      <c r="A111" s="63">
        <v>44949</v>
      </c>
      <c r="B111" s="64">
        <v>31.85</v>
      </c>
      <c r="C111" s="81">
        <f>myParidad('Flujo de Fondos'!$B$5,A111,B111,'Flujo de Fondos'!$B$7,'Flujo de Fondos'!$B$6)</f>
        <v>0.31678156847784622</v>
      </c>
      <c r="D111" s="64">
        <v>35.950000000000003</v>
      </c>
      <c r="E111" s="85">
        <f>myParidad('Flujo de Fondos'!$H$5,$A111,D111,'Flujo de Fondos'!$H$7,'Flujo de Fondos'!$H$6)</f>
        <v>0.35756035751267101</v>
      </c>
      <c r="F111" s="64">
        <v>30.99</v>
      </c>
      <c r="G111" s="81">
        <f>myParidad('Flujo de Fondos'!$N$5,$A111,F111,'Flujo de Fondos'!$N$7,'Flujo de Fondos'!$N$6)</f>
        <v>0.29297943431413176</v>
      </c>
      <c r="H111" s="66">
        <v>36.369999999999997</v>
      </c>
      <c r="I111" s="81">
        <f>myParidad('Flujo de Fondos'!$T$5,$A111,H111,'Flujo de Fondos'!$T$7,'Flujo de Fondos'!$T$6)</f>
        <v>0.36345354862114043</v>
      </c>
      <c r="J111" s="66">
        <v>30.55</v>
      </c>
      <c r="K111" s="81">
        <f>myParidad('Flujo de Fondos'!$B$34,$A111,J111,'Flujo de Fondos'!$B$36,'Flujo de Fondos'!$B$35)</f>
        <v>0.30364692186723491</v>
      </c>
      <c r="L111" s="64">
        <v>34.35</v>
      </c>
      <c r="M111" s="81">
        <f>myParidad('Flujo de Fondos'!$H$34,'Paridad usd'!$A111,'Paridad usd'!L111,'Flujo de Fondos'!$H$36,'Flujo de Fondos'!$H$35)</f>
        <v>0.34326723659983988</v>
      </c>
      <c r="N111" s="66">
        <v>31.45</v>
      </c>
      <c r="O111" s="81">
        <f>myParidad('Flujo de Fondos'!$N$34,$A111,N111,'Flujo de Fondos'!$N$36,'Flujo de Fondos'!$N$35)</f>
        <v>0.31428688765836865</v>
      </c>
      <c r="P111" s="65">
        <f t="shared" si="10"/>
        <v>2.3802134163714461E-2</v>
      </c>
      <c r="Q111" s="65">
        <f t="shared" si="11"/>
        <v>4.0778789034824792E-2</v>
      </c>
      <c r="R111" s="65">
        <f t="shared" si="12"/>
        <v>-2.6485668121993655E-2</v>
      </c>
      <c r="S111" s="65">
        <f t="shared" si="13"/>
        <v>2.4946808194775683E-3</v>
      </c>
      <c r="T111" s="65">
        <f t="shared" si="14"/>
        <v>4.327346985430236E-2</v>
      </c>
      <c r="U111" s="65">
        <f t="shared" si="15"/>
        <v>-2.1307453344236893E-2</v>
      </c>
      <c r="V111" s="65">
        <f t="shared" si="16"/>
        <v>-1.066748755310315E-2</v>
      </c>
      <c r="W111" s="65">
        <f t="shared" si="17"/>
        <v>1.3134646610611311E-2</v>
      </c>
      <c r="X111" s="65">
        <f t="shared" si="18"/>
        <v>7.0474114307008673E-2</v>
      </c>
      <c r="Y111" s="73">
        <f t="shared" si="19"/>
        <v>-5.0287802285708116E-2</v>
      </c>
      <c r="Z111" s="80"/>
    </row>
    <row r="112" spans="1:26" x14ac:dyDescent="0.25">
      <c r="A112" s="63">
        <v>44946</v>
      </c>
      <c r="B112" s="64">
        <v>31.25</v>
      </c>
      <c r="C112" s="81">
        <f>myParidad('Flujo de Fondos'!$B$5,A112,B112,'Flujo de Fondos'!$B$7,'Flujo de Fondos'!$B$6)</f>
        <v>0.31083935141027386</v>
      </c>
      <c r="D112" s="64">
        <v>34.92</v>
      </c>
      <c r="E112" s="85">
        <f>myParidad('Flujo de Fondos'!$H$5,$A112,D112,'Flujo de Fondos'!$H$7,'Flujo de Fondos'!$H$6)</f>
        <v>0.34734432483989647</v>
      </c>
      <c r="F112" s="64">
        <v>30.66</v>
      </c>
      <c r="G112" s="81">
        <f>myParidad('Flujo de Fondos'!$N$5,$A112,F112,'Flujo de Fondos'!$N$7,'Flujo de Fondos'!$N$6)</f>
        <v>0.28987087666584643</v>
      </c>
      <c r="H112" s="66">
        <v>35.700000000000003</v>
      </c>
      <c r="I112" s="81">
        <f>myParidad('Flujo de Fondos'!$T$5,$A112,H112,'Flujo de Fondos'!$T$7,'Flujo de Fondos'!$T$6)</f>
        <v>0.35676175157001322</v>
      </c>
      <c r="J112" s="66">
        <v>29.97</v>
      </c>
      <c r="K112" s="81">
        <f>myParidad('Flujo de Fondos'!$B$34,$A112,J112,'Flujo de Fondos'!$B$36,'Flujo de Fondos'!$B$35)</f>
        <v>0.29790948239178905</v>
      </c>
      <c r="L112" s="64">
        <v>33.9</v>
      </c>
      <c r="M112" s="81">
        <f>myParidad('Flujo de Fondos'!$H$34,'Paridad usd'!$A112,'Paridad usd'!L112,'Flujo de Fondos'!$H$36,'Flujo de Fondos'!$H$35)</f>
        <v>0.33877376409589482</v>
      </c>
      <c r="N112" s="66">
        <v>31.5</v>
      </c>
      <c r="O112" s="81">
        <f>myParidad('Flujo de Fondos'!$N$34,$A112,N112,'Flujo de Fondos'!$N$36,'Flujo de Fondos'!$N$35)</f>
        <v>0.31478978079707043</v>
      </c>
      <c r="P112" s="65">
        <f t="shared" si="10"/>
        <v>2.0968474744427423E-2</v>
      </c>
      <c r="Q112" s="65">
        <f t="shared" si="11"/>
        <v>3.6504973429622611E-2</v>
      </c>
      <c r="R112" s="65">
        <f t="shared" si="12"/>
        <v>-2.7934412685620968E-2</v>
      </c>
      <c r="S112" s="65">
        <f t="shared" si="13"/>
        <v>-3.9504293867965723E-3</v>
      </c>
      <c r="T112" s="65">
        <f t="shared" si="14"/>
        <v>3.2554544042826039E-2</v>
      </c>
      <c r="U112" s="65">
        <f t="shared" si="15"/>
        <v>-2.4918904131223996E-2</v>
      </c>
      <c r="V112" s="65">
        <f t="shared" si="16"/>
        <v>-8.0386057259426158E-3</v>
      </c>
      <c r="W112" s="65">
        <f t="shared" si="17"/>
        <v>1.2929869018484808E-2</v>
      </c>
      <c r="X112" s="65">
        <f t="shared" si="18"/>
        <v>6.6890874904166786E-2</v>
      </c>
      <c r="Y112" s="73">
        <f t="shared" si="19"/>
        <v>-4.8902887430048392E-2</v>
      </c>
      <c r="Z112" s="80"/>
    </row>
    <row r="113" spans="1:26" x14ac:dyDescent="0.25">
      <c r="A113" s="63">
        <v>44945</v>
      </c>
      <c r="B113" s="64">
        <v>31.38</v>
      </c>
      <c r="C113" s="81">
        <f>myParidad('Flujo de Fondos'!$B$5,A113,B113,'Flujo de Fondos'!$B$7,'Flujo de Fondos'!$B$6)</f>
        <v>0.31214094947402843</v>
      </c>
      <c r="D113" s="64">
        <v>36.14</v>
      </c>
      <c r="E113" s="85">
        <f>myParidad('Flujo de Fondos'!$H$5,$A113,D113,'Flujo de Fondos'!$H$7,'Flujo de Fondos'!$H$6)</f>
        <v>0.3594892898021475</v>
      </c>
      <c r="F113" s="64">
        <v>30.32</v>
      </c>
      <c r="G113" s="81">
        <f>myParidad('Flujo de Fondos'!$N$5,$A113,F113,'Flujo de Fondos'!$N$7,'Flujo de Fondos'!$N$6)</f>
        <v>0.28666010464694608</v>
      </c>
      <c r="H113" s="66">
        <v>36.57</v>
      </c>
      <c r="I113" s="81">
        <f>myParidad('Flujo de Fondos'!$T$5,$A113,H113,'Flujo de Fondos'!$T$7,'Flujo de Fondos'!$T$6)</f>
        <v>0.3654571962463295</v>
      </c>
      <c r="J113" s="66">
        <v>30</v>
      </c>
      <c r="K113" s="81">
        <f>myParidad('Flujo de Fondos'!$B$34,$A113,J113,'Flujo de Fondos'!$B$36,'Flujo de Fondos'!$B$35)</f>
        <v>0.29821682678232214</v>
      </c>
      <c r="L113" s="64">
        <v>34</v>
      </c>
      <c r="M113" s="81">
        <f>myParidad('Flujo de Fondos'!$H$34,'Paridad usd'!$A113,'Paridad usd'!L113,'Flujo de Fondos'!$H$36,'Flujo de Fondos'!$H$35)</f>
        <v>0.33977425956727381</v>
      </c>
      <c r="N113" s="66">
        <v>31</v>
      </c>
      <c r="O113" s="81">
        <f>myParidad('Flujo de Fondos'!$N$34,$A113,N113,'Flujo de Fondos'!$N$36,'Flujo de Fondos'!$N$35)</f>
        <v>0.30979417784074964</v>
      </c>
      <c r="P113" s="65">
        <f t="shared" si="10"/>
        <v>2.548084482708235E-2</v>
      </c>
      <c r="Q113" s="65">
        <f t="shared" si="11"/>
        <v>4.7348340328119076E-2</v>
      </c>
      <c r="R113" s="65">
        <f t="shared" si="12"/>
        <v>-2.7633310093245378E-2</v>
      </c>
      <c r="S113" s="65">
        <f t="shared" si="13"/>
        <v>2.346771633278788E-3</v>
      </c>
      <c r="T113" s="65">
        <f t="shared" si="14"/>
        <v>4.9695111961397864E-2</v>
      </c>
      <c r="U113" s="65">
        <f t="shared" si="15"/>
        <v>-2.3134073193803562E-2</v>
      </c>
      <c r="V113" s="65">
        <f t="shared" si="16"/>
        <v>-1.1556722135376063E-2</v>
      </c>
      <c r="W113" s="65">
        <f t="shared" si="17"/>
        <v>1.3924122691706287E-2</v>
      </c>
      <c r="X113" s="65">
        <f t="shared" si="18"/>
        <v>7.8797091599383418E-2</v>
      </c>
      <c r="Y113" s="73">
        <f t="shared" si="19"/>
        <v>-5.3114154920327727E-2</v>
      </c>
      <c r="Z113" s="80"/>
    </row>
    <row r="114" spans="1:26" x14ac:dyDescent="0.25">
      <c r="A114" s="63">
        <v>44944</v>
      </c>
      <c r="B114" s="64">
        <v>32.299999999999997</v>
      </c>
      <c r="C114" s="81">
        <f>myParidad('Flujo de Fondos'!$B$5,A114,B114,'Flujo de Fondos'!$B$7,'Flujo de Fondos'!$B$6)</f>
        <v>0.32130106559834298</v>
      </c>
      <c r="D114" s="64">
        <v>36.4</v>
      </c>
      <c r="E114" s="85">
        <f>myParidad('Flujo de Fondos'!$H$5,$A114,D114,'Flujo de Fondos'!$H$7,'Flujo de Fondos'!$H$6)</f>
        <v>0.36208541138636796</v>
      </c>
      <c r="F114" s="64">
        <v>31.05</v>
      </c>
      <c r="G114" s="81">
        <f>myParidad('Flujo de Fondos'!$N$5,$A114,F114,'Flujo de Fondos'!$N$7,'Flujo de Fondos'!$N$6)</f>
        <v>0.29356568364611263</v>
      </c>
      <c r="H114" s="66">
        <v>36.75</v>
      </c>
      <c r="I114" s="81">
        <f>myParidad('Flujo de Fondos'!$T$5,$A114,H114,'Flujo de Fondos'!$T$7,'Flujo de Fondos'!$T$6)</f>
        <v>0.36725725804519616</v>
      </c>
      <c r="J114" s="66">
        <v>30.42</v>
      </c>
      <c r="K114" s="81">
        <f>myParidad('Flujo de Fondos'!$B$34,$A114,J114,'Flujo de Fondos'!$B$36,'Flujo de Fondos'!$B$35)</f>
        <v>0.30240112753926135</v>
      </c>
      <c r="L114" s="64">
        <v>34.799999999999997</v>
      </c>
      <c r="M114" s="81">
        <f>myParidad('Flujo de Fondos'!$H$34,'Paridad usd'!$A114,'Paridad usd'!L114,'Flujo de Fondos'!$H$36,'Flujo de Fondos'!$H$35)</f>
        <v>0.34777013823055308</v>
      </c>
      <c r="N114" s="66">
        <v>32.5</v>
      </c>
      <c r="O114" s="81">
        <f>myParidad('Flujo de Fondos'!$N$34,$A114,N114,'Flujo de Fondos'!$N$36,'Flujo de Fondos'!$N$35)</f>
        <v>0.32478533024405104</v>
      </c>
      <c r="P114" s="65">
        <f t="shared" si="10"/>
        <v>2.7735381952230354E-2</v>
      </c>
      <c r="Q114" s="65">
        <f t="shared" si="11"/>
        <v>4.0784345788024978E-2</v>
      </c>
      <c r="R114" s="65">
        <f t="shared" si="12"/>
        <v>-2.64690726322101E-2</v>
      </c>
      <c r="S114" s="65">
        <f t="shared" si="13"/>
        <v>-3.4842646457080573E-3</v>
      </c>
      <c r="T114" s="65">
        <f t="shared" si="14"/>
        <v>3.7300081142316921E-2</v>
      </c>
      <c r="U114" s="65">
        <f t="shared" si="15"/>
        <v>-3.1219646597938411E-2</v>
      </c>
      <c r="V114" s="65">
        <f t="shared" si="16"/>
        <v>-8.83544389314872E-3</v>
      </c>
      <c r="W114" s="65">
        <f t="shared" si="17"/>
        <v>1.8899938059081633E-2</v>
      </c>
      <c r="X114" s="65">
        <f t="shared" si="18"/>
        <v>7.3691574399083526E-2</v>
      </c>
      <c r="Y114" s="73">
        <f t="shared" si="19"/>
        <v>-5.4204454584440454E-2</v>
      </c>
      <c r="Z114" s="80"/>
    </row>
    <row r="115" spans="1:26" x14ac:dyDescent="0.25">
      <c r="A115" s="63">
        <v>44943</v>
      </c>
      <c r="B115" s="64">
        <v>31.4</v>
      </c>
      <c r="C115" s="81">
        <f>myParidad('Flujo de Fondos'!$B$5,A115,B115,'Flujo de Fondos'!$B$7,'Flujo de Fondos'!$B$6)</f>
        <v>0.31235691703913659</v>
      </c>
      <c r="D115" s="64">
        <v>33.799999999999997</v>
      </c>
      <c r="E115" s="85">
        <f>myParidad('Flujo de Fondos'!$H$5,$A115,D115,'Flujo de Fondos'!$H$7,'Flujo de Fondos'!$H$6)</f>
        <v>0.33623133108034448</v>
      </c>
      <c r="F115" s="64">
        <v>30.2</v>
      </c>
      <c r="G115" s="81">
        <f>myParidad('Flujo de Fondos'!$N$5,$A115,F115,'Flujo de Fondos'!$N$7,'Flujo de Fondos'!$N$6)</f>
        <v>0.28553296205154771</v>
      </c>
      <c r="H115" s="66">
        <v>34.659999999999997</v>
      </c>
      <c r="I115" s="81">
        <f>myParidad('Flujo de Fondos'!$T$5,$A115,H115,'Flujo de Fondos'!$T$7,'Flujo de Fondos'!$T$6)</f>
        <v>0.34637224838462377</v>
      </c>
      <c r="J115" s="66">
        <v>30.2</v>
      </c>
      <c r="K115" s="81">
        <f>myParidad('Flujo de Fondos'!$B$34,$A115,J115,'Flujo de Fondos'!$B$36,'Flujo de Fondos'!$B$35)</f>
        <v>0.3002233358753677</v>
      </c>
      <c r="L115" s="64">
        <v>33.75</v>
      </c>
      <c r="M115" s="81">
        <f>myParidad('Flujo de Fondos'!$H$34,'Paridad usd'!$A115,'Paridad usd'!L115,'Flujo de Fondos'!$H$36,'Flujo de Fondos'!$H$35)</f>
        <v>0.33727822801445623</v>
      </c>
      <c r="N115" s="66">
        <v>31.65</v>
      </c>
      <c r="O115" s="81">
        <f>myParidad('Flujo de Fondos'!$N$34,$A115,N115,'Flujo de Fondos'!$N$36,'Flujo de Fondos'!$N$35)</f>
        <v>0.31629202716022342</v>
      </c>
      <c r="P115" s="65">
        <f t="shared" si="10"/>
        <v>2.6823954987588883E-2</v>
      </c>
      <c r="Q115" s="65">
        <f t="shared" si="11"/>
        <v>2.3874414041207881E-2</v>
      </c>
      <c r="R115" s="65">
        <f t="shared" si="12"/>
        <v>-2.4921310975319633E-2</v>
      </c>
      <c r="S115" s="65">
        <f t="shared" si="13"/>
        <v>-3.9351101210868267E-3</v>
      </c>
      <c r="T115" s="65">
        <f t="shared" si="14"/>
        <v>1.9939303920121054E-2</v>
      </c>
      <c r="U115" s="65">
        <f t="shared" si="15"/>
        <v>-3.0759065108675709E-2</v>
      </c>
      <c r="V115" s="65">
        <f t="shared" si="16"/>
        <v>-1.4690373823819991E-2</v>
      </c>
      <c r="W115" s="65">
        <f t="shared" si="17"/>
        <v>1.2133581163768892E-2</v>
      </c>
      <c r="X115" s="65">
        <f t="shared" si="18"/>
        <v>6.0839286333076059E-2</v>
      </c>
      <c r="Y115" s="73">
        <f t="shared" si="19"/>
        <v>-5.1745265962908515E-2</v>
      </c>
      <c r="Z115" s="80"/>
    </row>
    <row r="116" spans="1:26" x14ac:dyDescent="0.25">
      <c r="A116" s="63">
        <v>44942</v>
      </c>
      <c r="B116" s="64">
        <v>30.85</v>
      </c>
      <c r="C116" s="81">
        <f>myParidad('Flujo de Fondos'!$B$5,A116,B116,'Flujo de Fondos'!$B$7,'Flujo de Fondos'!$B$6)</f>
        <v>0.30689406121392171</v>
      </c>
      <c r="D116" s="64">
        <v>32.5</v>
      </c>
      <c r="E116" s="85">
        <f>myParidad('Flujo de Fondos'!$H$5,$A116,D116,'Flujo de Fondos'!$H$7,'Flujo de Fondos'!$H$6)</f>
        <v>0.32330816821563874</v>
      </c>
      <c r="F116" s="64">
        <v>29.420999999999999</v>
      </c>
      <c r="G116" s="81">
        <f>myParidad('Flujo de Fondos'!$N$5,$A116,F116,'Flujo de Fondos'!$N$7,'Flujo de Fondos'!$N$6)</f>
        <v>0.27817132717688353</v>
      </c>
      <c r="H116" s="66">
        <v>33.43</v>
      </c>
      <c r="I116" s="81">
        <f>myParidad('Flujo de Fondos'!$T$5,$A116,H116,'Flujo de Fondos'!$T$7,'Flujo de Fondos'!$T$6)</f>
        <v>0.33408147410426742</v>
      </c>
      <c r="J116" s="66">
        <v>30</v>
      </c>
      <c r="K116" s="81">
        <f>myParidad('Flujo de Fondos'!$B$34,$A116,J116,'Flujo de Fondos'!$B$36,'Flujo de Fondos'!$B$35)</f>
        <v>0.29824424024322566</v>
      </c>
      <c r="L116" s="64">
        <v>33.549999999999997</v>
      </c>
      <c r="M116" s="81">
        <f>myParidad('Flujo de Fondos'!$H$34,'Paridad usd'!$A116,'Paridad usd'!L116,'Flujo de Fondos'!$H$36,'Flujo de Fondos'!$H$35)</f>
        <v>0.33528068968585611</v>
      </c>
      <c r="N116" s="66">
        <v>30.8</v>
      </c>
      <c r="O116" s="81">
        <f>myParidad('Flujo de Fondos'!$N$34,$A116,N116,'Flujo de Fondos'!$N$36,'Flujo de Fondos'!$N$35)</f>
        <v>0.30779866594111388</v>
      </c>
      <c r="P116" s="65">
        <f t="shared" si="10"/>
        <v>2.8722734037038178E-2</v>
      </c>
      <c r="Q116" s="65">
        <f t="shared" si="11"/>
        <v>1.6414107001717027E-2</v>
      </c>
      <c r="R116" s="65">
        <f t="shared" si="12"/>
        <v>-2.8386628471934405E-2</v>
      </c>
      <c r="S116" s="65">
        <f t="shared" si="13"/>
        <v>-9.0460472719217089E-4</v>
      </c>
      <c r="T116" s="65">
        <f t="shared" si="14"/>
        <v>1.5509502274524856E-2</v>
      </c>
      <c r="U116" s="65">
        <f t="shared" si="15"/>
        <v>-2.9627338764230349E-2</v>
      </c>
      <c r="V116" s="65">
        <f t="shared" si="16"/>
        <v>-2.0072913066342124E-2</v>
      </c>
      <c r="W116" s="65">
        <f t="shared" si="17"/>
        <v>8.6498209706960538E-3</v>
      </c>
      <c r="X116" s="65">
        <f t="shared" si="18"/>
        <v>5.5910146927383886E-2</v>
      </c>
      <c r="Y116" s="73">
        <f t="shared" si="19"/>
        <v>-5.7109362508972583E-2</v>
      </c>
      <c r="Z116" s="80"/>
    </row>
    <row r="117" spans="1:26" x14ac:dyDescent="0.25">
      <c r="A117" s="63">
        <v>44939</v>
      </c>
      <c r="B117" s="64">
        <v>29.4</v>
      </c>
      <c r="C117" s="81">
        <f>myParidad('Flujo de Fondos'!$B$5,A117,B117,'Flujo de Fondos'!$B$7,'Flujo de Fondos'!$B$6)</f>
        <v>0.29249345835150459</v>
      </c>
      <c r="D117" s="64">
        <v>31.3</v>
      </c>
      <c r="E117" s="85">
        <f>myParidad('Flujo de Fondos'!$H$5,$A117,D117,'Flujo de Fondos'!$H$7,'Flujo de Fondos'!$H$6)</f>
        <v>0.31139609681639774</v>
      </c>
      <c r="F117" s="64">
        <v>28.35</v>
      </c>
      <c r="G117" s="81">
        <f>myParidad('Flujo de Fondos'!$N$5,$A117,F117,'Flujo de Fondos'!$N$7,'Flujo de Fondos'!$N$6)</f>
        <v>0.26805559153433672</v>
      </c>
      <c r="H117" s="66">
        <v>31.89</v>
      </c>
      <c r="I117" s="81">
        <f>myParidad('Flujo de Fondos'!$T$5,$A117,H117,'Flujo de Fondos'!$T$7,'Flujo de Fondos'!$T$6)</f>
        <v>0.31869481292866236</v>
      </c>
      <c r="J117" s="66">
        <v>29.2</v>
      </c>
      <c r="K117" s="81">
        <f>myParidad('Flujo de Fondos'!$B$34,$A117,J117,'Flujo de Fondos'!$B$36,'Flujo de Fondos'!$B$35)</f>
        <v>0.29031774784468084</v>
      </c>
      <c r="L117" s="64">
        <v>33.1</v>
      </c>
      <c r="M117" s="81">
        <f>myParidad('Flujo de Fondos'!$H$34,'Paridad usd'!$A117,'Paridad usd'!L117,'Flujo de Fondos'!$H$36,'Flujo de Fondos'!$H$35)</f>
        <v>0.33078702753022027</v>
      </c>
      <c r="N117" s="66">
        <v>30.1</v>
      </c>
      <c r="O117" s="81">
        <f>myParidad('Flujo de Fondos'!$N$34,$A117,N117,'Flujo de Fondos'!$N$36,'Flujo de Fondos'!$N$35)</f>
        <v>0.30080633017098579</v>
      </c>
      <c r="P117" s="65">
        <f t="shared" si="10"/>
        <v>2.4437866817167864E-2</v>
      </c>
      <c r="Q117" s="65">
        <f t="shared" si="11"/>
        <v>1.8902638464893151E-2</v>
      </c>
      <c r="R117" s="65">
        <f t="shared" si="12"/>
        <v>-3.8293569178715681E-2</v>
      </c>
      <c r="S117" s="65">
        <f t="shared" si="13"/>
        <v>-8.3128718194812046E-3</v>
      </c>
      <c r="T117" s="65">
        <f t="shared" si="14"/>
        <v>1.0589766645411947E-2</v>
      </c>
      <c r="U117" s="65">
        <f t="shared" si="15"/>
        <v>-3.2750738636649068E-2</v>
      </c>
      <c r="V117" s="65">
        <f t="shared" si="16"/>
        <v>-2.2262156310344117E-2</v>
      </c>
      <c r="W117" s="65">
        <f t="shared" si="17"/>
        <v>2.175710506823747E-3</v>
      </c>
      <c r="X117" s="65">
        <f t="shared" si="18"/>
        <v>5.063922139432564E-2</v>
      </c>
      <c r="Y117" s="73">
        <f t="shared" si="19"/>
        <v>-6.2731435995883544E-2</v>
      </c>
      <c r="Z117" s="80"/>
    </row>
    <row r="118" spans="1:26" x14ac:dyDescent="0.25">
      <c r="A118" s="63">
        <v>44938</v>
      </c>
      <c r="B118" s="64">
        <v>29.45</v>
      </c>
      <c r="C118" s="81">
        <f>myParidad('Flujo de Fondos'!$B$5,A118,B118,'Flujo de Fondos'!$B$7,'Flujo de Fondos'!$B$6)</f>
        <v>0.29299888243792077</v>
      </c>
      <c r="D118" s="64">
        <v>32</v>
      </c>
      <c r="E118" s="85">
        <f>myParidad('Flujo de Fondos'!$H$5,$A118,D118,'Flujo de Fondos'!$H$7,'Flujo de Fondos'!$H$6)</f>
        <v>0.31836890451658628</v>
      </c>
      <c r="F118" s="64">
        <v>28.36</v>
      </c>
      <c r="G118" s="81">
        <f>myParidad('Flujo de Fondos'!$N$5,$A118,F118,'Flujo de Fondos'!$N$7,'Flujo de Fondos'!$N$6)</f>
        <v>0.26815361699371804</v>
      </c>
      <c r="H118" s="66">
        <v>31.69</v>
      </c>
      <c r="I118" s="81">
        <f>myParidad('Flujo de Fondos'!$T$5,$A118,H118,'Flujo de Fondos'!$T$7,'Flujo de Fondos'!$T$6)</f>
        <v>0.31669718365293459</v>
      </c>
      <c r="J118" s="66">
        <v>29</v>
      </c>
      <c r="K118" s="81">
        <f>myParidad('Flujo de Fondos'!$B$34,$A118,J118,'Flujo de Fondos'!$B$36,'Flujo de Fondos'!$B$35)</f>
        <v>0.28833810605312532</v>
      </c>
      <c r="L118" s="64">
        <v>33.450000000000003</v>
      </c>
      <c r="M118" s="81">
        <f>myParidad('Flujo de Fondos'!$H$34,'Paridad usd'!$A118,'Paridad usd'!L118,'Flujo de Fondos'!$H$36,'Flujo de Fondos'!$H$35)</f>
        <v>0.33428591963365928</v>
      </c>
      <c r="N118" s="66">
        <v>30.5</v>
      </c>
      <c r="O118" s="81">
        <f>myParidad('Flujo de Fondos'!$N$34,$A118,N118,'Flujo de Fondos'!$N$36,'Flujo de Fondos'!$N$35)</f>
        <v>0.30480479966596735</v>
      </c>
      <c r="P118" s="65">
        <f t="shared" si="10"/>
        <v>2.4845265444202735E-2</v>
      </c>
      <c r="Q118" s="65">
        <f t="shared" si="11"/>
        <v>2.5370022078665511E-2</v>
      </c>
      <c r="R118" s="65">
        <f t="shared" si="12"/>
        <v>-4.1287037195738507E-2</v>
      </c>
      <c r="S118" s="65">
        <f t="shared" si="13"/>
        <v>-1.1805917228046581E-2</v>
      </c>
      <c r="T118" s="65">
        <f t="shared" si="14"/>
        <v>1.356410485061893E-2</v>
      </c>
      <c r="U118" s="65">
        <f t="shared" si="15"/>
        <v>-3.6651182672249316E-2</v>
      </c>
      <c r="V118" s="65">
        <f t="shared" si="16"/>
        <v>-2.0184489059407285E-2</v>
      </c>
      <c r="W118" s="65">
        <f t="shared" si="17"/>
        <v>4.6607763847954509E-3</v>
      </c>
      <c r="X118" s="65">
        <f t="shared" si="18"/>
        <v>4.8543566659216553E-2</v>
      </c>
      <c r="Y118" s="73">
        <f t="shared" si="19"/>
        <v>-6.6132302639941243E-2</v>
      </c>
      <c r="Z118" s="80"/>
    </row>
    <row r="119" spans="1:26" x14ac:dyDescent="0.25">
      <c r="A119" s="63">
        <v>44937</v>
      </c>
      <c r="B119" s="64">
        <v>29</v>
      </c>
      <c r="C119" s="81">
        <f>myParidad('Flujo de Fondos'!$B$5,A119,B119,'Flujo de Fondos'!$B$7,'Flujo de Fondos'!$B$6)</f>
        <v>0.28852968434825271</v>
      </c>
      <c r="D119" s="64">
        <v>31</v>
      </c>
      <c r="E119" s="85">
        <f>myParidad('Flujo de Fondos'!$H$5,$A119,D119,'Flujo de Fondos'!$H$7,'Flujo de Fondos'!$H$6)</f>
        <v>0.30842828326882188</v>
      </c>
      <c r="F119" s="64">
        <v>28.06</v>
      </c>
      <c r="G119" s="81">
        <f>myParidad('Flujo de Fondos'!$N$5,$A119,F119,'Flujo de Fondos'!$N$7,'Flujo de Fondos'!$N$6)</f>
        <v>0.26532044971763119</v>
      </c>
      <c r="H119" s="66">
        <v>31.95</v>
      </c>
      <c r="I119" s="81">
        <f>myParidad('Flujo de Fondos'!$T$5,$A119,H119,'Flujo de Fondos'!$T$7,'Flujo de Fondos'!$T$6)</f>
        <v>0.31929661243180713</v>
      </c>
      <c r="J119" s="66">
        <v>28.65</v>
      </c>
      <c r="K119" s="81">
        <f>myParidad('Flujo de Fondos'!$B$34,$A119,J119,'Flujo de Fondos'!$B$36,'Flujo de Fondos'!$B$35)</f>
        <v>0.28486689322173564</v>
      </c>
      <c r="L119" s="64">
        <v>33.54</v>
      </c>
      <c r="M119" s="81">
        <f>myParidad('Flujo de Fondos'!$H$34,'Paridad usd'!$A119,'Paridad usd'!L119,'Flujo de Fondos'!$H$36,'Flujo de Fondos'!$H$35)</f>
        <v>0.33518649079695811</v>
      </c>
      <c r="N119" s="66">
        <v>30.4</v>
      </c>
      <c r="O119" s="81">
        <f>myParidad('Flujo de Fondos'!$N$34,$A119,N119,'Flujo de Fondos'!$N$36,'Flujo de Fondos'!$N$35)</f>
        <v>0.30380647943433292</v>
      </c>
      <c r="P119" s="65">
        <f t="shared" si="10"/>
        <v>2.3209234630621522E-2</v>
      </c>
      <c r="Q119" s="65">
        <f t="shared" si="11"/>
        <v>1.9898598920569166E-2</v>
      </c>
      <c r="R119" s="65">
        <f t="shared" si="12"/>
        <v>-4.6656806448705401E-2</v>
      </c>
      <c r="S119" s="65">
        <f t="shared" si="13"/>
        <v>-1.5276795086080208E-2</v>
      </c>
      <c r="T119" s="65">
        <f t="shared" si="14"/>
        <v>4.6218038344889578E-3</v>
      </c>
      <c r="U119" s="65">
        <f t="shared" si="15"/>
        <v>-3.8486029716701731E-2</v>
      </c>
      <c r="V119" s="65">
        <f t="shared" si="16"/>
        <v>-1.9546443504104449E-2</v>
      </c>
      <c r="W119" s="65">
        <f t="shared" si="17"/>
        <v>3.6627911265170732E-3</v>
      </c>
      <c r="X119" s="65">
        <f t="shared" si="18"/>
        <v>5.3976162714175935E-2</v>
      </c>
      <c r="Y119" s="73">
        <f t="shared" si="19"/>
        <v>-6.9866041079326924E-2</v>
      </c>
      <c r="Z119" s="80"/>
    </row>
    <row r="120" spans="1:26" x14ac:dyDescent="0.25">
      <c r="A120" s="63">
        <v>44936</v>
      </c>
      <c r="B120" s="64">
        <v>28.4</v>
      </c>
      <c r="C120" s="81">
        <f>myParidad('Flujo de Fondos'!$B$5,A120,B120,'Flujo de Fondos'!$B$7,'Flujo de Fondos'!$B$6)</f>
        <v>0.28256780700558809</v>
      </c>
      <c r="D120" s="64">
        <v>29.9</v>
      </c>
      <c r="E120" s="85">
        <f>myParidad('Flujo de Fondos'!$H$5,$A120,D120,'Flujo de Fondos'!$H$7,'Flujo de Fondos'!$H$6)</f>
        <v>0.2974921630094044</v>
      </c>
      <c r="F120" s="64">
        <v>26.8</v>
      </c>
      <c r="G120" s="81">
        <f>myParidad('Flujo de Fondos'!$N$5,$A120,F120,'Flujo de Fondos'!$N$7,'Flujo de Fondos'!$N$6)</f>
        <v>0.25340984158646684</v>
      </c>
      <c r="H120" s="66">
        <v>30.38</v>
      </c>
      <c r="I120" s="81">
        <f>myParidad('Flujo de Fondos'!$T$5,$A120,H120,'Flujo de Fondos'!$T$7,'Flujo de Fondos'!$T$6)</f>
        <v>0.30360764584082001</v>
      </c>
      <c r="J120" s="66">
        <v>27.7</v>
      </c>
      <c r="K120" s="81">
        <f>myParidad('Flujo de Fondos'!$B$34,$A120,J120,'Flujo de Fondos'!$B$36,'Flujo de Fondos'!$B$35)</f>
        <v>0.27542948597892153</v>
      </c>
      <c r="L120" s="64">
        <v>32.700000000000003</v>
      </c>
      <c r="M120" s="81">
        <f>myParidad('Flujo de Fondos'!$H$34,'Paridad usd'!$A120,'Paridad usd'!L120,'Flujo de Fondos'!$H$36,'Flujo de Fondos'!$H$35)</f>
        <v>0.32679295651727502</v>
      </c>
      <c r="N120" s="66">
        <v>30.088999999999999</v>
      </c>
      <c r="O120" s="81">
        <f>myParidad('Flujo de Fondos'!$N$34,$A120,N120,'Flujo de Fondos'!$N$36,'Flujo de Fondos'!$N$35)</f>
        <v>0.30069948833786814</v>
      </c>
      <c r="P120" s="65">
        <f t="shared" si="10"/>
        <v>2.9157965419121246E-2</v>
      </c>
      <c r="Q120" s="65">
        <f t="shared" si="11"/>
        <v>1.4924356003816308E-2</v>
      </c>
      <c r="R120" s="65">
        <f t="shared" si="12"/>
        <v>-4.4225149511686934E-2</v>
      </c>
      <c r="S120" s="65">
        <f t="shared" si="13"/>
        <v>-1.8131681332280047E-2</v>
      </c>
      <c r="T120" s="65">
        <f t="shared" si="14"/>
        <v>-3.2073253284637393E-3</v>
      </c>
      <c r="U120" s="65">
        <f t="shared" si="15"/>
        <v>-4.7289646751401293E-2</v>
      </c>
      <c r="V120" s="65">
        <f t="shared" si="16"/>
        <v>-2.2019644392454685E-2</v>
      </c>
      <c r="W120" s="65">
        <f t="shared" si="17"/>
        <v>7.1383210266665609E-3</v>
      </c>
      <c r="X120" s="65">
        <f t="shared" si="18"/>
        <v>5.0197804254353162E-2</v>
      </c>
      <c r="Y120" s="73">
        <f t="shared" si="19"/>
        <v>-7.338311493080818E-2</v>
      </c>
      <c r="Z120" s="80"/>
    </row>
    <row r="121" spans="1:26" x14ac:dyDescent="0.25">
      <c r="A121" s="63">
        <v>44935</v>
      </c>
      <c r="B121" s="64">
        <v>27.8</v>
      </c>
      <c r="C121" s="81">
        <f>myParidad('Flujo de Fondos'!$B$5,A121,B121,'Flujo de Fondos'!$B$7,'Flujo de Fondos'!$B$6)</f>
        <v>0.276605604623269</v>
      </c>
      <c r="D121" s="64">
        <v>30</v>
      </c>
      <c r="E121" s="85">
        <f>myParidad('Flujo de Fondos'!$H$5,$A121,D121,'Flujo de Fondos'!$H$7,'Flujo de Fondos'!$H$6)</f>
        <v>0.29849525678770034</v>
      </c>
      <c r="F121" s="64">
        <v>26.451000000000001</v>
      </c>
      <c r="G121" s="81">
        <f>myParidad('Flujo de Fondos'!$N$5,$A121,F121,'Flujo de Fondos'!$N$7,'Flujo de Fondos'!$N$6)</f>
        <v>0.25011307997202148</v>
      </c>
      <c r="H121" s="66">
        <v>30.35</v>
      </c>
      <c r="I121" s="81">
        <f>myParidad('Flujo de Fondos'!$T$5,$A121,H121,'Flujo de Fondos'!$T$7,'Flujo de Fondos'!$T$6)</f>
        <v>0.30330887386030719</v>
      </c>
      <c r="J121" s="66">
        <v>27.5</v>
      </c>
      <c r="K121" s="81">
        <f>myParidad('Flujo de Fondos'!$B$34,$A121,J121,'Flujo de Fondos'!$B$36,'Flujo de Fondos'!$B$35)</f>
        <v>0.2734492058735391</v>
      </c>
      <c r="L121" s="64">
        <v>32.200000000000003</v>
      </c>
      <c r="M121" s="81">
        <f>myParidad('Flujo de Fondos'!$H$34,'Paridad usd'!$A121,'Paridad usd'!L121,'Flujo de Fondos'!$H$36,'Flujo de Fondos'!$H$35)</f>
        <v>0.3217972236672782</v>
      </c>
      <c r="N121" s="66">
        <v>29.9</v>
      </c>
      <c r="O121" s="81">
        <f>myParidad('Flujo de Fondos'!$N$34,$A121,N121,'Flujo de Fondos'!$N$36,'Flujo de Fondos'!$N$35)</f>
        <v>0.29881170769104398</v>
      </c>
      <c r="P121" s="65">
        <f t="shared" si="10"/>
        <v>2.6492524651247518E-2</v>
      </c>
      <c r="Q121" s="65">
        <f t="shared" si="11"/>
        <v>2.1889652164431339E-2</v>
      </c>
      <c r="R121" s="65">
        <f t="shared" si="12"/>
        <v>-4.5191619044009201E-2</v>
      </c>
      <c r="S121" s="65">
        <f t="shared" si="13"/>
        <v>-2.2206103067774985E-2</v>
      </c>
      <c r="T121" s="65">
        <f t="shared" si="14"/>
        <v>-3.1645090334364578E-4</v>
      </c>
      <c r="U121" s="65">
        <f t="shared" si="15"/>
        <v>-4.8698627719022503E-2</v>
      </c>
      <c r="V121" s="65">
        <f t="shared" si="16"/>
        <v>-2.3336125901517624E-2</v>
      </c>
      <c r="W121" s="65">
        <f t="shared" si="17"/>
        <v>3.156398749729894E-3</v>
      </c>
      <c r="X121" s="65">
        <f t="shared" si="18"/>
        <v>5.3195793888285714E-2</v>
      </c>
      <c r="Y121" s="73">
        <f t="shared" si="19"/>
        <v>-7.1684143695256719E-2</v>
      </c>
      <c r="Z121" s="80"/>
    </row>
    <row r="122" spans="1:26" x14ac:dyDescent="0.25">
      <c r="A122" s="99">
        <v>44932</v>
      </c>
      <c r="B122" s="100">
        <v>26.8</v>
      </c>
      <c r="C122" s="101">
        <f>myParidad('Flujo de Fondos'!$B$5,A122,B122,'Flujo de Fondos'!$B$7,'Flujo de Fondos'!$B$6)</f>
        <v>0.26667757149477933</v>
      </c>
      <c r="D122" s="100">
        <v>28.803000000000001</v>
      </c>
      <c r="E122" s="102">
        <f>myParidad('Flujo de Fondos'!$H$5,$A122,D122,'Flujo de Fondos'!$H$7,'Flujo de Fondos'!$H$6)</f>
        <v>0.28660873476731824</v>
      </c>
      <c r="F122" s="100">
        <v>25.576000000000001</v>
      </c>
      <c r="G122" s="101">
        <f>myParidad('Flujo de Fondos'!$N$5,$A122,F122,'Flujo de Fondos'!$N$7,'Flujo de Fondos'!$N$6)</f>
        <v>0.24184872861047424</v>
      </c>
      <c r="H122" s="103">
        <v>29.66</v>
      </c>
      <c r="I122" s="101">
        <f>myParidad('Flujo de Fondos'!$T$5,$A122,H122,'Flujo de Fondos'!$T$7,'Flujo de Fondos'!$T$6)</f>
        <v>0.29641626252220371</v>
      </c>
      <c r="J122" s="103">
        <v>26.701000000000001</v>
      </c>
      <c r="K122" s="101">
        <f>myParidad('Flujo de Fondos'!$B$34,$A122,J122,'Flujo de Fondos'!$B$36,'Flujo de Fondos'!$B$35)</f>
        <v>0.26552867734454022</v>
      </c>
      <c r="L122" s="100">
        <v>31.8</v>
      </c>
      <c r="M122" s="101">
        <f>myParidad('Flujo de Fondos'!$H$34,'Paridad usd'!$A122,'Paridad usd'!L122,'Flujo de Fondos'!$H$36,'Flujo de Fondos'!$H$35)</f>
        <v>0.31780300567114222</v>
      </c>
      <c r="N122" s="103">
        <v>30</v>
      </c>
      <c r="O122" s="101">
        <f>myParidad('Flujo de Fondos'!$N$34,$A122,N122,'Flujo de Fondos'!$N$36,'Flujo de Fondos'!$N$35)</f>
        <v>0.29981415629353037</v>
      </c>
      <c r="P122" s="104">
        <f t="shared" si="10"/>
        <v>2.4828842884305091E-2</v>
      </c>
      <c r="Q122" s="104">
        <f t="shared" si="11"/>
        <v>1.993116327253891E-2</v>
      </c>
      <c r="R122" s="104">
        <f t="shared" si="12"/>
        <v>-5.1125434176362894E-2</v>
      </c>
      <c r="S122" s="104">
        <f t="shared" si="13"/>
        <v>-3.3136584798751034E-2</v>
      </c>
      <c r="T122" s="104">
        <f t="shared" si="14"/>
        <v>-1.3205421526212124E-2</v>
      </c>
      <c r="U122" s="104">
        <f t="shared" si="15"/>
        <v>-5.7965427683056125E-2</v>
      </c>
      <c r="V122" s="104">
        <f t="shared" si="16"/>
        <v>-2.3679948734065981E-2</v>
      </c>
      <c r="W122" s="104">
        <f t="shared" si="17"/>
        <v>1.1488941502391103E-3</v>
      </c>
      <c r="X122" s="104">
        <f t="shared" si="18"/>
        <v>5.4567533911729471E-2</v>
      </c>
      <c r="Y122" s="105">
        <f t="shared" si="19"/>
        <v>-7.5954277060667985E-2</v>
      </c>
      <c r="Z122" s="80"/>
    </row>
    <row r="123" spans="1:26" x14ac:dyDescent="0.25">
      <c r="A123" s="99">
        <v>44931</v>
      </c>
      <c r="B123" s="100">
        <v>27</v>
      </c>
      <c r="C123" s="101">
        <f>myParidad('Flujo de Fondos'!$B$5,A123,B123,'Flujo de Fondos'!$B$7,'Flujo de Fondos'!$B$6)</f>
        <v>0.2686750272628135</v>
      </c>
      <c r="D123" s="100">
        <v>30.088999999999999</v>
      </c>
      <c r="E123" s="102">
        <f>myParidad('Flujo de Fondos'!$H$5,$A123,D123,'Flujo de Fondos'!$H$7,'Flujo de Fondos'!$H$6)</f>
        <v>0.29941344056706648</v>
      </c>
      <c r="F123" s="100">
        <v>25.59</v>
      </c>
      <c r="G123" s="101">
        <f>myParidad('Flujo de Fondos'!$N$5,$A123,F123,'Flujo de Fondos'!$N$7,'Flujo de Fondos'!$N$6)</f>
        <v>0.24198424829658799</v>
      </c>
      <c r="H123" s="103">
        <v>29.489000000000001</v>
      </c>
      <c r="I123" s="101">
        <f>myParidad('Flujo de Fondos'!$T$5,$A123,H123,'Flujo de Fondos'!$T$7,'Flujo de Fondos'!$T$6)</f>
        <v>0.2947083304812102</v>
      </c>
      <c r="J123" s="103">
        <v>26.8</v>
      </c>
      <c r="K123" s="101">
        <f>myParidad('Flujo de Fondos'!$B$34,$A123,J123,'Flujo de Fondos'!$B$36,'Flujo de Fondos'!$B$35)</f>
        <v>0.26652135413118999</v>
      </c>
      <c r="L123" s="100">
        <v>32.299999999999997</v>
      </c>
      <c r="M123" s="101">
        <f>myParidad('Flujo de Fondos'!$H$34,'Paridad usd'!$A123,'Paridad usd'!L123,'Flujo de Fondos'!$H$36,'Flujo de Fondos'!$H$35)</f>
        <v>0.32280101307413234</v>
      </c>
      <c r="N123" s="103">
        <v>29.5</v>
      </c>
      <c r="O123" s="101">
        <f>myParidad('Flujo de Fondos'!$N$34,$A123,N123,'Flujo de Fondos'!$N$36,'Flujo de Fondos'!$N$35)</f>
        <v>0.29481826271476486</v>
      </c>
      <c r="P123" s="104">
        <f t="shared" si="10"/>
        <v>2.6690778966225515E-2</v>
      </c>
      <c r="Q123" s="104">
        <f t="shared" si="11"/>
        <v>3.0738413304252976E-2</v>
      </c>
      <c r="R123" s="104">
        <f t="shared" si="12"/>
        <v>-5.4125985811318833E-2</v>
      </c>
      <c r="S123" s="104">
        <f t="shared" si="13"/>
        <v>-2.6143235451951352E-2</v>
      </c>
      <c r="T123" s="104">
        <f t="shared" si="14"/>
        <v>4.595177852301624E-3</v>
      </c>
      <c r="U123" s="104">
        <f t="shared" si="15"/>
        <v>-5.2834014418176867E-2</v>
      </c>
      <c r="V123" s="104">
        <f t="shared" si="16"/>
        <v>-2.4537105834602002E-2</v>
      </c>
      <c r="W123" s="104">
        <f t="shared" si="17"/>
        <v>2.1536731316235125E-3</v>
      </c>
      <c r="X123" s="104">
        <f t="shared" si="18"/>
        <v>5.2724082184622212E-2</v>
      </c>
      <c r="Y123" s="105">
        <f t="shared" si="19"/>
        <v>-8.0816764777544348E-2</v>
      </c>
      <c r="Z123" s="80"/>
    </row>
    <row r="124" spans="1:26" x14ac:dyDescent="0.25">
      <c r="A124" s="99">
        <v>44930</v>
      </c>
      <c r="B124" s="100">
        <v>27.82</v>
      </c>
      <c r="C124" s="101">
        <f>myParidad('Flujo de Fondos'!$B$5,A124,B124,'Flujo de Fondos'!$B$7,'Flujo de Fondos'!$B$6)</f>
        <v>0.27684233485100468</v>
      </c>
      <c r="D124" s="100">
        <v>29.5</v>
      </c>
      <c r="E124" s="102">
        <f>myParidad('Flujo de Fondos'!$H$5,$A124,D124,'Flujo de Fondos'!$H$7,'Flujo de Fondos'!$H$6)</f>
        <v>0.2935603478829848</v>
      </c>
      <c r="F124" s="100">
        <v>25.8</v>
      </c>
      <c r="G124" s="101">
        <f>myParidad('Flujo de Fondos'!$N$5,$A124,F124,'Flujo de Fondos'!$N$7,'Flujo de Fondos'!$N$6)</f>
        <v>0.24397321139422518</v>
      </c>
      <c r="H124" s="103">
        <v>29.77</v>
      </c>
      <c r="I124" s="101">
        <f>myParidad('Flujo de Fondos'!$T$5,$A124,H124,'Flujo de Fondos'!$T$7,'Flujo de Fondos'!$T$6)</f>
        <v>0.29751761762481216</v>
      </c>
      <c r="J124" s="103">
        <v>27.8</v>
      </c>
      <c r="K124" s="101">
        <f>myParidad('Flujo de Fondos'!$B$34,$A124,J124,'Flujo de Fondos'!$B$36,'Flujo de Fondos'!$B$35)</f>
        <v>0.27647465524111836</v>
      </c>
      <c r="L124" s="100">
        <v>35</v>
      </c>
      <c r="M124" s="101">
        <f>myParidad('Flujo de Fondos'!$H$34,'Paridad usd'!$A124,'Paridad usd'!L124,'Flujo de Fondos'!$H$36,'Flujo de Fondos'!$H$35)</f>
        <v>0.34978557664993037</v>
      </c>
      <c r="N124" s="103">
        <v>31.67</v>
      </c>
      <c r="O124" s="101">
        <f>myParidad('Flujo de Fondos'!$N$34,$A124,N124,'Flujo de Fondos'!$N$36,'Flujo de Fondos'!$N$35)</f>
        <v>0.31650597750009413</v>
      </c>
      <c r="P124" s="104">
        <f t="shared" si="10"/>
        <v>3.2869123456779503E-2</v>
      </c>
      <c r="Q124" s="104">
        <f t="shared" si="11"/>
        <v>1.6718013031980117E-2</v>
      </c>
      <c r="R124" s="104">
        <f t="shared" si="12"/>
        <v>-7.2943241798925695E-2</v>
      </c>
      <c r="S124" s="104">
        <f t="shared" si="13"/>
        <v>-3.9663642649089448E-2</v>
      </c>
      <c r="T124" s="104">
        <f t="shared" si="14"/>
        <v>-2.2945629617109331E-2</v>
      </c>
      <c r="U124" s="104">
        <f t="shared" si="15"/>
        <v>-7.2532766105868951E-2</v>
      </c>
      <c r="V124" s="104">
        <f t="shared" si="16"/>
        <v>-3.2501443846893185E-2</v>
      </c>
      <c r="W124" s="104">
        <f t="shared" si="17"/>
        <v>3.6767960988631776E-4</v>
      </c>
      <c r="X124" s="104">
        <f t="shared" si="18"/>
        <v>5.3544406230586983E-2</v>
      </c>
      <c r="Y124" s="105">
        <f t="shared" si="19"/>
        <v>-0.1058123652557052</v>
      </c>
      <c r="Z124" s="80"/>
    </row>
    <row r="125" spans="1:26" x14ac:dyDescent="0.25">
      <c r="A125" s="99">
        <v>44929</v>
      </c>
      <c r="B125" s="100">
        <v>26.31</v>
      </c>
      <c r="C125" s="101">
        <f>myParidad('Flujo de Fondos'!$B$5,A125,B125,'Flujo de Fondos'!$B$7,'Flujo de Fondos'!$B$6)</f>
        <v>0.26182316374938652</v>
      </c>
      <c r="D125" s="100">
        <v>28.5</v>
      </c>
      <c r="E125" s="102">
        <f>myParidad('Flujo de Fondos'!$H$5,$A125,D125,'Flujo de Fondos'!$H$7,'Flujo de Fondos'!$H$6)</f>
        <v>0.28361688205463764</v>
      </c>
      <c r="F125" s="100">
        <v>25.19</v>
      </c>
      <c r="G125" s="101">
        <f>myParidad('Flujo de Fondos'!$N$5,$A125,F125,'Flujo de Fondos'!$N$7,'Flujo de Fondos'!$N$6)</f>
        <v>0.23820793823514172</v>
      </c>
      <c r="H125" s="103">
        <v>29.15</v>
      </c>
      <c r="I125" s="101">
        <f>myParidad('Flujo de Fondos'!$T$5,$A125,H125,'Flujo de Fondos'!$T$7,'Flujo de Fondos'!$T$6)</f>
        <v>0.29132241304957934</v>
      </c>
      <c r="J125" s="103">
        <v>27.198</v>
      </c>
      <c r="K125" s="101">
        <f>myParidad('Flujo de Fondos'!$B$34,$A125,J125,'Flujo de Fondos'!$B$36,'Flujo de Fondos'!$B$35)</f>
        <v>0.27049597754783689</v>
      </c>
      <c r="L125" s="100">
        <v>34.4</v>
      </c>
      <c r="M125" s="101">
        <f>myParidad('Flujo de Fondos'!$H$34,'Paridad usd'!$A125,'Paridad usd'!L125,'Flujo de Fondos'!$H$36,'Flujo de Fondos'!$H$35)</f>
        <v>0.34379042912197355</v>
      </c>
      <c r="N125" s="103">
        <v>31.798999999999999</v>
      </c>
      <c r="O125" s="101">
        <f>myParidad('Flujo de Fondos'!$N$34,$A125,N125,'Flujo de Fondos'!$N$36,'Flujo de Fondos'!$N$35)</f>
        <v>0.31779627487353601</v>
      </c>
      <c r="P125" s="104">
        <f t="shared" si="10"/>
        <v>2.3615225514244803E-2</v>
      </c>
      <c r="Q125" s="104">
        <f t="shared" si="11"/>
        <v>2.179371830525112E-2</v>
      </c>
      <c r="R125" s="104">
        <f t="shared" si="12"/>
        <v>-8.1967265372587028E-2</v>
      </c>
      <c r="S125" s="104">
        <f t="shared" si="13"/>
        <v>-5.5973111124149488E-2</v>
      </c>
      <c r="T125" s="104">
        <f t="shared" si="14"/>
        <v>-3.4179392818898369E-2</v>
      </c>
      <c r="U125" s="104">
        <f t="shared" si="15"/>
        <v>-7.9588336638394291E-2</v>
      </c>
      <c r="V125" s="104">
        <f t="shared" si="16"/>
        <v>-3.2288039312695166E-2</v>
      </c>
      <c r="W125" s="104">
        <f t="shared" si="17"/>
        <v>-8.6728137984503628E-3</v>
      </c>
      <c r="X125" s="104">
        <f t="shared" si="18"/>
        <v>5.3114474814437623E-2</v>
      </c>
      <c r="Y125" s="105">
        <f t="shared" si="19"/>
        <v>-0.10558249088683183</v>
      </c>
      <c r="Z125" s="80"/>
    </row>
    <row r="126" spans="1:26" x14ac:dyDescent="0.25">
      <c r="A126" s="99">
        <v>44928</v>
      </c>
      <c r="B126" s="100">
        <v>26.2</v>
      </c>
      <c r="C126" s="101">
        <f>myParidad('Flujo de Fondos'!$B$5,A126,B126,'Flujo de Fondos'!$B$7,'Flujo de Fondos'!$B$6)</f>
        <v>0.26073561087329933</v>
      </c>
      <c r="D126" s="100">
        <v>27.75</v>
      </c>
      <c r="E126" s="102">
        <f>myParidad('Flujo de Fondos'!$H$5,$A126,D126,'Flujo de Fondos'!$H$7,'Flujo de Fondos'!$H$6)</f>
        <v>0.27616080922649072</v>
      </c>
      <c r="F126" s="100">
        <v>24.43</v>
      </c>
      <c r="G126" s="101">
        <f>myParidad('Flujo de Fondos'!$N$5,$A126,F126,'Flujo de Fondos'!$N$7,'Flujo de Fondos'!$N$6)</f>
        <v>0.23102403005375996</v>
      </c>
      <c r="H126" s="103">
        <v>28.69</v>
      </c>
      <c r="I126" s="101">
        <f>myParidad('Flujo de Fondos'!$T$5,$A126,H126,'Flujo de Fondos'!$T$7,'Flujo de Fondos'!$T$6)</f>
        <v>0.28672619679167083</v>
      </c>
      <c r="J126" s="103">
        <v>26.8</v>
      </c>
      <c r="K126" s="101">
        <f>myParidad('Flujo de Fondos'!$B$34,$A126,J126,'Flujo de Fondos'!$B$36,'Flujo de Fondos'!$B$35)</f>
        <v>0.26654586451311851</v>
      </c>
      <c r="L126" s="100">
        <v>34.799999999999997</v>
      </c>
      <c r="M126" s="101">
        <f>myParidad('Flujo de Fondos'!$H$34,'Paridad usd'!$A126,'Paridad usd'!L126,'Flujo de Fondos'!$H$36,'Flujo de Fondos'!$H$35)</f>
        <v>0.34778918258452923</v>
      </c>
      <c r="N126" s="103">
        <v>32</v>
      </c>
      <c r="O126" s="101">
        <f>myParidad('Flujo de Fondos'!$N$34,$A126,N126,'Flujo de Fondos'!$N$36,'Flujo de Fondos'!$N$35)</f>
        <v>0.31980614490531423</v>
      </c>
      <c r="P126" s="104">
        <f t="shared" si="10"/>
        <v>2.9711580819539368E-2</v>
      </c>
      <c r="Q126" s="104">
        <f t="shared" si="11"/>
        <v>1.5425198353191394E-2</v>
      </c>
      <c r="R126" s="104">
        <f t="shared" si="12"/>
        <v>-8.7053571711229905E-2</v>
      </c>
      <c r="S126" s="104">
        <f t="shared" si="13"/>
        <v>-5.9070534032014899E-2</v>
      </c>
      <c r="T126" s="104">
        <f t="shared" si="14"/>
        <v>-4.3645335678823505E-2</v>
      </c>
      <c r="U126" s="104">
        <f t="shared" si="15"/>
        <v>-8.8782114851554267E-2</v>
      </c>
      <c r="V126" s="104">
        <f t="shared" si="16"/>
        <v>-3.5521834459358553E-2</v>
      </c>
      <c r="W126" s="104">
        <f t="shared" si="17"/>
        <v>-5.8102536398191851E-3</v>
      </c>
      <c r="X126" s="104">
        <f t="shared" si="18"/>
        <v>5.5702166737910869E-2</v>
      </c>
      <c r="Y126" s="105">
        <f t="shared" si="19"/>
        <v>-0.11676515253076927</v>
      </c>
      <c r="Z126" s="80"/>
    </row>
    <row r="127" spans="1:26" x14ac:dyDescent="0.25">
      <c r="A127" s="99">
        <v>44925</v>
      </c>
      <c r="B127" s="100">
        <v>27.5</v>
      </c>
      <c r="C127" s="101">
        <f>myParidad('Flujo de Fondos'!$B$5,A127,B127,'Flujo de Fondos'!$B$7,'Flujo de Fondos'!$B$6)</f>
        <v>0.27369526094781044</v>
      </c>
      <c r="D127" s="100">
        <v>27.15</v>
      </c>
      <c r="E127" s="102">
        <f>myParidad('Flujo de Fondos'!$H$5,$A127,D127,'Flujo de Fondos'!$H$7,'Flujo de Fondos'!$H$6)</f>
        <v>0.27021186671756559</v>
      </c>
      <c r="F127" s="100">
        <v>24.131</v>
      </c>
      <c r="G127" s="101">
        <f>myParidad('Flujo de Fondos'!$N$5,$A127,F127,'Flujo de Fondos'!$N$7,'Flujo de Fondos'!$N$6)</f>
        <v>0.22820538397761425</v>
      </c>
      <c r="H127" s="103">
        <v>28.45</v>
      </c>
      <c r="I127" s="101">
        <f>myParidad('Flujo de Fondos'!$T$5,$A127,H127,'Flujo de Fondos'!$T$7,'Flujo de Fondos'!$T$6)</f>
        <v>0.28433057013971125</v>
      </c>
      <c r="J127" s="103">
        <v>26.75</v>
      </c>
      <c r="K127" s="101">
        <f>myParidad('Flujo de Fondos'!$B$34,$A127,J127,'Flujo de Fondos'!$B$36,'Flujo de Fondos'!$B$35)</f>
        <v>0.26607304660621461</v>
      </c>
      <c r="L127" s="100">
        <v>34.799999999999997</v>
      </c>
      <c r="M127" s="101">
        <f>myParidad('Flujo de Fondos'!$H$34,'Paridad usd'!$A127,'Paridad usd'!L127,'Flujo de Fondos'!$H$36,'Flujo de Fondos'!$H$35)</f>
        <v>0.34779275363310902</v>
      </c>
      <c r="N127" s="103">
        <v>31.3</v>
      </c>
      <c r="O127" s="101">
        <f>myParidad('Flujo de Fondos'!$N$34,$A127,N127,'Flujo de Fondos'!$N$36,'Flujo de Fondos'!$N$35)</f>
        <v>0.31281359737690556</v>
      </c>
      <c r="P127" s="104">
        <f t="shared" si="10"/>
        <v>4.5489876970196186E-2</v>
      </c>
      <c r="Q127" s="104">
        <f t="shared" si="11"/>
        <v>-3.4833942302448517E-3</v>
      </c>
      <c r="R127" s="104">
        <f t="shared" si="12"/>
        <v>-7.4097492685298583E-2</v>
      </c>
      <c r="S127" s="104">
        <f t="shared" si="13"/>
        <v>-3.9118336429095124E-2</v>
      </c>
      <c r="T127" s="104">
        <f t="shared" si="14"/>
        <v>-4.2601730659339976E-2</v>
      </c>
      <c r="U127" s="104">
        <f t="shared" si="15"/>
        <v>-8.460821339929131E-2</v>
      </c>
      <c r="V127" s="104">
        <f t="shared" si="16"/>
        <v>-3.7867662628600363E-2</v>
      </c>
      <c r="W127" s="104">
        <f t="shared" si="17"/>
        <v>7.6222143415958232E-3</v>
      </c>
      <c r="X127" s="104">
        <f t="shared" si="18"/>
        <v>5.6125186162096996E-2</v>
      </c>
      <c r="Y127" s="105">
        <f t="shared" si="19"/>
        <v>-0.11958736965549477</v>
      </c>
      <c r="Z127" s="80"/>
    </row>
    <row r="128" spans="1:26" x14ac:dyDescent="0.25">
      <c r="A128" s="99">
        <v>44924</v>
      </c>
      <c r="B128" s="100">
        <v>25.2</v>
      </c>
      <c r="C128" s="101">
        <f>myParidad('Flujo de Fondos'!$B$5,A128,B128,'Flujo de Fondos'!$B$7,'Flujo de Fondos'!$B$6)</f>
        <v>0.25081122351593815</v>
      </c>
      <c r="D128" s="100">
        <v>26.92</v>
      </c>
      <c r="E128" s="102">
        <f>myParidad('Flujo de Fondos'!$H$5,$A128,D128,'Flujo de Fondos'!$H$7,'Flujo de Fondos'!$H$6)</f>
        <v>0.26793008480353397</v>
      </c>
      <c r="F128" s="100">
        <v>24.02</v>
      </c>
      <c r="G128" s="101">
        <f>myParidad('Flujo de Fondos'!$N$5,$A128,F128,'Flujo de Fondos'!$N$7,'Flujo de Fondos'!$N$6)</f>
        <v>0.22715860657330517</v>
      </c>
      <c r="H128" s="103">
        <v>28.05</v>
      </c>
      <c r="I128" s="101">
        <f>myParidad('Flujo de Fondos'!$T$5,$A128,H128,'Flujo de Fondos'!$T$7,'Flujo de Fondos'!$T$6)</f>
        <v>0.28033391175775996</v>
      </c>
      <c r="J128" s="103">
        <v>26.25</v>
      </c>
      <c r="K128" s="101">
        <f>myParidad('Flujo de Fondos'!$B$34,$A128,J128,'Flujo de Fondos'!$B$36,'Flujo de Fondos'!$B$35)</f>
        <v>0.26110772354261691</v>
      </c>
      <c r="L128" s="100">
        <v>33.950000000000003</v>
      </c>
      <c r="M128" s="101">
        <f>myParidad('Flujo de Fondos'!$H$34,'Paridad usd'!$A128,'Paridad usd'!L128,'Flujo de Fondos'!$H$36,'Flujo de Fondos'!$H$35)</f>
        <v>0.33929897697596972</v>
      </c>
      <c r="N128" s="103">
        <v>30.3</v>
      </c>
      <c r="O128" s="101">
        <f>myParidad('Flujo de Fondos'!$N$34,$A128,N128,'Flujo de Fondos'!$N$36,'Flujo de Fondos'!$N$35)</f>
        <v>0.30282058917148402</v>
      </c>
      <c r="P128" s="104">
        <f t="shared" si="10"/>
        <v>2.3652616942632987E-2</v>
      </c>
      <c r="Q128" s="104">
        <f t="shared" si="11"/>
        <v>1.7118861287595821E-2</v>
      </c>
      <c r="R128" s="104">
        <f t="shared" si="12"/>
        <v>-8.8487753460031571E-2</v>
      </c>
      <c r="S128" s="104">
        <f t="shared" si="13"/>
        <v>-5.2009365655545869E-2</v>
      </c>
      <c r="T128" s="104">
        <f t="shared" si="14"/>
        <v>-3.4890504367950048E-2</v>
      </c>
      <c r="U128" s="104">
        <f t="shared" si="15"/>
        <v>-7.5661982598178856E-2</v>
      </c>
      <c r="V128" s="104">
        <f t="shared" si="16"/>
        <v>-3.3949116969311743E-2</v>
      </c>
      <c r="W128" s="104">
        <f t="shared" si="17"/>
        <v>-1.0296500026678757E-2</v>
      </c>
      <c r="X128" s="104">
        <f t="shared" si="18"/>
        <v>5.3175305184454791E-2</v>
      </c>
      <c r="Y128" s="105">
        <f t="shared" si="19"/>
        <v>-0.11214037040266456</v>
      </c>
      <c r="Z128" s="80"/>
    </row>
    <row r="129" spans="1:26" x14ac:dyDescent="0.25">
      <c r="A129" s="99">
        <v>44923</v>
      </c>
      <c r="B129" s="100">
        <v>26.7</v>
      </c>
      <c r="C129" s="101">
        <f>myParidad('Flujo de Fondos'!$B$5,A129,B129,'Flujo de Fondos'!$B$7,'Flujo de Fondos'!$B$6)</f>
        <v>0.26574770942408377</v>
      </c>
      <c r="D129" s="100">
        <v>28</v>
      </c>
      <c r="E129" s="102">
        <f>myParidad('Flujo de Fondos'!$H$5,$A129,D129,'Flujo de Fondos'!$H$7,'Flujo de Fondos'!$H$6)</f>
        <v>0.27868673647469461</v>
      </c>
      <c r="F129" s="100">
        <v>24.31</v>
      </c>
      <c r="G129" s="101">
        <f>myParidad('Flujo de Fondos'!$N$5,$A129,F129,'Flujo de Fondos'!$N$7,'Flujo de Fondos'!$N$6)</f>
        <v>0.22990413265967094</v>
      </c>
      <c r="H129" s="103">
        <v>28.77</v>
      </c>
      <c r="I129" s="101">
        <f>myParidad('Flujo de Fondos'!$T$5,$A129,H129,'Flujo de Fondos'!$T$7,'Flujo de Fondos'!$T$6)</f>
        <v>0.28753063264104706</v>
      </c>
      <c r="J129" s="103">
        <v>25.611000000000001</v>
      </c>
      <c r="K129" s="101">
        <f>myParidad('Flujo de Fondos'!$B$34,$A129,J129,'Flujo de Fondos'!$B$36,'Flujo de Fondos'!$B$35)</f>
        <v>0.25475942605638602</v>
      </c>
      <c r="L129" s="100">
        <v>33.299999999999997</v>
      </c>
      <c r="M129" s="101">
        <f>myParidad('Flujo de Fondos'!$H$34,'Paridad usd'!$A129,'Paridad usd'!L129,'Flujo de Fondos'!$H$36,'Flujo de Fondos'!$H$35)</f>
        <v>0.33280396478786467</v>
      </c>
      <c r="N129" s="103">
        <v>30.1</v>
      </c>
      <c r="O129" s="101">
        <f>myParidad('Flujo de Fondos'!$N$34,$A129,N129,'Flujo de Fondos'!$N$36,'Flujo de Fondos'!$N$35)</f>
        <v>0.30082280300644826</v>
      </c>
      <c r="P129" s="104">
        <f t="shared" si="10"/>
        <v>3.5843576764412827E-2</v>
      </c>
      <c r="Q129" s="104">
        <f t="shared" si="11"/>
        <v>1.2939027050610841E-2</v>
      </c>
      <c r="R129" s="104">
        <f t="shared" si="12"/>
        <v>-6.7056255363780903E-2</v>
      </c>
      <c r="S129" s="104">
        <f t="shared" si="13"/>
        <v>-3.5075093582364492E-2</v>
      </c>
      <c r="T129" s="104">
        <f t="shared" si="14"/>
        <v>-2.2136066531753651E-2</v>
      </c>
      <c r="U129" s="104">
        <f t="shared" si="15"/>
        <v>-7.0918670346777318E-2</v>
      </c>
      <c r="V129" s="104">
        <f t="shared" si="16"/>
        <v>-2.4855293396715078E-2</v>
      </c>
      <c r="W129" s="104">
        <f t="shared" si="17"/>
        <v>1.0988283367697749E-2</v>
      </c>
      <c r="X129" s="104">
        <f t="shared" si="18"/>
        <v>5.7626499981376117E-2</v>
      </c>
      <c r="Y129" s="105">
        <f t="shared" si="19"/>
        <v>-0.10289983212819373</v>
      </c>
      <c r="Z129" s="80"/>
    </row>
    <row r="130" spans="1:26" x14ac:dyDescent="0.25">
      <c r="A130" s="99">
        <v>44922</v>
      </c>
      <c r="B130" s="100">
        <v>26.4</v>
      </c>
      <c r="C130" s="101">
        <f>myParidad('Flujo de Fondos'!$B$5,A130,B130,'Flujo de Fondos'!$B$7,'Flujo de Fondos'!$B$6)</f>
        <v>0.26276894548826046</v>
      </c>
      <c r="D130" s="100">
        <v>28.45</v>
      </c>
      <c r="E130" s="102">
        <f>myParidad('Flujo de Fondos'!$H$5,$A130,D130,'Flujo de Fondos'!$H$7,'Flujo de Fondos'!$H$6)</f>
        <v>0.2831733522401898</v>
      </c>
      <c r="F130" s="100">
        <v>25.15</v>
      </c>
      <c r="G130" s="101">
        <f>myParidad('Flujo de Fondos'!$N$5,$A130,F130,'Flujo de Fondos'!$N$7,'Flujo de Fondos'!$N$6)</f>
        <v>0.2378512482348521</v>
      </c>
      <c r="H130" s="103">
        <v>29.05</v>
      </c>
      <c r="I130" s="101">
        <f>myParidad('Flujo de Fondos'!$T$5,$A130,H130,'Flujo de Fondos'!$T$7,'Flujo de Fondos'!$T$6)</f>
        <v>0.29032997799234012</v>
      </c>
      <c r="J130" s="103">
        <v>26.2</v>
      </c>
      <c r="K130" s="101">
        <f>myParidad('Flujo de Fondos'!$B$34,$A130,J130,'Flujo de Fondos'!$B$36,'Flujo de Fondos'!$B$35)</f>
        <v>0.26062635629337155</v>
      </c>
      <c r="L130" s="100">
        <v>34</v>
      </c>
      <c r="M130" s="101">
        <f>myParidad('Flujo de Fondos'!$H$34,'Paridad usd'!$A130,'Paridad usd'!L130,'Flujo de Fondos'!$H$36,'Flujo de Fondos'!$H$35)</f>
        <v>0.33980100694456328</v>
      </c>
      <c r="N130" s="103">
        <v>30.2</v>
      </c>
      <c r="O130" s="101">
        <f>myParidad('Flujo de Fondos'!$N$34,$A130,N130,'Flujo de Fondos'!$N$36,'Flujo de Fondos'!$N$35)</f>
        <v>0.30182324734487681</v>
      </c>
      <c r="P130" s="104">
        <f t="shared" ref="P130:P193" si="20">C130-G130</f>
        <v>2.4917697253408366E-2</v>
      </c>
      <c r="Q130" s="104">
        <f t="shared" ref="Q130:Q193" si="21">E130-C130</f>
        <v>2.0404406751929338E-2</v>
      </c>
      <c r="R130" s="104">
        <f t="shared" ref="R130:R193" si="22">C130-M130</f>
        <v>-7.7032061456302814E-2</v>
      </c>
      <c r="S130" s="104">
        <f t="shared" ref="S130:S193" si="23">C130-O130</f>
        <v>-3.9054301856616347E-2</v>
      </c>
      <c r="T130" s="104">
        <f t="shared" ref="T130:T193" si="24">E130-O130</f>
        <v>-1.8649895104687009E-2</v>
      </c>
      <c r="U130" s="104">
        <f t="shared" ref="U130:U193" si="25">G130-O130</f>
        <v>-6.3971999110024713E-2</v>
      </c>
      <c r="V130" s="104">
        <f t="shared" ref="V130:V193" si="26">G130-K130</f>
        <v>-2.2775108058519455E-2</v>
      </c>
      <c r="W130" s="104">
        <f t="shared" ref="W130:W193" si="27">C130-K130</f>
        <v>2.1425891948889109E-3</v>
      </c>
      <c r="X130" s="104">
        <f t="shared" ref="X130:X193" si="28">I130-G130</f>
        <v>5.2478729757488018E-2</v>
      </c>
      <c r="Y130" s="105">
        <f t="shared" ref="Y130:Y193" si="29">G130-M130</f>
        <v>-0.10194975870971118</v>
      </c>
      <c r="Z130" s="80"/>
    </row>
    <row r="131" spans="1:26" x14ac:dyDescent="0.25">
      <c r="A131" s="99">
        <v>44921</v>
      </c>
      <c r="B131" s="100">
        <v>26.584</v>
      </c>
      <c r="C131" s="101">
        <f>myParidad('Flujo de Fondos'!$B$5,A131,B131,'Flujo de Fondos'!$B$7,'Flujo de Fondos'!$B$6)</f>
        <v>0.26460758112898825</v>
      </c>
      <c r="D131" s="100">
        <v>29</v>
      </c>
      <c r="E131" s="102">
        <f>myParidad('Flujo de Fondos'!$H$5,$A131,D131,'Flujo de Fondos'!$H$7,'Flujo de Fondos'!$H$6)</f>
        <v>0.28865557676574854</v>
      </c>
      <c r="F131" s="100">
        <v>25.4</v>
      </c>
      <c r="G131" s="101">
        <f>myParidad('Flujo de Fondos'!$N$5,$A131,F131,'Flujo de Fondos'!$N$7,'Flujo de Fondos'!$N$6)</f>
        <v>0.24021868684251438</v>
      </c>
      <c r="H131" s="103">
        <v>29.15</v>
      </c>
      <c r="I131" s="101">
        <f>myParidad('Flujo de Fondos'!$T$5,$A131,H131,'Flujo de Fondos'!$T$7,'Flujo de Fondos'!$T$6)</f>
        <v>0.29133038984153059</v>
      </c>
      <c r="J131" s="103">
        <v>27.15</v>
      </c>
      <c r="K131" s="101">
        <f>myParidad('Flujo de Fondos'!$B$34,$A131,J131,'Flujo de Fondos'!$B$36,'Flujo de Fondos'!$B$35)</f>
        <v>0.27008482948931967</v>
      </c>
      <c r="L131" s="100">
        <v>33.85</v>
      </c>
      <c r="M131" s="101">
        <f>myParidad('Flujo de Fondos'!$H$34,'Paridad usd'!$A131,'Paridad usd'!L131,'Flujo de Fondos'!$H$36,'Flujo de Fondos'!$H$35)</f>
        <v>0.33830304274908446</v>
      </c>
      <c r="N131" s="103">
        <v>31.4</v>
      </c>
      <c r="O131" s="101">
        <f>myParidad('Flujo de Fondos'!$N$34,$A131,N131,'Flujo de Fondos'!$N$36,'Flujo de Fondos'!$N$35)</f>
        <v>0.31381729814833831</v>
      </c>
      <c r="P131" s="104">
        <f t="shared" si="20"/>
        <v>2.4388894286473867E-2</v>
      </c>
      <c r="Q131" s="104">
        <f t="shared" si="21"/>
        <v>2.40479956367603E-2</v>
      </c>
      <c r="R131" s="104">
        <f t="shared" si="22"/>
        <v>-7.3695461620096214E-2</v>
      </c>
      <c r="S131" s="104">
        <f t="shared" si="23"/>
        <v>-4.9209717019350063E-2</v>
      </c>
      <c r="T131" s="104">
        <f t="shared" si="24"/>
        <v>-2.5161721382589763E-2</v>
      </c>
      <c r="U131" s="104">
        <f t="shared" si="25"/>
        <v>-7.359861130582393E-2</v>
      </c>
      <c r="V131" s="104">
        <f t="shared" si="26"/>
        <v>-2.9866142646805288E-2</v>
      </c>
      <c r="W131" s="104">
        <f t="shared" si="27"/>
        <v>-5.4772483603314215E-3</v>
      </c>
      <c r="X131" s="104">
        <f t="shared" si="28"/>
        <v>5.1111702999016212E-2</v>
      </c>
      <c r="Y131" s="105">
        <f t="shared" si="29"/>
        <v>-9.8084355906570081E-2</v>
      </c>
      <c r="Z131" s="80"/>
    </row>
    <row r="132" spans="1:26" x14ac:dyDescent="0.25">
      <c r="A132" s="99">
        <v>44918</v>
      </c>
      <c r="B132" s="100">
        <v>25.2</v>
      </c>
      <c r="C132" s="101">
        <f>myParidad('Flujo de Fondos'!$B$5,A132,B132,'Flujo de Fondos'!$B$7,'Flujo de Fondos'!$B$6)</f>
        <v>0.25085226497940927</v>
      </c>
      <c r="D132" s="100">
        <v>28.5</v>
      </c>
      <c r="E132" s="102">
        <f>myParidad('Flujo de Fondos'!$H$5,$A132,D132,'Flujo de Fondos'!$H$7,'Flujo de Fondos'!$H$6)</f>
        <v>0.2837019663457605</v>
      </c>
      <c r="F132" s="100">
        <v>25.43</v>
      </c>
      <c r="G132" s="101">
        <f>myParidad('Flujo de Fondos'!$N$5,$A132,F132,'Flujo de Fondos'!$N$7,'Flujo de Fondos'!$N$6)</f>
        <v>0.24051175746582884</v>
      </c>
      <c r="H132" s="103">
        <v>29.75</v>
      </c>
      <c r="I132" s="101">
        <f>myParidad('Flujo de Fondos'!$T$5,$A132,H132,'Flujo de Fondos'!$T$7,'Flujo de Fondos'!$T$6)</f>
        <v>0.29732995170570253</v>
      </c>
      <c r="J132" s="103">
        <v>27</v>
      </c>
      <c r="K132" s="101">
        <f>myParidad('Flujo de Fondos'!$B$34,$A132,J132,'Flujo de Fondos'!$B$36,'Flujo de Fondos'!$B$35)</f>
        <v>0.26861735655172181</v>
      </c>
      <c r="L132" s="100">
        <v>33.299999999999997</v>
      </c>
      <c r="M132" s="101">
        <f>myParidad('Flujo de Fondos'!$H$34,'Paridad usd'!$A132,'Paridad usd'!L132,'Flujo de Fondos'!$H$36,'Flujo de Fondos'!$H$35)</f>
        <v>0.33280966022856789</v>
      </c>
      <c r="N132" s="103">
        <v>30.48</v>
      </c>
      <c r="O132" s="101">
        <f>myParidad('Flujo de Fondos'!$N$34,$A132,N132,'Flujo de Fondos'!$N$36,'Flujo de Fondos'!$N$35)</f>
        <v>0.3046257790920946</v>
      </c>
      <c r="P132" s="104">
        <f t="shared" si="20"/>
        <v>1.0340507513580427E-2</v>
      </c>
      <c r="Q132" s="104">
        <f t="shared" si="21"/>
        <v>3.2849701366351236E-2</v>
      </c>
      <c r="R132" s="104">
        <f t="shared" si="22"/>
        <v>-8.1957395249158627E-2</v>
      </c>
      <c r="S132" s="104">
        <f t="shared" si="23"/>
        <v>-5.3773514112685328E-2</v>
      </c>
      <c r="T132" s="104">
        <f t="shared" si="24"/>
        <v>-2.0923812746334092E-2</v>
      </c>
      <c r="U132" s="104">
        <f t="shared" si="25"/>
        <v>-6.4114021626265755E-2</v>
      </c>
      <c r="V132" s="104">
        <f t="shared" si="26"/>
        <v>-2.8105599085892968E-2</v>
      </c>
      <c r="W132" s="104">
        <f t="shared" si="27"/>
        <v>-1.7765091572312541E-2</v>
      </c>
      <c r="X132" s="104">
        <f t="shared" si="28"/>
        <v>5.6818194239873693E-2</v>
      </c>
      <c r="Y132" s="105">
        <f t="shared" si="29"/>
        <v>-9.2297902762739054E-2</v>
      </c>
      <c r="Z132" s="80"/>
    </row>
    <row r="133" spans="1:26" x14ac:dyDescent="0.25">
      <c r="A133" s="99">
        <v>44917</v>
      </c>
      <c r="B133" s="100">
        <v>26.300999999999998</v>
      </c>
      <c r="C133" s="101">
        <f>myParidad('Flujo de Fondos'!$B$5,A133,B133,'Flujo de Fondos'!$B$7,'Flujo de Fondos'!$B$6)</f>
        <v>0.26181926035018815</v>
      </c>
      <c r="D133" s="100">
        <v>28.7</v>
      </c>
      <c r="E133" s="102">
        <f>myParidad('Flujo de Fondos'!$H$5,$A133,D133,'Flujo de Fondos'!$H$7,'Flujo de Fondos'!$H$6)</f>
        <v>0.28570064910271092</v>
      </c>
      <c r="F133" s="100">
        <v>25.4</v>
      </c>
      <c r="G133" s="101">
        <f>myParidad('Flujo de Fondos'!$N$5,$A133,F133,'Flujo de Fondos'!$N$7,'Flujo de Fondos'!$N$6)</f>
        <v>0.24023113598673299</v>
      </c>
      <c r="H133" s="103">
        <v>28.45</v>
      </c>
      <c r="I133" s="101">
        <f>myParidad('Flujo de Fondos'!$T$5,$A133,H133,'Flujo de Fondos'!$T$7,'Flujo de Fondos'!$T$6)</f>
        <v>0.2843383555923687</v>
      </c>
      <c r="J133" s="103">
        <v>27</v>
      </c>
      <c r="K133" s="101">
        <f>myParidad('Flujo de Fondos'!$B$34,$A133,J133,'Flujo de Fondos'!$B$36,'Flujo de Fondos'!$B$35)</f>
        <v>0.26862559370890038</v>
      </c>
      <c r="L133" s="100">
        <v>33.5</v>
      </c>
      <c r="M133" s="101">
        <f>myParidad('Flujo de Fondos'!$H$34,'Paridad usd'!$A133,'Paridad usd'!L133,'Flujo de Fondos'!$H$36,'Flujo de Fondos'!$H$35)</f>
        <v>0.33480966299980147</v>
      </c>
      <c r="N133" s="103">
        <v>31.2</v>
      </c>
      <c r="O133" s="101">
        <f>myParidad('Flujo de Fondos'!$N$34,$A133,N133,'Flujo de Fondos'!$N$36,'Flujo de Fondos'!$N$35)</f>
        <v>0.31182273091324791</v>
      </c>
      <c r="P133" s="104">
        <f t="shared" si="20"/>
        <v>2.1588124363455169E-2</v>
      </c>
      <c r="Q133" s="104">
        <f t="shared" si="21"/>
        <v>2.388138875252277E-2</v>
      </c>
      <c r="R133" s="104">
        <f t="shared" si="22"/>
        <v>-7.2990402649613317E-2</v>
      </c>
      <c r="S133" s="104">
        <f t="shared" si="23"/>
        <v>-5.000347056305976E-2</v>
      </c>
      <c r="T133" s="104">
        <f t="shared" si="24"/>
        <v>-2.612208181053699E-2</v>
      </c>
      <c r="U133" s="104">
        <f t="shared" si="25"/>
        <v>-7.1591594926514929E-2</v>
      </c>
      <c r="V133" s="104">
        <f t="shared" si="26"/>
        <v>-2.8394457722167393E-2</v>
      </c>
      <c r="W133" s="104">
        <f t="shared" si="27"/>
        <v>-6.8063333587122243E-3</v>
      </c>
      <c r="X133" s="104">
        <f t="shared" si="28"/>
        <v>4.4107219605635711E-2</v>
      </c>
      <c r="Y133" s="105">
        <f t="shared" si="29"/>
        <v>-9.4578527013068486E-2</v>
      </c>
      <c r="Z133" s="80"/>
    </row>
    <row r="134" spans="1:26" x14ac:dyDescent="0.25">
      <c r="A134" s="99">
        <v>44916</v>
      </c>
      <c r="B134" s="100">
        <v>27.838999999999999</v>
      </c>
      <c r="C134" s="101">
        <f>myParidad('Flujo de Fondos'!$B$5,A134,B134,'Flujo de Fondos'!$B$7,'Flujo de Fondos'!$B$6)</f>
        <v>0.27713718805400245</v>
      </c>
      <c r="D134" s="100">
        <v>29.95</v>
      </c>
      <c r="E134" s="102">
        <f>myParidad('Flujo de Fondos'!$H$5,$A134,D134,'Flujo de Fondos'!$H$7,'Flujo de Fondos'!$H$6)</f>
        <v>0.29815218873585164</v>
      </c>
      <c r="F134" s="100">
        <v>26.7</v>
      </c>
      <c r="G134" s="101">
        <f>myParidad('Flujo de Fondos'!$N$5,$A134,F134,'Flujo de Fondos'!$N$7,'Flujo de Fondos'!$N$6)</f>
        <v>0.25252970213648085</v>
      </c>
      <c r="H134" s="103">
        <v>30.3</v>
      </c>
      <c r="I134" s="101">
        <f>myParidad('Flujo de Fondos'!$T$5,$A134,H134,'Flujo de Fondos'!$T$7,'Flujo de Fondos'!$T$6)</f>
        <v>0.30282888094056443</v>
      </c>
      <c r="J134" s="103">
        <v>27.89</v>
      </c>
      <c r="K134" s="101">
        <f>myParidad('Flujo de Fondos'!$B$34,$A134,J134,'Flujo de Fondos'!$B$36,'Flujo de Fondos'!$B$35)</f>
        <v>0.27748879840536994</v>
      </c>
      <c r="L134" s="100">
        <v>34.49</v>
      </c>
      <c r="M134" s="101">
        <f>myParidad('Flujo de Fondos'!$H$34,'Paridad usd'!$A134,'Paridad usd'!L134,'Flujo de Fondos'!$H$36,'Flujo de Fondos'!$H$35)</f>
        <v>0.34470521794191639</v>
      </c>
      <c r="N134" s="103">
        <v>31.37</v>
      </c>
      <c r="O134" s="101">
        <f>myParidad('Flujo de Fondos'!$N$34,$A134,N134,'Flujo de Fondos'!$N$36,'Flujo de Fondos'!$N$35)</f>
        <v>0.31352283812229392</v>
      </c>
      <c r="P134" s="104">
        <f t="shared" si="20"/>
        <v>2.4607485917521599E-2</v>
      </c>
      <c r="Q134" s="104">
        <f t="shared" si="21"/>
        <v>2.1015000681849194E-2</v>
      </c>
      <c r="R134" s="104">
        <f t="shared" si="22"/>
        <v>-6.7568029887913938E-2</v>
      </c>
      <c r="S134" s="104">
        <f t="shared" si="23"/>
        <v>-3.6385650068291475E-2</v>
      </c>
      <c r="T134" s="104">
        <f t="shared" si="24"/>
        <v>-1.5370649386442281E-2</v>
      </c>
      <c r="U134" s="104">
        <f t="shared" si="25"/>
        <v>-6.0993135985813074E-2</v>
      </c>
      <c r="V134" s="104">
        <f t="shared" si="26"/>
        <v>-2.4959096268889092E-2</v>
      </c>
      <c r="W134" s="104">
        <f t="shared" si="27"/>
        <v>-3.5161035136749286E-4</v>
      </c>
      <c r="X134" s="104">
        <f t="shared" si="28"/>
        <v>5.0299178804083577E-2</v>
      </c>
      <c r="Y134" s="105">
        <f t="shared" si="29"/>
        <v>-9.2175515805435537E-2</v>
      </c>
      <c r="Z134" s="80"/>
    </row>
    <row r="135" spans="1:26" x14ac:dyDescent="0.25">
      <c r="A135" s="99">
        <v>44915</v>
      </c>
      <c r="B135" s="100">
        <v>26.9</v>
      </c>
      <c r="C135" s="101">
        <f>myParidad('Flujo de Fondos'!$B$5,A135,B135,'Flujo de Fondos'!$B$7,'Flujo de Fondos'!$B$6)</f>
        <v>0.26779674885446214</v>
      </c>
      <c r="D135" s="100">
        <v>30.37</v>
      </c>
      <c r="E135" s="102">
        <f>myParidad('Flujo de Fondos'!$H$5,$A135,D135,'Flujo de Fondos'!$H$7,'Flujo de Fondos'!$H$6)</f>
        <v>0.30234153392974034</v>
      </c>
      <c r="F135" s="100">
        <v>25.69</v>
      </c>
      <c r="G135" s="101">
        <f>myParidad('Flujo de Fondos'!$N$5,$A135,F135,'Flujo de Fondos'!$N$7,'Flujo de Fondos'!$N$6)</f>
        <v>0.24298022855069837</v>
      </c>
      <c r="H135" s="103">
        <v>29.978999999999999</v>
      </c>
      <c r="I135" s="101">
        <f>myParidad('Flujo de Fondos'!$T$5,$A135,H135,'Flujo de Fondos'!$T$7,'Flujo de Fondos'!$T$6)</f>
        <v>0.29962171930833364</v>
      </c>
      <c r="J135" s="103">
        <v>26.71</v>
      </c>
      <c r="K135" s="101">
        <f>myParidad('Flujo de Fondos'!$B$34,$A135,J135,'Flujo de Fondos'!$B$36,'Flujo de Fondos'!$B$35)</f>
        <v>0.26575665471793264</v>
      </c>
      <c r="L135" s="100">
        <v>33.299999999999997</v>
      </c>
      <c r="M135" s="101">
        <f>myParidad('Flujo de Fondos'!$H$34,'Paridad usd'!$A135,'Paridad usd'!L135,'Flujo de Fondos'!$H$36,'Flujo de Fondos'!$H$35)</f>
        <v>0.33281307758656092</v>
      </c>
      <c r="N135" s="103">
        <v>29.85</v>
      </c>
      <c r="O135" s="101">
        <f>myParidad('Flujo de Fondos'!$N$34,$A135,N135,'Flujo de Fondos'!$N$36,'Flujo de Fondos'!$N$35)</f>
        <v>0.29833244342218757</v>
      </c>
      <c r="P135" s="104">
        <f t="shared" si="20"/>
        <v>2.4816520303763773E-2</v>
      </c>
      <c r="Q135" s="104">
        <f t="shared" si="21"/>
        <v>3.4544785075278195E-2</v>
      </c>
      <c r="R135" s="104">
        <f t="shared" si="22"/>
        <v>-6.5016328732098783E-2</v>
      </c>
      <c r="S135" s="104">
        <f t="shared" si="23"/>
        <v>-3.0535694567725424E-2</v>
      </c>
      <c r="T135" s="104">
        <f t="shared" si="24"/>
        <v>4.0090905075527705E-3</v>
      </c>
      <c r="U135" s="104">
        <f t="shared" si="25"/>
        <v>-5.5352214871489197E-2</v>
      </c>
      <c r="V135" s="104">
        <f t="shared" si="26"/>
        <v>-2.277642616723427E-2</v>
      </c>
      <c r="W135" s="104">
        <f t="shared" si="27"/>
        <v>2.0400941365295022E-3</v>
      </c>
      <c r="X135" s="104">
        <f t="shared" si="28"/>
        <v>5.6641490757635277E-2</v>
      </c>
      <c r="Y135" s="105">
        <f t="shared" si="29"/>
        <v>-8.9832849035862555E-2</v>
      </c>
      <c r="Z135" s="80"/>
    </row>
    <row r="136" spans="1:26" x14ac:dyDescent="0.25">
      <c r="A136" s="99">
        <v>44914</v>
      </c>
      <c r="B136" s="100">
        <v>27</v>
      </c>
      <c r="C136" s="101">
        <f>myParidad('Flujo de Fondos'!$B$5,A136,B136,'Flujo de Fondos'!$B$7,'Flujo de Fondos'!$B$6)</f>
        <v>0.26879960723345064</v>
      </c>
      <c r="D136" s="100">
        <v>29.25</v>
      </c>
      <c r="E136" s="102">
        <f>myParidad('Flujo de Fondos'!$H$5,$A136,D136,'Flujo de Fondos'!$H$7,'Flujo de Fondos'!$H$6)</f>
        <v>0.29119957450290485</v>
      </c>
      <c r="F136" s="100">
        <v>25.7</v>
      </c>
      <c r="G136" s="101">
        <f>myParidad('Flujo de Fondos'!$N$5,$A136,F136,'Flujo de Fondos'!$N$7,'Flujo de Fondos'!$N$6)</f>
        <v>0.24307795960145631</v>
      </c>
      <c r="H136" s="103">
        <v>30.35</v>
      </c>
      <c r="I136" s="101">
        <f>myParidad('Flujo de Fondos'!$T$5,$A136,H136,'Flujo de Fondos'!$T$7,'Flujo de Fondos'!$T$6)</f>
        <v>0.30333067499991445</v>
      </c>
      <c r="J136" s="103">
        <v>27.15</v>
      </c>
      <c r="K136" s="101">
        <f>myParidad('Flujo de Fondos'!$B$34,$A136,J136,'Flujo de Fondos'!$B$36,'Flujo de Fondos'!$B$35)</f>
        <v>0.2701428099241141</v>
      </c>
      <c r="L136" s="100">
        <v>33.299999999999997</v>
      </c>
      <c r="M136" s="101">
        <f>myParidad('Flujo de Fondos'!$H$34,'Paridad usd'!$A136,'Paridad usd'!L136,'Flujo de Fondos'!$H$36,'Flujo de Fondos'!$H$35)</f>
        <v>0.33281421672148764</v>
      </c>
      <c r="N136" s="103">
        <v>30</v>
      </c>
      <c r="O136" s="101">
        <f>myParidad('Flujo de Fondos'!$N$34,$A136,N136,'Flujo de Fondos'!$N$36,'Flujo de Fondos'!$N$35)</f>
        <v>0.29983262767701591</v>
      </c>
      <c r="P136" s="104">
        <f t="shared" si="20"/>
        <v>2.5721647631994332E-2</v>
      </c>
      <c r="Q136" s="104">
        <f t="shared" si="21"/>
        <v>2.2399967269454202E-2</v>
      </c>
      <c r="R136" s="104">
        <f t="shared" si="22"/>
        <v>-6.4014609488037E-2</v>
      </c>
      <c r="S136" s="104">
        <f t="shared" si="23"/>
        <v>-3.1033020443565262E-2</v>
      </c>
      <c r="T136" s="104">
        <f t="shared" si="24"/>
        <v>-8.6330531741110605E-3</v>
      </c>
      <c r="U136" s="104">
        <f t="shared" si="25"/>
        <v>-5.6754668075559594E-2</v>
      </c>
      <c r="V136" s="104">
        <f t="shared" si="26"/>
        <v>-2.7064850322657791E-2</v>
      </c>
      <c r="W136" s="104">
        <f t="shared" si="27"/>
        <v>-1.3432026906634587E-3</v>
      </c>
      <c r="X136" s="104">
        <f t="shared" si="28"/>
        <v>6.025271539845814E-2</v>
      </c>
      <c r="Y136" s="105">
        <f t="shared" si="29"/>
        <v>-8.9736257120031332E-2</v>
      </c>
      <c r="Z136" s="80"/>
    </row>
    <row r="137" spans="1:26" x14ac:dyDescent="0.25">
      <c r="A137" s="99">
        <v>44911</v>
      </c>
      <c r="B137" s="100">
        <v>26</v>
      </c>
      <c r="C137" s="101">
        <f>myParidad('Flujo de Fondos'!$B$5,A137,B137,'Flujo de Fondos'!$B$7,'Flujo de Fondos'!$B$6)</f>
        <v>0.25886524822695034</v>
      </c>
      <c r="D137" s="100">
        <v>28.998999999999999</v>
      </c>
      <c r="E137" s="102">
        <f>myParidad('Flujo de Fondos'!$H$5,$A137,D137,'Flujo de Fondos'!$H$7,'Flujo de Fondos'!$H$6)</f>
        <v>0.28872435897435894</v>
      </c>
      <c r="F137" s="100">
        <v>24.881</v>
      </c>
      <c r="G137" s="101">
        <f>myParidad('Flujo de Fondos'!$N$5,$A137,F137,'Flujo de Fondos'!$N$7,'Flujo de Fondos'!$N$6)</f>
        <v>0.23534077068594678</v>
      </c>
      <c r="H137" s="103">
        <v>29.6</v>
      </c>
      <c r="I137" s="101">
        <f>myParidad('Flujo de Fondos'!$T$5,$A137,H137,'Flujo de Fondos'!$T$7,'Flujo de Fondos'!$T$6)</f>
        <v>0.29583789704271635</v>
      </c>
      <c r="J137" s="103">
        <v>25.75</v>
      </c>
      <c r="K137" s="101">
        <f>myParidad('Flujo de Fondos'!$B$34,$A137,J137,'Flujo de Fondos'!$B$36,'Flujo de Fondos'!$B$35)</f>
        <v>0.25623636859323884</v>
      </c>
      <c r="L137" s="100">
        <v>32.299999999999997</v>
      </c>
      <c r="M137" s="101">
        <f>myParidad('Flujo de Fondos'!$H$34,'Paridad usd'!$A137,'Paridad usd'!L137,'Flujo de Fondos'!$H$36,'Flujo de Fondos'!$H$35)</f>
        <v>0.3228231106243154</v>
      </c>
      <c r="N137" s="103">
        <v>29.45</v>
      </c>
      <c r="O137" s="101">
        <f>myParidad('Flujo de Fondos'!$N$34,$A137,N137,'Flujo de Fondos'!$N$36,'Flujo de Fondos'!$N$35)</f>
        <v>0.29433871851040527</v>
      </c>
      <c r="P137" s="104">
        <f t="shared" si="20"/>
        <v>2.3524477541003563E-2</v>
      </c>
      <c r="Q137" s="104">
        <f t="shared" si="21"/>
        <v>2.9859110747408601E-2</v>
      </c>
      <c r="R137" s="104">
        <f t="shared" si="22"/>
        <v>-6.3957862397365062E-2</v>
      </c>
      <c r="S137" s="104">
        <f t="shared" si="23"/>
        <v>-3.5473470283454933E-2</v>
      </c>
      <c r="T137" s="104">
        <f t="shared" si="24"/>
        <v>-5.6143595360463316E-3</v>
      </c>
      <c r="U137" s="104">
        <f t="shared" si="25"/>
        <v>-5.8997947824458497E-2</v>
      </c>
      <c r="V137" s="104">
        <f t="shared" si="26"/>
        <v>-2.0895597907292063E-2</v>
      </c>
      <c r="W137" s="104">
        <f t="shared" si="27"/>
        <v>2.6288796337115006E-3</v>
      </c>
      <c r="X137" s="104">
        <f t="shared" si="28"/>
        <v>6.0497126356769571E-2</v>
      </c>
      <c r="Y137" s="105">
        <f t="shared" si="29"/>
        <v>-8.7482339938368625E-2</v>
      </c>
      <c r="Z137" s="80"/>
    </row>
    <row r="138" spans="1:26" x14ac:dyDescent="0.25">
      <c r="A138" s="99">
        <v>44910</v>
      </c>
      <c r="B138" s="100">
        <v>25.3</v>
      </c>
      <c r="C138" s="101">
        <f>myParidad('Flujo de Fondos'!$B$5,A138,B138,'Flujo de Fondos'!$B$7,'Flujo de Fondos'!$B$6)</f>
        <v>0.2519026705583895</v>
      </c>
      <c r="D138" s="100">
        <v>29</v>
      </c>
      <c r="E138" s="102">
        <f>myParidad('Flujo de Fondos'!$H$5,$A138,D138,'Flujo de Fondos'!$H$7,'Flujo de Fondos'!$H$6)</f>
        <v>0.2887421915491421</v>
      </c>
      <c r="F138" s="100">
        <v>24.39</v>
      </c>
      <c r="G138" s="101">
        <f>myParidad('Flujo de Fondos'!$N$5,$A138,F138,'Flujo de Fondos'!$N$7,'Flujo de Fondos'!$N$6)</f>
        <v>0.23069956074996437</v>
      </c>
      <c r="H138" s="103">
        <v>29</v>
      </c>
      <c r="I138" s="101">
        <f>myParidad('Flujo de Fondos'!$T$5,$A138,H138,'Flujo de Fondos'!$T$7,'Flujo de Fondos'!$T$6)</f>
        <v>0.28984217498006221</v>
      </c>
      <c r="J138" s="103">
        <v>25.05</v>
      </c>
      <c r="K138" s="101">
        <f>myParidad('Flujo de Fondos'!$B$34,$A138,J138,'Flujo de Fondos'!$B$36,'Flujo de Fondos'!$B$35)</f>
        <v>0.249278365271563</v>
      </c>
      <c r="L138" s="100">
        <v>31.64</v>
      </c>
      <c r="M138" s="101">
        <f>myParidad('Flujo de Fondos'!$H$34,'Paridad usd'!$A138,'Paridad usd'!L138,'Flujo de Fondos'!$H$36,'Flujo de Fondos'!$H$35)</f>
        <v>0.31622780746100582</v>
      </c>
      <c r="N138" s="103">
        <v>28.95</v>
      </c>
      <c r="O138" s="101">
        <f>myParidad('Flujo de Fondos'!$N$34,$A138,N138,'Flujo de Fondos'!$N$36,'Flujo de Fondos'!$N$35)</f>
        <v>0.28934244709216556</v>
      </c>
      <c r="P138" s="104">
        <f t="shared" si="20"/>
        <v>2.120310980842513E-2</v>
      </c>
      <c r="Q138" s="104">
        <f t="shared" si="21"/>
        <v>3.6839520990752606E-2</v>
      </c>
      <c r="R138" s="104">
        <f t="shared" si="22"/>
        <v>-6.432513690261632E-2</v>
      </c>
      <c r="S138" s="104">
        <f t="shared" si="23"/>
        <v>-3.7439776533776059E-2</v>
      </c>
      <c r="T138" s="104">
        <f t="shared" si="24"/>
        <v>-6.0025554302345352E-4</v>
      </c>
      <c r="U138" s="104">
        <f t="shared" si="25"/>
        <v>-5.8642886342201189E-2</v>
      </c>
      <c r="V138" s="104">
        <f t="shared" si="26"/>
        <v>-1.857880452159863E-2</v>
      </c>
      <c r="W138" s="104">
        <f t="shared" si="27"/>
        <v>2.6243052868265004E-3</v>
      </c>
      <c r="X138" s="104">
        <f t="shared" si="28"/>
        <v>5.914261423009784E-2</v>
      </c>
      <c r="Y138" s="105">
        <f t="shared" si="29"/>
        <v>-8.552824671104145E-2</v>
      </c>
      <c r="Z138" s="80"/>
    </row>
    <row r="139" spans="1:26" x14ac:dyDescent="0.25">
      <c r="A139" s="99">
        <v>44909</v>
      </c>
      <c r="B139" s="100">
        <v>24.81</v>
      </c>
      <c r="C139" s="101">
        <f>myParidad('Flujo de Fondos'!$B$5,A139,B139,'Flujo de Fondos'!$B$7,'Flujo de Fondos'!$B$6)</f>
        <v>0.24703066179278738</v>
      </c>
      <c r="D139" s="100">
        <v>29</v>
      </c>
      <c r="E139" s="102">
        <f>myParidad('Flujo de Fondos'!$H$5,$A139,D139,'Flujo de Fondos'!$H$7,'Flujo de Fondos'!$H$6)</f>
        <v>0.28875006819793769</v>
      </c>
      <c r="F139" s="100">
        <v>23.86</v>
      </c>
      <c r="G139" s="101">
        <f>myParidad('Flujo de Fondos'!$N$5,$A139,F139,'Flujo de Fondos'!$N$7,'Flujo de Fondos'!$N$6)</f>
        <v>0.22568933347154554</v>
      </c>
      <c r="H139" s="103">
        <v>28.2</v>
      </c>
      <c r="I139" s="101">
        <f>myParidad('Flujo de Fondos'!$T$5,$A139,H139,'Flujo de Fondos'!$T$7,'Flujo de Fondos'!$T$6)</f>
        <v>0.28184749347955557</v>
      </c>
      <c r="J139" s="103">
        <v>24.51</v>
      </c>
      <c r="K139" s="101">
        <f>myParidad('Flujo de Fondos'!$B$34,$A139,J139,'Flujo de Fondos'!$B$36,'Flujo de Fondos'!$B$35)</f>
        <v>0.24391218109071577</v>
      </c>
      <c r="L139" s="100">
        <v>31.5</v>
      </c>
      <c r="M139" s="101">
        <f>myParidad('Flujo de Fondos'!$H$34,'Paridad usd'!$A139,'Paridad usd'!L139,'Flujo de Fondos'!$H$36,'Flujo de Fondos'!$H$35)</f>
        <v>0.31482964697184401</v>
      </c>
      <c r="N139" s="103">
        <v>28.649000000000001</v>
      </c>
      <c r="O139" s="101">
        <f>myParidad('Flujo de Fondos'!$N$34,$A139,N139,'Flujo de Fondos'!$N$36,'Flujo de Fondos'!$N$35)</f>
        <v>0.28633506527290031</v>
      </c>
      <c r="P139" s="104">
        <f t="shared" si="20"/>
        <v>2.1341328321241831E-2</v>
      </c>
      <c r="Q139" s="104">
        <f t="shared" si="21"/>
        <v>4.1719406405150317E-2</v>
      </c>
      <c r="R139" s="104">
        <f t="shared" si="22"/>
        <v>-6.7798985179056637E-2</v>
      </c>
      <c r="S139" s="104">
        <f t="shared" si="23"/>
        <v>-3.9304403480112937E-2</v>
      </c>
      <c r="T139" s="104">
        <f t="shared" si="24"/>
        <v>2.4150029250373795E-3</v>
      </c>
      <c r="U139" s="104">
        <f t="shared" si="25"/>
        <v>-6.0645731801354769E-2</v>
      </c>
      <c r="V139" s="104">
        <f t="shared" si="26"/>
        <v>-1.8222847619170229E-2</v>
      </c>
      <c r="W139" s="104">
        <f t="shared" si="27"/>
        <v>3.1184807020716021E-3</v>
      </c>
      <c r="X139" s="104">
        <f t="shared" si="28"/>
        <v>5.6158160008010022E-2</v>
      </c>
      <c r="Y139" s="105">
        <f t="shared" si="29"/>
        <v>-8.9140313500298468E-2</v>
      </c>
      <c r="Z139" s="80"/>
    </row>
    <row r="140" spans="1:26" x14ac:dyDescent="0.25">
      <c r="A140" s="99">
        <v>44908</v>
      </c>
      <c r="B140" s="100">
        <v>25.099</v>
      </c>
      <c r="C140" s="101">
        <f>myParidad('Flujo de Fondos'!$B$5,A140,B140,'Flujo de Fondos'!$B$7,'Flujo de Fondos'!$B$6)</f>
        <v>0.24991502305153176</v>
      </c>
      <c r="D140" s="100">
        <v>27</v>
      </c>
      <c r="E140" s="102">
        <f>myParidad('Flujo de Fondos'!$H$5,$A140,D140,'Flujo de Fondos'!$H$7,'Flujo de Fondos'!$H$6)</f>
        <v>0.26884360422293152</v>
      </c>
      <c r="F140" s="100">
        <v>24.035</v>
      </c>
      <c r="G140" s="101">
        <f>myParidad('Flujo de Fondos'!$N$5,$A140,F140,'Flujo de Fondos'!$N$7,'Flujo de Fondos'!$N$6)</f>
        <v>0.22734758665370911</v>
      </c>
      <c r="H140" s="103">
        <v>28.08</v>
      </c>
      <c r="I140" s="101">
        <f>myParidad('Flujo de Fondos'!$T$5,$A140,H140,'Flujo de Fondos'!$T$7,'Flujo de Fondos'!$T$6)</f>
        <v>0.28064910305075697</v>
      </c>
      <c r="J140" s="103">
        <v>25.199000000000002</v>
      </c>
      <c r="K140" s="101">
        <f>myParidad('Flujo de Fondos'!$B$34,$A140,J140,'Flujo de Fondos'!$B$36,'Flujo de Fondos'!$B$35)</f>
        <v>0.25077648229628546</v>
      </c>
      <c r="L140" s="100">
        <v>31.5</v>
      </c>
      <c r="M140" s="101">
        <f>myParidad('Flujo de Fondos'!$H$34,'Paridad usd'!$A140,'Paridad usd'!L140,'Flujo de Fondos'!$H$36,'Flujo de Fondos'!$H$35)</f>
        <v>0.31483072457616967</v>
      </c>
      <c r="N140" s="103">
        <v>28.201000000000001</v>
      </c>
      <c r="O140" s="101">
        <f>myParidad('Flujo de Fondos'!$N$34,$A140,N140,'Flujo de Fondos'!$N$36,'Flujo de Fondos'!$N$35)</f>
        <v>0.28185845281817651</v>
      </c>
      <c r="P140" s="104">
        <f t="shared" si="20"/>
        <v>2.256743639782266E-2</v>
      </c>
      <c r="Q140" s="104">
        <f t="shared" si="21"/>
        <v>1.8928581171399755E-2</v>
      </c>
      <c r="R140" s="104">
        <f t="shared" si="22"/>
        <v>-6.4915701524637909E-2</v>
      </c>
      <c r="S140" s="104">
        <f t="shared" si="23"/>
        <v>-3.1943429766644743E-2</v>
      </c>
      <c r="T140" s="104">
        <f t="shared" si="24"/>
        <v>-1.3014848595244988E-2</v>
      </c>
      <c r="U140" s="104">
        <f t="shared" si="25"/>
        <v>-5.4510866164467403E-2</v>
      </c>
      <c r="V140" s="104">
        <f t="shared" si="26"/>
        <v>-2.3428895642576358E-2</v>
      </c>
      <c r="W140" s="104">
        <f t="shared" si="27"/>
        <v>-8.6145924475369839E-4</v>
      </c>
      <c r="X140" s="104">
        <f t="shared" si="28"/>
        <v>5.330151639704786E-2</v>
      </c>
      <c r="Y140" s="105">
        <f t="shared" si="29"/>
        <v>-8.7483137922460569E-2</v>
      </c>
      <c r="Z140" s="80"/>
    </row>
    <row r="141" spans="1:26" x14ac:dyDescent="0.25">
      <c r="A141" s="99">
        <v>44907</v>
      </c>
      <c r="B141" s="100">
        <v>24.89</v>
      </c>
      <c r="C141" s="101">
        <f>myParidad('Flujo de Fondos'!$B$5,A141,B141,'Flujo de Fondos'!$B$7,'Flujo de Fondos'!$B$6)</f>
        <v>0.24784073548668703</v>
      </c>
      <c r="D141" s="100">
        <v>28.5</v>
      </c>
      <c r="E141" s="102">
        <f>myParidad('Flujo de Fondos'!$H$5,$A141,D141,'Flujo de Fondos'!$H$7,'Flujo de Fondos'!$H$6)</f>
        <v>0.28378710170231342</v>
      </c>
      <c r="F141" s="100">
        <v>23.76</v>
      </c>
      <c r="G141" s="101">
        <f>myParidad('Flujo de Fondos'!$N$5,$A141,F141,'Flujo de Fondos'!$N$7,'Flujo de Fondos'!$N$6)</f>
        <v>0.22474926788814886</v>
      </c>
      <c r="H141" s="103">
        <v>27.798999999999999</v>
      </c>
      <c r="I141" s="101">
        <f>myParidad('Flujo de Fondos'!$T$5,$A141,H141,'Flujo de Fondos'!$T$7,'Flujo de Fondos'!$T$6)</f>
        <v>0.27784156409589394</v>
      </c>
      <c r="J141" s="103">
        <v>24.5</v>
      </c>
      <c r="K141" s="101">
        <f>myParidad('Flujo de Fondos'!$B$34,$A141,J141,'Flujo de Fondos'!$B$36,'Flujo de Fondos'!$B$35)</f>
        <v>0.24382762334528499</v>
      </c>
      <c r="L141" s="100">
        <v>31</v>
      </c>
      <c r="M141" s="101">
        <f>myParidad('Flujo de Fondos'!$H$34,'Paridad usd'!$A141,'Paridad usd'!L141,'Flujo de Fondos'!$H$36,'Flujo de Fondos'!$H$35)</f>
        <v>0.30983447199441394</v>
      </c>
      <c r="N141" s="103">
        <v>27.99</v>
      </c>
      <c r="O141" s="101">
        <f>myParidad('Flujo de Fondos'!$N$34,$A141,N141,'Flujo de Fondos'!$N$36,'Flujo de Fondos'!$N$35)</f>
        <v>0.27975054422979501</v>
      </c>
      <c r="P141" s="104">
        <f t="shared" si="20"/>
        <v>2.3091467598538168E-2</v>
      </c>
      <c r="Q141" s="104">
        <f t="shared" si="21"/>
        <v>3.5946366215626385E-2</v>
      </c>
      <c r="R141" s="104">
        <f t="shared" si="22"/>
        <v>-6.199373650772691E-2</v>
      </c>
      <c r="S141" s="104">
        <f t="shared" si="23"/>
        <v>-3.1909808743107976E-2</v>
      </c>
      <c r="T141" s="104">
        <f t="shared" si="24"/>
        <v>4.0365574725184095E-3</v>
      </c>
      <c r="U141" s="104">
        <f t="shared" si="25"/>
        <v>-5.5001276341646144E-2</v>
      </c>
      <c r="V141" s="104">
        <f t="shared" si="26"/>
        <v>-1.9078355457136126E-2</v>
      </c>
      <c r="W141" s="104">
        <f t="shared" si="27"/>
        <v>4.0131121414020421E-3</v>
      </c>
      <c r="X141" s="104">
        <f t="shared" si="28"/>
        <v>5.3092296207745082E-2</v>
      </c>
      <c r="Y141" s="105">
        <f t="shared" si="29"/>
        <v>-8.5085204106265078E-2</v>
      </c>
      <c r="Z141" s="80"/>
    </row>
    <row r="142" spans="1:26" x14ac:dyDescent="0.25">
      <c r="A142" s="99">
        <v>44902</v>
      </c>
      <c r="B142" s="100">
        <v>23.95</v>
      </c>
      <c r="C142" s="101">
        <f>myParidad('Flujo de Fondos'!$B$5,A142,B142,'Flujo de Fondos'!$B$7,'Flujo de Fondos'!$B$6)</f>
        <v>0.2385132738533737</v>
      </c>
      <c r="D142" s="100">
        <v>27.978999999999999</v>
      </c>
      <c r="E142" s="102">
        <f>myParidad('Flujo de Fondos'!$H$5,$A142,D142,'Flujo de Fondos'!$H$7,'Flujo de Fondos'!$H$6)</f>
        <v>0.27863728138386401</v>
      </c>
      <c r="F142" s="100">
        <v>23.178000000000001</v>
      </c>
      <c r="G142" s="101">
        <f>myParidad('Flujo de Fondos'!$N$5,$A142,F142,'Flujo de Fondos'!$N$7,'Flujo de Fondos'!$N$6)</f>
        <v>0.21925825137036895</v>
      </c>
      <c r="H142" s="103">
        <v>27.05</v>
      </c>
      <c r="I142" s="101">
        <f>myParidad('Flujo de Fondos'!$T$5,$A142,H142,'Flujo de Fondos'!$T$7,'Flujo de Fondos'!$T$6)</f>
        <v>0.27036019044945936</v>
      </c>
      <c r="J142" s="103">
        <v>24.16</v>
      </c>
      <c r="K142" s="101">
        <f>myParidad('Flujo de Fondos'!$B$34,$A142,J142,'Flujo de Fondos'!$B$36,'Flujo de Fondos'!$B$35)</f>
        <v>0.24048077611390822</v>
      </c>
      <c r="L142" s="100">
        <v>30.349</v>
      </c>
      <c r="M142" s="101">
        <f>myParidad('Flujo de Fondos'!$H$34,'Paridad usd'!$A142,'Paridad usd'!L142,'Flujo de Fondos'!$H$36,'Flujo de Fondos'!$H$35)</f>
        <v>0.30333313936970951</v>
      </c>
      <c r="N142" s="103">
        <v>27.5</v>
      </c>
      <c r="O142" s="101">
        <f>myParidad('Flujo de Fondos'!$N$34,$A142,N142,'Flujo de Fondos'!$N$36,'Flujo de Fondos'!$N$35)</f>
        <v>0.27485786459741707</v>
      </c>
      <c r="P142" s="104">
        <f t="shared" si="20"/>
        <v>1.9255022483004758E-2</v>
      </c>
      <c r="Q142" s="104">
        <f t="shared" si="21"/>
        <v>4.0124007530490308E-2</v>
      </c>
      <c r="R142" s="104">
        <f t="shared" si="22"/>
        <v>-6.4819865516335812E-2</v>
      </c>
      <c r="S142" s="104">
        <f t="shared" si="23"/>
        <v>-3.6344590744043365E-2</v>
      </c>
      <c r="T142" s="104">
        <f t="shared" si="24"/>
        <v>3.779416786446943E-3</v>
      </c>
      <c r="U142" s="104">
        <f t="shared" si="25"/>
        <v>-5.5599613227048122E-2</v>
      </c>
      <c r="V142" s="104">
        <f t="shared" si="26"/>
        <v>-2.1222524743539278E-2</v>
      </c>
      <c r="W142" s="104">
        <f t="shared" si="27"/>
        <v>-1.9675022605345205E-3</v>
      </c>
      <c r="X142" s="104">
        <f t="shared" si="28"/>
        <v>5.1101939079090414E-2</v>
      </c>
      <c r="Y142" s="105">
        <f t="shared" si="29"/>
        <v>-8.407488799934057E-2</v>
      </c>
      <c r="Z142" s="80"/>
    </row>
    <row r="143" spans="1:26" x14ac:dyDescent="0.25">
      <c r="A143" s="99">
        <v>44901</v>
      </c>
      <c r="B143" s="100">
        <v>23.4</v>
      </c>
      <c r="C143" s="101">
        <f>myParidad('Flujo de Fondos'!$B$5,A143,B143,'Flujo de Fondos'!$B$7,'Flujo de Fondos'!$B$6)</f>
        <v>0.23304229195088674</v>
      </c>
      <c r="D143" s="100">
        <v>27.6</v>
      </c>
      <c r="E143" s="102">
        <f>myParidad('Flujo de Fondos'!$H$5,$A143,D143,'Flujo de Fondos'!$H$7,'Flujo de Fondos'!$H$6)</f>
        <v>0.27487039563437926</v>
      </c>
      <c r="F143" s="100">
        <v>22.83</v>
      </c>
      <c r="G143" s="101">
        <f>myParidad('Flujo de Fondos'!$N$5,$A143,F143,'Flujo de Fondos'!$N$7,'Flujo de Fondos'!$N$6)</f>
        <v>0.21596905453037527</v>
      </c>
      <c r="H143" s="103">
        <v>26.47</v>
      </c>
      <c r="I143" s="101">
        <f>myParidad('Flujo de Fondos'!$T$5,$A143,H143,'Flujo de Fondos'!$T$7,'Flujo de Fondos'!$T$6)</f>
        <v>0.26456409378743795</v>
      </c>
      <c r="J143" s="103">
        <v>23.76</v>
      </c>
      <c r="K143" s="101">
        <f>myParidad('Flujo de Fondos'!$B$34,$A143,J143,'Flujo de Fondos'!$B$36,'Flujo de Fondos'!$B$35)</f>
        <v>0.23650656212715188</v>
      </c>
      <c r="L143" s="100">
        <v>29.35</v>
      </c>
      <c r="M143" s="101">
        <f>myParidad('Flujo de Fondos'!$H$34,'Paridad usd'!$A143,'Paridad usd'!L143,'Flujo de Fondos'!$H$36,'Flujo de Fondos'!$H$35)</f>
        <v>0.29334930686291288</v>
      </c>
      <c r="N143" s="103">
        <v>27.2</v>
      </c>
      <c r="O143" s="101">
        <f>myParidad('Flujo de Fondos'!$N$34,$A143,N143,'Flujo de Fondos'!$N$36,'Flujo de Fondos'!$N$35)</f>
        <v>0.27186034571281875</v>
      </c>
      <c r="P143" s="104">
        <f t="shared" si="20"/>
        <v>1.7073237420511478E-2</v>
      </c>
      <c r="Q143" s="104">
        <f t="shared" si="21"/>
        <v>4.1828103683492518E-2</v>
      </c>
      <c r="R143" s="104">
        <f t="shared" si="22"/>
        <v>-6.0307014912026141E-2</v>
      </c>
      <c r="S143" s="104">
        <f t="shared" si="23"/>
        <v>-3.8818053761932009E-2</v>
      </c>
      <c r="T143" s="104">
        <f t="shared" si="24"/>
        <v>3.0100499215605092E-3</v>
      </c>
      <c r="U143" s="104">
        <f t="shared" si="25"/>
        <v>-5.5891291182443487E-2</v>
      </c>
      <c r="V143" s="104">
        <f t="shared" si="26"/>
        <v>-2.0537507596776611E-2</v>
      </c>
      <c r="W143" s="104">
        <f t="shared" si="27"/>
        <v>-3.4642701762651329E-3</v>
      </c>
      <c r="X143" s="104">
        <f t="shared" si="28"/>
        <v>4.8595039257062683E-2</v>
      </c>
      <c r="Y143" s="105">
        <f t="shared" si="29"/>
        <v>-7.7380252332537619E-2</v>
      </c>
      <c r="Z143" s="80"/>
    </row>
    <row r="144" spans="1:26" x14ac:dyDescent="0.25">
      <c r="A144" s="99">
        <v>44900</v>
      </c>
      <c r="B144" s="100">
        <v>24.23</v>
      </c>
      <c r="C144" s="101">
        <f>myParidad('Flujo de Fondos'!$B$5,A144,B144,'Flujo de Fondos'!$B$7,'Flujo de Fondos'!$B$6)</f>
        <v>0.24131490627302246</v>
      </c>
      <c r="D144" s="100">
        <v>27.15</v>
      </c>
      <c r="E144" s="102">
        <f>myParidad('Flujo de Fondos'!$H$5,$A144,D144,'Flujo de Fondos'!$H$7,'Flujo de Fondos'!$H$6)</f>
        <v>0.2703961908919752</v>
      </c>
      <c r="F144" s="100">
        <v>23.33</v>
      </c>
      <c r="G144" s="101">
        <f>myParidad('Flujo de Fondos'!$N$5,$A144,F144,'Flujo de Fondos'!$N$7,'Flujo de Fondos'!$N$6)</f>
        <v>0.22070185441963533</v>
      </c>
      <c r="H144" s="103">
        <v>27.42</v>
      </c>
      <c r="I144" s="101">
        <f>myParidad('Flujo de Fondos'!$T$5,$A144,H144,'Flujo de Fondos'!$T$7,'Flujo de Fondos'!$T$6)</f>
        <v>0.27406015423636571</v>
      </c>
      <c r="J144" s="103">
        <v>24.995000000000001</v>
      </c>
      <c r="K144" s="101">
        <f>myParidad('Flujo de Fondos'!$B$34,$A144,J144,'Flujo de Fondos'!$B$36,'Flujo de Fondos'!$B$35)</f>
        <v>0.24880736071670856</v>
      </c>
      <c r="L144" s="100">
        <v>30</v>
      </c>
      <c r="M144" s="101">
        <f>myParidad('Flujo de Fondos'!$H$34,'Paridad usd'!$A144,'Paridad usd'!L144,'Flujo de Fondos'!$H$36,'Flujo de Fondos'!$H$35)</f>
        <v>0.29984699588223818</v>
      </c>
      <c r="N144" s="103">
        <v>27.51</v>
      </c>
      <c r="O144" s="101">
        <f>myParidad('Flujo de Fondos'!$N$34,$A144,N144,'Flujo de Fondos'!$N$36,'Flujo de Fondos'!$N$35)</f>
        <v>0.27495969522401242</v>
      </c>
      <c r="P144" s="104">
        <f t="shared" si="20"/>
        <v>2.0613051853387132E-2</v>
      </c>
      <c r="Q144" s="104">
        <f t="shared" si="21"/>
        <v>2.9081284618952735E-2</v>
      </c>
      <c r="R144" s="104">
        <f t="shared" si="22"/>
        <v>-5.8532089609215715E-2</v>
      </c>
      <c r="S144" s="104">
        <f t="shared" si="23"/>
        <v>-3.3644788950989962E-2</v>
      </c>
      <c r="T144" s="104">
        <f t="shared" si="24"/>
        <v>-4.5635043320372271E-3</v>
      </c>
      <c r="U144" s="104">
        <f t="shared" si="25"/>
        <v>-5.4257840804377094E-2</v>
      </c>
      <c r="V144" s="104">
        <f t="shared" si="26"/>
        <v>-2.8105506297073229E-2</v>
      </c>
      <c r="W144" s="104">
        <f t="shared" si="27"/>
        <v>-7.4924544436860974E-3</v>
      </c>
      <c r="X144" s="104">
        <f t="shared" si="28"/>
        <v>5.3358299816730376E-2</v>
      </c>
      <c r="Y144" s="105">
        <f t="shared" si="29"/>
        <v>-7.9145141462602847E-2</v>
      </c>
      <c r="Z144" s="80"/>
    </row>
    <row r="145" spans="1:26" x14ac:dyDescent="0.25">
      <c r="A145" s="99">
        <v>44897</v>
      </c>
      <c r="B145" s="100">
        <v>24.728999999999999</v>
      </c>
      <c r="C145" s="101">
        <f>myParidad('Flujo de Fondos'!$B$5,A145,B145,'Flujo de Fondos'!$B$7,'Flujo de Fondos'!$B$6)</f>
        <v>0.24630478087649402</v>
      </c>
      <c r="D145" s="100">
        <v>27.58</v>
      </c>
      <c r="E145" s="102">
        <f>myParidad('Flujo de Fondos'!$H$5,$A145,D145,'Flujo de Fondos'!$H$7,'Flujo de Fondos'!$H$6)</f>
        <v>0.27470119521912351</v>
      </c>
      <c r="F145" s="100">
        <v>23.7</v>
      </c>
      <c r="G145" s="101">
        <f>myParidad('Flujo de Fondos'!$N$5,$A145,F145,'Flujo de Fondos'!$N$7,'Flujo de Fondos'!$N$6)</f>
        <v>0.22421077186252655</v>
      </c>
      <c r="H145" s="103">
        <v>27.75</v>
      </c>
      <c r="I145" s="101">
        <f>myParidad('Flujo de Fondos'!$T$5,$A145,H145,'Flujo de Fondos'!$T$7,'Flujo de Fondos'!$T$6)</f>
        <v>0.27736131934032981</v>
      </c>
      <c r="J145" s="103">
        <v>25.1</v>
      </c>
      <c r="K145" s="101">
        <f>myParidad('Flujo de Fondos'!$B$34,$A145,J145,'Flujo de Fondos'!$B$36,'Flujo de Fondos'!$B$35)</f>
        <v>0.24987555998008962</v>
      </c>
      <c r="L145" s="100">
        <v>30.6</v>
      </c>
      <c r="M145" s="101">
        <f>myParidad('Flujo de Fondos'!$H$34,'Paridad usd'!$A145,'Paridad usd'!L145,'Flujo de Fondos'!$H$36,'Flujo de Fondos'!$H$35)</f>
        <v>0.30584707646176912</v>
      </c>
      <c r="N145" s="103">
        <v>28.01</v>
      </c>
      <c r="O145" s="101">
        <f>myParidad('Flujo de Fondos'!$N$34,$A145,N145,'Flujo de Fondos'!$N$36,'Flujo de Fondos'!$N$35)</f>
        <v>0.27996001999000503</v>
      </c>
      <c r="P145" s="104">
        <f t="shared" si="20"/>
        <v>2.2094009013967464E-2</v>
      </c>
      <c r="Q145" s="104">
        <f t="shared" si="21"/>
        <v>2.8396414342629489E-2</v>
      </c>
      <c r="R145" s="104">
        <f t="shared" si="22"/>
        <v>-5.9542295585275101E-2</v>
      </c>
      <c r="S145" s="104">
        <f t="shared" si="23"/>
        <v>-3.365523911351101E-2</v>
      </c>
      <c r="T145" s="104">
        <f t="shared" si="24"/>
        <v>-5.2588247708815206E-3</v>
      </c>
      <c r="U145" s="104">
        <f t="shared" si="25"/>
        <v>-5.5749248127478473E-2</v>
      </c>
      <c r="V145" s="104">
        <f t="shared" si="26"/>
        <v>-2.5664788117563064E-2</v>
      </c>
      <c r="W145" s="104">
        <f t="shared" si="27"/>
        <v>-3.5707791035956005E-3</v>
      </c>
      <c r="X145" s="104">
        <f t="shared" si="28"/>
        <v>5.3150547477803262E-2</v>
      </c>
      <c r="Y145" s="105">
        <f t="shared" si="29"/>
        <v>-8.1636304599242565E-2</v>
      </c>
      <c r="Z145" s="80"/>
    </row>
    <row r="146" spans="1:26" x14ac:dyDescent="0.25">
      <c r="A146" s="99">
        <v>44896</v>
      </c>
      <c r="B146" s="100">
        <v>25</v>
      </c>
      <c r="C146" s="101">
        <f>myParidad('Flujo de Fondos'!$B$5,A146,B146,'Flujo de Fondos'!$B$7,'Flujo de Fondos'!$B$6)</f>
        <v>0.24901077909673899</v>
      </c>
      <c r="D146" s="100">
        <v>27.65</v>
      </c>
      <c r="E146" s="102">
        <f>myParidad('Flujo de Fondos'!$H$5,$A146,D146,'Flujo de Fondos'!$H$7,'Flujo de Fondos'!$H$6)</f>
        <v>0.27540592168099332</v>
      </c>
      <c r="F146" s="100">
        <v>24.120999999999999</v>
      </c>
      <c r="G146" s="101">
        <f>myParidad('Flujo de Fondos'!$N$5,$A146,F146,'Flujo de Fondos'!$N$7,'Flujo de Fondos'!$N$6)</f>
        <v>0.22819654497621916</v>
      </c>
      <c r="H146" s="103">
        <v>28.151</v>
      </c>
      <c r="I146" s="101">
        <f>myParidad('Flujo de Fondos'!$T$5,$A146,H146,'Flujo de Fondos'!$T$7,'Flujo de Fondos'!$T$6)</f>
        <v>0.2813702784576152</v>
      </c>
      <c r="J146" s="103">
        <v>25.1</v>
      </c>
      <c r="K146" s="101">
        <f>myParidad('Flujo de Fondos'!$B$34,$A146,J146,'Flujo de Fondos'!$B$36,'Flujo de Fondos'!$B$35)</f>
        <v>0.24988322735718793</v>
      </c>
      <c r="L146" s="100">
        <v>30.6</v>
      </c>
      <c r="M146" s="101">
        <f>myParidad('Flujo de Fondos'!$H$34,'Paridad usd'!$A146,'Paridad usd'!L146,'Flujo de Fondos'!$H$36,'Flujo de Fondos'!$H$35)</f>
        <v>0.30584812336339834</v>
      </c>
      <c r="N146" s="103">
        <v>28.498999999999999</v>
      </c>
      <c r="O146" s="101">
        <f>myParidad('Flujo de Fondos'!$N$34,$A146,N146,'Flujo de Fondos'!$N$36,'Flujo de Fondos'!$N$35)</f>
        <v>0.28484855123312053</v>
      </c>
      <c r="P146" s="104">
        <f t="shared" si="20"/>
        <v>2.0814234120519831E-2</v>
      </c>
      <c r="Q146" s="104">
        <f t="shared" si="21"/>
        <v>2.6395142584254322E-2</v>
      </c>
      <c r="R146" s="104">
        <f t="shared" si="22"/>
        <v>-5.6837344266659345E-2</v>
      </c>
      <c r="S146" s="104">
        <f t="shared" si="23"/>
        <v>-3.5837772136381535E-2</v>
      </c>
      <c r="T146" s="104">
        <f t="shared" si="24"/>
        <v>-9.442629552127213E-3</v>
      </c>
      <c r="U146" s="104">
        <f t="shared" si="25"/>
        <v>-5.6652006256901366E-2</v>
      </c>
      <c r="V146" s="104">
        <f t="shared" si="26"/>
        <v>-2.1686682380968769E-2</v>
      </c>
      <c r="W146" s="104">
        <f t="shared" si="27"/>
        <v>-8.7244826044893808E-4</v>
      </c>
      <c r="X146" s="104">
        <f t="shared" si="28"/>
        <v>5.3173733481396035E-2</v>
      </c>
      <c r="Y146" s="105">
        <f t="shared" si="29"/>
        <v>-7.7651578387179176E-2</v>
      </c>
      <c r="Z146" s="80"/>
    </row>
    <row r="147" spans="1:26" x14ac:dyDescent="0.25">
      <c r="A147" s="99">
        <v>44895</v>
      </c>
      <c r="B147" s="100">
        <v>24.3</v>
      </c>
      <c r="C147" s="101">
        <f>myParidad('Flujo de Fondos'!$B$5,A147,B147,'Flujo de Fondos'!$B$7,'Flujo de Fondos'!$B$6)</f>
        <v>0.24204508241458356</v>
      </c>
      <c r="D147" s="100">
        <v>27</v>
      </c>
      <c r="E147" s="102">
        <f>myParidad('Flujo de Fondos'!$H$5,$A147,D147,'Flujo de Fondos'!$H$7,'Flujo de Fondos'!$H$6)</f>
        <v>0.2689389804606484</v>
      </c>
      <c r="F147" s="100">
        <v>23.8</v>
      </c>
      <c r="G147" s="101">
        <f>myParidad('Flujo de Fondos'!$N$5,$A147,F147,'Flujo de Fondos'!$N$7,'Flujo de Fondos'!$N$6)</f>
        <v>0.22516264482517301</v>
      </c>
      <c r="H147" s="103">
        <v>28.079000000000001</v>
      </c>
      <c r="I147" s="101">
        <f>myParidad('Flujo de Fondos'!$T$5,$A147,H147,'Flujo de Fondos'!$T$7,'Flujo de Fondos'!$T$6)</f>
        <v>0.28065159647297222</v>
      </c>
      <c r="J147" s="103">
        <v>24.6</v>
      </c>
      <c r="K147" s="101">
        <f>myParidad('Flujo de Fondos'!$B$34,$A147,J147,'Flujo de Fondos'!$B$36,'Flujo de Fondos'!$B$35)</f>
        <v>0.2449129889258633</v>
      </c>
      <c r="L147" s="100">
        <v>30.2</v>
      </c>
      <c r="M147" s="101">
        <f>myParidad('Flujo de Fondos'!$H$34,'Paridad usd'!$A147,'Paridad usd'!L147,'Flujo de Fondos'!$H$36,'Flujo de Fondos'!$H$35)</f>
        <v>0.30185114190262335</v>
      </c>
      <c r="N147" s="103">
        <v>27.85</v>
      </c>
      <c r="O147" s="101">
        <f>myParidad('Flujo de Fondos'!$N$34,$A147,N147,'Flujo de Fondos'!$N$36,'Flujo de Fondos'!$N$35)</f>
        <v>0.27836272523139277</v>
      </c>
      <c r="P147" s="104">
        <f t="shared" si="20"/>
        <v>1.6882437589410548E-2</v>
      </c>
      <c r="Q147" s="104">
        <f t="shared" si="21"/>
        <v>2.6893898046064846E-2</v>
      </c>
      <c r="R147" s="104">
        <f t="shared" si="22"/>
        <v>-5.9806059488039798E-2</v>
      </c>
      <c r="S147" s="104">
        <f t="shared" si="23"/>
        <v>-3.6317642816809215E-2</v>
      </c>
      <c r="T147" s="104">
        <f t="shared" si="24"/>
        <v>-9.4237447707443689E-3</v>
      </c>
      <c r="U147" s="104">
        <f t="shared" si="25"/>
        <v>-5.3200080406219763E-2</v>
      </c>
      <c r="V147" s="104">
        <f t="shared" si="26"/>
        <v>-1.9750344100690292E-2</v>
      </c>
      <c r="W147" s="104">
        <f t="shared" si="27"/>
        <v>-2.8679065112797442E-3</v>
      </c>
      <c r="X147" s="104">
        <f t="shared" si="28"/>
        <v>5.5488951647799212E-2</v>
      </c>
      <c r="Y147" s="105">
        <f t="shared" si="29"/>
        <v>-7.6688497077450346E-2</v>
      </c>
      <c r="Z147" s="80"/>
    </row>
    <row r="148" spans="1:26" x14ac:dyDescent="0.25">
      <c r="A148" s="99">
        <v>44894</v>
      </c>
      <c r="B148" s="100">
        <v>24</v>
      </c>
      <c r="C148" s="101">
        <f>myParidad('Flujo de Fondos'!$B$5,A148,B148,'Flujo de Fondos'!$B$7,'Flujo de Fondos'!$B$6)</f>
        <v>0.23906339546434516</v>
      </c>
      <c r="D148" s="100">
        <v>27</v>
      </c>
      <c r="E148" s="102">
        <f>myParidad('Flujo de Fondos'!$H$5,$A148,D148,'Flujo de Fondos'!$H$7,'Flujo de Fondos'!$H$6)</f>
        <v>0.26894631989738832</v>
      </c>
      <c r="F148" s="100">
        <v>23.16</v>
      </c>
      <c r="G148" s="101">
        <f>myParidad('Flujo de Fondos'!$N$5,$A148,F148,'Flujo de Fondos'!$N$7,'Flujo de Fondos'!$N$6)</f>
        <v>0.21911069063386945</v>
      </c>
      <c r="H148" s="103">
        <v>26.861999999999998</v>
      </c>
      <c r="I148" s="101">
        <f>myParidad('Flujo de Fondos'!$T$5,$A148,H148,'Flujo de Fondos'!$T$7,'Flujo de Fondos'!$T$6)</f>
        <v>0.26848851418654562</v>
      </c>
      <c r="J148" s="103">
        <v>23.66</v>
      </c>
      <c r="K148" s="101">
        <f>myParidad('Flujo de Fondos'!$B$34,$A148,J148,'Flujo de Fondos'!$B$36,'Flujo de Fondos'!$B$35)</f>
        <v>0.23556175350424668</v>
      </c>
      <c r="L148" s="100">
        <v>29.69</v>
      </c>
      <c r="M148" s="101">
        <f>myParidad('Flujo de Fondos'!$H$34,'Paridad usd'!$A148,'Paridad usd'!L148,'Flujo de Fondos'!$H$36,'Flujo de Fondos'!$H$35)</f>
        <v>0.29675467151360807</v>
      </c>
      <c r="N148" s="103">
        <v>27</v>
      </c>
      <c r="O148" s="101">
        <f>myParidad('Flujo de Fondos'!$N$34,$A148,N148,'Flujo de Fondos'!$N$36,'Flujo de Fondos'!$N$35)</f>
        <v>0.2698678386954334</v>
      </c>
      <c r="P148" s="104">
        <f t="shared" si="20"/>
        <v>1.9952704830475704E-2</v>
      </c>
      <c r="Q148" s="104">
        <f t="shared" si="21"/>
        <v>2.9882924433043162E-2</v>
      </c>
      <c r="R148" s="104">
        <f t="shared" si="22"/>
        <v>-5.7691276049262913E-2</v>
      </c>
      <c r="S148" s="104">
        <f t="shared" si="23"/>
        <v>-3.0804443231088247E-2</v>
      </c>
      <c r="T148" s="104">
        <f t="shared" si="24"/>
        <v>-9.2151879804508452E-4</v>
      </c>
      <c r="U148" s="104">
        <f t="shared" si="25"/>
        <v>-5.075714806156395E-2</v>
      </c>
      <c r="V148" s="104">
        <f t="shared" si="26"/>
        <v>-1.6451062870377231E-2</v>
      </c>
      <c r="W148" s="104">
        <f t="shared" si="27"/>
        <v>3.5016419600984727E-3</v>
      </c>
      <c r="X148" s="104">
        <f t="shared" si="28"/>
        <v>4.937782355267617E-2</v>
      </c>
      <c r="Y148" s="105">
        <f t="shared" si="29"/>
        <v>-7.7643980879738617E-2</v>
      </c>
      <c r="Z148" s="80"/>
    </row>
    <row r="149" spans="1:26" x14ac:dyDescent="0.25">
      <c r="A149" s="99">
        <v>44893</v>
      </c>
      <c r="B149" s="100">
        <v>23.4</v>
      </c>
      <c r="C149" s="101">
        <f>myParidad('Flujo de Fondos'!$B$5,A149,B149,'Flujo de Fondos'!$B$7,'Flujo de Fondos'!$B$6)</f>
        <v>0.23309317177009986</v>
      </c>
      <c r="D149" s="100">
        <v>26.76</v>
      </c>
      <c r="E149" s="102">
        <f>myParidad('Flujo de Fondos'!$H$5,$A149,D149,'Flujo de Fondos'!$H$7,'Flujo de Fondos'!$H$6)</f>
        <v>0.26656296053708861</v>
      </c>
      <c r="F149" s="100">
        <v>22.5</v>
      </c>
      <c r="G149" s="101">
        <f>myParidad('Flujo de Fondos'!$N$5,$A149,F149,'Flujo de Fondos'!$N$7,'Flujo de Fondos'!$N$6)</f>
        <v>0.21286936236391912</v>
      </c>
      <c r="H149" s="103">
        <v>25.89</v>
      </c>
      <c r="I149" s="101">
        <f>myParidad('Flujo de Fondos'!$T$5,$A149,H149,'Flujo de Fondos'!$T$7,'Flujo de Fondos'!$T$6)</f>
        <v>0.25877415777259005</v>
      </c>
      <c r="J149" s="103">
        <v>23.4</v>
      </c>
      <c r="K149" s="101">
        <f>myParidad('Flujo de Fondos'!$B$34,$A149,J149,'Flujo de Fondos'!$B$36,'Flujo de Fondos'!$B$35)</f>
        <v>0.232980312195255</v>
      </c>
      <c r="L149" s="100">
        <v>28.998000000000001</v>
      </c>
      <c r="M149" s="101">
        <f>myParidad('Flujo de Fondos'!$H$34,'Paridad usd'!$A149,'Paridad usd'!L149,'Flujo de Fondos'!$H$36,'Flujo de Fondos'!$H$35)</f>
        <v>0.28983905087252093</v>
      </c>
      <c r="N149" s="103">
        <v>26.38</v>
      </c>
      <c r="O149" s="101">
        <f>myParidad('Flujo de Fondos'!$N$34,$A149,N149,'Flujo de Fondos'!$N$36,'Flujo de Fondos'!$N$35)</f>
        <v>0.26367177605411068</v>
      </c>
      <c r="P149" s="104">
        <f t="shared" si="20"/>
        <v>2.0223809406180737E-2</v>
      </c>
      <c r="Q149" s="104">
        <f t="shared" si="21"/>
        <v>3.3469788766988751E-2</v>
      </c>
      <c r="R149" s="104">
        <f t="shared" si="22"/>
        <v>-5.6745879102421071E-2</v>
      </c>
      <c r="S149" s="104">
        <f t="shared" si="23"/>
        <v>-3.0578604284010824E-2</v>
      </c>
      <c r="T149" s="104">
        <f t="shared" si="24"/>
        <v>2.8911844829779265E-3</v>
      </c>
      <c r="U149" s="104">
        <f t="shared" si="25"/>
        <v>-5.0802413690191561E-2</v>
      </c>
      <c r="V149" s="104">
        <f t="shared" si="26"/>
        <v>-2.0110949831335878E-2</v>
      </c>
      <c r="W149" s="104">
        <f t="shared" si="27"/>
        <v>1.1285957484485909E-4</v>
      </c>
      <c r="X149" s="104">
        <f t="shared" si="28"/>
        <v>4.5904795408670929E-2</v>
      </c>
      <c r="Y149" s="105">
        <f t="shared" si="29"/>
        <v>-7.6969688508601808E-2</v>
      </c>
      <c r="Z149" s="80"/>
    </row>
    <row r="150" spans="1:26" x14ac:dyDescent="0.25">
      <c r="A150" s="99">
        <v>44890</v>
      </c>
      <c r="B150" s="100">
        <v>23.24</v>
      </c>
      <c r="C150" s="101">
        <f>myParidad('Flujo de Fondos'!$B$5,A150,B150,'Flujo de Fondos'!$B$7,'Flujo de Fondos'!$B$6)</f>
        <v>0.23151832746526924</v>
      </c>
      <c r="D150" s="100">
        <v>26.399000000000001</v>
      </c>
      <c r="E150" s="102">
        <f>myParidad('Flujo de Fondos'!$H$5,$A150,D150,'Flujo de Fondos'!$H$7,'Flujo de Fondos'!$H$6)</f>
        <v>0.26298848221840115</v>
      </c>
      <c r="F150" s="100">
        <v>22.3</v>
      </c>
      <c r="G150" s="101">
        <f>myParidad('Flujo de Fondos'!$N$5,$A150,F150,'Flujo de Fondos'!$N$7,'Flujo de Fondos'!$N$6)</f>
        <v>0.210985393418614</v>
      </c>
      <c r="H150" s="103">
        <v>25.88</v>
      </c>
      <c r="I150" s="101">
        <f>myParidad('Flujo de Fondos'!$T$5,$A150,H150,'Flujo de Fondos'!$T$7,'Flujo de Fondos'!$T$6)</f>
        <v>0.25867686272630491</v>
      </c>
      <c r="J150" s="103">
        <v>23.35</v>
      </c>
      <c r="K150" s="101">
        <f>myParidad('Flujo de Fondos'!$B$34,$A150,J150,'Flujo de Fondos'!$B$36,'Flujo de Fondos'!$B$35)</f>
        <v>0.23250389597989438</v>
      </c>
      <c r="L150" s="100">
        <v>29.6</v>
      </c>
      <c r="M150" s="101">
        <f>myParidad('Flujo de Fondos'!$H$34,'Paridad usd'!$A150,'Paridad usd'!L150,'Flujo de Fondos'!$H$36,'Flujo de Fondos'!$H$35)</f>
        <v>0.29585916293271353</v>
      </c>
      <c r="N150" s="103">
        <v>26.5</v>
      </c>
      <c r="O150" s="101">
        <f>myParidad('Flujo de Fondos'!$N$34,$A150,N150,'Flujo de Fondos'!$N$36,'Flujo de Fondos'!$N$35)</f>
        <v>0.26487391276070638</v>
      </c>
      <c r="P150" s="104">
        <f t="shared" si="20"/>
        <v>2.0532934046655238E-2</v>
      </c>
      <c r="Q150" s="104">
        <f t="shared" si="21"/>
        <v>3.1470154753131918E-2</v>
      </c>
      <c r="R150" s="104">
        <f t="shared" si="22"/>
        <v>-6.4340835467444291E-2</v>
      </c>
      <c r="S150" s="104">
        <f t="shared" si="23"/>
        <v>-3.335558529543714E-2</v>
      </c>
      <c r="T150" s="104">
        <f t="shared" si="24"/>
        <v>-1.885430542305222E-3</v>
      </c>
      <c r="U150" s="104">
        <f t="shared" si="25"/>
        <v>-5.3888519342092378E-2</v>
      </c>
      <c r="V150" s="104">
        <f t="shared" si="26"/>
        <v>-2.1518502561280378E-2</v>
      </c>
      <c r="W150" s="104">
        <f t="shared" si="27"/>
        <v>-9.8556851462514028E-4</v>
      </c>
      <c r="X150" s="104">
        <f t="shared" si="28"/>
        <v>4.7691469307690915E-2</v>
      </c>
      <c r="Y150" s="105">
        <f t="shared" si="29"/>
        <v>-8.4873769514099529E-2</v>
      </c>
      <c r="Z150" s="80"/>
    </row>
    <row r="151" spans="1:26" x14ac:dyDescent="0.25">
      <c r="A151" s="99">
        <v>44889</v>
      </c>
      <c r="B151" s="100">
        <v>23.3</v>
      </c>
      <c r="C151" s="101">
        <f>myParidad('Flujo de Fondos'!$B$5,A151,B151,'Flujo de Fondos'!$B$7,'Flujo de Fondos'!$B$6)</f>
        <v>0.23212238659315465</v>
      </c>
      <c r="D151" s="100">
        <v>26.4</v>
      </c>
      <c r="E151" s="102">
        <f>myParidad('Flujo de Fondos'!$H$5,$A151,D151,'Flujo de Fondos'!$H$7,'Flujo de Fondos'!$H$6)</f>
        <v>0.26300562257765159</v>
      </c>
      <c r="F151" s="100">
        <v>22.4</v>
      </c>
      <c r="G151" s="101">
        <f>myParidad('Flujo de Fondos'!$N$5,$A151,F151,'Flujo de Fondos'!$N$7,'Flujo de Fondos'!$N$6)</f>
        <v>0.21193426305148011</v>
      </c>
      <c r="H151" s="103">
        <v>25.882000000000001</v>
      </c>
      <c r="I151" s="101">
        <f>myParidad('Flujo de Fondos'!$T$5,$A151,H151,'Flujo de Fondos'!$T$7,'Flujo de Fondos'!$T$6)</f>
        <v>0.25869773873991059</v>
      </c>
      <c r="J151" s="103">
        <v>23.45</v>
      </c>
      <c r="K151" s="101">
        <f>myParidad('Flujo de Fondos'!$B$34,$A151,J151,'Flujo de Fondos'!$B$36,'Flujo de Fondos'!$B$35)</f>
        <v>0.23350679643434433</v>
      </c>
      <c r="L151" s="100">
        <v>29.3</v>
      </c>
      <c r="M151" s="101">
        <f>myParidad('Flujo de Fondos'!$H$34,'Paridad usd'!$A151,'Paridad usd'!L151,'Flujo de Fondos'!$H$36,'Flujo de Fondos'!$H$35)</f>
        <v>0.29286159280887802</v>
      </c>
      <c r="N151" s="103">
        <v>26.498999999999999</v>
      </c>
      <c r="O151" s="101">
        <f>myParidad('Flujo de Fondos'!$N$34,$A151,N151,'Flujo de Fondos'!$N$36,'Flujo de Fondos'!$N$35)</f>
        <v>0.26486482415844564</v>
      </c>
      <c r="P151" s="104">
        <f t="shared" si="20"/>
        <v>2.0188123541674541E-2</v>
      </c>
      <c r="Q151" s="104">
        <f t="shared" si="21"/>
        <v>3.0883235984496937E-2</v>
      </c>
      <c r="R151" s="104">
        <f t="shared" si="22"/>
        <v>-6.0739206215723374E-2</v>
      </c>
      <c r="S151" s="104">
        <f t="shared" si="23"/>
        <v>-3.2742437565290994E-2</v>
      </c>
      <c r="T151" s="104">
        <f t="shared" si="24"/>
        <v>-1.8592015807940565E-3</v>
      </c>
      <c r="U151" s="104">
        <f t="shared" si="25"/>
        <v>-5.2930561106965535E-2</v>
      </c>
      <c r="V151" s="104">
        <f t="shared" si="26"/>
        <v>-2.1572533382864217E-2</v>
      </c>
      <c r="W151" s="104">
        <f t="shared" si="27"/>
        <v>-1.3844098411896766E-3</v>
      </c>
      <c r="X151" s="104">
        <f t="shared" si="28"/>
        <v>4.6763475688430478E-2</v>
      </c>
      <c r="Y151" s="105">
        <f t="shared" si="29"/>
        <v>-8.0927329757397914E-2</v>
      </c>
      <c r="Z151" s="80"/>
    </row>
    <row r="152" spans="1:26" x14ac:dyDescent="0.25">
      <c r="A152" s="99">
        <v>44888</v>
      </c>
      <c r="B152" s="100">
        <v>22.901</v>
      </c>
      <c r="C152" s="101">
        <f>myParidad('Flujo de Fondos'!$B$5,A152,B152,'Flujo de Fondos'!$B$7,'Flujo de Fondos'!$B$6)</f>
        <v>0.22815364249256218</v>
      </c>
      <c r="D152" s="100">
        <v>25.8</v>
      </c>
      <c r="E152" s="102">
        <f>myParidad('Flujo de Fondos'!$H$5,$A152,D152,'Flujo de Fondos'!$H$7,'Flujo de Fondos'!$H$6)</f>
        <v>0.25703523760133201</v>
      </c>
      <c r="F152" s="100">
        <v>22.13</v>
      </c>
      <c r="G152" s="101">
        <f>myParidad('Flujo de Fondos'!$N$5,$A152,F152,'Flujo de Fondos'!$N$7,'Flujo de Fondos'!$N$6)</f>
        <v>0.20938241202773636</v>
      </c>
      <c r="H152" s="103">
        <v>26.25</v>
      </c>
      <c r="I152" s="101">
        <f>myParidad('Flujo de Fondos'!$T$5,$A152,H152,'Flujo de Fondos'!$T$7,'Flujo de Fondos'!$T$6)</f>
        <v>0.26237689850994567</v>
      </c>
      <c r="J152" s="103">
        <v>23.599</v>
      </c>
      <c r="K152" s="101">
        <f>myParidad('Flujo de Fondos'!$B$34,$A152,J152,'Flujo de Fondos'!$B$36,'Flujo de Fondos'!$B$35)</f>
        <v>0.23499769807627383</v>
      </c>
      <c r="L152" s="100">
        <v>28.5</v>
      </c>
      <c r="M152" s="101">
        <f>myParidad('Flujo de Fondos'!$H$34,'Paridad usd'!$A152,'Paridad usd'!L152,'Flujo de Fondos'!$H$36,'Flujo de Fondos'!$H$35)</f>
        <v>0.28486634695365531</v>
      </c>
      <c r="N152" s="103">
        <v>26.3</v>
      </c>
      <c r="O152" s="101">
        <f>myParidad('Flujo de Fondos'!$N$34,$A152,N152,'Flujo de Fondos'!$N$36,'Flujo de Fondos'!$N$35)</f>
        <v>0.26287666403091703</v>
      </c>
      <c r="P152" s="104">
        <f t="shared" si="20"/>
        <v>1.8771230464825817E-2</v>
      </c>
      <c r="Q152" s="104">
        <f t="shared" si="21"/>
        <v>2.8881595108769836E-2</v>
      </c>
      <c r="R152" s="104">
        <f t="shared" si="22"/>
        <v>-5.6712704461093139E-2</v>
      </c>
      <c r="S152" s="104">
        <f t="shared" si="23"/>
        <v>-3.4723021538354853E-2</v>
      </c>
      <c r="T152" s="104">
        <f t="shared" si="24"/>
        <v>-5.8414264295850171E-3</v>
      </c>
      <c r="U152" s="104">
        <f t="shared" si="25"/>
        <v>-5.349425200318067E-2</v>
      </c>
      <c r="V152" s="104">
        <f t="shared" si="26"/>
        <v>-2.5615286048537467E-2</v>
      </c>
      <c r="W152" s="104">
        <f t="shared" si="27"/>
        <v>-6.8440555837116501E-3</v>
      </c>
      <c r="X152" s="104">
        <f t="shared" si="28"/>
        <v>5.2994486482209308E-2</v>
      </c>
      <c r="Y152" s="105">
        <f t="shared" si="29"/>
        <v>-7.5483934925918955E-2</v>
      </c>
      <c r="Z152" s="80"/>
    </row>
    <row r="153" spans="1:26" x14ac:dyDescent="0.25">
      <c r="A153" s="99">
        <v>44887</v>
      </c>
      <c r="B153" s="100">
        <v>22.22</v>
      </c>
      <c r="C153" s="101">
        <f>myParidad('Flujo de Fondos'!$B$5,A153,B153,'Flujo de Fondos'!$B$7,'Flujo de Fondos'!$B$6)</f>
        <v>0.22137515012555956</v>
      </c>
      <c r="D153" s="100">
        <v>25.8</v>
      </c>
      <c r="E153" s="102">
        <f>myParidad('Flujo de Fondos'!$H$5,$A153,D153,'Flujo de Fondos'!$H$7,'Flujo de Fondos'!$H$6)</f>
        <v>0.25704225352112675</v>
      </c>
      <c r="F153" s="100">
        <v>21.78</v>
      </c>
      <c r="G153" s="101">
        <f>myParidad('Flujo de Fondos'!$N$5,$A153,F153,'Flujo de Fondos'!$N$7,'Flujo de Fondos'!$N$6)</f>
        <v>0.20607356715141148</v>
      </c>
      <c r="H153" s="103">
        <v>26.1</v>
      </c>
      <c r="I153" s="101">
        <f>myParidad('Flujo de Fondos'!$T$5,$A153,H153,'Flujo de Fondos'!$T$7,'Flujo de Fondos'!$T$6)</f>
        <v>0.26087849494755866</v>
      </c>
      <c r="J153" s="103">
        <v>22.9</v>
      </c>
      <c r="K153" s="101">
        <f>myParidad('Flujo de Fondos'!$B$34,$A153,J153,'Flujo de Fondos'!$B$36,'Flujo de Fondos'!$B$35)</f>
        <v>0.22804408916050525</v>
      </c>
      <c r="L153" s="100">
        <v>28.65</v>
      </c>
      <c r="M153" s="101">
        <f>myParidad('Flujo de Fondos'!$H$34,'Paridad usd'!$A153,'Paridad usd'!L153,'Flujo de Fondos'!$H$36,'Flujo de Fondos'!$H$35)</f>
        <v>0.28636662376427419</v>
      </c>
      <c r="N153" s="103">
        <v>25.3</v>
      </c>
      <c r="O153" s="101">
        <f>myParidad('Flujo de Fondos'!$N$34,$A153,N153,'Flujo de Fondos'!$N$36,'Flujo de Fondos'!$N$35)</f>
        <v>0.25288221924035381</v>
      </c>
      <c r="P153" s="104">
        <f t="shared" si="20"/>
        <v>1.5301582974148076E-2</v>
      </c>
      <c r="Q153" s="104">
        <f t="shared" si="21"/>
        <v>3.5667103395567196E-2</v>
      </c>
      <c r="R153" s="104">
        <f t="shared" si="22"/>
        <v>-6.4991473638714631E-2</v>
      </c>
      <c r="S153" s="104">
        <f t="shared" si="23"/>
        <v>-3.1507069114794256E-2</v>
      </c>
      <c r="T153" s="104">
        <f t="shared" si="24"/>
        <v>4.1600342807729396E-3</v>
      </c>
      <c r="U153" s="104">
        <f t="shared" si="25"/>
        <v>-4.6808652088942332E-2</v>
      </c>
      <c r="V153" s="104">
        <f t="shared" si="26"/>
        <v>-2.1970522009093774E-2</v>
      </c>
      <c r="W153" s="104">
        <f t="shared" si="27"/>
        <v>-6.6689390349456978E-3</v>
      </c>
      <c r="X153" s="104">
        <f t="shared" si="28"/>
        <v>5.4804927796147179E-2</v>
      </c>
      <c r="Y153" s="105">
        <f t="shared" si="29"/>
        <v>-8.0293056612862707E-2</v>
      </c>
      <c r="Z153" s="80"/>
    </row>
    <row r="154" spans="1:26" x14ac:dyDescent="0.25">
      <c r="A154" s="99">
        <v>44883</v>
      </c>
      <c r="B154" s="100">
        <v>22.007000000000001</v>
      </c>
      <c r="C154" s="101">
        <f>myParidad('Flujo de Fondos'!$B$5,A154,B154,'Flujo de Fondos'!$B$7,'Flujo de Fondos'!$B$6)</f>
        <v>0.21927699825289365</v>
      </c>
      <c r="D154" s="100">
        <v>25</v>
      </c>
      <c r="E154" s="102">
        <f>myParidad('Flujo de Fondos'!$H$5,$A154,D154,'Flujo de Fondos'!$H$7,'Flujo de Fondos'!$H$6)</f>
        <v>0.24909914828565188</v>
      </c>
      <c r="F154" s="100">
        <v>21.248999999999999</v>
      </c>
      <c r="G154" s="101">
        <f>myParidad('Flujo de Fondos'!$N$5,$A154,F154,'Flujo de Fondos'!$N$7,'Flujo de Fondos'!$N$6)</f>
        <v>0.2010598833441348</v>
      </c>
      <c r="H154" s="103">
        <v>25.18</v>
      </c>
      <c r="I154" s="101">
        <f>myParidad('Flujo de Fondos'!$T$5,$A154,H154,'Flujo de Fondos'!$T$7,'Flujo de Fondos'!$T$6)</f>
        <v>0.25168622403570989</v>
      </c>
      <c r="J154" s="103">
        <v>22.9</v>
      </c>
      <c r="K154" s="101">
        <f>myParidad('Flujo de Fondos'!$B$34,$A154,J154,'Flujo de Fondos'!$B$36,'Flujo de Fondos'!$B$35)</f>
        <v>0.22807209026290298</v>
      </c>
      <c r="L154" s="100">
        <v>27.9</v>
      </c>
      <c r="M154" s="101">
        <f>myParidad('Flujo de Fondos'!$H$34,'Paridad usd'!$A154,'Paridad usd'!L154,'Flujo de Fondos'!$H$36,'Flujo de Fondos'!$H$35)</f>
        <v>0.27887393370120356</v>
      </c>
      <c r="N154" s="103">
        <v>25.5</v>
      </c>
      <c r="O154" s="101">
        <f>myParidad('Flujo de Fondos'!$N$34,$A154,N154,'Flujo de Fondos'!$N$36,'Flujo de Fondos'!$N$35)</f>
        <v>0.25488477811400329</v>
      </c>
      <c r="P154" s="104">
        <f t="shared" si="20"/>
        <v>1.8217114908758852E-2</v>
      </c>
      <c r="Q154" s="104">
        <f t="shared" si="21"/>
        <v>2.9822150032758232E-2</v>
      </c>
      <c r="R154" s="104">
        <f t="shared" si="22"/>
        <v>-5.9596935448309907E-2</v>
      </c>
      <c r="S154" s="104">
        <f t="shared" si="23"/>
        <v>-3.5607779861109634E-2</v>
      </c>
      <c r="T154" s="104">
        <f t="shared" si="24"/>
        <v>-5.7856298283514018E-3</v>
      </c>
      <c r="U154" s="104">
        <f t="shared" si="25"/>
        <v>-5.3824894769868487E-2</v>
      </c>
      <c r="V154" s="104">
        <f t="shared" si="26"/>
        <v>-2.7012206918768183E-2</v>
      </c>
      <c r="W154" s="104">
        <f t="shared" si="27"/>
        <v>-8.7950920100093311E-3</v>
      </c>
      <c r="X154" s="104">
        <f t="shared" si="28"/>
        <v>5.0626340691575095E-2</v>
      </c>
      <c r="Y154" s="105">
        <f t="shared" si="29"/>
        <v>-7.7814050357068759E-2</v>
      </c>
      <c r="Z154" s="80"/>
    </row>
    <row r="155" spans="1:26" x14ac:dyDescent="0.25">
      <c r="A155" s="99">
        <v>44882</v>
      </c>
      <c r="B155" s="100">
        <v>22.988</v>
      </c>
      <c r="C155" s="101">
        <f>myParidad('Flujo de Fondos'!$B$5,A155,B155,'Flujo de Fondos'!$B$7,'Flujo de Fondos'!$B$6)</f>
        <v>0.22905790177718324</v>
      </c>
      <c r="D155" s="100">
        <v>25.8</v>
      </c>
      <c r="E155" s="102">
        <f>myParidad('Flujo de Fondos'!$H$5,$A155,D155,'Flujo de Fondos'!$H$7,'Flujo de Fondos'!$H$6)</f>
        <v>0.25707733886598783</v>
      </c>
      <c r="F155" s="100">
        <v>22.22</v>
      </c>
      <c r="G155" s="101">
        <f>myParidad('Flujo de Fondos'!$N$5,$A155,F155,'Flujo de Fondos'!$N$7,'Flujo de Fondos'!$N$6)</f>
        <v>0.21025029488392591</v>
      </c>
      <c r="H155" s="103">
        <v>26.03</v>
      </c>
      <c r="I155" s="101">
        <f>myParidad('Flujo de Fondos'!$T$5,$A155,H155,'Flujo de Fondos'!$T$7,'Flujo de Fondos'!$T$6)</f>
        <v>0.26018327394216978</v>
      </c>
      <c r="J155" s="103">
        <v>23.2</v>
      </c>
      <c r="K155" s="101">
        <f>myParidad('Flujo de Fondos'!$B$34,$A155,J155,'Flujo de Fondos'!$B$36,'Flujo de Fondos'!$B$35)</f>
        <v>0.23106702731096018</v>
      </c>
      <c r="L155" s="100">
        <v>29</v>
      </c>
      <c r="M155" s="101">
        <f>myParidad('Flujo de Fondos'!$H$34,'Paridad usd'!$A155,'Paridad usd'!L155,'Flujo de Fondos'!$H$36,'Flujo de Fondos'!$H$35)</f>
        <v>0.28986995560210999</v>
      </c>
      <c r="N155" s="103">
        <v>26</v>
      </c>
      <c r="O155" s="101">
        <f>myParidad('Flujo de Fondos'!$N$34,$A155,N155,'Flujo de Fondos'!$N$36,'Flujo de Fondos'!$N$35)</f>
        <v>0.25988340847085728</v>
      </c>
      <c r="P155" s="104">
        <f t="shared" si="20"/>
        <v>1.8807606893257334E-2</v>
      </c>
      <c r="Q155" s="104">
        <f t="shared" si="21"/>
        <v>2.8019437088804583E-2</v>
      </c>
      <c r="R155" s="104">
        <f t="shared" si="22"/>
        <v>-6.0812053824926743E-2</v>
      </c>
      <c r="S155" s="104">
        <f t="shared" si="23"/>
        <v>-3.0825506693674037E-2</v>
      </c>
      <c r="T155" s="104">
        <f t="shared" si="24"/>
        <v>-2.8060696048694544E-3</v>
      </c>
      <c r="U155" s="104">
        <f t="shared" si="25"/>
        <v>-4.9633113586931371E-2</v>
      </c>
      <c r="V155" s="104">
        <f t="shared" si="26"/>
        <v>-2.0816732427034274E-2</v>
      </c>
      <c r="W155" s="104">
        <f t="shared" si="27"/>
        <v>-2.0091255337769398E-3</v>
      </c>
      <c r="X155" s="104">
        <f t="shared" si="28"/>
        <v>4.993297905824387E-2</v>
      </c>
      <c r="Y155" s="105">
        <f t="shared" si="29"/>
        <v>-7.9619660718184077E-2</v>
      </c>
      <c r="Z155" s="80"/>
    </row>
    <row r="156" spans="1:26" x14ac:dyDescent="0.25">
      <c r="A156" s="99">
        <v>44881</v>
      </c>
      <c r="B156" s="100">
        <v>23.5</v>
      </c>
      <c r="C156" s="101">
        <f>myParidad('Flujo de Fondos'!$B$5,A156,B156,'Flujo de Fondos'!$B$7,'Flujo de Fondos'!$B$6)</f>
        <v>0.23416598416598416</v>
      </c>
      <c r="D156" s="100">
        <v>26</v>
      </c>
      <c r="E156" s="102">
        <f>myParidad('Flujo de Fondos'!$H$5,$A156,D156,'Flujo de Fondos'!$H$7,'Flujo de Fondos'!$H$6)</f>
        <v>0.25907725907725909</v>
      </c>
      <c r="F156" s="100">
        <v>22.9</v>
      </c>
      <c r="G156" s="101">
        <f>myParidad('Flujo de Fondos'!$N$5,$A156,F156,'Flujo de Fondos'!$N$7,'Flujo de Fondos'!$N$6)</f>
        <v>0.21668740602478351</v>
      </c>
      <c r="H156" s="103">
        <v>26.6</v>
      </c>
      <c r="I156" s="101">
        <f>myParidad('Flujo de Fondos'!$T$5,$A156,H156,'Flujo de Fondos'!$T$7,'Flujo de Fondos'!$T$6)</f>
        <v>0.26588162804230997</v>
      </c>
      <c r="J156" s="103">
        <v>23.411000000000001</v>
      </c>
      <c r="K156" s="101">
        <f>myParidad('Flujo de Fondos'!$B$34,$A156,J156,'Flujo de Fondos'!$B$36,'Flujo de Fondos'!$B$35)</f>
        <v>0.23317570010574071</v>
      </c>
      <c r="L156" s="100">
        <v>28.7</v>
      </c>
      <c r="M156" s="101">
        <f>myParidad('Flujo de Fondos'!$H$34,'Paridad usd'!$A156,'Paridad usd'!L156,'Flujo de Fondos'!$H$36,'Flujo de Fondos'!$H$35)</f>
        <v>0.28687228288775546</v>
      </c>
      <c r="N156" s="103">
        <v>26.5</v>
      </c>
      <c r="O156" s="101">
        <f>myParidad('Flujo de Fondos'!$N$34,$A156,N156,'Flujo de Fondos'!$N$36,'Flujo de Fondos'!$N$35)</f>
        <v>0.26488207304966965</v>
      </c>
      <c r="P156" s="104">
        <f t="shared" si="20"/>
        <v>1.7478578141200657E-2</v>
      </c>
      <c r="Q156" s="104">
        <f t="shared" si="21"/>
        <v>2.4911274911274928E-2</v>
      </c>
      <c r="R156" s="104">
        <f t="shared" si="22"/>
        <v>-5.2706298721771294E-2</v>
      </c>
      <c r="S156" s="104">
        <f t="shared" si="23"/>
        <v>-3.0716088883685488E-2</v>
      </c>
      <c r="T156" s="104">
        <f t="shared" si="24"/>
        <v>-5.8048139724105607E-3</v>
      </c>
      <c r="U156" s="104">
        <f t="shared" si="25"/>
        <v>-4.8194667024886145E-2</v>
      </c>
      <c r="V156" s="104">
        <f t="shared" si="26"/>
        <v>-1.64882940809572E-2</v>
      </c>
      <c r="W156" s="104">
        <f t="shared" si="27"/>
        <v>9.9028406024345705E-4</v>
      </c>
      <c r="X156" s="104">
        <f t="shared" si="28"/>
        <v>4.9194222017526462E-2</v>
      </c>
      <c r="Y156" s="105">
        <f t="shared" si="29"/>
        <v>-7.0184876862971951E-2</v>
      </c>
      <c r="Z156" s="80"/>
    </row>
    <row r="157" spans="1:26" x14ac:dyDescent="0.25">
      <c r="A157" s="99">
        <v>44880</v>
      </c>
      <c r="B157" s="100">
        <v>23</v>
      </c>
      <c r="C157" s="101">
        <f>myParidad('Flujo de Fondos'!$B$5,A157,B157,'Flujo de Fondos'!$B$7,'Flujo de Fondos'!$B$6)</f>
        <v>0.22918998607660596</v>
      </c>
      <c r="D157" s="100">
        <v>25</v>
      </c>
      <c r="E157" s="102">
        <f>myParidad('Flujo de Fondos'!$H$5,$A157,D157,'Flujo de Fondos'!$H$7,'Flujo de Fondos'!$H$6)</f>
        <v>0.24911955008326736</v>
      </c>
      <c r="F157" s="100">
        <v>22.414999999999999</v>
      </c>
      <c r="G157" s="101">
        <f>myParidad('Flujo de Fondos'!$N$5,$A157,F157,'Flujo de Fondos'!$N$7,'Flujo de Fondos'!$N$6)</f>
        <v>0.21210092420962576</v>
      </c>
      <c r="H157" s="103">
        <v>26.22</v>
      </c>
      <c r="I157" s="101">
        <f>myParidad('Flujo de Fondos'!$T$5,$A157,H157,'Flujo de Fondos'!$T$7,'Flujo de Fondos'!$T$6)</f>
        <v>0.26208421621954681</v>
      </c>
      <c r="J157" s="103">
        <v>23.3</v>
      </c>
      <c r="K157" s="101">
        <f>myParidad('Flujo de Fondos'!$B$34,$A157,J157,'Flujo de Fondos'!$B$36,'Flujo de Fondos'!$B$35)</f>
        <v>0.23207725447791488</v>
      </c>
      <c r="L157" s="100">
        <v>28.7</v>
      </c>
      <c r="M157" s="101">
        <f>myParidad('Flujo de Fondos'!$H$34,'Paridad usd'!$A157,'Paridad usd'!L157,'Flujo de Fondos'!$H$36,'Flujo de Fondos'!$H$35)</f>
        <v>0.28687326489324921</v>
      </c>
      <c r="N157" s="103">
        <v>26.5</v>
      </c>
      <c r="O157" s="101">
        <f>myParidad('Flujo de Fondos'!$N$34,$A157,N157,'Flujo de Fondos'!$N$36,'Flujo de Fondos'!$N$35)</f>
        <v>0.264882979779481</v>
      </c>
      <c r="P157" s="104">
        <f t="shared" si="20"/>
        <v>1.7089061866980199E-2</v>
      </c>
      <c r="Q157" s="104">
        <f t="shared" si="21"/>
        <v>1.9929564006661404E-2</v>
      </c>
      <c r="R157" s="104">
        <f t="shared" si="22"/>
        <v>-5.7683278816643258E-2</v>
      </c>
      <c r="S157" s="104">
        <f t="shared" si="23"/>
        <v>-3.5692993702875042E-2</v>
      </c>
      <c r="T157" s="104">
        <f t="shared" si="24"/>
        <v>-1.5763429696213638E-2</v>
      </c>
      <c r="U157" s="104">
        <f t="shared" si="25"/>
        <v>-5.2782055569855241E-2</v>
      </c>
      <c r="V157" s="104">
        <f t="shared" si="26"/>
        <v>-1.9976330268289128E-2</v>
      </c>
      <c r="W157" s="104">
        <f t="shared" si="27"/>
        <v>-2.8872684013089289E-3</v>
      </c>
      <c r="X157" s="104">
        <f t="shared" si="28"/>
        <v>4.9983292009921049E-2</v>
      </c>
      <c r="Y157" s="105">
        <f t="shared" si="29"/>
        <v>-7.4772340683623456E-2</v>
      </c>
      <c r="Z157" s="80"/>
    </row>
    <row r="158" spans="1:26" x14ac:dyDescent="0.25">
      <c r="A158" s="99">
        <v>44879</v>
      </c>
      <c r="B158" s="100">
        <v>22.1</v>
      </c>
      <c r="C158" s="101">
        <f>myParidad('Flujo de Fondos'!$B$5,A158,B158,'Flujo de Fondos'!$B$7,'Flujo de Fondos'!$B$6)</f>
        <v>0.22022769465982309</v>
      </c>
      <c r="D158" s="100">
        <v>24.4</v>
      </c>
      <c r="E158" s="102">
        <f>myParidad('Flujo de Fondos'!$H$5,$A158,D158,'Flujo de Fondos'!$H$7,'Flujo de Fondos'!$H$6)</f>
        <v>0.24314731899093589</v>
      </c>
      <c r="F158" s="100">
        <v>21.23</v>
      </c>
      <c r="G158" s="101">
        <f>myParidad('Flujo de Fondos'!$N$5,$A158,F158,'Flujo de Fondos'!$N$7,'Flujo de Fondos'!$N$6)</f>
        <v>0.20089051927514065</v>
      </c>
      <c r="H158" s="103">
        <v>24.35</v>
      </c>
      <c r="I158" s="101">
        <f>myParidad('Flujo de Fondos'!$T$5,$A158,H158,'Flujo de Fondos'!$T$7,'Flujo de Fondos'!$T$6)</f>
        <v>0.2433933070434878</v>
      </c>
      <c r="J158" s="103">
        <v>22.998999999999999</v>
      </c>
      <c r="K158" s="101">
        <f>myParidad('Flujo de Fondos'!$B$34,$A158,J158,'Flujo de Fondos'!$B$36,'Flujo de Fondos'!$B$35)</f>
        <v>0.2290862078375723</v>
      </c>
      <c r="L158" s="100">
        <v>28</v>
      </c>
      <c r="M158" s="101">
        <f>myParidad('Flujo de Fondos'!$H$34,'Paridad usd'!$A158,'Paridad usd'!L158,'Flujo de Fondos'!$H$36,'Flujo de Fondos'!$H$35)</f>
        <v>0.27987731405411326</v>
      </c>
      <c r="N158" s="103">
        <v>26.5</v>
      </c>
      <c r="O158" s="101">
        <f>myParidad('Flujo de Fondos'!$N$34,$A158,N158,'Flujo de Fondos'!$N$36,'Flujo de Fondos'!$N$35)</f>
        <v>0.26488388651550004</v>
      </c>
      <c r="P158" s="104">
        <f t="shared" si="20"/>
        <v>1.9337175384682437E-2</v>
      </c>
      <c r="Q158" s="104">
        <f t="shared" si="21"/>
        <v>2.2919624331112803E-2</v>
      </c>
      <c r="R158" s="104">
        <f t="shared" si="22"/>
        <v>-5.9649619394290171E-2</v>
      </c>
      <c r="S158" s="104">
        <f t="shared" si="23"/>
        <v>-4.4656191855676958E-2</v>
      </c>
      <c r="T158" s="104">
        <f t="shared" si="24"/>
        <v>-2.1736567524564154E-2</v>
      </c>
      <c r="U158" s="104">
        <f t="shared" si="25"/>
        <v>-6.3993367240359394E-2</v>
      </c>
      <c r="V158" s="104">
        <f t="shared" si="26"/>
        <v>-2.8195688562431653E-2</v>
      </c>
      <c r="W158" s="104">
        <f t="shared" si="27"/>
        <v>-8.8585131777492165E-3</v>
      </c>
      <c r="X158" s="104">
        <f t="shared" si="28"/>
        <v>4.250278776834715E-2</v>
      </c>
      <c r="Y158" s="105">
        <f t="shared" si="29"/>
        <v>-7.8986794778972608E-2</v>
      </c>
    </row>
    <row r="159" spans="1:26" x14ac:dyDescent="0.25">
      <c r="A159" s="99">
        <v>44876</v>
      </c>
      <c r="B159" s="100">
        <v>21.4</v>
      </c>
      <c r="C159" s="101">
        <f>myParidad('Flujo de Fondos'!$B$5,A159,B159,'Flujo de Fondos'!$B$7,'Flujo de Fondos'!$B$6)</f>
        <v>0.21326962457337884</v>
      </c>
      <c r="D159" s="100">
        <v>22.9</v>
      </c>
      <c r="E159" s="102">
        <f>myParidad('Flujo de Fondos'!$H$5,$A159,D159,'Flujo de Fondos'!$H$7,'Flujo de Fondos'!$H$6)</f>
        <v>0.22821843003412967</v>
      </c>
      <c r="F159" s="100">
        <v>20.698</v>
      </c>
      <c r="G159" s="101">
        <f>myParidad('Flujo de Fondos'!$N$5,$A159,F159,'Flujo de Fondos'!$N$7,'Flujo de Fondos'!$N$6)</f>
        <v>0.19586404469621352</v>
      </c>
      <c r="H159" s="103">
        <v>24.11</v>
      </c>
      <c r="I159" s="101">
        <f>myParidad('Flujo de Fondos'!$T$5,$A159,H159,'Flujo de Fondos'!$T$7,'Flujo de Fondos'!$T$6)</f>
        <v>0.24099683354728282</v>
      </c>
      <c r="J159" s="103">
        <v>22.1</v>
      </c>
      <c r="K159" s="101">
        <f>myParidad('Flujo de Fondos'!$B$34,$A159,J159,'Flujo de Fondos'!$B$36,'Flujo de Fondos'!$B$35)</f>
        <v>0.22015181236673775</v>
      </c>
      <c r="L159" s="100">
        <v>27.2</v>
      </c>
      <c r="M159" s="101">
        <f>myParidad('Flujo de Fondos'!$H$34,'Paridad usd'!$A159,'Paridad usd'!L159,'Flujo de Fondos'!$H$36,'Flujo de Fondos'!$H$35)</f>
        <v>0.27188361146769363</v>
      </c>
      <c r="N159" s="103">
        <v>25.4</v>
      </c>
      <c r="O159" s="101">
        <f>myParidad('Flujo de Fondos'!$N$34,$A159,N159,'Flujo de Fondos'!$N$36,'Flujo de Fondos'!$N$35)</f>
        <v>0.25389131364997858</v>
      </c>
      <c r="P159" s="104">
        <f t="shared" si="20"/>
        <v>1.7405579877165317E-2</v>
      </c>
      <c r="Q159" s="104">
        <f t="shared" si="21"/>
        <v>1.4948805460750836E-2</v>
      </c>
      <c r="R159" s="104">
        <f t="shared" si="22"/>
        <v>-5.8613986894314796E-2</v>
      </c>
      <c r="S159" s="104">
        <f t="shared" si="23"/>
        <v>-4.0621689076599743E-2</v>
      </c>
      <c r="T159" s="104">
        <f t="shared" si="24"/>
        <v>-2.5672883615848907E-2</v>
      </c>
      <c r="U159" s="104">
        <f t="shared" si="25"/>
        <v>-5.802726895376506E-2</v>
      </c>
      <c r="V159" s="104">
        <f t="shared" si="26"/>
        <v>-2.4287767670524235E-2</v>
      </c>
      <c r="W159" s="104">
        <f t="shared" si="27"/>
        <v>-6.8821877933589182E-3</v>
      </c>
      <c r="X159" s="104">
        <f t="shared" si="28"/>
        <v>4.5132788851069305E-2</v>
      </c>
      <c r="Y159" s="105">
        <f t="shared" si="29"/>
        <v>-7.6019566771480113E-2</v>
      </c>
    </row>
    <row r="160" spans="1:26" x14ac:dyDescent="0.25">
      <c r="A160" s="99">
        <v>44875</v>
      </c>
      <c r="B160" s="100">
        <v>21.55</v>
      </c>
      <c r="C160" s="101">
        <f>myParidad('Flujo de Fondos'!$B$5,A160,B160,'Flujo de Fondos'!$B$7,'Flujo de Fondos'!$B$6)</f>
        <v>0.21477036915683706</v>
      </c>
      <c r="D160" s="100">
        <v>23.401</v>
      </c>
      <c r="E160" s="102">
        <f>myParidad('Flujo de Fondos'!$H$5,$A160,D160,'Flujo de Fondos'!$H$7,'Flujo de Fondos'!$H$6)</f>
        <v>0.23321769877675841</v>
      </c>
      <c r="F160" s="100">
        <v>20.748999999999999</v>
      </c>
      <c r="G160" s="101">
        <f>myParidad('Flujo de Fondos'!$N$5,$A160,F160,'Flujo de Fondos'!$N$7,'Flujo de Fondos'!$N$6)</f>
        <v>0.19634920017629826</v>
      </c>
      <c r="H160" s="103">
        <v>23.93</v>
      </c>
      <c r="I160" s="101">
        <f>myParidad('Flujo de Fondos'!$T$5,$A160,H160,'Flujo de Fondos'!$T$7,'Flujo de Fondos'!$T$6)</f>
        <v>0.23919842258766824</v>
      </c>
      <c r="J160" s="103">
        <v>22</v>
      </c>
      <c r="K160" s="101">
        <f>myParidad('Flujo de Fondos'!$B$34,$A160,J160,'Flujo de Fondos'!$B$36,'Flujo de Fondos'!$B$35)</f>
        <v>0.21916237939928221</v>
      </c>
      <c r="L160" s="100">
        <v>27</v>
      </c>
      <c r="M160" s="101">
        <f>myParidad('Flujo de Fondos'!$H$34,'Paridad usd'!$A160,'Paridad usd'!L160,'Flujo de Fondos'!$H$36,'Flujo de Fondos'!$H$35)</f>
        <v>0.26988539113527132</v>
      </c>
      <c r="N160" s="103">
        <v>25.85</v>
      </c>
      <c r="O160" s="101">
        <f>myParidad('Flujo de Fondos'!$N$34,$A160,N160,'Flujo de Fondos'!$N$36,'Flujo de Fondos'!$N$35)</f>
        <v>0.2583902726239542</v>
      </c>
      <c r="P160" s="104">
        <f t="shared" si="20"/>
        <v>1.8421168980538805E-2</v>
      </c>
      <c r="Q160" s="104">
        <f t="shared" si="21"/>
        <v>1.8447329619921349E-2</v>
      </c>
      <c r="R160" s="104">
        <f t="shared" si="22"/>
        <v>-5.5115021978434264E-2</v>
      </c>
      <c r="S160" s="104">
        <f t="shared" si="23"/>
        <v>-4.3619903467117138E-2</v>
      </c>
      <c r="T160" s="104">
        <f t="shared" si="24"/>
        <v>-2.5172573847195789E-2</v>
      </c>
      <c r="U160" s="104">
        <f t="shared" si="25"/>
        <v>-6.2041072447655943E-2</v>
      </c>
      <c r="V160" s="104">
        <f t="shared" si="26"/>
        <v>-2.2813179222983954E-2</v>
      </c>
      <c r="W160" s="104">
        <f t="shared" si="27"/>
        <v>-4.392010242445149E-3</v>
      </c>
      <c r="X160" s="104">
        <f t="shared" si="28"/>
        <v>4.2849222411369986E-2</v>
      </c>
      <c r="Y160" s="105">
        <f t="shared" si="29"/>
        <v>-7.3536190958973069E-2</v>
      </c>
    </row>
    <row r="161" spans="1:25" x14ac:dyDescent="0.25">
      <c r="A161" s="99">
        <v>44874</v>
      </c>
      <c r="B161" s="100">
        <v>21.25</v>
      </c>
      <c r="C161" s="101">
        <f>myParidad('Flujo de Fondos'!$B$5,A161,B161,'Flujo de Fondos'!$B$7,'Flujo de Fondos'!$B$6)</f>
        <v>0.21178630914998772</v>
      </c>
      <c r="D161" s="100">
        <v>23.4</v>
      </c>
      <c r="E161" s="102">
        <f>myParidad('Flujo de Fondos'!$H$5,$A161,D161,'Flujo de Fondos'!$H$7,'Flujo de Fondos'!$H$6)</f>
        <v>0.23321410042869234</v>
      </c>
      <c r="F161" s="100">
        <v>20.350000000000001</v>
      </c>
      <c r="G161" s="101">
        <f>myParidad('Flujo de Fondos'!$N$5,$A161,F161,'Flujo de Fondos'!$N$7,'Flujo de Fondos'!$N$6)</f>
        <v>0.19257593238355739</v>
      </c>
      <c r="H161" s="103">
        <v>23.283999999999999</v>
      </c>
      <c r="I161" s="101">
        <f>myParidad('Flujo de Fondos'!$T$5,$A161,H161,'Flujo de Fondos'!$T$7,'Flujo de Fondos'!$T$6)</f>
        <v>0.23274196143405346</v>
      </c>
      <c r="J161" s="103">
        <v>21.3</v>
      </c>
      <c r="K161" s="101">
        <f>myParidad('Flujo de Fondos'!$B$34,$A161,J161,'Flujo de Fondos'!$B$36,'Flujo de Fondos'!$B$35)</f>
        <v>0.21219554633632087</v>
      </c>
      <c r="L161" s="100">
        <v>26.7</v>
      </c>
      <c r="M161" s="101">
        <f>myParidad('Flujo de Fondos'!$H$34,'Paridad usd'!$A161,'Paridad usd'!L161,'Flujo de Fondos'!$H$36,'Flujo de Fondos'!$H$35)</f>
        <v>0.26688757817768544</v>
      </c>
      <c r="N161" s="103">
        <v>25.24</v>
      </c>
      <c r="O161" s="101">
        <f>myParidad('Flujo de Fondos'!$N$34,$A161,N161,'Flujo de Fondos'!$N$36,'Flujo de Fondos'!$N$35)</f>
        <v>0.25229372558819402</v>
      </c>
      <c r="P161" s="104">
        <f t="shared" si="20"/>
        <v>1.9210376766430337E-2</v>
      </c>
      <c r="Q161" s="104">
        <f t="shared" si="21"/>
        <v>2.1427791278704617E-2</v>
      </c>
      <c r="R161" s="104">
        <f t="shared" si="22"/>
        <v>-5.5101269027697714E-2</v>
      </c>
      <c r="S161" s="104">
        <f t="shared" si="23"/>
        <v>-4.0507416438206295E-2</v>
      </c>
      <c r="T161" s="104">
        <f t="shared" si="24"/>
        <v>-1.9079625159501679E-2</v>
      </c>
      <c r="U161" s="104">
        <f t="shared" si="25"/>
        <v>-5.9717793204636632E-2</v>
      </c>
      <c r="V161" s="104">
        <f t="shared" si="26"/>
        <v>-1.9619613952763487E-2</v>
      </c>
      <c r="W161" s="104">
        <f t="shared" si="27"/>
        <v>-4.0923718633315009E-4</v>
      </c>
      <c r="X161" s="104">
        <f t="shared" si="28"/>
        <v>4.0166029050496072E-2</v>
      </c>
      <c r="Y161" s="105">
        <f t="shared" si="29"/>
        <v>-7.4311645794128051E-2</v>
      </c>
    </row>
    <row r="162" spans="1:25" x14ac:dyDescent="0.25">
      <c r="A162" s="99">
        <v>44873</v>
      </c>
      <c r="B162" s="100">
        <v>21.5</v>
      </c>
      <c r="C162" s="101">
        <f>myParidad('Flujo de Fondos'!$B$5,A162,B162,'Flujo de Fondos'!$B$7,'Flujo de Fondos'!$B$6)</f>
        <v>0.21428376385779041</v>
      </c>
      <c r="D162" s="100">
        <v>23.6</v>
      </c>
      <c r="E162" s="102">
        <f>myParidad('Flujo de Fondos'!$H$5,$A162,D162,'Flujo de Fondos'!$H$7,'Flujo de Fondos'!$H$6)</f>
        <v>0.23521380590901644</v>
      </c>
      <c r="F162" s="100">
        <v>20.7</v>
      </c>
      <c r="G162" s="101">
        <f>myParidad('Flujo de Fondos'!$N$5,$A162,F162,'Flujo de Fondos'!$N$7,'Flujo de Fondos'!$N$6)</f>
        <v>0.1958905885403163</v>
      </c>
      <c r="H162" s="103">
        <v>23.69</v>
      </c>
      <c r="I162" s="101">
        <f>myParidad('Flujo de Fondos'!$T$5,$A162,H162,'Flujo de Fondos'!$T$7,'Flujo de Fondos'!$T$6)</f>
        <v>0.23680106256974826</v>
      </c>
      <c r="J162" s="103">
        <v>21.65</v>
      </c>
      <c r="K162" s="101">
        <f>myParidad('Flujo de Fondos'!$B$34,$A162,J162,'Flujo de Fondos'!$B$36,'Flujo de Fondos'!$B$35)</f>
        <v>0.21568895045343195</v>
      </c>
      <c r="L162" s="100">
        <v>27</v>
      </c>
      <c r="M162" s="101">
        <f>myParidad('Flujo de Fondos'!$H$34,'Paridad usd'!$A162,'Paridad usd'!L162,'Flujo de Fondos'!$H$36,'Flujo de Fondos'!$H$35)</f>
        <v>0.2698872388933391</v>
      </c>
      <c r="N162" s="103">
        <v>25.37</v>
      </c>
      <c r="O162" s="101">
        <f>myParidad('Flujo de Fondos'!$N$34,$A162,N162,'Flujo de Fondos'!$N$36,'Flujo de Fondos'!$N$35)</f>
        <v>0.25359404632311161</v>
      </c>
      <c r="P162" s="104">
        <f t="shared" si="20"/>
        <v>1.8393175317474114E-2</v>
      </c>
      <c r="Q162" s="104">
        <f t="shared" si="21"/>
        <v>2.0930042051226033E-2</v>
      </c>
      <c r="R162" s="104">
        <f t="shared" si="22"/>
        <v>-5.5603475035548688E-2</v>
      </c>
      <c r="S162" s="104">
        <f t="shared" si="23"/>
        <v>-3.93102824653212E-2</v>
      </c>
      <c r="T162" s="104">
        <f t="shared" si="24"/>
        <v>-1.8380240414095167E-2</v>
      </c>
      <c r="U162" s="104">
        <f t="shared" si="25"/>
        <v>-5.7703457782795314E-2</v>
      </c>
      <c r="V162" s="104">
        <f t="shared" si="26"/>
        <v>-1.9798361913115653E-2</v>
      </c>
      <c r="W162" s="104">
        <f t="shared" si="27"/>
        <v>-1.4051865956415388E-3</v>
      </c>
      <c r="X162" s="104">
        <f t="shared" si="28"/>
        <v>4.0910474029431959E-2</v>
      </c>
      <c r="Y162" s="105">
        <f t="shared" si="29"/>
        <v>-7.3996650353022803E-2</v>
      </c>
    </row>
    <row r="163" spans="1:25" x14ac:dyDescent="0.25">
      <c r="A163" s="99">
        <v>44872</v>
      </c>
      <c r="B163" s="100">
        <v>21.2</v>
      </c>
      <c r="C163" s="101">
        <f>myParidad('Flujo de Fondos'!$B$5,A163,B163,'Flujo de Fondos'!$B$7,'Flujo de Fondos'!$B$6)</f>
        <v>0.2112995275934573</v>
      </c>
      <c r="D163" s="100">
        <v>23</v>
      </c>
      <c r="E163" s="102">
        <f>myParidad('Flujo de Fondos'!$H$5,$A163,D163,'Flujo de Fondos'!$H$7,'Flujo de Fondos'!$H$6)</f>
        <v>0.22924005352120369</v>
      </c>
      <c r="F163" s="100">
        <v>20.5</v>
      </c>
      <c r="G163" s="101">
        <f>myParidad('Flujo de Fondos'!$N$5,$A163,F163,'Flujo de Fondos'!$N$7,'Flujo de Fondos'!$N$6)</f>
        <v>0.19400044076277889</v>
      </c>
      <c r="H163" s="103">
        <v>23.4</v>
      </c>
      <c r="I163" s="101">
        <f>myParidad('Flujo de Fondos'!$T$5,$A163,H163,'Flujo de Fondos'!$T$7,'Flujo de Fondos'!$T$6)</f>
        <v>0.23390307441094613</v>
      </c>
      <c r="J163" s="103">
        <v>21.3</v>
      </c>
      <c r="K163" s="101">
        <f>myParidad('Flujo de Fondos'!$B$34,$A163,J163,'Flujo de Fondos'!$B$36,'Flujo de Fondos'!$B$35)</f>
        <v>0.21220857828168235</v>
      </c>
      <c r="L163" s="100">
        <v>26.37</v>
      </c>
      <c r="M163" s="101">
        <f>myParidad('Flujo de Fondos'!$H$34,'Paridad usd'!$A163,'Paridad usd'!L163,'Flujo de Fondos'!$H$36,'Flujo de Fondos'!$H$35)</f>
        <v>0.26359077231695088</v>
      </c>
      <c r="N163" s="103">
        <v>24.87</v>
      </c>
      <c r="O163" s="101">
        <f>myParidad('Flujo de Fondos'!$N$34,$A163,N163,'Flujo de Fondos'!$N$36,'Flujo de Fondos'!$N$35)</f>
        <v>0.24859698549573636</v>
      </c>
      <c r="P163" s="104">
        <f t="shared" si="20"/>
        <v>1.7299086830678406E-2</v>
      </c>
      <c r="Q163" s="104">
        <f t="shared" si="21"/>
        <v>1.7940525927746392E-2</v>
      </c>
      <c r="R163" s="104">
        <f t="shared" si="22"/>
        <v>-5.2291244723493585E-2</v>
      </c>
      <c r="S163" s="104">
        <f t="shared" si="23"/>
        <v>-3.7297457902279063E-2</v>
      </c>
      <c r="T163" s="104">
        <f t="shared" si="24"/>
        <v>-1.9356931974532671E-2</v>
      </c>
      <c r="U163" s="104">
        <f t="shared" si="25"/>
        <v>-5.4596544732957469E-2</v>
      </c>
      <c r="V163" s="104">
        <f t="shared" si="26"/>
        <v>-1.8208137518903461E-2</v>
      </c>
      <c r="W163" s="104">
        <f t="shared" si="27"/>
        <v>-9.0905068822505486E-4</v>
      </c>
      <c r="X163" s="104">
        <f t="shared" si="28"/>
        <v>3.9902633648167235E-2</v>
      </c>
      <c r="Y163" s="105">
        <f t="shared" si="29"/>
        <v>-6.9590331554171991E-2</v>
      </c>
    </row>
    <row r="164" spans="1:25" x14ac:dyDescent="0.25">
      <c r="A164" s="99">
        <v>44869</v>
      </c>
      <c r="B164" s="100">
        <v>20.65</v>
      </c>
      <c r="C164" s="101">
        <f>myParidad('Flujo de Fondos'!$B$5,A164,B164,'Flujo de Fondos'!$B$7,'Flujo de Fondos'!$B$6)</f>
        <v>0.2058345622371511</v>
      </c>
      <c r="D164" s="100">
        <v>23</v>
      </c>
      <c r="E164" s="102">
        <f>myParidad('Flujo de Fondos'!$H$5,$A164,D164,'Flujo de Fondos'!$H$7,'Flujo de Fondos'!$H$6)</f>
        <v>0.22925883445300127</v>
      </c>
      <c r="F164" s="100">
        <v>19.751000000000001</v>
      </c>
      <c r="G164" s="101">
        <f>myParidad('Flujo de Fondos'!$N$5,$A164,F164,'Flujo de Fondos'!$N$7,'Flujo de Fondos'!$N$6)</f>
        <v>0.18691959655673099</v>
      </c>
      <c r="H164" s="103">
        <v>22.6</v>
      </c>
      <c r="I164" s="101">
        <f>myParidad('Flujo de Fondos'!$T$5,$A164,H164,'Flujo de Fondos'!$T$7,'Flujo de Fondos'!$T$6)</f>
        <v>0.22590870812479891</v>
      </c>
      <c r="J164" s="103">
        <v>21</v>
      </c>
      <c r="K164" s="101">
        <f>myParidad('Flujo de Fondos'!$B$34,$A164,J164,'Flujo de Fondos'!$B$36,'Flujo de Fondos'!$B$35)</f>
        <v>0.20923900062102899</v>
      </c>
      <c r="L164" s="100">
        <v>25.9</v>
      </c>
      <c r="M164" s="101">
        <f>myParidad('Flujo de Fondos'!$H$34,'Paridad usd'!$A164,'Paridad usd'!L164,'Flujo de Fondos'!$H$36,'Flujo de Fondos'!$H$35)</f>
        <v>0.25889537789523409</v>
      </c>
      <c r="N164" s="103">
        <v>23.85</v>
      </c>
      <c r="O164" s="101">
        <f>myParidad('Flujo de Fondos'!$N$34,$A164,N164,'Flujo de Fondos'!$N$36,'Flujo de Fondos'!$N$35)</f>
        <v>0.23840365879541831</v>
      </c>
      <c r="P164" s="104">
        <f t="shared" si="20"/>
        <v>1.8914965680420115E-2</v>
      </c>
      <c r="Q164" s="104">
        <f t="shared" si="21"/>
        <v>2.3424272215850167E-2</v>
      </c>
      <c r="R164" s="104">
        <f t="shared" si="22"/>
        <v>-5.3060815658082988E-2</v>
      </c>
      <c r="S164" s="104">
        <f t="shared" si="23"/>
        <v>-3.2569096558267202E-2</v>
      </c>
      <c r="T164" s="104">
        <f t="shared" si="24"/>
        <v>-9.144824342417035E-3</v>
      </c>
      <c r="U164" s="104">
        <f t="shared" si="25"/>
        <v>-5.1484062238687317E-2</v>
      </c>
      <c r="V164" s="104">
        <f t="shared" si="26"/>
        <v>-2.2319404064297999E-2</v>
      </c>
      <c r="W164" s="104">
        <f t="shared" si="27"/>
        <v>-3.4044383838778836E-3</v>
      </c>
      <c r="X164" s="104">
        <f t="shared" si="28"/>
        <v>3.8989111568067919E-2</v>
      </c>
      <c r="Y164" s="105">
        <f t="shared" si="29"/>
        <v>-7.1975781338503103E-2</v>
      </c>
    </row>
    <row r="165" spans="1:25" x14ac:dyDescent="0.25">
      <c r="A165" s="99">
        <v>44868</v>
      </c>
      <c r="B165" s="100">
        <v>20.62</v>
      </c>
      <c r="C165" s="101">
        <f>myParidad('Flujo de Fondos'!$B$5,A165,B165,'Flujo de Fondos'!$B$7,'Flujo de Fondos'!$B$6)</f>
        <v>0.20554114209247071</v>
      </c>
      <c r="D165" s="100">
        <v>22.8</v>
      </c>
      <c r="E165" s="102">
        <f>myParidad('Flujo de Fondos'!$H$5,$A165,D165,'Flujo de Fondos'!$H$7,'Flujo de Fondos'!$H$6)</f>
        <v>0.2272714859218396</v>
      </c>
      <c r="F165" s="100">
        <v>19.899999999999999</v>
      </c>
      <c r="G165" s="101">
        <f>myParidad('Flujo de Fondos'!$N$5,$A165,F165,'Flujo de Fondos'!$N$7,'Flujo de Fondos'!$N$6)</f>
        <v>0.1883321449406884</v>
      </c>
      <c r="H165" s="103">
        <v>22.6</v>
      </c>
      <c r="I165" s="101">
        <f>myParidad('Flujo de Fondos'!$T$5,$A165,H165,'Flujo de Fondos'!$T$7,'Flujo de Fondos'!$T$6)</f>
        <v>0.22590948147488851</v>
      </c>
      <c r="J165" s="103">
        <v>20.8</v>
      </c>
      <c r="K165" s="101">
        <f>myParidad('Flujo de Fondos'!$B$34,$A165,J165,'Flujo de Fondos'!$B$36,'Flujo de Fondos'!$B$35)</f>
        <v>0.20725261300856843</v>
      </c>
      <c r="L165" s="100">
        <v>26</v>
      </c>
      <c r="M165" s="101">
        <f>myParidad('Flujo de Fondos'!$H$34,'Paridad usd'!$A165,'Paridad usd'!L165,'Flujo de Fondos'!$H$36,'Flujo de Fondos'!$H$35)</f>
        <v>0.25989586364367701</v>
      </c>
      <c r="N165" s="103">
        <v>23.7</v>
      </c>
      <c r="O165" s="101">
        <f>myParidad('Flujo de Fondos'!$N$34,$A165,N165,'Flujo de Fondos'!$N$36,'Flujo de Fondos'!$N$35)</f>
        <v>0.23690507570596711</v>
      </c>
      <c r="P165" s="104">
        <f t="shared" si="20"/>
        <v>1.7208997151782313E-2</v>
      </c>
      <c r="Q165" s="104">
        <f t="shared" si="21"/>
        <v>2.1730343829368892E-2</v>
      </c>
      <c r="R165" s="104">
        <f t="shared" si="22"/>
        <v>-5.4354721551206298E-2</v>
      </c>
      <c r="S165" s="104">
        <f t="shared" si="23"/>
        <v>-3.1363933613496403E-2</v>
      </c>
      <c r="T165" s="104">
        <f t="shared" si="24"/>
        <v>-9.6335897841275109E-3</v>
      </c>
      <c r="U165" s="104">
        <f t="shared" si="25"/>
        <v>-4.8572930765278716E-2</v>
      </c>
      <c r="V165" s="104">
        <f t="shared" si="26"/>
        <v>-1.8920468067880031E-2</v>
      </c>
      <c r="W165" s="104">
        <f t="shared" si="27"/>
        <v>-1.7114709160977182E-3</v>
      </c>
      <c r="X165" s="104">
        <f t="shared" si="28"/>
        <v>3.7577336534200118E-2</v>
      </c>
      <c r="Y165" s="105">
        <f t="shared" si="29"/>
        <v>-7.156371870298861E-2</v>
      </c>
    </row>
    <row r="166" spans="1:25" x14ac:dyDescent="0.25">
      <c r="A166" s="99">
        <v>44867</v>
      </c>
      <c r="B166" s="100">
        <v>20.75</v>
      </c>
      <c r="C166" s="101">
        <f>myParidad('Flujo de Fondos'!$B$5,A166,B166,'Flujo de Fondos'!$B$7,'Flujo de Fondos'!$B$6)</f>
        <v>0.20684263709853615</v>
      </c>
      <c r="D166" s="100">
        <v>22.78</v>
      </c>
      <c r="E166" s="102">
        <f>myParidad('Flujo de Fondos'!$H$5,$A166,D166,'Flujo de Fondos'!$H$7,'Flujo de Fondos'!$H$6)</f>
        <v>0.22707832641468212</v>
      </c>
      <c r="F166" s="100">
        <v>19.920000000000002</v>
      </c>
      <c r="G166" s="101">
        <f>myParidad('Flujo de Fondos'!$N$5,$A166,F166,'Flujo de Fondos'!$N$7,'Flujo de Fondos'!$N$6)</f>
        <v>0.18852386755516376</v>
      </c>
      <c r="H166" s="103">
        <v>22.53</v>
      </c>
      <c r="I166" s="101">
        <f>myParidad('Flujo de Fondos'!$T$5,$A166,H166,'Flujo de Fondos'!$T$7,'Flujo de Fondos'!$T$6)</f>
        <v>0.22521053280203757</v>
      </c>
      <c r="J166" s="103">
        <v>20.9</v>
      </c>
      <c r="K166" s="101">
        <f>myParidad('Flujo de Fondos'!$B$34,$A166,J166,'Flujo de Fondos'!$B$36,'Flujo de Fondos'!$B$35)</f>
        <v>0.20825541556899305</v>
      </c>
      <c r="L166" s="100">
        <v>26.1</v>
      </c>
      <c r="M166" s="101">
        <f>myParidad('Flujo de Fondos'!$H$34,'Paridad usd'!$A166,'Paridad usd'!L166,'Flujo de Fondos'!$H$36,'Flujo de Fondos'!$H$35)</f>
        <v>0.26089635624204083</v>
      </c>
      <c r="N166" s="103">
        <v>23.001999999999999</v>
      </c>
      <c r="O166" s="101">
        <f>myParidad('Flujo de Fondos'!$N$34,$A166,N166,'Flujo de Fondos'!$N$36,'Flujo de Fondos'!$N$35)</f>
        <v>0.22992865847813881</v>
      </c>
      <c r="P166" s="104">
        <f t="shared" si="20"/>
        <v>1.8318769543372387E-2</v>
      </c>
      <c r="Q166" s="104">
        <f t="shared" si="21"/>
        <v>2.0235689316145972E-2</v>
      </c>
      <c r="R166" s="104">
        <f t="shared" si="22"/>
        <v>-5.405371914350468E-2</v>
      </c>
      <c r="S166" s="104">
        <f t="shared" si="23"/>
        <v>-2.3086021379602667E-2</v>
      </c>
      <c r="T166" s="104">
        <f t="shared" si="24"/>
        <v>-2.8503320634566953E-3</v>
      </c>
      <c r="U166" s="104">
        <f t="shared" si="25"/>
        <v>-4.1404790922975054E-2</v>
      </c>
      <c r="V166" s="104">
        <f t="shared" si="26"/>
        <v>-1.9731548013829286E-2</v>
      </c>
      <c r="W166" s="104">
        <f t="shared" si="27"/>
        <v>-1.4127784704568991E-3</v>
      </c>
      <c r="X166" s="104">
        <f t="shared" si="28"/>
        <v>3.6686665246873806E-2</v>
      </c>
      <c r="Y166" s="105">
        <f t="shared" si="29"/>
        <v>-7.2372488686877068E-2</v>
      </c>
    </row>
    <row r="167" spans="1:25" x14ac:dyDescent="0.25">
      <c r="A167" s="99">
        <v>44866</v>
      </c>
      <c r="B167" s="100">
        <v>21.023</v>
      </c>
      <c r="C167" s="101">
        <f>myParidad('Flujo de Fondos'!$B$5,A167,B167,'Flujo de Fondos'!$B$7,'Flujo de Fondos'!$B$6)</f>
        <v>0.2095697118667213</v>
      </c>
      <c r="D167" s="100">
        <v>23</v>
      </c>
      <c r="E167" s="102">
        <f>myParidad('Flujo de Fondos'!$H$5,$A167,D167,'Flujo de Fondos'!$H$7,'Flujo de Fondos'!$H$6)</f>
        <v>0.22927761846237882</v>
      </c>
      <c r="F167" s="100">
        <v>20.25</v>
      </c>
      <c r="G167" s="101">
        <f>myParidad('Flujo de Fondos'!$N$5,$A167,F167,'Flujo de Fondos'!$N$7,'Flujo de Fondos'!$N$6)</f>
        <v>0.19164948854575861</v>
      </c>
      <c r="H167" s="103">
        <v>22.852</v>
      </c>
      <c r="I167" s="101">
        <f>myParidad('Flujo de Fondos'!$T$5,$A167,H167,'Flujo de Fondos'!$T$7,'Flujo de Fondos'!$T$6)</f>
        <v>0.22843003611591325</v>
      </c>
      <c r="J167" s="103">
        <v>21</v>
      </c>
      <c r="K167" s="101">
        <f>myParidad('Flujo de Fondos'!$B$34,$A167,J167,'Flujo de Fondos'!$B$36,'Flujo de Fondos'!$B$35)</f>
        <v>0.20925827972767758</v>
      </c>
      <c r="L167" s="100">
        <v>26.2</v>
      </c>
      <c r="M167" s="101">
        <f>myParidad('Flujo de Fondos'!$H$34,'Paridad usd'!$A167,'Paridad usd'!L167,'Flujo de Fondos'!$H$36,'Flujo de Fondos'!$H$35)</f>
        <v>0.26189685569039589</v>
      </c>
      <c r="N167" s="103">
        <v>23.5</v>
      </c>
      <c r="O167" s="101">
        <f>myParidad('Flujo de Fondos'!$N$34,$A167,N167,'Flujo de Fondos'!$N$36,'Flujo de Fondos'!$N$35)</f>
        <v>0.23490748506581313</v>
      </c>
      <c r="P167" s="104">
        <f t="shared" si="20"/>
        <v>1.7920223320962686E-2</v>
      </c>
      <c r="Q167" s="104">
        <f t="shared" si="21"/>
        <v>1.9707906595657521E-2</v>
      </c>
      <c r="R167" s="104">
        <f t="shared" si="22"/>
        <v>-5.2327143823674593E-2</v>
      </c>
      <c r="S167" s="104">
        <f t="shared" si="23"/>
        <v>-2.5337773199091834E-2</v>
      </c>
      <c r="T167" s="104">
        <f t="shared" si="24"/>
        <v>-5.6298666034343137E-3</v>
      </c>
      <c r="U167" s="104">
        <f t="shared" si="25"/>
        <v>-4.325799652005452E-2</v>
      </c>
      <c r="V167" s="104">
        <f t="shared" si="26"/>
        <v>-1.7608791181918965E-2</v>
      </c>
      <c r="W167" s="104">
        <f t="shared" si="27"/>
        <v>3.1143213904372136E-4</v>
      </c>
      <c r="X167" s="104">
        <f t="shared" si="28"/>
        <v>3.6780547570154642E-2</v>
      </c>
      <c r="Y167" s="105">
        <f t="shared" si="29"/>
        <v>-7.0247367144637279E-2</v>
      </c>
    </row>
    <row r="168" spans="1:25" x14ac:dyDescent="0.25">
      <c r="A168" s="99">
        <v>44865</v>
      </c>
      <c r="B168" s="100">
        <v>20.021000000000001</v>
      </c>
      <c r="C168" s="101">
        <f>myParidad('Flujo de Fondos'!$B$5,A168,B168,'Flujo de Fondos'!$B$7,'Flujo de Fondos'!$B$6)</f>
        <v>0.19958663352815864</v>
      </c>
      <c r="D168" s="100">
        <v>22.5</v>
      </c>
      <c r="E168" s="102">
        <f>myParidad('Flujo de Fondos'!$H$5,$A168,D168,'Flujo de Fondos'!$H$7,'Flujo de Fondos'!$H$6)</f>
        <v>0.22429944829846507</v>
      </c>
      <c r="F168" s="100">
        <v>19.63</v>
      </c>
      <c r="G168" s="101">
        <f>myParidad('Flujo de Fondos'!$N$5,$A168,F168,'Flujo de Fondos'!$N$7,'Flujo de Fondos'!$N$6)</f>
        <v>0.18578411035627235</v>
      </c>
      <c r="H168" s="103">
        <v>22.478999999999999</v>
      </c>
      <c r="I168" s="101">
        <f>myParidad('Flujo de Fondos'!$T$5,$A168,H168,'Flujo de Fondos'!$T$7,'Flujo de Fondos'!$T$6)</f>
        <v>0.22470227376982957</v>
      </c>
      <c r="J168" s="103">
        <v>20.6</v>
      </c>
      <c r="K168" s="101">
        <f>myParidad('Flujo de Fondos'!$B$34,$A168,J168,'Flujo de Fondos'!$B$36,'Flujo de Fondos'!$B$35)</f>
        <v>0.20527871246920071</v>
      </c>
      <c r="L168" s="100">
        <v>25.25</v>
      </c>
      <c r="M168" s="101">
        <f>myParidad('Flujo de Fondos'!$H$34,'Paridad usd'!$A168,'Paridad usd'!L168,'Flujo de Fondos'!$H$36,'Flujo de Fondos'!$H$35)</f>
        <v>0.25240145970408812</v>
      </c>
      <c r="N168" s="103">
        <v>23</v>
      </c>
      <c r="O168" s="101">
        <f>myParidad('Flujo de Fondos'!$N$34,$A168,N168,'Flujo de Fondos'!$N$36,'Flujo de Fondos'!$N$35)</f>
        <v>0.22991024052253572</v>
      </c>
      <c r="P168" s="104">
        <f t="shared" si="20"/>
        <v>1.3802523171886294E-2</v>
      </c>
      <c r="Q168" s="104">
        <f t="shared" si="21"/>
        <v>2.4712814770306429E-2</v>
      </c>
      <c r="R168" s="104">
        <f t="shared" si="22"/>
        <v>-5.2814826175929475E-2</v>
      </c>
      <c r="S168" s="104">
        <f t="shared" si="23"/>
        <v>-3.0323606994377084E-2</v>
      </c>
      <c r="T168" s="104">
        <f t="shared" si="24"/>
        <v>-5.6107922240706543E-3</v>
      </c>
      <c r="U168" s="104">
        <f t="shared" si="25"/>
        <v>-4.4126130166263378E-2</v>
      </c>
      <c r="V168" s="104">
        <f t="shared" si="26"/>
        <v>-1.9494602112928361E-2</v>
      </c>
      <c r="W168" s="104">
        <f t="shared" si="27"/>
        <v>-5.6920789410420669E-3</v>
      </c>
      <c r="X168" s="104">
        <f t="shared" si="28"/>
        <v>3.8918163413557222E-2</v>
      </c>
      <c r="Y168" s="105">
        <f t="shared" si="29"/>
        <v>-6.6617349347815769E-2</v>
      </c>
    </row>
    <row r="169" spans="1:25" x14ac:dyDescent="0.25">
      <c r="A169" s="99">
        <v>44862</v>
      </c>
      <c r="B169" s="100">
        <v>20.55</v>
      </c>
      <c r="C169" s="101">
        <f>myParidad('Flujo de Fondos'!$B$5,A169,B169,'Flujo de Fondos'!$B$7,'Flujo de Fondos'!$B$6)</f>
        <v>0.2048769495506815</v>
      </c>
      <c r="D169" s="100">
        <v>22.6</v>
      </c>
      <c r="E169" s="102">
        <f>myParidad('Flujo de Fondos'!$H$5,$A169,D169,'Flujo de Fondos'!$H$7,'Flujo de Fondos'!$H$6)</f>
        <v>0.22531479609953295</v>
      </c>
      <c r="F169" s="100">
        <v>19.66</v>
      </c>
      <c r="G169" s="101">
        <f>myParidad('Flujo de Fondos'!$N$5,$A169,F169,'Flujo de Fondos'!$N$7,'Flujo de Fondos'!$N$6)</f>
        <v>0.18607527648485006</v>
      </c>
      <c r="H169" s="103">
        <v>22.5</v>
      </c>
      <c r="I169" s="101">
        <f>myParidad('Flujo de Fondos'!$T$5,$A169,H169,'Flujo de Fondos'!$T$7,'Flujo de Fondos'!$T$6)</f>
        <v>0.22491450167915622</v>
      </c>
      <c r="J169" s="103">
        <v>21</v>
      </c>
      <c r="K169" s="101">
        <f>myParidad('Flujo de Fondos'!$B$34,$A169,J169,'Flujo de Fondos'!$B$36,'Flujo de Fondos'!$B$35)</f>
        <v>0.20928399073034379</v>
      </c>
      <c r="L169" s="100">
        <v>25.4</v>
      </c>
      <c r="M169" s="101">
        <f>myParidad('Flujo de Fondos'!$H$34,'Paridad usd'!$A169,'Paridad usd'!L169,'Flujo de Fondos'!$H$36,'Flujo de Fondos'!$H$35)</f>
        <v>0.25390348189558076</v>
      </c>
      <c r="N169" s="103">
        <v>22.901</v>
      </c>
      <c r="O169" s="101">
        <f>myParidad('Flujo de Fondos'!$N$34,$A169,N169,'Flujo de Fondos'!$N$36,'Flujo de Fondos'!$N$35)</f>
        <v>0.2289229779090825</v>
      </c>
      <c r="P169" s="104">
        <f t="shared" si="20"/>
        <v>1.8801673065831442E-2</v>
      </c>
      <c r="Q169" s="104">
        <f t="shared" si="21"/>
        <v>2.0437846548851446E-2</v>
      </c>
      <c r="R169" s="104">
        <f t="shared" si="22"/>
        <v>-4.902653234489926E-2</v>
      </c>
      <c r="S169" s="104">
        <f t="shared" si="23"/>
        <v>-2.4046028358401E-2</v>
      </c>
      <c r="T169" s="104">
        <f t="shared" si="24"/>
        <v>-3.6081818095495544E-3</v>
      </c>
      <c r="U169" s="104">
        <f t="shared" si="25"/>
        <v>-4.2847701424232443E-2</v>
      </c>
      <c r="V169" s="104">
        <f t="shared" si="26"/>
        <v>-2.3208714245493728E-2</v>
      </c>
      <c r="W169" s="104">
        <f t="shared" si="27"/>
        <v>-4.4070411796622855E-3</v>
      </c>
      <c r="X169" s="104">
        <f t="shared" si="28"/>
        <v>3.8839225194306159E-2</v>
      </c>
      <c r="Y169" s="105">
        <f t="shared" si="29"/>
        <v>-6.7828205410730702E-2</v>
      </c>
    </row>
    <row r="170" spans="1:25" x14ac:dyDescent="0.25">
      <c r="A170" s="99">
        <v>44861</v>
      </c>
      <c r="B170" s="100">
        <v>20.75</v>
      </c>
      <c r="C170" s="101">
        <f>myParidad('Flujo de Fondos'!$B$5,A170,B170,'Flujo de Fondos'!$B$7,'Flujo de Fondos'!$B$6)</f>
        <v>0.2068765364654466</v>
      </c>
      <c r="D170" s="100">
        <v>22.6</v>
      </c>
      <c r="E170" s="102">
        <f>myParidad('Flujo de Fondos'!$H$5,$A170,D170,'Flujo de Fondos'!$H$7,'Flujo de Fondos'!$H$6)</f>
        <v>0.22532095055995632</v>
      </c>
      <c r="F170" s="100">
        <v>19.800999999999998</v>
      </c>
      <c r="G170" s="101">
        <f>myParidad('Flujo de Fondos'!$N$5,$A170,F170,'Flujo de Fondos'!$N$7,'Flujo de Fondos'!$N$6)</f>
        <v>0.18741222383570166</v>
      </c>
      <c r="H170" s="103">
        <v>22.6</v>
      </c>
      <c r="I170" s="101">
        <f>myParidad('Flujo de Fondos'!$T$5,$A170,H170,'Flujo de Fondos'!$T$7,'Flujo de Fondos'!$T$6)</f>
        <v>0.2259148950737736</v>
      </c>
      <c r="J170" s="103">
        <v>20.9</v>
      </c>
      <c r="K170" s="101">
        <f>myParidad('Flujo de Fondos'!$B$34,$A170,J170,'Flujo de Fondos'!$B$36,'Flujo de Fondos'!$B$35)</f>
        <v>0.20829379842315435</v>
      </c>
      <c r="L170" s="100">
        <v>25.2</v>
      </c>
      <c r="M170" s="101">
        <f>myParidad('Flujo de Fondos'!$H$34,'Paridad usd'!$A170,'Paridad usd'!L170,'Flujo de Fondos'!$H$36,'Flujo de Fondos'!$H$35)</f>
        <v>0.25190510424155282</v>
      </c>
      <c r="N170" s="103">
        <v>22.5</v>
      </c>
      <c r="O170" s="101">
        <f>myParidad('Flujo de Fondos'!$N$34,$A170,N170,'Flujo de Fondos'!$N$36,'Flujo de Fondos'!$N$35)</f>
        <v>0.2249152716442436</v>
      </c>
      <c r="P170" s="104">
        <f t="shared" si="20"/>
        <v>1.9464312629744934E-2</v>
      </c>
      <c r="Q170" s="104">
        <f t="shared" si="21"/>
        <v>1.8444414094509726E-2</v>
      </c>
      <c r="R170" s="104">
        <f t="shared" si="22"/>
        <v>-4.5028567776106226E-2</v>
      </c>
      <c r="S170" s="104">
        <f t="shared" si="23"/>
        <v>-1.8038735178797005E-2</v>
      </c>
      <c r="T170" s="104">
        <f t="shared" si="24"/>
        <v>4.0567891571272052E-4</v>
      </c>
      <c r="U170" s="104">
        <f t="shared" si="25"/>
        <v>-3.7503047808541939E-2</v>
      </c>
      <c r="V170" s="104">
        <f t="shared" si="26"/>
        <v>-2.0881574587452684E-2</v>
      </c>
      <c r="W170" s="104">
        <f t="shared" si="27"/>
        <v>-1.4172619577077494E-3</v>
      </c>
      <c r="X170" s="104">
        <f t="shared" si="28"/>
        <v>3.8502671238071939E-2</v>
      </c>
      <c r="Y170" s="105">
        <f t="shared" si="29"/>
        <v>-6.4492880405851161E-2</v>
      </c>
    </row>
    <row r="171" spans="1:25" x14ac:dyDescent="0.25">
      <c r="A171" s="99">
        <v>44860</v>
      </c>
      <c r="B171" s="100">
        <v>20.3</v>
      </c>
      <c r="C171" s="101">
        <f>myParidad('Flujo de Fondos'!$B$5,A171,B171,'Flujo de Fondos'!$B$7,'Flujo de Fondos'!$B$6)</f>
        <v>0.20239558578491629</v>
      </c>
      <c r="D171" s="100">
        <v>22.088000000000001</v>
      </c>
      <c r="E171" s="102">
        <f>myParidad('Flujo de Fondos'!$H$5,$A171,D171,'Flujo de Fondos'!$H$7,'Flujo de Fondos'!$H$6)</f>
        <v>0.22022234969543009</v>
      </c>
      <c r="F171" s="100">
        <v>20.02</v>
      </c>
      <c r="G171" s="101">
        <f>myParidad('Flujo de Fondos'!$N$5,$A171,F171,'Flujo de Fondos'!$N$7,'Flujo de Fondos'!$N$6)</f>
        <v>0.18948746872042216</v>
      </c>
      <c r="H171" s="103">
        <v>22.8</v>
      </c>
      <c r="I171" s="101">
        <f>myParidad('Flujo de Fondos'!$T$5,$A171,H171,'Flujo de Fondos'!$T$7,'Flujo de Fondos'!$T$6)</f>
        <v>0.22791492216946416</v>
      </c>
      <c r="J171" s="103">
        <v>21.2</v>
      </c>
      <c r="K171" s="101">
        <f>myParidad('Flujo de Fondos'!$B$34,$A171,J171,'Flujo de Fondos'!$B$36,'Flujo de Fondos'!$B$35)</f>
        <v>0.21129015192111433</v>
      </c>
      <c r="L171" s="100">
        <v>25.4</v>
      </c>
      <c r="M171" s="101">
        <f>myParidad('Flujo de Fondos'!$H$34,'Paridad usd'!$A171,'Paridad usd'!L171,'Flujo de Fondos'!$H$36,'Flujo de Fondos'!$H$35)</f>
        <v>0.25390522031159601</v>
      </c>
      <c r="N171" s="103">
        <v>23</v>
      </c>
      <c r="O171" s="101">
        <f>myParidad('Flujo de Fondos'!$N$34,$A171,N171,'Flujo de Fondos'!$N$36,'Flujo de Fondos'!$N$35)</f>
        <v>0.22991417587270505</v>
      </c>
      <c r="P171" s="104">
        <f t="shared" si="20"/>
        <v>1.2908117064494129E-2</v>
      </c>
      <c r="Q171" s="104">
        <f t="shared" si="21"/>
        <v>1.7826763910513799E-2</v>
      </c>
      <c r="R171" s="104">
        <f t="shared" si="22"/>
        <v>-5.1509634526679726E-2</v>
      </c>
      <c r="S171" s="104">
        <f t="shared" si="23"/>
        <v>-2.7518590087788758E-2</v>
      </c>
      <c r="T171" s="104">
        <f t="shared" si="24"/>
        <v>-9.6918261772749592E-3</v>
      </c>
      <c r="U171" s="104">
        <f t="shared" si="25"/>
        <v>-4.0426707152282887E-2</v>
      </c>
      <c r="V171" s="104">
        <f t="shared" si="26"/>
        <v>-2.1802683200692174E-2</v>
      </c>
      <c r="W171" s="104">
        <f t="shared" si="27"/>
        <v>-8.8945661361980455E-3</v>
      </c>
      <c r="X171" s="104">
        <f t="shared" si="28"/>
        <v>3.8427453449041998E-2</v>
      </c>
      <c r="Y171" s="105">
        <f t="shared" si="29"/>
        <v>-6.4417751591173855E-2</v>
      </c>
    </row>
    <row r="172" spans="1:25" x14ac:dyDescent="0.25">
      <c r="A172" s="99">
        <v>44859</v>
      </c>
      <c r="B172" s="100">
        <v>21.31</v>
      </c>
      <c r="C172" s="101">
        <f>myParidad('Flujo de Fondos'!$B$5,A172,B172,'Flujo de Fondos'!$B$7,'Flujo de Fondos'!$B$6)</f>
        <v>0.21247131774475522</v>
      </c>
      <c r="D172" s="100">
        <v>23.05</v>
      </c>
      <c r="E172" s="102">
        <f>myParidad('Flujo de Fondos'!$H$5,$A172,D172,'Flujo de Fondos'!$H$7,'Flujo de Fondos'!$H$6)</f>
        <v>0.22981998470279721</v>
      </c>
      <c r="F172" s="100">
        <v>20.361000000000001</v>
      </c>
      <c r="G172" s="101">
        <f>myParidad('Flujo de Fondos'!$N$5,$A172,F172,'Flujo de Fondos'!$N$7,'Flujo de Fondos'!$N$6)</f>
        <v>0.19271750123175066</v>
      </c>
      <c r="H172" s="103">
        <v>23.38</v>
      </c>
      <c r="I172" s="101">
        <f>myParidad('Flujo de Fondos'!$T$5,$A172,H172,'Flujo de Fondos'!$T$7,'Flujo de Fondos'!$T$6)</f>
        <v>0.23371355799909621</v>
      </c>
      <c r="J172" s="103">
        <v>21.35</v>
      </c>
      <c r="K172" s="101">
        <f>myParidad('Flujo de Fondos'!$B$34,$A172,J172,'Flujo de Fondos'!$B$36,'Flujo de Fondos'!$B$35)</f>
        <v>0.2127916660977841</v>
      </c>
      <c r="L172" s="100">
        <v>25.98</v>
      </c>
      <c r="M172" s="101">
        <f>myParidad('Flujo de Fondos'!$H$34,'Paridad usd'!$A172,'Paridad usd'!L172,'Flujo de Fondos'!$H$36,'Flujo de Fondos'!$H$35)</f>
        <v>0.25970394511618988</v>
      </c>
      <c r="N172" s="103">
        <v>23.25</v>
      </c>
      <c r="O172" s="101">
        <f>myParidad('Flujo de Fondos'!$N$34,$A172,N172,'Flujo de Fondos'!$N$36,'Flujo de Fondos'!$N$35)</f>
        <v>0.23241403864324153</v>
      </c>
      <c r="P172" s="104">
        <f t="shared" si="20"/>
        <v>1.9753816513004563E-2</v>
      </c>
      <c r="Q172" s="104">
        <f t="shared" si="21"/>
        <v>1.7348666958041992E-2</v>
      </c>
      <c r="R172" s="104">
        <f t="shared" si="22"/>
        <v>-4.723262737143466E-2</v>
      </c>
      <c r="S172" s="104">
        <f t="shared" si="23"/>
        <v>-1.994272089848631E-2</v>
      </c>
      <c r="T172" s="104">
        <f t="shared" si="24"/>
        <v>-2.5940539404443186E-3</v>
      </c>
      <c r="U172" s="104">
        <f t="shared" si="25"/>
        <v>-3.9696537411490873E-2</v>
      </c>
      <c r="V172" s="104">
        <f t="shared" si="26"/>
        <v>-2.0074164866033445E-2</v>
      </c>
      <c r="W172" s="104">
        <f t="shared" si="27"/>
        <v>-3.2034835302888198E-4</v>
      </c>
      <c r="X172" s="104">
        <f t="shared" si="28"/>
        <v>4.0996056767345551E-2</v>
      </c>
      <c r="Y172" s="105">
        <f t="shared" si="29"/>
        <v>-6.6986443884439223E-2</v>
      </c>
    </row>
    <row r="173" spans="1:25" x14ac:dyDescent="0.25">
      <c r="A173" s="99">
        <v>44858</v>
      </c>
      <c r="B173" s="100">
        <v>20.95</v>
      </c>
      <c r="C173" s="101">
        <f>myParidad('Flujo de Fondos'!$B$5,A173,B173,'Flujo de Fondos'!$B$7,'Flujo de Fondos'!$B$6)</f>
        <v>0.20888764443958804</v>
      </c>
      <c r="D173" s="100">
        <v>22.89</v>
      </c>
      <c r="E173" s="102">
        <f>myParidad('Flujo de Fondos'!$H$5,$A173,D173,'Flujo de Fondos'!$H$7,'Flujo de Fondos'!$H$6)</f>
        <v>0.22823093943781245</v>
      </c>
      <c r="F173" s="100">
        <v>19.850000000000001</v>
      </c>
      <c r="G173" s="101">
        <f>myParidad('Flujo de Fondos'!$N$5,$A173,F173,'Flujo de Fondos'!$N$7,'Flujo de Fondos'!$N$6)</f>
        <v>0.18788330632090763</v>
      </c>
      <c r="H173" s="103">
        <v>23.2</v>
      </c>
      <c r="I173" s="101">
        <f>myParidad('Flujo de Fondos'!$T$5,$A173,H173,'Flujo de Fondos'!$T$7,'Flujo de Fondos'!$T$6)</f>
        <v>0.23191501744223864</v>
      </c>
      <c r="J173" s="103">
        <v>21</v>
      </c>
      <c r="K173" s="101">
        <f>myParidad('Flujo de Fondos'!$B$34,$A173,J173,'Flujo de Fondos'!$B$36,'Flujo de Fondos'!$B$35)</f>
        <v>0.20930970805187002</v>
      </c>
      <c r="L173" s="100">
        <v>25</v>
      </c>
      <c r="M173" s="101">
        <f>myParidad('Flujo de Fondos'!$H$34,'Paridad usd'!$A173,'Paridad usd'!L173,'Flujo de Fondos'!$H$36,'Flujo de Fondos'!$H$35)</f>
        <v>0.24990842396792956</v>
      </c>
      <c r="N173" s="103">
        <v>23.1</v>
      </c>
      <c r="O173" s="101">
        <f>myParidad('Flujo de Fondos'!$N$34,$A173,N173,'Flujo de Fondos'!$N$36,'Flujo de Fondos'!$N$35)</f>
        <v>0.23091538374636691</v>
      </c>
      <c r="P173" s="104">
        <f t="shared" si="20"/>
        <v>2.100433811868041E-2</v>
      </c>
      <c r="Q173" s="104">
        <f t="shared" si="21"/>
        <v>1.9343294998224403E-2</v>
      </c>
      <c r="R173" s="104">
        <f t="shared" si="22"/>
        <v>-4.1020779528341517E-2</v>
      </c>
      <c r="S173" s="104">
        <f t="shared" si="23"/>
        <v>-2.2027739306778871E-2</v>
      </c>
      <c r="T173" s="104">
        <f t="shared" si="24"/>
        <v>-2.6844443085544678E-3</v>
      </c>
      <c r="U173" s="104">
        <f t="shared" si="25"/>
        <v>-4.3032077425459281E-2</v>
      </c>
      <c r="V173" s="104">
        <f t="shared" si="26"/>
        <v>-2.1426401730962386E-2</v>
      </c>
      <c r="W173" s="104">
        <f t="shared" si="27"/>
        <v>-4.2206361228197542E-4</v>
      </c>
      <c r="X173" s="104">
        <f t="shared" si="28"/>
        <v>4.4031711121331002E-2</v>
      </c>
      <c r="Y173" s="105">
        <f t="shared" si="29"/>
        <v>-6.2025117647021927E-2</v>
      </c>
    </row>
    <row r="174" spans="1:25" x14ac:dyDescent="0.25">
      <c r="A174" s="99">
        <v>44855</v>
      </c>
      <c r="B174" s="100">
        <v>19.82</v>
      </c>
      <c r="C174" s="101">
        <f>myParidad('Flujo de Fondos'!$B$5,A174,B174,'Flujo de Fondos'!$B$7,'Flujo de Fondos'!$B$6)</f>
        <v>0.19763687028740029</v>
      </c>
      <c r="D174" s="100">
        <v>21.548999999999999</v>
      </c>
      <c r="E174" s="102">
        <f>myParidad('Flujo de Fondos'!$H$5,$A174,D174,'Flujo de Fondos'!$H$7,'Flujo de Fondos'!$H$6)</f>
        <v>0.21487774560157361</v>
      </c>
      <c r="F174" s="100">
        <v>19.100000000000001</v>
      </c>
      <c r="G174" s="101">
        <f>myParidad('Flujo de Fondos'!$N$5,$A174,F174,'Flujo de Fondos'!$N$7,'Flujo de Fondos'!$N$6)</f>
        <v>0.18079147325017506</v>
      </c>
      <c r="H174" s="103">
        <v>22.1</v>
      </c>
      <c r="I174" s="101">
        <f>myParidad('Flujo de Fondos'!$T$5,$A174,H174,'Flujo de Fondos'!$T$7,'Flujo de Fondos'!$T$6)</f>
        <v>0.22092131569577961</v>
      </c>
      <c r="J174" s="103">
        <v>19.899999999999999</v>
      </c>
      <c r="K174" s="101">
        <f>myParidad('Flujo de Fondos'!$B$34,$A174,J174,'Flujo de Fondos'!$B$36,'Flujo de Fondos'!$B$35)</f>
        <v>0.19836414780020209</v>
      </c>
      <c r="L174" s="100">
        <v>24</v>
      </c>
      <c r="M174" s="101">
        <f>myParidad('Flujo de Fondos'!$H$34,'Paridad usd'!$A174,'Paridad usd'!L174,'Flujo de Fondos'!$H$36,'Flujo de Fondos'!$H$35)</f>
        <v>0.23991455098184208</v>
      </c>
      <c r="N174" s="103">
        <v>22.15</v>
      </c>
      <c r="O174" s="101">
        <f>myParidad('Flujo de Fondos'!$N$34,$A174,N174,'Flujo de Fondos'!$N$36,'Flujo de Fondos'!$N$35)</f>
        <v>0.22142113767699173</v>
      </c>
      <c r="P174" s="104">
        <f t="shared" si="20"/>
        <v>1.6845397037225235E-2</v>
      </c>
      <c r="Q174" s="104">
        <f t="shared" si="21"/>
        <v>1.7240875314173315E-2</v>
      </c>
      <c r="R174" s="104">
        <f t="shared" si="22"/>
        <v>-4.2277680694441794E-2</v>
      </c>
      <c r="S174" s="104">
        <f t="shared" si="23"/>
        <v>-2.378426738959144E-2</v>
      </c>
      <c r="T174" s="104">
        <f t="shared" si="24"/>
        <v>-6.5433920754181252E-3</v>
      </c>
      <c r="U174" s="104">
        <f t="shared" si="25"/>
        <v>-4.0629664426816675E-2</v>
      </c>
      <c r="V174" s="104">
        <f t="shared" si="26"/>
        <v>-1.7572674550027034E-2</v>
      </c>
      <c r="W174" s="104">
        <f t="shared" si="27"/>
        <v>-7.2727751280179942E-4</v>
      </c>
      <c r="X174" s="104">
        <f t="shared" si="28"/>
        <v>4.0129842445604552E-2</v>
      </c>
      <c r="Y174" s="105">
        <f t="shared" si="29"/>
        <v>-5.9123077731667029E-2</v>
      </c>
    </row>
    <row r="175" spans="1:25" x14ac:dyDescent="0.25">
      <c r="A175" s="99">
        <v>44854</v>
      </c>
      <c r="B175" s="100">
        <v>19.997</v>
      </c>
      <c r="C175" s="101">
        <f>myParidad('Flujo de Fondos'!$B$5,A175,B175,'Flujo de Fondos'!$B$7,'Flujo de Fondos'!$B$6)</f>
        <v>0.19940728902002569</v>
      </c>
      <c r="D175" s="100">
        <v>21.2</v>
      </c>
      <c r="E175" s="102">
        <f>myParidad('Flujo de Fondos'!$H$5,$A175,D175,'Flujo de Fondos'!$H$7,'Flujo de Fondos'!$H$6)</f>
        <v>0.21140343687675872</v>
      </c>
      <c r="F175" s="100">
        <v>18.57</v>
      </c>
      <c r="G175" s="101">
        <f>myParidad('Flujo de Fondos'!$N$5,$A175,F175,'Flujo de Fondos'!$N$7,'Flujo de Fondos'!$N$6)</f>
        <v>0.17577702571284087</v>
      </c>
      <c r="H175" s="103">
        <v>21.35</v>
      </c>
      <c r="I175" s="101">
        <f>myParidad('Flujo de Fondos'!$T$5,$A175,H175,'Flujo de Fondos'!$T$7,'Flujo de Fondos'!$T$6)</f>
        <v>0.21342471662393062</v>
      </c>
      <c r="J175" s="103">
        <v>19.3</v>
      </c>
      <c r="K175" s="101">
        <f>myParidad('Flujo de Fondos'!$B$34,$A175,J175,'Flujo de Fondos'!$B$36,'Flujo de Fondos'!$B$35)</f>
        <v>0.19238923008121478</v>
      </c>
      <c r="L175" s="100">
        <v>23.5</v>
      </c>
      <c r="M175" s="101">
        <f>myParidad('Flujo de Fondos'!$H$34,'Paridad usd'!$A175,'Paridad usd'!L175,'Flujo de Fondos'!$H$36,'Flujo de Fondos'!$H$35)</f>
        <v>0.23491713539402198</v>
      </c>
      <c r="N175" s="103">
        <v>21.4</v>
      </c>
      <c r="O175" s="101">
        <f>myParidad('Flujo de Fondos'!$N$34,$A175,N175,'Flujo de Fondos'!$N$36,'Flujo de Fondos'!$N$35)</f>
        <v>0.21392454031625829</v>
      </c>
      <c r="P175" s="104">
        <f t="shared" si="20"/>
        <v>2.3630263307184818E-2</v>
      </c>
      <c r="Q175" s="104">
        <f t="shared" si="21"/>
        <v>1.199614785673303E-2</v>
      </c>
      <c r="R175" s="104">
        <f t="shared" si="22"/>
        <v>-3.550984637399629E-2</v>
      </c>
      <c r="S175" s="104">
        <f t="shared" si="23"/>
        <v>-1.4517251296232603E-2</v>
      </c>
      <c r="T175" s="104">
        <f t="shared" si="24"/>
        <v>-2.5211034394995724E-3</v>
      </c>
      <c r="U175" s="104">
        <f t="shared" si="25"/>
        <v>-3.8147514603417421E-2</v>
      </c>
      <c r="V175" s="104">
        <f t="shared" si="26"/>
        <v>-1.6612204368373906E-2</v>
      </c>
      <c r="W175" s="104">
        <f t="shared" si="27"/>
        <v>7.0180589388109116E-3</v>
      </c>
      <c r="X175" s="104">
        <f t="shared" si="28"/>
        <v>3.7647690911089743E-2</v>
      </c>
      <c r="Y175" s="105">
        <f t="shared" si="29"/>
        <v>-5.9140109681181108E-2</v>
      </c>
    </row>
    <row r="176" spans="1:25" x14ac:dyDescent="0.25">
      <c r="A176" s="99">
        <v>44853</v>
      </c>
      <c r="B176" s="100">
        <v>19.28</v>
      </c>
      <c r="C176" s="101">
        <f>myParidad('Flujo de Fondos'!$B$5,A176,B176,'Flujo de Fondos'!$B$7,'Flujo de Fondos'!$B$6)</f>
        <v>0.19226271788426863</v>
      </c>
      <c r="D176" s="100">
        <v>20</v>
      </c>
      <c r="E176" s="102">
        <f>myParidad('Flujo de Fondos'!$H$5,$A176,D176,'Flujo de Fondos'!$H$7,'Flujo de Fondos'!$H$6)</f>
        <v>0.19944265340691766</v>
      </c>
      <c r="F176" s="100">
        <v>18.420999999999999</v>
      </c>
      <c r="G176" s="101">
        <f>myParidad('Flujo de Fondos'!$N$5,$A176,F176,'Flujo de Fondos'!$N$7,'Flujo de Fondos'!$N$6)</f>
        <v>0.17436890560165974</v>
      </c>
      <c r="H176" s="103">
        <v>20.981000000000002</v>
      </c>
      <c r="I176" s="101">
        <f>myParidad('Flujo de Fondos'!$T$5,$A176,H176,'Flujo de Fondos'!$T$7,'Flujo de Fondos'!$T$6)</f>
        <v>0.2097367357977693</v>
      </c>
      <c r="J176" s="103">
        <v>18.850000000000001</v>
      </c>
      <c r="K176" s="101">
        <f>myParidad('Flujo de Fondos'!$B$34,$A176,J176,'Flujo de Fondos'!$B$36,'Flujo de Fondos'!$B$35)</f>
        <v>0.18790924422534636</v>
      </c>
      <c r="L176" s="100">
        <v>23.15</v>
      </c>
      <c r="M176" s="101">
        <f>myParidad('Flujo de Fondos'!$H$34,'Paridad usd'!$A176,'Paridad usd'!L176,'Flujo de Fondos'!$H$36,'Flujo de Fondos'!$H$35)</f>
        <v>0.23141916179964531</v>
      </c>
      <c r="N176" s="103">
        <v>21.148</v>
      </c>
      <c r="O176" s="101">
        <f>myParidad('Flujo de Fondos'!$N$34,$A176,N176,'Flujo de Fondos'!$N$36,'Flujo de Fondos'!$N$35)</f>
        <v>0.21140615264530882</v>
      </c>
      <c r="P176" s="104">
        <f t="shared" si="20"/>
        <v>1.789381228260889E-2</v>
      </c>
      <c r="Q176" s="104">
        <f t="shared" si="21"/>
        <v>7.1799355226490336E-3</v>
      </c>
      <c r="R176" s="104">
        <f t="shared" si="22"/>
        <v>-3.9156443915376676E-2</v>
      </c>
      <c r="S176" s="104">
        <f t="shared" si="23"/>
        <v>-1.914343476104019E-2</v>
      </c>
      <c r="T176" s="104">
        <f t="shared" si="24"/>
        <v>-1.1963499238391156E-2</v>
      </c>
      <c r="U176" s="104">
        <f t="shared" si="25"/>
        <v>-3.703724704364908E-2</v>
      </c>
      <c r="V176" s="104">
        <f t="shared" si="26"/>
        <v>-1.3540338623686615E-2</v>
      </c>
      <c r="W176" s="104">
        <f t="shared" si="27"/>
        <v>4.3534736589222744E-3</v>
      </c>
      <c r="X176" s="104">
        <f t="shared" si="28"/>
        <v>3.5367830196109562E-2</v>
      </c>
      <c r="Y176" s="105">
        <f t="shared" si="29"/>
        <v>-5.7050256197985566E-2</v>
      </c>
    </row>
    <row r="177" spans="1:25" x14ac:dyDescent="0.25">
      <c r="A177" s="99">
        <v>44852</v>
      </c>
      <c r="B177" s="100">
        <v>19.350000000000001</v>
      </c>
      <c r="C177" s="101">
        <f>myParidad('Flujo de Fondos'!$B$5,A177,B177,'Flujo de Fondos'!$B$7,'Flujo de Fondos'!$B$6)</f>
        <v>0.19296603917925742</v>
      </c>
      <c r="D177" s="100">
        <v>20.52</v>
      </c>
      <c r="E177" s="102">
        <f>myParidad('Flujo de Fondos'!$H$5,$A177,D177,'Flujo de Fondos'!$H$7,'Flujo de Fondos'!$H$6)</f>
        <v>0.20463375317614271</v>
      </c>
      <c r="F177" s="100">
        <v>18.5</v>
      </c>
      <c r="G177" s="101">
        <f>myParidad('Flujo de Fondos'!$N$5,$A177,F177,'Flujo de Fondos'!$N$7,'Flujo de Fondos'!$N$6)</f>
        <v>0.17511897197837109</v>
      </c>
      <c r="H177" s="103">
        <v>20.98</v>
      </c>
      <c r="I177" s="101">
        <f>myParidad('Flujo de Fondos'!$T$5,$A177,H177,'Flujo de Fondos'!$T$7,'Flujo de Fondos'!$T$6)</f>
        <v>0.20972745728361081</v>
      </c>
      <c r="J177" s="103">
        <v>19</v>
      </c>
      <c r="K177" s="101">
        <f>myParidad('Flujo de Fondos'!$B$34,$A177,J177,'Flujo de Fondos'!$B$36,'Flujo de Fondos'!$B$35)</f>
        <v>0.18941036294548819</v>
      </c>
      <c r="L177" s="100">
        <v>23.3</v>
      </c>
      <c r="M177" s="101">
        <f>myParidad('Flujo de Fondos'!$H$34,'Paridad usd'!$A177,'Paridad usd'!L177,'Flujo de Fondos'!$H$36,'Flujo de Fondos'!$H$35)</f>
        <v>0.23291943540076893</v>
      </c>
      <c r="N177" s="103">
        <v>21.3</v>
      </c>
      <c r="O177" s="101">
        <f>myParidad('Flujo de Fondos'!$N$34,$A177,N177,'Flujo de Fondos'!$N$36,'Flujo de Fondos'!$N$35)</f>
        <v>0.21292635081701194</v>
      </c>
      <c r="P177" s="104">
        <f t="shared" si="20"/>
        <v>1.784706720088633E-2</v>
      </c>
      <c r="Q177" s="104">
        <f t="shared" si="21"/>
        <v>1.1667713996885293E-2</v>
      </c>
      <c r="R177" s="104">
        <f t="shared" si="22"/>
        <v>-3.9953396221511506E-2</v>
      </c>
      <c r="S177" s="104">
        <f t="shared" si="23"/>
        <v>-1.9960311637754524E-2</v>
      </c>
      <c r="T177" s="104">
        <f t="shared" si="24"/>
        <v>-8.2925976408692315E-3</v>
      </c>
      <c r="U177" s="104">
        <f t="shared" si="25"/>
        <v>-3.7807378838640854E-2</v>
      </c>
      <c r="V177" s="104">
        <f t="shared" si="26"/>
        <v>-1.4291390967117096E-2</v>
      </c>
      <c r="W177" s="104">
        <f t="shared" si="27"/>
        <v>3.5556762337692338E-3</v>
      </c>
      <c r="X177" s="104">
        <f t="shared" si="28"/>
        <v>3.4608485305239717E-2</v>
      </c>
      <c r="Y177" s="105">
        <f t="shared" si="29"/>
        <v>-5.7800463422397835E-2</v>
      </c>
    </row>
    <row r="178" spans="1:25" x14ac:dyDescent="0.25">
      <c r="A178" s="99">
        <v>44851</v>
      </c>
      <c r="B178" s="100">
        <v>19.221</v>
      </c>
      <c r="C178" s="101">
        <f>myParidad('Flujo de Fondos'!$B$5,A178,B178,'Flujo de Fondos'!$B$7,'Flujo de Fondos'!$B$6)</f>
        <v>0.19168483606557377</v>
      </c>
      <c r="D178" s="100">
        <v>21</v>
      </c>
      <c r="E178" s="102">
        <f>myParidad('Flujo de Fondos'!$H$5,$A178,D178,'Flujo de Fondos'!$H$7,'Flujo de Fondos'!$H$6)</f>
        <v>0.20942622950819673</v>
      </c>
      <c r="F178" s="100">
        <v>18.402999999999999</v>
      </c>
      <c r="G178" s="101">
        <f>myParidad('Flujo de Fondos'!$N$5,$A178,F178,'Flujo de Fondos'!$N$7,'Flujo de Fondos'!$N$6)</f>
        <v>0.17420303949791227</v>
      </c>
      <c r="H178" s="103">
        <v>20.89</v>
      </c>
      <c r="I178" s="101">
        <f>myParidad('Flujo de Fondos'!$T$5,$A178,H178,'Flujo de Fondos'!$T$7,'Flujo de Fondos'!$T$6)</f>
        <v>0.20882848339609722</v>
      </c>
      <c r="J178" s="103">
        <v>19</v>
      </c>
      <c r="K178" s="101">
        <f>myParidad('Flujo de Fondos'!$B$34,$A178,J178,'Flujo de Fondos'!$B$36,'Flujo de Fondos'!$B$35)</f>
        <v>0.18941618299761009</v>
      </c>
      <c r="L178" s="100">
        <v>23.23</v>
      </c>
      <c r="M178" s="101">
        <f>myParidad('Flujo de Fondos'!$H$34,'Paridad usd'!$A178,'Paridad usd'!L178,'Flujo de Fondos'!$H$36,'Flujo de Fondos'!$H$35)</f>
        <v>0.23222047244094488</v>
      </c>
      <c r="N178" s="103">
        <v>21.49</v>
      </c>
      <c r="O178" s="101">
        <f>myParidad('Flujo de Fondos'!$N$34,$A178,N178,'Flujo de Fondos'!$N$36,'Flujo de Fondos'!$N$35)</f>
        <v>0.21482642930503251</v>
      </c>
      <c r="P178" s="104">
        <f t="shared" si="20"/>
        <v>1.7481796567661495E-2</v>
      </c>
      <c r="Q178" s="104">
        <f t="shared" si="21"/>
        <v>1.774139344262296E-2</v>
      </c>
      <c r="R178" s="104">
        <f t="shared" si="22"/>
        <v>-4.0535636375371109E-2</v>
      </c>
      <c r="S178" s="104">
        <f t="shared" si="23"/>
        <v>-2.3141593239458746E-2</v>
      </c>
      <c r="T178" s="104">
        <f t="shared" si="24"/>
        <v>-5.4001997968357862E-3</v>
      </c>
      <c r="U178" s="104">
        <f t="shared" si="25"/>
        <v>-4.0623389807120242E-2</v>
      </c>
      <c r="V178" s="104">
        <f t="shared" si="26"/>
        <v>-1.5213143499697823E-2</v>
      </c>
      <c r="W178" s="104">
        <f t="shared" si="27"/>
        <v>2.2686530679636718E-3</v>
      </c>
      <c r="X178" s="104">
        <f t="shared" si="28"/>
        <v>3.4625443898184949E-2</v>
      </c>
      <c r="Y178" s="105">
        <f t="shared" si="29"/>
        <v>-5.8017432943032604E-2</v>
      </c>
    </row>
    <row r="179" spans="1:25" x14ac:dyDescent="0.25">
      <c r="A179" s="99">
        <v>44848</v>
      </c>
      <c r="B179" s="100">
        <v>19.149999999999999</v>
      </c>
      <c r="C179" s="101">
        <f>myParidad('Flujo de Fondos'!$B$5,A179,B179,'Flujo de Fondos'!$B$7,'Flujo de Fondos'!$B$6)</f>
        <v>0.19099243107358524</v>
      </c>
      <c r="D179" s="100">
        <v>20.7</v>
      </c>
      <c r="E179" s="102">
        <f>myParidad('Flujo de Fondos'!$H$5,$A179,D179,'Flujo de Fondos'!$H$7,'Flujo de Fondos'!$H$6)</f>
        <v>0.20645134847118615</v>
      </c>
      <c r="F179" s="100">
        <v>18.311</v>
      </c>
      <c r="G179" s="101">
        <f>myParidad('Flujo de Fondos'!$N$5,$A179,F179,'Flujo de Fondos'!$N$7,'Flujo de Fondos'!$N$6)</f>
        <v>0.17333890942099461</v>
      </c>
      <c r="H179" s="103">
        <v>20.599</v>
      </c>
      <c r="I179" s="101">
        <f>myParidad('Flujo de Fondos'!$T$5,$A179,H179,'Flujo de Fondos'!$T$7,'Flujo de Fondos'!$T$6)</f>
        <v>0.20592159453880046</v>
      </c>
      <c r="J179" s="103">
        <v>18.850000000000001</v>
      </c>
      <c r="K179" s="101">
        <f>myParidad('Flujo de Fondos'!$B$34,$A179,J179,'Flujo de Fondos'!$B$36,'Flujo de Fondos'!$B$35)</f>
        <v>0.18793811652149567</v>
      </c>
      <c r="L179" s="100">
        <v>23.1</v>
      </c>
      <c r="M179" s="101">
        <f>myParidad('Flujo de Fondos'!$H$34,'Paridad usd'!$A179,'Paridad usd'!L179,'Flujo de Fondos'!$H$36,'Flujo de Fondos'!$H$35)</f>
        <v>0.23092328918133362</v>
      </c>
      <c r="N179" s="103">
        <v>20.8</v>
      </c>
      <c r="O179" s="101">
        <f>myParidad('Flujo de Fondos'!$N$34,$A179,N179,'Flujo de Fondos'!$N$36,'Flujo de Fondos'!$N$35)</f>
        <v>0.20793092705505364</v>
      </c>
      <c r="P179" s="104">
        <f t="shared" si="20"/>
        <v>1.7653521652590626E-2</v>
      </c>
      <c r="Q179" s="104">
        <f t="shared" si="21"/>
        <v>1.5458917397600913E-2</v>
      </c>
      <c r="R179" s="104">
        <f t="shared" si="22"/>
        <v>-3.9930858107748379E-2</v>
      </c>
      <c r="S179" s="104">
        <f t="shared" si="23"/>
        <v>-1.6938495981468404E-2</v>
      </c>
      <c r="T179" s="104">
        <f t="shared" si="24"/>
        <v>-1.4795785838674913E-3</v>
      </c>
      <c r="U179" s="104">
        <f t="shared" si="25"/>
        <v>-3.459201763405903E-2</v>
      </c>
      <c r="V179" s="104">
        <f t="shared" si="26"/>
        <v>-1.4599207100501055E-2</v>
      </c>
      <c r="W179" s="104">
        <f t="shared" si="27"/>
        <v>3.0543145520895709E-3</v>
      </c>
      <c r="X179" s="104">
        <f t="shared" si="28"/>
        <v>3.2582685117805849E-2</v>
      </c>
      <c r="Y179" s="105">
        <f t="shared" si="29"/>
        <v>-5.7584379760339005E-2</v>
      </c>
    </row>
    <row r="180" spans="1:25" x14ac:dyDescent="0.25">
      <c r="A180" s="99">
        <v>44847</v>
      </c>
      <c r="B180" s="100">
        <v>19.649999999999999</v>
      </c>
      <c r="C180" s="101">
        <f>myParidad('Flujo de Fondos'!$B$5,A180,B180,'Flujo de Fondos'!$B$7,'Flujo de Fondos'!$B$6)</f>
        <v>0.19598453382883374</v>
      </c>
      <c r="D180" s="100">
        <v>20.600999999999999</v>
      </c>
      <c r="E180" s="102">
        <f>myParidad('Flujo de Fondos'!$H$5,$A180,D180,'Flujo de Fondos'!$H$7,'Flujo de Fondos'!$H$6)</f>
        <v>0.20546958684009181</v>
      </c>
      <c r="F180" s="100">
        <v>18.8</v>
      </c>
      <c r="G180" s="101">
        <f>myParidad('Flujo de Fondos'!$N$5,$A180,F180,'Flujo de Fondos'!$N$7,'Flujo de Fondos'!$N$6)</f>
        <v>0.17797027777057345</v>
      </c>
      <c r="H180" s="103">
        <v>21.257999999999999</v>
      </c>
      <c r="I180" s="101">
        <f>myParidad('Flujo de Fondos'!$T$5,$A180,H180,'Flujo de Fondos'!$T$7,'Flujo de Fondos'!$T$6)</f>
        <v>0.21251013365468885</v>
      </c>
      <c r="J180" s="103">
        <v>19.189</v>
      </c>
      <c r="K180" s="101">
        <f>myParidad('Flujo de Fondos'!$B$34,$A180,J180,'Flujo de Fondos'!$B$36,'Flujo de Fondos'!$B$35)</f>
        <v>0.1913238909527972</v>
      </c>
      <c r="L180" s="100">
        <v>23.5</v>
      </c>
      <c r="M180" s="101">
        <f>myParidad('Flujo de Fondos'!$H$34,'Paridad usd'!$A180,'Paridad usd'!L180,'Flujo de Fondos'!$H$36,'Flujo de Fondos'!$H$35)</f>
        <v>0.23492276511831728</v>
      </c>
      <c r="N180" s="103">
        <v>21.2</v>
      </c>
      <c r="O180" s="101">
        <f>myParidad('Flujo de Fondos'!$N$34,$A180,N180,'Flujo de Fondos'!$N$36,'Flujo de Fondos'!$N$35)</f>
        <v>0.21193032427695005</v>
      </c>
      <c r="P180" s="104">
        <f t="shared" si="20"/>
        <v>1.8014256058260292E-2</v>
      </c>
      <c r="Q180" s="104">
        <f t="shared" si="21"/>
        <v>9.4850530112580711E-3</v>
      </c>
      <c r="R180" s="104">
        <f t="shared" si="22"/>
        <v>-3.8938231289483538E-2</v>
      </c>
      <c r="S180" s="104">
        <f t="shared" si="23"/>
        <v>-1.5945790448116309E-2</v>
      </c>
      <c r="T180" s="104">
        <f t="shared" si="24"/>
        <v>-6.4607374368582382E-3</v>
      </c>
      <c r="U180" s="104">
        <f t="shared" si="25"/>
        <v>-3.3960046506376601E-2</v>
      </c>
      <c r="V180" s="104">
        <f t="shared" si="26"/>
        <v>-1.335361318222375E-2</v>
      </c>
      <c r="W180" s="104">
        <f t="shared" si="27"/>
        <v>4.6606428760365415E-3</v>
      </c>
      <c r="X180" s="104">
        <f t="shared" si="28"/>
        <v>3.45398558841154E-2</v>
      </c>
      <c r="Y180" s="105">
        <f t="shared" si="29"/>
        <v>-5.695248734774383E-2</v>
      </c>
    </row>
    <row r="181" spans="1:25" x14ac:dyDescent="0.25">
      <c r="A181" s="99">
        <v>44846</v>
      </c>
      <c r="B181" s="100">
        <v>19.649999999999999</v>
      </c>
      <c r="C181" s="101">
        <f>myParidad('Flujo de Fondos'!$B$5,A181,B181,'Flujo de Fondos'!$B$7,'Flujo de Fondos'!$B$6)</f>
        <v>0.19598988932914332</v>
      </c>
      <c r="D181" s="100">
        <v>20.25</v>
      </c>
      <c r="E181" s="102">
        <f>myParidad('Flujo de Fondos'!$H$5,$A181,D181,'Flujo de Fondos'!$H$7,'Flujo de Fondos'!$H$6)</f>
        <v>0.20197431343079655</v>
      </c>
      <c r="F181" s="100">
        <v>18.91</v>
      </c>
      <c r="G181" s="101">
        <f>myParidad('Flujo de Fondos'!$N$5,$A181,F181,'Flujo de Fondos'!$N$7,'Flujo de Fondos'!$N$6)</f>
        <v>0.17901391464474214</v>
      </c>
      <c r="H181" s="103">
        <v>21.2</v>
      </c>
      <c r="I181" s="101">
        <f>myParidad('Flujo de Fondos'!$T$5,$A181,H181,'Flujo de Fondos'!$T$7,'Flujo de Fondos'!$T$6)</f>
        <v>0.2119310498296787</v>
      </c>
      <c r="J181" s="103">
        <v>19.2</v>
      </c>
      <c r="K181" s="101">
        <f>myParidad('Flujo de Fondos'!$B$34,$A181,J181,'Flujo de Fondos'!$B$36,'Flujo de Fondos'!$B$35)</f>
        <v>0.19143944955694797</v>
      </c>
      <c r="L181" s="100">
        <v>23.4</v>
      </c>
      <c r="M181" s="101">
        <f>myParidad('Flujo de Fondos'!$H$34,'Paridad usd'!$A181,'Paridad usd'!L181,'Flujo de Fondos'!$H$36,'Flujo de Fondos'!$H$35)</f>
        <v>0.23392389462332458</v>
      </c>
      <c r="N181" s="103">
        <v>21</v>
      </c>
      <c r="O181" s="101">
        <f>myParidad('Flujo de Fondos'!$N$34,$A181,N181,'Flujo de Fondos'!$N$36,'Flujo de Fondos'!$N$35)</f>
        <v>0.20993170030298361</v>
      </c>
      <c r="P181" s="104">
        <f t="shared" si="20"/>
        <v>1.6975974684401179E-2</v>
      </c>
      <c r="Q181" s="104">
        <f t="shared" si="21"/>
        <v>5.9844241016532296E-3</v>
      </c>
      <c r="R181" s="104">
        <f t="shared" si="22"/>
        <v>-3.7934005294181256E-2</v>
      </c>
      <c r="S181" s="104">
        <f t="shared" si="23"/>
        <v>-1.3941810973840285E-2</v>
      </c>
      <c r="T181" s="104">
        <f t="shared" si="24"/>
        <v>-7.9573868721870555E-3</v>
      </c>
      <c r="U181" s="104">
        <f t="shared" si="25"/>
        <v>-3.0917785658241465E-2</v>
      </c>
      <c r="V181" s="104">
        <f t="shared" si="26"/>
        <v>-1.2425534912205827E-2</v>
      </c>
      <c r="W181" s="104">
        <f t="shared" si="27"/>
        <v>4.5504397721953527E-3</v>
      </c>
      <c r="X181" s="104">
        <f t="shared" si="28"/>
        <v>3.2917135184936552E-2</v>
      </c>
      <c r="Y181" s="105">
        <f t="shared" si="29"/>
        <v>-5.4909979978582435E-2</v>
      </c>
    </row>
    <row r="182" spans="1:25" x14ac:dyDescent="0.25">
      <c r="A182" s="99">
        <v>44845</v>
      </c>
      <c r="B182" s="100">
        <v>19.742999999999999</v>
      </c>
      <c r="C182" s="101">
        <f>myParidad('Flujo de Fondos'!$B$5,A182,B182,'Flujo de Fondos'!$B$7,'Flujo de Fondos'!$B$6)</f>
        <v>0.19692285620593539</v>
      </c>
      <c r="D182" s="100">
        <v>20.86</v>
      </c>
      <c r="E182" s="102">
        <f>myParidad('Flujo de Fondos'!$H$5,$A182,D182,'Flujo de Fondos'!$H$7,'Flujo de Fondos'!$H$6)</f>
        <v>0.20806416352407497</v>
      </c>
      <c r="F182" s="100">
        <v>18.809999999999999</v>
      </c>
      <c r="G182" s="101">
        <f>myParidad('Flujo de Fondos'!$N$5,$A182,F182,'Flujo de Fondos'!$N$7,'Flujo de Fondos'!$N$6)</f>
        <v>0.17806956115779643</v>
      </c>
      <c r="H182" s="103">
        <v>21.1</v>
      </c>
      <c r="I182" s="101">
        <f>myParidad('Flujo de Fondos'!$T$5,$A182,H182,'Flujo de Fondos'!$T$7,'Flujo de Fondos'!$T$6)</f>
        <v>0.21093209720158582</v>
      </c>
      <c r="J182" s="103">
        <v>19.23</v>
      </c>
      <c r="K182" s="101">
        <f>myParidad('Flujo de Fondos'!$B$34,$A182,J182,'Flujo de Fondos'!$B$36,'Flujo de Fondos'!$B$35)</f>
        <v>0.19174446637481818</v>
      </c>
      <c r="L182" s="100">
        <v>23.7</v>
      </c>
      <c r="M182" s="101">
        <f>myParidad('Flujo de Fondos'!$H$34,'Paridad usd'!$A182,'Paridad usd'!L182,'Flujo de Fondos'!$H$36,'Flujo de Fondos'!$H$35)</f>
        <v>0.23692373003211295</v>
      </c>
      <c r="N182" s="103">
        <v>21.5</v>
      </c>
      <c r="O182" s="101">
        <f>myParidad('Flujo de Fondos'!$N$34,$A182,N182,'Flujo de Fondos'!$N$36,'Flujo de Fondos'!$N$35)</f>
        <v>0.21493080994474381</v>
      </c>
      <c r="P182" s="104">
        <f t="shared" si="20"/>
        <v>1.8853295048138957E-2</v>
      </c>
      <c r="Q182" s="104">
        <f t="shared" si="21"/>
        <v>1.1141307318139587E-2</v>
      </c>
      <c r="R182" s="104">
        <f t="shared" si="22"/>
        <v>-4.0000873826177563E-2</v>
      </c>
      <c r="S182" s="104">
        <f t="shared" si="23"/>
        <v>-1.8007953738808424E-2</v>
      </c>
      <c r="T182" s="104">
        <f t="shared" si="24"/>
        <v>-6.8666464206688371E-3</v>
      </c>
      <c r="U182" s="104">
        <f t="shared" si="25"/>
        <v>-3.6861248786947381E-2</v>
      </c>
      <c r="V182" s="104">
        <f t="shared" si="26"/>
        <v>-1.3674905217021749E-2</v>
      </c>
      <c r="W182" s="104">
        <f t="shared" si="27"/>
        <v>5.1783898311172083E-3</v>
      </c>
      <c r="X182" s="104">
        <f t="shared" si="28"/>
        <v>3.2862536043789387E-2</v>
      </c>
      <c r="Y182" s="105">
        <f t="shared" si="29"/>
        <v>-5.885416887431652E-2</v>
      </c>
    </row>
    <row r="183" spans="1:25" x14ac:dyDescent="0.25">
      <c r="A183" s="99">
        <v>44840</v>
      </c>
      <c r="B183" s="100">
        <v>20</v>
      </c>
      <c r="C183" s="101">
        <f>myParidad('Flujo de Fondos'!$B$5,A183,B183,'Flujo de Fondos'!$B$7,'Flujo de Fondos'!$B$6)</f>
        <v>0.19951351499084424</v>
      </c>
      <c r="D183" s="100">
        <v>21.5</v>
      </c>
      <c r="E183" s="102">
        <f>myParidad('Flujo de Fondos'!$H$5,$A183,D183,'Flujo de Fondos'!$H$7,'Flujo de Fondos'!$H$6)</f>
        <v>0.21447702861515755</v>
      </c>
      <c r="F183" s="100">
        <v>18.989999999999998</v>
      </c>
      <c r="G183" s="101">
        <f>myParidad('Flujo de Fondos'!$N$5,$A183,F183,'Flujo de Fondos'!$N$7,'Flujo de Fondos'!$N$6)</f>
        <v>0.17978523350668549</v>
      </c>
      <c r="H183" s="103">
        <v>21.47</v>
      </c>
      <c r="I183" s="101">
        <f>myParidad('Flujo de Fondos'!$T$5,$A183,H183,'Flujo de Fondos'!$T$7,'Flujo de Fondos'!$T$6)</f>
        <v>0.21463458055592644</v>
      </c>
      <c r="J183" s="103">
        <v>19.5</v>
      </c>
      <c r="K183" s="101">
        <f>myParidad('Flujo de Fondos'!$B$34,$A183,J183,'Flujo de Fondos'!$B$36,'Flujo de Fondos'!$B$35)</f>
        <v>0.19446654895304319</v>
      </c>
      <c r="L183" s="100">
        <v>23.9</v>
      </c>
      <c r="M183" s="101">
        <f>myParidad('Flujo de Fondos'!$H$34,'Paridad usd'!$A183,'Paridad usd'!L183,'Flujo de Fondos'!$H$36,'Flujo de Fondos'!$H$35)</f>
        <v>0.23892717630585197</v>
      </c>
      <c r="N183" s="103">
        <v>21.998999999999999</v>
      </c>
      <c r="O183" s="101">
        <f>myParidad('Flujo de Fondos'!$N$34,$A183,N183,'Flujo de Fondos'!$N$36,'Flujo de Fondos'!$N$35)</f>
        <v>0.21992296868420241</v>
      </c>
      <c r="P183" s="104">
        <f t="shared" si="20"/>
        <v>1.9728281484158755E-2</v>
      </c>
      <c r="Q183" s="104">
        <f t="shared" si="21"/>
        <v>1.4963513624313307E-2</v>
      </c>
      <c r="R183" s="104">
        <f t="shared" si="22"/>
        <v>-3.9413661315007731E-2</v>
      </c>
      <c r="S183" s="104">
        <f t="shared" si="23"/>
        <v>-2.0409453693358171E-2</v>
      </c>
      <c r="T183" s="104">
        <f t="shared" si="24"/>
        <v>-5.4459400690448634E-3</v>
      </c>
      <c r="U183" s="104">
        <f t="shared" si="25"/>
        <v>-4.0137735177516926E-2</v>
      </c>
      <c r="V183" s="104">
        <f t="shared" si="26"/>
        <v>-1.4681315446357701E-2</v>
      </c>
      <c r="W183" s="104">
        <f t="shared" si="27"/>
        <v>5.0469660378010539E-3</v>
      </c>
      <c r="X183" s="104">
        <f t="shared" si="28"/>
        <v>3.4849347049240947E-2</v>
      </c>
      <c r="Y183" s="105">
        <f t="shared" si="29"/>
        <v>-5.9141942799166486E-2</v>
      </c>
    </row>
    <row r="184" spans="1:25" x14ac:dyDescent="0.25">
      <c r="A184" s="99">
        <v>44839</v>
      </c>
      <c r="B184" s="100">
        <v>20</v>
      </c>
      <c r="C184" s="101">
        <f>myParidad('Flujo de Fondos'!$B$5,A184,B184,'Flujo de Fondos'!$B$7,'Flujo de Fondos'!$B$6)</f>
        <v>0.19951896796763965</v>
      </c>
      <c r="D184" s="100">
        <v>21.2</v>
      </c>
      <c r="E184" s="102">
        <f>myParidad('Flujo de Fondos'!$H$5,$A184,D184,'Flujo de Fondos'!$H$7,'Flujo de Fondos'!$H$6)</f>
        <v>0.21149010604569804</v>
      </c>
      <c r="F184" s="100">
        <v>19.170000000000002</v>
      </c>
      <c r="G184" s="101">
        <f>myParidad('Flujo de Fondos'!$N$5,$A184,F184,'Flujo de Fondos'!$N$7,'Flujo de Fondos'!$N$6)</f>
        <v>0.18149171270718234</v>
      </c>
      <c r="H184" s="103">
        <v>21.63</v>
      </c>
      <c r="I184" s="101">
        <f>myParidad('Flujo de Fondos'!$T$5,$A184,H184,'Flujo de Fondos'!$T$7,'Flujo de Fondos'!$T$6)</f>
        <v>0.21623483333789817</v>
      </c>
      <c r="J184" s="103">
        <v>19.25</v>
      </c>
      <c r="K184" s="101">
        <f>myParidad('Flujo de Fondos'!$B$34,$A184,J184,'Flujo de Fondos'!$B$36,'Flujo de Fondos'!$B$35)</f>
        <v>0.19197928905161343</v>
      </c>
      <c r="L184" s="100">
        <v>23.9</v>
      </c>
      <c r="M184" s="101">
        <f>myParidad('Flujo de Fondos'!$H$34,'Paridad usd'!$A184,'Paridad usd'!L184,'Flujo de Fondos'!$H$36,'Flujo de Fondos'!$H$35)</f>
        <v>0.23892799430308673</v>
      </c>
      <c r="N184" s="103">
        <v>21.9</v>
      </c>
      <c r="O184" s="101">
        <f>myParidad('Flujo de Fondos'!$N$34,$A184,N184,'Flujo de Fondos'!$N$36,'Flujo de Fondos'!$N$35)</f>
        <v>0.21893401988441838</v>
      </c>
      <c r="P184" s="104">
        <f t="shared" si="20"/>
        <v>1.8027255260457314E-2</v>
      </c>
      <c r="Q184" s="104">
        <f t="shared" si="21"/>
        <v>1.1971138078058385E-2</v>
      </c>
      <c r="R184" s="104">
        <f t="shared" si="22"/>
        <v>-3.9409026335447073E-2</v>
      </c>
      <c r="S184" s="104">
        <f t="shared" si="23"/>
        <v>-1.9415051916778725E-2</v>
      </c>
      <c r="T184" s="104">
        <f t="shared" si="24"/>
        <v>-7.4439138387203396E-3</v>
      </c>
      <c r="U184" s="104">
        <f t="shared" si="25"/>
        <v>-3.7442307177236039E-2</v>
      </c>
      <c r="V184" s="104">
        <f t="shared" si="26"/>
        <v>-1.0487576344431093E-2</v>
      </c>
      <c r="W184" s="104">
        <f t="shared" si="27"/>
        <v>7.5396789160262212E-3</v>
      </c>
      <c r="X184" s="104">
        <f t="shared" si="28"/>
        <v>3.4743120630715829E-2</v>
      </c>
      <c r="Y184" s="105">
        <f t="shared" si="29"/>
        <v>-5.7436281595904387E-2</v>
      </c>
    </row>
    <row r="185" spans="1:25" x14ac:dyDescent="0.25">
      <c r="A185" s="99">
        <v>44838</v>
      </c>
      <c r="B185" s="100">
        <v>20.65</v>
      </c>
      <c r="C185" s="101">
        <f>myParidad('Flujo de Fondos'!$B$5,A185,B185,'Flujo de Fondos'!$B$7,'Flujo de Fondos'!$B$6)</f>
        <v>0.20600896493289966</v>
      </c>
      <c r="D185" s="100">
        <v>22</v>
      </c>
      <c r="E185" s="102">
        <f>myParidad('Flujo de Fondos'!$H$5,$A185,D185,'Flujo de Fondos'!$H$7,'Flujo de Fondos'!$H$6)</f>
        <v>0.21947686336676961</v>
      </c>
      <c r="F185" s="100">
        <v>19.399999999999999</v>
      </c>
      <c r="G185" s="101">
        <f>myParidad('Flujo de Fondos'!$N$5,$A185,F185,'Flujo de Fondos'!$N$7,'Flujo de Fondos'!$N$6)</f>
        <v>0.18367161662667789</v>
      </c>
      <c r="H185" s="103">
        <v>21.95</v>
      </c>
      <c r="I185" s="101">
        <f>myParidad('Flujo de Fondos'!$T$5,$A185,H185,'Flujo de Fondos'!$T$7,'Flujo de Fondos'!$T$6)</f>
        <v>0.21943462050690377</v>
      </c>
      <c r="J185" s="103">
        <v>19.7</v>
      </c>
      <c r="K185" s="101">
        <f>myParidad('Flujo de Fondos'!$B$34,$A185,J185,'Flujo de Fondos'!$B$36,'Flujo de Fondos'!$B$35)</f>
        <v>0.19647315588678305</v>
      </c>
      <c r="L185" s="100">
        <v>24.9</v>
      </c>
      <c r="M185" s="101">
        <f>myParidad('Flujo de Fondos'!$H$34,'Paridad usd'!$A185,'Paridad usd'!L185,'Flujo de Fondos'!$H$36,'Flujo de Fondos'!$H$35)</f>
        <v>0.2489258337413168</v>
      </c>
      <c r="N185" s="103">
        <v>22.998999999999999</v>
      </c>
      <c r="O185" s="101">
        <f>myParidad('Flujo de Fondos'!$N$34,$A185,N185,'Flujo de Fondos'!$N$36,'Flujo de Fondos'!$N$35)</f>
        <v>0.22992149599263231</v>
      </c>
      <c r="P185" s="104">
        <f t="shared" si="20"/>
        <v>2.2337348306221777E-2</v>
      </c>
      <c r="Q185" s="104">
        <f t="shared" si="21"/>
        <v>1.3467898433869946E-2</v>
      </c>
      <c r="R185" s="104">
        <f t="shared" si="22"/>
        <v>-4.2916868808417136E-2</v>
      </c>
      <c r="S185" s="104">
        <f t="shared" si="23"/>
        <v>-2.391253105973265E-2</v>
      </c>
      <c r="T185" s="104">
        <f t="shared" si="24"/>
        <v>-1.0444632625862704E-2</v>
      </c>
      <c r="U185" s="104">
        <f t="shared" si="25"/>
        <v>-4.6249879365954427E-2</v>
      </c>
      <c r="V185" s="104">
        <f t="shared" si="26"/>
        <v>-1.280153926010516E-2</v>
      </c>
      <c r="W185" s="104">
        <f t="shared" si="27"/>
        <v>9.5358090461166167E-3</v>
      </c>
      <c r="X185" s="104">
        <f t="shared" si="28"/>
        <v>3.576300388022588E-2</v>
      </c>
      <c r="Y185" s="105">
        <f t="shared" si="29"/>
        <v>-6.5254217114638913E-2</v>
      </c>
    </row>
    <row r="186" spans="1:25" ht="15.75" customHeight="1" x14ac:dyDescent="0.25">
      <c r="A186" s="99">
        <v>44837</v>
      </c>
      <c r="B186" s="100">
        <v>20.3</v>
      </c>
      <c r="C186" s="101">
        <f>myParidad('Flujo de Fondos'!$B$5,A186,B186,'Flujo de Fondos'!$B$7,'Flujo de Fondos'!$B$6)</f>
        <v>0.20252282293773574</v>
      </c>
      <c r="D186" s="100">
        <v>21</v>
      </c>
      <c r="E186" s="102">
        <f>myParidad('Flujo de Fondos'!$H$5,$A186,D186,'Flujo de Fondos'!$H$7,'Flujo de Fondos'!$H$6)</f>
        <v>0.20950636855627836</v>
      </c>
      <c r="F186" s="100">
        <v>19.41</v>
      </c>
      <c r="G186" s="101">
        <f>myParidad('Flujo de Fondos'!$N$5,$A186,F186,'Flujo de Fondos'!$N$7,'Flujo de Fondos'!$N$6)</f>
        <v>0.18376867607387426</v>
      </c>
      <c r="H186" s="103">
        <v>22.15</v>
      </c>
      <c r="I186" s="101">
        <f>myParidad('Flujo de Fondos'!$T$5,$A186,H186,'Flujo de Fondos'!$T$7,'Flujo de Fondos'!$T$6)</f>
        <v>0.22143478290640425</v>
      </c>
      <c r="J186" s="103">
        <v>19.7</v>
      </c>
      <c r="K186" s="101">
        <f>myParidad('Flujo de Fondos'!$B$34,$A186,J186,'Flujo de Fondos'!$B$36,'Flujo de Fondos'!$B$35)</f>
        <v>0.19647919555698251</v>
      </c>
      <c r="L186" s="100">
        <v>24.79</v>
      </c>
      <c r="M186" s="101">
        <f>myParidad('Flujo de Fondos'!$H$34,'Paridad usd'!$A186,'Paridad usd'!L186,'Flujo de Fondos'!$H$36,'Flujo de Fondos'!$H$35)</f>
        <v>0.24782700985326239</v>
      </c>
      <c r="N186" s="103">
        <v>23</v>
      </c>
      <c r="O186" s="101">
        <f>myParidad('Flujo de Fondos'!$N$34,$A186,N186,'Flujo de Fondos'!$N$36,'Flujo de Fondos'!$N$35)</f>
        <v>0.22993228021883966</v>
      </c>
      <c r="P186" s="104">
        <f t="shared" si="20"/>
        <v>1.8754146863861482E-2</v>
      </c>
      <c r="Q186" s="104">
        <f t="shared" si="21"/>
        <v>6.9835456185426137E-3</v>
      </c>
      <c r="R186" s="104">
        <f t="shared" si="22"/>
        <v>-4.5304186915526651E-2</v>
      </c>
      <c r="S186" s="104">
        <f t="shared" si="23"/>
        <v>-2.7409457281103916E-2</v>
      </c>
      <c r="T186" s="104">
        <f t="shared" si="24"/>
        <v>-2.0425911662561302E-2</v>
      </c>
      <c r="U186" s="104">
        <f t="shared" si="25"/>
        <v>-4.6163604144965398E-2</v>
      </c>
      <c r="V186" s="104">
        <f t="shared" si="26"/>
        <v>-1.2710519483108251E-2</v>
      </c>
      <c r="W186" s="104">
        <f t="shared" si="27"/>
        <v>6.0436273807532304E-3</v>
      </c>
      <c r="X186" s="104">
        <f t="shared" si="28"/>
        <v>3.7666106832529994E-2</v>
      </c>
      <c r="Y186" s="105">
        <f t="shared" si="29"/>
        <v>-6.4058333779388132E-2</v>
      </c>
    </row>
    <row r="187" spans="1:25" ht="15.75" customHeight="1" x14ac:dyDescent="0.25">
      <c r="A187" s="99">
        <v>44834</v>
      </c>
      <c r="B187" s="100">
        <v>19.100000000000001</v>
      </c>
      <c r="C187" s="101">
        <f>myParidad('Flujo de Fondos'!$B$5,A187,B187,'Flujo de Fondos'!$B$7,'Flujo de Fondos'!$B$6)</f>
        <v>0.19056665664379632</v>
      </c>
      <c r="D187" s="100">
        <v>20.39</v>
      </c>
      <c r="E187" s="102">
        <f>myParidad('Flujo de Fondos'!$H$5,$A187,D187,'Flujo de Fondos'!$H$7,'Flujo de Fondos'!$H$6)</f>
        <v>0.20343738895115218</v>
      </c>
      <c r="F187" s="100">
        <v>18.2</v>
      </c>
      <c r="G187" s="101">
        <f>myParidad('Flujo de Fondos'!$N$5,$A187,F187,'Flujo de Fondos'!$N$7,'Flujo de Fondos'!$N$6)</f>
        <v>0.17231942516958274</v>
      </c>
      <c r="H187" s="103">
        <v>20.53</v>
      </c>
      <c r="I187" s="101">
        <f>myParidad('Flujo de Fondos'!$T$5,$A187,H187,'Flujo de Fondos'!$T$7,'Flujo de Fondos'!$T$6)</f>
        <v>0.20524166076081116</v>
      </c>
      <c r="J187" s="103">
        <v>18.649999999999999</v>
      </c>
      <c r="K187" s="101">
        <f>myParidad('Flujo de Fondos'!$B$34,$A187,J187,'Flujo de Fondos'!$B$36,'Flujo de Fondos'!$B$35)</f>
        <v>0.18602410955534981</v>
      </c>
      <c r="L187" s="100">
        <v>23.2</v>
      </c>
      <c r="M187" s="101">
        <f>myParidad('Flujo de Fondos'!$H$34,'Paridad usd'!$A187,'Paridad usd'!L187,'Flujo de Fondos'!$H$36,'Flujo de Fondos'!$H$35)</f>
        <v>0.23193407353389275</v>
      </c>
      <c r="N187" s="103">
        <v>22</v>
      </c>
      <c r="O187" s="101">
        <f>myParidad('Flujo de Fondos'!$N$34,$A187,N187,'Flujo de Fondos'!$N$36,'Flujo de Fondos'!$N$35)</f>
        <v>0.219937483523519</v>
      </c>
      <c r="P187" s="104">
        <f t="shared" si="20"/>
        <v>1.8247231474213588E-2</v>
      </c>
      <c r="Q187" s="104">
        <f t="shared" si="21"/>
        <v>1.2870732307355859E-2</v>
      </c>
      <c r="R187" s="104">
        <f t="shared" si="22"/>
        <v>-4.1367416890096431E-2</v>
      </c>
      <c r="S187" s="104">
        <f t="shared" si="23"/>
        <v>-2.9370826879722672E-2</v>
      </c>
      <c r="T187" s="104">
        <f t="shared" si="24"/>
        <v>-1.6500094572366814E-2</v>
      </c>
      <c r="U187" s="104">
        <f t="shared" si="25"/>
        <v>-4.761805835393626E-2</v>
      </c>
      <c r="V187" s="104">
        <f t="shared" si="26"/>
        <v>-1.370468438576708E-2</v>
      </c>
      <c r="W187" s="104">
        <f t="shared" si="27"/>
        <v>4.542547088446508E-3</v>
      </c>
      <c r="X187" s="104">
        <f t="shared" si="28"/>
        <v>3.2922235591228421E-2</v>
      </c>
      <c r="Y187" s="105">
        <f t="shared" si="29"/>
        <v>-5.9614648364310019E-2</v>
      </c>
    </row>
    <row r="188" spans="1:25" ht="15.75" customHeight="1" x14ac:dyDescent="0.25">
      <c r="A188" s="99">
        <v>44833</v>
      </c>
      <c r="B188" s="100">
        <v>19.7</v>
      </c>
      <c r="C188" s="101">
        <f>myParidad('Flujo de Fondos'!$B$5,A188,B188,'Flujo de Fondos'!$B$7,'Flujo de Fondos'!$B$6)</f>
        <v>0.19655841670767044</v>
      </c>
      <c r="D188" s="100">
        <v>21.2</v>
      </c>
      <c r="E188" s="102">
        <f>myParidad('Flujo de Fondos'!$H$5,$A188,D188,'Flujo de Fondos'!$H$7,'Flujo de Fondos'!$H$6)</f>
        <v>0.21152479361434584</v>
      </c>
      <c r="F188" s="100">
        <v>18.899999999999999</v>
      </c>
      <c r="G188" s="101">
        <f>myParidad('Flujo de Fondos'!$N$5,$A188,F188,'Flujo de Fondos'!$N$7,'Flujo de Fondos'!$N$6)</f>
        <v>0.17894941634241243</v>
      </c>
      <c r="H188" s="103">
        <v>21.6</v>
      </c>
      <c r="I188" s="101">
        <f>myParidad('Flujo de Fondos'!$T$5,$A188,H188,'Flujo de Fondos'!$T$7,'Flujo de Fondos'!$T$6)</f>
        <v>0.21593935949493637</v>
      </c>
      <c r="J188" s="103">
        <v>20</v>
      </c>
      <c r="K188" s="101">
        <f>myParidad('Flujo de Fondos'!$B$34,$A188,J188,'Flujo de Fondos'!$B$36,'Flujo de Fondos'!$B$35)</f>
        <v>0.19949579487459776</v>
      </c>
      <c r="L188" s="100">
        <v>24.05</v>
      </c>
      <c r="M188" s="101">
        <f>myParidad('Flujo de Fondos'!$H$34,'Paridad usd'!$A188,'Paridad usd'!L188,'Flujo de Fondos'!$H$36,'Flujo de Fondos'!$H$35)</f>
        <v>0.2404324812895009</v>
      </c>
      <c r="N188" s="103">
        <v>21.8</v>
      </c>
      <c r="O188" s="101">
        <f>myParidad('Flujo de Fondos'!$N$34,$A188,N188,'Flujo de Fondos'!$N$36,'Flujo de Fondos'!$N$35)</f>
        <v>0.21793879800877836</v>
      </c>
      <c r="P188" s="104">
        <f t="shared" si="20"/>
        <v>1.7609000365258004E-2</v>
      </c>
      <c r="Q188" s="104">
        <f t="shared" si="21"/>
        <v>1.4966376906675405E-2</v>
      </c>
      <c r="R188" s="104">
        <f t="shared" si="22"/>
        <v>-4.3874064581830463E-2</v>
      </c>
      <c r="S188" s="104">
        <f t="shared" si="23"/>
        <v>-2.138038130110792E-2</v>
      </c>
      <c r="T188" s="104">
        <f t="shared" si="24"/>
        <v>-6.4140043944325154E-3</v>
      </c>
      <c r="U188" s="104">
        <f t="shared" si="25"/>
        <v>-3.8989381666365924E-2</v>
      </c>
      <c r="V188" s="104">
        <f t="shared" si="26"/>
        <v>-2.0546378532185328E-2</v>
      </c>
      <c r="W188" s="104">
        <f t="shared" si="27"/>
        <v>-2.9373781669273236E-3</v>
      </c>
      <c r="X188" s="104">
        <f t="shared" si="28"/>
        <v>3.6989943152523935E-2</v>
      </c>
      <c r="Y188" s="105">
        <f t="shared" si="29"/>
        <v>-6.1483064947088467E-2</v>
      </c>
    </row>
    <row r="189" spans="1:25" ht="15.75" customHeight="1" x14ac:dyDescent="0.25">
      <c r="A189" s="99">
        <v>44832</v>
      </c>
      <c r="B189" s="100">
        <v>20.2</v>
      </c>
      <c r="C189" s="101">
        <f>myParidad('Flujo de Fondos'!$B$5,A189,B189,'Flujo de Fondos'!$B$7,'Flujo de Fondos'!$B$6)</f>
        <v>0.20155271862442251</v>
      </c>
      <c r="D189" s="100">
        <v>21.75</v>
      </c>
      <c r="E189" s="102">
        <f>myParidad('Flujo de Fondos'!$H$5,$A189,D189,'Flujo de Fondos'!$H$7,'Flujo de Fondos'!$H$6)</f>
        <v>0.21701839752877178</v>
      </c>
      <c r="F189" s="100">
        <v>19.39</v>
      </c>
      <c r="G189" s="101">
        <f>myParidad('Flujo de Fondos'!$N$5,$A189,F189,'Flujo de Fondos'!$N$7,'Flujo de Fondos'!$N$6)</f>
        <v>0.18359122686416166</v>
      </c>
      <c r="H189" s="103">
        <v>22.35</v>
      </c>
      <c r="I189" s="101">
        <f>myParidad('Flujo de Fondos'!$T$5,$A189,H189,'Flujo de Fondos'!$T$7,'Flujo de Fondos'!$T$6)</f>
        <v>0.22343801890571452</v>
      </c>
      <c r="J189" s="103">
        <v>20.39</v>
      </c>
      <c r="K189" s="101">
        <f>myParidad('Flujo de Fondos'!$B$34,$A189,J189,'Flujo de Fondos'!$B$36,'Flujo de Fondos'!$B$35)</f>
        <v>0.20339221600866331</v>
      </c>
      <c r="L189" s="100">
        <v>24.3</v>
      </c>
      <c r="M189" s="101">
        <f>myParidad('Flujo de Fondos'!$H$34,'Paridad usd'!$A189,'Paridad usd'!L189,'Flujo de Fondos'!$H$36,'Flujo de Fondos'!$H$35)</f>
        <v>0.24293261115923323</v>
      </c>
      <c r="N189" s="103">
        <v>22.5</v>
      </c>
      <c r="O189" s="101">
        <f>myParidad('Flujo de Fondos'!$N$34,$A189,N189,'Flujo de Fondos'!$N$36,'Flujo de Fondos'!$N$35)</f>
        <v>0.22493760292521595</v>
      </c>
      <c r="P189" s="104">
        <f t="shared" si="20"/>
        <v>1.796149176026085E-2</v>
      </c>
      <c r="Q189" s="104">
        <f t="shared" si="21"/>
        <v>1.5465678904349273E-2</v>
      </c>
      <c r="R189" s="104">
        <f t="shared" si="22"/>
        <v>-4.1379892534810725E-2</v>
      </c>
      <c r="S189" s="104">
        <f t="shared" si="23"/>
        <v>-2.338488430079344E-2</v>
      </c>
      <c r="T189" s="104">
        <f t="shared" si="24"/>
        <v>-7.9192053964441678E-3</v>
      </c>
      <c r="U189" s="104">
        <f t="shared" si="25"/>
        <v>-4.1346376061054291E-2</v>
      </c>
      <c r="V189" s="104">
        <f t="shared" si="26"/>
        <v>-1.9800989144501652E-2</v>
      </c>
      <c r="W189" s="104">
        <f t="shared" si="27"/>
        <v>-1.8394973842408013E-3</v>
      </c>
      <c r="X189" s="104">
        <f t="shared" si="28"/>
        <v>3.9846792041552864E-2</v>
      </c>
      <c r="Y189" s="105">
        <f t="shared" si="29"/>
        <v>-5.9341384295071575E-2</v>
      </c>
    </row>
    <row r="190" spans="1:25" ht="15.75" customHeight="1" x14ac:dyDescent="0.25">
      <c r="A190" s="99">
        <v>44831</v>
      </c>
      <c r="B190" s="100">
        <v>19.399999999999999</v>
      </c>
      <c r="C190" s="101">
        <f>myParidad('Flujo de Fondos'!$B$5,A190,B190,'Flujo de Fondos'!$B$7,'Flujo de Fondos'!$B$6)</f>
        <v>0.19357572443958446</v>
      </c>
      <c r="D190" s="100">
        <v>21.11</v>
      </c>
      <c r="E190" s="102">
        <f>myParidad('Flujo de Fondos'!$H$5,$A190,D190,'Flujo de Fondos'!$H$7,'Flujo de Fondos'!$H$6)</f>
        <v>0.21063832695462001</v>
      </c>
      <c r="F190" s="100">
        <v>18.46</v>
      </c>
      <c r="G190" s="101">
        <f>myParidad('Flujo de Fondos'!$N$5,$A190,F190,'Flujo de Fondos'!$N$7,'Flujo de Fondos'!$N$6)</f>
        <v>0.1747879322420815</v>
      </c>
      <c r="H190" s="103">
        <v>21.4</v>
      </c>
      <c r="I190" s="101">
        <f>myParidad('Flujo de Fondos'!$T$5,$A190,H190,'Flujo de Fondos'!$T$7,'Flujo de Fondos'!$T$6)</f>
        <v>0.21394138592166528</v>
      </c>
      <c r="J190" s="103">
        <v>19.149999999999999</v>
      </c>
      <c r="K190" s="101">
        <f>myParidad('Flujo de Fondos'!$B$34,$A190,J190,'Flujo de Fondos'!$B$36,'Flujo de Fondos'!$B$35)</f>
        <v>0.19102896966384256</v>
      </c>
      <c r="L190" s="100">
        <v>23.4</v>
      </c>
      <c r="M190" s="101">
        <f>myParidad('Flujo de Fondos'!$H$34,'Paridad usd'!$A190,'Paridad usd'!L190,'Flujo de Fondos'!$H$36,'Flujo de Fondos'!$H$35)</f>
        <v>0.23393590797041905</v>
      </c>
      <c r="N190" s="103">
        <v>21.5</v>
      </c>
      <c r="O190" s="101">
        <f>myParidad('Flujo de Fondos'!$N$34,$A190,N190,'Flujo de Fondos'!$N$36,'Flujo de Fondos'!$N$35)</f>
        <v>0.21494111202410299</v>
      </c>
      <c r="P190" s="104">
        <f t="shared" si="20"/>
        <v>1.8787792197502956E-2</v>
      </c>
      <c r="Q190" s="104">
        <f t="shared" si="21"/>
        <v>1.7062602515035552E-2</v>
      </c>
      <c r="R190" s="104">
        <f t="shared" si="22"/>
        <v>-4.0360183530834592E-2</v>
      </c>
      <c r="S190" s="104">
        <f t="shared" si="23"/>
        <v>-2.136538758451853E-2</v>
      </c>
      <c r="T190" s="104">
        <f t="shared" si="24"/>
        <v>-4.3027850694829783E-3</v>
      </c>
      <c r="U190" s="104">
        <f t="shared" si="25"/>
        <v>-4.0153179782021486E-2</v>
      </c>
      <c r="V190" s="104">
        <f t="shared" si="26"/>
        <v>-1.6241037421761056E-2</v>
      </c>
      <c r="W190" s="104">
        <f t="shared" si="27"/>
        <v>2.5467547757418996E-3</v>
      </c>
      <c r="X190" s="104">
        <f t="shared" si="28"/>
        <v>3.9153453679583783E-2</v>
      </c>
      <c r="Y190" s="105">
        <f t="shared" si="29"/>
        <v>-5.9147975728337548E-2</v>
      </c>
    </row>
    <row r="191" spans="1:25" ht="15.75" customHeight="1" x14ac:dyDescent="0.25">
      <c r="A191" s="99">
        <v>44830</v>
      </c>
      <c r="B191" s="100">
        <v>20.591999999999999</v>
      </c>
      <c r="C191" s="101">
        <f>myParidad('Flujo de Fondos'!$B$5,A191,B191,'Flujo de Fondos'!$B$7,'Flujo de Fondos'!$B$6)</f>
        <v>0.20547527269744933</v>
      </c>
      <c r="D191" s="100">
        <v>23.1</v>
      </c>
      <c r="E191" s="102">
        <f>myParidad('Flujo de Fondos'!$H$5,$A191,D191,'Flujo de Fondos'!$H$7,'Flujo de Fondos'!$H$6)</f>
        <v>0.23050110719265154</v>
      </c>
      <c r="F191" s="100">
        <v>19.7</v>
      </c>
      <c r="G191" s="101">
        <f>myParidad('Flujo de Fondos'!$N$5,$A191,F191,'Flujo de Fondos'!$N$7,'Flujo de Fondos'!$N$6)</f>
        <v>0.18653125283733477</v>
      </c>
      <c r="H191" s="103">
        <v>22.75</v>
      </c>
      <c r="I191" s="101">
        <f>myParidad('Flujo de Fondos'!$T$5,$A191,H191,'Flujo de Fondos'!$T$7,'Flujo de Fondos'!$T$6)</f>
        <v>0.22743846699009515</v>
      </c>
      <c r="J191" s="103">
        <v>20.5</v>
      </c>
      <c r="K191" s="101">
        <f>myParidad('Flujo de Fondos'!$B$34,$A191,J191,'Flujo de Fondos'!$B$36,'Flujo de Fondos'!$B$35)</f>
        <v>0.20450205151155917</v>
      </c>
      <c r="L191" s="100">
        <v>24.65</v>
      </c>
      <c r="M191" s="101">
        <f>myParidad('Flujo de Fondos'!$H$34,'Paridad usd'!$A191,'Paridad usd'!L191,'Flujo de Fondos'!$H$36,'Flujo de Fondos'!$H$35)</f>
        <v>0.24643332796948769</v>
      </c>
      <c r="N191" s="103">
        <v>23</v>
      </c>
      <c r="O191" s="101">
        <f>myParidad('Flujo de Fondos'!$N$34,$A191,N191,'Flujo de Fondos'!$N$36,'Flujo de Fondos'!$N$35)</f>
        <v>0.22993779080317311</v>
      </c>
      <c r="P191" s="104">
        <f t="shared" si="20"/>
        <v>1.8944019860114569E-2</v>
      </c>
      <c r="Q191" s="104">
        <f t="shared" si="21"/>
        <v>2.5025834495202209E-2</v>
      </c>
      <c r="R191" s="104">
        <f t="shared" si="22"/>
        <v>-4.0958055272038357E-2</v>
      </c>
      <c r="S191" s="104">
        <f t="shared" si="23"/>
        <v>-2.4462518105723779E-2</v>
      </c>
      <c r="T191" s="104">
        <f t="shared" si="24"/>
        <v>5.6331638947842988E-4</v>
      </c>
      <c r="U191" s="104">
        <f t="shared" si="25"/>
        <v>-4.3406537965838349E-2</v>
      </c>
      <c r="V191" s="104">
        <f t="shared" si="26"/>
        <v>-1.7970798674224409E-2</v>
      </c>
      <c r="W191" s="104">
        <f t="shared" si="27"/>
        <v>9.7322118589016071E-4</v>
      </c>
      <c r="X191" s="104">
        <f t="shared" si="28"/>
        <v>4.0907214152760385E-2</v>
      </c>
      <c r="Y191" s="105">
        <f t="shared" si="29"/>
        <v>-5.9902075132152927E-2</v>
      </c>
    </row>
    <row r="192" spans="1:25" ht="15.75" customHeight="1" x14ac:dyDescent="0.25">
      <c r="A192" s="99">
        <v>44827</v>
      </c>
      <c r="B192" s="100">
        <v>21.09</v>
      </c>
      <c r="C192" s="101">
        <f>myParidad('Flujo de Fondos'!$B$5,A192,B192,'Flujo de Fondos'!$B$7,'Flujo de Fondos'!$B$6)</f>
        <v>0.21046177821522311</v>
      </c>
      <c r="D192" s="100">
        <v>23</v>
      </c>
      <c r="E192" s="102">
        <f>myParidad('Flujo de Fondos'!$H$5,$A192,D192,'Flujo de Fondos'!$H$7,'Flujo de Fondos'!$H$6)</f>
        <v>0.22952209098862641</v>
      </c>
      <c r="F192" s="100">
        <v>20.3</v>
      </c>
      <c r="G192" s="101">
        <f>myParidad('Flujo de Fondos'!$N$5,$A192,F192,'Flujo de Fondos'!$N$7,'Flujo de Fondos'!$N$6)</f>
        <v>0.19221988741017459</v>
      </c>
      <c r="H192" s="103">
        <v>23.69</v>
      </c>
      <c r="I192" s="101">
        <f>myParidad('Flujo de Fondos'!$T$5,$A192,H192,'Flujo de Fondos'!$T$7,'Flujo de Fondos'!$T$6)</f>
        <v>0.23683835713992249</v>
      </c>
      <c r="J192" s="103">
        <v>21</v>
      </c>
      <c r="K192" s="101">
        <f>myParidad('Flujo de Fondos'!$B$34,$A192,J192,'Flujo de Fondos'!$B$36,'Flujo de Fondos'!$B$35)</f>
        <v>0.20950923179948341</v>
      </c>
      <c r="L192" s="100">
        <v>25.8</v>
      </c>
      <c r="M192" s="101">
        <f>myParidad('Flujo de Fondos'!$H$34,'Paridad usd'!$A192,'Paridad usd'!L192,'Flujo de Fondos'!$H$36,'Flujo de Fondos'!$H$35)</f>
        <v>0.25793286678809624</v>
      </c>
      <c r="N192" s="103">
        <v>23.85</v>
      </c>
      <c r="O192" s="101">
        <f>myParidad('Flujo de Fondos'!$N$34,$A192,N192,'Flujo de Fondos'!$N$36,'Flujo de Fondos'!$N$35)</f>
        <v>0.2384379408099262</v>
      </c>
      <c r="P192" s="104">
        <f t="shared" si="20"/>
        <v>1.8241890805048511E-2</v>
      </c>
      <c r="Q192" s="104">
        <f t="shared" si="21"/>
        <v>1.906031277340331E-2</v>
      </c>
      <c r="R192" s="104">
        <f t="shared" si="22"/>
        <v>-4.7471088572873132E-2</v>
      </c>
      <c r="S192" s="104">
        <f t="shared" si="23"/>
        <v>-2.7976162594703091E-2</v>
      </c>
      <c r="T192" s="104">
        <f t="shared" si="24"/>
        <v>-8.9158498212997817E-3</v>
      </c>
      <c r="U192" s="104">
        <f t="shared" si="25"/>
        <v>-4.6218053399751602E-2</v>
      </c>
      <c r="V192" s="104">
        <f t="shared" si="26"/>
        <v>-1.7289344389308819E-2</v>
      </c>
      <c r="W192" s="104">
        <f t="shared" si="27"/>
        <v>9.5254641573969123E-4</v>
      </c>
      <c r="X192" s="104">
        <f t="shared" si="28"/>
        <v>4.4618469729747895E-2</v>
      </c>
      <c r="Y192" s="105">
        <f t="shared" si="29"/>
        <v>-6.5712979377921643E-2</v>
      </c>
    </row>
    <row r="193" spans="1:25" ht="15.75" customHeight="1" x14ac:dyDescent="0.25">
      <c r="A193" s="99">
        <v>44826</v>
      </c>
      <c r="B193" s="100">
        <v>21.92</v>
      </c>
      <c r="C193" s="101">
        <f>myParidad('Flujo de Fondos'!$B$5,A193,B193,'Flujo de Fondos'!$B$7,'Flujo de Fondos'!$B$6)</f>
        <v>0.2187505126452495</v>
      </c>
      <c r="D193" s="100">
        <v>23.81</v>
      </c>
      <c r="E193" s="102">
        <f>myParidad('Flujo de Fondos'!$H$5,$A193,D193,'Flujo de Fondos'!$H$7,'Flujo de Fondos'!$H$6)</f>
        <v>0.23761175666438822</v>
      </c>
      <c r="F193" s="100">
        <v>21</v>
      </c>
      <c r="G193" s="101">
        <f>myParidad('Flujo de Fondos'!$N$5,$A193,F193,'Flujo de Fondos'!$N$7,'Flujo de Fondos'!$N$6)</f>
        <v>0.19885073871817155</v>
      </c>
      <c r="H193" s="103">
        <v>24.379000000000001</v>
      </c>
      <c r="I193" s="101">
        <f>myParidad('Flujo de Fondos'!$T$5,$A193,H193,'Flujo de Fondos'!$T$7,'Flujo de Fondos'!$T$6)</f>
        <v>0.24372739878455876</v>
      </c>
      <c r="J193" s="103">
        <v>21.469000000000001</v>
      </c>
      <c r="K193" s="101">
        <f>myParidad('Flujo de Fondos'!$B$34,$A193,J193,'Flujo de Fondos'!$B$36,'Flujo de Fondos'!$B$35)</f>
        <v>0.21419485777739816</v>
      </c>
      <c r="L193" s="100">
        <v>26</v>
      </c>
      <c r="M193" s="101">
        <f>myParidad('Flujo de Fondos'!$H$34,'Paridad usd'!$A193,'Paridad usd'!L193,'Flujo de Fondos'!$H$36,'Flujo de Fondos'!$H$35)</f>
        <v>0.25993323632628607</v>
      </c>
      <c r="N193" s="103">
        <v>24.2</v>
      </c>
      <c r="O193" s="101">
        <f>myParidad('Flujo de Fondos'!$N$34,$A193,N193,'Flujo de Fondos'!$N$36,'Flujo de Fondos'!$N$35)</f>
        <v>0.24193785842677393</v>
      </c>
      <c r="P193" s="104">
        <f t="shared" si="20"/>
        <v>1.9899773927077952E-2</v>
      </c>
      <c r="Q193" s="104">
        <f t="shared" si="21"/>
        <v>1.8861244019138718E-2</v>
      </c>
      <c r="R193" s="104">
        <f t="shared" si="22"/>
        <v>-4.1182723681036565E-2</v>
      </c>
      <c r="S193" s="104">
        <f t="shared" si="23"/>
        <v>-2.3187345781524427E-2</v>
      </c>
      <c r="T193" s="104">
        <f t="shared" si="24"/>
        <v>-4.326101762385709E-3</v>
      </c>
      <c r="U193" s="104">
        <f t="shared" si="25"/>
        <v>-4.3087119708602378E-2</v>
      </c>
      <c r="V193" s="104">
        <f t="shared" si="26"/>
        <v>-1.5344119059226613E-2</v>
      </c>
      <c r="W193" s="104">
        <f t="shared" si="27"/>
        <v>4.5556548678513387E-3</v>
      </c>
      <c r="X193" s="104">
        <f t="shared" si="28"/>
        <v>4.4876660066387214E-2</v>
      </c>
      <c r="Y193" s="105">
        <f t="shared" si="29"/>
        <v>-6.1082497608114517E-2</v>
      </c>
    </row>
    <row r="194" spans="1:25" ht="15.75" customHeight="1" x14ac:dyDescent="0.25">
      <c r="A194" s="99">
        <v>44825</v>
      </c>
      <c r="B194" s="100">
        <v>22.31</v>
      </c>
      <c r="C194" s="101">
        <f>myParidad('Flujo de Fondos'!$B$5,A194,B194,'Flujo de Fondos'!$B$7,'Flujo de Fondos'!$B$6)</f>
        <v>0.22264860283261331</v>
      </c>
      <c r="D194" s="100">
        <v>24.3</v>
      </c>
      <c r="E194" s="102">
        <f>myParidad('Flujo de Fondos'!$H$5,$A194,D194,'Flujo de Fondos'!$H$7,'Flujo de Fondos'!$H$6)</f>
        <v>0.24250833925739598</v>
      </c>
      <c r="F194" s="100">
        <v>21.35</v>
      </c>
      <c r="G194" s="101">
        <f>myParidad('Flujo de Fondos'!$N$5,$A194,F194,'Flujo de Fondos'!$N$7,'Flujo de Fondos'!$N$6)</f>
        <v>0.20216754008197999</v>
      </c>
      <c r="H194" s="103">
        <v>24.9</v>
      </c>
      <c r="I194" s="101">
        <f>myParidad('Flujo de Fondos'!$T$5,$A194,H194,'Flujo de Fondos'!$T$7,'Flujo de Fondos'!$T$6)</f>
        <v>0.24893691324801248</v>
      </c>
      <c r="J194" s="103">
        <v>21.8</v>
      </c>
      <c r="K194" s="101">
        <f>myParidad('Flujo de Fondos'!$B$34,$A194,J194,'Flujo de Fondos'!$B$36,'Flujo de Fondos'!$B$35)</f>
        <v>0.21750391230959523</v>
      </c>
      <c r="L194" s="100">
        <v>25.771000000000001</v>
      </c>
      <c r="M194" s="101">
        <f>myParidad('Flujo de Fondos'!$H$34,'Paridad usd'!$A194,'Paridad usd'!L194,'Flujo de Fondos'!$H$36,'Flujo de Fondos'!$H$35)</f>
        <v>0.25764470647849519</v>
      </c>
      <c r="N194" s="103">
        <v>24.285</v>
      </c>
      <c r="O194" s="101">
        <f>myParidad('Flujo de Fondos'!$N$34,$A194,N194,'Flujo de Fondos'!$N$36,'Flujo de Fondos'!$N$35)</f>
        <v>0.24278847141477844</v>
      </c>
      <c r="P194" s="104">
        <f t="shared" ref="P194:P257" si="30">C194-G194</f>
        <v>2.0481062750633328E-2</v>
      </c>
      <c r="Q194" s="104">
        <f t="shared" ref="Q194:Q257" si="31">E194-C194</f>
        <v>1.985973642478267E-2</v>
      </c>
      <c r="R194" s="104">
        <f t="shared" ref="R194:R257" si="32">C194-M194</f>
        <v>-3.4996103645881876E-2</v>
      </c>
      <c r="S194" s="104">
        <f t="shared" ref="S194:S257" si="33">C194-O194</f>
        <v>-2.0139868582165127E-2</v>
      </c>
      <c r="T194" s="104">
        <f t="shared" ref="T194:T257" si="34">E194-O194</f>
        <v>-2.8013215738245667E-4</v>
      </c>
      <c r="U194" s="104">
        <f t="shared" ref="U194:U257" si="35">G194-O194</f>
        <v>-4.0620931332798454E-2</v>
      </c>
      <c r="V194" s="104">
        <f t="shared" ref="V194:V257" si="36">G194-K194</f>
        <v>-1.5336372227615247E-2</v>
      </c>
      <c r="W194" s="104">
        <f t="shared" ref="W194:W257" si="37">C194-K194</f>
        <v>5.1446905230180806E-3</v>
      </c>
      <c r="X194" s="104">
        <f t="shared" ref="X194:X257" si="38">I194-G194</f>
        <v>4.6769373166032496E-2</v>
      </c>
      <c r="Y194" s="105">
        <f t="shared" ref="Y194:Y257" si="39">G194-M194</f>
        <v>-5.5477166396515204E-2</v>
      </c>
    </row>
    <row r="195" spans="1:25" ht="15.75" customHeight="1" x14ac:dyDescent="0.25">
      <c r="A195" s="99">
        <v>44824</v>
      </c>
      <c r="B195" s="100">
        <v>22.559000000000001</v>
      </c>
      <c r="C195" s="101">
        <f>myParidad('Flujo de Fondos'!$B$5,A195,B195,'Flujo de Fondos'!$B$7,'Flujo de Fondos'!$B$6)</f>
        <v>0.22513972055888223</v>
      </c>
      <c r="D195" s="100">
        <v>24.5</v>
      </c>
      <c r="E195" s="102">
        <f>myParidad('Flujo de Fondos'!$H$5,$A195,D195,'Flujo de Fondos'!$H$7,'Flujo de Fondos'!$H$6)</f>
        <v>0.24451097804391217</v>
      </c>
      <c r="F195" s="100">
        <v>21.6</v>
      </c>
      <c r="G195" s="101">
        <f>myParidad('Flujo de Fondos'!$N$5,$A195,F195,'Flujo de Fondos'!$N$7,'Flujo de Fondos'!$N$6)</f>
        <v>0.20453749464918086</v>
      </c>
      <c r="H195" s="103">
        <v>24.89</v>
      </c>
      <c r="I195" s="101">
        <f>myParidad('Flujo de Fondos'!$T$5,$A195,H195,'Flujo de Fondos'!$T$7,'Flujo de Fondos'!$T$6)</f>
        <v>0.24883779055236191</v>
      </c>
      <c r="J195" s="103">
        <v>22.2</v>
      </c>
      <c r="K195" s="101">
        <f>myParidad('Flujo de Fondos'!$B$34,$A195,J195,'Flujo de Fondos'!$B$36,'Flujo de Fondos'!$B$35)</f>
        <v>0.22150162135195808</v>
      </c>
      <c r="L195" s="100">
        <v>26.3</v>
      </c>
      <c r="M195" s="101">
        <f>myParidad('Flujo de Fondos'!$H$34,'Paridad usd'!$A195,'Paridad usd'!L195,'Flujo de Fondos'!$H$36,'Flujo de Fondos'!$H$35)</f>
        <v>0.26293426643339168</v>
      </c>
      <c r="N195" s="103">
        <v>24.1</v>
      </c>
      <c r="O195" s="101">
        <f>myParidad('Flujo de Fondos'!$N$34,$A195,N195,'Flujo de Fondos'!$N$36,'Flujo de Fondos'!$N$35)</f>
        <v>0.24093976505873532</v>
      </c>
      <c r="P195" s="104">
        <f t="shared" si="30"/>
        <v>2.0602225909701372E-2</v>
      </c>
      <c r="Q195" s="104">
        <f t="shared" si="31"/>
        <v>1.9371257485029936E-2</v>
      </c>
      <c r="R195" s="104">
        <f t="shared" si="32"/>
        <v>-3.779454587450945E-2</v>
      </c>
      <c r="S195" s="104">
        <f t="shared" si="33"/>
        <v>-1.5800044499853089E-2</v>
      </c>
      <c r="T195" s="104">
        <f t="shared" si="34"/>
        <v>3.571212985176847E-3</v>
      </c>
      <c r="U195" s="104">
        <f t="shared" si="35"/>
        <v>-3.640227040955446E-2</v>
      </c>
      <c r="V195" s="104">
        <f t="shared" si="36"/>
        <v>-1.6964126702777221E-2</v>
      </c>
      <c r="W195" s="104">
        <f t="shared" si="37"/>
        <v>3.6380992069241502E-3</v>
      </c>
      <c r="X195" s="104">
        <f t="shared" si="38"/>
        <v>4.4300295903181047E-2</v>
      </c>
      <c r="Y195" s="105">
        <f t="shared" si="39"/>
        <v>-5.8396771784210821E-2</v>
      </c>
    </row>
    <row r="196" spans="1:25" ht="15.75" customHeight="1" x14ac:dyDescent="0.25">
      <c r="A196" s="99">
        <v>44823</v>
      </c>
      <c r="B196" s="100">
        <v>22.754000000000001</v>
      </c>
      <c r="C196" s="101">
        <f>myParidad('Flujo de Fondos'!$B$5,A196,B196,'Flujo de Fondos'!$B$7,'Flujo de Fondos'!$B$6)</f>
        <v>0.22709203762441213</v>
      </c>
      <c r="D196" s="100">
        <v>24.995000000000001</v>
      </c>
      <c r="E196" s="102">
        <f>myParidad('Flujo de Fondos'!$H$5,$A196,D196,'Flujo de Fondos'!$H$7,'Flujo de Fondos'!$H$6)</f>
        <v>0.24945791862627148</v>
      </c>
      <c r="F196" s="100">
        <v>21.8</v>
      </c>
      <c r="G196" s="101">
        <f>myParidad('Flujo de Fondos'!$N$5,$A196,F196,'Flujo de Fondos'!$N$7,'Flujo de Fondos'!$N$6)</f>
        <v>0.2064340381372422</v>
      </c>
      <c r="H196" s="103">
        <v>25.013000000000002</v>
      </c>
      <c r="I196" s="101">
        <f>myParidad('Flujo de Fondos'!$T$5,$A196,H196,'Flujo de Fondos'!$T$7,'Flujo de Fondos'!$T$6)</f>
        <v>0.2500683393135939</v>
      </c>
      <c r="J196" s="103">
        <v>22.4</v>
      </c>
      <c r="K196" s="101">
        <f>myParidad('Flujo de Fondos'!$B$34,$A196,J196,'Flujo de Fondos'!$B$36,'Flujo de Fondos'!$B$35)</f>
        <v>0.2235040048112408</v>
      </c>
      <c r="L196" s="100">
        <v>26.38</v>
      </c>
      <c r="M196" s="101">
        <f>myParidad('Flujo de Fondos'!$H$34,'Paridad usd'!$A196,'Paridad usd'!L196,'Flujo de Fondos'!$H$36,'Flujo de Fondos'!$H$35)</f>
        <v>0.2637349694595853</v>
      </c>
      <c r="N196" s="103">
        <v>24.2</v>
      </c>
      <c r="O196" s="101">
        <f>myParidad('Flujo de Fondos'!$N$34,$A196,N196,'Flujo de Fondos'!$N$36,'Flujo de Fondos'!$N$35)</f>
        <v>0.24194034347695087</v>
      </c>
      <c r="P196" s="104">
        <f t="shared" si="30"/>
        <v>2.0657999487169926E-2</v>
      </c>
      <c r="Q196" s="104">
        <f t="shared" si="31"/>
        <v>2.236588100185935E-2</v>
      </c>
      <c r="R196" s="104">
        <f t="shared" si="32"/>
        <v>-3.664293183517317E-2</v>
      </c>
      <c r="S196" s="104">
        <f t="shared" si="33"/>
        <v>-1.484830585253874E-2</v>
      </c>
      <c r="T196" s="104">
        <f t="shared" si="34"/>
        <v>7.51757514932061E-3</v>
      </c>
      <c r="U196" s="104">
        <f t="shared" si="35"/>
        <v>-3.5506305339708666E-2</v>
      </c>
      <c r="V196" s="104">
        <f t="shared" si="36"/>
        <v>-1.7069966673998599E-2</v>
      </c>
      <c r="W196" s="104">
        <f t="shared" si="37"/>
        <v>3.5880328131713268E-3</v>
      </c>
      <c r="X196" s="104">
        <f t="shared" si="38"/>
        <v>4.3634301176351697E-2</v>
      </c>
      <c r="Y196" s="105">
        <f t="shared" si="39"/>
        <v>-5.7300931322343096E-2</v>
      </c>
    </row>
    <row r="197" spans="1:25" ht="15.75" customHeight="1" x14ac:dyDescent="0.25">
      <c r="A197" s="99">
        <v>44820</v>
      </c>
      <c r="B197" s="100">
        <v>22.69</v>
      </c>
      <c r="C197" s="101">
        <f>myParidad('Flujo de Fondos'!$B$5,A197,B197,'Flujo de Fondos'!$B$7,'Flujo de Fondos'!$B$6)</f>
        <v>0.22647187508545491</v>
      </c>
      <c r="D197" s="100">
        <v>25.25</v>
      </c>
      <c r="E197" s="102">
        <f>myParidad('Flujo de Fondos'!$H$5,$A197,D197,'Flujo de Fondos'!$H$7,'Flujo de Fondos'!$H$6)</f>
        <v>0.25202357187781999</v>
      </c>
      <c r="F197" s="100">
        <v>21.59</v>
      </c>
      <c r="G197" s="101">
        <f>myParidad('Flujo de Fondos'!$N$5,$A197,F197,'Flujo de Fondos'!$N$7,'Flujo de Fondos'!$N$6)</f>
        <v>0.20445340978375082</v>
      </c>
      <c r="H197" s="103">
        <v>24.95</v>
      </c>
      <c r="I197" s="101">
        <f>myParidad('Flujo de Fondos'!$T$5,$A197,H197,'Flujo de Fondos'!$T$7,'Flujo de Fondos'!$T$6)</f>
        <v>0.24944105673659306</v>
      </c>
      <c r="J197" s="103">
        <v>22.5</v>
      </c>
      <c r="K197" s="101">
        <f>myParidad('Flujo de Fondos'!$B$34,$A197,J197,'Flujo de Fondos'!$B$36,'Flujo de Fondos'!$B$35)</f>
        <v>0.22452250522006281</v>
      </c>
      <c r="L197" s="100">
        <v>25.8</v>
      </c>
      <c r="M197" s="101">
        <f>myParidad('Flujo de Fondos'!$H$34,'Paridad usd'!$A197,'Paridad usd'!L197,'Flujo de Fondos'!$H$36,'Flujo de Fondos'!$H$35)</f>
        <v>0.25793904864946299</v>
      </c>
      <c r="N197" s="103">
        <v>23.9</v>
      </c>
      <c r="O197" s="101">
        <f>myParidad('Flujo de Fondos'!$N$34,$A197,N197,'Flujo de Fondos'!$N$36,'Flujo de Fondos'!$N$35)</f>
        <v>0.23894353731481258</v>
      </c>
      <c r="P197" s="104">
        <f t="shared" si="30"/>
        <v>2.2018465301704093E-2</v>
      </c>
      <c r="Q197" s="104">
        <f t="shared" si="31"/>
        <v>2.5551696792365075E-2</v>
      </c>
      <c r="R197" s="104">
        <f t="shared" si="32"/>
        <v>-3.1467173564008077E-2</v>
      </c>
      <c r="S197" s="104">
        <f t="shared" si="33"/>
        <v>-1.2471662229357666E-2</v>
      </c>
      <c r="T197" s="104">
        <f t="shared" si="34"/>
        <v>1.3080034563007409E-2</v>
      </c>
      <c r="U197" s="104">
        <f t="shared" si="35"/>
        <v>-3.4490127531061759E-2</v>
      </c>
      <c r="V197" s="104">
        <f t="shared" si="36"/>
        <v>-2.0069095436311996E-2</v>
      </c>
      <c r="W197" s="104">
        <f t="shared" si="37"/>
        <v>1.9493698653920977E-3</v>
      </c>
      <c r="X197" s="104">
        <f t="shared" si="38"/>
        <v>4.4987646952842242E-2</v>
      </c>
      <c r="Y197" s="105">
        <f t="shared" si="39"/>
        <v>-5.3485638865712171E-2</v>
      </c>
    </row>
    <row r="198" spans="1:25" ht="15.75" customHeight="1" x14ac:dyDescent="0.25">
      <c r="A198" s="99">
        <v>44819</v>
      </c>
      <c r="B198" s="100">
        <v>22.9</v>
      </c>
      <c r="C198" s="101">
        <f>myParidad('Flujo de Fondos'!$B$5,A198,B198,'Flujo de Fondos'!$B$7,'Flujo de Fondos'!$B$6)</f>
        <v>0.22857416320280025</v>
      </c>
      <c r="D198" s="100">
        <v>25.25</v>
      </c>
      <c r="E198" s="102">
        <f>myParidad('Flujo de Fondos'!$H$5,$A198,D198,'Flujo de Fondos'!$H$7,'Flujo de Fondos'!$H$6)</f>
        <v>0.25203046379348065</v>
      </c>
      <c r="F198" s="100">
        <v>22.09</v>
      </c>
      <c r="G198" s="101">
        <f>myParidad('Flujo de Fondos'!$N$5,$A198,F198,'Flujo de Fondos'!$N$7,'Flujo de Fondos'!$N$6)</f>
        <v>0.20919103339127726</v>
      </c>
      <c r="H198" s="103">
        <v>25.34</v>
      </c>
      <c r="I198" s="101">
        <f>myParidad('Flujo de Fondos'!$T$5,$A198,H198,'Flujo de Fondos'!$T$7,'Flujo de Fondos'!$T$6)</f>
        <v>0.25334100278017446</v>
      </c>
      <c r="J198" s="103">
        <v>22.6</v>
      </c>
      <c r="K198" s="101">
        <f>myParidad('Flujo de Fondos'!$B$34,$A198,J198,'Flujo de Fondos'!$B$36,'Flujo de Fondos'!$B$35)</f>
        <v>0.22552731945374763</v>
      </c>
      <c r="L198" s="100">
        <v>26.2</v>
      </c>
      <c r="M198" s="101">
        <f>myParidad('Flujo de Fondos'!$H$34,'Paridad usd'!$A198,'Paridad usd'!L198,'Flujo de Fondos'!$H$36,'Flujo de Fondos'!$H$35)</f>
        <v>0.2619390005067313</v>
      </c>
      <c r="N198" s="103">
        <v>24.3</v>
      </c>
      <c r="O198" s="101">
        <f>myParidad('Flujo de Fondos'!$N$34,$A198,N198,'Flujo de Fondos'!$N$36,'Flujo de Fondos'!$N$35)</f>
        <v>0.24294342413410577</v>
      </c>
      <c r="P198" s="104">
        <f t="shared" si="30"/>
        <v>1.9383129811522987E-2</v>
      </c>
      <c r="Q198" s="104">
        <f t="shared" si="31"/>
        <v>2.3456300590680407E-2</v>
      </c>
      <c r="R198" s="104">
        <f t="shared" si="32"/>
        <v>-3.3364837303931055E-2</v>
      </c>
      <c r="S198" s="104">
        <f t="shared" si="33"/>
        <v>-1.4369260931305528E-2</v>
      </c>
      <c r="T198" s="104">
        <f t="shared" si="34"/>
        <v>9.0870396593748792E-3</v>
      </c>
      <c r="U198" s="104">
        <f t="shared" si="35"/>
        <v>-3.3752390742828514E-2</v>
      </c>
      <c r="V198" s="104">
        <f t="shared" si="36"/>
        <v>-1.6336286062470368E-2</v>
      </c>
      <c r="W198" s="104">
        <f t="shared" si="37"/>
        <v>3.046843749052619E-3</v>
      </c>
      <c r="X198" s="104">
        <f t="shared" si="38"/>
        <v>4.4149969388897203E-2</v>
      </c>
      <c r="Y198" s="105">
        <f t="shared" si="39"/>
        <v>-5.2747967115454042E-2</v>
      </c>
    </row>
    <row r="199" spans="1:25" ht="15.75" customHeight="1" x14ac:dyDescent="0.25">
      <c r="A199" s="99">
        <v>44818</v>
      </c>
      <c r="B199" s="100">
        <v>23.5</v>
      </c>
      <c r="C199" s="101">
        <f>myParidad('Flujo de Fondos'!$B$5,A199,B199,'Flujo de Fondos'!$B$7,'Flujo de Fondos'!$B$6)</f>
        <v>0.23456942051576557</v>
      </c>
      <c r="D199" s="100">
        <v>25.25</v>
      </c>
      <c r="E199" s="102">
        <f>myParidad('Flujo de Fondos'!$H$5,$A199,D199,'Flujo de Fondos'!$H$7,'Flujo de Fondos'!$H$6)</f>
        <v>0.25203735608608857</v>
      </c>
      <c r="F199" s="100">
        <v>22.37</v>
      </c>
      <c r="G199" s="101">
        <f>myParidad('Flujo de Fondos'!$N$5,$A199,F199,'Flujo de Fondos'!$N$7,'Flujo de Fondos'!$N$6)</f>
        <v>0.2118453655056107</v>
      </c>
      <c r="H199" s="103">
        <v>25.747</v>
      </c>
      <c r="I199" s="101">
        <f>myParidad('Flujo de Fondos'!$T$5,$A199,H199,'Flujo de Fondos'!$T$7,'Flujo de Fondos'!$T$6)</f>
        <v>0.25741093653168623</v>
      </c>
      <c r="J199" s="103">
        <v>23</v>
      </c>
      <c r="K199" s="101">
        <f>myParidad('Flujo de Fondos'!$B$34,$A199,J199,'Flujo de Fondos'!$B$36,'Flujo de Fondos'!$B$35)</f>
        <v>0.22952601306206702</v>
      </c>
      <c r="L199" s="100">
        <v>26.5</v>
      </c>
      <c r="M199" s="101">
        <f>myParidad('Flujo de Fondos'!$H$34,'Paridad usd'!$A199,'Paridad usd'!L199,'Flujo de Fondos'!$H$36,'Flujo de Fondos'!$H$35)</f>
        <v>0.26493920915406394</v>
      </c>
      <c r="N199" s="103">
        <v>24.71</v>
      </c>
      <c r="O199" s="101">
        <f>myParidad('Flujo de Fondos'!$N$34,$A199,N199,'Flujo de Fondos'!$N$36,'Flujo de Fondos'!$N$35)</f>
        <v>0.2470433154036574</v>
      </c>
      <c r="P199" s="104">
        <f t="shared" si="30"/>
        <v>2.272405501015487E-2</v>
      </c>
      <c r="Q199" s="104">
        <f t="shared" si="31"/>
        <v>1.7467935570323001E-2</v>
      </c>
      <c r="R199" s="104">
        <f t="shared" si="32"/>
        <v>-3.0369788638298367E-2</v>
      </c>
      <c r="S199" s="104">
        <f t="shared" si="33"/>
        <v>-1.2473894887891829E-2</v>
      </c>
      <c r="T199" s="104">
        <f t="shared" si="34"/>
        <v>4.9940406824311723E-3</v>
      </c>
      <c r="U199" s="104">
        <f t="shared" si="35"/>
        <v>-3.5197949898046699E-2</v>
      </c>
      <c r="V199" s="104">
        <f t="shared" si="36"/>
        <v>-1.7680647556456319E-2</v>
      </c>
      <c r="W199" s="104">
        <f t="shared" si="37"/>
        <v>5.0434074536985507E-3</v>
      </c>
      <c r="X199" s="104">
        <f t="shared" si="38"/>
        <v>4.556557102607553E-2</v>
      </c>
      <c r="Y199" s="105">
        <f t="shared" si="39"/>
        <v>-5.3093843648453237E-2</v>
      </c>
    </row>
    <row r="200" spans="1:25" ht="15.75" customHeight="1" x14ac:dyDescent="0.25">
      <c r="A200" s="99">
        <v>44817</v>
      </c>
      <c r="B200" s="100">
        <v>23.54</v>
      </c>
      <c r="C200" s="101">
        <f>myParidad('Flujo de Fondos'!$B$5,A200,B200,'Flujo de Fondos'!$B$7,'Flujo de Fondos'!$B$6)</f>
        <v>0.23497511349340916</v>
      </c>
      <c r="D200" s="100">
        <v>25.6</v>
      </c>
      <c r="E200" s="102">
        <f>myParidad('Flujo de Fondos'!$H$5,$A200,D200,'Flujo de Fondos'!$H$7,'Flujo de Fondos'!$H$6)</f>
        <v>0.25553793141169395</v>
      </c>
      <c r="F200" s="100">
        <v>22.58</v>
      </c>
      <c r="G200" s="101">
        <f>myParidad('Flujo de Fondos'!$N$5,$A200,F200,'Flujo de Fondos'!$N$7,'Flujo de Fondos'!$N$6)</f>
        <v>0.21383685330289035</v>
      </c>
      <c r="H200" s="103">
        <v>26.01</v>
      </c>
      <c r="I200" s="101">
        <f>myParidad('Flujo de Fondos'!$T$5,$A200,H200,'Flujo de Fondos'!$T$7,'Flujo de Fondos'!$T$6)</f>
        <v>0.26004122355905857</v>
      </c>
      <c r="J200" s="103">
        <v>23.100999999999999</v>
      </c>
      <c r="K200" s="101">
        <f>myParidad('Flujo de Fondos'!$B$34,$A200,J200,'Flujo de Fondos'!$B$36,'Flujo de Fondos'!$B$35)</f>
        <v>0.23054102271406796</v>
      </c>
      <c r="L200" s="100">
        <v>27.1</v>
      </c>
      <c r="M200" s="101">
        <f>myParidad('Flujo de Fondos'!$H$34,'Paridad usd'!$A200,'Paridad usd'!L200,'Flujo de Fondos'!$H$36,'Flujo de Fondos'!$H$35)</f>
        <v>0.27093876041716602</v>
      </c>
      <c r="N200" s="103">
        <v>25</v>
      </c>
      <c r="O200" s="101">
        <f>myParidad('Flujo de Fondos'!$N$34,$A200,N200,'Flujo de Fondos'!$N$36,'Flujo de Fondos'!$N$35)</f>
        <v>0.24994350591989481</v>
      </c>
      <c r="P200" s="104">
        <f t="shared" si="30"/>
        <v>2.1138260190518815E-2</v>
      </c>
      <c r="Q200" s="104">
        <f t="shared" si="31"/>
        <v>2.0562817918284793E-2</v>
      </c>
      <c r="R200" s="104">
        <f t="shared" si="32"/>
        <v>-3.5963646923756865E-2</v>
      </c>
      <c r="S200" s="104">
        <f t="shared" si="33"/>
        <v>-1.4968392426485649E-2</v>
      </c>
      <c r="T200" s="104">
        <f t="shared" si="34"/>
        <v>5.5944254917991432E-3</v>
      </c>
      <c r="U200" s="104">
        <f t="shared" si="35"/>
        <v>-3.6106652617004464E-2</v>
      </c>
      <c r="V200" s="104">
        <f t="shared" si="36"/>
        <v>-1.6704169411177611E-2</v>
      </c>
      <c r="W200" s="104">
        <f t="shared" si="37"/>
        <v>4.4340907793412043E-3</v>
      </c>
      <c r="X200" s="104">
        <f t="shared" si="38"/>
        <v>4.620437025616822E-2</v>
      </c>
      <c r="Y200" s="105">
        <f t="shared" si="39"/>
        <v>-5.710190711427568E-2</v>
      </c>
    </row>
    <row r="201" spans="1:25" ht="15.75" customHeight="1" x14ac:dyDescent="0.25">
      <c r="A201" s="99">
        <v>44816</v>
      </c>
      <c r="B201" s="100">
        <v>24</v>
      </c>
      <c r="C201" s="101">
        <f>myParidad('Flujo de Fondos'!$B$5,A201,B201,'Flujo de Fondos'!$B$7,'Flujo de Fondos'!$B$6)</f>
        <v>0.23957336250512787</v>
      </c>
      <c r="D201" s="100">
        <v>25.55</v>
      </c>
      <c r="E201" s="102">
        <f>myParidad('Flujo de Fondos'!$H$5,$A201,D201,'Flujo de Fondos'!$H$7,'Flujo de Fondos'!$H$6)</f>
        <v>0.25504580883358402</v>
      </c>
      <c r="F201" s="100">
        <v>23</v>
      </c>
      <c r="G201" s="101">
        <f>myParidad('Flujo de Fondos'!$N$5,$A201,F201,'Flujo de Fondos'!$N$7,'Flujo de Fondos'!$N$6)</f>
        <v>0.21781715812825136</v>
      </c>
      <c r="H201" s="103">
        <v>26.2</v>
      </c>
      <c r="I201" s="101">
        <f>myParidad('Flujo de Fondos'!$T$5,$A201,H201,'Flujo de Fondos'!$T$7,'Flujo de Fondos'!$T$6)</f>
        <v>0.26194169106192117</v>
      </c>
      <c r="J201" s="103">
        <v>23.66</v>
      </c>
      <c r="K201" s="101">
        <f>myParidad('Flujo de Fondos'!$B$34,$A201,J201,'Flujo de Fondos'!$B$36,'Flujo de Fondos'!$B$35)</f>
        <v>0.23612693747116223</v>
      </c>
      <c r="L201" s="100">
        <v>27.75</v>
      </c>
      <c r="M201" s="101">
        <f>myParidad('Flujo de Fondos'!$H$34,'Paridad usd'!$A201,'Paridad usd'!L201,'Flujo de Fondos'!$H$36,'Flujo de Fondos'!$H$35)</f>
        <v>0.27743824148734014</v>
      </c>
      <c r="N201" s="103">
        <v>25.13</v>
      </c>
      <c r="O201" s="101">
        <f>myParidad('Flujo de Fondos'!$N$34,$A201,N201,'Flujo de Fondos'!$N$36,'Flujo de Fondos'!$N$35)</f>
        <v>0.25124407238114804</v>
      </c>
      <c r="P201" s="104">
        <f t="shared" si="30"/>
        <v>2.1756204376876503E-2</v>
      </c>
      <c r="Q201" s="104">
        <f t="shared" si="31"/>
        <v>1.5472446328456152E-2</v>
      </c>
      <c r="R201" s="104">
        <f t="shared" si="32"/>
        <v>-3.7864878982212274E-2</v>
      </c>
      <c r="S201" s="104">
        <f t="shared" si="33"/>
        <v>-1.1670709876020174E-2</v>
      </c>
      <c r="T201" s="104">
        <f t="shared" si="34"/>
        <v>3.8017364524359776E-3</v>
      </c>
      <c r="U201" s="104">
        <f t="shared" si="35"/>
        <v>-3.3426914252896678E-2</v>
      </c>
      <c r="V201" s="104">
        <f t="shared" si="36"/>
        <v>-1.8309779342910865E-2</v>
      </c>
      <c r="W201" s="104">
        <f t="shared" si="37"/>
        <v>3.4464250339656388E-3</v>
      </c>
      <c r="X201" s="104">
        <f t="shared" si="38"/>
        <v>4.4124532933669802E-2</v>
      </c>
      <c r="Y201" s="105">
        <f t="shared" si="39"/>
        <v>-5.9621083359088778E-2</v>
      </c>
    </row>
    <row r="202" spans="1:25" ht="15.75" customHeight="1" x14ac:dyDescent="0.25">
      <c r="A202" s="99">
        <v>44813</v>
      </c>
      <c r="B202" s="100">
        <v>23.75</v>
      </c>
      <c r="C202" s="101">
        <f>myParidad('Flujo de Fondos'!$B$5,A202,B202,'Flujo de Fondos'!$B$7,'Flujo de Fondos'!$B$6)</f>
        <v>0.23709725944970186</v>
      </c>
      <c r="D202" s="100">
        <v>25</v>
      </c>
      <c r="E202" s="102">
        <f>myParidad('Flujo de Fondos'!$H$5,$A202,D202,'Flujo de Fondos'!$H$7,'Flujo de Fondos'!$H$6)</f>
        <v>0.24957606257863355</v>
      </c>
      <c r="F202" s="100">
        <v>22.8</v>
      </c>
      <c r="G202" s="101">
        <f>myParidad('Flujo de Fondos'!$N$5,$A202,F202,'Flujo de Fondos'!$N$7,'Flujo de Fondos'!$N$6)</f>
        <v>0.21593149974052933</v>
      </c>
      <c r="H202" s="103">
        <v>26.05</v>
      </c>
      <c r="I202" s="101">
        <f>myParidad('Flujo de Fondos'!$T$5,$A202,H202,'Flujo de Fondos'!$T$7,'Flujo de Fondos'!$T$6)</f>
        <v>0.26044470009792442</v>
      </c>
      <c r="J202" s="103">
        <v>23.56</v>
      </c>
      <c r="K202" s="101">
        <f>myParidad('Flujo de Fondos'!$B$34,$A202,J202,'Flujo de Fondos'!$B$36,'Flujo de Fondos'!$B$35)</f>
        <v>0.23515063679680609</v>
      </c>
      <c r="L202" s="100">
        <v>27.498999999999999</v>
      </c>
      <c r="M202" s="101">
        <f>myParidad('Flujo de Fondos'!$H$34,'Paridad usd'!$A202,'Paridad usd'!L202,'Flujo de Fondos'!$H$36,'Flujo de Fondos'!$H$35)</f>
        <v>0.27493162410721012</v>
      </c>
      <c r="N202" s="103">
        <v>25.8</v>
      </c>
      <c r="O202" s="101">
        <f>myParidad('Flujo de Fondos'!$N$34,$A202,N202,'Flujo de Fondos'!$N$36,'Flujo de Fondos'!$N$35)</f>
        <v>0.25794523080715737</v>
      </c>
      <c r="P202" s="104">
        <f t="shared" si="30"/>
        <v>2.1165759709172532E-2</v>
      </c>
      <c r="Q202" s="104">
        <f t="shared" si="31"/>
        <v>1.2478803128931681E-2</v>
      </c>
      <c r="R202" s="104">
        <f t="shared" si="32"/>
        <v>-3.7834364657508252E-2</v>
      </c>
      <c r="S202" s="104">
        <f t="shared" si="33"/>
        <v>-2.0847971357455503E-2</v>
      </c>
      <c r="T202" s="104">
        <f t="shared" si="34"/>
        <v>-8.3691682285238211E-3</v>
      </c>
      <c r="U202" s="104">
        <f t="shared" si="35"/>
        <v>-4.2013731066628035E-2</v>
      </c>
      <c r="V202" s="104">
        <f t="shared" si="36"/>
        <v>-1.9219137056276758E-2</v>
      </c>
      <c r="W202" s="104">
        <f t="shared" si="37"/>
        <v>1.9466226528957742E-3</v>
      </c>
      <c r="X202" s="104">
        <f t="shared" si="38"/>
        <v>4.4513200357395089E-2</v>
      </c>
      <c r="Y202" s="105">
        <f t="shared" si="39"/>
        <v>-5.9000124366680784E-2</v>
      </c>
    </row>
    <row r="203" spans="1:25" ht="15.75" customHeight="1" x14ac:dyDescent="0.25">
      <c r="A203" s="99">
        <v>44812</v>
      </c>
      <c r="B203" s="100">
        <v>23.8</v>
      </c>
      <c r="C203" s="101">
        <f>myParidad('Flujo de Fondos'!$B$5,A203,B203,'Flujo de Fondos'!$B$7,'Flujo de Fondos'!$B$6)</f>
        <v>0.2376029102048631</v>
      </c>
      <c r="D203" s="100">
        <v>25.6</v>
      </c>
      <c r="E203" s="102">
        <f>myParidad('Flujo de Fondos'!$H$5,$A203,D203,'Flujo de Fondos'!$H$7,'Flujo de Fondos'!$H$6)</f>
        <v>0.25557287820355024</v>
      </c>
      <c r="F203" s="100">
        <v>22.77</v>
      </c>
      <c r="G203" s="101">
        <f>myParidad('Flujo de Fondos'!$N$5,$A203,F203,'Flujo de Fondos'!$N$7,'Flujo de Fondos'!$N$6)</f>
        <v>0.21565017709103645</v>
      </c>
      <c r="H203" s="103">
        <v>25.8</v>
      </c>
      <c r="I203" s="101">
        <f>myParidad('Flujo de Fondos'!$T$5,$A203,H203,'Flujo de Fondos'!$T$7,'Flujo de Fondos'!$T$6)</f>
        <v>0.25794611399673356</v>
      </c>
      <c r="J203" s="103">
        <v>23.201000000000001</v>
      </c>
      <c r="K203" s="101">
        <f>myParidad('Flujo de Fondos'!$B$34,$A203,J203,'Flujo de Fondos'!$B$36,'Flujo de Fondos'!$B$35)</f>
        <v>0.23157460801438393</v>
      </c>
      <c r="L203" s="100">
        <v>27.3</v>
      </c>
      <c r="M203" s="101">
        <f>myParidad('Flujo de Fondos'!$H$34,'Paridad usd'!$A203,'Paridad usd'!L203,'Flujo de Fondos'!$H$36,'Flujo de Fondos'!$H$35)</f>
        <v>0.27294298108956694</v>
      </c>
      <c r="N203" s="103">
        <v>25.25</v>
      </c>
      <c r="O203" s="101">
        <f>myParidad('Flujo de Fondos'!$N$34,$A203,N203,'Flujo de Fondos'!$N$36,'Flujo de Fondos'!$N$35)</f>
        <v>0.25244726272936135</v>
      </c>
      <c r="P203" s="104">
        <f t="shared" si="30"/>
        <v>2.1952733113826645E-2</v>
      </c>
      <c r="Q203" s="104">
        <f t="shared" si="31"/>
        <v>1.7969967998687136E-2</v>
      </c>
      <c r="R203" s="104">
        <f t="shared" si="32"/>
        <v>-3.5340070884703839E-2</v>
      </c>
      <c r="S203" s="104">
        <f t="shared" si="33"/>
        <v>-1.4844352524498255E-2</v>
      </c>
      <c r="T203" s="104">
        <f t="shared" si="34"/>
        <v>3.1256154741888809E-3</v>
      </c>
      <c r="U203" s="104">
        <f t="shared" si="35"/>
        <v>-3.67970856383249E-2</v>
      </c>
      <c r="V203" s="104">
        <f t="shared" si="36"/>
        <v>-1.5924430923347471E-2</v>
      </c>
      <c r="W203" s="104">
        <f t="shared" si="37"/>
        <v>6.0283021904791734E-3</v>
      </c>
      <c r="X203" s="104">
        <f t="shared" si="38"/>
        <v>4.2295936905697107E-2</v>
      </c>
      <c r="Y203" s="105">
        <f t="shared" si="39"/>
        <v>-5.7292803998530484E-2</v>
      </c>
    </row>
    <row r="204" spans="1:25" ht="15.75" customHeight="1" x14ac:dyDescent="0.25">
      <c r="A204" s="99">
        <v>44811</v>
      </c>
      <c r="B204" s="100">
        <v>23.56</v>
      </c>
      <c r="C204" s="101">
        <f>myParidad('Flujo de Fondos'!$B$5,A204,B204,'Flujo de Fondos'!$B$7,'Flujo de Fondos'!$B$6)</f>
        <v>0.23521334792122536</v>
      </c>
      <c r="D204" s="100">
        <v>25.4</v>
      </c>
      <c r="E204" s="102">
        <f>myParidad('Flujo de Fondos'!$H$5,$A204,D204,'Flujo de Fondos'!$H$7,'Flujo de Fondos'!$H$6)</f>
        <v>0.2535831509846827</v>
      </c>
      <c r="F204" s="100">
        <v>22.83</v>
      </c>
      <c r="G204" s="101">
        <f>myParidad('Flujo de Fondos'!$N$5,$A204,F204,'Flujo de Fondos'!$N$7,'Flujo de Fondos'!$N$6)</f>
        <v>0.21622123044189001</v>
      </c>
      <c r="H204" s="103">
        <v>25.82</v>
      </c>
      <c r="I204" s="101">
        <f>myParidad('Flujo de Fondos'!$T$5,$A204,H204,'Flujo de Fondos'!$T$7,'Flujo de Fondos'!$T$6)</f>
        <v>0.25814695610490995</v>
      </c>
      <c r="J204" s="103">
        <v>23.2</v>
      </c>
      <c r="K204" s="101">
        <f>myParidad('Flujo de Fondos'!$B$34,$A204,J204,'Flujo de Fondos'!$B$36,'Flujo de Fondos'!$B$35)</f>
        <v>0.23157175087167567</v>
      </c>
      <c r="L204" s="100">
        <v>27.3</v>
      </c>
      <c r="M204" s="101">
        <f>myParidad('Flujo de Fondos'!$H$34,'Paridad usd'!$A204,'Paridad usd'!L204,'Flujo de Fondos'!$H$36,'Flujo de Fondos'!$H$35)</f>
        <v>0.2729439156337739</v>
      </c>
      <c r="N204" s="103">
        <v>25</v>
      </c>
      <c r="O204" s="101">
        <f>myParidad('Flujo de Fondos'!$N$34,$A204,N204,'Flujo de Fondos'!$N$36,'Flujo de Fondos'!$N$35)</f>
        <v>0.24994864069026912</v>
      </c>
      <c r="P204" s="104">
        <f t="shared" si="30"/>
        <v>1.8992117479335352E-2</v>
      </c>
      <c r="Q204" s="104">
        <f t="shared" si="31"/>
        <v>1.8369803063457341E-2</v>
      </c>
      <c r="R204" s="104">
        <f t="shared" si="32"/>
        <v>-3.7730567712548541E-2</v>
      </c>
      <c r="S204" s="104">
        <f t="shared" si="33"/>
        <v>-1.4735292769043756E-2</v>
      </c>
      <c r="T204" s="104">
        <f t="shared" si="34"/>
        <v>3.6345102944135843E-3</v>
      </c>
      <c r="U204" s="104">
        <f t="shared" si="35"/>
        <v>-3.3727410248379108E-2</v>
      </c>
      <c r="V204" s="104">
        <f t="shared" si="36"/>
        <v>-1.5350520429785658E-2</v>
      </c>
      <c r="W204" s="104">
        <f t="shared" si="37"/>
        <v>3.6415970495496941E-3</v>
      </c>
      <c r="X204" s="104">
        <f t="shared" si="38"/>
        <v>4.1925725663019942E-2</v>
      </c>
      <c r="Y204" s="105">
        <f t="shared" si="39"/>
        <v>-5.6722685191883893E-2</v>
      </c>
    </row>
    <row r="205" spans="1:25" ht="15.75" customHeight="1" x14ac:dyDescent="0.25">
      <c r="A205" s="99">
        <v>44810</v>
      </c>
      <c r="B205" s="100">
        <v>23.821000000000002</v>
      </c>
      <c r="C205" s="101">
        <f>myParidad('Flujo de Fondos'!$B$5,A205,B205,'Flujo de Fondos'!$B$7,'Flujo de Fondos'!$B$6)</f>
        <v>0.23782556962717799</v>
      </c>
      <c r="D205" s="100">
        <v>25.25</v>
      </c>
      <c r="E205" s="102">
        <f>myParidad('Flujo de Fondos'!$H$5,$A205,D205,'Flujo de Fondos'!$H$7,'Flujo de Fondos'!$H$6)</f>
        <v>0.25209250800076588</v>
      </c>
      <c r="F205" s="100">
        <v>22.69</v>
      </c>
      <c r="G205" s="101">
        <f>myParidad('Flujo de Fondos'!$N$5,$A205,F205,'Flujo de Fondos'!$N$7,'Flujo de Fondos'!$N$6)</f>
        <v>0.21489808892406295</v>
      </c>
      <c r="H205" s="103">
        <v>26.26</v>
      </c>
      <c r="I205" s="101">
        <f>myParidad('Flujo de Fondos'!$T$5,$A205,H205,'Flujo de Fondos'!$T$7,'Flujo de Fondos'!$T$6)</f>
        <v>0.26254695112973753</v>
      </c>
      <c r="J205" s="103">
        <v>23.25</v>
      </c>
      <c r="K205" s="101">
        <f>myParidad('Flujo de Fondos'!$B$34,$A205,J205,'Flujo de Fondos'!$B$36,'Flujo de Fondos'!$B$35)</f>
        <v>0.23207796780512152</v>
      </c>
      <c r="L205" s="100">
        <v>27.25</v>
      </c>
      <c r="M205" s="101">
        <f>myParidad('Flujo de Fondos'!$H$34,'Paridad usd'!$A205,'Paridad usd'!L205,'Flujo de Fondos'!$H$36,'Flujo de Fondos'!$H$35)</f>
        <v>0.27244495119136886</v>
      </c>
      <c r="N205" s="103">
        <v>24.99</v>
      </c>
      <c r="O205" s="101">
        <f>myParidad('Flujo de Fondos'!$N$34,$A205,N205,'Flujo de Fondos'!$N$36,'Flujo de Fondos'!$N$35)</f>
        <v>0.24984951670724065</v>
      </c>
      <c r="P205" s="104">
        <f t="shared" si="30"/>
        <v>2.2927480703115038E-2</v>
      </c>
      <c r="Q205" s="104">
        <f t="shared" si="31"/>
        <v>1.426693837358789E-2</v>
      </c>
      <c r="R205" s="104">
        <f t="shared" si="32"/>
        <v>-3.4619381564190865E-2</v>
      </c>
      <c r="S205" s="104">
        <f t="shared" si="33"/>
        <v>-1.2023947080062658E-2</v>
      </c>
      <c r="T205" s="104">
        <f t="shared" si="34"/>
        <v>2.2429912935252316E-3</v>
      </c>
      <c r="U205" s="104">
        <f t="shared" si="35"/>
        <v>-3.4951427783177696E-2</v>
      </c>
      <c r="V205" s="104">
        <f t="shared" si="36"/>
        <v>-1.7179878881058569E-2</v>
      </c>
      <c r="W205" s="104">
        <f t="shared" si="37"/>
        <v>5.7476018220564695E-3</v>
      </c>
      <c r="X205" s="104">
        <f t="shared" si="38"/>
        <v>4.7648862205674575E-2</v>
      </c>
      <c r="Y205" s="105">
        <f t="shared" si="39"/>
        <v>-5.7546862267305904E-2</v>
      </c>
    </row>
    <row r="206" spans="1:25" ht="15.75" customHeight="1" x14ac:dyDescent="0.25">
      <c r="A206" s="99">
        <v>44809</v>
      </c>
      <c r="B206" s="100">
        <v>24</v>
      </c>
      <c r="C206" s="101">
        <f>myParidad('Flujo de Fondos'!$B$5,A206,B206,'Flujo de Fondos'!$B$7,'Flujo de Fondos'!$B$6)</f>
        <v>0.23961923518792055</v>
      </c>
      <c r="D206" s="100">
        <v>25.3</v>
      </c>
      <c r="E206" s="102">
        <f>myParidad('Flujo de Fondos'!$H$5,$A206,D206,'Flujo de Fondos'!$H$7,'Flujo de Fondos'!$H$6)</f>
        <v>0.25259861042726628</v>
      </c>
      <c r="F206" s="100">
        <v>22.812999999999999</v>
      </c>
      <c r="G206" s="101">
        <f>myParidad('Flujo de Fondos'!$N$5,$A206,F206,'Flujo de Fondos'!$N$7,'Flujo de Fondos'!$N$6)</f>
        <v>0.21606583112771807</v>
      </c>
      <c r="H206" s="103">
        <v>26.55</v>
      </c>
      <c r="I206" s="101">
        <f>myParidad('Flujo de Fondos'!$T$5,$A206,H206,'Flujo de Fondos'!$T$7,'Flujo de Fondos'!$T$6)</f>
        <v>0.26544727417156866</v>
      </c>
      <c r="J206" s="103">
        <v>23.4</v>
      </c>
      <c r="K206" s="101">
        <f>myParidad('Flujo de Fondos'!$B$34,$A206,J206,'Flujo de Fondos'!$B$36,'Flujo de Fondos'!$B$35)</f>
        <v>0.23358243140686852</v>
      </c>
      <c r="L206" s="100">
        <v>27.2</v>
      </c>
      <c r="M206" s="101">
        <f>myParidad('Flujo de Fondos'!$H$34,'Paridad usd'!$A206,'Paridad usd'!L206,'Flujo de Fondos'!$H$36,'Flujo de Fondos'!$H$35)</f>
        <v>0.27194598333207787</v>
      </c>
      <c r="N206" s="103">
        <v>25</v>
      </c>
      <c r="O206" s="101">
        <f>myParidad('Flujo de Fondos'!$N$34,$A206,N206,'Flujo de Fondos'!$N$36,'Flujo de Fondos'!$N$35)</f>
        <v>0.24995035232727747</v>
      </c>
      <c r="P206" s="104">
        <f t="shared" si="30"/>
        <v>2.3553404060202482E-2</v>
      </c>
      <c r="Q206" s="104">
        <f t="shared" si="31"/>
        <v>1.2979375239345725E-2</v>
      </c>
      <c r="R206" s="104">
        <f t="shared" si="32"/>
        <v>-3.2326748144157313E-2</v>
      </c>
      <c r="S206" s="104">
        <f t="shared" si="33"/>
        <v>-1.0331117139356916E-2</v>
      </c>
      <c r="T206" s="104">
        <f t="shared" si="34"/>
        <v>2.6482580999888095E-3</v>
      </c>
      <c r="U206" s="104">
        <f t="shared" si="35"/>
        <v>-3.3884521199559398E-2</v>
      </c>
      <c r="V206" s="104">
        <f t="shared" si="36"/>
        <v>-1.7516600279150446E-2</v>
      </c>
      <c r="W206" s="104">
        <f t="shared" si="37"/>
        <v>6.0368037810520359E-3</v>
      </c>
      <c r="X206" s="104">
        <f t="shared" si="38"/>
        <v>4.9381443043850587E-2</v>
      </c>
      <c r="Y206" s="105">
        <f t="shared" si="39"/>
        <v>-5.5880152204359795E-2</v>
      </c>
    </row>
    <row r="207" spans="1:25" ht="15.75" customHeight="1" x14ac:dyDescent="0.25">
      <c r="A207" s="99">
        <v>44805</v>
      </c>
      <c r="B207" s="100">
        <v>23.1</v>
      </c>
      <c r="C207" s="101">
        <f>myParidad('Flujo de Fondos'!$B$5,A207,B207,'Flujo de Fondos'!$B$7,'Flujo de Fondos'!$B$6)</f>
        <v>0.23065875143623135</v>
      </c>
      <c r="D207" s="100">
        <v>24.55</v>
      </c>
      <c r="E207" s="102">
        <f>myParidad('Flujo de Fondos'!$H$5,$A207,D207,'Flujo de Fondos'!$H$7,'Flujo de Fondos'!$H$6)</f>
        <v>0.24513733107183894</v>
      </c>
      <c r="F207" s="100">
        <v>22</v>
      </c>
      <c r="G207" s="101">
        <f>myParidad('Flujo de Fondos'!$N$5,$A207,F207,'Flujo de Fondos'!$N$7,'Flujo de Fondos'!$N$6)</f>
        <v>0.20837658293543698</v>
      </c>
      <c r="H207" s="103">
        <v>25.39</v>
      </c>
      <c r="I207" s="101">
        <f>myParidad('Flujo de Fondos'!$T$5,$A207,H207,'Flujo de Fondos'!$T$7,'Flujo de Fondos'!$T$6)</f>
        <v>0.25385305457209967</v>
      </c>
      <c r="J207" s="103">
        <v>22.75</v>
      </c>
      <c r="K207" s="101">
        <f>myParidad('Flujo de Fondos'!$B$34,$A207,J207,'Flujo de Fondos'!$B$36,'Flujo de Fondos'!$B$35)</f>
        <v>0.22712198190682631</v>
      </c>
      <c r="L207" s="100">
        <v>26.79</v>
      </c>
      <c r="M207" s="101">
        <f>myParidad('Flujo de Fondos'!$H$34,'Paridad usd'!$A207,'Paridad usd'!L207,'Flujo de Fondos'!$H$36,'Flujo de Fondos'!$H$35)</f>
        <v>0.26785046600971052</v>
      </c>
      <c r="N207" s="103">
        <v>24.5</v>
      </c>
      <c r="O207" s="101">
        <f>myParidad('Flujo de Fondos'!$N$34,$A207,N207,'Flujo de Fondos'!$N$36,'Flujo de Fondos'!$N$35)</f>
        <v>0.24495470015818993</v>
      </c>
      <c r="P207" s="104">
        <f t="shared" si="30"/>
        <v>2.2282168500794369E-2</v>
      </c>
      <c r="Q207" s="104">
        <f t="shared" si="31"/>
        <v>1.4478579635607586E-2</v>
      </c>
      <c r="R207" s="104">
        <f t="shared" si="32"/>
        <v>-3.7191714573479168E-2</v>
      </c>
      <c r="S207" s="104">
        <f t="shared" si="33"/>
        <v>-1.4295948721958579E-2</v>
      </c>
      <c r="T207" s="104">
        <f t="shared" si="34"/>
        <v>1.8263091364900674E-4</v>
      </c>
      <c r="U207" s="104">
        <f t="shared" si="35"/>
        <v>-3.6578117222752948E-2</v>
      </c>
      <c r="V207" s="104">
        <f t="shared" si="36"/>
        <v>-1.8745398971389327E-2</v>
      </c>
      <c r="W207" s="104">
        <f t="shared" si="37"/>
        <v>3.5367695294050427E-3</v>
      </c>
      <c r="X207" s="104">
        <f t="shared" si="38"/>
        <v>4.5476471636662685E-2</v>
      </c>
      <c r="Y207" s="105">
        <f t="shared" si="39"/>
        <v>-5.9473883074273537E-2</v>
      </c>
    </row>
    <row r="208" spans="1:25" ht="15.75" customHeight="1" x14ac:dyDescent="0.25">
      <c r="A208" s="99">
        <v>44804</v>
      </c>
      <c r="B208" s="100">
        <v>23</v>
      </c>
      <c r="C208" s="101">
        <f>myParidad('Flujo de Fondos'!$B$5,A208,B208,'Flujo de Fondos'!$B$7,'Flujo de Fondos'!$B$6)</f>
        <v>0.2296665116406314</v>
      </c>
      <c r="D208" s="100">
        <v>24.55</v>
      </c>
      <c r="E208" s="102">
        <f>myParidad('Flujo de Fondos'!$H$5,$A208,D208,'Flujo de Fondos'!$H$7,'Flujo de Fondos'!$H$6)</f>
        <v>0.24514403742510876</v>
      </c>
      <c r="F208" s="100">
        <v>22.01</v>
      </c>
      <c r="G208" s="101">
        <f>myParidad('Flujo de Fondos'!$N$5,$A208,F208,'Flujo de Fondos'!$N$7,'Flujo de Fondos'!$N$6)</f>
        <v>0.20847400448936695</v>
      </c>
      <c r="H208" s="103">
        <v>25.210999999999999</v>
      </c>
      <c r="I208" s="101">
        <f>myParidad('Flujo de Fondos'!$T$5,$A208,H208,'Flujo de Fondos'!$T$7,'Flujo de Fondos'!$T$6)</f>
        <v>0.25206424861240939</v>
      </c>
      <c r="J208" s="103">
        <v>22.35</v>
      </c>
      <c r="K208" s="101">
        <f>myParidad('Flujo de Fondos'!$B$34,$A208,J208,'Flujo de Fondos'!$B$36,'Flujo de Fondos'!$B$35)</f>
        <v>0.22313549441494546</v>
      </c>
      <c r="L208" s="100">
        <v>26.72</v>
      </c>
      <c r="M208" s="101">
        <f>myParidad('Flujo de Fondos'!$H$34,'Paridad usd'!$A208,'Paridad usd'!L208,'Flujo de Fondos'!$H$36,'Flujo de Fondos'!$H$35)</f>
        <v>0.26715151017109906</v>
      </c>
      <c r="N208" s="103">
        <v>24.55</v>
      </c>
      <c r="O208" s="101">
        <f>myParidad('Flujo de Fondos'!$N$34,$A208,N208,'Flujo de Fondos'!$N$36,'Flujo de Fondos'!$N$35)</f>
        <v>0.24545544815495818</v>
      </c>
      <c r="P208" s="104">
        <f t="shared" si="30"/>
        <v>2.1192507151264445E-2</v>
      </c>
      <c r="Q208" s="104">
        <f t="shared" si="31"/>
        <v>1.5477525784477364E-2</v>
      </c>
      <c r="R208" s="104">
        <f t="shared" si="32"/>
        <v>-3.7484998530467661E-2</v>
      </c>
      <c r="S208" s="104">
        <f t="shared" si="33"/>
        <v>-1.5788936514326779E-2</v>
      </c>
      <c r="T208" s="104">
        <f t="shared" si="34"/>
        <v>-3.1141072984941509E-4</v>
      </c>
      <c r="U208" s="104">
        <f t="shared" si="35"/>
        <v>-3.6981443665591224E-2</v>
      </c>
      <c r="V208" s="104">
        <f t="shared" si="36"/>
        <v>-1.4661489925578503E-2</v>
      </c>
      <c r="W208" s="104">
        <f t="shared" si="37"/>
        <v>6.5310172256859422E-3</v>
      </c>
      <c r="X208" s="104">
        <f t="shared" si="38"/>
        <v>4.3590244123042438E-2</v>
      </c>
      <c r="Y208" s="105">
        <f t="shared" si="39"/>
        <v>-5.8677505681732106E-2</v>
      </c>
    </row>
    <row r="209" spans="1:25" x14ac:dyDescent="0.25">
      <c r="A209" s="99">
        <v>44803</v>
      </c>
      <c r="B209" s="100">
        <v>22.99</v>
      </c>
      <c r="C209" s="101">
        <f>myParidad('Flujo de Fondos'!$B$5,A209,B209,'Flujo de Fondos'!$B$7,'Flujo de Fondos'!$B$6)</f>
        <v>0.22957293718537972</v>
      </c>
      <c r="D209" s="100">
        <v>24.5</v>
      </c>
      <c r="E209" s="102">
        <f>myParidad('Flujo de Fondos'!$H$5,$A209,D209,'Flujo de Fondos'!$H$7,'Flujo de Fondos'!$H$6)</f>
        <v>0.24465145546071351</v>
      </c>
      <c r="F209" s="100">
        <v>21.895</v>
      </c>
      <c r="G209" s="101">
        <f>myParidad('Flujo de Fondos'!$N$5,$A209,F209,'Flujo de Fondos'!$N$7,'Flujo de Fondos'!$N$6)</f>
        <v>0.20738743998961981</v>
      </c>
      <c r="H209" s="103">
        <v>24.99</v>
      </c>
      <c r="I209" s="101">
        <f>myParidad('Flujo de Fondos'!$T$5,$A209,H209,'Flujo de Fondos'!$T$7,'Flujo de Fondos'!$T$6)</f>
        <v>0.24985550518400831</v>
      </c>
      <c r="J209" s="103">
        <v>22.6</v>
      </c>
      <c r="K209" s="101">
        <f>myParidad('Flujo de Fondos'!$B$34,$A209,J209,'Flujo de Fondos'!$B$36,'Flujo de Fondos'!$B$35)</f>
        <v>0.22563836043601351</v>
      </c>
      <c r="L209" s="100">
        <v>26.899000000000001</v>
      </c>
      <c r="M209" s="101">
        <f>myParidad('Flujo de Fondos'!$H$34,'Paridad usd'!$A209,'Paridad usd'!L209,'Flujo de Fondos'!$H$36,'Flujo de Fondos'!$H$35)</f>
        <v>0.26894210620026571</v>
      </c>
      <c r="N209" s="103">
        <v>24.7</v>
      </c>
      <c r="O209" s="101">
        <f>myParidad('Flujo de Fondos'!$N$34,$A209,N209,'Flujo de Fondos'!$N$36,'Flujo de Fondos'!$N$35)</f>
        <v>0.24695602153041238</v>
      </c>
      <c r="P209" s="104">
        <f t="shared" si="30"/>
        <v>2.2185497195759907E-2</v>
      </c>
      <c r="Q209" s="104">
        <f t="shared" si="31"/>
        <v>1.5078518275333797E-2</v>
      </c>
      <c r="R209" s="104">
        <f t="shared" si="32"/>
        <v>-3.9369169014885991E-2</v>
      </c>
      <c r="S209" s="104">
        <f t="shared" si="33"/>
        <v>-1.7383084345032662E-2</v>
      </c>
      <c r="T209" s="104">
        <f t="shared" si="34"/>
        <v>-2.3045660696988657E-3</v>
      </c>
      <c r="U209" s="104">
        <f t="shared" si="35"/>
        <v>-3.9568581540792569E-2</v>
      </c>
      <c r="V209" s="104">
        <f t="shared" si="36"/>
        <v>-1.8250920446393704E-2</v>
      </c>
      <c r="W209" s="104">
        <f t="shared" si="37"/>
        <v>3.9345767493662032E-3</v>
      </c>
      <c r="X209" s="104">
        <f t="shared" si="38"/>
        <v>4.2468065194388505E-2</v>
      </c>
      <c r="Y209" s="105">
        <f t="shared" si="39"/>
        <v>-6.1554666210645897E-2</v>
      </c>
    </row>
    <row r="210" spans="1:25" x14ac:dyDescent="0.25">
      <c r="A210" s="99">
        <v>44802</v>
      </c>
      <c r="B210" s="100">
        <v>22.8</v>
      </c>
      <c r="C210" s="101">
        <f>myParidad('Flujo de Fondos'!$B$5,A210,B210,'Flujo de Fondos'!$B$7,'Flujo de Fondos'!$B$6)</f>
        <v>0.22768186916910618</v>
      </c>
      <c r="D210" s="100">
        <v>24</v>
      </c>
      <c r="E210" s="102">
        <f>myParidad('Flujo de Fondos'!$H$5,$A210,D210,'Flujo de Fondos'!$H$7,'Flujo de Fondos'!$H$6)</f>
        <v>0.23966512544116439</v>
      </c>
      <c r="F210" s="100">
        <v>21.68</v>
      </c>
      <c r="G210" s="101">
        <f>myParidad('Flujo de Fondos'!$N$5,$A210,F210,'Flujo de Fondos'!$N$7,'Flujo de Fondos'!$N$6)</f>
        <v>0.20535364413707197</v>
      </c>
      <c r="H210" s="103">
        <v>24.7</v>
      </c>
      <c r="I210" s="101">
        <f>myParidad('Flujo de Fondos'!$T$5,$A210,H210,'Flujo de Fondos'!$T$7,'Flujo de Fondos'!$T$6)</f>
        <v>0.24695686712252313</v>
      </c>
      <c r="J210" s="103">
        <v>22.75</v>
      </c>
      <c r="K210" s="101">
        <f>myParidad('Flujo de Fondos'!$B$34,$A210,J210,'Flujo de Fondos'!$B$36,'Flujo de Fondos'!$B$35)</f>
        <v>0.22714294995195908</v>
      </c>
      <c r="L210" s="100">
        <v>26.65</v>
      </c>
      <c r="M210" s="101">
        <f>myParidad('Flujo de Fondos'!$H$34,'Paridad usd'!$A210,'Paridad usd'!L210,'Flujo de Fondos'!$H$36,'Flujo de Fondos'!$H$35)</f>
        <v>0.2664534618953539</v>
      </c>
      <c r="N210" s="103">
        <v>24.95</v>
      </c>
      <c r="O210" s="101">
        <f>myParidad('Flujo de Fondos'!$N$34,$A210,N210,'Flujo de Fondos'!$N$36,'Flujo de Fondos'!$N$35)</f>
        <v>0.24945643055493733</v>
      </c>
      <c r="P210" s="104">
        <f t="shared" si="30"/>
        <v>2.2328225032034216E-2</v>
      </c>
      <c r="Q210" s="104">
        <f t="shared" si="31"/>
        <v>1.1983256272058207E-2</v>
      </c>
      <c r="R210" s="104">
        <f t="shared" si="32"/>
        <v>-3.8771592726247722E-2</v>
      </c>
      <c r="S210" s="104">
        <f t="shared" si="33"/>
        <v>-2.1774561385831143E-2</v>
      </c>
      <c r="T210" s="104">
        <f t="shared" si="34"/>
        <v>-9.7913051137729357E-3</v>
      </c>
      <c r="U210" s="104">
        <f t="shared" si="35"/>
        <v>-4.4102786417865358E-2</v>
      </c>
      <c r="V210" s="104">
        <f t="shared" si="36"/>
        <v>-2.1789305814887111E-2</v>
      </c>
      <c r="W210" s="104">
        <f t="shared" si="37"/>
        <v>5.3891921714710467E-4</v>
      </c>
      <c r="X210" s="104">
        <f t="shared" si="38"/>
        <v>4.160322298545116E-2</v>
      </c>
      <c r="Y210" s="105">
        <f t="shared" si="39"/>
        <v>-6.1099817758281938E-2</v>
      </c>
    </row>
    <row r="211" spans="1:25" x14ac:dyDescent="0.25">
      <c r="A211" s="99">
        <v>44799</v>
      </c>
      <c r="B211" s="100">
        <v>22.959</v>
      </c>
      <c r="C211" s="101">
        <f>myParidad('Flujo de Fondos'!$B$5,A211,B211,'Flujo de Fondos'!$B$7,'Flujo de Fondos'!$B$6)</f>
        <v>0.22928846995731642</v>
      </c>
      <c r="D211" s="100">
        <v>24.89</v>
      </c>
      <c r="E211" s="102">
        <f>myParidad('Flujo de Fondos'!$H$5,$A211,D211,'Flujo de Fondos'!$H$7,'Flujo de Fondos'!$H$6)</f>
        <v>0.24857310933566817</v>
      </c>
      <c r="F211" s="100">
        <v>21.95</v>
      </c>
      <c r="G211" s="101">
        <f>myParidad('Flujo de Fondos'!$N$5,$A211,F211,'Flujo de Fondos'!$N$7,'Flujo de Fondos'!$N$6)</f>
        <v>0.20791918615212934</v>
      </c>
      <c r="H211" s="103">
        <v>24.95</v>
      </c>
      <c r="I211" s="101">
        <f>myParidad('Flujo de Fondos'!$T$5,$A211,H211,'Flujo de Fondos'!$T$7,'Flujo de Fondos'!$T$6)</f>
        <v>0.24945899304223962</v>
      </c>
      <c r="J211" s="103">
        <v>23</v>
      </c>
      <c r="K211" s="101">
        <f>myParidad('Flujo de Fondos'!$B$34,$A211,J211,'Flujo de Fondos'!$B$36,'Flujo de Fondos'!$B$35)</f>
        <v>0.22966022870274114</v>
      </c>
      <c r="L211" s="100">
        <v>27.1</v>
      </c>
      <c r="M211" s="101">
        <f>myParidad('Flujo de Fondos'!$H$34,'Paridad usd'!$A211,'Paridad usd'!L211,'Flujo de Fondos'!$H$36,'Flujo de Fondos'!$H$35)</f>
        <v>0.27095545937654086</v>
      </c>
      <c r="N211" s="103">
        <v>25.15</v>
      </c>
      <c r="O211" s="101">
        <f>myParidad('Flujo de Fondos'!$N$34,$A211,N211,'Flujo de Fondos'!$N$36,'Flujo de Fondos'!$N$35)</f>
        <v>0.25145866432915137</v>
      </c>
      <c r="P211" s="104">
        <f t="shared" si="30"/>
        <v>2.1369283805187073E-2</v>
      </c>
      <c r="Q211" s="104">
        <f t="shared" si="31"/>
        <v>1.9284639378351759E-2</v>
      </c>
      <c r="R211" s="104">
        <f t="shared" si="32"/>
        <v>-4.1666989419224448E-2</v>
      </c>
      <c r="S211" s="104">
        <f t="shared" si="33"/>
        <v>-2.2170194371834956E-2</v>
      </c>
      <c r="T211" s="104">
        <f t="shared" si="34"/>
        <v>-2.885554993483197E-3</v>
      </c>
      <c r="U211" s="104">
        <f t="shared" si="35"/>
        <v>-4.3539478177022028E-2</v>
      </c>
      <c r="V211" s="104">
        <f t="shared" si="36"/>
        <v>-2.1741042550611794E-2</v>
      </c>
      <c r="W211" s="104">
        <f t="shared" si="37"/>
        <v>-3.7175874542472176E-4</v>
      </c>
      <c r="X211" s="104">
        <f t="shared" si="38"/>
        <v>4.1539806890110276E-2</v>
      </c>
      <c r="Y211" s="105">
        <f t="shared" si="39"/>
        <v>-6.3036273224411521E-2</v>
      </c>
    </row>
    <row r="212" spans="1:25" x14ac:dyDescent="0.25">
      <c r="A212" s="99">
        <v>44798</v>
      </c>
      <c r="B212" s="100">
        <v>23.56</v>
      </c>
      <c r="C212" s="101">
        <f>myParidad('Flujo de Fondos'!$B$5,A212,B212,'Flujo de Fondos'!$B$7,'Flujo de Fondos'!$B$6)</f>
        <v>0.23529701480285659</v>
      </c>
      <c r="D212" s="100">
        <v>24.25</v>
      </c>
      <c r="E212" s="102">
        <f>myParidad('Flujo de Fondos'!$H$5,$A212,D212,'Flujo de Fondos'!$H$7,'Flujo de Fondos'!$H$6)</f>
        <v>0.24218814129750732</v>
      </c>
      <c r="F212" s="100">
        <v>22.4</v>
      </c>
      <c r="G212" s="101">
        <f>myParidad('Flujo de Fondos'!$N$5,$A212,F212,'Flujo de Fondos'!$N$7,'Flujo de Fondos'!$N$6)</f>
        <v>0.21218451956140919</v>
      </c>
      <c r="H212" s="103">
        <v>25.3</v>
      </c>
      <c r="I212" s="101">
        <f>myParidad('Flujo de Fondos'!$T$5,$A212,H212,'Flujo de Fondos'!$T$7,'Flujo de Fondos'!$T$6)</f>
        <v>0.25295928395087092</v>
      </c>
      <c r="J212" s="103">
        <v>23.04</v>
      </c>
      <c r="K212" s="101">
        <f>myParidad('Flujo de Fondos'!$B$34,$A212,J212,'Flujo de Fondos'!$B$36,'Flujo de Fondos'!$B$35)</f>
        <v>0.23006671841818188</v>
      </c>
      <c r="L212" s="100">
        <v>27.3</v>
      </c>
      <c r="M212" s="101">
        <f>myParidad('Flujo de Fondos'!$H$34,'Paridad usd'!$A212,'Paridad usd'!L212,'Flujo de Fondos'!$H$36,'Flujo de Fondos'!$H$35)</f>
        <v>0.27295606529086075</v>
      </c>
      <c r="N212" s="103">
        <v>25.3</v>
      </c>
      <c r="O212" s="101">
        <f>myParidad('Flujo de Fondos'!$N$34,$A212,N212,'Flujo de Fondos'!$N$36,'Flujo de Fondos'!$N$35)</f>
        <v>0.25295928395087092</v>
      </c>
      <c r="P212" s="104">
        <f t="shared" si="30"/>
        <v>2.3112495241447401E-2</v>
      </c>
      <c r="Q212" s="104">
        <f t="shared" si="31"/>
        <v>6.8911264946507345E-3</v>
      </c>
      <c r="R212" s="104">
        <f t="shared" si="32"/>
        <v>-3.7659050488004164E-2</v>
      </c>
      <c r="S212" s="104">
        <f t="shared" si="33"/>
        <v>-1.7662269148014331E-2</v>
      </c>
      <c r="T212" s="104">
        <f t="shared" si="34"/>
        <v>-1.0771142653363597E-2</v>
      </c>
      <c r="U212" s="104">
        <f t="shared" si="35"/>
        <v>-4.0774764389461732E-2</v>
      </c>
      <c r="V212" s="104">
        <f t="shared" si="36"/>
        <v>-1.7882198856772696E-2</v>
      </c>
      <c r="W212" s="104">
        <f t="shared" si="37"/>
        <v>5.2302963846747041E-3</v>
      </c>
      <c r="X212" s="104">
        <f t="shared" si="38"/>
        <v>4.0774764389461732E-2</v>
      </c>
      <c r="Y212" s="105">
        <f t="shared" si="39"/>
        <v>-6.0771545729451565E-2</v>
      </c>
    </row>
    <row r="213" spans="1:25" x14ac:dyDescent="0.25">
      <c r="A213" s="99">
        <v>44797</v>
      </c>
      <c r="B213" s="100">
        <v>23.8</v>
      </c>
      <c r="C213" s="101">
        <f>myParidad('Flujo de Fondos'!$B$5,A213,B213,'Flujo de Fondos'!$B$7,'Flujo de Fondos'!$B$6)</f>
        <v>0.23770043233185575</v>
      </c>
      <c r="D213" s="100">
        <v>24.86</v>
      </c>
      <c r="E213" s="102">
        <f>myParidad('Flujo de Fondos'!$H$5,$A213,D213,'Flujo de Fondos'!$H$7,'Flujo de Fondos'!$H$6)</f>
        <v>0.2482870902424342</v>
      </c>
      <c r="F213" s="100">
        <v>22.58</v>
      </c>
      <c r="G213" s="101">
        <f>myParidad('Flujo de Fondos'!$N$5,$A213,F213,'Flujo de Fondos'!$N$7,'Flujo de Fondos'!$N$6)</f>
        <v>0.21389234921623584</v>
      </c>
      <c r="H213" s="103">
        <v>25.6</v>
      </c>
      <c r="I213" s="101">
        <f>myParidad('Flujo de Fondos'!$T$5,$A213,H213,'Flujo de Fondos'!$T$7,'Flujo de Fondos'!$T$6)</f>
        <v>0.25595967758503801</v>
      </c>
      <c r="J213" s="103">
        <v>23.15</v>
      </c>
      <c r="K213" s="101">
        <f>myParidad('Flujo de Fondos'!$B$34,$A213,J213,'Flujo de Fondos'!$B$36,'Flujo de Fondos'!$B$35)</f>
        <v>0.23117224209511172</v>
      </c>
      <c r="L213" s="100">
        <v>27.498999999999999</v>
      </c>
      <c r="M213" s="101">
        <f>myParidad('Flujo de Fondos'!$H$34,'Paridad usd'!$A213,'Paridad usd'!L213,'Flujo de Fondos'!$H$36,'Flujo de Fondos'!$H$35)</f>
        <v>0.27494668648089682</v>
      </c>
      <c r="N213" s="103">
        <v>25.5</v>
      </c>
      <c r="O213" s="101">
        <f>myParidad('Flujo de Fondos'!$N$34,$A213,N213,'Flujo de Fondos'!$N$36,'Flujo de Fondos'!$N$35)</f>
        <v>0.2549598350944714</v>
      </c>
      <c r="P213" s="104">
        <f t="shared" si="30"/>
        <v>2.380808311561991E-2</v>
      </c>
      <c r="Q213" s="104">
        <f t="shared" si="31"/>
        <v>1.0586657910578445E-2</v>
      </c>
      <c r="R213" s="104">
        <f t="shared" si="32"/>
        <v>-3.7246254149041064E-2</v>
      </c>
      <c r="S213" s="104">
        <f t="shared" si="33"/>
        <v>-1.7259402762615644E-2</v>
      </c>
      <c r="T213" s="104">
        <f t="shared" si="34"/>
        <v>-6.672744852037199E-3</v>
      </c>
      <c r="U213" s="104">
        <f t="shared" si="35"/>
        <v>-4.1067485878235555E-2</v>
      </c>
      <c r="V213" s="104">
        <f t="shared" si="36"/>
        <v>-1.727989287887588E-2</v>
      </c>
      <c r="W213" s="104">
        <f t="shared" si="37"/>
        <v>6.5281902367440303E-3</v>
      </c>
      <c r="X213" s="104">
        <f t="shared" si="38"/>
        <v>4.206732836880217E-2</v>
      </c>
      <c r="Y213" s="105">
        <f t="shared" si="39"/>
        <v>-6.1054337264660974E-2</v>
      </c>
    </row>
    <row r="214" spans="1:25" x14ac:dyDescent="0.25">
      <c r="A214" s="99">
        <v>44796</v>
      </c>
      <c r="B214" s="100">
        <v>22.68</v>
      </c>
      <c r="C214" s="101">
        <f>myParidad('Flujo de Fondos'!$B$5,A214,B214,'Flujo de Fondos'!$B$7,'Flujo de Fondos'!$B$6)</f>
        <v>0.22652072786974961</v>
      </c>
      <c r="D214" s="100">
        <v>24.151</v>
      </c>
      <c r="E214" s="102">
        <f>myParidad('Flujo de Fondos'!$H$5,$A214,D214,'Flujo de Fondos'!$H$7,'Flujo de Fondos'!$H$6)</f>
        <v>0.24121261458475851</v>
      </c>
      <c r="F214" s="100">
        <v>21.751000000000001</v>
      </c>
      <c r="G214" s="101">
        <f>myParidad('Flujo de Fondos'!$N$5,$A214,F214,'Flujo de Fondos'!$N$7,'Flujo de Fondos'!$N$6)</f>
        <v>0.20604219923958322</v>
      </c>
      <c r="H214" s="103">
        <v>24.8</v>
      </c>
      <c r="I214" s="101">
        <f>myParidad('Flujo de Fondos'!$T$5,$A214,H214,'Flujo de Fondos'!$T$7,'Flujo de Fondos'!$T$6)</f>
        <v>0.24796178671095209</v>
      </c>
      <c r="J214" s="103">
        <v>22.35</v>
      </c>
      <c r="K214" s="101">
        <f>myParidad('Flujo de Fondos'!$B$34,$A214,J214,'Flujo de Fondos'!$B$36,'Flujo de Fondos'!$B$35)</f>
        <v>0.22319043792000823</v>
      </c>
      <c r="L214" s="100">
        <v>26.25</v>
      </c>
      <c r="M214" s="101">
        <f>myParidad('Flujo de Fondos'!$H$34,'Paridad usd'!$A214,'Paridad usd'!L214,'Flujo de Fondos'!$H$36,'Flujo de Fondos'!$H$35)</f>
        <v>0.26245955246622954</v>
      </c>
      <c r="N214" s="103">
        <v>24.5</v>
      </c>
      <c r="O214" s="101">
        <f>myParidad('Flujo de Fondos'!$N$34,$A214,N214,'Flujo de Fondos'!$N$36,'Flujo de Fondos'!$N$35)</f>
        <v>0.24496224896848087</v>
      </c>
      <c r="P214" s="104">
        <f t="shared" si="30"/>
        <v>2.0478528630166387E-2</v>
      </c>
      <c r="Q214" s="104">
        <f t="shared" si="31"/>
        <v>1.4691886715008901E-2</v>
      </c>
      <c r="R214" s="104">
        <f t="shared" si="32"/>
        <v>-3.5938824596479929E-2</v>
      </c>
      <c r="S214" s="104">
        <f t="shared" si="33"/>
        <v>-1.8441521098731262E-2</v>
      </c>
      <c r="T214" s="104">
        <f t="shared" si="34"/>
        <v>-3.7496343837223611E-3</v>
      </c>
      <c r="U214" s="104">
        <f t="shared" si="35"/>
        <v>-3.8920049728897649E-2</v>
      </c>
      <c r="V214" s="104">
        <f t="shared" si="36"/>
        <v>-1.7148238680425004E-2</v>
      </c>
      <c r="W214" s="104">
        <f t="shared" si="37"/>
        <v>3.3302899497413829E-3</v>
      </c>
      <c r="X214" s="104">
        <f t="shared" si="38"/>
        <v>4.1919587471368869E-2</v>
      </c>
      <c r="Y214" s="105">
        <f t="shared" si="39"/>
        <v>-5.6417353226646316E-2</v>
      </c>
    </row>
    <row r="215" spans="1:25" x14ac:dyDescent="0.25">
      <c r="A215" s="99">
        <v>44795</v>
      </c>
      <c r="B215" s="100">
        <v>22.2</v>
      </c>
      <c r="C215" s="101">
        <f>myParidad('Flujo de Fondos'!$B$5,A215,B215,'Flujo de Fondos'!$B$7,'Flujo de Fondos'!$B$6)</f>
        <v>0.22173270577933449</v>
      </c>
      <c r="D215" s="100">
        <v>23.65</v>
      </c>
      <c r="E215" s="102">
        <f>myParidad('Flujo de Fondos'!$H$5,$A215,D215,'Flujo de Fondos'!$H$7,'Flujo de Fondos'!$H$6)</f>
        <v>0.23621524737302976</v>
      </c>
      <c r="F215" s="100">
        <v>21.33</v>
      </c>
      <c r="G215" s="101">
        <f>myParidad('Flujo de Fondos'!$N$5,$A215,F215,'Flujo de Fondos'!$N$7,'Flujo de Fondos'!$N$6)</f>
        <v>0.20205678544548544</v>
      </c>
      <c r="H215" s="103">
        <v>24.1</v>
      </c>
      <c r="I215" s="101">
        <f>myParidad('Flujo de Fondos'!$T$5,$A215,H215,'Flujo de Fondos'!$T$7,'Flujo de Fondos'!$T$6)</f>
        <v>0.24096369040281604</v>
      </c>
      <c r="J215" s="103">
        <v>21.7</v>
      </c>
      <c r="K215" s="101">
        <f>myParidad('Flujo de Fondos'!$B$34,$A215,J215,'Flujo de Fondos'!$B$36,'Flujo de Fondos'!$B$35)</f>
        <v>0.21670611089070985</v>
      </c>
      <c r="L215" s="100">
        <v>26</v>
      </c>
      <c r="M215" s="101">
        <f>myParidad('Flujo de Fondos'!$H$34,'Paridad usd'!$A215,'Paridad usd'!L215,'Flujo de Fondos'!$H$36,'Flujo de Fondos'!$H$35)</f>
        <v>0.25996082782046542</v>
      </c>
      <c r="N215" s="103">
        <v>24.5</v>
      </c>
      <c r="O215" s="101">
        <f>myParidad('Flujo de Fondos'!$N$34,$A215,N215,'Flujo de Fondos'!$N$36,'Flujo de Fondos'!$N$35)</f>
        <v>0.24496308775390011</v>
      </c>
      <c r="P215" s="104">
        <f t="shared" si="30"/>
        <v>1.9675920333849045E-2</v>
      </c>
      <c r="Q215" s="104">
        <f t="shared" si="31"/>
        <v>1.4482541593695275E-2</v>
      </c>
      <c r="R215" s="104">
        <f t="shared" si="32"/>
        <v>-3.8228122041130935E-2</v>
      </c>
      <c r="S215" s="104">
        <f t="shared" si="33"/>
        <v>-2.3230381974565617E-2</v>
      </c>
      <c r="T215" s="104">
        <f t="shared" si="34"/>
        <v>-8.747840380870342E-3</v>
      </c>
      <c r="U215" s="104">
        <f t="shared" si="35"/>
        <v>-4.2906302308414662E-2</v>
      </c>
      <c r="V215" s="104">
        <f t="shared" si="36"/>
        <v>-1.4649325445224404E-2</v>
      </c>
      <c r="W215" s="104">
        <f t="shared" si="37"/>
        <v>5.0265948886246414E-3</v>
      </c>
      <c r="X215" s="104">
        <f t="shared" si="38"/>
        <v>3.8906904957330596E-2</v>
      </c>
      <c r="Y215" s="105">
        <f t="shared" si="39"/>
        <v>-5.790404237497998E-2</v>
      </c>
    </row>
    <row r="216" spans="1:25" x14ac:dyDescent="0.25">
      <c r="A216" s="99">
        <v>44792</v>
      </c>
      <c r="B216" s="100">
        <v>21.89</v>
      </c>
      <c r="C216" s="101">
        <f>myParidad('Flujo de Fondos'!$B$5,A216,B216,'Flujo de Fondos'!$B$7,'Flujo de Fondos'!$B$6)</f>
        <v>0.21865438822144989</v>
      </c>
      <c r="D216" s="100">
        <v>23.5</v>
      </c>
      <c r="E216" s="102">
        <f>myParidad('Flujo de Fondos'!$H$5,$A216,D216,'Flujo de Fondos'!$H$7,'Flujo de Fondos'!$H$6)</f>
        <v>0.23473632358173011</v>
      </c>
      <c r="F216" s="100">
        <v>20.9</v>
      </c>
      <c r="G216" s="101">
        <f>myParidad('Flujo de Fondos'!$N$5,$A216,F216,'Flujo de Fondos'!$N$7,'Flujo de Fondos'!$N$6)</f>
        <v>0.1979911496385886</v>
      </c>
      <c r="H216" s="103">
        <v>23.45</v>
      </c>
      <c r="I216" s="101">
        <f>myParidad('Flujo de Fondos'!$T$5,$A216,H216,'Flujo de Fondos'!$T$7,'Flujo de Fondos'!$T$6)</f>
        <v>0.2344670782527111</v>
      </c>
      <c r="J216" s="103">
        <v>21.36</v>
      </c>
      <c r="K216" s="101">
        <f>myParidad('Flujo de Fondos'!$B$34,$A216,J216,'Flujo de Fondos'!$B$36,'Flujo de Fondos'!$B$35)</f>
        <v>0.21333041464724373</v>
      </c>
      <c r="L216" s="100">
        <v>25.3</v>
      </c>
      <c r="M216" s="101">
        <f>myParidad('Flujo de Fondos'!$H$34,'Paridad usd'!$A216,'Paridad usd'!L216,'Flujo de Fondos'!$H$36,'Flujo de Fondos'!$H$35)</f>
        <v>0.25296448101465208</v>
      </c>
      <c r="N216" s="103">
        <v>24</v>
      </c>
      <c r="O216" s="101">
        <f>myParidad('Flujo de Fondos'!$N$34,$A216,N216,'Flujo de Fondos'!$N$36,'Flujo de Fondos'!$N$35)</f>
        <v>0.2399663061008557</v>
      </c>
      <c r="P216" s="104">
        <f t="shared" si="30"/>
        <v>2.0663238582861287E-2</v>
      </c>
      <c r="Q216" s="104">
        <f t="shared" si="31"/>
        <v>1.6081935360280214E-2</v>
      </c>
      <c r="R216" s="104">
        <f t="shared" si="32"/>
        <v>-3.4310092793202185E-2</v>
      </c>
      <c r="S216" s="104">
        <f t="shared" si="33"/>
        <v>-2.1311917879405812E-2</v>
      </c>
      <c r="T216" s="104">
        <f t="shared" si="34"/>
        <v>-5.2299825191255978E-3</v>
      </c>
      <c r="U216" s="104">
        <f t="shared" si="35"/>
        <v>-4.1975156462267099E-2</v>
      </c>
      <c r="V216" s="104">
        <f t="shared" si="36"/>
        <v>-1.5339265008655123E-2</v>
      </c>
      <c r="W216" s="104">
        <f t="shared" si="37"/>
        <v>5.3239735742061645E-3</v>
      </c>
      <c r="X216" s="104">
        <f t="shared" si="38"/>
        <v>3.6475928614122494E-2</v>
      </c>
      <c r="Y216" s="105">
        <f t="shared" si="39"/>
        <v>-5.4973331376063472E-2</v>
      </c>
    </row>
    <row r="217" spans="1:25" x14ac:dyDescent="0.25">
      <c r="A217" s="99">
        <v>44791</v>
      </c>
      <c r="B217" s="100">
        <v>22.158999999999999</v>
      </c>
      <c r="C217" s="101">
        <f>myParidad('Flujo de Fondos'!$B$5,A217,B217,'Flujo de Fondos'!$B$7,'Flujo de Fondos'!$B$6)</f>
        <v>0.2213474274767378</v>
      </c>
      <c r="D217" s="100">
        <v>23.6</v>
      </c>
      <c r="E217" s="102">
        <f>myParidad('Flujo de Fondos'!$H$5,$A217,D217,'Flujo de Fondos'!$H$7,'Flujo de Fondos'!$H$6)</f>
        <v>0.23574165298303232</v>
      </c>
      <c r="F217" s="100">
        <v>21</v>
      </c>
      <c r="G217" s="101">
        <f>myParidad('Flujo de Fondos'!$N$5,$A217,F217,'Flujo de Fondos'!$N$7,'Flujo de Fondos'!$N$6)</f>
        <v>0.19894105738534609</v>
      </c>
      <c r="H217" s="103">
        <v>23.67</v>
      </c>
      <c r="I217" s="101">
        <f>myParidad('Flujo de Fondos'!$T$5,$A217,H217,'Flujo de Fondos'!$T$7,'Flujo de Fondos'!$T$6)</f>
        <v>0.23666757978359132</v>
      </c>
      <c r="J217" s="103">
        <v>21.33</v>
      </c>
      <c r="K217" s="101">
        <f>myParidad('Flujo de Fondos'!$B$34,$A217,J217,'Flujo de Fondos'!$B$36,'Flujo de Fondos'!$B$35)</f>
        <v>0.21303735121083595</v>
      </c>
      <c r="L217" s="100">
        <v>25.55</v>
      </c>
      <c r="M217" s="101">
        <f>myParidad('Flujo de Fondos'!$H$34,'Paridad usd'!$A217,'Paridad usd'!L217,'Flujo de Fondos'!$H$36,'Flujo de Fondos'!$H$35)</f>
        <v>0.25546500479386386</v>
      </c>
      <c r="N217" s="103">
        <v>24.006</v>
      </c>
      <c r="O217" s="101">
        <f>myParidad('Flujo de Fondos'!$N$34,$A217,N217,'Flujo de Fondos'!$N$36,'Flujo de Fondos'!$N$35)</f>
        <v>0.24002711957266129</v>
      </c>
      <c r="P217" s="104">
        <f t="shared" si="30"/>
        <v>2.2406370091391709E-2</v>
      </c>
      <c r="Q217" s="104">
        <f t="shared" si="31"/>
        <v>1.4394225506294517E-2</v>
      </c>
      <c r="R217" s="104">
        <f t="shared" si="32"/>
        <v>-3.4117577317126058E-2</v>
      </c>
      <c r="S217" s="104">
        <f t="shared" si="33"/>
        <v>-1.8679692095923489E-2</v>
      </c>
      <c r="T217" s="104">
        <f t="shared" si="34"/>
        <v>-4.2854665896289723E-3</v>
      </c>
      <c r="U217" s="104">
        <f t="shared" si="35"/>
        <v>-4.1086062187315198E-2</v>
      </c>
      <c r="V217" s="104">
        <f t="shared" si="36"/>
        <v>-1.4096293825489853E-2</v>
      </c>
      <c r="W217" s="104">
        <f t="shared" si="37"/>
        <v>8.3100762659018557E-3</v>
      </c>
      <c r="X217" s="104">
        <f t="shared" si="38"/>
        <v>3.7726522398245227E-2</v>
      </c>
      <c r="Y217" s="105">
        <f t="shared" si="39"/>
        <v>-5.6523947408517766E-2</v>
      </c>
    </row>
    <row r="218" spans="1:25" x14ac:dyDescent="0.25">
      <c r="A218" s="99">
        <v>44790</v>
      </c>
      <c r="B218" s="100">
        <v>22.38</v>
      </c>
      <c r="C218" s="101">
        <f>myParidad('Flujo de Fondos'!$B$5,A218,B218,'Flujo de Fondos'!$B$7,'Flujo de Fondos'!$B$6)</f>
        <v>0.22356112646760995</v>
      </c>
      <c r="D218" s="100">
        <v>24.75</v>
      </c>
      <c r="E218" s="102">
        <f>myParidad('Flujo de Fondos'!$H$5,$A218,D218,'Flujo de Fondos'!$H$7,'Flujo de Fondos'!$H$6)</f>
        <v>0.24723583020881798</v>
      </c>
      <c r="F218" s="100">
        <v>21.195</v>
      </c>
      <c r="G218" s="101">
        <f>myParidad('Flujo de Fondos'!$N$5,$A218,F218,'Flujo de Fondos'!$N$7,'Flujo de Fondos'!$N$6)</f>
        <v>0.20079097291615297</v>
      </c>
      <c r="H218" s="103">
        <v>23.73</v>
      </c>
      <c r="I218" s="101">
        <f>myParidad('Flujo de Fondos'!$T$5,$A218,H218,'Flujo de Fondos'!$T$7,'Flujo de Fondos'!$T$6)</f>
        <v>0.23726831005447904</v>
      </c>
      <c r="J218" s="103">
        <v>21.05</v>
      </c>
      <c r="K218" s="101">
        <f>myParidad('Flujo de Fondos'!$B$34,$A218,J218,'Flujo de Fondos'!$B$36,'Flujo de Fondos'!$B$35)</f>
        <v>0.21024727125954762</v>
      </c>
      <c r="L218" s="100">
        <v>25.75</v>
      </c>
      <c r="M218" s="101">
        <f>myParidad('Flujo de Fondos'!$H$34,'Paridad usd'!$A218,'Paridad usd'!L218,'Flujo de Fondos'!$H$36,'Flujo de Fondos'!$H$35)</f>
        <v>0.2574656124695674</v>
      </c>
      <c r="N218" s="103">
        <v>24.401</v>
      </c>
      <c r="O218" s="101">
        <f>myParidad('Flujo de Fondos'!$N$34,$A218,N218,'Flujo de Fondos'!$N$36,'Flujo de Fondos'!$N$35)</f>
        <v>0.24397741397553066</v>
      </c>
      <c r="P218" s="104">
        <f t="shared" si="30"/>
        <v>2.2770153551456979E-2</v>
      </c>
      <c r="Q218" s="104">
        <f t="shared" si="31"/>
        <v>2.3674703741208031E-2</v>
      </c>
      <c r="R218" s="104">
        <f t="shared" si="32"/>
        <v>-3.3904486001957446E-2</v>
      </c>
      <c r="S218" s="104">
        <f t="shared" si="33"/>
        <v>-2.0416287507920711E-2</v>
      </c>
      <c r="T218" s="104">
        <f t="shared" si="34"/>
        <v>3.2584162332873201E-3</v>
      </c>
      <c r="U218" s="104">
        <f t="shared" si="35"/>
        <v>-4.3186441059377689E-2</v>
      </c>
      <c r="V218" s="104">
        <f t="shared" si="36"/>
        <v>-9.4562983433946479E-3</v>
      </c>
      <c r="W218" s="104">
        <f t="shared" si="37"/>
        <v>1.3313855208062331E-2</v>
      </c>
      <c r="X218" s="104">
        <f t="shared" si="38"/>
        <v>3.6477337138326071E-2</v>
      </c>
      <c r="Y218" s="105">
        <f t="shared" si="39"/>
        <v>-5.6674639553414424E-2</v>
      </c>
    </row>
    <row r="219" spans="1:25" x14ac:dyDescent="0.25">
      <c r="A219" s="99">
        <v>44789</v>
      </c>
      <c r="B219" s="100">
        <v>22.69</v>
      </c>
      <c r="C219" s="101">
        <f>myParidad('Flujo de Fondos'!$B$5,A219,B219,'Flujo de Fondos'!$B$7,'Flujo de Fondos'!$B$6)</f>
        <v>0.22666402101921287</v>
      </c>
      <c r="D219" s="100">
        <v>24.75</v>
      </c>
      <c r="E219" s="102">
        <f>myParidad('Flujo de Fondos'!$H$5,$A219,D219,'Flujo de Fondos'!$H$7,'Flujo de Fondos'!$H$6)</f>
        <v>0.2472425967485905</v>
      </c>
      <c r="F219" s="100">
        <v>21.73</v>
      </c>
      <c r="G219" s="101">
        <f>myParidad('Flujo de Fondos'!$N$5,$A219,F219,'Flujo de Fondos'!$N$7,'Flujo de Fondos'!$N$6)</f>
        <v>0.20586197051495017</v>
      </c>
      <c r="H219" s="103">
        <v>24.3</v>
      </c>
      <c r="I219" s="101">
        <f>myParidad('Flujo de Fondos'!$T$5,$A219,H219,'Flujo de Fondos'!$T$7,'Flujo de Fondos'!$T$6)</f>
        <v>0.24296838082715264</v>
      </c>
      <c r="J219" s="103">
        <v>21.7</v>
      </c>
      <c r="K219" s="101">
        <f>myParidad('Flujo de Fondos'!$B$34,$A219,J219,'Flujo de Fondos'!$B$36,'Flujo de Fondos'!$B$35)</f>
        <v>0.21674613979517141</v>
      </c>
      <c r="L219" s="100">
        <v>26.1</v>
      </c>
      <c r="M219" s="101">
        <f>myParidad('Flujo de Fondos'!$H$34,'Paridad usd'!$A219,'Paridad usd'!L219,'Flujo de Fondos'!$H$36,'Flujo de Fondos'!$H$35)</f>
        <v>0.26096603866620099</v>
      </c>
      <c r="N219" s="103">
        <v>25.998999999999999</v>
      </c>
      <c r="O219" s="101">
        <f>myParidad('Flujo de Fondos'!$N$34,$A219,N219,'Flujo de Fondos'!$N$36,'Flujo de Fondos'!$N$35)</f>
        <v>0.25995617008745436</v>
      </c>
      <c r="P219" s="104">
        <f t="shared" si="30"/>
        <v>2.0802050504262704E-2</v>
      </c>
      <c r="Q219" s="104">
        <f t="shared" si="31"/>
        <v>2.0578575729377629E-2</v>
      </c>
      <c r="R219" s="104">
        <f t="shared" si="32"/>
        <v>-3.430201764698812E-2</v>
      </c>
      <c r="S219" s="104">
        <f t="shared" si="33"/>
        <v>-3.3292149068241489E-2</v>
      </c>
      <c r="T219" s="104">
        <f t="shared" si="34"/>
        <v>-1.2713573338863859E-2</v>
      </c>
      <c r="U219" s="104">
        <f t="shared" si="35"/>
        <v>-5.4094199572504192E-2</v>
      </c>
      <c r="V219" s="104">
        <f t="shared" si="36"/>
        <v>-1.0884169280221234E-2</v>
      </c>
      <c r="W219" s="104">
        <f t="shared" si="37"/>
        <v>9.9178812240414693E-3</v>
      </c>
      <c r="X219" s="104">
        <f t="shared" si="38"/>
        <v>3.7106410312202465E-2</v>
      </c>
      <c r="Y219" s="105">
        <f t="shared" si="39"/>
        <v>-5.5104068151250823E-2</v>
      </c>
    </row>
    <row r="220" spans="1:25" x14ac:dyDescent="0.25">
      <c r="A220" s="99">
        <v>44785</v>
      </c>
      <c r="B220" s="100">
        <v>22.2</v>
      </c>
      <c r="C220" s="101">
        <f>myParidad('Flujo de Fondos'!$B$5,A220,B220,'Flujo de Fondos'!$B$7,'Flujo de Fondos'!$B$6)</f>
        <v>0.22179339793069469</v>
      </c>
      <c r="D220" s="100">
        <v>23.7</v>
      </c>
      <c r="E220" s="102">
        <f>myParidad('Flujo de Fondos'!$H$5,$A220,D220,'Flujo de Fondos'!$H$7,'Flujo de Fondos'!$H$6)</f>
        <v>0.23677943833141729</v>
      </c>
      <c r="F220" s="100">
        <v>21.21</v>
      </c>
      <c r="G220" s="101">
        <f>myParidad('Flujo de Fondos'!$N$5,$A220,F220,'Flujo de Fondos'!$N$7,'Flujo de Fondos'!$N$6)</f>
        <v>0.20094611431241241</v>
      </c>
      <c r="H220" s="103">
        <v>24.04</v>
      </c>
      <c r="I220" s="101">
        <f>myParidad('Flujo de Fondos'!$T$5,$A220,H220,'Flujo de Fondos'!$T$7,'Flujo de Fondos'!$T$6)</f>
        <v>0.24037201147811554</v>
      </c>
      <c r="J220" s="103">
        <v>21.5</v>
      </c>
      <c r="K220" s="101">
        <f>myParidad('Flujo de Fondos'!$B$34,$A220,J220,'Flujo de Fondos'!$B$36,'Flujo de Fondos'!$B$35)</f>
        <v>0.21477492764431794</v>
      </c>
      <c r="L220" s="100">
        <v>26</v>
      </c>
      <c r="M220" s="101">
        <f>myParidad('Flujo de Fondos'!$H$34,'Paridad usd'!$A220,'Paridad usd'!L220,'Flujo de Fondos'!$H$36,'Flujo de Fondos'!$H$35)</f>
        <v>0.25996972955203845</v>
      </c>
      <c r="N220" s="103">
        <v>24.99</v>
      </c>
      <c r="O220" s="101">
        <f>myParidad('Flujo de Fondos'!$N$34,$A220,N220,'Flujo de Fondos'!$N$36,'Flujo de Fondos'!$N$35)</f>
        <v>0.24987090544251694</v>
      </c>
      <c r="P220" s="104">
        <f t="shared" si="30"/>
        <v>2.0847283618282281E-2</v>
      </c>
      <c r="Q220" s="104">
        <f t="shared" si="31"/>
        <v>1.49860404007226E-2</v>
      </c>
      <c r="R220" s="104">
        <f t="shared" si="32"/>
        <v>-3.8176331621343762E-2</v>
      </c>
      <c r="S220" s="104">
        <f t="shared" si="33"/>
        <v>-2.8077507511822253E-2</v>
      </c>
      <c r="T220" s="104">
        <f t="shared" si="34"/>
        <v>-1.3091467111099653E-2</v>
      </c>
      <c r="U220" s="104">
        <f t="shared" si="35"/>
        <v>-4.8924791130104534E-2</v>
      </c>
      <c r="V220" s="104">
        <f t="shared" si="36"/>
        <v>-1.3828813331905526E-2</v>
      </c>
      <c r="W220" s="104">
        <f t="shared" si="37"/>
        <v>7.0184702863767545E-3</v>
      </c>
      <c r="X220" s="104">
        <f t="shared" si="38"/>
        <v>3.9425897165703133E-2</v>
      </c>
      <c r="Y220" s="105">
        <f t="shared" si="39"/>
        <v>-5.9023615239626043E-2</v>
      </c>
    </row>
    <row r="221" spans="1:25" x14ac:dyDescent="0.25">
      <c r="A221" s="99">
        <v>44784</v>
      </c>
      <c r="B221" s="100">
        <v>22.4</v>
      </c>
      <c r="C221" s="101">
        <f>myParidad('Flujo de Fondos'!$B$5,A221,B221,'Flujo de Fondos'!$B$7,'Flujo de Fondos'!$B$6)</f>
        <v>0.22379766238743054</v>
      </c>
      <c r="D221" s="100">
        <v>24</v>
      </c>
      <c r="E221" s="102">
        <f>myParidad('Flujo de Fondos'!$H$5,$A221,D221,'Flujo de Fondos'!$H$7,'Flujo de Fondos'!$H$6)</f>
        <v>0.23978320970081843</v>
      </c>
      <c r="F221" s="100">
        <v>21.57</v>
      </c>
      <c r="G221" s="101">
        <f>myParidad('Flujo de Fondos'!$N$5,$A221,F221,'Flujo de Fondos'!$N$7,'Flujo de Fondos'!$N$6)</f>
        <v>0.20435945023426041</v>
      </c>
      <c r="H221" s="103">
        <v>23.98</v>
      </c>
      <c r="I221" s="101">
        <f>myParidad('Flujo de Fondos'!$T$5,$A221,H221,'Flujo de Fondos'!$T$7,'Flujo de Fondos'!$T$6)</f>
        <v>0.23977290237747104</v>
      </c>
      <c r="J221" s="103">
        <v>21.5</v>
      </c>
      <c r="K221" s="101">
        <f>myParidad('Flujo de Fondos'!$B$34,$A221,J221,'Flujo de Fondos'!$B$36,'Flujo de Fondos'!$B$35)</f>
        <v>0.21478154069319905</v>
      </c>
      <c r="L221" s="100">
        <v>26.55</v>
      </c>
      <c r="M221" s="101">
        <f>myParidad('Flujo de Fondos'!$H$34,'Paridad usd'!$A221,'Paridad usd'!L221,'Flujo de Fondos'!$H$36,'Flujo de Fondos'!$H$35)</f>
        <v>0.26546999825362205</v>
      </c>
      <c r="N221" s="103">
        <v>25</v>
      </c>
      <c r="O221" s="101">
        <f>myParidad('Flujo de Fondos'!$N$34,$A221,N221,'Flujo de Fondos'!$N$36,'Flujo de Fondos'!$N$35)</f>
        <v>0.24997174976800568</v>
      </c>
      <c r="P221" s="104">
        <f t="shared" si="30"/>
        <v>1.9438212153170126E-2</v>
      </c>
      <c r="Q221" s="104">
        <f t="shared" si="31"/>
        <v>1.5985547313387888E-2</v>
      </c>
      <c r="R221" s="104">
        <f t="shared" si="32"/>
        <v>-4.1672335866191512E-2</v>
      </c>
      <c r="S221" s="104">
        <f t="shared" si="33"/>
        <v>-2.617408738057514E-2</v>
      </c>
      <c r="T221" s="104">
        <f t="shared" si="34"/>
        <v>-1.0188540067187252E-2</v>
      </c>
      <c r="U221" s="104">
        <f t="shared" si="35"/>
        <v>-4.5612299533745265E-2</v>
      </c>
      <c r="V221" s="104">
        <f t="shared" si="36"/>
        <v>-1.0422090458938632E-2</v>
      </c>
      <c r="W221" s="104">
        <f t="shared" si="37"/>
        <v>9.0161216942314937E-3</v>
      </c>
      <c r="X221" s="104">
        <f t="shared" si="38"/>
        <v>3.5413452143210622E-2</v>
      </c>
      <c r="Y221" s="105">
        <f t="shared" si="39"/>
        <v>-6.1110548019361638E-2</v>
      </c>
    </row>
    <row r="222" spans="1:25" x14ac:dyDescent="0.25">
      <c r="A222" s="99">
        <v>44783</v>
      </c>
      <c r="B222" s="100">
        <v>22.27</v>
      </c>
      <c r="C222" s="101">
        <f>myParidad('Flujo de Fondos'!$B$5,A222,B222,'Flujo de Fondos'!$B$7,'Flujo de Fondos'!$B$6)</f>
        <v>0.22250492718712361</v>
      </c>
      <c r="D222" s="100">
        <v>23.6</v>
      </c>
      <c r="E222" s="102">
        <f>myParidad('Flujo de Fondos'!$H$5,$A222,D222,'Flujo de Fondos'!$H$7,'Flujo de Fondos'!$H$6)</f>
        <v>0.23579327712690246</v>
      </c>
      <c r="F222" s="100">
        <v>21.35</v>
      </c>
      <c r="G222" s="101">
        <f>myParidad('Flujo de Fondos'!$N$5,$A222,F222,'Flujo de Fondos'!$N$7,'Flujo de Fondos'!$N$6)</f>
        <v>0.20227774172615187</v>
      </c>
      <c r="H222" s="103">
        <v>23.42</v>
      </c>
      <c r="I222" s="101">
        <f>myParidad('Flujo de Fondos'!$T$5,$A222,H222,'Flujo de Fondos'!$T$7,'Flujo de Fondos'!$T$6)</f>
        <v>0.23417433705895246</v>
      </c>
      <c r="J222" s="103">
        <v>21.3</v>
      </c>
      <c r="K222" s="101">
        <f>myParidad('Flujo de Fondos'!$B$34,$A222,J222,'Flujo de Fondos'!$B$36,'Flujo de Fondos'!$B$35)</f>
        <v>0.21279012480840814</v>
      </c>
      <c r="L222" s="100">
        <v>26.3</v>
      </c>
      <c r="M222" s="101">
        <f>myParidad('Flujo de Fondos'!$H$34,'Paridad usd'!$A222,'Paridad usd'!L222,'Flujo de Fondos'!$H$36,'Flujo de Fondos'!$H$35)</f>
        <v>0.26297118124041202</v>
      </c>
      <c r="N222" s="103">
        <v>25</v>
      </c>
      <c r="O222" s="101">
        <f>myParidad('Flujo de Fondos'!$N$34,$A222,N222,'Flujo de Fondos'!$N$36,'Flujo de Fondos'!$N$35)</f>
        <v>0.24997260574183652</v>
      </c>
      <c r="P222" s="104">
        <f t="shared" si="30"/>
        <v>2.0227185460971742E-2</v>
      </c>
      <c r="Q222" s="104">
        <f t="shared" si="31"/>
        <v>1.3288349939778843E-2</v>
      </c>
      <c r="R222" s="104">
        <f t="shared" si="32"/>
        <v>-4.0466254053288409E-2</v>
      </c>
      <c r="S222" s="104">
        <f t="shared" si="33"/>
        <v>-2.746767855471291E-2</v>
      </c>
      <c r="T222" s="104">
        <f t="shared" si="34"/>
        <v>-1.4179328614934067E-2</v>
      </c>
      <c r="U222" s="104">
        <f t="shared" si="35"/>
        <v>-4.7694864015684652E-2</v>
      </c>
      <c r="V222" s="104">
        <f t="shared" si="36"/>
        <v>-1.0512383082256271E-2</v>
      </c>
      <c r="W222" s="104">
        <f t="shared" si="37"/>
        <v>9.7148023787154703E-3</v>
      </c>
      <c r="X222" s="104">
        <f t="shared" si="38"/>
        <v>3.1896595332800592E-2</v>
      </c>
      <c r="Y222" s="105">
        <f t="shared" si="39"/>
        <v>-6.069343951426015E-2</v>
      </c>
    </row>
    <row r="223" spans="1:25" x14ac:dyDescent="0.25">
      <c r="A223" s="99">
        <v>44782</v>
      </c>
      <c r="B223" s="100">
        <v>22.68</v>
      </c>
      <c r="C223" s="101">
        <f>myParidad('Flujo de Fondos'!$B$5,A223,B223,'Flujo de Fondos'!$B$7,'Flujo de Fondos'!$B$6)</f>
        <v>0.22660753880266074</v>
      </c>
      <c r="D223" s="100">
        <v>24</v>
      </c>
      <c r="E223" s="102">
        <f>myParidad('Flujo de Fondos'!$H$5,$A223,D223,'Flujo de Fondos'!$H$7,'Flujo de Fondos'!$H$6)</f>
        <v>0.23979633735731296</v>
      </c>
      <c r="F223" s="100">
        <v>21.82</v>
      </c>
      <c r="G223" s="101">
        <f>myParidad('Flujo de Fondos'!$N$5,$A223,F223,'Flujo de Fondos'!$N$7,'Flujo de Fondos'!$N$6)</f>
        <v>0.20673337746109618</v>
      </c>
      <c r="H223" s="103">
        <v>24.212</v>
      </c>
      <c r="I223" s="101">
        <f>myParidad('Flujo de Fondos'!$T$5,$A223,H223,'Flujo de Fondos'!$T$7,'Flujo de Fondos'!$T$6)</f>
        <v>0.24209429820806694</v>
      </c>
      <c r="J223" s="103">
        <v>22.04</v>
      </c>
      <c r="K223" s="101">
        <f>myParidad('Flujo de Fondos'!$B$34,$A223,J223,'Flujo de Fondos'!$B$36,'Flujo de Fondos'!$B$35)</f>
        <v>0.22018961334888923</v>
      </c>
      <c r="L223" s="100">
        <v>26.5</v>
      </c>
      <c r="M223" s="101">
        <f>myParidad('Flujo de Fondos'!$H$34,'Paridad usd'!$A223,'Paridad usd'!L223,'Flujo de Fondos'!$H$36,'Flujo de Fondos'!$H$35)</f>
        <v>0.26497186942482132</v>
      </c>
      <c r="N223" s="103">
        <v>25.12</v>
      </c>
      <c r="O223" s="101">
        <f>myParidad('Flujo de Fondos'!$N$34,$A223,N223,'Flujo de Fondos'!$N$36,'Flujo de Fondos'!$N$35)</f>
        <v>0.25117333433779293</v>
      </c>
      <c r="P223" s="104">
        <f t="shared" si="30"/>
        <v>1.9874161341564556E-2</v>
      </c>
      <c r="Q223" s="104">
        <f t="shared" si="31"/>
        <v>1.3188798554652215E-2</v>
      </c>
      <c r="R223" s="104">
        <f t="shared" si="32"/>
        <v>-3.8364330622160575E-2</v>
      </c>
      <c r="S223" s="104">
        <f t="shared" si="33"/>
        <v>-2.456579553513219E-2</v>
      </c>
      <c r="T223" s="104">
        <f t="shared" si="34"/>
        <v>-1.1376996980479975E-2</v>
      </c>
      <c r="U223" s="104">
        <f t="shared" si="35"/>
        <v>-4.4439956876696746E-2</v>
      </c>
      <c r="V223" s="104">
        <f t="shared" si="36"/>
        <v>-1.3456235887793044E-2</v>
      </c>
      <c r="W223" s="104">
        <f t="shared" si="37"/>
        <v>6.4179254537715114E-3</v>
      </c>
      <c r="X223" s="104">
        <f t="shared" si="38"/>
        <v>3.5360920746970753E-2</v>
      </c>
      <c r="Y223" s="105">
        <f t="shared" si="39"/>
        <v>-5.8238491963725131E-2</v>
      </c>
    </row>
    <row r="224" spans="1:25" x14ac:dyDescent="0.25">
      <c r="A224" s="99">
        <v>44781</v>
      </c>
      <c r="B224" s="100">
        <v>23.63</v>
      </c>
      <c r="C224" s="101">
        <f>myParidad('Flujo de Fondos'!$B$5,A224,B224,'Flujo de Fondos'!$B$7,'Flujo de Fondos'!$B$6)</f>
        <v>0.23610594032302215</v>
      </c>
      <c r="D224" s="100">
        <v>25</v>
      </c>
      <c r="E224" s="102">
        <f>myParidad('Flujo de Fondos'!$H$5,$A224,D224,'Flujo de Fondos'!$H$7,'Flujo de Fondos'!$H$6)</f>
        <v>0.24979468929646867</v>
      </c>
      <c r="F224" s="100">
        <v>22.46</v>
      </c>
      <c r="G224" s="101">
        <f>myParidad('Flujo de Fondos'!$N$5,$A224,F224,'Flujo de Fondos'!$N$7,'Flujo de Fondos'!$N$6)</f>
        <v>0.21279981310351989</v>
      </c>
      <c r="H224" s="103">
        <v>24.922999999999998</v>
      </c>
      <c r="I224" s="101">
        <f>myParidad('Flujo de Fondos'!$T$5,$A224,H224,'Flujo de Fondos'!$T$7,'Flujo de Fondos'!$T$6)</f>
        <v>0.24920439680854706</v>
      </c>
      <c r="J224" s="103">
        <v>22.5</v>
      </c>
      <c r="K224" s="101">
        <f>myParidad('Flujo de Fondos'!$B$34,$A224,J224,'Flujo de Fondos'!$B$36,'Flujo de Fondos'!$B$35)</f>
        <v>0.22479214425017963</v>
      </c>
      <c r="L224" s="100">
        <v>27.5</v>
      </c>
      <c r="M224" s="101">
        <f>myParidad('Flujo de Fondos'!$H$34,'Paridad usd'!$A224,'Paridad usd'!L224,'Flujo de Fondos'!$H$36,'Flujo de Fondos'!$H$35)</f>
        <v>0.2749717494777934</v>
      </c>
      <c r="N224" s="103">
        <v>26</v>
      </c>
      <c r="O224" s="101">
        <f>myParidad('Flujo de Fondos'!$N$34,$A224,N224,'Flujo de Fondos'!$N$36,'Flujo de Fondos'!$N$35)</f>
        <v>0.25997329041536826</v>
      </c>
      <c r="P224" s="104">
        <f t="shared" si="30"/>
        <v>2.330612721950226E-2</v>
      </c>
      <c r="Q224" s="104">
        <f t="shared" si="31"/>
        <v>1.3688748973446518E-2</v>
      </c>
      <c r="R224" s="104">
        <f t="shared" si="32"/>
        <v>-3.8865809154771253E-2</v>
      </c>
      <c r="S224" s="104">
        <f t="shared" si="33"/>
        <v>-2.3867350092346112E-2</v>
      </c>
      <c r="T224" s="104">
        <f t="shared" si="34"/>
        <v>-1.0178601118899594E-2</v>
      </c>
      <c r="U224" s="104">
        <f t="shared" si="35"/>
        <v>-4.7173477311848372E-2</v>
      </c>
      <c r="V224" s="104">
        <f t="shared" si="36"/>
        <v>-1.1992331146659735E-2</v>
      </c>
      <c r="W224" s="104">
        <f t="shared" si="37"/>
        <v>1.1313796072842525E-2</v>
      </c>
      <c r="X224" s="104">
        <f t="shared" si="38"/>
        <v>3.6404583705027166E-2</v>
      </c>
      <c r="Y224" s="105">
        <f t="shared" si="39"/>
        <v>-6.2171936374273512E-2</v>
      </c>
    </row>
    <row r="225" spans="1:25" x14ac:dyDescent="0.25">
      <c r="A225" s="99">
        <v>44778</v>
      </c>
      <c r="B225" s="100">
        <v>23</v>
      </c>
      <c r="C225" s="101">
        <f>myParidad('Flujo de Fondos'!$B$5,A225,B225,'Flujo de Fondos'!$B$7,'Flujo de Fondos'!$B$6)</f>
        <v>0.2298299887754264</v>
      </c>
      <c r="D225" s="100">
        <v>25</v>
      </c>
      <c r="E225" s="102">
        <f>myParidad('Flujo de Fondos'!$H$5,$A225,D225,'Flujo de Fondos'!$H$7,'Flujo de Fondos'!$H$6)</f>
        <v>0.24981520519068087</v>
      </c>
      <c r="F225" s="100">
        <v>21.93</v>
      </c>
      <c r="G225" s="101">
        <f>myParidad('Flujo de Fondos'!$N$5,$A225,F225,'Flujo de Fondos'!$N$7,'Flujo de Fondos'!$N$6)</f>
        <v>0.20778635862158479</v>
      </c>
      <c r="H225" s="103">
        <v>24.5</v>
      </c>
      <c r="I225" s="101">
        <f>myParidad('Flujo de Fondos'!$T$5,$A225,H225,'Flujo de Fondos'!$T$7,'Flujo de Fondos'!$T$6)</f>
        <v>0.24497734798494661</v>
      </c>
      <c r="J225" s="103">
        <v>22</v>
      </c>
      <c r="K225" s="101">
        <f>myParidad('Flujo de Fondos'!$B$34,$A225,J225,'Flujo de Fondos'!$B$36,'Flujo de Fondos'!$B$35)</f>
        <v>0.21981707004102749</v>
      </c>
      <c r="L225" s="100">
        <v>26.77</v>
      </c>
      <c r="M225" s="101">
        <f>myParidad('Flujo de Fondos'!$H$34,'Paridad usd'!$A225,'Paridad usd'!L225,'Flujo de Fondos'!$H$36,'Flujo de Fondos'!$H$35)</f>
        <v>0.267675249206409</v>
      </c>
      <c r="N225" s="103">
        <v>25.6</v>
      </c>
      <c r="O225" s="101">
        <f>myParidad('Flujo de Fondos'!$N$34,$A225,N225,'Flujo de Fondos'!$N$36,'Flujo de Fondos'!$N$35)</f>
        <v>0.25597633095569933</v>
      </c>
      <c r="P225" s="104">
        <f t="shared" si="30"/>
        <v>2.2043630153841615E-2</v>
      </c>
      <c r="Q225" s="104">
        <f t="shared" si="31"/>
        <v>1.998521641525447E-2</v>
      </c>
      <c r="R225" s="104">
        <f t="shared" si="32"/>
        <v>-3.7845260430982602E-2</v>
      </c>
      <c r="S225" s="104">
        <f t="shared" si="33"/>
        <v>-2.6146342180272925E-2</v>
      </c>
      <c r="T225" s="104">
        <f t="shared" si="34"/>
        <v>-6.1611257650184548E-3</v>
      </c>
      <c r="U225" s="104">
        <f t="shared" si="35"/>
        <v>-4.8189972334114539E-2</v>
      </c>
      <c r="V225" s="104">
        <f t="shared" si="36"/>
        <v>-1.2030711419442702E-2</v>
      </c>
      <c r="W225" s="104">
        <f t="shared" si="37"/>
        <v>1.0012918734398912E-2</v>
      </c>
      <c r="X225" s="104">
        <f t="shared" si="38"/>
        <v>3.719098936336182E-2</v>
      </c>
      <c r="Y225" s="105">
        <f t="shared" si="39"/>
        <v>-5.9888890584824217E-2</v>
      </c>
    </row>
    <row r="226" spans="1:25" x14ac:dyDescent="0.25">
      <c r="A226" s="99">
        <v>44777</v>
      </c>
      <c r="B226" s="100">
        <v>23</v>
      </c>
      <c r="C226" s="101">
        <f>myParidad('Flujo de Fondos'!$B$5,A226,B226,'Flujo de Fondos'!$B$7,'Flujo de Fondos'!$B$6)</f>
        <v>0.22983628100531128</v>
      </c>
      <c r="D226" s="100">
        <v>24.6</v>
      </c>
      <c r="E226" s="102">
        <f>myParidad('Flujo de Fondos'!$H$5,$A226,D226,'Flujo de Fondos'!$H$7,'Flujo de Fondos'!$H$6)</f>
        <v>0.24582489185785469</v>
      </c>
      <c r="F226" s="100">
        <v>21.66</v>
      </c>
      <c r="G226" s="101">
        <f>myParidad('Flujo de Fondos'!$N$5,$A226,F226,'Flujo de Fondos'!$N$7,'Flujo de Fondos'!$N$6)</f>
        <v>0.20523077721821298</v>
      </c>
      <c r="H226" s="103">
        <v>24.28</v>
      </c>
      <c r="I226" s="101">
        <f>myParidad('Flujo de Fondos'!$T$5,$A226,H226,'Flujo de Fondos'!$T$7,'Flujo de Fondos'!$T$6)</f>
        <v>0.24277838274674174</v>
      </c>
      <c r="J226" s="103">
        <v>21.9</v>
      </c>
      <c r="K226" s="101">
        <f>myParidad('Flujo de Fondos'!$B$34,$A226,J226,'Flujo de Fondos'!$B$36,'Flujo de Fondos'!$B$35)</f>
        <v>0.21882464052779621</v>
      </c>
      <c r="L226" s="100">
        <v>26.35</v>
      </c>
      <c r="M226" s="101">
        <f>myParidad('Flujo de Fondos'!$H$34,'Paridad usd'!$A226,'Paridad usd'!L226,'Flujo de Fondos'!$H$36,'Flujo de Fondos'!$H$35)</f>
        <v>0.26347653976015833</v>
      </c>
      <c r="N226" s="103">
        <v>25.5</v>
      </c>
      <c r="O226" s="101">
        <f>myParidad('Flujo de Fondos'!$N$34,$A226,N226,'Flujo de Fondos'!$N$36,'Flujo de Fondos'!$N$35)</f>
        <v>0.25497729654208873</v>
      </c>
      <c r="P226" s="104">
        <f t="shared" si="30"/>
        <v>2.4605503787098304E-2</v>
      </c>
      <c r="Q226" s="104">
        <f t="shared" si="31"/>
        <v>1.5988610852543411E-2</v>
      </c>
      <c r="R226" s="104">
        <f t="shared" si="32"/>
        <v>-3.3640258754847052E-2</v>
      </c>
      <c r="S226" s="104">
        <f t="shared" si="33"/>
        <v>-2.5141015536777445E-2</v>
      </c>
      <c r="T226" s="104">
        <f t="shared" si="34"/>
        <v>-9.1524046842340334E-3</v>
      </c>
      <c r="U226" s="104">
        <f t="shared" si="35"/>
        <v>-4.9746519323875749E-2</v>
      </c>
      <c r="V226" s="104">
        <f t="shared" si="36"/>
        <v>-1.3593863309583232E-2</v>
      </c>
      <c r="W226" s="104">
        <f t="shared" si="37"/>
        <v>1.1011640477515072E-2</v>
      </c>
      <c r="X226" s="104">
        <f t="shared" si="38"/>
        <v>3.754760552852876E-2</v>
      </c>
      <c r="Y226" s="105">
        <f t="shared" si="39"/>
        <v>-5.8245762541945356E-2</v>
      </c>
    </row>
    <row r="227" spans="1:25" x14ac:dyDescent="0.25">
      <c r="A227" s="99">
        <v>44776</v>
      </c>
      <c r="B227" s="100">
        <v>23.44</v>
      </c>
      <c r="C227" s="101">
        <f>myParidad('Flujo de Fondos'!$B$5,A227,B227,'Flujo de Fondos'!$B$7,'Flujo de Fondos'!$B$6)</f>
        <v>0.23423956194387408</v>
      </c>
      <c r="D227" s="100">
        <v>24.81</v>
      </c>
      <c r="E227" s="102">
        <f>myParidad('Flujo de Fondos'!$H$5,$A227,D227,'Flujo de Fondos'!$H$7,'Flujo de Fondos'!$H$6)</f>
        <v>0.24793018480492812</v>
      </c>
      <c r="F227" s="100">
        <v>21.9</v>
      </c>
      <c r="G227" s="101">
        <f>myParidad('Flujo de Fondos'!$N$5,$A227,F227,'Flujo de Fondos'!$N$7,'Flujo de Fondos'!$N$6)</f>
        <v>0.20750749581402592</v>
      </c>
      <c r="H227" s="103">
        <v>24.66</v>
      </c>
      <c r="I227" s="101">
        <f>myParidad('Flujo de Fondos'!$T$5,$A227,H227,'Flujo de Fondos'!$T$7,'Flujo de Fondos'!$T$6)</f>
        <v>0.24657888879376766</v>
      </c>
      <c r="J227" s="103">
        <v>22.75</v>
      </c>
      <c r="K227" s="101">
        <f>myParidad('Flujo de Fondos'!$B$34,$A227,J227,'Flujo de Fondos'!$B$36,'Flujo de Fondos'!$B$35)</f>
        <v>0.22732483531525366</v>
      </c>
      <c r="L227" s="100">
        <v>26.45</v>
      </c>
      <c r="M227" s="101">
        <f>myParidad('Flujo de Fondos'!$H$34,'Paridad usd'!$A227,'Paridad usd'!L227,'Flujo de Fondos'!$H$36,'Flujo de Fondos'!$H$35)</f>
        <v>0.26447735639071995</v>
      </c>
      <c r="N227" s="103">
        <v>25.37</v>
      </c>
      <c r="O227" s="101">
        <f>myParidad('Flujo de Fondos'!$N$34,$A227,N227,'Flujo de Fondos'!$N$36,'Flujo de Fondos'!$N$35)</f>
        <v>0.25367828096909512</v>
      </c>
      <c r="P227" s="104">
        <f t="shared" si="30"/>
        <v>2.6732066129848159E-2</v>
      </c>
      <c r="Q227" s="104">
        <f t="shared" si="31"/>
        <v>1.3690622861054047E-2</v>
      </c>
      <c r="R227" s="104">
        <f t="shared" si="32"/>
        <v>-3.0237794446845878E-2</v>
      </c>
      <c r="S227" s="104">
        <f t="shared" si="33"/>
        <v>-1.9438719025221041E-2</v>
      </c>
      <c r="T227" s="104">
        <f t="shared" si="34"/>
        <v>-5.7480961641669936E-3</v>
      </c>
      <c r="U227" s="104">
        <f t="shared" si="35"/>
        <v>-4.6170785155069199E-2</v>
      </c>
      <c r="V227" s="104">
        <f t="shared" si="36"/>
        <v>-1.9817339501227743E-2</v>
      </c>
      <c r="W227" s="104">
        <f t="shared" si="37"/>
        <v>6.9147266286204156E-3</v>
      </c>
      <c r="X227" s="104">
        <f t="shared" si="38"/>
        <v>3.9071392979741743E-2</v>
      </c>
      <c r="Y227" s="105">
        <f t="shared" si="39"/>
        <v>-5.6969860576694037E-2</v>
      </c>
    </row>
    <row r="228" spans="1:25" x14ac:dyDescent="0.25">
      <c r="A228" s="99">
        <v>44775</v>
      </c>
      <c r="B228" s="100">
        <v>23.5</v>
      </c>
      <c r="C228" s="101">
        <f>myParidad('Flujo de Fondos'!$B$5,A228,B228,'Flujo de Fondos'!$B$7,'Flujo de Fondos'!$B$6)</f>
        <v>0.23484558098784361</v>
      </c>
      <c r="D228" s="100">
        <v>24.95</v>
      </c>
      <c r="E228" s="102">
        <f>myParidad('Flujo de Fondos'!$H$5,$A228,D228,'Flujo de Fondos'!$H$7,'Flujo de Fondos'!$H$6)</f>
        <v>0.24933605300624245</v>
      </c>
      <c r="F228" s="100">
        <v>22.36</v>
      </c>
      <c r="G228" s="101">
        <f>myParidad('Flujo de Fondos'!$N$5,$A228,F228,'Flujo de Fondos'!$N$7,'Flujo de Fondos'!$N$6)</f>
        <v>0.21186885075673009</v>
      </c>
      <c r="H228" s="103">
        <v>24.94</v>
      </c>
      <c r="I228" s="101">
        <f>myParidad('Flujo de Fondos'!$T$5,$A228,H228,'Flujo de Fondos'!$T$7,'Flujo de Fondos'!$T$6)</f>
        <v>0.24937950305454348</v>
      </c>
      <c r="J228" s="103">
        <v>22.4</v>
      </c>
      <c r="K228" s="101">
        <f>myParidad('Flujo de Fondos'!$B$34,$A228,J228,'Flujo de Fondos'!$B$36,'Flujo de Fondos'!$B$35)</f>
        <v>0.22383442385085003</v>
      </c>
      <c r="L228" s="100">
        <v>26.9</v>
      </c>
      <c r="M228" s="101">
        <f>myParidad('Flujo de Fondos'!$H$34,'Paridad usd'!$A228,'Paridad usd'!L228,'Flujo de Fondos'!$H$36,'Flujo de Fondos'!$H$35)</f>
        <v>0.26897789222803603</v>
      </c>
      <c r="N228" s="103">
        <v>25.5</v>
      </c>
      <c r="O228" s="101">
        <f>myParidad('Flujo de Fondos'!$N$34,$A228,N228,'Flujo de Fondos'!$N$36,'Flujo de Fondos'!$N$35)</f>
        <v>0.2549790428183985</v>
      </c>
      <c r="P228" s="104">
        <f t="shared" si="30"/>
        <v>2.2976730231113518E-2</v>
      </c>
      <c r="Q228" s="104">
        <f t="shared" si="31"/>
        <v>1.4490472018398842E-2</v>
      </c>
      <c r="R228" s="104">
        <f t="shared" si="32"/>
        <v>-3.413231124019242E-2</v>
      </c>
      <c r="S228" s="104">
        <f t="shared" si="33"/>
        <v>-2.0133461830554894E-2</v>
      </c>
      <c r="T228" s="104">
        <f t="shared" si="34"/>
        <v>-5.6429898121560518E-3</v>
      </c>
      <c r="U228" s="104">
        <f t="shared" si="35"/>
        <v>-4.3110192061668412E-2</v>
      </c>
      <c r="V228" s="104">
        <f t="shared" si="36"/>
        <v>-1.1965573094119941E-2</v>
      </c>
      <c r="W228" s="104">
        <f t="shared" si="37"/>
        <v>1.1011157136993577E-2</v>
      </c>
      <c r="X228" s="104">
        <f t="shared" si="38"/>
        <v>3.751065229781339E-2</v>
      </c>
      <c r="Y228" s="105">
        <f t="shared" si="39"/>
        <v>-5.7109041471305938E-2</v>
      </c>
    </row>
    <row r="229" spans="1:25" x14ac:dyDescent="0.25">
      <c r="A229" s="99">
        <v>44774</v>
      </c>
      <c r="B229" s="100">
        <v>24.05</v>
      </c>
      <c r="C229" s="101">
        <f>myParidad('Flujo de Fondos'!$B$5,A229,B229,'Flujo de Fondos'!$B$7,'Flujo de Fondos'!$B$6)</f>
        <v>0.24034854749062234</v>
      </c>
      <c r="D229" s="100">
        <v>24.4</v>
      </c>
      <c r="E229" s="102">
        <f>myParidad('Flujo de Fondos'!$H$5,$A229,D229,'Flujo de Fondos'!$H$7,'Flujo de Fondos'!$H$6)</f>
        <v>0.24384634340004926</v>
      </c>
      <c r="F229" s="100">
        <v>23.1</v>
      </c>
      <c r="G229" s="101">
        <f>myParidad('Flujo de Fondos'!$N$5,$A229,F229,'Flujo de Fondos'!$N$7,'Flujo de Fondos'!$N$6)</f>
        <v>0.21888345166859205</v>
      </c>
      <c r="H229" s="103">
        <v>25</v>
      </c>
      <c r="I229" s="101">
        <f>myParidad('Flujo de Fondos'!$T$5,$A229,H229,'Flujo de Fondos'!$T$7,'Flujo de Fondos'!$T$6)</f>
        <v>0.24998030977012084</v>
      </c>
      <c r="J229" s="103">
        <v>23</v>
      </c>
      <c r="K229" s="101">
        <f>myParidad('Flujo de Fondos'!$B$34,$A229,J229,'Flujo de Fondos'!$B$36,'Flujo de Fondos'!$B$35)</f>
        <v>0.22983706755827205</v>
      </c>
      <c r="L229" s="100">
        <v>27.8</v>
      </c>
      <c r="M229" s="101">
        <f>myParidad('Flujo de Fondos'!$H$34,'Paridad usd'!$A229,'Paridad usd'!L229,'Flujo de Fondos'!$H$36,'Flujo de Fondos'!$H$35)</f>
        <v>0.27797810446437438</v>
      </c>
      <c r="N229" s="103">
        <v>26.1</v>
      </c>
      <c r="O229" s="101">
        <f>myParidad('Flujo de Fondos'!$N$34,$A229,N229,'Flujo de Fondos'!$N$36,'Flujo de Fondos'!$N$35)</f>
        <v>0.26097944340000617</v>
      </c>
      <c r="P229" s="104">
        <f t="shared" si="30"/>
        <v>2.1465095822030295E-2</v>
      </c>
      <c r="Q229" s="104">
        <f t="shared" si="31"/>
        <v>3.4977959094269206E-3</v>
      </c>
      <c r="R229" s="104">
        <f t="shared" si="32"/>
        <v>-3.7629556973752032E-2</v>
      </c>
      <c r="S229" s="104">
        <f t="shared" si="33"/>
        <v>-2.0630895909383828E-2</v>
      </c>
      <c r="T229" s="104">
        <f t="shared" si="34"/>
        <v>-1.7133099999956908E-2</v>
      </c>
      <c r="U229" s="104">
        <f t="shared" si="35"/>
        <v>-4.2095991731414123E-2</v>
      </c>
      <c r="V229" s="104">
        <f t="shared" si="36"/>
        <v>-1.0953615889679996E-2</v>
      </c>
      <c r="W229" s="104">
        <f t="shared" si="37"/>
        <v>1.0511479932350298E-2</v>
      </c>
      <c r="X229" s="104">
        <f t="shared" si="38"/>
        <v>3.109685810152879E-2</v>
      </c>
      <c r="Y229" s="105">
        <f t="shared" si="39"/>
        <v>-5.9094652795782326E-2</v>
      </c>
    </row>
    <row r="230" spans="1:25" x14ac:dyDescent="0.25">
      <c r="A230" s="99">
        <v>44771</v>
      </c>
      <c r="B230" s="100">
        <v>24.06</v>
      </c>
      <c r="C230" s="101">
        <f>myParidad('Flujo de Fondos'!$B$5,A230,B230,'Flujo de Fondos'!$B$7,'Flujo de Fondos'!$B$6)</f>
        <v>0.24046823658269439</v>
      </c>
      <c r="D230" s="100">
        <v>23.19</v>
      </c>
      <c r="E230" s="102">
        <f>myParidad('Flujo de Fondos'!$H$5,$A230,D230,'Flujo de Fondos'!$H$7,'Flujo de Fondos'!$H$6)</f>
        <v>0.23177300109529025</v>
      </c>
      <c r="F230" s="100">
        <v>22.99</v>
      </c>
      <c r="G230" s="101">
        <f>myParidad('Flujo de Fondos'!$N$5,$A230,F230,'Flujo de Fondos'!$N$7,'Flujo de Fondos'!$N$6)</f>
        <v>0.21784963264882265</v>
      </c>
      <c r="H230" s="103">
        <v>24.9</v>
      </c>
      <c r="I230" s="101">
        <f>myParidad('Flujo de Fondos'!$T$5,$A230,H230,'Flujo de Fondos'!$T$7,'Flujo de Fondos'!$T$6)</f>
        <v>0.24898294637353605</v>
      </c>
      <c r="J230" s="103">
        <v>22.99</v>
      </c>
      <c r="K230" s="101">
        <f>myParidad('Flujo de Fondos'!$B$34,$A230,J230,'Flujo de Fondos'!$B$36,'Flujo de Fondos'!$B$35)</f>
        <v>0.22975836812923539</v>
      </c>
      <c r="L230" s="100">
        <v>27.99</v>
      </c>
      <c r="M230" s="101">
        <f>myParidad('Flujo de Fondos'!$H$34,'Paridad usd'!$A230,'Paridad usd'!L230,'Flujo de Fondos'!$H$36,'Flujo de Fondos'!$H$35)</f>
        <v>0.27988083008013148</v>
      </c>
      <c r="N230" s="103">
        <v>25.5</v>
      </c>
      <c r="O230" s="101">
        <f>myParidad('Flujo de Fondos'!$N$34,$A230,N230,'Flujo de Fondos'!$N$36,'Flujo de Fondos'!$N$35)</f>
        <v>0.25498253544277788</v>
      </c>
      <c r="P230" s="104">
        <f t="shared" si="30"/>
        <v>2.2618603933871745E-2</v>
      </c>
      <c r="Q230" s="104">
        <f t="shared" si="31"/>
        <v>-8.6952354874041404E-3</v>
      </c>
      <c r="R230" s="104">
        <f t="shared" si="32"/>
        <v>-3.9412593497437087E-2</v>
      </c>
      <c r="S230" s="104">
        <f t="shared" si="33"/>
        <v>-1.4514298860083485E-2</v>
      </c>
      <c r="T230" s="104">
        <f t="shared" si="34"/>
        <v>-2.3209534347487626E-2</v>
      </c>
      <c r="U230" s="104">
        <f t="shared" si="35"/>
        <v>-3.713290279395523E-2</v>
      </c>
      <c r="V230" s="104">
        <f t="shared" si="36"/>
        <v>-1.1908735480412741E-2</v>
      </c>
      <c r="W230" s="104">
        <f t="shared" si="37"/>
        <v>1.0709868453459004E-2</v>
      </c>
      <c r="X230" s="104">
        <f t="shared" si="38"/>
        <v>3.1133313724713396E-2</v>
      </c>
      <c r="Y230" s="105">
        <f t="shared" si="39"/>
        <v>-6.2031197431308832E-2</v>
      </c>
    </row>
    <row r="231" spans="1:25" x14ac:dyDescent="0.25">
      <c r="A231" s="99">
        <v>44770</v>
      </c>
      <c r="B231" s="100">
        <v>22.8</v>
      </c>
      <c r="C231" s="101">
        <f>myParidad('Flujo de Fondos'!$B$5,A231,B231,'Flujo de Fondos'!$B$7,'Flujo de Fondos'!$B$6)</f>
        <v>0.22788137681754703</v>
      </c>
      <c r="D231" s="100">
        <v>23</v>
      </c>
      <c r="E231" s="102">
        <f>myParidad('Flujo de Fondos'!$H$5,$A231,D231,'Flujo de Fondos'!$H$7,'Flujo de Fondos'!$H$6)</f>
        <v>0.229880336263315</v>
      </c>
      <c r="F231" s="100">
        <v>21.66</v>
      </c>
      <c r="G231" s="101">
        <f>myParidad('Flujo de Fondos'!$N$5,$A231,F231,'Flujo de Fondos'!$N$7,'Flujo de Fondos'!$N$6)</f>
        <v>0.20524942560068538</v>
      </c>
      <c r="H231" s="103">
        <v>24.4</v>
      </c>
      <c r="I231" s="101">
        <f>myParidad('Flujo de Fondos'!$T$5,$A231,H231,'Flujo de Fondos'!$T$7,'Flujo de Fondos'!$T$6)</f>
        <v>0.24398412432067776</v>
      </c>
      <c r="J231" s="103">
        <v>21.79</v>
      </c>
      <c r="K231" s="101">
        <f>myParidad('Flujo de Fondos'!$B$34,$A231,J231,'Flujo de Fondos'!$B$36,'Flujo de Fondos'!$B$35)</f>
        <v>0.21777246886241275</v>
      </c>
      <c r="L231" s="100">
        <v>26.75</v>
      </c>
      <c r="M231" s="101">
        <f>myParidad('Flujo de Fondos'!$H$34,'Paridad usd'!$A231,'Paridad usd'!L231,'Flujo de Fondos'!$H$36,'Flujo de Fondos'!$H$35)</f>
        <v>0.26748259531057911</v>
      </c>
      <c r="N231" s="103">
        <v>24.5</v>
      </c>
      <c r="O231" s="101">
        <f>myParidad('Flujo de Fondos'!$N$34,$A231,N231,'Flujo de Fondos'!$N$36,'Flujo de Fondos'!$N$35)</f>
        <v>0.24498405925641825</v>
      </c>
      <c r="P231" s="104">
        <f t="shared" si="30"/>
        <v>2.2631951216861651E-2</v>
      </c>
      <c r="Q231" s="104">
        <f t="shared" si="31"/>
        <v>1.9989594457679727E-3</v>
      </c>
      <c r="R231" s="104">
        <f t="shared" si="32"/>
        <v>-3.9601218493032081E-2</v>
      </c>
      <c r="S231" s="104">
        <f t="shared" si="33"/>
        <v>-1.7102682438871225E-2</v>
      </c>
      <c r="T231" s="104">
        <f t="shared" si="34"/>
        <v>-1.5103722993103252E-2</v>
      </c>
      <c r="U231" s="104">
        <f t="shared" si="35"/>
        <v>-3.9734633655732876E-2</v>
      </c>
      <c r="V231" s="104">
        <f t="shared" si="36"/>
        <v>-1.2523043261727373E-2</v>
      </c>
      <c r="W231" s="104">
        <f t="shared" si="37"/>
        <v>1.0108907955134278E-2</v>
      </c>
      <c r="X231" s="104">
        <f t="shared" si="38"/>
        <v>3.8734698719992383E-2</v>
      </c>
      <c r="Y231" s="105">
        <f t="shared" si="39"/>
        <v>-6.2233169709893732E-2</v>
      </c>
    </row>
    <row r="232" spans="1:25" x14ac:dyDescent="0.25">
      <c r="A232" s="99">
        <v>44769</v>
      </c>
      <c r="B232" s="100">
        <v>19.899999999999999</v>
      </c>
      <c r="C232" s="101">
        <f>myParidad('Flujo de Fondos'!$B$5,A232,B232,'Flujo de Fondos'!$B$7,'Flujo de Fondos'!$B$6)</f>
        <v>0.19890191138616573</v>
      </c>
      <c r="D232" s="100">
        <v>20.9</v>
      </c>
      <c r="E232" s="102">
        <f>myParidad('Flujo de Fondos'!$H$5,$A232,D232,'Flujo de Fondos'!$H$7,'Flujo de Fondos'!$H$6)</f>
        <v>0.20889698231009363</v>
      </c>
      <c r="F232" s="100">
        <v>19.149999999999999</v>
      </c>
      <c r="G232" s="101">
        <f>myParidad('Flujo de Fondos'!$N$5,$A232,F232,'Flujo de Fondos'!$N$7,'Flujo de Fondos'!$N$6)</f>
        <v>0.18146710628796925</v>
      </c>
      <c r="H232" s="103">
        <v>21.5</v>
      </c>
      <c r="I232" s="101">
        <f>myParidad('Flujo de Fondos'!$T$5,$A232,H232,'Flujo de Fondos'!$T$7,'Flujo de Fondos'!$T$6)</f>
        <v>0.21498674739228404</v>
      </c>
      <c r="J232" s="103">
        <v>18.920000000000002</v>
      </c>
      <c r="K232" s="101">
        <f>myParidad('Flujo de Fondos'!$B$34,$A232,J232,'Flujo de Fondos'!$B$36,'Flujo de Fondos'!$B$35)</f>
        <v>0.18909509107960654</v>
      </c>
      <c r="L232" s="100">
        <v>24.79</v>
      </c>
      <c r="M232" s="101">
        <f>myParidad('Flujo de Fondos'!$H$34,'Paridad usd'!$A232,'Paridad usd'!L232,'Flujo de Fondos'!$H$36,'Flujo de Fondos'!$H$35)</f>
        <v>0.24788471943510332</v>
      </c>
      <c r="N232" s="103">
        <v>23.4</v>
      </c>
      <c r="O232" s="101">
        <f>myParidad('Flujo de Fondos'!$N$34,$A232,N232,'Flujo de Fondos'!$N$36,'Flujo de Fondos'!$N$35)</f>
        <v>0.23398557623160215</v>
      </c>
      <c r="P232" s="104">
        <f t="shared" si="30"/>
        <v>1.7434805098196476E-2</v>
      </c>
      <c r="Q232" s="104">
        <f t="shared" si="31"/>
        <v>9.9950709239279012E-3</v>
      </c>
      <c r="R232" s="104">
        <f t="shared" si="32"/>
        <v>-4.8982808048937593E-2</v>
      </c>
      <c r="S232" s="104">
        <f t="shared" si="33"/>
        <v>-3.508366484543643E-2</v>
      </c>
      <c r="T232" s="104">
        <f t="shared" si="34"/>
        <v>-2.5088593921508529E-2</v>
      </c>
      <c r="U232" s="104">
        <f t="shared" si="35"/>
        <v>-5.2518469943632906E-2</v>
      </c>
      <c r="V232" s="104">
        <f t="shared" si="36"/>
        <v>-7.6279847916372878E-3</v>
      </c>
      <c r="W232" s="104">
        <f t="shared" si="37"/>
        <v>9.8068203065591886E-3</v>
      </c>
      <c r="X232" s="104">
        <f t="shared" si="38"/>
        <v>3.3519641104314796E-2</v>
      </c>
      <c r="Y232" s="105">
        <f t="shared" si="39"/>
        <v>-6.6417613147134069E-2</v>
      </c>
    </row>
    <row r="233" spans="1:25" x14ac:dyDescent="0.25">
      <c r="A233" s="99">
        <v>44768</v>
      </c>
      <c r="B233" s="100">
        <v>18.760000000000002</v>
      </c>
      <c r="C233" s="101">
        <f>myParidad('Flujo de Fondos'!$B$5,A233,B233,'Flujo de Fondos'!$B$7,'Flujo de Fondos'!$B$6)</f>
        <v>0.18751266533395405</v>
      </c>
      <c r="D233" s="100">
        <v>19.89</v>
      </c>
      <c r="E233" s="102">
        <f>myParidad('Flujo de Fondos'!$H$5,$A233,D233,'Flujo de Fondos'!$H$7,'Flujo de Fondos'!$H$6)</f>
        <v>0.19880740477038092</v>
      </c>
      <c r="F233" s="100">
        <v>17.8</v>
      </c>
      <c r="G233" s="101">
        <f>myParidad('Flujo de Fondos'!$N$5,$A233,F233,'Flujo de Fondos'!$N$7,'Flujo de Fondos'!$N$6)</f>
        <v>0.16867657558252744</v>
      </c>
      <c r="H233" s="103">
        <v>20.100000000000001</v>
      </c>
      <c r="I233" s="101">
        <f>myParidad('Flujo de Fondos'!$T$5,$A233,H233,'Flujo de Fondos'!$T$7,'Flujo de Fondos'!$T$6)</f>
        <v>0.20098829862644985</v>
      </c>
      <c r="J233" s="103">
        <v>18.2</v>
      </c>
      <c r="K233" s="101">
        <f>myParidad('Flujo de Fondos'!$B$34,$A233,J233,'Flujo de Fondos'!$B$36,'Flujo de Fondos'!$B$35)</f>
        <v>0.18190468692773992</v>
      </c>
      <c r="L233" s="100">
        <v>22.8</v>
      </c>
      <c r="M233" s="101">
        <f>myParidad('Flujo de Fondos'!$H$34,'Paridad usd'!$A233,'Paridad usd'!L233,'Flujo de Fondos'!$H$36,'Flujo de Fondos'!$H$35)</f>
        <v>0.22798672680015206</v>
      </c>
      <c r="N233" s="103">
        <v>21.55</v>
      </c>
      <c r="O233" s="101">
        <f>myParidad('Flujo de Fondos'!$N$34,$A233,N233,'Flujo de Fondos'!$N$36,'Flujo de Fondos'!$N$35)</f>
        <v>0.21548745449751214</v>
      </c>
      <c r="P233" s="104">
        <f t="shared" si="30"/>
        <v>1.8836089751426616E-2</v>
      </c>
      <c r="Q233" s="104">
        <f t="shared" si="31"/>
        <v>1.1294739436426865E-2</v>
      </c>
      <c r="R233" s="104">
        <f t="shared" si="32"/>
        <v>-4.0474061466198002E-2</v>
      </c>
      <c r="S233" s="104">
        <f t="shared" si="33"/>
        <v>-2.7974789163558084E-2</v>
      </c>
      <c r="T233" s="104">
        <f t="shared" si="34"/>
        <v>-1.6680049727131219E-2</v>
      </c>
      <c r="U233" s="104">
        <f t="shared" si="35"/>
        <v>-4.6810878914984699E-2</v>
      </c>
      <c r="V233" s="104">
        <f t="shared" si="36"/>
        <v>-1.3228111345212484E-2</v>
      </c>
      <c r="W233" s="104">
        <f t="shared" si="37"/>
        <v>5.6079784062141314E-3</v>
      </c>
      <c r="X233" s="104">
        <f t="shared" si="38"/>
        <v>3.2311723043922408E-2</v>
      </c>
      <c r="Y233" s="105">
        <f t="shared" si="39"/>
        <v>-5.9310151217624618E-2</v>
      </c>
    </row>
    <row r="234" spans="1:25" x14ac:dyDescent="0.25">
      <c r="A234" s="99">
        <v>44767</v>
      </c>
      <c r="B234" s="100">
        <v>18.13</v>
      </c>
      <c r="C234" s="101">
        <f>myParidad('Flujo de Fondos'!$B$5,A234,B234,'Flujo de Fondos'!$B$7,'Flujo de Fondos'!$B$6)</f>
        <v>0.18122056085003832</v>
      </c>
      <c r="D234" s="100">
        <v>19.2</v>
      </c>
      <c r="E234" s="102">
        <f>myParidad('Flujo de Fondos'!$H$5,$A234,D234,'Flujo de Fondos'!$H$7,'Flujo de Fondos'!$H$6)</f>
        <v>0.1919158724942491</v>
      </c>
      <c r="F234" s="100">
        <v>17.52</v>
      </c>
      <c r="G234" s="101">
        <f>myParidad('Flujo de Fondos'!$N$5,$A234,F234,'Flujo de Fondos'!$N$7,'Flujo de Fondos'!$N$6)</f>
        <v>0.16602539138562192</v>
      </c>
      <c r="H234" s="103">
        <v>19.73</v>
      </c>
      <c r="I234" s="101">
        <f>myParidad('Flujo de Fondos'!$T$5,$A234,H234,'Flujo de Fondos'!$T$7,'Flujo de Fondos'!$T$6)</f>
        <v>0.19728918963344474</v>
      </c>
      <c r="J234" s="103">
        <v>17.8</v>
      </c>
      <c r="K234" s="101">
        <f>myParidad('Flujo de Fondos'!$B$34,$A234,J234,'Flujo de Fondos'!$B$36,'Flujo de Fondos'!$B$35)</f>
        <v>0.1779122624459171</v>
      </c>
      <c r="L234" s="100">
        <v>22.58</v>
      </c>
      <c r="M234" s="101">
        <f>myParidad('Flujo de Fondos'!$H$34,'Paridad usd'!$A234,'Paridad usd'!L234,'Flujo de Fondos'!$H$36,'Flujo de Fondos'!$H$35)</f>
        <v>0.22578762807517394</v>
      </c>
      <c r="N234" s="103">
        <v>20.7</v>
      </c>
      <c r="O234" s="101">
        <f>myParidad('Flujo de Fondos'!$N$34,$A234,N234,'Flujo de Fondos'!$N$36,'Flujo de Fondos'!$N$35)</f>
        <v>0.20698865815571749</v>
      </c>
      <c r="P234" s="104">
        <f t="shared" si="30"/>
        <v>1.5195169464416403E-2</v>
      </c>
      <c r="Q234" s="104">
        <f t="shared" si="31"/>
        <v>1.0695311644210781E-2</v>
      </c>
      <c r="R234" s="104">
        <f t="shared" si="32"/>
        <v>-4.456706722513562E-2</v>
      </c>
      <c r="S234" s="104">
        <f t="shared" si="33"/>
        <v>-2.5768097305679166E-2</v>
      </c>
      <c r="T234" s="104">
        <f t="shared" si="34"/>
        <v>-1.5072785661468385E-2</v>
      </c>
      <c r="U234" s="104">
        <f t="shared" si="35"/>
        <v>-4.0963266770095569E-2</v>
      </c>
      <c r="V234" s="104">
        <f t="shared" si="36"/>
        <v>-1.1886871060295179E-2</v>
      </c>
      <c r="W234" s="104">
        <f t="shared" si="37"/>
        <v>3.3082984041212238E-3</v>
      </c>
      <c r="X234" s="104">
        <f t="shared" si="38"/>
        <v>3.1263798247822827E-2</v>
      </c>
      <c r="Y234" s="105">
        <f t="shared" si="39"/>
        <v>-5.9762236689552023E-2</v>
      </c>
    </row>
    <row r="235" spans="1:25" x14ac:dyDescent="0.25">
      <c r="A235" s="99">
        <v>44764</v>
      </c>
      <c r="B235" s="100">
        <v>18.18</v>
      </c>
      <c r="C235" s="101">
        <f>myParidad('Flujo de Fondos'!$B$5,A235,B235,'Flujo de Fondos'!$B$7,'Flujo de Fondos'!$B$6)</f>
        <v>0.18173527236874537</v>
      </c>
      <c r="D235" s="100">
        <v>19.41</v>
      </c>
      <c r="E235" s="102">
        <f>myParidad('Flujo de Fondos'!$H$5,$A235,D235,'Flujo de Fondos'!$H$7,'Flujo de Fondos'!$H$6)</f>
        <v>0.19403089310656479</v>
      </c>
      <c r="F235" s="100">
        <v>17.3</v>
      </c>
      <c r="G235" s="101">
        <f>myParidad('Flujo de Fondos'!$N$5,$A235,F235,'Flujo de Fondos'!$N$7,'Flujo de Fondos'!$N$6)</f>
        <v>0.16394698238371566</v>
      </c>
      <c r="H235" s="103">
        <v>19.350000000000001</v>
      </c>
      <c r="I235" s="101">
        <f>myParidad('Flujo de Fondos'!$T$5,$A235,H235,'Flujo de Fondos'!$T$7,'Flujo de Fondos'!$T$6)</f>
        <v>0.19349138565748786</v>
      </c>
      <c r="J235" s="103">
        <v>17.7</v>
      </c>
      <c r="K235" s="101">
        <f>myParidad('Flujo de Fondos'!$B$34,$A235,J235,'Flujo de Fondos'!$B$36,'Flujo de Fondos'!$B$35)</f>
        <v>0.17692910717281088</v>
      </c>
      <c r="L235" s="100">
        <v>22.45</v>
      </c>
      <c r="M235" s="101">
        <f>myParidad('Flujo de Fondos'!$H$34,'Paridad usd'!$A235,'Paridad usd'!L235,'Flujo de Fondos'!$H$36,'Flujo de Fondos'!$H$35)</f>
        <v>0.22449000558194326</v>
      </c>
      <c r="N235" s="103">
        <v>20.65</v>
      </c>
      <c r="O235" s="101">
        <f>myParidad('Flujo de Fondos'!$N$34,$A235,N235,'Flujo de Fondos'!$N$36,'Flujo de Fondos'!$N$35)</f>
        <v>0.20649080691613042</v>
      </c>
      <c r="P235" s="104">
        <f t="shared" si="30"/>
        <v>1.7788289985029709E-2</v>
      </c>
      <c r="Q235" s="104">
        <f t="shared" si="31"/>
        <v>1.2295620737819424E-2</v>
      </c>
      <c r="R235" s="104">
        <f t="shared" si="32"/>
        <v>-4.2754733213197893E-2</v>
      </c>
      <c r="S235" s="104">
        <f t="shared" si="33"/>
        <v>-2.475553454738505E-2</v>
      </c>
      <c r="T235" s="104">
        <f t="shared" si="34"/>
        <v>-1.2459913809565626E-2</v>
      </c>
      <c r="U235" s="104">
        <f t="shared" si="35"/>
        <v>-4.2543824532414759E-2</v>
      </c>
      <c r="V235" s="104">
        <f t="shared" si="36"/>
        <v>-1.2982124789095217E-2</v>
      </c>
      <c r="W235" s="104">
        <f t="shared" si="37"/>
        <v>4.806165195934492E-3</v>
      </c>
      <c r="X235" s="104">
        <f t="shared" si="38"/>
        <v>2.9544403273772196E-2</v>
      </c>
      <c r="Y235" s="105">
        <f t="shared" si="39"/>
        <v>-6.0543023198227602E-2</v>
      </c>
    </row>
    <row r="236" spans="1:25" x14ac:dyDescent="0.25">
      <c r="A236" s="99">
        <v>44763</v>
      </c>
      <c r="B236" s="100">
        <v>18.57</v>
      </c>
      <c r="C236" s="101">
        <f>myParidad('Flujo de Fondos'!$B$5,A236,B236,'Flujo de Fondos'!$B$7,'Flujo de Fondos'!$B$6)</f>
        <v>0.1856389680105171</v>
      </c>
      <c r="D236" s="100">
        <v>19.100000000000001</v>
      </c>
      <c r="E236" s="102">
        <f>myParidad('Flujo de Fondos'!$H$5,$A236,D236,'Flujo de Fondos'!$H$7,'Flujo de Fondos'!$H$6)</f>
        <v>0.19093722611744085</v>
      </c>
      <c r="F236" s="100">
        <v>17.57</v>
      </c>
      <c r="G236" s="101">
        <f>myParidad('Flujo de Fondos'!$N$5,$A236,F236,'Flujo de Fondos'!$N$7,'Flujo de Fondos'!$N$6)</f>
        <v>0.16650785408282487</v>
      </c>
      <c r="H236" s="103">
        <v>19.47</v>
      </c>
      <c r="I236" s="101">
        <f>myParidad('Flujo de Fondos'!$T$5,$A236,H236,'Flujo de Fondos'!$T$7,'Flujo de Fondos'!$T$6)</f>
        <v>0.19469199895894687</v>
      </c>
      <c r="J236" s="103">
        <v>18.25</v>
      </c>
      <c r="K236" s="101">
        <f>myParidad('Flujo de Fondos'!$B$34,$A236,J236,'Flujo de Fondos'!$B$36,'Flujo de Fondos'!$B$35)</f>
        <v>0.18243252495652293</v>
      </c>
      <c r="L236" s="100">
        <v>22.95</v>
      </c>
      <c r="M236" s="101">
        <f>myParidad('Flujo de Fondos'!$H$34,'Paridad usd'!$A236,'Paridad usd'!L236,'Flujo de Fondos'!$H$36,'Flujo de Fondos'!$H$35)</f>
        <v>0.22949056888073091</v>
      </c>
      <c r="N236" s="103">
        <v>20.97</v>
      </c>
      <c r="O236" s="101">
        <f>myParidad('Flujo de Fondos'!$N$34,$A236,N236,'Flujo de Fondos'!$N$36,'Flujo de Fondos'!$N$35)</f>
        <v>0.20969138254592276</v>
      </c>
      <c r="P236" s="104">
        <f t="shared" si="30"/>
        <v>1.9131113927692234E-2</v>
      </c>
      <c r="Q236" s="104">
        <f t="shared" si="31"/>
        <v>5.2982581069237478E-3</v>
      </c>
      <c r="R236" s="104">
        <f t="shared" si="32"/>
        <v>-4.3851600870213808E-2</v>
      </c>
      <c r="S236" s="104">
        <f t="shared" si="33"/>
        <v>-2.4052414535405658E-2</v>
      </c>
      <c r="T236" s="104">
        <f t="shared" si="34"/>
        <v>-1.8754156428481911E-2</v>
      </c>
      <c r="U236" s="104">
        <f t="shared" si="35"/>
        <v>-4.3183528463097892E-2</v>
      </c>
      <c r="V236" s="104">
        <f t="shared" si="36"/>
        <v>-1.592467087369806E-2</v>
      </c>
      <c r="W236" s="104">
        <f t="shared" si="37"/>
        <v>3.2064430539941735E-3</v>
      </c>
      <c r="X236" s="104">
        <f t="shared" si="38"/>
        <v>2.8184144876122003E-2</v>
      </c>
      <c r="Y236" s="105">
        <f t="shared" si="39"/>
        <v>-6.2982714797906042E-2</v>
      </c>
    </row>
    <row r="237" spans="1:25" x14ac:dyDescent="0.25">
      <c r="A237" s="99">
        <v>44762</v>
      </c>
      <c r="B237" s="100">
        <v>19</v>
      </c>
      <c r="C237" s="101">
        <f>myParidad('Flujo de Fondos'!$B$5,A237,B237,'Flujo de Fondos'!$B$7,'Flujo de Fondos'!$B$6)</f>
        <v>0.1899427569773493</v>
      </c>
      <c r="D237" s="100">
        <v>19.899999999999999</v>
      </c>
      <c r="E237" s="102">
        <f>myParidad('Flujo de Fondos'!$H$5,$A237,D237,'Flujo de Fondos'!$H$7,'Flujo de Fondos'!$H$6)</f>
        <v>0.19894004546575003</v>
      </c>
      <c r="F237" s="100">
        <v>18.05</v>
      </c>
      <c r="G237" s="101">
        <f>myParidad('Flujo de Fondos'!$N$5,$A237,F237,'Flujo de Fondos'!$N$7,'Flujo de Fondos'!$N$6)</f>
        <v>0.17105895182333927</v>
      </c>
      <c r="H237" s="103">
        <v>20.350000000000001</v>
      </c>
      <c r="I237" s="101">
        <f>myParidad('Flujo de Fondos'!$T$5,$A237,H237,'Flujo de Fondos'!$T$7,'Flujo de Fondos'!$T$6)</f>
        <v>0.20349233419289001</v>
      </c>
      <c r="J237" s="103">
        <v>18</v>
      </c>
      <c r="K237" s="101">
        <f>myParidad('Flujo de Fondos'!$B$34,$A237,J237,'Flujo de Fondos'!$B$36,'Flujo de Fondos'!$B$35)</f>
        <v>0.17993899328652271</v>
      </c>
      <c r="L237" s="100">
        <v>22.95</v>
      </c>
      <c r="M237" s="101">
        <f>myParidad('Flujo de Fondos'!$H$34,'Paridad usd'!$A237,'Paridad usd'!L237,'Flujo de Fondos'!$H$36,'Flujo de Fondos'!$H$35)</f>
        <v>0.22949135477773097</v>
      </c>
      <c r="N237" s="103">
        <v>21.9</v>
      </c>
      <c r="O237" s="101">
        <f>myParidad('Flujo de Fondos'!$N$34,$A237,N237,'Flujo de Fondos'!$N$36,'Flujo de Fondos'!$N$35)</f>
        <v>0.21899175031077595</v>
      </c>
      <c r="P237" s="104">
        <f t="shared" si="30"/>
        <v>1.888380515401003E-2</v>
      </c>
      <c r="Q237" s="104">
        <f t="shared" si="31"/>
        <v>8.9972884884007287E-3</v>
      </c>
      <c r="R237" s="104">
        <f t="shared" si="32"/>
        <v>-3.9548597800381668E-2</v>
      </c>
      <c r="S237" s="104">
        <f t="shared" si="33"/>
        <v>-2.9048993333426643E-2</v>
      </c>
      <c r="T237" s="104">
        <f t="shared" si="34"/>
        <v>-2.0051704845025914E-2</v>
      </c>
      <c r="U237" s="104">
        <f t="shared" si="35"/>
        <v>-4.7932798487436673E-2</v>
      </c>
      <c r="V237" s="104">
        <f t="shared" si="36"/>
        <v>-8.8800414631834412E-3</v>
      </c>
      <c r="W237" s="104">
        <f t="shared" si="37"/>
        <v>1.0003763690826589E-2</v>
      </c>
      <c r="X237" s="104">
        <f t="shared" si="38"/>
        <v>3.2433382369550734E-2</v>
      </c>
      <c r="Y237" s="105">
        <f t="shared" si="39"/>
        <v>-5.8432402954391699E-2</v>
      </c>
    </row>
    <row r="238" spans="1:25" x14ac:dyDescent="0.25">
      <c r="A238" s="99">
        <v>44761</v>
      </c>
      <c r="B238" s="100">
        <v>19</v>
      </c>
      <c r="C238" s="101">
        <f>myParidad('Flujo de Fondos'!$B$5,A238,B238,'Flujo de Fondos'!$B$7,'Flujo de Fondos'!$B$6)</f>
        <v>0.18994795946316079</v>
      </c>
      <c r="D238" s="100">
        <v>20.04</v>
      </c>
      <c r="E238" s="102">
        <f>myParidad('Flujo de Fondos'!$H$5,$A238,D238,'Flujo de Fondos'!$H$7,'Flujo de Fondos'!$H$6)</f>
        <v>0.20034511092851273</v>
      </c>
      <c r="F238" s="100">
        <v>18.170000000000002</v>
      </c>
      <c r="G238" s="101">
        <f>myParidad('Flujo de Fondos'!$N$5,$A238,F238,'Flujo de Fondos'!$N$7,'Flujo de Fondos'!$N$6)</f>
        <v>0.17219842135327415</v>
      </c>
      <c r="H238" s="103">
        <v>20.399999999999999</v>
      </c>
      <c r="I238" s="101">
        <f>myParidad('Flujo de Fondos'!$T$5,$A238,H238,'Flujo de Fondos'!$T$7,'Flujo de Fondos'!$T$6)</f>
        <v>0.20399301393787883</v>
      </c>
      <c r="J238" s="103">
        <v>18.350000000000001</v>
      </c>
      <c r="K238" s="101">
        <f>myParidad('Flujo de Fondos'!$B$34,$A238,J238,'Flujo de Fondos'!$B$36,'Flujo de Fondos'!$B$35)</f>
        <v>0.18344345920777844</v>
      </c>
      <c r="L238" s="100">
        <v>22.9</v>
      </c>
      <c r="M238" s="101">
        <f>myParidad('Flujo de Fondos'!$H$34,'Paridad usd'!$A238,'Paridad usd'!L238,'Flujo de Fondos'!$H$36,'Flujo de Fondos'!$H$35)</f>
        <v>0.22899215780281496</v>
      </c>
      <c r="N238" s="103">
        <v>22</v>
      </c>
      <c r="O238" s="101">
        <f>myParidad('Flujo de Fondos'!$N$34,$A238,N238,'Flujo de Fondos'!$N$36,'Flujo de Fondos'!$N$35)</f>
        <v>0.21999246601143796</v>
      </c>
      <c r="P238" s="104">
        <f t="shared" si="30"/>
        <v>1.7749538109886637E-2</v>
      </c>
      <c r="Q238" s="104">
        <f t="shared" si="31"/>
        <v>1.0397151465351945E-2</v>
      </c>
      <c r="R238" s="104">
        <f t="shared" si="32"/>
        <v>-3.9044198339654168E-2</v>
      </c>
      <c r="S238" s="104">
        <f t="shared" si="33"/>
        <v>-3.0044506548277172E-2</v>
      </c>
      <c r="T238" s="104">
        <f t="shared" si="34"/>
        <v>-1.9647355082925227E-2</v>
      </c>
      <c r="U238" s="104">
        <f t="shared" si="35"/>
        <v>-4.7794044658163809E-2</v>
      </c>
      <c r="V238" s="104">
        <f t="shared" si="36"/>
        <v>-1.1245037854504286E-2</v>
      </c>
      <c r="W238" s="104">
        <f t="shared" si="37"/>
        <v>6.5045002553823505E-3</v>
      </c>
      <c r="X238" s="104">
        <f t="shared" si="38"/>
        <v>3.1794592584604681E-2</v>
      </c>
      <c r="Y238" s="105">
        <f t="shared" si="39"/>
        <v>-5.6793736449540805E-2</v>
      </c>
    </row>
    <row r="239" spans="1:25" x14ac:dyDescent="0.25">
      <c r="A239" s="99">
        <v>44760</v>
      </c>
      <c r="B239" s="100">
        <v>19.190000000000001</v>
      </c>
      <c r="C239" s="101">
        <f>myParidad('Flujo de Fondos'!$B$5,A239,B239,'Flujo de Fondos'!$B$7,'Flujo de Fondos'!$B$6)</f>
        <v>0.1918526938563094</v>
      </c>
      <c r="D239" s="100">
        <v>20</v>
      </c>
      <c r="E239" s="102">
        <f>myParidad('Flujo de Fondos'!$H$5,$A239,D239,'Flujo de Fondos'!$H$7,'Flujo de Fondos'!$H$6)</f>
        <v>0.19995069708838917</v>
      </c>
      <c r="F239" s="100">
        <v>17.809999999999999</v>
      </c>
      <c r="G239" s="101">
        <f>myParidad('Flujo de Fondos'!$N$5,$A239,F239,'Flujo de Fondos'!$N$7,'Flujo de Fondos'!$N$6)</f>
        <v>0.16878886624170744</v>
      </c>
      <c r="H239" s="103">
        <v>19.97</v>
      </c>
      <c r="I239" s="101">
        <f>myParidad('Flujo de Fondos'!$T$5,$A239,H239,'Flujo de Fondos'!$T$7,'Flujo de Fondos'!$T$6)</f>
        <v>0.19969384505272098</v>
      </c>
      <c r="J239" s="103">
        <v>17.95</v>
      </c>
      <c r="K239" s="101">
        <f>myParidad('Flujo de Fondos'!$B$34,$A239,J239,'Flujo de Fondos'!$B$36,'Flujo de Fondos'!$B$35)</f>
        <v>0.17945022100033894</v>
      </c>
      <c r="L239" s="100">
        <v>22.55</v>
      </c>
      <c r="M239" s="101">
        <f>myParidad('Flujo de Fondos'!$H$34,'Paridad usd'!$A239,'Paridad usd'!L239,'Flujo de Fondos'!$H$36,'Flujo de Fondos'!$H$35)</f>
        <v>0.22549304987175053</v>
      </c>
      <c r="N239" s="103">
        <v>22</v>
      </c>
      <c r="O239" s="101">
        <f>myParidad('Flujo de Fondos'!$N$34,$A239,N239,'Flujo de Fondos'!$N$36,'Flujo de Fondos'!$N$35)</f>
        <v>0.2199932193870737</v>
      </c>
      <c r="P239" s="104">
        <f t="shared" si="30"/>
        <v>2.3063827614601962E-2</v>
      </c>
      <c r="Q239" s="104">
        <f t="shared" si="31"/>
        <v>8.0980032320797646E-3</v>
      </c>
      <c r="R239" s="104">
        <f t="shared" si="32"/>
        <v>-3.3640356015441131E-2</v>
      </c>
      <c r="S239" s="104">
        <f t="shared" si="33"/>
        <v>-2.8140525530764293E-2</v>
      </c>
      <c r="T239" s="104">
        <f t="shared" si="34"/>
        <v>-2.0042522298684529E-2</v>
      </c>
      <c r="U239" s="104">
        <f t="shared" si="35"/>
        <v>-5.1204353145366255E-2</v>
      </c>
      <c r="V239" s="104">
        <f t="shared" si="36"/>
        <v>-1.0661354758631503E-2</v>
      </c>
      <c r="W239" s="104">
        <f t="shared" si="37"/>
        <v>1.2402472855970459E-2</v>
      </c>
      <c r="X239" s="104">
        <f t="shared" si="38"/>
        <v>3.0904978811013534E-2</v>
      </c>
      <c r="Y239" s="105">
        <f t="shared" si="39"/>
        <v>-5.6704183630043092E-2</v>
      </c>
    </row>
    <row r="240" spans="1:25" x14ac:dyDescent="0.25">
      <c r="A240" s="99">
        <v>44757</v>
      </c>
      <c r="B240" s="100">
        <v>19.3</v>
      </c>
      <c r="C240" s="101">
        <f>myParidad('Flujo de Fondos'!$B$5,A240,B240,'Flujo de Fondos'!$B$7,'Flujo de Fondos'!$B$6)</f>
        <v>0.19296827918698298</v>
      </c>
      <c r="D240" s="100">
        <v>20.100000000000001</v>
      </c>
      <c r="E240" s="102">
        <f>myParidad('Flujo de Fondos'!$H$5,$A240,D240,'Flujo de Fondos'!$H$7,'Flujo de Fondos'!$H$6)</f>
        <v>0.20096696433462993</v>
      </c>
      <c r="F240" s="100">
        <v>17.72</v>
      </c>
      <c r="G240" s="101">
        <f>myParidad('Flujo de Fondos'!$N$5,$A240,F240,'Flujo de Fondos'!$N$7,'Flujo de Fondos'!$N$6)</f>
        <v>0.16794245949314499</v>
      </c>
      <c r="H240" s="103">
        <v>20.12</v>
      </c>
      <c r="I240" s="101">
        <f>myParidad('Flujo de Fondos'!$T$5,$A240,H240,'Flujo de Fondos'!$T$7,'Flujo de Fondos'!$T$6)</f>
        <v>0.20119586583837321</v>
      </c>
      <c r="J240" s="103">
        <v>18.079999999999998</v>
      </c>
      <c r="K240" s="101">
        <f>myParidad('Flujo de Fondos'!$B$34,$A240,J240,'Flujo de Fondos'!$B$36,'Flujo de Fondos'!$B$35)</f>
        <v>0.18076657056571729</v>
      </c>
      <c r="L240" s="100">
        <v>22.7</v>
      </c>
      <c r="M240" s="101">
        <f>myParidad('Flujo de Fondos'!$H$34,'Paridad usd'!$A240,'Paridad usd'!L240,'Flujo de Fondos'!$H$36,'Flujo de Fondos'!$H$35)</f>
        <v>0.22699533571227987</v>
      </c>
      <c r="N240" s="103">
        <v>22.25</v>
      </c>
      <c r="O240" s="101">
        <f>myParidad('Flujo de Fondos'!$N$34,$A240,N240,'Flujo de Fondos'!$N$36,'Flujo de Fondos'!$N$35)</f>
        <v>0.22249542817613338</v>
      </c>
      <c r="P240" s="104">
        <f t="shared" si="30"/>
        <v>2.5025819693837992E-2</v>
      </c>
      <c r="Q240" s="104">
        <f t="shared" si="31"/>
        <v>7.9986851476469556E-3</v>
      </c>
      <c r="R240" s="104">
        <f t="shared" si="32"/>
        <v>-3.4027056525296889E-2</v>
      </c>
      <c r="S240" s="104">
        <f t="shared" si="33"/>
        <v>-2.9527148989150404E-2</v>
      </c>
      <c r="T240" s="104">
        <f t="shared" si="34"/>
        <v>-2.1528463841503448E-2</v>
      </c>
      <c r="U240" s="104">
        <f t="shared" si="35"/>
        <v>-5.4552968682988395E-2</v>
      </c>
      <c r="V240" s="104">
        <f t="shared" si="36"/>
        <v>-1.2824111072572308E-2</v>
      </c>
      <c r="W240" s="104">
        <f t="shared" si="37"/>
        <v>1.2201708621265683E-2</v>
      </c>
      <c r="X240" s="104">
        <f t="shared" si="38"/>
        <v>3.325340634522822E-2</v>
      </c>
      <c r="Y240" s="105">
        <f t="shared" si="39"/>
        <v>-5.9052876219134881E-2</v>
      </c>
    </row>
    <row r="241" spans="1:25" ht="15.75" customHeight="1" x14ac:dyDescent="0.25">
      <c r="A241" s="99">
        <v>44756</v>
      </c>
      <c r="B241" s="100">
        <v>19.079999999999998</v>
      </c>
      <c r="C241" s="101">
        <f>myParidad('Flujo de Fondos'!$B$5,A241,B241,'Flujo de Fondos'!$B$7,'Flujo de Fondos'!$B$6)</f>
        <v>0.19077386659361731</v>
      </c>
      <c r="D241" s="100">
        <v>20.45</v>
      </c>
      <c r="E241" s="102">
        <f>myParidad('Flujo de Fondos'!$H$5,$A241,D241,'Flujo de Fondos'!$H$7,'Flujo de Fondos'!$H$6)</f>
        <v>0.2044719901383372</v>
      </c>
      <c r="F241" s="100">
        <v>17.93</v>
      </c>
      <c r="G241" s="101">
        <f>myParidad('Flujo de Fondos'!$N$5,$A241,F241,'Flujo de Fondos'!$N$7,'Flujo de Fondos'!$N$6)</f>
        <v>0.16993495449411214</v>
      </c>
      <c r="H241" s="103">
        <v>20.48</v>
      </c>
      <c r="I241" s="101">
        <f>myParidad('Flujo de Fondos'!$T$5,$A241,H241,'Flujo de Fondos'!$T$7,'Flujo de Fondos'!$T$6)</f>
        <v>0.20479649321073271</v>
      </c>
      <c r="J241" s="103">
        <v>18.05</v>
      </c>
      <c r="K241" s="101">
        <f>myParidad('Flujo de Fondos'!$B$34,$A241,J241,'Flujo de Fondos'!$B$36,'Flujo de Fondos'!$B$35)</f>
        <v>0.18047218750535021</v>
      </c>
      <c r="L241" s="100">
        <v>23.08</v>
      </c>
      <c r="M241" s="101">
        <f>myParidad('Flujo de Fondos'!$H$34,'Paridad usd'!$A241,'Paridad usd'!L241,'Flujo de Fondos'!$H$36,'Flujo de Fondos'!$H$35)</f>
        <v>0.23079604801287648</v>
      </c>
      <c r="N241" s="103">
        <v>22.7</v>
      </c>
      <c r="O241" s="101">
        <f>myParidad('Flujo de Fondos'!$N$34,$A241,N241,'Flujo de Fondos'!$N$36,'Flujo de Fondos'!$N$35)</f>
        <v>0.22699611308025547</v>
      </c>
      <c r="P241" s="104">
        <f t="shared" si="30"/>
        <v>2.0838912099505169E-2</v>
      </c>
      <c r="Q241" s="104">
        <f t="shared" si="31"/>
        <v>1.3698123544719887E-2</v>
      </c>
      <c r="R241" s="104">
        <f t="shared" si="32"/>
        <v>-4.0022181419259173E-2</v>
      </c>
      <c r="S241" s="104">
        <f t="shared" si="33"/>
        <v>-3.622224648663816E-2</v>
      </c>
      <c r="T241" s="104">
        <f t="shared" si="34"/>
        <v>-2.2524122941918273E-2</v>
      </c>
      <c r="U241" s="104">
        <f t="shared" si="35"/>
        <v>-5.7061158586143329E-2</v>
      </c>
      <c r="V241" s="104">
        <f t="shared" si="36"/>
        <v>-1.0537233011238073E-2</v>
      </c>
      <c r="W241" s="104">
        <f t="shared" si="37"/>
        <v>1.0301679088267096E-2</v>
      </c>
      <c r="X241" s="104">
        <f t="shared" si="38"/>
        <v>3.4861538716620566E-2</v>
      </c>
      <c r="Y241" s="105">
        <f t="shared" si="39"/>
        <v>-6.0861093518764342E-2</v>
      </c>
    </row>
    <row r="242" spans="1:25" x14ac:dyDescent="0.25">
      <c r="A242" s="99">
        <v>44755</v>
      </c>
      <c r="B242" s="100">
        <v>19.32</v>
      </c>
      <c r="C242" s="101">
        <f>myParidad('Flujo de Fondos'!$B$5,A242,B242,'Flujo de Fondos'!$B$7,'Flujo de Fondos'!$B$6)</f>
        <v>0.19317882971729125</v>
      </c>
      <c r="D242" s="100">
        <v>20.7</v>
      </c>
      <c r="E242" s="102">
        <f>myParidad('Flujo de Fondos'!$H$5,$A242,D242,'Flujo de Fondos'!$H$7,'Flujo de Fondos'!$H$6)</f>
        <v>0.20697731755424062</v>
      </c>
      <c r="F242" s="100">
        <v>18.07</v>
      </c>
      <c r="G242" s="101">
        <f>myParidad('Flujo de Fondos'!$N$5,$A242,F242,'Flujo de Fondos'!$N$7,'Flujo de Fondos'!$N$6)</f>
        <v>0.17126405442600814</v>
      </c>
      <c r="H242" s="103">
        <v>20.71</v>
      </c>
      <c r="I242" s="101">
        <f>myParidad('Flujo de Fondos'!$T$5,$A242,H242,'Flujo de Fondos'!$T$7,'Flujo de Fondos'!$T$6)</f>
        <v>0.20709716305256093</v>
      </c>
      <c r="J242" s="103">
        <v>18.25</v>
      </c>
      <c r="K242" s="101">
        <f>myParidad('Flujo de Fondos'!$B$34,$A242,J242,'Flujo de Fondos'!$B$36,'Flujo de Fondos'!$B$35)</f>
        <v>0.18247750277363065</v>
      </c>
      <c r="L242" s="100">
        <v>23.25</v>
      </c>
      <c r="M242" s="101">
        <f>myParidad('Flujo de Fondos'!$H$34,'Paridad usd'!$A242,'Paridad usd'!L242,'Flujo de Fondos'!$H$36,'Flujo de Fondos'!$H$35)</f>
        <v>0.23249681511212175</v>
      </c>
      <c r="N242" s="103">
        <v>22.8</v>
      </c>
      <c r="O242" s="101">
        <f>myParidad('Flujo de Fondos'!$N$34,$A242,N242,'Flujo de Fondos'!$N$36,'Flujo de Fondos'!$N$35)</f>
        <v>0.22799687675511296</v>
      </c>
      <c r="P242" s="104">
        <f t="shared" si="30"/>
        <v>2.1914775291283106E-2</v>
      </c>
      <c r="Q242" s="104">
        <f t="shared" si="31"/>
        <v>1.3798487836949369E-2</v>
      </c>
      <c r="R242" s="104">
        <f t="shared" si="32"/>
        <v>-3.9317985394830501E-2</v>
      </c>
      <c r="S242" s="104">
        <f t="shared" si="33"/>
        <v>-3.4818047037821709E-2</v>
      </c>
      <c r="T242" s="104">
        <f t="shared" si="34"/>
        <v>-2.101955920087234E-2</v>
      </c>
      <c r="U242" s="104">
        <f t="shared" si="35"/>
        <v>-5.6732822329104815E-2</v>
      </c>
      <c r="V242" s="104">
        <f t="shared" si="36"/>
        <v>-1.1213448347622501E-2</v>
      </c>
      <c r="W242" s="104">
        <f t="shared" si="37"/>
        <v>1.0701326943660605E-2</v>
      </c>
      <c r="X242" s="104">
        <f t="shared" si="38"/>
        <v>3.5833108626552784E-2</v>
      </c>
      <c r="Y242" s="105">
        <f t="shared" si="39"/>
        <v>-6.1232760686113608E-2</v>
      </c>
    </row>
    <row r="243" spans="1:25" x14ac:dyDescent="0.25">
      <c r="A243" s="99">
        <v>44754</v>
      </c>
      <c r="B243" s="100">
        <v>19.46</v>
      </c>
      <c r="C243" s="101">
        <f>myParidad('Flujo de Fondos'!$B$5,A243,B243,'Flujo de Fondos'!$B$7,'Flujo de Fondos'!$B$6)</f>
        <v>0.19458400679396215</v>
      </c>
      <c r="D243" s="100">
        <v>20.6</v>
      </c>
      <c r="E243" s="102">
        <f>myParidad('Flujo de Fondos'!$H$5,$A243,D243,'Flujo de Fondos'!$H$7,'Flujo de Fondos'!$H$6)</f>
        <v>0.20598306988466702</v>
      </c>
      <c r="F243" s="100">
        <v>17.920000000000002</v>
      </c>
      <c r="G243" s="101">
        <f>myParidad('Flujo de Fondos'!$N$5,$A243,F243,'Flujo de Fondos'!$N$7,'Flujo de Fondos'!$N$6)</f>
        <v>0.16984458783968009</v>
      </c>
      <c r="H243" s="103">
        <v>20.58</v>
      </c>
      <c r="I243" s="101">
        <f>myParidad('Flujo de Fondos'!$T$5,$A243,H243,'Flujo de Fondos'!$T$7,'Flujo de Fondos'!$T$6)</f>
        <v>0.20579788563816123</v>
      </c>
      <c r="J243" s="103">
        <v>18</v>
      </c>
      <c r="K243" s="101">
        <f>myParidad('Flujo de Fondos'!$B$34,$A243,J243,'Flujo de Fondos'!$B$36,'Flujo de Fondos'!$B$35)</f>
        <v>0.17998335770322607</v>
      </c>
      <c r="L243" s="100">
        <v>23.25</v>
      </c>
      <c r="M243" s="101">
        <f>myParidad('Flujo de Fondos'!$H$34,'Paridad usd'!$A243,'Paridad usd'!L243,'Flujo de Fondos'!$H$36,'Flujo de Fondos'!$H$35)</f>
        <v>0.23249761132591104</v>
      </c>
      <c r="N243" s="103">
        <v>23</v>
      </c>
      <c r="O243" s="101">
        <f>myParidad('Flujo de Fondos'!$N$34,$A243,N243,'Flujo de Fondos'!$N$36,'Flujo de Fondos'!$N$35)</f>
        <v>0.22999763701057865</v>
      </c>
      <c r="P243" s="104">
        <f t="shared" si="30"/>
        <v>2.4739418954282055E-2</v>
      </c>
      <c r="Q243" s="104">
        <f t="shared" si="31"/>
        <v>1.1399063090704875E-2</v>
      </c>
      <c r="R243" s="104">
        <f t="shared" si="32"/>
        <v>-3.7913604531948891E-2</v>
      </c>
      <c r="S243" s="104">
        <f t="shared" si="33"/>
        <v>-3.5413630216616504E-2</v>
      </c>
      <c r="T243" s="104">
        <f t="shared" si="34"/>
        <v>-2.4014567125911629E-2</v>
      </c>
      <c r="U243" s="104">
        <f t="shared" si="35"/>
        <v>-6.0153049170898559E-2</v>
      </c>
      <c r="V243" s="104">
        <f t="shared" si="36"/>
        <v>-1.0138769863545977E-2</v>
      </c>
      <c r="W243" s="104">
        <f t="shared" si="37"/>
        <v>1.4600649090736079E-2</v>
      </c>
      <c r="X243" s="104">
        <f t="shared" si="38"/>
        <v>3.5953297798481137E-2</v>
      </c>
      <c r="Y243" s="105">
        <f t="shared" si="39"/>
        <v>-6.2653023486230947E-2</v>
      </c>
    </row>
    <row r="244" spans="1:25" x14ac:dyDescent="0.25">
      <c r="A244" s="99">
        <v>44753</v>
      </c>
      <c r="B244" s="100">
        <v>19.600000000000001</v>
      </c>
      <c r="C244" s="101">
        <f>myParidad('Flujo de Fondos'!$B$5,A244,B244,'Flujo de Fondos'!$B$7,'Flujo de Fondos'!$B$6)</f>
        <v>0.19598926086241852</v>
      </c>
      <c r="D244" s="100">
        <v>21.5</v>
      </c>
      <c r="E244" s="102">
        <f>myParidad('Flujo de Fondos'!$H$5,$A244,D244,'Flujo de Fondos'!$H$7,'Flujo de Fondos'!$H$6)</f>
        <v>0.2149882198235713</v>
      </c>
      <c r="F244" s="100">
        <v>18.46</v>
      </c>
      <c r="G244" s="101">
        <f>myParidad('Flujo de Fondos'!$N$5,$A244,F244,'Flujo de Fondos'!$N$7,'Flujo de Fondos'!$N$6)</f>
        <v>0.17496494417034536</v>
      </c>
      <c r="H244" s="103">
        <v>20.93</v>
      </c>
      <c r="I244" s="101">
        <f>myParidad('Flujo de Fondos'!$T$5,$A244,H244,'Flujo de Fondos'!$T$7,'Flujo de Fondos'!$T$6)</f>
        <v>0.20929856644817502</v>
      </c>
      <c r="J244" s="103">
        <v>18.649999999999999</v>
      </c>
      <c r="K244" s="101">
        <f>myParidad('Flujo de Fondos'!$B$34,$A244,J244,'Flujo de Fondos'!$B$36,'Flujo de Fondos'!$B$35)</f>
        <v>0.18648850413330684</v>
      </c>
      <c r="L244" s="100">
        <v>23.6</v>
      </c>
      <c r="M244" s="101">
        <f>myParidad('Flujo de Fondos'!$H$34,'Paridad usd'!$A244,'Paridad usd'!L244,'Flujo de Fondos'!$H$36,'Flujo de Fondos'!$H$35)</f>
        <v>0.23599838357271527</v>
      </c>
      <c r="N244" s="103">
        <v>23.51</v>
      </c>
      <c r="O244" s="101">
        <f>myParidad('Flujo de Fondos'!$N$34,$A244,N244,'Flujo de Fondos'!$N$36,'Flujo de Fondos'!$N$35)</f>
        <v>0.2350983897370566</v>
      </c>
      <c r="P244" s="104">
        <f t="shared" si="30"/>
        <v>2.1024316692073164E-2</v>
      </c>
      <c r="Q244" s="104">
        <f t="shared" si="31"/>
        <v>1.8998958961152779E-2</v>
      </c>
      <c r="R244" s="104">
        <f t="shared" si="32"/>
        <v>-4.0009122710296746E-2</v>
      </c>
      <c r="S244" s="104">
        <f t="shared" si="33"/>
        <v>-3.9109128874638077E-2</v>
      </c>
      <c r="T244" s="104">
        <f t="shared" si="34"/>
        <v>-2.0110169913485298E-2</v>
      </c>
      <c r="U244" s="104">
        <f t="shared" si="35"/>
        <v>-6.0133445566711241E-2</v>
      </c>
      <c r="V244" s="104">
        <f t="shared" si="36"/>
        <v>-1.1523559962961477E-2</v>
      </c>
      <c r="W244" s="104">
        <f t="shared" si="37"/>
        <v>9.5007567291116868E-3</v>
      </c>
      <c r="X244" s="104">
        <f t="shared" si="38"/>
        <v>3.4333622277829656E-2</v>
      </c>
      <c r="Y244" s="105">
        <f t="shared" si="39"/>
        <v>-6.103343940236991E-2</v>
      </c>
    </row>
    <row r="245" spans="1:25" x14ac:dyDescent="0.25">
      <c r="A245" s="89">
        <v>44750</v>
      </c>
      <c r="B245" s="90">
        <v>19.61</v>
      </c>
      <c r="C245" s="91">
        <v>0.1951376772082879</v>
      </c>
      <c r="D245" s="90">
        <v>21.6</v>
      </c>
      <c r="E245" s="92">
        <v>0.21494002181025079</v>
      </c>
      <c r="F245" s="90">
        <v>18.510000000000002</v>
      </c>
      <c r="G245" s="91">
        <v>0.18464471166985519</v>
      </c>
      <c r="H245" s="93">
        <v>21</v>
      </c>
      <c r="I245" s="91">
        <v>0.20987062769525641</v>
      </c>
      <c r="J245" s="93">
        <v>18.600000000000001</v>
      </c>
      <c r="K245" s="91">
        <v>0.1849737756283632</v>
      </c>
      <c r="L245" s="90">
        <v>23.61</v>
      </c>
      <c r="M245" s="91">
        <v>0.23595454856595249</v>
      </c>
      <c r="N245" s="93">
        <v>23.9</v>
      </c>
      <c r="O245" s="91">
        <v>0.23885276199602981</v>
      </c>
      <c r="P245" s="94">
        <f t="shared" si="30"/>
        <v>1.0492965538432708E-2</v>
      </c>
      <c r="Q245" s="94">
        <f t="shared" si="31"/>
        <v>1.9802344601962896E-2</v>
      </c>
      <c r="R245" s="94">
        <f t="shared" si="32"/>
        <v>-4.0816871357664597E-2</v>
      </c>
      <c r="S245" s="94">
        <f t="shared" si="33"/>
        <v>-4.3715084787741915E-2</v>
      </c>
      <c r="T245" s="94">
        <f t="shared" si="34"/>
        <v>-2.3912740185779019E-2</v>
      </c>
      <c r="U245" s="94">
        <f t="shared" si="35"/>
        <v>-5.4208050326174623E-2</v>
      </c>
      <c r="V245" s="94">
        <f t="shared" si="36"/>
        <v>-3.2906395850801351E-4</v>
      </c>
      <c r="W245" s="94">
        <f t="shared" si="37"/>
        <v>1.0163901579924695E-2</v>
      </c>
      <c r="X245" s="94">
        <f t="shared" si="38"/>
        <v>2.5225916025401224E-2</v>
      </c>
      <c r="Y245" s="95">
        <f t="shared" si="39"/>
        <v>-5.1309836896097305E-2</v>
      </c>
    </row>
    <row r="246" spans="1:25" x14ac:dyDescent="0.25">
      <c r="A246" s="89">
        <v>44749</v>
      </c>
      <c r="B246" s="90">
        <v>20.3</v>
      </c>
      <c r="C246" s="91">
        <v>0.2020093241364268</v>
      </c>
      <c r="D246" s="90">
        <v>21.52</v>
      </c>
      <c r="E246" s="92">
        <v>0.21414978598107909</v>
      </c>
      <c r="F246" s="90">
        <v>18.98</v>
      </c>
      <c r="G246" s="91">
        <v>0.1893357383948947</v>
      </c>
      <c r="H246" s="93">
        <v>21.05</v>
      </c>
      <c r="I246" s="91">
        <v>0.21037103967088669</v>
      </c>
      <c r="J246" s="93">
        <v>18.850000000000001</v>
      </c>
      <c r="K246" s="91">
        <v>0.18746572846385179</v>
      </c>
      <c r="L246" s="90">
        <v>24</v>
      </c>
      <c r="M246" s="91">
        <v>0.23985296684566651</v>
      </c>
      <c r="N246" s="93">
        <v>24</v>
      </c>
      <c r="O246" s="91">
        <v>0.23985296684566651</v>
      </c>
      <c r="P246" s="94">
        <f t="shared" si="30"/>
        <v>1.2673585741532101E-2</v>
      </c>
      <c r="Q246" s="94">
        <f t="shared" si="31"/>
        <v>1.2140461844652284E-2</v>
      </c>
      <c r="R246" s="94">
        <f t="shared" si="32"/>
        <v>-3.7843642709239705E-2</v>
      </c>
      <c r="S246" s="94">
        <f t="shared" si="33"/>
        <v>-3.7843642709239705E-2</v>
      </c>
      <c r="T246" s="94">
        <f t="shared" si="34"/>
        <v>-2.5703180864587422E-2</v>
      </c>
      <c r="U246" s="94">
        <f t="shared" si="35"/>
        <v>-5.0517228450771806E-2</v>
      </c>
      <c r="V246" s="94">
        <f t="shared" si="36"/>
        <v>1.8700099310429152E-3</v>
      </c>
      <c r="W246" s="94">
        <f t="shared" si="37"/>
        <v>1.4543595672575016E-2</v>
      </c>
      <c r="X246" s="94">
        <f t="shared" si="38"/>
        <v>2.1035301275991986E-2</v>
      </c>
      <c r="Y246" s="95">
        <f t="shared" si="39"/>
        <v>-5.0517228450771806E-2</v>
      </c>
    </row>
    <row r="247" spans="1:25" x14ac:dyDescent="0.25">
      <c r="A247" s="89">
        <v>44747</v>
      </c>
      <c r="B247" s="90">
        <v>20.8</v>
      </c>
      <c r="C247" s="91">
        <v>0.2069962101589552</v>
      </c>
      <c r="D247" s="90">
        <v>22.3</v>
      </c>
      <c r="E247" s="92">
        <v>0.22192382146849521</v>
      </c>
      <c r="F247" s="90">
        <v>19.5</v>
      </c>
      <c r="G247" s="91">
        <v>0.19452833540593359</v>
      </c>
      <c r="H247" s="93">
        <v>21.6</v>
      </c>
      <c r="I247" s="91">
        <v>0.2158691478110871</v>
      </c>
      <c r="J247" s="93">
        <v>19.600000000000001</v>
      </c>
      <c r="K247" s="91">
        <v>0.19493652777825091</v>
      </c>
      <c r="L247" s="90">
        <v>25.6</v>
      </c>
      <c r="M247" s="91">
        <v>0.2558449159242514</v>
      </c>
      <c r="N247" s="93">
        <v>26</v>
      </c>
      <c r="O247" s="91">
        <v>0.25984249273556781</v>
      </c>
      <c r="P247" s="94">
        <f t="shared" si="30"/>
        <v>1.2467874753021607E-2</v>
      </c>
      <c r="Q247" s="94">
        <f t="shared" si="31"/>
        <v>1.4927611309540012E-2</v>
      </c>
      <c r="R247" s="94">
        <f t="shared" si="32"/>
        <v>-4.8848705765296208E-2</v>
      </c>
      <c r="S247" s="94">
        <f t="shared" si="33"/>
        <v>-5.2846282576612613E-2</v>
      </c>
      <c r="T247" s="94">
        <f t="shared" si="34"/>
        <v>-3.7918671267072601E-2</v>
      </c>
      <c r="U247" s="94">
        <f t="shared" si="35"/>
        <v>-6.531415732963422E-2</v>
      </c>
      <c r="V247" s="94">
        <f t="shared" si="36"/>
        <v>-4.0819237231731753E-4</v>
      </c>
      <c r="W247" s="94">
        <f t="shared" si="37"/>
        <v>1.205968238070429E-2</v>
      </c>
      <c r="X247" s="94">
        <f t="shared" si="38"/>
        <v>2.1340812405153509E-2</v>
      </c>
      <c r="Y247" s="95">
        <f t="shared" si="39"/>
        <v>-6.1316580518317815E-2</v>
      </c>
    </row>
    <row r="248" spans="1:25" x14ac:dyDescent="0.25">
      <c r="A248" s="89">
        <v>44746</v>
      </c>
      <c r="B248" s="90">
        <v>21.6</v>
      </c>
      <c r="C248" s="91">
        <v>0.21496346384556661</v>
      </c>
      <c r="D248" s="90">
        <v>24</v>
      </c>
      <c r="E248" s="92">
        <v>0.23884829316174061</v>
      </c>
      <c r="F248" s="90">
        <v>20.22</v>
      </c>
      <c r="G248" s="91">
        <v>0.20171367661528369</v>
      </c>
      <c r="H248" s="93">
        <v>22.71</v>
      </c>
      <c r="I248" s="91">
        <v>0.2269632002628553</v>
      </c>
      <c r="J248" s="93">
        <v>20.25</v>
      </c>
      <c r="K248" s="91">
        <v>0.20140743364761021</v>
      </c>
      <c r="L248" s="90">
        <v>26.1</v>
      </c>
      <c r="M248" s="91">
        <v>0.26084277969443082</v>
      </c>
      <c r="N248" s="93">
        <v>26.9</v>
      </c>
      <c r="O248" s="91">
        <v>0.26883796068123322</v>
      </c>
      <c r="P248" s="94">
        <f t="shared" si="30"/>
        <v>1.3249787230282917E-2</v>
      </c>
      <c r="Q248" s="94">
        <f t="shared" si="31"/>
        <v>2.3884829316174E-2</v>
      </c>
      <c r="R248" s="94">
        <f t="shared" si="32"/>
        <v>-4.5879315848864205E-2</v>
      </c>
      <c r="S248" s="94">
        <f t="shared" si="33"/>
        <v>-5.3874496835666613E-2</v>
      </c>
      <c r="T248" s="94">
        <f t="shared" si="34"/>
        <v>-2.9989667519492613E-2</v>
      </c>
      <c r="U248" s="94">
        <f t="shared" si="35"/>
        <v>-6.712428406594953E-2</v>
      </c>
      <c r="V248" s="94">
        <f t="shared" si="36"/>
        <v>3.0624296767348125E-4</v>
      </c>
      <c r="W248" s="94">
        <f t="shared" si="37"/>
        <v>1.3556030197956398E-2</v>
      </c>
      <c r="X248" s="94">
        <f t="shared" si="38"/>
        <v>2.5249523647571603E-2</v>
      </c>
      <c r="Y248" s="95">
        <f t="shared" si="39"/>
        <v>-5.9129103079147122E-2</v>
      </c>
    </row>
    <row r="249" spans="1:25" ht="15.75" customHeight="1" thickBot="1" x14ac:dyDescent="0.3">
      <c r="A249" s="89">
        <v>44743</v>
      </c>
      <c r="B249" s="90">
        <v>22.98</v>
      </c>
      <c r="C249" s="91">
        <v>0.22871594906334361</v>
      </c>
      <c r="D249" s="90">
        <v>24.85</v>
      </c>
      <c r="E249" s="92">
        <v>0.247327734300439</v>
      </c>
      <c r="F249" s="90">
        <v>21.59</v>
      </c>
      <c r="G249" s="91">
        <v>0.21538955625708939</v>
      </c>
      <c r="H249" s="93">
        <v>24.57</v>
      </c>
      <c r="I249" s="91">
        <v>0.24555451735786671</v>
      </c>
      <c r="J249" s="93">
        <v>21.75</v>
      </c>
      <c r="K249" s="91">
        <v>0.21634639950673981</v>
      </c>
      <c r="L249" s="90">
        <v>27.74</v>
      </c>
      <c r="M249" s="91">
        <v>0.27723574731409129</v>
      </c>
      <c r="N249" s="93">
        <v>28</v>
      </c>
      <c r="O249" s="91">
        <v>0.27983420781523283</v>
      </c>
      <c r="P249" s="94">
        <f t="shared" si="30"/>
        <v>1.3326392806254223E-2</v>
      </c>
      <c r="Q249" s="94">
        <f t="shared" si="31"/>
        <v>1.8611785237095391E-2</v>
      </c>
      <c r="R249" s="94">
        <f t="shared" si="32"/>
        <v>-4.8519798250747675E-2</v>
      </c>
      <c r="S249" s="94">
        <f t="shared" si="33"/>
        <v>-5.1118258751889217E-2</v>
      </c>
      <c r="T249" s="94">
        <f t="shared" si="34"/>
        <v>-3.2506473514793827E-2</v>
      </c>
      <c r="U249" s="94">
        <f t="shared" si="35"/>
        <v>-6.444465155814344E-2</v>
      </c>
      <c r="V249" s="94">
        <f t="shared" si="36"/>
        <v>-9.5684324965042422E-4</v>
      </c>
      <c r="W249" s="94">
        <f t="shared" si="37"/>
        <v>1.2369549556603798E-2</v>
      </c>
      <c r="X249" s="94">
        <f t="shared" si="38"/>
        <v>3.0164961100777321E-2</v>
      </c>
      <c r="Y249" s="95">
        <f t="shared" si="39"/>
        <v>-6.1846191057001898E-2</v>
      </c>
    </row>
    <row r="250" spans="1:25" x14ac:dyDescent="0.25">
      <c r="A250" s="89">
        <v>44742</v>
      </c>
      <c r="B250" s="90">
        <v>22.81</v>
      </c>
      <c r="C250" s="91">
        <v>0.22703015924956371</v>
      </c>
      <c r="D250" s="90">
        <v>24.33</v>
      </c>
      <c r="E250" s="92">
        <v>0.24215886780104709</v>
      </c>
      <c r="F250" s="90">
        <v>21.48</v>
      </c>
      <c r="G250" s="91">
        <v>0.21429508555185051</v>
      </c>
      <c r="H250" s="93">
        <v>24.3</v>
      </c>
      <c r="I250" s="91">
        <v>0.24285694727763099</v>
      </c>
      <c r="J250" s="93">
        <v>21.61</v>
      </c>
      <c r="K250" s="91">
        <v>0.21496041533241581</v>
      </c>
      <c r="L250" s="90">
        <v>27.4</v>
      </c>
      <c r="M250" s="91">
        <v>0.27383869775337821</v>
      </c>
      <c r="N250" s="93">
        <v>27.45</v>
      </c>
      <c r="O250" s="91">
        <v>0.27433840340621279</v>
      </c>
      <c r="P250" s="94">
        <f t="shared" si="30"/>
        <v>1.2735073697713206E-2</v>
      </c>
      <c r="Q250" s="94">
        <f t="shared" si="31"/>
        <v>1.5128708551483377E-2</v>
      </c>
      <c r="R250" s="94">
        <f t="shared" si="32"/>
        <v>-4.6808538503814501E-2</v>
      </c>
      <c r="S250" s="94">
        <f t="shared" si="33"/>
        <v>-4.7308244156649082E-2</v>
      </c>
      <c r="T250" s="94">
        <f t="shared" si="34"/>
        <v>-3.2179535605165704E-2</v>
      </c>
      <c r="U250" s="94">
        <f t="shared" si="35"/>
        <v>-6.0043317854362288E-2</v>
      </c>
      <c r="V250" s="94">
        <f t="shared" si="36"/>
        <v>-6.6532978056529912E-4</v>
      </c>
      <c r="W250" s="94">
        <f t="shared" si="37"/>
        <v>1.2069743917147907E-2</v>
      </c>
      <c r="X250" s="94">
        <f t="shared" si="38"/>
        <v>2.8561861725780485E-2</v>
      </c>
      <c r="Y250" s="95">
        <f t="shared" si="39"/>
        <v>-5.9543612201527707E-2</v>
      </c>
    </row>
    <row r="251" spans="1:25" x14ac:dyDescent="0.25">
      <c r="A251" s="89">
        <v>44741</v>
      </c>
      <c r="B251" s="90">
        <v>23</v>
      </c>
      <c r="C251" s="91">
        <v>0.22892749038749971</v>
      </c>
      <c r="D251" s="90">
        <v>23.3</v>
      </c>
      <c r="E251" s="92">
        <v>0.23191350113168441</v>
      </c>
      <c r="F251" s="90">
        <v>21.8</v>
      </c>
      <c r="G251" s="91">
        <v>0.21749053586803521</v>
      </c>
      <c r="H251" s="93">
        <v>24.37</v>
      </c>
      <c r="I251" s="91">
        <v>0.24355736880114731</v>
      </c>
      <c r="J251" s="93">
        <v>21.75</v>
      </c>
      <c r="K251" s="91">
        <v>0.21635966600690201</v>
      </c>
      <c r="L251" s="90">
        <v>26.5</v>
      </c>
      <c r="M251" s="91">
        <v>0.26484490247149778</v>
      </c>
      <c r="N251" s="93">
        <v>27.3</v>
      </c>
      <c r="O251" s="91">
        <v>0.2728402202819582</v>
      </c>
      <c r="P251" s="94">
        <f t="shared" si="30"/>
        <v>1.1436954519464498E-2</v>
      </c>
      <c r="Q251" s="94">
        <f t="shared" si="31"/>
        <v>2.9860107441846973E-3</v>
      </c>
      <c r="R251" s="94">
        <f t="shared" si="32"/>
        <v>-3.5917412083998068E-2</v>
      </c>
      <c r="S251" s="94">
        <f t="shared" si="33"/>
        <v>-4.3912729894458491E-2</v>
      </c>
      <c r="T251" s="94">
        <f t="shared" si="34"/>
        <v>-4.0926719150273794E-2</v>
      </c>
      <c r="U251" s="94">
        <f t="shared" si="35"/>
        <v>-5.5349684413922989E-2</v>
      </c>
      <c r="V251" s="94">
        <f t="shared" si="36"/>
        <v>1.1308698611331991E-3</v>
      </c>
      <c r="W251" s="94">
        <f t="shared" si="37"/>
        <v>1.2567824380597697E-2</v>
      </c>
      <c r="X251" s="94">
        <f t="shared" si="38"/>
        <v>2.60668329331121E-2</v>
      </c>
      <c r="Y251" s="95">
        <f t="shared" si="39"/>
        <v>-4.7354366603462567E-2</v>
      </c>
    </row>
    <row r="252" spans="1:25" x14ac:dyDescent="0.25">
      <c r="A252" s="89">
        <v>44740</v>
      </c>
      <c r="B252" s="90">
        <v>22</v>
      </c>
      <c r="C252" s="91">
        <v>0.21898009271884369</v>
      </c>
      <c r="D252" s="90">
        <v>22.9</v>
      </c>
      <c r="E252" s="92">
        <v>0.22793836923916011</v>
      </c>
      <c r="F252" s="90">
        <v>20.87</v>
      </c>
      <c r="G252" s="91">
        <v>0.20821511548448821</v>
      </c>
      <c r="H252" s="93">
        <v>23.45</v>
      </c>
      <c r="I252" s="91">
        <v>0.2343635554642845</v>
      </c>
      <c r="J252" s="93">
        <v>21.34</v>
      </c>
      <c r="K252" s="91">
        <v>0.21228767076619079</v>
      </c>
      <c r="L252" s="90">
        <v>26.65</v>
      </c>
      <c r="M252" s="91">
        <v>0.26634493616729987</v>
      </c>
      <c r="N252" s="93">
        <v>26.3</v>
      </c>
      <c r="O252" s="91">
        <v>0.26284697265290757</v>
      </c>
      <c r="P252" s="94">
        <f t="shared" si="30"/>
        <v>1.0764977234355488E-2</v>
      </c>
      <c r="Q252" s="94">
        <f t="shared" si="31"/>
        <v>8.9582765203164161E-3</v>
      </c>
      <c r="R252" s="94">
        <f t="shared" si="32"/>
        <v>-4.7364843448456179E-2</v>
      </c>
      <c r="S252" s="94">
        <f t="shared" si="33"/>
        <v>-4.3866879934063879E-2</v>
      </c>
      <c r="T252" s="94">
        <f t="shared" si="34"/>
        <v>-3.4908603413747463E-2</v>
      </c>
      <c r="U252" s="94">
        <f t="shared" si="35"/>
        <v>-5.4631857168419368E-2</v>
      </c>
      <c r="V252" s="94">
        <f t="shared" si="36"/>
        <v>-4.0725552817025834E-3</v>
      </c>
      <c r="W252" s="94">
        <f t="shared" si="37"/>
        <v>6.692421952652905E-3</v>
      </c>
      <c r="X252" s="94">
        <f t="shared" si="38"/>
        <v>2.6148439979796295E-2</v>
      </c>
      <c r="Y252" s="95">
        <f t="shared" si="39"/>
        <v>-5.8129820682811667E-2</v>
      </c>
    </row>
    <row r="253" spans="1:25" x14ac:dyDescent="0.25">
      <c r="A253" s="89">
        <v>44739</v>
      </c>
      <c r="B253" s="90">
        <v>21.87</v>
      </c>
      <c r="C253" s="91">
        <v>0.21769205596007529</v>
      </c>
      <c r="D253" s="90">
        <v>24</v>
      </c>
      <c r="E253" s="92">
        <v>0.2388938885707273</v>
      </c>
      <c r="F253" s="90">
        <v>20.239999999999998</v>
      </c>
      <c r="G253" s="91">
        <v>0.2019325124027935</v>
      </c>
      <c r="H253" s="93">
        <v>22.75</v>
      </c>
      <c r="I253" s="91">
        <v>0.22736840664136171</v>
      </c>
      <c r="J253" s="93">
        <v>20.6</v>
      </c>
      <c r="K253" s="91">
        <v>0.2049325261224921</v>
      </c>
      <c r="L253" s="90">
        <v>26.78</v>
      </c>
      <c r="M253" s="91">
        <v>0.26764509581783152</v>
      </c>
      <c r="N253" s="93">
        <v>26.24</v>
      </c>
      <c r="O253" s="91">
        <v>0.26224821935249798</v>
      </c>
      <c r="P253" s="94">
        <f t="shared" si="30"/>
        <v>1.5759543557281791E-2</v>
      </c>
      <c r="Q253" s="94">
        <f t="shared" si="31"/>
        <v>2.1201832610652005E-2</v>
      </c>
      <c r="R253" s="94">
        <f t="shared" si="32"/>
        <v>-4.9953039857756232E-2</v>
      </c>
      <c r="S253" s="94">
        <f t="shared" si="33"/>
        <v>-4.4556163392422687E-2</v>
      </c>
      <c r="T253" s="94">
        <f t="shared" si="34"/>
        <v>-2.3354330781770682E-2</v>
      </c>
      <c r="U253" s="94">
        <f t="shared" si="35"/>
        <v>-6.0315706949704478E-2</v>
      </c>
      <c r="V253" s="94">
        <f t="shared" si="36"/>
        <v>-3.0000137196986021E-3</v>
      </c>
      <c r="W253" s="94">
        <f t="shared" si="37"/>
        <v>1.2759529837583189E-2</v>
      </c>
      <c r="X253" s="94">
        <f t="shared" si="38"/>
        <v>2.5435894238568207E-2</v>
      </c>
      <c r="Y253" s="95">
        <f t="shared" si="39"/>
        <v>-6.5712583415038023E-2</v>
      </c>
    </row>
    <row r="254" spans="1:25" x14ac:dyDescent="0.25">
      <c r="A254" s="89">
        <v>44736</v>
      </c>
      <c r="B254" s="90">
        <v>22.14</v>
      </c>
      <c r="C254" s="91">
        <v>0.2203976435935199</v>
      </c>
      <c r="D254" s="90">
        <v>24.99</v>
      </c>
      <c r="E254" s="92">
        <v>0.24876861397479949</v>
      </c>
      <c r="F254" s="90">
        <v>20.9</v>
      </c>
      <c r="G254" s="91">
        <v>0.20852581800289749</v>
      </c>
      <c r="H254" s="93">
        <v>23.65</v>
      </c>
      <c r="I254" s="91">
        <v>0.2363656277595613</v>
      </c>
      <c r="J254" s="93">
        <v>20.9</v>
      </c>
      <c r="K254" s="91">
        <v>0.20793610772281551</v>
      </c>
      <c r="L254" s="90">
        <v>27.3</v>
      </c>
      <c r="M254" s="91">
        <v>0.27284488954909197</v>
      </c>
      <c r="N254" s="93">
        <v>27</v>
      </c>
      <c r="O254" s="91">
        <v>0.26984659405954148</v>
      </c>
      <c r="P254" s="94">
        <f t="shared" si="30"/>
        <v>1.1871825590622415E-2</v>
      </c>
      <c r="Q254" s="94">
        <f t="shared" si="31"/>
        <v>2.8370970381279587E-2</v>
      </c>
      <c r="R254" s="94">
        <f t="shared" si="32"/>
        <v>-5.2447245955572069E-2</v>
      </c>
      <c r="S254" s="94">
        <f t="shared" si="33"/>
        <v>-4.9448950466021574E-2</v>
      </c>
      <c r="T254" s="94">
        <f t="shared" si="34"/>
        <v>-2.1077980084741987E-2</v>
      </c>
      <c r="U254" s="94">
        <f t="shared" si="35"/>
        <v>-6.1320776056643989E-2</v>
      </c>
      <c r="V254" s="94">
        <f t="shared" si="36"/>
        <v>5.8971028008197868E-4</v>
      </c>
      <c r="W254" s="94">
        <f t="shared" si="37"/>
        <v>1.2461535870704393E-2</v>
      </c>
      <c r="X254" s="94">
        <f t="shared" si="38"/>
        <v>2.7839809756663808E-2</v>
      </c>
      <c r="Y254" s="95">
        <f t="shared" si="39"/>
        <v>-6.4319071546194484E-2</v>
      </c>
    </row>
    <row r="255" spans="1:25" x14ac:dyDescent="0.25">
      <c r="A255" s="89">
        <v>44735</v>
      </c>
      <c r="B255" s="90">
        <v>23</v>
      </c>
      <c r="C255" s="91">
        <v>0.2289649529524069</v>
      </c>
      <c r="D255" s="90">
        <v>25.26</v>
      </c>
      <c r="E255" s="92">
        <v>0.25146324832946948</v>
      </c>
      <c r="F255" s="90">
        <v>21.79</v>
      </c>
      <c r="G255" s="91">
        <v>0.21740859700676551</v>
      </c>
      <c r="H255" s="93">
        <v>24.7</v>
      </c>
      <c r="I255" s="91">
        <v>0.24686050690534461</v>
      </c>
      <c r="J255" s="93">
        <v>22.15</v>
      </c>
      <c r="K255" s="91">
        <v>0.2203792357360683</v>
      </c>
      <c r="L255" s="90">
        <v>27.65</v>
      </c>
      <c r="M255" s="91">
        <v>0.2763438467988979</v>
      </c>
      <c r="N255" s="93">
        <v>27.9</v>
      </c>
      <c r="O255" s="91">
        <v>0.27884243492547017</v>
      </c>
      <c r="P255" s="94">
        <f t="shared" si="30"/>
        <v>1.1556355945641389E-2</v>
      </c>
      <c r="Q255" s="94">
        <f t="shared" si="31"/>
        <v>2.2498295377062577E-2</v>
      </c>
      <c r="R255" s="94">
        <f t="shared" si="32"/>
        <v>-4.7378893846490994E-2</v>
      </c>
      <c r="S255" s="94">
        <f t="shared" si="33"/>
        <v>-4.987748197306327E-2</v>
      </c>
      <c r="T255" s="94">
        <f t="shared" si="34"/>
        <v>-2.7379186596000693E-2</v>
      </c>
      <c r="U255" s="94">
        <f t="shared" si="35"/>
        <v>-6.1433837918704659E-2</v>
      </c>
      <c r="V255" s="94">
        <f t="shared" si="36"/>
        <v>-2.9706387293027825E-3</v>
      </c>
      <c r="W255" s="94">
        <f t="shared" si="37"/>
        <v>8.5857172163386064E-3</v>
      </c>
      <c r="X255" s="94">
        <f t="shared" si="38"/>
        <v>2.9451909898579098E-2</v>
      </c>
      <c r="Y255" s="95">
        <f t="shared" si="39"/>
        <v>-5.8935249792132383E-2</v>
      </c>
    </row>
    <row r="256" spans="1:25" x14ac:dyDescent="0.25">
      <c r="A256" s="89">
        <v>44734</v>
      </c>
      <c r="B256" s="90">
        <v>23.6</v>
      </c>
      <c r="C256" s="91">
        <v>0.23494435958978829</v>
      </c>
      <c r="D256" s="90">
        <v>25.75</v>
      </c>
      <c r="E256" s="92">
        <v>0.25634818895919698</v>
      </c>
      <c r="F256" s="90">
        <v>22.35</v>
      </c>
      <c r="G256" s="91">
        <v>0.22299901590946369</v>
      </c>
      <c r="H256" s="93">
        <v>25.45</v>
      </c>
      <c r="I256" s="91">
        <v>0.25435714187921848</v>
      </c>
      <c r="J256" s="93">
        <v>22.6</v>
      </c>
      <c r="K256" s="91">
        <v>0.22486336191034359</v>
      </c>
      <c r="L256" s="90">
        <v>28.12</v>
      </c>
      <c r="M256" s="91">
        <v>0.28104215440642932</v>
      </c>
      <c r="N256" s="93">
        <v>28.1</v>
      </c>
      <c r="O256" s="91">
        <v>0.28084226667214313</v>
      </c>
      <c r="P256" s="94">
        <f t="shared" si="30"/>
        <v>1.1945343680324599E-2</v>
      </c>
      <c r="Q256" s="94">
        <f t="shared" si="31"/>
        <v>2.1403829369408683E-2</v>
      </c>
      <c r="R256" s="94">
        <f t="shared" si="32"/>
        <v>-4.609779481664103E-2</v>
      </c>
      <c r="S256" s="94">
        <f t="shared" si="33"/>
        <v>-4.5897907082354833E-2</v>
      </c>
      <c r="T256" s="94">
        <f t="shared" si="34"/>
        <v>-2.449407771294615E-2</v>
      </c>
      <c r="U256" s="94">
        <f t="shared" si="35"/>
        <v>-5.7843250762679432E-2</v>
      </c>
      <c r="V256" s="94">
        <f t="shared" si="36"/>
        <v>-1.8643460008798962E-3</v>
      </c>
      <c r="W256" s="94">
        <f t="shared" si="37"/>
        <v>1.0080997679444703E-2</v>
      </c>
      <c r="X256" s="94">
        <f t="shared" si="38"/>
        <v>3.1358125969754791E-2</v>
      </c>
      <c r="Y256" s="95">
        <f t="shared" si="39"/>
        <v>-5.8043138496965629E-2</v>
      </c>
    </row>
    <row r="257" spans="1:25" x14ac:dyDescent="0.25">
      <c r="A257" s="89">
        <v>44733</v>
      </c>
      <c r="B257" s="90">
        <v>24</v>
      </c>
      <c r="C257" s="91">
        <v>0.23893298420751169</v>
      </c>
      <c r="D257" s="90">
        <v>26.35</v>
      </c>
      <c r="E257" s="92">
        <v>0.26232850557783061</v>
      </c>
      <c r="F257" s="90">
        <v>22.8</v>
      </c>
      <c r="G257" s="91">
        <v>0.22749203832538309</v>
      </c>
      <c r="H257" s="93">
        <v>25.7</v>
      </c>
      <c r="I257" s="91">
        <v>0.25685661770997698</v>
      </c>
      <c r="J257" s="93">
        <v>22.78</v>
      </c>
      <c r="K257" s="91">
        <v>0.2266612600394593</v>
      </c>
      <c r="L257" s="90">
        <v>28.4</v>
      </c>
      <c r="M257" s="91">
        <v>0.2838415542009084</v>
      </c>
      <c r="N257" s="93">
        <v>28.89</v>
      </c>
      <c r="O257" s="91">
        <v>0.28873882045296628</v>
      </c>
      <c r="P257" s="94">
        <f t="shared" si="30"/>
        <v>1.14409458821286E-2</v>
      </c>
      <c r="Q257" s="94">
        <f t="shared" si="31"/>
        <v>2.3395521370318917E-2</v>
      </c>
      <c r="R257" s="94">
        <f t="shared" si="32"/>
        <v>-4.4908569993396708E-2</v>
      </c>
      <c r="S257" s="94">
        <f t="shared" si="33"/>
        <v>-4.9805836245454593E-2</v>
      </c>
      <c r="T257" s="94">
        <f t="shared" si="34"/>
        <v>-2.6410314875135676E-2</v>
      </c>
      <c r="U257" s="94">
        <f t="shared" si="35"/>
        <v>-6.1246782127583194E-2</v>
      </c>
      <c r="V257" s="94">
        <f t="shared" si="36"/>
        <v>8.3077828592378888E-4</v>
      </c>
      <c r="W257" s="94">
        <f t="shared" si="37"/>
        <v>1.2271724168052389E-2</v>
      </c>
      <c r="X257" s="94">
        <f t="shared" si="38"/>
        <v>2.9364579384593886E-2</v>
      </c>
      <c r="Y257" s="95">
        <f t="shared" si="39"/>
        <v>-5.6349515875525308E-2</v>
      </c>
    </row>
    <row r="258" spans="1:25" x14ac:dyDescent="0.25">
      <c r="A258" s="89">
        <v>44728</v>
      </c>
      <c r="B258" s="90">
        <v>23.8</v>
      </c>
      <c r="C258" s="91">
        <v>0.2369741939003765</v>
      </c>
      <c r="D258" s="90">
        <v>26.5</v>
      </c>
      <c r="E258" s="92">
        <v>0.26385782093949478</v>
      </c>
      <c r="F258" s="90">
        <v>22.66</v>
      </c>
      <c r="G258" s="91">
        <v>0.2261106099127915</v>
      </c>
      <c r="H258" s="93">
        <v>25.76</v>
      </c>
      <c r="I258" s="91">
        <v>0.25746068907919689</v>
      </c>
      <c r="J258" s="93">
        <v>22.8</v>
      </c>
      <c r="K258" s="91">
        <v>0.22689505217740999</v>
      </c>
      <c r="L258" s="90">
        <v>28.68</v>
      </c>
      <c r="M258" s="91">
        <v>0.28664489762388851</v>
      </c>
      <c r="N258" s="93">
        <v>28.2</v>
      </c>
      <c r="O258" s="91">
        <v>0.28184749347955562</v>
      </c>
      <c r="P258" s="94">
        <f t="shared" ref="P258:P321" si="40">C258-G258</f>
        <v>1.0863583987584996E-2</v>
      </c>
      <c r="Q258" s="94">
        <f t="shared" ref="Q258:Q321" si="41">E258-C258</f>
        <v>2.6883627039118285E-2</v>
      </c>
      <c r="R258" s="94">
        <f t="shared" ref="R258:R321" si="42">C258-M258</f>
        <v>-4.9670703723512011E-2</v>
      </c>
      <c r="S258" s="94">
        <f t="shared" ref="S258:S321" si="43">C258-O258</f>
        <v>-4.4873299579179127E-2</v>
      </c>
      <c r="T258" s="94">
        <f t="shared" ref="T258:T321" si="44">E258-O258</f>
        <v>-1.7989672540060841E-2</v>
      </c>
      <c r="U258" s="94">
        <f t="shared" ref="U258:U321" si="45">G258-O258</f>
        <v>-5.5736883566764123E-2</v>
      </c>
      <c r="V258" s="94">
        <f t="shared" ref="V258:V321" si="46">G258-K258</f>
        <v>-7.8444226461849009E-4</v>
      </c>
      <c r="W258" s="94">
        <f t="shared" ref="W258:W321" si="47">C258-K258</f>
        <v>1.0079141722966506E-2</v>
      </c>
      <c r="X258" s="94">
        <f t="shared" ref="X258:X321" si="48">I258-G258</f>
        <v>3.1350079166405392E-2</v>
      </c>
      <c r="Y258" s="95">
        <f t="shared" ref="Y258:Y321" si="49">G258-M258</f>
        <v>-6.0534287711097007E-2</v>
      </c>
    </row>
    <row r="259" spans="1:25" x14ac:dyDescent="0.25">
      <c r="A259" s="89">
        <v>44727</v>
      </c>
      <c r="B259" s="90">
        <v>24.31</v>
      </c>
      <c r="C259" s="91">
        <v>0.24205881550590611</v>
      </c>
      <c r="D259" s="90">
        <v>27.2</v>
      </c>
      <c r="E259" s="92">
        <v>0.27083503832828648</v>
      </c>
      <c r="F259" s="90">
        <v>23.68</v>
      </c>
      <c r="G259" s="91">
        <v>0.2362918107631532</v>
      </c>
      <c r="H259" s="93">
        <v>27.25</v>
      </c>
      <c r="I259" s="91">
        <v>0.27235356332382932</v>
      </c>
      <c r="J259" s="93">
        <v>23.52</v>
      </c>
      <c r="K259" s="91">
        <v>0.23406733852964931</v>
      </c>
      <c r="L259" s="90">
        <v>29</v>
      </c>
      <c r="M259" s="91">
        <v>0.2898441591336165</v>
      </c>
      <c r="N259" s="93">
        <v>28.6</v>
      </c>
      <c r="O259" s="91">
        <v>0.28584630866280802</v>
      </c>
      <c r="P259" s="94">
        <f t="shared" si="40"/>
        <v>5.767004742752907E-3</v>
      </c>
      <c r="Q259" s="94">
        <f t="shared" si="41"/>
        <v>2.8776222822380376E-2</v>
      </c>
      <c r="R259" s="94">
        <f t="shared" si="42"/>
        <v>-4.7785343627710392E-2</v>
      </c>
      <c r="S259" s="94">
        <f t="shared" si="43"/>
        <v>-4.3787493156901919E-2</v>
      </c>
      <c r="T259" s="94">
        <f t="shared" si="44"/>
        <v>-1.5011270334521543E-2</v>
      </c>
      <c r="U259" s="94">
        <f t="shared" si="45"/>
        <v>-4.9554497899654826E-2</v>
      </c>
      <c r="V259" s="94">
        <f t="shared" si="46"/>
        <v>2.224472233503888E-3</v>
      </c>
      <c r="W259" s="94">
        <f t="shared" si="47"/>
        <v>7.991476976256795E-3</v>
      </c>
      <c r="X259" s="94">
        <f t="shared" si="48"/>
        <v>3.6061752560676119E-2</v>
      </c>
      <c r="Y259" s="95">
        <f t="shared" si="49"/>
        <v>-5.3552348370463299E-2</v>
      </c>
    </row>
    <row r="260" spans="1:25" x14ac:dyDescent="0.25">
      <c r="A260" s="89">
        <v>44725</v>
      </c>
      <c r="B260" s="90">
        <v>24.45</v>
      </c>
      <c r="C260" s="91">
        <v>0.24346610285090711</v>
      </c>
      <c r="D260" s="90">
        <v>28</v>
      </c>
      <c r="E260" s="92">
        <v>0.27881598690492432</v>
      </c>
      <c r="F260" s="90">
        <v>23.07</v>
      </c>
      <c r="G260" s="91">
        <v>0.23021119540701249</v>
      </c>
      <c r="H260" s="93">
        <v>27.29</v>
      </c>
      <c r="I260" s="91">
        <v>0.27275521555338778</v>
      </c>
      <c r="J260" s="93">
        <v>23</v>
      </c>
      <c r="K260" s="91">
        <v>0.2289064230815113</v>
      </c>
      <c r="L260" s="90">
        <v>28</v>
      </c>
      <c r="M260" s="91">
        <v>0.27985144871729051</v>
      </c>
      <c r="N260" s="93">
        <v>28.5</v>
      </c>
      <c r="O260" s="91">
        <v>0.28484879601581348</v>
      </c>
      <c r="P260" s="94">
        <f t="shared" si="40"/>
        <v>1.3254907443894626E-2</v>
      </c>
      <c r="Q260" s="94">
        <f t="shared" si="41"/>
        <v>3.5349884054017205E-2</v>
      </c>
      <c r="R260" s="94">
        <f t="shared" si="42"/>
        <v>-3.6385345866383395E-2</v>
      </c>
      <c r="S260" s="94">
        <f t="shared" si="43"/>
        <v>-4.1382693164906365E-2</v>
      </c>
      <c r="T260" s="94">
        <f t="shared" si="44"/>
        <v>-6.0328091108891591E-3</v>
      </c>
      <c r="U260" s="94">
        <f t="shared" si="45"/>
        <v>-5.463760060880099E-2</v>
      </c>
      <c r="V260" s="94">
        <f t="shared" si="46"/>
        <v>1.3047723255011912E-3</v>
      </c>
      <c r="W260" s="94">
        <f t="shared" si="47"/>
        <v>1.4559679769395817E-2</v>
      </c>
      <c r="X260" s="94">
        <f t="shared" si="48"/>
        <v>4.2544020146375289E-2</v>
      </c>
      <c r="Y260" s="95">
        <f t="shared" si="49"/>
        <v>-4.9640253310278021E-2</v>
      </c>
    </row>
    <row r="261" spans="1:25" x14ac:dyDescent="0.25">
      <c r="A261" s="89">
        <v>44722</v>
      </c>
      <c r="B261" s="90">
        <v>24.8</v>
      </c>
      <c r="C261" s="91">
        <v>0.2469715158790789</v>
      </c>
      <c r="D261" s="90">
        <v>28.06</v>
      </c>
      <c r="E261" s="92">
        <v>0.27943631998253848</v>
      </c>
      <c r="F261" s="90">
        <v>23.72</v>
      </c>
      <c r="G261" s="91">
        <v>0.23670713035870511</v>
      </c>
      <c r="H261" s="93">
        <v>27.89</v>
      </c>
      <c r="I261" s="91">
        <v>0.27875489471234149</v>
      </c>
      <c r="J261" s="93">
        <v>23.75</v>
      </c>
      <c r="K261" s="91">
        <v>0.23639251724796159</v>
      </c>
      <c r="L261" s="90">
        <v>29.2</v>
      </c>
      <c r="M261" s="91">
        <v>0.29184807908212163</v>
      </c>
      <c r="N261" s="93">
        <v>29.4</v>
      </c>
      <c r="O261" s="91">
        <v>0.29384703852788963</v>
      </c>
      <c r="P261" s="94">
        <f t="shared" si="40"/>
        <v>1.0264385520373787E-2</v>
      </c>
      <c r="Q261" s="94">
        <f t="shared" si="41"/>
        <v>3.2464804103459588E-2</v>
      </c>
      <c r="R261" s="94">
        <f t="shared" si="42"/>
        <v>-4.487656320304273E-2</v>
      </c>
      <c r="S261" s="94">
        <f t="shared" si="43"/>
        <v>-4.687552264881073E-2</v>
      </c>
      <c r="T261" s="94">
        <f t="shared" si="44"/>
        <v>-1.4410718545351142E-2</v>
      </c>
      <c r="U261" s="94">
        <f t="shared" si="45"/>
        <v>-5.7139908169184517E-2</v>
      </c>
      <c r="V261" s="94">
        <f t="shared" si="46"/>
        <v>3.1461311074351683E-4</v>
      </c>
      <c r="W261" s="94">
        <f t="shared" si="47"/>
        <v>1.0578998631117303E-2</v>
      </c>
      <c r="X261" s="94">
        <f t="shared" si="48"/>
        <v>4.2047764353636385E-2</v>
      </c>
      <c r="Y261" s="95">
        <f t="shared" si="49"/>
        <v>-5.5140948723416516E-2</v>
      </c>
    </row>
    <row r="262" spans="1:25" x14ac:dyDescent="0.25">
      <c r="A262" s="89">
        <v>44721</v>
      </c>
      <c r="B262" s="90">
        <v>25.39</v>
      </c>
      <c r="C262" s="91">
        <v>0.25285394668631139</v>
      </c>
      <c r="D262" s="90">
        <v>29</v>
      </c>
      <c r="E262" s="92">
        <v>0.28880521677443999</v>
      </c>
      <c r="F262" s="90">
        <v>24</v>
      </c>
      <c r="G262" s="91">
        <v>0.23950458640346681</v>
      </c>
      <c r="H262" s="93">
        <v>28</v>
      </c>
      <c r="I262" s="91">
        <v>0.27985528031737011</v>
      </c>
      <c r="J262" s="93">
        <v>23.5</v>
      </c>
      <c r="K262" s="91">
        <v>0.23391135093861101</v>
      </c>
      <c r="L262" s="90">
        <v>29.99</v>
      </c>
      <c r="M262" s="91">
        <v>0.29974499488278322</v>
      </c>
      <c r="N262" s="93">
        <v>30</v>
      </c>
      <c r="O262" s="91">
        <v>0.2998449431971823</v>
      </c>
      <c r="P262" s="94">
        <f t="shared" si="40"/>
        <v>1.3349360282844586E-2</v>
      </c>
      <c r="Q262" s="94">
        <f t="shared" si="41"/>
        <v>3.5951270088128595E-2</v>
      </c>
      <c r="R262" s="94">
        <f t="shared" si="42"/>
        <v>-4.689104819647183E-2</v>
      </c>
      <c r="S262" s="94">
        <f t="shared" si="43"/>
        <v>-4.6990996510870908E-2</v>
      </c>
      <c r="T262" s="94">
        <f t="shared" si="44"/>
        <v>-1.1039726422742313E-2</v>
      </c>
      <c r="U262" s="94">
        <f t="shared" si="45"/>
        <v>-6.0340356793715494E-2</v>
      </c>
      <c r="V262" s="94">
        <f t="shared" si="46"/>
        <v>5.5932354648557947E-3</v>
      </c>
      <c r="W262" s="94">
        <f t="shared" si="47"/>
        <v>1.894259574770038E-2</v>
      </c>
      <c r="X262" s="94">
        <f t="shared" si="48"/>
        <v>4.0350693913903307E-2</v>
      </c>
      <c r="Y262" s="95">
        <f t="shared" si="49"/>
        <v>-6.0240408479316415E-2</v>
      </c>
    </row>
    <row r="263" spans="1:25" x14ac:dyDescent="0.25">
      <c r="A263" s="89">
        <v>44720</v>
      </c>
      <c r="B263" s="90">
        <v>26.11</v>
      </c>
      <c r="C263" s="91">
        <v>0.26003137789904501</v>
      </c>
      <c r="D263" s="90">
        <v>29.9</v>
      </c>
      <c r="E263" s="92">
        <v>0.29777626193724421</v>
      </c>
      <c r="F263" s="90">
        <v>24.81</v>
      </c>
      <c r="G263" s="91">
        <v>0.2475912508544087</v>
      </c>
      <c r="H263" s="93">
        <v>28.86</v>
      </c>
      <c r="I263" s="91">
        <v>0.28845182269382158</v>
      </c>
      <c r="J263" s="93">
        <v>25.05</v>
      </c>
      <c r="K263" s="91">
        <v>0.2493471961820351</v>
      </c>
      <c r="L263" s="90">
        <v>30.8</v>
      </c>
      <c r="M263" s="91">
        <v>0.30784186205716241</v>
      </c>
      <c r="N263" s="93">
        <v>31.6</v>
      </c>
      <c r="O263" s="91">
        <v>0.31583775457812768</v>
      </c>
      <c r="P263" s="94">
        <f t="shared" si="40"/>
        <v>1.2440127044636318E-2</v>
      </c>
      <c r="Q263" s="94">
        <f t="shared" si="41"/>
        <v>3.77448840381992E-2</v>
      </c>
      <c r="R263" s="94">
        <f t="shared" si="42"/>
        <v>-4.7810484158117394E-2</v>
      </c>
      <c r="S263" s="94">
        <f t="shared" si="43"/>
        <v>-5.580637667908267E-2</v>
      </c>
      <c r="T263" s="94">
        <f t="shared" si="44"/>
        <v>-1.806149264088347E-2</v>
      </c>
      <c r="U263" s="94">
        <f t="shared" si="45"/>
        <v>-6.8246503723718988E-2</v>
      </c>
      <c r="V263" s="94">
        <f t="shared" si="46"/>
        <v>-1.755945327626407E-3</v>
      </c>
      <c r="W263" s="94">
        <f t="shared" si="47"/>
        <v>1.0684181717009911E-2</v>
      </c>
      <c r="X263" s="94">
        <f t="shared" si="48"/>
        <v>4.0860571839412885E-2</v>
      </c>
      <c r="Y263" s="95">
        <f t="shared" si="49"/>
        <v>-6.0250611202753712E-2</v>
      </c>
    </row>
    <row r="264" spans="1:25" x14ac:dyDescent="0.25">
      <c r="A264" s="89">
        <v>44719</v>
      </c>
      <c r="B264" s="90">
        <v>26.75</v>
      </c>
      <c r="C264" s="91">
        <v>0.26641245327294061</v>
      </c>
      <c r="D264" s="90">
        <v>30.5</v>
      </c>
      <c r="E264" s="92">
        <v>0.30375999345139021</v>
      </c>
      <c r="F264" s="90">
        <v>25.77</v>
      </c>
      <c r="G264" s="91">
        <v>0.25717508099905673</v>
      </c>
      <c r="H264" s="93">
        <v>29.71</v>
      </c>
      <c r="I264" s="91">
        <v>0.29694847492204318</v>
      </c>
      <c r="J264" s="93">
        <v>25.8</v>
      </c>
      <c r="K264" s="91">
        <v>0.25682056037171758</v>
      </c>
      <c r="L264" s="90">
        <v>32</v>
      </c>
      <c r="M264" s="91">
        <v>0.31983679560772071</v>
      </c>
      <c r="N264" s="93">
        <v>31.86</v>
      </c>
      <c r="O264" s="91">
        <v>0.31843750962693701</v>
      </c>
      <c r="P264" s="94">
        <f t="shared" si="40"/>
        <v>9.2373722738838815E-3</v>
      </c>
      <c r="Q264" s="94">
        <f t="shared" si="41"/>
        <v>3.7347540178449601E-2</v>
      </c>
      <c r="R264" s="94">
        <f t="shared" si="42"/>
        <v>-5.3424342334780106E-2</v>
      </c>
      <c r="S264" s="94">
        <f t="shared" si="43"/>
        <v>-5.2025056353996402E-2</v>
      </c>
      <c r="T264" s="94">
        <f t="shared" si="44"/>
        <v>-1.4677516175546801E-2</v>
      </c>
      <c r="U264" s="94">
        <f t="shared" si="45"/>
        <v>-6.1262428627880283E-2</v>
      </c>
      <c r="V264" s="94">
        <f t="shared" si="46"/>
        <v>3.5452062733914991E-4</v>
      </c>
      <c r="W264" s="94">
        <f t="shared" si="47"/>
        <v>9.5918929012230314E-3</v>
      </c>
      <c r="X264" s="94">
        <f t="shared" si="48"/>
        <v>3.9773393922986455E-2</v>
      </c>
      <c r="Y264" s="95">
        <f t="shared" si="49"/>
        <v>-6.2661714608663988E-2</v>
      </c>
    </row>
    <row r="265" spans="1:25" x14ac:dyDescent="0.25">
      <c r="A265" s="89">
        <v>44718</v>
      </c>
      <c r="B265" s="90">
        <v>26.9</v>
      </c>
      <c r="C265" s="91">
        <v>0.26791366513861598</v>
      </c>
      <c r="D265" s="90">
        <v>30.5</v>
      </c>
      <c r="E265" s="92">
        <v>0.3037682820344903</v>
      </c>
      <c r="F265" s="90">
        <v>26</v>
      </c>
      <c r="G265" s="91">
        <v>0.25947394323836598</v>
      </c>
      <c r="H265" s="93">
        <v>29.88</v>
      </c>
      <c r="I265" s="91">
        <v>0.29864863014636422</v>
      </c>
      <c r="J265" s="93">
        <v>25.9</v>
      </c>
      <c r="K265" s="91">
        <v>0.2578238991995418</v>
      </c>
      <c r="L265" s="90">
        <v>32</v>
      </c>
      <c r="M265" s="91">
        <v>0.31983789038432581</v>
      </c>
      <c r="N265" s="93">
        <v>32.79</v>
      </c>
      <c r="O265" s="91">
        <v>0.32773388830318878</v>
      </c>
      <c r="P265" s="94">
        <f t="shared" si="40"/>
        <v>8.4397219002499968E-3</v>
      </c>
      <c r="Q265" s="94">
        <f t="shared" si="41"/>
        <v>3.5854616895874325E-2</v>
      </c>
      <c r="R265" s="94">
        <f t="shared" si="42"/>
        <v>-5.1924225245709832E-2</v>
      </c>
      <c r="S265" s="94">
        <f t="shared" si="43"/>
        <v>-5.9820223164572806E-2</v>
      </c>
      <c r="T265" s="94">
        <f t="shared" si="44"/>
        <v>-2.3965606268698481E-2</v>
      </c>
      <c r="U265" s="94">
        <f t="shared" si="45"/>
        <v>-6.8259945064822802E-2</v>
      </c>
      <c r="V265" s="94">
        <f t="shared" si="46"/>
        <v>1.6500440388241833E-3</v>
      </c>
      <c r="W265" s="94">
        <f t="shared" si="47"/>
        <v>1.008976593907418E-2</v>
      </c>
      <c r="X265" s="94">
        <f t="shared" si="48"/>
        <v>3.9174686907998246E-2</v>
      </c>
      <c r="Y265" s="95">
        <f t="shared" si="49"/>
        <v>-6.0363947145959829E-2</v>
      </c>
    </row>
    <row r="266" spans="1:25" x14ac:dyDescent="0.25">
      <c r="A266" s="89">
        <v>44715</v>
      </c>
      <c r="B266" s="90">
        <v>27.18</v>
      </c>
      <c r="C266" s="91">
        <v>0.2707245190339746</v>
      </c>
      <c r="D266" s="90">
        <v>30.6</v>
      </c>
      <c r="E266" s="92">
        <v>0.30478919361440848</v>
      </c>
      <c r="F266" s="90">
        <v>25.97</v>
      </c>
      <c r="G266" s="91">
        <v>0.25918518012167607</v>
      </c>
      <c r="H266" s="93">
        <v>29.82</v>
      </c>
      <c r="I266" s="91">
        <v>0.29805199472864502</v>
      </c>
      <c r="J266" s="93">
        <v>26.35</v>
      </c>
      <c r="K266" s="91">
        <v>0.2623276111897172</v>
      </c>
      <c r="L266" s="90">
        <v>32.25</v>
      </c>
      <c r="M266" s="91">
        <v>0.3223399339369149</v>
      </c>
      <c r="N266" s="93">
        <v>32.5</v>
      </c>
      <c r="O266" s="91">
        <v>0.32483869311472041</v>
      </c>
      <c r="P266" s="94">
        <f t="shared" si="40"/>
        <v>1.1539338912298525E-2</v>
      </c>
      <c r="Q266" s="94">
        <f t="shared" si="41"/>
        <v>3.4064674580433885E-2</v>
      </c>
      <c r="R266" s="94">
        <f t="shared" si="42"/>
        <v>-5.1615414902940304E-2</v>
      </c>
      <c r="S266" s="94">
        <f t="shared" si="43"/>
        <v>-5.4114174080745814E-2</v>
      </c>
      <c r="T266" s="94">
        <f t="shared" si="44"/>
        <v>-2.0049499500311929E-2</v>
      </c>
      <c r="U266" s="94">
        <f t="shared" si="45"/>
        <v>-6.5653512993044338E-2</v>
      </c>
      <c r="V266" s="94">
        <f t="shared" si="46"/>
        <v>-3.1424310680411294E-3</v>
      </c>
      <c r="W266" s="94">
        <f t="shared" si="47"/>
        <v>8.3969078442573952E-3</v>
      </c>
      <c r="X266" s="94">
        <f t="shared" si="48"/>
        <v>3.8866814606968947E-2</v>
      </c>
      <c r="Y266" s="95">
        <f t="shared" si="49"/>
        <v>-6.3154753815238829E-2</v>
      </c>
    </row>
    <row r="267" spans="1:25" x14ac:dyDescent="0.25">
      <c r="A267" s="89">
        <v>44714</v>
      </c>
      <c r="B267" s="90">
        <v>27.35</v>
      </c>
      <c r="C267" s="91">
        <v>0.2724252265036568</v>
      </c>
      <c r="D267" s="90">
        <v>30.55</v>
      </c>
      <c r="E267" s="92">
        <v>0.30429947603973367</v>
      </c>
      <c r="F267" s="90">
        <v>26.2</v>
      </c>
      <c r="G267" s="91">
        <v>0.26148419555944441</v>
      </c>
      <c r="H267" s="93">
        <v>30.26</v>
      </c>
      <c r="I267" s="91">
        <v>0.30245084615805912</v>
      </c>
      <c r="J267" s="93">
        <v>26.25</v>
      </c>
      <c r="K267" s="91">
        <v>0.26134007964650052</v>
      </c>
      <c r="L267" s="90">
        <v>32.4</v>
      </c>
      <c r="M267" s="91">
        <v>0.32384029793526481</v>
      </c>
      <c r="N267" s="93">
        <v>32.6</v>
      </c>
      <c r="O267" s="91">
        <v>0.32583931212005041</v>
      </c>
      <c r="P267" s="94">
        <f t="shared" si="40"/>
        <v>1.0941030944212393E-2</v>
      </c>
      <c r="Q267" s="94">
        <f t="shared" si="41"/>
        <v>3.1874249536076871E-2</v>
      </c>
      <c r="R267" s="94">
        <f t="shared" si="42"/>
        <v>-5.1415071431608006E-2</v>
      </c>
      <c r="S267" s="94">
        <f t="shared" si="43"/>
        <v>-5.3414085616393603E-2</v>
      </c>
      <c r="T267" s="94">
        <f t="shared" si="44"/>
        <v>-2.1539836080316732E-2</v>
      </c>
      <c r="U267" s="94">
        <f t="shared" si="45"/>
        <v>-6.4355116560605996E-2</v>
      </c>
      <c r="V267" s="94">
        <f t="shared" si="46"/>
        <v>1.4411591294388737E-4</v>
      </c>
      <c r="W267" s="94">
        <f t="shared" si="47"/>
        <v>1.1085146857156281E-2</v>
      </c>
      <c r="X267" s="94">
        <f t="shared" si="48"/>
        <v>4.0966650598614707E-2</v>
      </c>
      <c r="Y267" s="95">
        <f t="shared" si="49"/>
        <v>-6.2356102375820399E-2</v>
      </c>
    </row>
    <row r="268" spans="1:25" x14ac:dyDescent="0.25">
      <c r="A268" s="89">
        <v>44713</v>
      </c>
      <c r="B268" s="90">
        <v>27.35</v>
      </c>
      <c r="C268" s="91">
        <v>0.27243266108124342</v>
      </c>
      <c r="D268" s="90">
        <v>30.01</v>
      </c>
      <c r="E268" s="92">
        <v>0.29892885407854158</v>
      </c>
      <c r="F268" s="90">
        <v>26.2</v>
      </c>
      <c r="G268" s="91">
        <v>0.26148777053169819</v>
      </c>
      <c r="H268" s="93">
        <v>29.92</v>
      </c>
      <c r="I268" s="91">
        <v>0.29905354569508769</v>
      </c>
      <c r="J268" s="93">
        <v>26.4</v>
      </c>
      <c r="K268" s="91">
        <v>0.26284151701234632</v>
      </c>
      <c r="L268" s="90">
        <v>32</v>
      </c>
      <c r="M268" s="91">
        <v>0.3198433643797729</v>
      </c>
      <c r="N268" s="93">
        <v>32.4</v>
      </c>
      <c r="O268" s="91">
        <v>0.32384140643452008</v>
      </c>
      <c r="P268" s="94">
        <f t="shared" si="40"/>
        <v>1.0944890549545228E-2</v>
      </c>
      <c r="Q268" s="94">
        <f t="shared" si="41"/>
        <v>2.6496192997298162E-2</v>
      </c>
      <c r="R268" s="94">
        <f t="shared" si="42"/>
        <v>-4.7410703298529477E-2</v>
      </c>
      <c r="S268" s="94">
        <f t="shared" si="43"/>
        <v>-5.1408745353276664E-2</v>
      </c>
      <c r="T268" s="94">
        <f t="shared" si="44"/>
        <v>-2.4912552355978501E-2</v>
      </c>
      <c r="U268" s="94">
        <f t="shared" si="45"/>
        <v>-6.2353635902821891E-2</v>
      </c>
      <c r="V268" s="94">
        <f t="shared" si="46"/>
        <v>-1.3537464806481214E-3</v>
      </c>
      <c r="W268" s="94">
        <f t="shared" si="47"/>
        <v>9.5911440688971061E-3</v>
      </c>
      <c r="X268" s="94">
        <f t="shared" si="48"/>
        <v>3.7565775163389492E-2</v>
      </c>
      <c r="Y268" s="95">
        <f t="shared" si="49"/>
        <v>-5.8355593848074705E-2</v>
      </c>
    </row>
    <row r="269" spans="1:25" x14ac:dyDescent="0.25">
      <c r="A269" s="89">
        <v>44712</v>
      </c>
      <c r="B269" s="90">
        <v>27.4</v>
      </c>
      <c r="C269" s="91">
        <v>0.27293815839746738</v>
      </c>
      <c r="D269" s="90">
        <v>30.5</v>
      </c>
      <c r="E269" s="92">
        <v>0.30381802303367722</v>
      </c>
      <c r="F269" s="90">
        <v>26.21</v>
      </c>
      <c r="G269" s="91">
        <v>0.26159115145880618</v>
      </c>
      <c r="H269" s="93">
        <v>29.95</v>
      </c>
      <c r="I269" s="91">
        <v>0.29935442353376102</v>
      </c>
      <c r="J269" s="93">
        <v>26.55</v>
      </c>
      <c r="K269" s="91">
        <v>0.26434304652923168</v>
      </c>
      <c r="L269" s="90">
        <v>32.119999999999997</v>
      </c>
      <c r="M269" s="91">
        <v>0.32104387592335232</v>
      </c>
      <c r="N269" s="93">
        <v>32.6</v>
      </c>
      <c r="O269" s="91">
        <v>0.32584154281137262</v>
      </c>
      <c r="P269" s="94">
        <f t="shared" si="40"/>
        <v>1.1347006938661197E-2</v>
      </c>
      <c r="Q269" s="94">
        <f t="shared" si="41"/>
        <v>3.0879864636209842E-2</v>
      </c>
      <c r="R269" s="94">
        <f t="shared" si="42"/>
        <v>-4.8105717525884939E-2</v>
      </c>
      <c r="S269" s="94">
        <f t="shared" si="43"/>
        <v>-5.2903384413905241E-2</v>
      </c>
      <c r="T269" s="94">
        <f t="shared" si="44"/>
        <v>-2.2023519777695399E-2</v>
      </c>
      <c r="U269" s="94">
        <f t="shared" si="45"/>
        <v>-6.4250391352566438E-2</v>
      </c>
      <c r="V269" s="94">
        <f t="shared" si="46"/>
        <v>-2.751895070425503E-3</v>
      </c>
      <c r="W269" s="94">
        <f t="shared" si="47"/>
        <v>8.5951118682356942E-3</v>
      </c>
      <c r="X269" s="94">
        <f t="shared" si="48"/>
        <v>3.7763272074954835E-2</v>
      </c>
      <c r="Y269" s="95">
        <f t="shared" si="49"/>
        <v>-5.9452724464546136E-2</v>
      </c>
    </row>
    <row r="270" spans="1:25" x14ac:dyDescent="0.25">
      <c r="A270" s="89">
        <v>44711</v>
      </c>
      <c r="B270" s="90">
        <v>27.26</v>
      </c>
      <c r="C270" s="91">
        <v>0.27155099478726019</v>
      </c>
      <c r="D270" s="90">
        <v>30.51</v>
      </c>
      <c r="E270" s="92">
        <v>0.30392592996916018</v>
      </c>
      <c r="F270" s="90">
        <v>26.42</v>
      </c>
      <c r="G270" s="91">
        <v>0.26369067964616288</v>
      </c>
      <c r="H270" s="93">
        <v>30.42</v>
      </c>
      <c r="I270" s="91">
        <v>0.304053179800165</v>
      </c>
      <c r="J270" s="93">
        <v>26.69</v>
      </c>
      <c r="K270" s="91">
        <v>0.2657451009141778</v>
      </c>
      <c r="L270" s="90">
        <v>32.299999999999997</v>
      </c>
      <c r="M270" s="91">
        <v>0.32284410609945202</v>
      </c>
      <c r="N270" s="93">
        <v>33.049999999999997</v>
      </c>
      <c r="O270" s="91">
        <v>0.33034048627203982</v>
      </c>
      <c r="P270" s="94">
        <f t="shared" si="40"/>
        <v>7.8603151410973071E-3</v>
      </c>
      <c r="Q270" s="94">
        <f t="shared" si="41"/>
        <v>3.2374935181899989E-2</v>
      </c>
      <c r="R270" s="94">
        <f t="shared" si="42"/>
        <v>-5.129311131219183E-2</v>
      </c>
      <c r="S270" s="94">
        <f t="shared" si="43"/>
        <v>-5.8789491484779632E-2</v>
      </c>
      <c r="T270" s="94">
        <f t="shared" si="44"/>
        <v>-2.6414556302879644E-2</v>
      </c>
      <c r="U270" s="94">
        <f t="shared" si="45"/>
        <v>-6.6649806625876939E-2</v>
      </c>
      <c r="V270" s="94">
        <f t="shared" si="46"/>
        <v>-2.0544212680149165E-3</v>
      </c>
      <c r="W270" s="94">
        <f t="shared" si="47"/>
        <v>5.8058938730823906E-3</v>
      </c>
      <c r="X270" s="94">
        <f t="shared" si="48"/>
        <v>4.0362500154002112E-2</v>
      </c>
      <c r="Y270" s="95">
        <f t="shared" si="49"/>
        <v>-5.9153426453289137E-2</v>
      </c>
    </row>
    <row r="271" spans="1:25" x14ac:dyDescent="0.25">
      <c r="A271" s="89">
        <v>44708</v>
      </c>
      <c r="B271" s="90">
        <v>27.55</v>
      </c>
      <c r="C271" s="91">
        <v>0.27446230689448109</v>
      </c>
      <c r="D271" s="90">
        <v>30.92</v>
      </c>
      <c r="E271" s="92">
        <v>0.30803537310988588</v>
      </c>
      <c r="F271" s="90">
        <v>26.07</v>
      </c>
      <c r="G271" s="91">
        <v>0.26020809975662451</v>
      </c>
      <c r="H271" s="93">
        <v>29.95</v>
      </c>
      <c r="I271" s="91">
        <v>0.29935852234218069</v>
      </c>
      <c r="J271" s="93">
        <v>26.2</v>
      </c>
      <c r="K271" s="91">
        <v>0.26089032266864909</v>
      </c>
      <c r="L271" s="90">
        <v>31.9</v>
      </c>
      <c r="M271" s="91">
        <v>0.31884931094208901</v>
      </c>
      <c r="N271" s="93">
        <v>32.479999999999997</v>
      </c>
      <c r="O271" s="91">
        <v>0.32464657114103612</v>
      </c>
      <c r="P271" s="94">
        <f t="shared" si="40"/>
        <v>1.4254207137856578E-2</v>
      </c>
      <c r="Q271" s="94">
        <f t="shared" si="41"/>
        <v>3.357306621540479E-2</v>
      </c>
      <c r="R271" s="94">
        <f t="shared" si="42"/>
        <v>-4.4387004047607925E-2</v>
      </c>
      <c r="S271" s="94">
        <f t="shared" si="43"/>
        <v>-5.0184264246555033E-2</v>
      </c>
      <c r="T271" s="94">
        <f t="shared" si="44"/>
        <v>-1.6611198031150243E-2</v>
      </c>
      <c r="U271" s="94">
        <f t="shared" si="45"/>
        <v>-6.4438471384411611E-2</v>
      </c>
      <c r="V271" s="94">
        <f t="shared" si="46"/>
        <v>-6.8222291202457708E-4</v>
      </c>
      <c r="W271" s="94">
        <f t="shared" si="47"/>
        <v>1.3571984225832001E-2</v>
      </c>
      <c r="X271" s="94">
        <f t="shared" si="48"/>
        <v>3.9150422585556177E-2</v>
      </c>
      <c r="Y271" s="95">
        <f t="shared" si="49"/>
        <v>-5.8641211185464504E-2</v>
      </c>
    </row>
    <row r="272" spans="1:25" x14ac:dyDescent="0.25">
      <c r="A272" s="89">
        <v>44707</v>
      </c>
      <c r="B272" s="90">
        <v>27.5</v>
      </c>
      <c r="C272" s="91">
        <v>0.27397166798591588</v>
      </c>
      <c r="D272" s="90">
        <v>30.5</v>
      </c>
      <c r="E272" s="92">
        <v>0.30385948631165222</v>
      </c>
      <c r="F272" s="90">
        <v>26.24</v>
      </c>
      <c r="G272" s="91">
        <v>0.26190847313945059</v>
      </c>
      <c r="H272" s="93">
        <v>30.06</v>
      </c>
      <c r="I272" s="91">
        <v>0.30045903120796058</v>
      </c>
      <c r="J272" s="93">
        <v>26.15</v>
      </c>
      <c r="K272" s="91">
        <v>0.26040043242063482</v>
      </c>
      <c r="L272" s="90">
        <v>31.7</v>
      </c>
      <c r="M272" s="91">
        <v>0.31685134029582013</v>
      </c>
      <c r="N272" s="93">
        <v>31.8</v>
      </c>
      <c r="O272" s="91">
        <v>0.31785087133776269</v>
      </c>
      <c r="P272" s="94">
        <f t="shared" si="40"/>
        <v>1.2063194846465286E-2</v>
      </c>
      <c r="Q272" s="94">
        <f t="shared" si="41"/>
        <v>2.9887818325736337E-2</v>
      </c>
      <c r="R272" s="94">
        <f t="shared" si="42"/>
        <v>-4.2879672309904249E-2</v>
      </c>
      <c r="S272" s="94">
        <f t="shared" si="43"/>
        <v>-4.3879203351846807E-2</v>
      </c>
      <c r="T272" s="94">
        <f t="shared" si="44"/>
        <v>-1.399138502611047E-2</v>
      </c>
      <c r="U272" s="94">
        <f t="shared" si="45"/>
        <v>-5.5942398198312093E-2</v>
      </c>
      <c r="V272" s="94">
        <f t="shared" si="46"/>
        <v>1.508040718815773E-3</v>
      </c>
      <c r="W272" s="94">
        <f t="shared" si="47"/>
        <v>1.3571235565281059E-2</v>
      </c>
      <c r="X272" s="94">
        <f t="shared" si="48"/>
        <v>3.8550558068509988E-2</v>
      </c>
      <c r="Y272" s="95">
        <f t="shared" si="49"/>
        <v>-5.4942867156369535E-2</v>
      </c>
    </row>
    <row r="273" spans="1:25" x14ac:dyDescent="0.25">
      <c r="A273" s="89">
        <v>44705</v>
      </c>
      <c r="B273" s="90">
        <v>27.1</v>
      </c>
      <c r="C273" s="91">
        <v>0.27000136481506759</v>
      </c>
      <c r="D273" s="90">
        <v>30</v>
      </c>
      <c r="E273" s="92">
        <v>0.29889449979527771</v>
      </c>
      <c r="F273" s="90">
        <v>25.89</v>
      </c>
      <c r="G273" s="91">
        <v>0.25842209612360711</v>
      </c>
      <c r="H273" s="93">
        <v>29.69</v>
      </c>
      <c r="I273" s="91">
        <v>0.29676279802146271</v>
      </c>
      <c r="J273" s="93">
        <v>26</v>
      </c>
      <c r="K273" s="91">
        <v>0.25892263356240303</v>
      </c>
      <c r="L273" s="90">
        <v>31.21</v>
      </c>
      <c r="M273" s="91">
        <v>0.31195577387166901</v>
      </c>
      <c r="N273" s="93">
        <v>31.99</v>
      </c>
      <c r="O273" s="91">
        <v>0.3197521693737484</v>
      </c>
      <c r="P273" s="94">
        <f t="shared" si="40"/>
        <v>1.1579268691460476E-2</v>
      </c>
      <c r="Q273" s="94">
        <f t="shared" si="41"/>
        <v>2.8893134980210122E-2</v>
      </c>
      <c r="R273" s="94">
        <f t="shared" si="42"/>
        <v>-4.1954409056601416E-2</v>
      </c>
      <c r="S273" s="94">
        <f t="shared" si="43"/>
        <v>-4.9750804558680806E-2</v>
      </c>
      <c r="T273" s="94">
        <f t="shared" si="44"/>
        <v>-2.0857669578470683E-2</v>
      </c>
      <c r="U273" s="94">
        <f t="shared" si="45"/>
        <v>-6.1330073250141282E-2</v>
      </c>
      <c r="V273" s="94">
        <f t="shared" si="46"/>
        <v>-5.0053743879591162E-4</v>
      </c>
      <c r="W273" s="94">
        <f t="shared" si="47"/>
        <v>1.1078731252664564E-2</v>
      </c>
      <c r="X273" s="94">
        <f t="shared" si="48"/>
        <v>3.83407018978556E-2</v>
      </c>
      <c r="Y273" s="95">
        <f t="shared" si="49"/>
        <v>-5.3533677748061892E-2</v>
      </c>
    </row>
    <row r="274" spans="1:25" x14ac:dyDescent="0.25">
      <c r="A274" s="89">
        <v>44704</v>
      </c>
      <c r="B274" s="90">
        <v>27.49</v>
      </c>
      <c r="C274" s="91">
        <v>0.27389446961838732</v>
      </c>
      <c r="D274" s="90">
        <v>30.42</v>
      </c>
      <c r="E274" s="92">
        <v>0.30308729595457767</v>
      </c>
      <c r="F274" s="90">
        <v>26.16</v>
      </c>
      <c r="G274" s="91">
        <v>0.26112068258265653</v>
      </c>
      <c r="H274" s="93">
        <v>29.7</v>
      </c>
      <c r="I274" s="91">
        <v>0.29686376799687808</v>
      </c>
      <c r="J274" s="93">
        <v>26.2</v>
      </c>
      <c r="K274" s="91">
        <v>0.26092235493134519</v>
      </c>
      <c r="L274" s="90">
        <v>31.54</v>
      </c>
      <c r="M274" s="91">
        <v>0.31525532803439521</v>
      </c>
      <c r="N274" s="93">
        <v>31.85</v>
      </c>
      <c r="O274" s="91">
        <v>0.31835390608419423</v>
      </c>
      <c r="P274" s="94">
        <f t="shared" si="40"/>
        <v>1.2773787035730788E-2</v>
      </c>
      <c r="Q274" s="94">
        <f t="shared" si="41"/>
        <v>2.9192826336190358E-2</v>
      </c>
      <c r="R274" s="94">
        <f t="shared" si="42"/>
        <v>-4.1360858416007895E-2</v>
      </c>
      <c r="S274" s="94">
        <f t="shared" si="43"/>
        <v>-4.4459436465806912E-2</v>
      </c>
      <c r="T274" s="94">
        <f t="shared" si="44"/>
        <v>-1.5266610129616554E-2</v>
      </c>
      <c r="U274" s="94">
        <f t="shared" si="45"/>
        <v>-5.72332235015377E-2</v>
      </c>
      <c r="V274" s="94">
        <f t="shared" si="46"/>
        <v>1.9832765131133634E-4</v>
      </c>
      <c r="W274" s="94">
        <f t="shared" si="47"/>
        <v>1.2972114687042124E-2</v>
      </c>
      <c r="X274" s="94">
        <f t="shared" si="48"/>
        <v>3.5743085414221554E-2</v>
      </c>
      <c r="Y274" s="95">
        <f t="shared" si="49"/>
        <v>-5.4134645451738683E-2</v>
      </c>
    </row>
    <row r="275" spans="1:25" x14ac:dyDescent="0.25">
      <c r="A275" s="89">
        <v>44701</v>
      </c>
      <c r="B275" s="90">
        <v>26.91</v>
      </c>
      <c r="C275" s="91">
        <v>0.26813764297998971</v>
      </c>
      <c r="D275" s="90">
        <v>29.5</v>
      </c>
      <c r="E275" s="92">
        <v>0.29394501924599381</v>
      </c>
      <c r="F275" s="90">
        <v>25.93</v>
      </c>
      <c r="G275" s="91">
        <v>0.25883551435095931</v>
      </c>
      <c r="H275" s="93">
        <v>29.3</v>
      </c>
      <c r="I275" s="91">
        <v>0.29286861031523531</v>
      </c>
      <c r="J275" s="93">
        <v>26.09</v>
      </c>
      <c r="K275" s="91">
        <v>0.25985080786823073</v>
      </c>
      <c r="L275" s="90">
        <v>31.5</v>
      </c>
      <c r="M275" s="91">
        <v>0.31485874487815402</v>
      </c>
      <c r="N275" s="93">
        <v>31.99</v>
      </c>
      <c r="O275" s="91">
        <v>0.3197565475762586</v>
      </c>
      <c r="P275" s="94">
        <f t="shared" si="40"/>
        <v>9.3021286290304039E-3</v>
      </c>
      <c r="Q275" s="94">
        <f t="shared" si="41"/>
        <v>2.5807376266004101E-2</v>
      </c>
      <c r="R275" s="94">
        <f t="shared" si="42"/>
        <v>-4.6721101898164308E-2</v>
      </c>
      <c r="S275" s="94">
        <f t="shared" si="43"/>
        <v>-5.1618904596268889E-2</v>
      </c>
      <c r="T275" s="94">
        <f t="shared" si="44"/>
        <v>-2.5811528330264788E-2</v>
      </c>
      <c r="U275" s="94">
        <f t="shared" si="45"/>
        <v>-6.0921033225299293E-2</v>
      </c>
      <c r="V275" s="94">
        <f t="shared" si="46"/>
        <v>-1.0152935172714206E-3</v>
      </c>
      <c r="W275" s="94">
        <f t="shared" si="47"/>
        <v>8.2868351117589834E-3</v>
      </c>
      <c r="X275" s="94">
        <f t="shared" si="48"/>
        <v>3.4033095964276006E-2</v>
      </c>
      <c r="Y275" s="95">
        <f t="shared" si="49"/>
        <v>-5.6023230527194712E-2</v>
      </c>
    </row>
    <row r="276" spans="1:25" x14ac:dyDescent="0.25">
      <c r="A276" s="89">
        <v>44700</v>
      </c>
      <c r="B276" s="90">
        <v>27.4</v>
      </c>
      <c r="C276" s="91">
        <v>0.27302757302757302</v>
      </c>
      <c r="D276" s="90">
        <v>31</v>
      </c>
      <c r="E276" s="92">
        <v>0.30889980889980889</v>
      </c>
      <c r="F276" s="90">
        <v>26.35</v>
      </c>
      <c r="G276" s="91">
        <v>0.26303158758375489</v>
      </c>
      <c r="H276" s="93">
        <v>29.96</v>
      </c>
      <c r="I276" s="91">
        <v>0.29946667579502279</v>
      </c>
      <c r="J276" s="93">
        <v>26.32</v>
      </c>
      <c r="K276" s="91">
        <v>0.2621496060306307</v>
      </c>
      <c r="L276" s="90">
        <v>31.8</v>
      </c>
      <c r="M276" s="91">
        <v>0.31785848765960362</v>
      </c>
      <c r="N276" s="93">
        <v>31.7</v>
      </c>
      <c r="O276" s="91">
        <v>0.31685893266696341</v>
      </c>
      <c r="P276" s="94">
        <f t="shared" si="40"/>
        <v>9.9959854438181339E-3</v>
      </c>
      <c r="Q276" s="94">
        <f t="shared" si="41"/>
        <v>3.5872235872235869E-2</v>
      </c>
      <c r="R276" s="94">
        <f t="shared" si="42"/>
        <v>-4.4830914632030594E-2</v>
      </c>
      <c r="S276" s="94">
        <f t="shared" si="43"/>
        <v>-4.3831359639390388E-2</v>
      </c>
      <c r="T276" s="94">
        <f t="shared" si="44"/>
        <v>-7.959123767154519E-3</v>
      </c>
      <c r="U276" s="94">
        <f t="shared" si="45"/>
        <v>-5.3827345083208522E-2</v>
      </c>
      <c r="V276" s="94">
        <f t="shared" si="46"/>
        <v>8.8198155312418924E-4</v>
      </c>
      <c r="W276" s="94">
        <f t="shared" si="47"/>
        <v>1.0877966996942323E-2</v>
      </c>
      <c r="X276" s="94">
        <f t="shared" si="48"/>
        <v>3.6435088211267896E-2</v>
      </c>
      <c r="Y276" s="95">
        <f t="shared" si="49"/>
        <v>-5.4826900075848728E-2</v>
      </c>
    </row>
    <row r="277" spans="1:25" x14ac:dyDescent="0.25">
      <c r="A277" s="89">
        <v>44698</v>
      </c>
      <c r="B277" s="90">
        <v>27.79</v>
      </c>
      <c r="C277" s="91">
        <v>0.27692885224418479</v>
      </c>
      <c r="D277" s="90">
        <v>31.6</v>
      </c>
      <c r="E277" s="92">
        <v>0.31489570820137602</v>
      </c>
      <c r="F277" s="90">
        <v>26.31</v>
      </c>
      <c r="G277" s="91">
        <v>0.26263948145717098</v>
      </c>
      <c r="H277" s="93">
        <v>29.7</v>
      </c>
      <c r="I277" s="91">
        <v>0.29686986526454162</v>
      </c>
      <c r="J277" s="93">
        <v>26.49</v>
      </c>
      <c r="K277" s="91">
        <v>0.26385902194083621</v>
      </c>
      <c r="L277" s="90">
        <v>31.6</v>
      </c>
      <c r="M277" s="91">
        <v>0.31586154014678502</v>
      </c>
      <c r="N277" s="93">
        <v>31.8</v>
      </c>
      <c r="O277" s="91">
        <v>0.31786066381860012</v>
      </c>
      <c r="P277" s="94">
        <f t="shared" si="40"/>
        <v>1.4289370787013811E-2</v>
      </c>
      <c r="Q277" s="94">
        <f t="shared" si="41"/>
        <v>3.7966855957191237E-2</v>
      </c>
      <c r="R277" s="94">
        <f t="shared" si="42"/>
        <v>-3.8932687902600238E-2</v>
      </c>
      <c r="S277" s="94">
        <f t="shared" si="43"/>
        <v>-4.0931811574415333E-2</v>
      </c>
      <c r="T277" s="94">
        <f t="shared" si="44"/>
        <v>-2.9649556172240965E-3</v>
      </c>
      <c r="U277" s="94">
        <f t="shared" si="45"/>
        <v>-5.5221182361429144E-2</v>
      </c>
      <c r="V277" s="94">
        <f t="shared" si="46"/>
        <v>-1.2195404836652379E-3</v>
      </c>
      <c r="W277" s="94">
        <f t="shared" si="47"/>
        <v>1.3069830303348573E-2</v>
      </c>
      <c r="X277" s="94">
        <f t="shared" si="48"/>
        <v>3.4230383807370646E-2</v>
      </c>
      <c r="Y277" s="95">
        <f t="shared" si="49"/>
        <v>-5.3222058689614049E-2</v>
      </c>
    </row>
    <row r="278" spans="1:25" x14ac:dyDescent="0.25">
      <c r="A278" s="89">
        <v>44697</v>
      </c>
      <c r="B278" s="90">
        <v>27.7</v>
      </c>
      <c r="C278" s="91">
        <v>0.27603953367734191</v>
      </c>
      <c r="D278" s="90">
        <v>31.8</v>
      </c>
      <c r="E278" s="92">
        <v>0.31689737079203872</v>
      </c>
      <c r="F278" s="90">
        <v>26.41</v>
      </c>
      <c r="G278" s="91">
        <v>0.26364133630533182</v>
      </c>
      <c r="H278" s="93">
        <v>30.03</v>
      </c>
      <c r="I278" s="91">
        <v>0.30016944685017127</v>
      </c>
      <c r="J278" s="93">
        <v>26.5</v>
      </c>
      <c r="K278" s="91">
        <v>0.26396673295968182</v>
      </c>
      <c r="L278" s="90">
        <v>31.7</v>
      </c>
      <c r="M278" s="91">
        <v>0.31686218665169602</v>
      </c>
      <c r="N278" s="93">
        <v>31.65</v>
      </c>
      <c r="O278" s="91">
        <v>0.31636240402290777</v>
      </c>
      <c r="P278" s="94">
        <f t="shared" si="40"/>
        <v>1.2398197372010089E-2</v>
      </c>
      <c r="Q278" s="94">
        <f t="shared" si="41"/>
        <v>4.0857837114696816E-2</v>
      </c>
      <c r="R278" s="94">
        <f t="shared" si="42"/>
        <v>-4.0822652974354112E-2</v>
      </c>
      <c r="S278" s="94">
        <f t="shared" si="43"/>
        <v>-4.0322870345565864E-2</v>
      </c>
      <c r="T278" s="94">
        <f t="shared" si="44"/>
        <v>5.349667691309512E-4</v>
      </c>
      <c r="U278" s="94">
        <f t="shared" si="45"/>
        <v>-5.2721067717575953E-2</v>
      </c>
      <c r="V278" s="94">
        <f t="shared" si="46"/>
        <v>-3.2539665434999643E-4</v>
      </c>
      <c r="W278" s="94">
        <f t="shared" si="47"/>
        <v>1.2072800717660093E-2</v>
      </c>
      <c r="X278" s="94">
        <f t="shared" si="48"/>
        <v>3.6528110544839454E-2</v>
      </c>
      <c r="Y278" s="95">
        <f t="shared" si="49"/>
        <v>-5.3220850346364201E-2</v>
      </c>
    </row>
    <row r="279" spans="1:25" x14ac:dyDescent="0.25">
      <c r="A279" s="89">
        <v>44694</v>
      </c>
      <c r="B279" s="90">
        <v>27.73</v>
      </c>
      <c r="C279" s="91">
        <v>0.27636112931411089</v>
      </c>
      <c r="D279" s="90">
        <v>31.6</v>
      </c>
      <c r="E279" s="92">
        <v>0.31493010048055919</v>
      </c>
      <c r="F279" s="90">
        <v>26.5</v>
      </c>
      <c r="G279" s="91">
        <v>0.26455062633335158</v>
      </c>
      <c r="H279" s="93">
        <v>30.14</v>
      </c>
      <c r="I279" s="91">
        <v>0.30127206254878058</v>
      </c>
      <c r="J279" s="93">
        <v>26.96</v>
      </c>
      <c r="K279" s="91">
        <v>0.26857353402748402</v>
      </c>
      <c r="L279" s="90">
        <v>32.049999999999997</v>
      </c>
      <c r="M279" s="91">
        <v>0.32036395503279419</v>
      </c>
      <c r="N279" s="93">
        <v>32.299999999999997</v>
      </c>
      <c r="O279" s="91">
        <v>0.32286289383960232</v>
      </c>
      <c r="P279" s="94">
        <f t="shared" si="40"/>
        <v>1.1810502980759308E-2</v>
      </c>
      <c r="Q279" s="94">
        <f t="shared" si="41"/>
        <v>3.8568971166448307E-2</v>
      </c>
      <c r="R279" s="94">
        <f t="shared" si="42"/>
        <v>-4.4002825718683303E-2</v>
      </c>
      <c r="S279" s="94">
        <f t="shared" si="43"/>
        <v>-4.6501764525491429E-2</v>
      </c>
      <c r="T279" s="94">
        <f t="shared" si="44"/>
        <v>-7.9327933590431221E-3</v>
      </c>
      <c r="U279" s="94">
        <f t="shared" si="45"/>
        <v>-5.8312267506250737E-2</v>
      </c>
      <c r="V279" s="94">
        <f t="shared" si="46"/>
        <v>-4.0229076941324382E-3</v>
      </c>
      <c r="W279" s="94">
        <f t="shared" si="47"/>
        <v>7.7875952866268694E-3</v>
      </c>
      <c r="X279" s="94">
        <f t="shared" si="48"/>
        <v>3.6721436215429004E-2</v>
      </c>
      <c r="Y279" s="95">
        <f t="shared" si="49"/>
        <v>-5.581332869944261E-2</v>
      </c>
    </row>
    <row r="280" spans="1:25" x14ac:dyDescent="0.25">
      <c r="A280" s="89">
        <v>44693</v>
      </c>
      <c r="B280" s="90">
        <v>28.12</v>
      </c>
      <c r="C280" s="91">
        <v>0.28025557709636018</v>
      </c>
      <c r="D280" s="90">
        <v>32.200000000000003</v>
      </c>
      <c r="E280" s="92">
        <v>0.32091854845315793</v>
      </c>
      <c r="F280" s="90">
        <v>26.97</v>
      </c>
      <c r="G280" s="91">
        <v>0.26924633836139111</v>
      </c>
      <c r="H280" s="93">
        <v>30.5</v>
      </c>
      <c r="I280" s="91">
        <v>0.30487157806814252</v>
      </c>
      <c r="J280" s="93">
        <v>27</v>
      </c>
      <c r="K280" s="91">
        <v>0.26898027000378699</v>
      </c>
      <c r="L280" s="90">
        <v>32.6</v>
      </c>
      <c r="M280" s="91">
        <v>0.32586273590234249</v>
      </c>
      <c r="N280" s="93">
        <v>32.5</v>
      </c>
      <c r="O280" s="91">
        <v>0.32486315695785678</v>
      </c>
      <c r="P280" s="94">
        <f t="shared" si="40"/>
        <v>1.1009238734969062E-2</v>
      </c>
      <c r="Q280" s="94">
        <f t="shared" si="41"/>
        <v>4.066297135679775E-2</v>
      </c>
      <c r="R280" s="94">
        <f t="shared" si="42"/>
        <v>-4.5607158805982317E-2</v>
      </c>
      <c r="S280" s="94">
        <f t="shared" si="43"/>
        <v>-4.4607579861496605E-2</v>
      </c>
      <c r="T280" s="94">
        <f t="shared" si="44"/>
        <v>-3.9446085046988544E-3</v>
      </c>
      <c r="U280" s="94">
        <f t="shared" si="45"/>
        <v>-5.5616818596465667E-2</v>
      </c>
      <c r="V280" s="94">
        <f t="shared" si="46"/>
        <v>2.6606835760412118E-4</v>
      </c>
      <c r="W280" s="94">
        <f t="shared" si="47"/>
        <v>1.1275307092573184E-2</v>
      </c>
      <c r="X280" s="94">
        <f t="shared" si="48"/>
        <v>3.562523970675141E-2</v>
      </c>
      <c r="Y280" s="95">
        <f t="shared" si="49"/>
        <v>-5.661639754095138E-2</v>
      </c>
    </row>
    <row r="281" spans="1:25" x14ac:dyDescent="0.25">
      <c r="A281" s="89">
        <v>44692</v>
      </c>
      <c r="B281" s="90">
        <v>28.66</v>
      </c>
      <c r="C281" s="91">
        <v>0.28564524056578011</v>
      </c>
      <c r="D281" s="90">
        <v>31.83</v>
      </c>
      <c r="E281" s="92">
        <v>0.3172396373764404</v>
      </c>
      <c r="F281" s="90">
        <v>27.43</v>
      </c>
      <c r="G281" s="91">
        <v>0.27384234566888221</v>
      </c>
      <c r="H281" s="93">
        <v>31.07</v>
      </c>
      <c r="I281" s="91">
        <v>0.31057024120059429</v>
      </c>
      <c r="J281" s="93">
        <v>27.31</v>
      </c>
      <c r="K281" s="91">
        <v>0.2720769162532668</v>
      </c>
      <c r="L281" s="90">
        <v>32.799999999999997</v>
      </c>
      <c r="M281" s="91">
        <v>0.3278630161370934</v>
      </c>
      <c r="N281" s="93">
        <v>32.75</v>
      </c>
      <c r="O281" s="91">
        <v>0.32736322495395759</v>
      </c>
      <c r="P281" s="94">
        <f t="shared" si="40"/>
        <v>1.1802894896897898E-2</v>
      </c>
      <c r="Q281" s="94">
        <f t="shared" si="41"/>
        <v>3.1594396810660286E-2</v>
      </c>
      <c r="R281" s="94">
        <f t="shared" si="42"/>
        <v>-4.2217775571313287E-2</v>
      </c>
      <c r="S281" s="94">
        <f t="shared" si="43"/>
        <v>-4.1717984388177476E-2</v>
      </c>
      <c r="T281" s="94">
        <f t="shared" si="44"/>
        <v>-1.012358757751719E-2</v>
      </c>
      <c r="U281" s="94">
        <f t="shared" si="45"/>
        <v>-5.3520879285075373E-2</v>
      </c>
      <c r="V281" s="94">
        <f t="shared" si="46"/>
        <v>1.765429415615416E-3</v>
      </c>
      <c r="W281" s="94">
        <f t="shared" si="47"/>
        <v>1.3568324312513314E-2</v>
      </c>
      <c r="X281" s="94">
        <f t="shared" si="48"/>
        <v>3.6727895531712074E-2</v>
      </c>
      <c r="Y281" s="95">
        <f t="shared" si="49"/>
        <v>-5.4020670468211185E-2</v>
      </c>
    </row>
    <row r="282" spans="1:25" x14ac:dyDescent="0.25">
      <c r="A282" s="89">
        <v>44691</v>
      </c>
      <c r="B282" s="90">
        <v>28.12</v>
      </c>
      <c r="C282" s="91">
        <v>0.28027088282679341</v>
      </c>
      <c r="D282" s="90">
        <v>31.31</v>
      </c>
      <c r="E282" s="92">
        <v>0.31206548155429942</v>
      </c>
      <c r="F282" s="90">
        <v>27.09</v>
      </c>
      <c r="G282" s="91">
        <v>0.27045171701699922</v>
      </c>
      <c r="H282" s="93">
        <v>30.8</v>
      </c>
      <c r="I282" s="91">
        <v>0.30787242272893772</v>
      </c>
      <c r="J282" s="93">
        <v>27.25</v>
      </c>
      <c r="K282" s="91">
        <v>0.27148750038384251</v>
      </c>
      <c r="L282" s="90">
        <v>32.5</v>
      </c>
      <c r="M282" s="91">
        <v>0.32485295476874299</v>
      </c>
      <c r="N282" s="93">
        <v>32.799999999999997</v>
      </c>
      <c r="O282" s="91">
        <v>0.32786413849055701</v>
      </c>
      <c r="P282" s="94">
        <f t="shared" si="40"/>
        <v>9.8191658097941947E-3</v>
      </c>
      <c r="Q282" s="94">
        <f t="shared" si="41"/>
        <v>3.1794598727506007E-2</v>
      </c>
      <c r="R282" s="94">
        <f t="shared" si="42"/>
        <v>-4.4582071941949575E-2</v>
      </c>
      <c r="S282" s="94">
        <f t="shared" si="43"/>
        <v>-4.7593255663763601E-2</v>
      </c>
      <c r="T282" s="94">
        <f t="shared" si="44"/>
        <v>-1.5798656936257593E-2</v>
      </c>
      <c r="U282" s="94">
        <f t="shared" si="45"/>
        <v>-5.7412421473557795E-2</v>
      </c>
      <c r="V282" s="94">
        <f t="shared" si="46"/>
        <v>-1.0357833668432903E-3</v>
      </c>
      <c r="W282" s="94">
        <f t="shared" si="47"/>
        <v>8.7833824429509044E-3</v>
      </c>
      <c r="X282" s="94">
        <f t="shared" si="48"/>
        <v>3.7420705711938507E-2</v>
      </c>
      <c r="Y282" s="95">
        <f t="shared" si="49"/>
        <v>-5.440123775174377E-2</v>
      </c>
    </row>
    <row r="283" spans="1:25" x14ac:dyDescent="0.25">
      <c r="A283" s="89">
        <v>44690</v>
      </c>
      <c r="B283" s="90">
        <v>28.02</v>
      </c>
      <c r="C283" s="91">
        <v>0.27928181321682138</v>
      </c>
      <c r="D283" s="90">
        <v>33.200000000000003</v>
      </c>
      <c r="E283" s="92">
        <v>0.3309120699071546</v>
      </c>
      <c r="F283" s="90">
        <v>27.23</v>
      </c>
      <c r="G283" s="91">
        <v>0.27185311816192559</v>
      </c>
      <c r="H283" s="93">
        <v>30.82</v>
      </c>
      <c r="I283" s="91">
        <v>0.30807339449541282</v>
      </c>
      <c r="J283" s="93">
        <v>27.05</v>
      </c>
      <c r="K283" s="91">
        <v>0.26950320731540878</v>
      </c>
      <c r="L283" s="90">
        <v>32.700000000000003</v>
      </c>
      <c r="M283" s="91">
        <v>0.32686567164179109</v>
      </c>
      <c r="N283" s="93">
        <v>33</v>
      </c>
      <c r="O283" s="91">
        <v>0.32986443927153231</v>
      </c>
      <c r="P283" s="94">
        <f t="shared" si="40"/>
        <v>7.4286950548957953E-3</v>
      </c>
      <c r="Q283" s="94">
        <f t="shared" si="41"/>
        <v>5.1630256690333221E-2</v>
      </c>
      <c r="R283" s="94">
        <f t="shared" si="42"/>
        <v>-4.7583858424969705E-2</v>
      </c>
      <c r="S283" s="94">
        <f t="shared" si="43"/>
        <v>-5.0582626054710922E-2</v>
      </c>
      <c r="T283" s="94">
        <f t="shared" si="44"/>
        <v>1.0476306356222986E-3</v>
      </c>
      <c r="U283" s="94">
        <f t="shared" si="45"/>
        <v>-5.8011321109606717E-2</v>
      </c>
      <c r="V283" s="94">
        <f t="shared" si="46"/>
        <v>2.3499108465168117E-3</v>
      </c>
      <c r="W283" s="94">
        <f t="shared" si="47"/>
        <v>9.778605901412607E-3</v>
      </c>
      <c r="X283" s="94">
        <f t="shared" si="48"/>
        <v>3.6220276333487234E-2</v>
      </c>
      <c r="Y283" s="95">
        <f t="shared" si="49"/>
        <v>-5.50125534798655E-2</v>
      </c>
    </row>
    <row r="284" spans="1:25" x14ac:dyDescent="0.25">
      <c r="A284" s="89">
        <v>44687</v>
      </c>
      <c r="B284" s="90">
        <v>28.92</v>
      </c>
      <c r="C284" s="91">
        <v>0.28827593740612278</v>
      </c>
      <c r="D284" s="90">
        <v>33.200000000000003</v>
      </c>
      <c r="E284" s="92">
        <v>0.33093918125460853</v>
      </c>
      <c r="F284" s="90">
        <v>27.25</v>
      </c>
      <c r="G284" s="91">
        <v>0.27206395229563568</v>
      </c>
      <c r="H284" s="93">
        <v>30.85</v>
      </c>
      <c r="I284" s="91">
        <v>0.30837643820797828</v>
      </c>
      <c r="J284" s="93">
        <v>27.3</v>
      </c>
      <c r="K284" s="91">
        <v>0.27201905457374598</v>
      </c>
      <c r="L284" s="90">
        <v>32.6</v>
      </c>
      <c r="M284" s="91">
        <v>0.32586942903014893</v>
      </c>
      <c r="N284" s="93">
        <v>33</v>
      </c>
      <c r="O284" s="91">
        <v>0.32986782693235928</v>
      </c>
      <c r="P284" s="94">
        <f t="shared" si="40"/>
        <v>1.6211985110487104E-2</v>
      </c>
      <c r="Q284" s="94">
        <f t="shared" si="41"/>
        <v>4.2663243848485743E-2</v>
      </c>
      <c r="R284" s="94">
        <f t="shared" si="42"/>
        <v>-3.7593491624026143E-2</v>
      </c>
      <c r="S284" s="94">
        <f t="shared" si="43"/>
        <v>-4.1591889526236492E-2</v>
      </c>
      <c r="T284" s="94">
        <f t="shared" si="44"/>
        <v>1.0713543222492516E-3</v>
      </c>
      <c r="U284" s="94">
        <f t="shared" si="45"/>
        <v>-5.7803874636723596E-2</v>
      </c>
      <c r="V284" s="94">
        <f t="shared" si="46"/>
        <v>4.4897721889702868E-5</v>
      </c>
      <c r="W284" s="94">
        <f t="shared" si="47"/>
        <v>1.6256882832376807E-2</v>
      </c>
      <c r="X284" s="94">
        <f t="shared" si="48"/>
        <v>3.6312485912342596E-2</v>
      </c>
      <c r="Y284" s="95">
        <f t="shared" si="49"/>
        <v>-5.3805476734513247E-2</v>
      </c>
    </row>
    <row r="285" spans="1:25" x14ac:dyDescent="0.25">
      <c r="A285" s="89">
        <v>44686</v>
      </c>
      <c r="B285" s="90">
        <v>29.2</v>
      </c>
      <c r="C285" s="91">
        <v>0.29107493991697619</v>
      </c>
      <c r="D285" s="90">
        <v>33.200000000000003</v>
      </c>
      <c r="E285" s="92">
        <v>0.33094821935765789</v>
      </c>
      <c r="F285" s="90">
        <v>28</v>
      </c>
      <c r="G285" s="91">
        <v>0.27955577438590729</v>
      </c>
      <c r="H285" s="93">
        <v>31.94</v>
      </c>
      <c r="I285" s="91">
        <v>0.31927316545481932</v>
      </c>
      <c r="J285" s="93">
        <v>27.95</v>
      </c>
      <c r="K285" s="91">
        <v>0.2785042519212132</v>
      </c>
      <c r="L285" s="90">
        <v>33.119999999999997</v>
      </c>
      <c r="M285" s="91">
        <v>0.33106847964507252</v>
      </c>
      <c r="N285" s="93">
        <v>33.46</v>
      </c>
      <c r="O285" s="91">
        <v>0.33446712949650143</v>
      </c>
      <c r="P285" s="94">
        <f t="shared" si="40"/>
        <v>1.1519165531068909E-2</v>
      </c>
      <c r="Q285" s="94">
        <f t="shared" si="41"/>
        <v>3.9873279440681697E-2</v>
      </c>
      <c r="R285" s="94">
        <f t="shared" si="42"/>
        <v>-3.9993539728096328E-2</v>
      </c>
      <c r="S285" s="94">
        <f t="shared" si="43"/>
        <v>-4.3392189579525231E-2</v>
      </c>
      <c r="T285" s="94">
        <f t="shared" si="44"/>
        <v>-3.518910138843534E-3</v>
      </c>
      <c r="U285" s="94">
        <f t="shared" si="45"/>
        <v>-5.491135511059414E-2</v>
      </c>
      <c r="V285" s="94">
        <f t="shared" si="46"/>
        <v>1.0515224646940879E-3</v>
      </c>
      <c r="W285" s="94">
        <f t="shared" si="47"/>
        <v>1.2570687995762997E-2</v>
      </c>
      <c r="X285" s="94">
        <f t="shared" si="48"/>
        <v>3.9717391068912034E-2</v>
      </c>
      <c r="Y285" s="95">
        <f t="shared" si="49"/>
        <v>-5.1512705259165237E-2</v>
      </c>
    </row>
    <row r="286" spans="1:25" x14ac:dyDescent="0.25">
      <c r="A286" s="89">
        <v>44685</v>
      </c>
      <c r="B286" s="90">
        <v>29.75</v>
      </c>
      <c r="C286" s="91">
        <v>0.29656561518503338</v>
      </c>
      <c r="D286" s="90">
        <v>32.549999999999997</v>
      </c>
      <c r="E286" s="92">
        <v>0.3244776730848013</v>
      </c>
      <c r="F286" s="90">
        <v>28.56</v>
      </c>
      <c r="G286" s="91">
        <v>0.28515078985160358</v>
      </c>
      <c r="H286" s="93">
        <v>32.5</v>
      </c>
      <c r="I286" s="91">
        <v>0.32487205381442241</v>
      </c>
      <c r="J286" s="93">
        <v>28</v>
      </c>
      <c r="K286" s="91">
        <v>0.27901103963690338</v>
      </c>
      <c r="L286" s="90">
        <v>33.229999999999997</v>
      </c>
      <c r="M286" s="91">
        <v>0.332169179946254</v>
      </c>
      <c r="N286" s="93">
        <v>34.35</v>
      </c>
      <c r="O286" s="91">
        <v>0.34336477072385879</v>
      </c>
      <c r="P286" s="94">
        <f t="shared" si="40"/>
        <v>1.1414825333429801E-2</v>
      </c>
      <c r="Q286" s="94">
        <f t="shared" si="41"/>
        <v>2.7912057899767917E-2</v>
      </c>
      <c r="R286" s="94">
        <f t="shared" si="42"/>
        <v>-3.5603564761220619E-2</v>
      </c>
      <c r="S286" s="94">
        <f t="shared" si="43"/>
        <v>-4.679915553882541E-2</v>
      </c>
      <c r="T286" s="94">
        <f t="shared" si="44"/>
        <v>-1.8887097639057493E-2</v>
      </c>
      <c r="U286" s="94">
        <f t="shared" si="45"/>
        <v>-5.8213980872255211E-2</v>
      </c>
      <c r="V286" s="94">
        <f t="shared" si="46"/>
        <v>6.1397502147002014E-3</v>
      </c>
      <c r="W286" s="94">
        <f t="shared" si="47"/>
        <v>1.7554575548130003E-2</v>
      </c>
      <c r="X286" s="94">
        <f t="shared" si="48"/>
        <v>3.9721263962818831E-2</v>
      </c>
      <c r="Y286" s="95">
        <f t="shared" si="49"/>
        <v>-4.701839009465042E-2</v>
      </c>
    </row>
    <row r="287" spans="1:25" x14ac:dyDescent="0.25">
      <c r="A287" s="89">
        <v>44684</v>
      </c>
      <c r="B287" s="90">
        <v>29.25</v>
      </c>
      <c r="C287" s="91">
        <v>0.29158928278800461</v>
      </c>
      <c r="D287" s="90">
        <v>32.4</v>
      </c>
      <c r="E287" s="92">
        <v>0.32299120554978972</v>
      </c>
      <c r="F287" s="90">
        <v>28.5</v>
      </c>
      <c r="G287" s="91">
        <v>0.2845556254616079</v>
      </c>
      <c r="H287" s="93">
        <v>31.92</v>
      </c>
      <c r="I287" s="91">
        <v>0.3190754294556235</v>
      </c>
      <c r="J287" s="93">
        <v>28.01</v>
      </c>
      <c r="K287" s="91">
        <v>0.2791192590418598</v>
      </c>
      <c r="L287" s="90">
        <v>33.35</v>
      </c>
      <c r="M287" s="91">
        <v>0.33336984875767678</v>
      </c>
      <c r="N287" s="93">
        <v>34.35</v>
      </c>
      <c r="O287" s="91">
        <v>0.34336594617170008</v>
      </c>
      <c r="P287" s="94">
        <f t="shared" si="40"/>
        <v>7.0336573263967139E-3</v>
      </c>
      <c r="Q287" s="94">
        <f t="shared" si="41"/>
        <v>3.1401922761785106E-2</v>
      </c>
      <c r="R287" s="94">
        <f t="shared" si="42"/>
        <v>-4.1780565969672168E-2</v>
      </c>
      <c r="S287" s="94">
        <f t="shared" si="43"/>
        <v>-5.1776663383695465E-2</v>
      </c>
      <c r="T287" s="94">
        <f t="shared" si="44"/>
        <v>-2.0374740621910359E-2</v>
      </c>
      <c r="U287" s="94">
        <f t="shared" si="45"/>
        <v>-5.8810320710092179E-2</v>
      </c>
      <c r="V287" s="94">
        <f t="shared" si="46"/>
        <v>5.4363664197480954E-3</v>
      </c>
      <c r="W287" s="94">
        <f t="shared" si="47"/>
        <v>1.2470023746144809E-2</v>
      </c>
      <c r="X287" s="94">
        <f t="shared" si="48"/>
        <v>3.4519803994015608E-2</v>
      </c>
      <c r="Y287" s="95">
        <f t="shared" si="49"/>
        <v>-4.8814223296068882E-2</v>
      </c>
    </row>
    <row r="288" spans="1:25" x14ac:dyDescent="0.25">
      <c r="A288" s="89">
        <v>44683</v>
      </c>
      <c r="B288" s="90">
        <v>28.7</v>
      </c>
      <c r="C288" s="91">
        <v>0.28611422172452411</v>
      </c>
      <c r="D288" s="90">
        <v>32</v>
      </c>
      <c r="E288" s="92">
        <v>0.31901237265452159</v>
      </c>
      <c r="F288" s="90">
        <v>27.73</v>
      </c>
      <c r="G288" s="91">
        <v>0.27687141821563882</v>
      </c>
      <c r="H288" s="93">
        <v>31.6</v>
      </c>
      <c r="I288" s="91">
        <v>0.31587775963411419</v>
      </c>
      <c r="J288" s="93">
        <v>27.3</v>
      </c>
      <c r="K288" s="91">
        <v>0.27205247477108829</v>
      </c>
      <c r="L288" s="90">
        <v>32.89</v>
      </c>
      <c r="M288" s="91">
        <v>0.32877276944196249</v>
      </c>
      <c r="N288" s="93">
        <v>33.1</v>
      </c>
      <c r="O288" s="91">
        <v>0.33087195708510059</v>
      </c>
      <c r="P288" s="94">
        <f t="shared" si="40"/>
        <v>9.2428035088852889E-3</v>
      </c>
      <c r="Q288" s="94">
        <f t="shared" si="41"/>
        <v>3.2898150929997483E-2</v>
      </c>
      <c r="R288" s="94">
        <f t="shared" si="42"/>
        <v>-4.2658547717438378E-2</v>
      </c>
      <c r="S288" s="94">
        <f t="shared" si="43"/>
        <v>-4.4757735360576478E-2</v>
      </c>
      <c r="T288" s="94">
        <f t="shared" si="44"/>
        <v>-1.1859584430578995E-2</v>
      </c>
      <c r="U288" s="94">
        <f t="shared" si="45"/>
        <v>-5.4000538869461767E-2</v>
      </c>
      <c r="V288" s="94">
        <f t="shared" si="46"/>
        <v>4.8189434445505275E-3</v>
      </c>
      <c r="W288" s="94">
        <f t="shared" si="47"/>
        <v>1.4061746953435816E-2</v>
      </c>
      <c r="X288" s="94">
        <f t="shared" si="48"/>
        <v>3.9006341418475365E-2</v>
      </c>
      <c r="Y288" s="95">
        <f t="shared" si="49"/>
        <v>-5.1901351226323666E-2</v>
      </c>
    </row>
    <row r="289" spans="1:25" x14ac:dyDescent="0.25">
      <c r="A289" s="89">
        <v>44680</v>
      </c>
      <c r="B289" s="90">
        <v>29</v>
      </c>
      <c r="C289" s="91">
        <v>0.28912865337339527</v>
      </c>
      <c r="D289" s="90">
        <v>32.1</v>
      </c>
      <c r="E289" s="92">
        <v>0.32003550942365477</v>
      </c>
      <c r="F289" s="90">
        <v>28.01</v>
      </c>
      <c r="G289" s="91">
        <v>0.27967856654356449</v>
      </c>
      <c r="H289" s="93">
        <v>31.9</v>
      </c>
      <c r="I289" s="91">
        <v>0.3188798740200609</v>
      </c>
      <c r="J289" s="93">
        <v>27.82</v>
      </c>
      <c r="K289" s="91">
        <v>0.27725997474316533</v>
      </c>
      <c r="L289" s="90">
        <v>33.15</v>
      </c>
      <c r="M289" s="91">
        <v>0.33137516688918561</v>
      </c>
      <c r="N289" s="93">
        <v>32.83</v>
      </c>
      <c r="O289" s="91">
        <v>0.32817637191468968</v>
      </c>
      <c r="P289" s="94">
        <f t="shared" si="40"/>
        <v>9.4500868298307839E-3</v>
      </c>
      <c r="Q289" s="94">
        <f t="shared" si="41"/>
        <v>3.0906856050259501E-2</v>
      </c>
      <c r="R289" s="94">
        <f t="shared" si="42"/>
        <v>-4.224651351579034E-2</v>
      </c>
      <c r="S289" s="94">
        <f t="shared" si="43"/>
        <v>-3.9047718541294407E-2</v>
      </c>
      <c r="T289" s="94">
        <f t="shared" si="44"/>
        <v>-8.1408624910349059E-3</v>
      </c>
      <c r="U289" s="94">
        <f t="shared" si="45"/>
        <v>-4.8497805371125191E-2</v>
      </c>
      <c r="V289" s="94">
        <f t="shared" si="46"/>
        <v>2.4185918003991613E-3</v>
      </c>
      <c r="W289" s="94">
        <f t="shared" si="47"/>
        <v>1.1868678630229945E-2</v>
      </c>
      <c r="X289" s="94">
        <f t="shared" si="48"/>
        <v>3.9201307476496416E-2</v>
      </c>
      <c r="Y289" s="95">
        <f t="shared" si="49"/>
        <v>-5.1696600345621124E-2</v>
      </c>
    </row>
    <row r="290" spans="1:25" x14ac:dyDescent="0.25">
      <c r="A290" s="89">
        <v>44679</v>
      </c>
      <c r="B290" s="90">
        <v>29.4</v>
      </c>
      <c r="C290" s="91">
        <v>0.29312464148160289</v>
      </c>
      <c r="D290" s="90">
        <v>32.4</v>
      </c>
      <c r="E290" s="92">
        <v>0.32303531918380718</v>
      </c>
      <c r="F290" s="90">
        <v>28.38</v>
      </c>
      <c r="G290" s="91">
        <v>0.28337687562406821</v>
      </c>
      <c r="H290" s="93">
        <v>32.33</v>
      </c>
      <c r="I290" s="91">
        <v>0.32317936112889373</v>
      </c>
      <c r="J290" s="93">
        <v>28.3</v>
      </c>
      <c r="K290" s="91">
        <v>0.28205241978148748</v>
      </c>
      <c r="L290" s="90">
        <v>33.200000000000003</v>
      </c>
      <c r="M290" s="91">
        <v>0.33187611473799172</v>
      </c>
      <c r="N290" s="93">
        <v>33.020000000000003</v>
      </c>
      <c r="O290" s="91">
        <v>0.33007678640507487</v>
      </c>
      <c r="P290" s="94">
        <f t="shared" si="40"/>
        <v>9.7477658575346737E-3</v>
      </c>
      <c r="Q290" s="94">
        <f t="shared" si="41"/>
        <v>2.9910677702204291E-2</v>
      </c>
      <c r="R290" s="94">
        <f t="shared" si="42"/>
        <v>-3.8751473256388835E-2</v>
      </c>
      <c r="S290" s="94">
        <f t="shared" si="43"/>
        <v>-3.6952144923471986E-2</v>
      </c>
      <c r="T290" s="94">
        <f t="shared" si="44"/>
        <v>-7.0414672212676943E-3</v>
      </c>
      <c r="U290" s="94">
        <f t="shared" si="45"/>
        <v>-4.6699910781006659E-2</v>
      </c>
      <c r="V290" s="94">
        <f t="shared" si="46"/>
        <v>1.3244558425807296E-3</v>
      </c>
      <c r="W290" s="94">
        <f t="shared" si="47"/>
        <v>1.1072221700115403E-2</v>
      </c>
      <c r="X290" s="94">
        <f t="shared" si="48"/>
        <v>3.9802485504825513E-2</v>
      </c>
      <c r="Y290" s="95">
        <f t="shared" si="49"/>
        <v>-4.8499239113923509E-2</v>
      </c>
    </row>
    <row r="291" spans="1:25" x14ac:dyDescent="0.25">
      <c r="A291" s="89">
        <v>44678</v>
      </c>
      <c r="B291" s="90">
        <v>30</v>
      </c>
      <c r="C291" s="91">
        <v>0.29911494755244761</v>
      </c>
      <c r="D291" s="90">
        <v>32.799999999999997</v>
      </c>
      <c r="E291" s="92">
        <v>0.32703234265734271</v>
      </c>
      <c r="F291" s="90">
        <v>28.7</v>
      </c>
      <c r="G291" s="91">
        <v>0.28657602451168129</v>
      </c>
      <c r="H291" s="93">
        <v>32.64</v>
      </c>
      <c r="I291" s="91">
        <v>0.32627932134689908</v>
      </c>
      <c r="J291" s="93">
        <v>28.5</v>
      </c>
      <c r="K291" s="91">
        <v>0.28405444888931358</v>
      </c>
      <c r="L291" s="90">
        <v>33.35</v>
      </c>
      <c r="M291" s="91">
        <v>0.33337669629041322</v>
      </c>
      <c r="N291" s="93">
        <v>33.700000000000003</v>
      </c>
      <c r="O291" s="91">
        <v>0.33687540224848339</v>
      </c>
      <c r="P291" s="94">
        <f t="shared" si="40"/>
        <v>1.2538923040766314E-2</v>
      </c>
      <c r="Q291" s="94">
        <f t="shared" si="41"/>
        <v>2.7917395104895104E-2</v>
      </c>
      <c r="R291" s="94">
        <f t="shared" si="42"/>
        <v>-3.4261748737965614E-2</v>
      </c>
      <c r="S291" s="94">
        <f t="shared" si="43"/>
        <v>-3.7760454696035783E-2</v>
      </c>
      <c r="T291" s="94">
        <f t="shared" si="44"/>
        <v>-9.8430595911406793E-3</v>
      </c>
      <c r="U291" s="94">
        <f t="shared" si="45"/>
        <v>-5.0299377736802098E-2</v>
      </c>
      <c r="V291" s="94">
        <f t="shared" si="46"/>
        <v>2.521575622367711E-3</v>
      </c>
      <c r="W291" s="94">
        <f t="shared" si="47"/>
        <v>1.5060498663134025E-2</v>
      </c>
      <c r="X291" s="94">
        <f t="shared" si="48"/>
        <v>3.9703296835217783E-2</v>
      </c>
      <c r="Y291" s="95">
        <f t="shared" si="49"/>
        <v>-4.6800671778731928E-2</v>
      </c>
    </row>
    <row r="292" spans="1:25" x14ac:dyDescent="0.25">
      <c r="A292" s="89">
        <v>44677</v>
      </c>
      <c r="B292" s="90">
        <v>29.8</v>
      </c>
      <c r="C292" s="91">
        <v>0.29712896440571468</v>
      </c>
      <c r="D292" s="90">
        <v>33.5</v>
      </c>
      <c r="E292" s="92">
        <v>0.33402081569098813</v>
      </c>
      <c r="F292" s="90">
        <v>28.65</v>
      </c>
      <c r="G292" s="91">
        <v>0.28608067626903028</v>
      </c>
      <c r="H292" s="93">
        <v>32.56</v>
      </c>
      <c r="I292" s="91">
        <v>0.3254807313758315</v>
      </c>
      <c r="J292" s="93">
        <v>28.4</v>
      </c>
      <c r="K292" s="91">
        <v>0.28306646231776711</v>
      </c>
      <c r="L292" s="90">
        <v>33.409999999999997</v>
      </c>
      <c r="M292" s="91">
        <v>0.33397761779074098</v>
      </c>
      <c r="N292" s="93">
        <v>33.39</v>
      </c>
      <c r="O292" s="91">
        <v>0.33377769105156668</v>
      </c>
      <c r="P292" s="94">
        <f t="shared" si="40"/>
        <v>1.1048288136684403E-2</v>
      </c>
      <c r="Q292" s="94">
        <f t="shared" si="41"/>
        <v>3.6891851285273447E-2</v>
      </c>
      <c r="R292" s="94">
        <f t="shared" si="42"/>
        <v>-3.6848653385026298E-2</v>
      </c>
      <c r="S292" s="94">
        <f t="shared" si="43"/>
        <v>-3.6648726645852003E-2</v>
      </c>
      <c r="T292" s="94">
        <f t="shared" si="44"/>
        <v>2.4312463942144369E-4</v>
      </c>
      <c r="U292" s="94">
        <f t="shared" si="45"/>
        <v>-4.7697014782536407E-2</v>
      </c>
      <c r="V292" s="94">
        <f t="shared" si="46"/>
        <v>3.0142139512631672E-3</v>
      </c>
      <c r="W292" s="94">
        <f t="shared" si="47"/>
        <v>1.406250208794757E-2</v>
      </c>
      <c r="X292" s="94">
        <f t="shared" si="48"/>
        <v>3.9400055106801224E-2</v>
      </c>
      <c r="Y292" s="95">
        <f t="shared" si="49"/>
        <v>-4.7896941521710701E-2</v>
      </c>
    </row>
    <row r="293" spans="1:25" x14ac:dyDescent="0.25">
      <c r="A293" s="89">
        <v>44676</v>
      </c>
      <c r="B293" s="90">
        <v>30.16</v>
      </c>
      <c r="C293" s="91">
        <v>0.30072665683221328</v>
      </c>
      <c r="D293" s="90">
        <v>33.520000000000003</v>
      </c>
      <c r="E293" s="92">
        <v>0.33422936130688963</v>
      </c>
      <c r="F293" s="90">
        <v>28.79</v>
      </c>
      <c r="G293" s="91">
        <v>0.28748255957103391</v>
      </c>
      <c r="H293" s="93">
        <v>32.9</v>
      </c>
      <c r="I293" s="91">
        <v>0.32888061183269091</v>
      </c>
      <c r="J293" s="93">
        <v>28.7</v>
      </c>
      <c r="K293" s="91">
        <v>0.28606538910545681</v>
      </c>
      <c r="L293" s="90">
        <v>33.4</v>
      </c>
      <c r="M293" s="91">
        <v>0.33387879742285331</v>
      </c>
      <c r="N293" s="93">
        <v>33.39</v>
      </c>
      <c r="O293" s="91">
        <v>0.3337788337110501</v>
      </c>
      <c r="P293" s="94">
        <f t="shared" si="40"/>
        <v>1.3244097261179366E-2</v>
      </c>
      <c r="Q293" s="94">
        <f t="shared" si="41"/>
        <v>3.3502704474676348E-2</v>
      </c>
      <c r="R293" s="94">
        <f t="shared" si="42"/>
        <v>-3.3152140590640033E-2</v>
      </c>
      <c r="S293" s="94">
        <f t="shared" si="43"/>
        <v>-3.3052176878836825E-2</v>
      </c>
      <c r="T293" s="94">
        <f t="shared" si="44"/>
        <v>4.5052759583952273E-4</v>
      </c>
      <c r="U293" s="94">
        <f t="shared" si="45"/>
        <v>-4.6296274140016191E-2</v>
      </c>
      <c r="V293" s="94">
        <f t="shared" si="46"/>
        <v>1.4171704655771E-3</v>
      </c>
      <c r="W293" s="94">
        <f t="shared" si="47"/>
        <v>1.4661267726756466E-2</v>
      </c>
      <c r="X293" s="94">
        <f t="shared" si="48"/>
        <v>4.1398052261656992E-2</v>
      </c>
      <c r="Y293" s="95">
        <f t="shared" si="49"/>
        <v>-4.63962378518194E-2</v>
      </c>
    </row>
    <row r="294" spans="1:25" x14ac:dyDescent="0.25">
      <c r="A294" s="89">
        <v>44673</v>
      </c>
      <c r="B294" s="90">
        <v>30.02</v>
      </c>
      <c r="C294" s="91">
        <v>0.29935524410567438</v>
      </c>
      <c r="D294" s="90">
        <v>34</v>
      </c>
      <c r="E294" s="92">
        <v>0.33904324782121692</v>
      </c>
      <c r="F294" s="90">
        <v>28.35</v>
      </c>
      <c r="G294" s="91">
        <v>0.28310055674869711</v>
      </c>
      <c r="H294" s="93">
        <v>32.17</v>
      </c>
      <c r="I294" s="91">
        <v>0.32158656364364618</v>
      </c>
      <c r="J294" s="93">
        <v>28</v>
      </c>
      <c r="K294" s="91">
        <v>0.27911390892611471</v>
      </c>
      <c r="L294" s="90">
        <v>32.9</v>
      </c>
      <c r="M294" s="91">
        <v>0.32888398955163067</v>
      </c>
      <c r="N294" s="93">
        <v>32.5</v>
      </c>
      <c r="O294" s="91">
        <v>0.32488540001300908</v>
      </c>
      <c r="P294" s="94">
        <f t="shared" si="40"/>
        <v>1.6254687356977271E-2</v>
      </c>
      <c r="Q294" s="94">
        <f t="shared" si="41"/>
        <v>3.9688003715542541E-2</v>
      </c>
      <c r="R294" s="94">
        <f t="shared" si="42"/>
        <v>-2.9528745445956295E-2</v>
      </c>
      <c r="S294" s="94">
        <f t="shared" si="43"/>
        <v>-2.5530155907334706E-2</v>
      </c>
      <c r="T294" s="94">
        <f t="shared" si="44"/>
        <v>1.4157847808207835E-2</v>
      </c>
      <c r="U294" s="94">
        <f t="shared" si="45"/>
        <v>-4.1784843264311977E-2</v>
      </c>
      <c r="V294" s="94">
        <f t="shared" si="46"/>
        <v>3.9866478225824009E-3</v>
      </c>
      <c r="W294" s="94">
        <f t="shared" si="47"/>
        <v>2.0241335179559672E-2</v>
      </c>
      <c r="X294" s="94">
        <f t="shared" si="48"/>
        <v>3.8486006894949076E-2</v>
      </c>
      <c r="Y294" s="95">
        <f t="shared" si="49"/>
        <v>-4.5783432802933566E-2</v>
      </c>
    </row>
    <row r="295" spans="1:25" x14ac:dyDescent="0.25">
      <c r="A295" s="89">
        <v>44672</v>
      </c>
      <c r="B295" s="90">
        <v>30.61</v>
      </c>
      <c r="C295" s="91">
        <v>0.30524698103928749</v>
      </c>
      <c r="D295" s="90">
        <v>34</v>
      </c>
      <c r="E295" s="92">
        <v>0.33905251079176002</v>
      </c>
      <c r="F295" s="90">
        <v>29</v>
      </c>
      <c r="G295" s="91">
        <v>0.28959535990807372</v>
      </c>
      <c r="H295" s="93">
        <v>33</v>
      </c>
      <c r="I295" s="91">
        <v>0.32988476628027202</v>
      </c>
      <c r="J295" s="93">
        <v>28.55</v>
      </c>
      <c r="K295" s="91">
        <v>0.28460524788507358</v>
      </c>
      <c r="L295" s="90">
        <v>33.96</v>
      </c>
      <c r="M295" s="91">
        <v>0.33948141402660709</v>
      </c>
      <c r="N295" s="93">
        <v>33.25</v>
      </c>
      <c r="O295" s="91">
        <v>0.33238389329754681</v>
      </c>
      <c r="P295" s="94">
        <f t="shared" si="40"/>
        <v>1.5651621131213767E-2</v>
      </c>
      <c r="Q295" s="94">
        <f t="shared" si="41"/>
        <v>3.380552975247253E-2</v>
      </c>
      <c r="R295" s="94">
        <f t="shared" si="42"/>
        <v>-3.4234432987319596E-2</v>
      </c>
      <c r="S295" s="94">
        <f t="shared" si="43"/>
        <v>-2.7136912258259316E-2</v>
      </c>
      <c r="T295" s="94">
        <f t="shared" si="44"/>
        <v>6.6686174942132137E-3</v>
      </c>
      <c r="U295" s="94">
        <f t="shared" si="45"/>
        <v>-4.2788533389473082E-2</v>
      </c>
      <c r="V295" s="94">
        <f t="shared" si="46"/>
        <v>4.9901120230001483E-3</v>
      </c>
      <c r="W295" s="94">
        <f t="shared" si="47"/>
        <v>2.0641733154213915E-2</v>
      </c>
      <c r="X295" s="94">
        <f t="shared" si="48"/>
        <v>4.02894063721983E-2</v>
      </c>
      <c r="Y295" s="95">
        <f t="shared" si="49"/>
        <v>-4.9886054118533363E-2</v>
      </c>
    </row>
    <row r="296" spans="1:25" x14ac:dyDescent="0.25">
      <c r="A296" s="89">
        <v>44671</v>
      </c>
      <c r="B296" s="90">
        <v>31.1</v>
      </c>
      <c r="C296" s="91">
        <v>0.31014179940438791</v>
      </c>
      <c r="D296" s="90">
        <v>34</v>
      </c>
      <c r="E296" s="92">
        <v>0.33906177426846262</v>
      </c>
      <c r="F296" s="90">
        <v>29.7</v>
      </c>
      <c r="G296" s="91">
        <v>0.29658964993638942</v>
      </c>
      <c r="H296" s="93">
        <v>33.6</v>
      </c>
      <c r="I296" s="91">
        <v>0.33588382100711739</v>
      </c>
      <c r="J296" s="93">
        <v>29.7</v>
      </c>
      <c r="K296" s="91">
        <v>0.29607830418321052</v>
      </c>
      <c r="L296" s="90">
        <v>34.5</v>
      </c>
      <c r="M296" s="91">
        <v>0.34488070906980811</v>
      </c>
      <c r="N296" s="93">
        <v>33.700000000000003</v>
      </c>
      <c r="O296" s="91">
        <v>0.3368834752363053</v>
      </c>
      <c r="P296" s="94">
        <f t="shared" si="40"/>
        <v>1.3552149467998487E-2</v>
      </c>
      <c r="Q296" s="94">
        <f t="shared" si="41"/>
        <v>2.8919974864074716E-2</v>
      </c>
      <c r="R296" s="94">
        <f t="shared" si="42"/>
        <v>-3.4738909665420203E-2</v>
      </c>
      <c r="S296" s="94">
        <f t="shared" si="43"/>
        <v>-2.6741675831917389E-2</v>
      </c>
      <c r="T296" s="94">
        <f t="shared" si="44"/>
        <v>2.178299032157327E-3</v>
      </c>
      <c r="U296" s="94">
        <f t="shared" si="45"/>
        <v>-4.0293825299915875E-2</v>
      </c>
      <c r="V296" s="94">
        <f t="shared" si="46"/>
        <v>5.1134575317890452E-4</v>
      </c>
      <c r="W296" s="94">
        <f t="shared" si="47"/>
        <v>1.4063495221177391E-2</v>
      </c>
      <c r="X296" s="94">
        <f t="shared" si="48"/>
        <v>3.9294171070727968E-2</v>
      </c>
      <c r="Y296" s="95">
        <f t="shared" si="49"/>
        <v>-4.829105913341869E-2</v>
      </c>
    </row>
    <row r="297" spans="1:25" x14ac:dyDescent="0.25">
      <c r="A297" s="89">
        <v>44670</v>
      </c>
      <c r="B297" s="90">
        <v>31</v>
      </c>
      <c r="C297" s="91">
        <v>0.30915300546448088</v>
      </c>
      <c r="D297" s="90">
        <v>34</v>
      </c>
      <c r="E297" s="92">
        <v>0.33907103825136609</v>
      </c>
      <c r="F297" s="90">
        <v>29.92</v>
      </c>
      <c r="G297" s="91">
        <v>0.29879069767441863</v>
      </c>
      <c r="H297" s="93">
        <v>33.700000000000003</v>
      </c>
      <c r="I297" s="91">
        <v>0.33688462855186591</v>
      </c>
      <c r="J297" s="93">
        <v>29.25</v>
      </c>
      <c r="K297" s="91">
        <v>0.29160122908842612</v>
      </c>
      <c r="L297" s="90">
        <v>34.01</v>
      </c>
      <c r="M297" s="91">
        <v>0.33998356727148232</v>
      </c>
      <c r="N297" s="93">
        <v>33.5</v>
      </c>
      <c r="O297" s="91">
        <v>0.33488531324888737</v>
      </c>
      <c r="P297" s="94">
        <f t="shared" si="40"/>
        <v>1.0362307790062253E-2</v>
      </c>
      <c r="Q297" s="94">
        <f t="shared" si="41"/>
        <v>2.9918032786885207E-2</v>
      </c>
      <c r="R297" s="94">
        <f t="shared" si="42"/>
        <v>-3.0830561807001444E-2</v>
      </c>
      <c r="S297" s="94">
        <f t="shared" si="43"/>
        <v>-2.5732307784406494E-2</v>
      </c>
      <c r="T297" s="94">
        <f t="shared" si="44"/>
        <v>4.1857250024787129E-3</v>
      </c>
      <c r="U297" s="94">
        <f t="shared" si="45"/>
        <v>-3.6094615574468747E-2</v>
      </c>
      <c r="V297" s="94">
        <f t="shared" si="46"/>
        <v>7.1894685859925089E-3</v>
      </c>
      <c r="W297" s="94">
        <f t="shared" si="47"/>
        <v>1.7551776376054762E-2</v>
      </c>
      <c r="X297" s="94">
        <f t="shared" si="48"/>
        <v>3.809393087744728E-2</v>
      </c>
      <c r="Y297" s="95">
        <f t="shared" si="49"/>
        <v>-4.1192869597063697E-2</v>
      </c>
    </row>
    <row r="298" spans="1:25" x14ac:dyDescent="0.25">
      <c r="A298" s="89">
        <v>44669</v>
      </c>
      <c r="B298" s="90">
        <v>31.4</v>
      </c>
      <c r="C298" s="91">
        <v>0.31315063253094338</v>
      </c>
      <c r="D298" s="90">
        <v>34.01</v>
      </c>
      <c r="E298" s="92">
        <v>0.33918003224131799</v>
      </c>
      <c r="F298" s="90">
        <v>30.17</v>
      </c>
      <c r="G298" s="91">
        <v>0.30129139933514831</v>
      </c>
      <c r="H298" s="93">
        <v>34.1</v>
      </c>
      <c r="I298" s="91">
        <v>0.34088442617057918</v>
      </c>
      <c r="J298" s="93">
        <v>29.7</v>
      </c>
      <c r="K298" s="91">
        <v>0.2960965000631634</v>
      </c>
      <c r="L298" s="90">
        <v>34.1</v>
      </c>
      <c r="M298" s="91">
        <v>0.34088442617057918</v>
      </c>
      <c r="N298" s="93">
        <v>33.89</v>
      </c>
      <c r="O298" s="91">
        <v>0.33878513791556969</v>
      </c>
      <c r="P298" s="94">
        <f t="shared" si="40"/>
        <v>1.1859233195795071E-2</v>
      </c>
      <c r="Q298" s="94">
        <f t="shared" si="41"/>
        <v>2.6029399710374601E-2</v>
      </c>
      <c r="R298" s="94">
        <f t="shared" si="42"/>
        <v>-2.7733793639635795E-2</v>
      </c>
      <c r="S298" s="94">
        <f t="shared" si="43"/>
        <v>-2.5634505384626305E-2</v>
      </c>
      <c r="T298" s="94">
        <f t="shared" si="44"/>
        <v>3.9489432574829619E-4</v>
      </c>
      <c r="U298" s="94">
        <f t="shared" si="45"/>
        <v>-3.7493738580421376E-2</v>
      </c>
      <c r="V298" s="94">
        <f t="shared" si="46"/>
        <v>5.1948992719849096E-3</v>
      </c>
      <c r="W298" s="94">
        <f t="shared" si="47"/>
        <v>1.7054132467779981E-2</v>
      </c>
      <c r="X298" s="94">
        <f t="shared" si="48"/>
        <v>3.9593026835430867E-2</v>
      </c>
      <c r="Y298" s="95">
        <f t="shared" si="49"/>
        <v>-3.9593026835430867E-2</v>
      </c>
    </row>
    <row r="299" spans="1:25" x14ac:dyDescent="0.25">
      <c r="A299" s="89">
        <v>44664</v>
      </c>
      <c r="B299" s="90">
        <v>30.86</v>
      </c>
      <c r="C299" s="91">
        <v>0.30780729081270147</v>
      </c>
      <c r="D299" s="90">
        <v>34</v>
      </c>
      <c r="E299" s="92">
        <v>0.33912663278133032</v>
      </c>
      <c r="F299" s="90">
        <v>29.9</v>
      </c>
      <c r="G299" s="91">
        <v>0.29861548143486472</v>
      </c>
      <c r="H299" s="93">
        <v>33.56</v>
      </c>
      <c r="I299" s="91">
        <v>0.33549199915095829</v>
      </c>
      <c r="J299" s="93">
        <v>29.2</v>
      </c>
      <c r="K299" s="91">
        <v>0.29115644400128388</v>
      </c>
      <c r="L299" s="90">
        <v>33.65</v>
      </c>
      <c r="M299" s="91">
        <v>0.33639170951816882</v>
      </c>
      <c r="N299" s="93">
        <v>33.5</v>
      </c>
      <c r="O299" s="91">
        <v>0.33489219223948458</v>
      </c>
      <c r="P299" s="94">
        <f t="shared" si="40"/>
        <v>9.1918093778367571E-3</v>
      </c>
      <c r="Q299" s="94">
        <f t="shared" si="41"/>
        <v>3.1319341968628844E-2</v>
      </c>
      <c r="R299" s="94">
        <f t="shared" si="42"/>
        <v>-2.8584418705467352E-2</v>
      </c>
      <c r="S299" s="94">
        <f t="shared" si="43"/>
        <v>-2.7084901426783103E-2</v>
      </c>
      <c r="T299" s="94">
        <f t="shared" si="44"/>
        <v>4.2344405418457409E-3</v>
      </c>
      <c r="U299" s="94">
        <f t="shared" si="45"/>
        <v>-3.6276710804619861E-2</v>
      </c>
      <c r="V299" s="94">
        <f t="shared" si="46"/>
        <v>7.4590374335808396E-3</v>
      </c>
      <c r="W299" s="94">
        <f t="shared" si="47"/>
        <v>1.6650846811417597E-2</v>
      </c>
      <c r="X299" s="94">
        <f t="shared" si="48"/>
        <v>3.6876517716093571E-2</v>
      </c>
      <c r="Y299" s="95">
        <f t="shared" si="49"/>
        <v>-3.7776228083304109E-2</v>
      </c>
    </row>
    <row r="300" spans="1:25" x14ac:dyDescent="0.25">
      <c r="A300" s="89">
        <v>44663</v>
      </c>
      <c r="B300" s="90">
        <v>30.8</v>
      </c>
      <c r="C300" s="91">
        <v>0.30721722733856199</v>
      </c>
      <c r="D300" s="90">
        <v>33.5</v>
      </c>
      <c r="E300" s="92">
        <v>0.33414860765720222</v>
      </c>
      <c r="F300" s="90">
        <v>29.57</v>
      </c>
      <c r="G300" s="91">
        <v>0.29532376561367019</v>
      </c>
      <c r="H300" s="93">
        <v>33</v>
      </c>
      <c r="I300" s="91">
        <v>0.32989493072411868</v>
      </c>
      <c r="J300" s="93">
        <v>28.69</v>
      </c>
      <c r="K300" s="91">
        <v>0.28607996940277358</v>
      </c>
      <c r="L300" s="90">
        <v>33.69</v>
      </c>
      <c r="M300" s="91">
        <v>0.33679273382107749</v>
      </c>
      <c r="N300" s="93">
        <v>33.1</v>
      </c>
      <c r="O300" s="91">
        <v>0.33089461233237361</v>
      </c>
      <c r="P300" s="94">
        <f t="shared" si="40"/>
        <v>1.1893461724891807E-2</v>
      </c>
      <c r="Q300" s="94">
        <f t="shared" si="41"/>
        <v>2.693138031864023E-2</v>
      </c>
      <c r="R300" s="94">
        <f t="shared" si="42"/>
        <v>-2.9575506482515501E-2</v>
      </c>
      <c r="S300" s="94">
        <f t="shared" si="43"/>
        <v>-2.3677384993811612E-2</v>
      </c>
      <c r="T300" s="94">
        <f t="shared" si="44"/>
        <v>3.253995324828618E-3</v>
      </c>
      <c r="U300" s="94">
        <f t="shared" si="45"/>
        <v>-3.5570846718703419E-2</v>
      </c>
      <c r="V300" s="94">
        <f t="shared" si="46"/>
        <v>9.2437962108966043E-3</v>
      </c>
      <c r="W300" s="94">
        <f t="shared" si="47"/>
        <v>2.1137257935788412E-2</v>
      </c>
      <c r="X300" s="94">
        <f t="shared" si="48"/>
        <v>3.4571165110448498E-2</v>
      </c>
      <c r="Y300" s="95">
        <f t="shared" si="49"/>
        <v>-4.1468968207407308E-2</v>
      </c>
    </row>
    <row r="301" spans="1:25" x14ac:dyDescent="0.25">
      <c r="A301" s="89">
        <v>44662</v>
      </c>
      <c r="B301" s="90">
        <v>31</v>
      </c>
      <c r="C301" s="91">
        <v>0.30922059466550073</v>
      </c>
      <c r="D301" s="90">
        <v>34.6</v>
      </c>
      <c r="E301" s="92">
        <v>0.34513008307826848</v>
      </c>
      <c r="F301" s="90">
        <v>29.69</v>
      </c>
      <c r="G301" s="91">
        <v>0.29652629562742838</v>
      </c>
      <c r="H301" s="93">
        <v>33.04</v>
      </c>
      <c r="I301" s="91">
        <v>0.33029593415773112</v>
      </c>
      <c r="J301" s="93">
        <v>28.9</v>
      </c>
      <c r="K301" s="91">
        <v>0.28818282404688073</v>
      </c>
      <c r="L301" s="90">
        <v>33.9</v>
      </c>
      <c r="M301" s="91">
        <v>0.33889322542212719</v>
      </c>
      <c r="N301" s="93">
        <v>33.700000000000003</v>
      </c>
      <c r="O301" s="91">
        <v>0.33689385536063982</v>
      </c>
      <c r="P301" s="94">
        <f t="shared" si="40"/>
        <v>1.2694299038072343E-2</v>
      </c>
      <c r="Q301" s="94">
        <f t="shared" si="41"/>
        <v>3.5909488412767754E-2</v>
      </c>
      <c r="R301" s="94">
        <f t="shared" si="42"/>
        <v>-2.9672630756626461E-2</v>
      </c>
      <c r="S301" s="94">
        <f t="shared" si="43"/>
        <v>-2.767326069513909E-2</v>
      </c>
      <c r="T301" s="94">
        <f t="shared" si="44"/>
        <v>8.2362277176286636E-3</v>
      </c>
      <c r="U301" s="94">
        <f t="shared" si="45"/>
        <v>-4.0367559733211433E-2</v>
      </c>
      <c r="V301" s="94">
        <f t="shared" si="46"/>
        <v>8.3434715805476567E-3</v>
      </c>
      <c r="W301" s="94">
        <f t="shared" si="47"/>
        <v>2.103777061862E-2</v>
      </c>
      <c r="X301" s="94">
        <f t="shared" si="48"/>
        <v>3.3769638530302737E-2</v>
      </c>
      <c r="Y301" s="95">
        <f t="shared" si="49"/>
        <v>-4.2366929794698804E-2</v>
      </c>
    </row>
    <row r="302" spans="1:25" x14ac:dyDescent="0.25">
      <c r="A302" s="89">
        <v>44659</v>
      </c>
      <c r="B302" s="90">
        <v>31.29</v>
      </c>
      <c r="C302" s="91">
        <v>0.31213889420317581</v>
      </c>
      <c r="D302" s="90">
        <v>34.799999999999997</v>
      </c>
      <c r="E302" s="92">
        <v>0.34715351608406902</v>
      </c>
      <c r="F302" s="90">
        <v>29.73</v>
      </c>
      <c r="G302" s="91">
        <v>0.29693797972335101</v>
      </c>
      <c r="H302" s="93">
        <v>33</v>
      </c>
      <c r="I302" s="91">
        <v>0.3298994484557789</v>
      </c>
      <c r="J302" s="93">
        <v>28.8</v>
      </c>
      <c r="K302" s="91">
        <v>0.28721213383834071</v>
      </c>
      <c r="L302" s="90">
        <v>33.770000000000003</v>
      </c>
      <c r="M302" s="91">
        <v>0.33759710225308043</v>
      </c>
      <c r="N302" s="93">
        <v>33.85</v>
      </c>
      <c r="O302" s="91">
        <v>0.3383968584917611</v>
      </c>
      <c r="P302" s="94">
        <f t="shared" si="40"/>
        <v>1.5200914479824801E-2</v>
      </c>
      <c r="Q302" s="94">
        <f t="shared" si="41"/>
        <v>3.5014621880893215E-2</v>
      </c>
      <c r="R302" s="94">
        <f t="shared" si="42"/>
        <v>-2.5458208049904618E-2</v>
      </c>
      <c r="S302" s="94">
        <f t="shared" si="43"/>
        <v>-2.6257964288585289E-2</v>
      </c>
      <c r="T302" s="94">
        <f t="shared" si="44"/>
        <v>8.756657592307926E-3</v>
      </c>
      <c r="U302" s="94">
        <f t="shared" si="45"/>
        <v>-4.145887876841009E-2</v>
      </c>
      <c r="V302" s="94">
        <f t="shared" si="46"/>
        <v>9.725845885010298E-3</v>
      </c>
      <c r="W302" s="94">
        <f t="shared" si="47"/>
        <v>2.4926760364835099E-2</v>
      </c>
      <c r="X302" s="94">
        <f t="shared" si="48"/>
        <v>3.296146873242789E-2</v>
      </c>
      <c r="Y302" s="95">
        <f t="shared" si="49"/>
        <v>-4.0659122529729419E-2</v>
      </c>
    </row>
    <row r="303" spans="1:25" x14ac:dyDescent="0.25">
      <c r="A303" s="89">
        <v>44658</v>
      </c>
      <c r="B303" s="90">
        <v>31.56</v>
      </c>
      <c r="C303" s="91">
        <v>0.3148409314529354</v>
      </c>
      <c r="D303" s="90">
        <v>34.4</v>
      </c>
      <c r="E303" s="92">
        <v>0.3431726249043402</v>
      </c>
      <c r="F303" s="90">
        <v>30.35</v>
      </c>
      <c r="G303" s="91">
        <v>0.30313457749562173</v>
      </c>
      <c r="H303" s="93">
        <v>33.46</v>
      </c>
      <c r="I303" s="91">
        <v>0.33449919202432138</v>
      </c>
      <c r="J303" s="93">
        <v>29.3</v>
      </c>
      <c r="K303" s="91">
        <v>0.29220743736167648</v>
      </c>
      <c r="L303" s="90">
        <v>33.81</v>
      </c>
      <c r="M303" s="91">
        <v>0.3379981375475884</v>
      </c>
      <c r="N303" s="93">
        <v>33.5</v>
      </c>
      <c r="O303" s="91">
        <v>0.33489907151269482</v>
      </c>
      <c r="P303" s="94">
        <f t="shared" si="40"/>
        <v>1.1706353957313675E-2</v>
      </c>
      <c r="Q303" s="94">
        <f t="shared" si="41"/>
        <v>2.8331693451404794E-2</v>
      </c>
      <c r="R303" s="94">
        <f t="shared" si="42"/>
        <v>-2.3157206094652993E-2</v>
      </c>
      <c r="S303" s="94">
        <f t="shared" si="43"/>
        <v>-2.0058140059759422E-2</v>
      </c>
      <c r="T303" s="94">
        <f t="shared" si="44"/>
        <v>8.2735533916453718E-3</v>
      </c>
      <c r="U303" s="94">
        <f t="shared" si="45"/>
        <v>-3.1764494017073097E-2</v>
      </c>
      <c r="V303" s="94">
        <f t="shared" si="46"/>
        <v>1.0927140133945246E-2</v>
      </c>
      <c r="W303" s="94">
        <f t="shared" si="47"/>
        <v>2.2633494091258921E-2</v>
      </c>
      <c r="X303" s="94">
        <f t="shared" si="48"/>
        <v>3.1364614528699652E-2</v>
      </c>
      <c r="Y303" s="95">
        <f t="shared" si="49"/>
        <v>-3.4863560051966669E-2</v>
      </c>
    </row>
    <row r="304" spans="1:25" x14ac:dyDescent="0.25">
      <c r="A304" s="89">
        <v>44657</v>
      </c>
      <c r="B304" s="90">
        <v>31.93</v>
      </c>
      <c r="C304" s="91">
        <v>0.3185407385136797</v>
      </c>
      <c r="D304" s="90">
        <v>34.799999999999997</v>
      </c>
      <c r="E304" s="92">
        <v>0.34717249296198099</v>
      </c>
      <c r="F304" s="90">
        <v>30.52</v>
      </c>
      <c r="G304" s="91">
        <v>0.30483670146537689</v>
      </c>
      <c r="H304" s="93">
        <v>33.49</v>
      </c>
      <c r="I304" s="91">
        <v>0.33480024787135337</v>
      </c>
      <c r="J304" s="93">
        <v>29.4</v>
      </c>
      <c r="K304" s="91">
        <v>0.29321374533357469</v>
      </c>
      <c r="L304" s="90">
        <v>33.950000000000003</v>
      </c>
      <c r="M304" s="91">
        <v>0.3393988777316348</v>
      </c>
      <c r="N304" s="93">
        <v>33.75</v>
      </c>
      <c r="O304" s="91">
        <v>0.3373994734445559</v>
      </c>
      <c r="P304" s="94">
        <f t="shared" si="40"/>
        <v>1.3704037048302808E-2</v>
      </c>
      <c r="Q304" s="94">
        <f t="shared" si="41"/>
        <v>2.8631754448301294E-2</v>
      </c>
      <c r="R304" s="94">
        <f t="shared" si="42"/>
        <v>-2.0858139217955096E-2</v>
      </c>
      <c r="S304" s="94">
        <f t="shared" si="43"/>
        <v>-1.8858734930876198E-2</v>
      </c>
      <c r="T304" s="94">
        <f t="shared" si="44"/>
        <v>9.7730195174250967E-3</v>
      </c>
      <c r="U304" s="94">
        <f t="shared" si="45"/>
        <v>-3.2562771979179006E-2</v>
      </c>
      <c r="V304" s="94">
        <f t="shared" si="46"/>
        <v>1.1622956131802198E-2</v>
      </c>
      <c r="W304" s="94">
        <f t="shared" si="47"/>
        <v>2.5326993180105006E-2</v>
      </c>
      <c r="X304" s="94">
        <f t="shared" si="48"/>
        <v>2.9963546405976482E-2</v>
      </c>
      <c r="Y304" s="95">
        <f t="shared" si="49"/>
        <v>-3.4562176266257905E-2</v>
      </c>
    </row>
    <row r="305" spans="1:25" x14ac:dyDescent="0.25">
      <c r="A305" s="89">
        <v>44656</v>
      </c>
      <c r="B305" s="90">
        <v>32.35</v>
      </c>
      <c r="C305" s="91">
        <v>0.32273957251407642</v>
      </c>
      <c r="D305" s="90">
        <v>34.5</v>
      </c>
      <c r="E305" s="92">
        <v>0.344189034056743</v>
      </c>
      <c r="F305" s="90">
        <v>30.69</v>
      </c>
      <c r="G305" s="91">
        <v>0.30653887201379199</v>
      </c>
      <c r="H305" s="93">
        <v>33.520000000000003</v>
      </c>
      <c r="I305" s="91">
        <v>0.33510130577980463</v>
      </c>
      <c r="J305" s="93">
        <v>29.5</v>
      </c>
      <c r="K305" s="91">
        <v>0.29422011517416158</v>
      </c>
      <c r="L305" s="90">
        <v>34.549999999999997</v>
      </c>
      <c r="M305" s="91">
        <v>0.34539827311134391</v>
      </c>
      <c r="N305" s="93">
        <v>34.450000000000003</v>
      </c>
      <c r="O305" s="91">
        <v>0.34439856754517512</v>
      </c>
      <c r="P305" s="94">
        <f t="shared" si="40"/>
        <v>1.6200700500284437E-2</v>
      </c>
      <c r="Q305" s="94">
        <f t="shared" si="41"/>
        <v>2.1449461542666581E-2</v>
      </c>
      <c r="R305" s="94">
        <f t="shared" si="42"/>
        <v>-2.2658700597267489E-2</v>
      </c>
      <c r="S305" s="94">
        <f t="shared" si="43"/>
        <v>-2.1658995031098693E-2</v>
      </c>
      <c r="T305" s="94">
        <f t="shared" si="44"/>
        <v>-2.0953348843211206E-4</v>
      </c>
      <c r="U305" s="94">
        <f t="shared" si="45"/>
        <v>-3.7859695531383131E-2</v>
      </c>
      <c r="V305" s="94">
        <f t="shared" si="46"/>
        <v>1.2318756839630407E-2</v>
      </c>
      <c r="W305" s="94">
        <f t="shared" si="47"/>
        <v>2.8519457339914844E-2</v>
      </c>
      <c r="X305" s="94">
        <f t="shared" si="48"/>
        <v>2.856243376601264E-2</v>
      </c>
      <c r="Y305" s="95">
        <f t="shared" si="49"/>
        <v>-3.8859401097551927E-2</v>
      </c>
    </row>
    <row r="306" spans="1:25" x14ac:dyDescent="0.25">
      <c r="A306" s="89">
        <v>44655</v>
      </c>
      <c r="B306" s="90">
        <v>32.6</v>
      </c>
      <c r="C306" s="91">
        <v>0.32524258575919102</v>
      </c>
      <c r="D306" s="90">
        <v>35</v>
      </c>
      <c r="E306" s="92">
        <v>0.34918682520158528</v>
      </c>
      <c r="F306" s="90">
        <v>31.05</v>
      </c>
      <c r="G306" s="91">
        <v>0.31013887938701512</v>
      </c>
      <c r="H306" s="93">
        <v>34.1</v>
      </c>
      <c r="I306" s="91">
        <v>0.34090076518821583</v>
      </c>
      <c r="J306" s="93">
        <v>30</v>
      </c>
      <c r="K306" s="91">
        <v>0.29921609482007749</v>
      </c>
      <c r="L306" s="90">
        <v>35</v>
      </c>
      <c r="M306" s="91">
        <v>0.34989814608761149</v>
      </c>
      <c r="N306" s="93">
        <v>34.299999999999997</v>
      </c>
      <c r="O306" s="91">
        <v>0.34290018316585918</v>
      </c>
      <c r="P306" s="94">
        <f t="shared" si="40"/>
        <v>1.5103706372175896E-2</v>
      </c>
      <c r="Q306" s="94">
        <f t="shared" si="41"/>
        <v>2.3944239442394266E-2</v>
      </c>
      <c r="R306" s="94">
        <f t="shared" si="42"/>
        <v>-2.4655560328420478E-2</v>
      </c>
      <c r="S306" s="94">
        <f t="shared" si="43"/>
        <v>-1.7657597406668168E-2</v>
      </c>
      <c r="T306" s="94">
        <f t="shared" si="44"/>
        <v>6.2866420357260977E-3</v>
      </c>
      <c r="U306" s="94">
        <f t="shared" si="45"/>
        <v>-3.2761303778844064E-2</v>
      </c>
      <c r="V306" s="94">
        <f t="shared" si="46"/>
        <v>1.0922784566937627E-2</v>
      </c>
      <c r="W306" s="94">
        <f t="shared" si="47"/>
        <v>2.6026490939113522E-2</v>
      </c>
      <c r="X306" s="94">
        <f t="shared" si="48"/>
        <v>3.0761885801200706E-2</v>
      </c>
      <c r="Y306" s="95">
        <f t="shared" si="49"/>
        <v>-3.9759266700596374E-2</v>
      </c>
    </row>
    <row r="307" spans="1:25" x14ac:dyDescent="0.25">
      <c r="A307" s="89">
        <v>44652</v>
      </c>
      <c r="B307" s="90">
        <v>32.090000000000003</v>
      </c>
      <c r="C307" s="91">
        <v>0.32018068995680937</v>
      </c>
      <c r="D307" s="90">
        <v>33.86</v>
      </c>
      <c r="E307" s="92">
        <v>0.33784101470668632</v>
      </c>
      <c r="F307" s="90">
        <v>30.7</v>
      </c>
      <c r="G307" s="91">
        <v>0.30665553761528153</v>
      </c>
      <c r="H307" s="93">
        <v>33.75</v>
      </c>
      <c r="I307" s="91">
        <v>0.33740524921083798</v>
      </c>
      <c r="J307" s="93">
        <v>30.19</v>
      </c>
      <c r="K307" s="91">
        <v>0.30113890236320529</v>
      </c>
      <c r="L307" s="90">
        <v>34.5</v>
      </c>
      <c r="M307" s="91">
        <v>0.34490314363774549</v>
      </c>
      <c r="N307" s="93">
        <v>34</v>
      </c>
      <c r="O307" s="91">
        <v>0.33990454735314057</v>
      </c>
      <c r="P307" s="94">
        <f t="shared" si="40"/>
        <v>1.3525152341527846E-2</v>
      </c>
      <c r="Q307" s="94">
        <f t="shared" si="41"/>
        <v>1.7660324749876943E-2</v>
      </c>
      <c r="R307" s="94">
        <f t="shared" si="42"/>
        <v>-2.4722453680936118E-2</v>
      </c>
      <c r="S307" s="94">
        <f t="shared" si="43"/>
        <v>-1.9723857396331201E-2</v>
      </c>
      <c r="T307" s="94">
        <f t="shared" si="44"/>
        <v>-2.063532646454258E-3</v>
      </c>
      <c r="U307" s="94">
        <f t="shared" si="45"/>
        <v>-3.3249009737859048E-2</v>
      </c>
      <c r="V307" s="94">
        <f t="shared" si="46"/>
        <v>5.5166352520762407E-3</v>
      </c>
      <c r="W307" s="94">
        <f t="shared" si="47"/>
        <v>1.9041787593604087E-2</v>
      </c>
      <c r="X307" s="94">
        <f t="shared" si="48"/>
        <v>3.074971159555645E-2</v>
      </c>
      <c r="Y307" s="95">
        <f t="shared" si="49"/>
        <v>-3.8247606022463965E-2</v>
      </c>
    </row>
    <row r="308" spans="1:25" x14ac:dyDescent="0.25">
      <c r="A308" s="89">
        <v>44651</v>
      </c>
      <c r="B308" s="90">
        <v>31.9</v>
      </c>
      <c r="C308" s="91">
        <v>0.31829364970886531</v>
      </c>
      <c r="D308" s="90">
        <v>34</v>
      </c>
      <c r="E308" s="92">
        <v>0.33924715015991908</v>
      </c>
      <c r="F308" s="90">
        <v>30.51</v>
      </c>
      <c r="G308" s="91">
        <v>0.3047618396026327</v>
      </c>
      <c r="H308" s="93">
        <v>33.799999999999997</v>
      </c>
      <c r="I308" s="91">
        <v>0.3379062657276577</v>
      </c>
      <c r="J308" s="93">
        <v>29.7</v>
      </c>
      <c r="K308" s="91">
        <v>0.29626036368108388</v>
      </c>
      <c r="L308" s="90">
        <v>34.700000000000003</v>
      </c>
      <c r="M308" s="91">
        <v>0.34690376984466642</v>
      </c>
      <c r="N308" s="93">
        <v>34.1</v>
      </c>
      <c r="O308" s="91">
        <v>0.34090543376666071</v>
      </c>
      <c r="P308" s="94">
        <f t="shared" si="40"/>
        <v>1.3531810106232611E-2</v>
      </c>
      <c r="Q308" s="94">
        <f t="shared" si="41"/>
        <v>2.0953500451053764E-2</v>
      </c>
      <c r="R308" s="94">
        <f t="shared" si="42"/>
        <v>-2.8610120135801109E-2</v>
      </c>
      <c r="S308" s="94">
        <f t="shared" si="43"/>
        <v>-2.2611784057795403E-2</v>
      </c>
      <c r="T308" s="94">
        <f t="shared" si="44"/>
        <v>-1.6582836067416395E-3</v>
      </c>
      <c r="U308" s="94">
        <f t="shared" si="45"/>
        <v>-3.6143594164028015E-2</v>
      </c>
      <c r="V308" s="94">
        <f t="shared" si="46"/>
        <v>8.5014759215488178E-3</v>
      </c>
      <c r="W308" s="94">
        <f t="shared" si="47"/>
        <v>2.2033286027781429E-2</v>
      </c>
      <c r="X308" s="94">
        <f t="shared" si="48"/>
        <v>3.3144426125024995E-2</v>
      </c>
      <c r="Y308" s="95">
        <f t="shared" si="49"/>
        <v>-4.2141930242033721E-2</v>
      </c>
    </row>
    <row r="309" spans="1:25" x14ac:dyDescent="0.25">
      <c r="A309" s="89">
        <v>44650</v>
      </c>
      <c r="B309" s="90">
        <v>31.7</v>
      </c>
      <c r="C309" s="91">
        <v>0.31630672498633128</v>
      </c>
      <c r="D309" s="90">
        <v>34.25</v>
      </c>
      <c r="E309" s="92">
        <v>0.34175095680699841</v>
      </c>
      <c r="F309" s="90">
        <v>30.33</v>
      </c>
      <c r="G309" s="91">
        <v>0.30296798029556649</v>
      </c>
      <c r="H309" s="93">
        <v>33.840000000000003</v>
      </c>
      <c r="I309" s="91">
        <v>0.33830731306491368</v>
      </c>
      <c r="J309" s="93">
        <v>29.4</v>
      </c>
      <c r="K309" s="91">
        <v>0.29327685159879752</v>
      </c>
      <c r="L309" s="90">
        <v>34.6</v>
      </c>
      <c r="M309" s="91">
        <v>0.34590523144344021</v>
      </c>
      <c r="N309" s="93">
        <v>33.799999999999997</v>
      </c>
      <c r="O309" s="91">
        <v>0.33790742262393858</v>
      </c>
      <c r="P309" s="94">
        <f t="shared" si="40"/>
        <v>1.3338744690764792E-2</v>
      </c>
      <c r="Q309" s="94">
        <f t="shared" si="41"/>
        <v>2.5444231820667129E-2</v>
      </c>
      <c r="R309" s="94">
        <f t="shared" si="42"/>
        <v>-2.9598506457108931E-2</v>
      </c>
      <c r="S309" s="94">
        <f t="shared" si="43"/>
        <v>-2.1600697637607302E-2</v>
      </c>
      <c r="T309" s="94">
        <f t="shared" si="44"/>
        <v>3.8435341830598269E-3</v>
      </c>
      <c r="U309" s="94">
        <f t="shared" si="45"/>
        <v>-3.4939442328372095E-2</v>
      </c>
      <c r="V309" s="94">
        <f t="shared" si="46"/>
        <v>9.6911286967689692E-3</v>
      </c>
      <c r="W309" s="94">
        <f t="shared" si="47"/>
        <v>2.3029873387533761E-2</v>
      </c>
      <c r="X309" s="94">
        <f t="shared" si="48"/>
        <v>3.5339332769347198E-2</v>
      </c>
      <c r="Y309" s="95">
        <f t="shared" si="49"/>
        <v>-4.2937251147873723E-2</v>
      </c>
    </row>
    <row r="310" spans="1:25" x14ac:dyDescent="0.25">
      <c r="A310" s="89">
        <v>44649</v>
      </c>
      <c r="B310" s="90">
        <v>31.1</v>
      </c>
      <c r="C310" s="91">
        <v>0.31032833046283392</v>
      </c>
      <c r="D310" s="90">
        <v>34.25</v>
      </c>
      <c r="E310" s="92">
        <v>0.34176029962546822</v>
      </c>
      <c r="F310" s="90">
        <v>30</v>
      </c>
      <c r="G310" s="91">
        <v>0.29967569342766048</v>
      </c>
      <c r="H310" s="93">
        <v>33.6</v>
      </c>
      <c r="I310" s="91">
        <v>0.33590912047767901</v>
      </c>
      <c r="J310" s="93">
        <v>29.3</v>
      </c>
      <c r="K310" s="91">
        <v>0.29228829801408218</v>
      </c>
      <c r="L310" s="90">
        <v>34.18</v>
      </c>
      <c r="M310" s="91">
        <v>0.34170755172401979</v>
      </c>
      <c r="N310" s="93">
        <v>33.840000000000003</v>
      </c>
      <c r="O310" s="91">
        <v>0.33830847133823388</v>
      </c>
      <c r="P310" s="94">
        <f t="shared" si="40"/>
        <v>1.065263703517344E-2</v>
      </c>
      <c r="Q310" s="94">
        <f t="shared" si="41"/>
        <v>3.1431969162634299E-2</v>
      </c>
      <c r="R310" s="94">
        <f t="shared" si="42"/>
        <v>-3.1379221261185863E-2</v>
      </c>
      <c r="S310" s="94">
        <f t="shared" si="43"/>
        <v>-2.7980140875399961E-2</v>
      </c>
      <c r="T310" s="94">
        <f t="shared" si="44"/>
        <v>3.4518282872343375E-3</v>
      </c>
      <c r="U310" s="94">
        <f t="shared" si="45"/>
        <v>-3.8632777910573401E-2</v>
      </c>
      <c r="V310" s="94">
        <f t="shared" si="46"/>
        <v>7.3873954135783015E-3</v>
      </c>
      <c r="W310" s="94">
        <f t="shared" si="47"/>
        <v>1.8040032448751742E-2</v>
      </c>
      <c r="X310" s="94">
        <f t="shared" si="48"/>
        <v>3.623342705001853E-2</v>
      </c>
      <c r="Y310" s="95">
        <f t="shared" si="49"/>
        <v>-4.2031858296359303E-2</v>
      </c>
    </row>
    <row r="311" spans="1:25" x14ac:dyDescent="0.25">
      <c r="A311" s="89">
        <v>44648</v>
      </c>
      <c r="B311" s="90">
        <v>31.45</v>
      </c>
      <c r="C311" s="91">
        <v>0.31382935097599651</v>
      </c>
      <c r="D311" s="90">
        <v>33.9</v>
      </c>
      <c r="E311" s="92">
        <v>0.33827710645743342</v>
      </c>
      <c r="F311" s="90">
        <v>29.42</v>
      </c>
      <c r="G311" s="91">
        <v>0.29388598483811817</v>
      </c>
      <c r="H311" s="93">
        <v>33.549999999999997</v>
      </c>
      <c r="I311" s="91">
        <v>0.33541040407014561</v>
      </c>
      <c r="J311" s="93">
        <v>28.8</v>
      </c>
      <c r="K311" s="91">
        <v>0.28730927701211473</v>
      </c>
      <c r="L311" s="90">
        <v>34.24</v>
      </c>
      <c r="M311" s="91">
        <v>0.3423085614116777</v>
      </c>
      <c r="N311" s="93">
        <v>33.799999999999997</v>
      </c>
      <c r="O311" s="91">
        <v>0.33790973644026601</v>
      </c>
      <c r="P311" s="94">
        <f t="shared" si="40"/>
        <v>1.9943366137878338E-2</v>
      </c>
      <c r="Q311" s="94">
        <f t="shared" si="41"/>
        <v>2.4447755481436906E-2</v>
      </c>
      <c r="R311" s="94">
        <f t="shared" si="42"/>
        <v>-2.847921043568119E-2</v>
      </c>
      <c r="S311" s="94">
        <f t="shared" si="43"/>
        <v>-2.4080385464269494E-2</v>
      </c>
      <c r="T311" s="94">
        <f t="shared" si="44"/>
        <v>3.6737001716741213E-4</v>
      </c>
      <c r="U311" s="94">
        <f t="shared" si="45"/>
        <v>-4.4023751602147831E-2</v>
      </c>
      <c r="V311" s="94">
        <f t="shared" si="46"/>
        <v>6.5767078260034473E-3</v>
      </c>
      <c r="W311" s="94">
        <f t="shared" si="47"/>
        <v>2.6520073963881785E-2</v>
      </c>
      <c r="X311" s="94">
        <f t="shared" si="48"/>
        <v>4.1524419232027432E-2</v>
      </c>
      <c r="Y311" s="95">
        <f t="shared" si="49"/>
        <v>-4.8422576573559528E-2</v>
      </c>
    </row>
    <row r="312" spans="1:25" x14ac:dyDescent="0.25">
      <c r="A312" s="89">
        <v>44645</v>
      </c>
      <c r="B312" s="90">
        <v>30.35</v>
      </c>
      <c r="C312" s="91">
        <v>0.30287764866712241</v>
      </c>
      <c r="D312" s="90">
        <v>33.409999999999997</v>
      </c>
      <c r="E312" s="92">
        <v>0.33341490088858511</v>
      </c>
      <c r="F312" s="90">
        <v>28.85</v>
      </c>
      <c r="G312" s="91">
        <v>0.2882039001026343</v>
      </c>
      <c r="H312" s="93">
        <v>32.65</v>
      </c>
      <c r="I312" s="91">
        <v>0.32641616023281689</v>
      </c>
      <c r="J312" s="93">
        <v>27.8</v>
      </c>
      <c r="K312" s="91">
        <v>0.27735884513538911</v>
      </c>
      <c r="L312" s="90">
        <v>32.9</v>
      </c>
      <c r="M312" s="91">
        <v>0.32891551827441579</v>
      </c>
      <c r="N312" s="93">
        <v>32.799999999999997</v>
      </c>
      <c r="O312" s="91">
        <v>0.32791577505777619</v>
      </c>
      <c r="P312" s="94">
        <f t="shared" si="40"/>
        <v>1.4673748564488109E-2</v>
      </c>
      <c r="Q312" s="94">
        <f t="shared" si="41"/>
        <v>3.0537252221462696E-2</v>
      </c>
      <c r="R312" s="94">
        <f t="shared" si="42"/>
        <v>-2.6037869607293374E-2</v>
      </c>
      <c r="S312" s="94">
        <f t="shared" si="43"/>
        <v>-2.5038126390653781E-2</v>
      </c>
      <c r="T312" s="94">
        <f t="shared" si="44"/>
        <v>5.4991258308089153E-3</v>
      </c>
      <c r="U312" s="94">
        <f t="shared" si="45"/>
        <v>-3.971187495514189E-2</v>
      </c>
      <c r="V312" s="94">
        <f t="shared" si="46"/>
        <v>1.0845054967245193E-2</v>
      </c>
      <c r="W312" s="94">
        <f t="shared" si="47"/>
        <v>2.5518803531733303E-2</v>
      </c>
      <c r="X312" s="94">
        <f t="shared" si="48"/>
        <v>3.8212260130182585E-2</v>
      </c>
      <c r="Y312" s="95">
        <f t="shared" si="49"/>
        <v>-4.0711618171781483E-2</v>
      </c>
    </row>
    <row r="313" spans="1:25" x14ac:dyDescent="0.25">
      <c r="A313" s="89">
        <v>44643</v>
      </c>
      <c r="B313" s="90">
        <v>29.85</v>
      </c>
      <c r="C313" s="91">
        <v>0.29790419161676651</v>
      </c>
      <c r="D313" s="90">
        <v>32.950000000000003</v>
      </c>
      <c r="E313" s="92">
        <v>0.32884231536926151</v>
      </c>
      <c r="F313" s="90">
        <v>28.15</v>
      </c>
      <c r="G313" s="91">
        <v>0.28121878121878119</v>
      </c>
      <c r="H313" s="93">
        <v>32.01</v>
      </c>
      <c r="I313" s="91">
        <v>0.32001999500124972</v>
      </c>
      <c r="J313" s="93">
        <v>27.5</v>
      </c>
      <c r="K313" s="91">
        <v>0.27438263906211019</v>
      </c>
      <c r="L313" s="90">
        <v>32.799999999999997</v>
      </c>
      <c r="M313" s="91">
        <v>0.32791802049487617</v>
      </c>
      <c r="N313" s="93">
        <v>32.5</v>
      </c>
      <c r="O313" s="91">
        <v>0.32491877030742322</v>
      </c>
      <c r="P313" s="94">
        <f t="shared" si="40"/>
        <v>1.6685410397985323E-2</v>
      </c>
      <c r="Q313" s="94">
        <f t="shared" si="41"/>
        <v>3.0938123752494995E-2</v>
      </c>
      <c r="R313" s="94">
        <f t="shared" si="42"/>
        <v>-3.0013828878109661E-2</v>
      </c>
      <c r="S313" s="94">
        <f t="shared" si="43"/>
        <v>-2.701457869065671E-2</v>
      </c>
      <c r="T313" s="94">
        <f t="shared" si="44"/>
        <v>3.923545061838285E-3</v>
      </c>
      <c r="U313" s="94">
        <f t="shared" si="45"/>
        <v>-4.3699989088642033E-2</v>
      </c>
      <c r="V313" s="94">
        <f t="shared" si="46"/>
        <v>6.836142156670999E-3</v>
      </c>
      <c r="W313" s="94">
        <f t="shared" si="47"/>
        <v>2.3521552554656322E-2</v>
      </c>
      <c r="X313" s="94">
        <f t="shared" si="48"/>
        <v>3.8801213782468535E-2</v>
      </c>
      <c r="Y313" s="95">
        <f t="shared" si="49"/>
        <v>-4.6699239276094984E-2</v>
      </c>
    </row>
    <row r="314" spans="1:25" x14ac:dyDescent="0.25">
      <c r="A314" s="89">
        <v>44642</v>
      </c>
      <c r="B314" s="90">
        <v>30.3</v>
      </c>
      <c r="C314" s="91">
        <v>0.30240347807065521</v>
      </c>
      <c r="D314" s="90">
        <v>34.299999999999997</v>
      </c>
      <c r="E314" s="92">
        <v>0.34232472930110458</v>
      </c>
      <c r="F314" s="90">
        <v>28.6</v>
      </c>
      <c r="G314" s="91">
        <v>0.28571819575213492</v>
      </c>
      <c r="H314" s="93">
        <v>32.53</v>
      </c>
      <c r="I314" s="91">
        <v>0.32521980881426499</v>
      </c>
      <c r="J314" s="93">
        <v>28</v>
      </c>
      <c r="K314" s="91">
        <v>0.279380006014051</v>
      </c>
      <c r="L314" s="90">
        <v>33.25</v>
      </c>
      <c r="M314" s="91">
        <v>0.33241803390944702</v>
      </c>
      <c r="N314" s="93">
        <v>33</v>
      </c>
      <c r="O314" s="91">
        <v>0.3299186501958421</v>
      </c>
      <c r="P314" s="94">
        <f t="shared" si="40"/>
        <v>1.6685282318520289E-2</v>
      </c>
      <c r="Q314" s="94">
        <f t="shared" si="41"/>
        <v>3.9921251230449373E-2</v>
      </c>
      <c r="R314" s="94">
        <f t="shared" si="42"/>
        <v>-3.0014555838791812E-2</v>
      </c>
      <c r="S314" s="94">
        <f t="shared" si="43"/>
        <v>-2.7515172125186893E-2</v>
      </c>
      <c r="T314" s="94">
        <f t="shared" si="44"/>
        <v>1.240607910526248E-2</v>
      </c>
      <c r="U314" s="94">
        <f t="shared" si="45"/>
        <v>-4.4200454443707182E-2</v>
      </c>
      <c r="V314" s="94">
        <f t="shared" si="46"/>
        <v>6.3381897380839214E-3</v>
      </c>
      <c r="W314" s="94">
        <f t="shared" si="47"/>
        <v>2.3023472056604211E-2</v>
      </c>
      <c r="X314" s="94">
        <f t="shared" si="48"/>
        <v>3.950161306213007E-2</v>
      </c>
      <c r="Y314" s="95">
        <f t="shared" si="49"/>
        <v>-4.6699838157312101E-2</v>
      </c>
    </row>
    <row r="315" spans="1:25" x14ac:dyDescent="0.25">
      <c r="A315" s="89">
        <v>44641</v>
      </c>
      <c r="B315" s="90">
        <v>31</v>
      </c>
      <c r="C315" s="91">
        <v>0.30939815700965251</v>
      </c>
      <c r="D315" s="90">
        <v>34.299999999999997</v>
      </c>
      <c r="E315" s="92">
        <v>0.34233408985261538</v>
      </c>
      <c r="F315" s="90">
        <v>29</v>
      </c>
      <c r="G315" s="91">
        <v>0.28971821926619318</v>
      </c>
      <c r="H315" s="93">
        <v>32.799999999999997</v>
      </c>
      <c r="I315" s="91">
        <v>0.32792026596272822</v>
      </c>
      <c r="J315" s="93">
        <v>28.97</v>
      </c>
      <c r="K315" s="91">
        <v>0.28906741753491499</v>
      </c>
      <c r="L315" s="90">
        <v>33.65</v>
      </c>
      <c r="M315" s="91">
        <v>0.33641819968432329</v>
      </c>
      <c r="N315" s="93">
        <v>33</v>
      </c>
      <c r="O315" s="91">
        <v>0.32991977977957421</v>
      </c>
      <c r="P315" s="94">
        <f t="shared" si="40"/>
        <v>1.967993774345933E-2</v>
      </c>
      <c r="Q315" s="94">
        <f t="shared" si="41"/>
        <v>3.2935932842962867E-2</v>
      </c>
      <c r="R315" s="94">
        <f t="shared" si="42"/>
        <v>-2.7020042674670786E-2</v>
      </c>
      <c r="S315" s="94">
        <f t="shared" si="43"/>
        <v>-2.0521622769921699E-2</v>
      </c>
      <c r="T315" s="94">
        <f t="shared" si="44"/>
        <v>1.2414310073041168E-2</v>
      </c>
      <c r="U315" s="94">
        <f t="shared" si="45"/>
        <v>-4.0201560513381029E-2</v>
      </c>
      <c r="V315" s="94">
        <f t="shared" si="46"/>
        <v>6.508017312781833E-4</v>
      </c>
      <c r="W315" s="94">
        <f t="shared" si="47"/>
        <v>2.0330739474737514E-2</v>
      </c>
      <c r="X315" s="94">
        <f t="shared" si="48"/>
        <v>3.8202046696535041E-2</v>
      </c>
      <c r="Y315" s="95">
        <f t="shared" si="49"/>
        <v>-4.6699980418130116E-2</v>
      </c>
    </row>
    <row r="316" spans="1:25" x14ac:dyDescent="0.25">
      <c r="A316" s="89">
        <v>44638</v>
      </c>
      <c r="B316" s="90">
        <v>30.82</v>
      </c>
      <c r="C316" s="91">
        <v>0.30762688689564649</v>
      </c>
      <c r="D316" s="90">
        <v>34</v>
      </c>
      <c r="E316" s="92">
        <v>0.33936775322686502</v>
      </c>
      <c r="F316" s="90">
        <v>28.87</v>
      </c>
      <c r="G316" s="91">
        <v>0.28843132424590789</v>
      </c>
      <c r="H316" s="93">
        <v>33.15</v>
      </c>
      <c r="I316" s="91">
        <v>0.33142281934344048</v>
      </c>
      <c r="J316" s="93">
        <v>28.65</v>
      </c>
      <c r="K316" s="91">
        <v>0.28590078328981722</v>
      </c>
      <c r="L316" s="90">
        <v>33.549999999999997</v>
      </c>
      <c r="M316" s="91">
        <v>0.33542188805346701</v>
      </c>
      <c r="N316" s="93">
        <v>32.9</v>
      </c>
      <c r="O316" s="91">
        <v>0.32892340139967402</v>
      </c>
      <c r="P316" s="94">
        <f t="shared" si="40"/>
        <v>1.9195562649738596E-2</v>
      </c>
      <c r="Q316" s="94">
        <f t="shared" si="41"/>
        <v>3.1740866331218531E-2</v>
      </c>
      <c r="R316" s="94">
        <f t="shared" si="42"/>
        <v>-2.779500115782052E-2</v>
      </c>
      <c r="S316" s="94">
        <f t="shared" si="43"/>
        <v>-2.1296514504027531E-2</v>
      </c>
      <c r="T316" s="94">
        <f t="shared" si="44"/>
        <v>1.0444351827191001E-2</v>
      </c>
      <c r="U316" s="94">
        <f t="shared" si="45"/>
        <v>-4.0492077153766126E-2</v>
      </c>
      <c r="V316" s="94">
        <f t="shared" si="46"/>
        <v>2.5305409560906766E-3</v>
      </c>
      <c r="W316" s="94">
        <f t="shared" si="47"/>
        <v>2.1726103605829272E-2</v>
      </c>
      <c r="X316" s="94">
        <f t="shared" si="48"/>
        <v>4.2991495097532584E-2</v>
      </c>
      <c r="Y316" s="95">
        <f t="shared" si="49"/>
        <v>-4.6990563807559116E-2</v>
      </c>
    </row>
    <row r="317" spans="1:25" x14ac:dyDescent="0.25">
      <c r="A317" s="89">
        <v>44637</v>
      </c>
      <c r="B317" s="90">
        <v>31</v>
      </c>
      <c r="C317" s="91">
        <v>0.30943200153143552</v>
      </c>
      <c r="D317" s="90">
        <v>32.94</v>
      </c>
      <c r="E317" s="92">
        <v>0.32879645582082201</v>
      </c>
      <c r="F317" s="90">
        <v>29.5</v>
      </c>
      <c r="G317" s="91">
        <v>0.29472949484719502</v>
      </c>
      <c r="H317" s="93">
        <v>33.380000000000003</v>
      </c>
      <c r="I317" s="91">
        <v>0.3337234264740625</v>
      </c>
      <c r="J317" s="93">
        <v>28.99</v>
      </c>
      <c r="K317" s="91">
        <v>0.28930257037692708</v>
      </c>
      <c r="L317" s="90">
        <v>33.89</v>
      </c>
      <c r="M317" s="91">
        <v>0.33882225653702752</v>
      </c>
      <c r="N317" s="93">
        <v>32.99</v>
      </c>
      <c r="O317" s="91">
        <v>0.32982432113179511</v>
      </c>
      <c r="P317" s="94">
        <f t="shared" si="40"/>
        <v>1.4702506684240502E-2</v>
      </c>
      <c r="Q317" s="94">
        <f t="shared" si="41"/>
        <v>1.936445428938649E-2</v>
      </c>
      <c r="R317" s="94">
        <f t="shared" si="42"/>
        <v>-2.9390255005592003E-2</v>
      </c>
      <c r="S317" s="94">
        <f t="shared" si="43"/>
        <v>-2.0392319600359587E-2</v>
      </c>
      <c r="T317" s="94">
        <f t="shared" si="44"/>
        <v>-1.0278653109730973E-3</v>
      </c>
      <c r="U317" s="94">
        <f t="shared" si="45"/>
        <v>-3.5094826284600089E-2</v>
      </c>
      <c r="V317" s="94">
        <f t="shared" si="46"/>
        <v>5.4269244702679353E-3</v>
      </c>
      <c r="W317" s="94">
        <f t="shared" si="47"/>
        <v>2.0129431154508437E-2</v>
      </c>
      <c r="X317" s="94">
        <f t="shared" si="48"/>
        <v>3.8993931626867484E-2</v>
      </c>
      <c r="Y317" s="95">
        <f t="shared" si="49"/>
        <v>-4.4092761689832505E-2</v>
      </c>
    </row>
    <row r="318" spans="1:25" x14ac:dyDescent="0.25">
      <c r="A318" s="89">
        <v>44636</v>
      </c>
      <c r="B318" s="90">
        <v>30.7</v>
      </c>
      <c r="C318" s="91">
        <v>0.3064458786851173</v>
      </c>
      <c r="D318" s="90">
        <v>34</v>
      </c>
      <c r="E318" s="92">
        <v>0.33938631515615603</v>
      </c>
      <c r="F318" s="90">
        <v>29.52</v>
      </c>
      <c r="G318" s="91">
        <v>0.29493334793200671</v>
      </c>
      <c r="H318" s="93">
        <v>33.29</v>
      </c>
      <c r="I318" s="91">
        <v>0.33282477248293191</v>
      </c>
      <c r="J318" s="93">
        <v>28.51</v>
      </c>
      <c r="K318" s="91">
        <v>0.28452121369542782</v>
      </c>
      <c r="L318" s="90">
        <v>33.5</v>
      </c>
      <c r="M318" s="91">
        <v>0.33492429793265899</v>
      </c>
      <c r="N318" s="93">
        <v>33</v>
      </c>
      <c r="O318" s="91">
        <v>0.32992542781426121</v>
      </c>
      <c r="P318" s="94">
        <f t="shared" si="40"/>
        <v>1.1512530753110595E-2</v>
      </c>
      <c r="Q318" s="94">
        <f t="shared" si="41"/>
        <v>3.2940436471038725E-2</v>
      </c>
      <c r="R318" s="94">
        <f t="shared" si="42"/>
        <v>-2.8478419247541686E-2</v>
      </c>
      <c r="S318" s="94">
        <f t="shared" si="43"/>
        <v>-2.3479549129143906E-2</v>
      </c>
      <c r="T318" s="94">
        <f t="shared" si="44"/>
        <v>9.4608873418948192E-3</v>
      </c>
      <c r="U318" s="94">
        <f t="shared" si="45"/>
        <v>-3.4992079882254501E-2</v>
      </c>
      <c r="V318" s="94">
        <f t="shared" si="46"/>
        <v>1.0412134236578885E-2</v>
      </c>
      <c r="W318" s="94">
        <f t="shared" si="47"/>
        <v>2.192466498968948E-2</v>
      </c>
      <c r="X318" s="94">
        <f t="shared" si="48"/>
        <v>3.7891424550925201E-2</v>
      </c>
      <c r="Y318" s="95">
        <f t="shared" si="49"/>
        <v>-3.9990950000652281E-2</v>
      </c>
    </row>
    <row r="319" spans="1:25" x14ac:dyDescent="0.25">
      <c r="A319" s="89">
        <v>44635</v>
      </c>
      <c r="B319" s="90">
        <v>31</v>
      </c>
      <c r="C319" s="91">
        <v>0.30944892656912348</v>
      </c>
      <c r="D319" s="90">
        <v>33.94</v>
      </c>
      <c r="E319" s="92">
        <v>0.33879666347600162</v>
      </c>
      <c r="F319" s="90">
        <v>29.35</v>
      </c>
      <c r="G319" s="91">
        <v>0.29323889687264759</v>
      </c>
      <c r="H319" s="93">
        <v>32.75</v>
      </c>
      <c r="I319" s="91">
        <v>0.32742711382740142</v>
      </c>
      <c r="J319" s="93">
        <v>28.3</v>
      </c>
      <c r="K319" s="91">
        <v>0.28243416443084918</v>
      </c>
      <c r="L319" s="90">
        <v>33.5</v>
      </c>
      <c r="M319" s="91">
        <v>0.33492544467841062</v>
      </c>
      <c r="N319" s="93">
        <v>34</v>
      </c>
      <c r="O319" s="91">
        <v>0.33992433191241678</v>
      </c>
      <c r="P319" s="94">
        <f t="shared" si="40"/>
        <v>1.6210029696475892E-2</v>
      </c>
      <c r="Q319" s="94">
        <f t="shared" si="41"/>
        <v>2.9347736906878141E-2</v>
      </c>
      <c r="R319" s="94">
        <f t="shared" si="42"/>
        <v>-2.5476518109287138E-2</v>
      </c>
      <c r="S319" s="94">
        <f t="shared" si="43"/>
        <v>-3.0475405343293294E-2</v>
      </c>
      <c r="T319" s="94">
        <f t="shared" si="44"/>
        <v>-1.1276684364151524E-3</v>
      </c>
      <c r="U319" s="94">
        <f t="shared" si="45"/>
        <v>-4.6685435039769185E-2</v>
      </c>
      <c r="V319" s="94">
        <f t="shared" si="46"/>
        <v>1.0804732441798415E-2</v>
      </c>
      <c r="W319" s="94">
        <f t="shared" si="47"/>
        <v>2.7014762138274306E-2</v>
      </c>
      <c r="X319" s="94">
        <f t="shared" si="48"/>
        <v>3.4188216954753825E-2</v>
      </c>
      <c r="Y319" s="95">
        <f t="shared" si="49"/>
        <v>-4.168654780576303E-2</v>
      </c>
    </row>
    <row r="320" spans="1:25" x14ac:dyDescent="0.25">
      <c r="A320" s="89">
        <v>44634</v>
      </c>
      <c r="B320" s="90">
        <v>31.3</v>
      </c>
      <c r="C320" s="91">
        <v>0.31245213871567662</v>
      </c>
      <c r="D320" s="90">
        <v>34.31</v>
      </c>
      <c r="E320" s="92">
        <v>0.34249945301389351</v>
      </c>
      <c r="F320" s="90">
        <v>29.62</v>
      </c>
      <c r="G320" s="91">
        <v>0.295940545275375</v>
      </c>
      <c r="H320" s="93">
        <v>33.24</v>
      </c>
      <c r="I320" s="91">
        <v>0.33232716117015448</v>
      </c>
      <c r="J320" s="93">
        <v>28.99</v>
      </c>
      <c r="K320" s="91">
        <v>0.28932926829268291</v>
      </c>
      <c r="L320" s="90">
        <v>33.9</v>
      </c>
      <c r="M320" s="91">
        <v>0.33892571491180012</v>
      </c>
      <c r="N320" s="93">
        <v>33.67</v>
      </c>
      <c r="O320" s="91">
        <v>0.33662621891092359</v>
      </c>
      <c r="P320" s="94">
        <f t="shared" si="40"/>
        <v>1.651159344030162E-2</v>
      </c>
      <c r="Q320" s="94">
        <f t="shared" si="41"/>
        <v>3.0047314298216887E-2</v>
      </c>
      <c r="R320" s="94">
        <f t="shared" si="42"/>
        <v>-2.6473576196123505E-2</v>
      </c>
      <c r="S320" s="94">
        <f t="shared" si="43"/>
        <v>-2.4174080195246972E-2</v>
      </c>
      <c r="T320" s="94">
        <f t="shared" si="44"/>
        <v>5.8732341029699153E-3</v>
      </c>
      <c r="U320" s="94">
        <f t="shared" si="45"/>
        <v>-4.0685673635548592E-2</v>
      </c>
      <c r="V320" s="94">
        <f t="shared" si="46"/>
        <v>6.6112769826920936E-3</v>
      </c>
      <c r="W320" s="94">
        <f t="shared" si="47"/>
        <v>2.3122870422993713E-2</v>
      </c>
      <c r="X320" s="94">
        <f t="shared" si="48"/>
        <v>3.6386615894779484E-2</v>
      </c>
      <c r="Y320" s="95">
        <f t="shared" si="49"/>
        <v>-4.2985169636425125E-2</v>
      </c>
    </row>
    <row r="321" spans="1:25" x14ac:dyDescent="0.25">
      <c r="A321" s="89">
        <v>44631</v>
      </c>
      <c r="B321" s="90">
        <v>31.14</v>
      </c>
      <c r="C321" s="91">
        <v>0.31088044637728729</v>
      </c>
      <c r="D321" s="90">
        <v>34.1</v>
      </c>
      <c r="E321" s="92">
        <v>0.34043106041957277</v>
      </c>
      <c r="F321" s="90">
        <v>29.52</v>
      </c>
      <c r="G321" s="91">
        <v>0.29495353198012619</v>
      </c>
      <c r="H321" s="93">
        <v>32.950000000000003</v>
      </c>
      <c r="I321" s="91">
        <v>0.32943118047257253</v>
      </c>
      <c r="J321" s="93">
        <v>28.55</v>
      </c>
      <c r="K321" s="91">
        <v>0.28496422821476058</v>
      </c>
      <c r="L321" s="90">
        <v>34.51</v>
      </c>
      <c r="M321" s="91">
        <v>0.34502792224911921</v>
      </c>
      <c r="N321" s="93">
        <v>33.9</v>
      </c>
      <c r="O321" s="91">
        <v>0.33892919629803359</v>
      </c>
      <c r="P321" s="94">
        <f t="shared" si="40"/>
        <v>1.5926914397161096E-2</v>
      </c>
      <c r="Q321" s="94">
        <f t="shared" si="41"/>
        <v>2.9550614042285483E-2</v>
      </c>
      <c r="R321" s="94">
        <f t="shared" si="42"/>
        <v>-3.4147475871831923E-2</v>
      </c>
      <c r="S321" s="94">
        <f t="shared" si="43"/>
        <v>-2.8048749920746296E-2</v>
      </c>
      <c r="T321" s="94">
        <f t="shared" si="44"/>
        <v>1.501864121539187E-3</v>
      </c>
      <c r="U321" s="94">
        <f t="shared" si="45"/>
        <v>-4.3975664317907392E-2</v>
      </c>
      <c r="V321" s="94">
        <f t="shared" si="46"/>
        <v>9.9893037653656092E-3</v>
      </c>
      <c r="W321" s="94">
        <f t="shared" si="47"/>
        <v>2.5916218162526705E-2</v>
      </c>
      <c r="X321" s="94">
        <f t="shared" si="48"/>
        <v>3.4477648492446333E-2</v>
      </c>
      <c r="Y321" s="95">
        <f t="shared" si="49"/>
        <v>-5.0074390268993019E-2</v>
      </c>
    </row>
    <row r="322" spans="1:25" x14ac:dyDescent="0.25">
      <c r="A322" s="89">
        <v>44630</v>
      </c>
      <c r="B322" s="90">
        <v>31.39</v>
      </c>
      <c r="C322" s="91">
        <v>0.31338484682713352</v>
      </c>
      <c r="D322" s="90">
        <v>33.9</v>
      </c>
      <c r="E322" s="92">
        <v>0.33844365426695838</v>
      </c>
      <c r="F322" s="90">
        <v>29.47</v>
      </c>
      <c r="G322" s="91">
        <v>0.29445797974267718</v>
      </c>
      <c r="H322" s="93">
        <v>32.81</v>
      </c>
      <c r="I322" s="91">
        <v>0.32803259604190921</v>
      </c>
      <c r="J322" s="93">
        <v>28.42</v>
      </c>
      <c r="K322" s="91">
        <v>0.28367539481780268</v>
      </c>
      <c r="L322" s="90">
        <v>34.65</v>
      </c>
      <c r="M322" s="91">
        <v>0.34642881599671299</v>
      </c>
      <c r="N322" s="93">
        <v>33.96</v>
      </c>
      <c r="O322" s="91">
        <v>0.33953023351366157</v>
      </c>
      <c r="P322" s="94">
        <f t="shared" ref="P322:P385" si="50">C322-G322</f>
        <v>1.8926867084456345E-2</v>
      </c>
      <c r="Q322" s="94">
        <f t="shared" ref="Q322:Q385" si="51">E322-C322</f>
        <v>2.5058807439824859E-2</v>
      </c>
      <c r="R322" s="94">
        <f t="shared" ref="R322:R385" si="52">C322-M322</f>
        <v>-3.3043969169579468E-2</v>
      </c>
      <c r="S322" s="94">
        <f t="shared" ref="S322:S385" si="53">C322-O322</f>
        <v>-2.6145386686528049E-2</v>
      </c>
      <c r="T322" s="94">
        <f t="shared" ref="T322:T385" si="54">E322-O322</f>
        <v>-1.0865792467031898E-3</v>
      </c>
      <c r="U322" s="94">
        <f t="shared" ref="U322:U385" si="55">G322-O322</f>
        <v>-4.5072253770984394E-2</v>
      </c>
      <c r="V322" s="94">
        <f t="shared" ref="V322:V385" si="56">G322-K322</f>
        <v>1.0782584924874494E-2</v>
      </c>
      <c r="W322" s="94">
        <f t="shared" ref="W322:W385" si="57">C322-K322</f>
        <v>2.9709452009330839E-2</v>
      </c>
      <c r="X322" s="94">
        <f t="shared" ref="X322:X385" si="58">I322-G322</f>
        <v>3.357461629923203E-2</v>
      </c>
      <c r="Y322" s="95">
        <f t="shared" ref="Y322:Y385" si="59">G322-M322</f>
        <v>-5.1970836254035813E-2</v>
      </c>
    </row>
    <row r="323" spans="1:25" x14ac:dyDescent="0.25">
      <c r="A323" s="89">
        <v>44629</v>
      </c>
      <c r="B323" s="90">
        <v>31.22</v>
      </c>
      <c r="C323" s="91">
        <v>0.31169616236767961</v>
      </c>
      <c r="D323" s="90">
        <v>33.26</v>
      </c>
      <c r="E323" s="92">
        <v>0.33206324024180089</v>
      </c>
      <c r="F323" s="90">
        <v>29</v>
      </c>
      <c r="G323" s="91">
        <v>0.28976580571866573</v>
      </c>
      <c r="H323" s="93">
        <v>32.130000000000003</v>
      </c>
      <c r="I323" s="91">
        <v>0.32123509290930952</v>
      </c>
      <c r="J323" s="93">
        <v>27.8</v>
      </c>
      <c r="K323" s="91">
        <v>0.27749537655838191</v>
      </c>
      <c r="L323" s="90">
        <v>33.5</v>
      </c>
      <c r="M323" s="91">
        <v>0.33493232531782963</v>
      </c>
      <c r="N323" s="93">
        <v>32.75</v>
      </c>
      <c r="O323" s="91">
        <v>0.32743384042265428</v>
      </c>
      <c r="P323" s="94">
        <f t="shared" si="50"/>
        <v>2.1930356649013882E-2</v>
      </c>
      <c r="Q323" s="94">
        <f t="shared" si="51"/>
        <v>2.0367077874121287E-2</v>
      </c>
      <c r="R323" s="94">
        <f t="shared" si="52"/>
        <v>-2.3236162950150019E-2</v>
      </c>
      <c r="S323" s="94">
        <f t="shared" si="53"/>
        <v>-1.5737678054974669E-2</v>
      </c>
      <c r="T323" s="94">
        <f t="shared" si="54"/>
        <v>4.6293998191466179E-3</v>
      </c>
      <c r="U323" s="94">
        <f t="shared" si="55"/>
        <v>-3.7668034703988551E-2</v>
      </c>
      <c r="V323" s="94">
        <f t="shared" si="56"/>
        <v>1.2270429160283813E-2</v>
      </c>
      <c r="W323" s="94">
        <f t="shared" si="57"/>
        <v>3.4200785809297696E-2</v>
      </c>
      <c r="X323" s="94">
        <f t="shared" si="58"/>
        <v>3.1469287190643791E-2</v>
      </c>
      <c r="Y323" s="95">
        <f t="shared" si="59"/>
        <v>-4.5166519599163901E-2</v>
      </c>
    </row>
    <row r="324" spans="1:25" x14ac:dyDescent="0.25">
      <c r="A324" s="89">
        <v>44628</v>
      </c>
      <c r="B324" s="90">
        <v>29.7</v>
      </c>
      <c r="C324" s="91">
        <v>0.29652880354505168</v>
      </c>
      <c r="D324" s="90">
        <v>32</v>
      </c>
      <c r="E324" s="92">
        <v>0.31949231358389413</v>
      </c>
      <c r="F324" s="90">
        <v>28.13</v>
      </c>
      <c r="G324" s="91">
        <v>0.28107667880314269</v>
      </c>
      <c r="H324" s="93">
        <v>30.79</v>
      </c>
      <c r="I324" s="91">
        <v>0.30783885392627491</v>
      </c>
      <c r="J324" s="93">
        <v>27.2</v>
      </c>
      <c r="K324" s="91">
        <v>0.27151462112251379</v>
      </c>
      <c r="L324" s="90">
        <v>32.1</v>
      </c>
      <c r="M324" s="91">
        <v>0.32093625238822432</v>
      </c>
      <c r="N324" s="93">
        <v>31.95</v>
      </c>
      <c r="O324" s="91">
        <v>0.3194365502742606</v>
      </c>
      <c r="P324" s="94">
        <f t="shared" si="50"/>
        <v>1.545212474190899E-2</v>
      </c>
      <c r="Q324" s="94">
        <f t="shared" si="51"/>
        <v>2.296351003884245E-2</v>
      </c>
      <c r="R324" s="94">
        <f t="shared" si="52"/>
        <v>-2.4407448843172641E-2</v>
      </c>
      <c r="S324" s="94">
        <f t="shared" si="53"/>
        <v>-2.2907746729208922E-2</v>
      </c>
      <c r="T324" s="94">
        <f t="shared" si="54"/>
        <v>5.5763309633527491E-5</v>
      </c>
      <c r="U324" s="94">
        <f t="shared" si="55"/>
        <v>-3.8359871471117912E-2</v>
      </c>
      <c r="V324" s="94">
        <f t="shared" si="56"/>
        <v>9.5620576806288993E-3</v>
      </c>
      <c r="W324" s="94">
        <f t="shared" si="57"/>
        <v>2.5014182422537889E-2</v>
      </c>
      <c r="X324" s="94">
        <f t="shared" si="58"/>
        <v>2.6762175123132226E-2</v>
      </c>
      <c r="Y324" s="95">
        <f t="shared" si="59"/>
        <v>-3.9859573585081631E-2</v>
      </c>
    </row>
    <row r="325" spans="1:25" x14ac:dyDescent="0.25">
      <c r="A325" s="89">
        <v>44627</v>
      </c>
      <c r="B325" s="90">
        <v>29.71</v>
      </c>
      <c r="C325" s="91">
        <v>0.29663675903383763</v>
      </c>
      <c r="D325" s="90">
        <v>33</v>
      </c>
      <c r="E325" s="92">
        <v>0.32948546106080923</v>
      </c>
      <c r="F325" s="90">
        <v>28</v>
      </c>
      <c r="G325" s="91">
        <v>0.27978154044102549</v>
      </c>
      <c r="H325" s="93">
        <v>30.63</v>
      </c>
      <c r="I325" s="91">
        <v>0.3062402202309823</v>
      </c>
      <c r="J325" s="93">
        <v>27.1</v>
      </c>
      <c r="K325" s="91">
        <v>0.27052472881547152</v>
      </c>
      <c r="L325" s="90">
        <v>32.89</v>
      </c>
      <c r="M325" s="91">
        <v>0.32883580944815571</v>
      </c>
      <c r="N325" s="93">
        <v>33.1</v>
      </c>
      <c r="O325" s="91">
        <v>0.33093539959665408</v>
      </c>
      <c r="P325" s="94">
        <f t="shared" si="50"/>
        <v>1.6855218592812138E-2</v>
      </c>
      <c r="Q325" s="94">
        <f t="shared" si="51"/>
        <v>3.2848702026971599E-2</v>
      </c>
      <c r="R325" s="94">
        <f t="shared" si="52"/>
        <v>-3.2199050414318087E-2</v>
      </c>
      <c r="S325" s="94">
        <f t="shared" si="53"/>
        <v>-3.4298640562816451E-2</v>
      </c>
      <c r="T325" s="94">
        <f t="shared" si="54"/>
        <v>-1.4499385358448524E-3</v>
      </c>
      <c r="U325" s="94">
        <f t="shared" si="55"/>
        <v>-5.1153859155628589E-2</v>
      </c>
      <c r="V325" s="94">
        <f t="shared" si="56"/>
        <v>9.2568116255539734E-3</v>
      </c>
      <c r="W325" s="94">
        <f t="shared" si="57"/>
        <v>2.6112030218366111E-2</v>
      </c>
      <c r="X325" s="94">
        <f t="shared" si="58"/>
        <v>2.6458679789956807E-2</v>
      </c>
      <c r="Y325" s="95">
        <f t="shared" si="59"/>
        <v>-4.9054269007130225E-2</v>
      </c>
    </row>
    <row r="326" spans="1:25" x14ac:dyDescent="0.25">
      <c r="A326" s="89">
        <v>44624</v>
      </c>
      <c r="B326" s="90">
        <v>30.85</v>
      </c>
      <c r="C326" s="91">
        <v>0.30804426328172019</v>
      </c>
      <c r="D326" s="90">
        <v>34.5</v>
      </c>
      <c r="E326" s="92">
        <v>0.34449034305411169</v>
      </c>
      <c r="F326" s="90">
        <v>28.62</v>
      </c>
      <c r="G326" s="91">
        <v>0.28598844690229153</v>
      </c>
      <c r="H326" s="93">
        <v>31.25</v>
      </c>
      <c r="I326" s="91">
        <v>0.31244221958952789</v>
      </c>
      <c r="J326" s="93">
        <v>28.5</v>
      </c>
      <c r="K326" s="91">
        <v>0.2845264388722879</v>
      </c>
      <c r="L326" s="90">
        <v>34.200000000000003</v>
      </c>
      <c r="M326" s="91">
        <v>0.34193676511877941</v>
      </c>
      <c r="N326" s="93">
        <v>34</v>
      </c>
      <c r="O326" s="91">
        <v>0.33993713491340638</v>
      </c>
      <c r="P326" s="94">
        <f t="shared" si="50"/>
        <v>2.2055816379428661E-2</v>
      </c>
      <c r="Q326" s="94">
        <f t="shared" si="51"/>
        <v>3.6446079772391504E-2</v>
      </c>
      <c r="R326" s="94">
        <f t="shared" si="52"/>
        <v>-3.3892501837059219E-2</v>
      </c>
      <c r="S326" s="94">
        <f t="shared" si="53"/>
        <v>-3.1892871631686193E-2</v>
      </c>
      <c r="T326" s="94">
        <f t="shared" si="54"/>
        <v>4.5532081407053115E-3</v>
      </c>
      <c r="U326" s="94">
        <f t="shared" si="55"/>
        <v>-5.3948688011114854E-2</v>
      </c>
      <c r="V326" s="94">
        <f t="shared" si="56"/>
        <v>1.4620080300036253E-3</v>
      </c>
      <c r="W326" s="94">
        <f t="shared" si="57"/>
        <v>2.3517824409432286E-2</v>
      </c>
      <c r="X326" s="94">
        <f t="shared" si="58"/>
        <v>2.6453772687236365E-2</v>
      </c>
      <c r="Y326" s="95">
        <f t="shared" si="59"/>
        <v>-5.594831821648788E-2</v>
      </c>
    </row>
    <row r="327" spans="1:25" x14ac:dyDescent="0.25">
      <c r="A327" s="89">
        <v>44623</v>
      </c>
      <c r="B327" s="90">
        <v>31.58</v>
      </c>
      <c r="C327" s="91">
        <v>0.31534210598309298</v>
      </c>
      <c r="D327" s="90">
        <v>34.5</v>
      </c>
      <c r="E327" s="92">
        <v>0.34449976746094713</v>
      </c>
      <c r="F327" s="90">
        <v>29.52</v>
      </c>
      <c r="G327" s="91">
        <v>0.29498583220401631</v>
      </c>
      <c r="H327" s="93">
        <v>32.39</v>
      </c>
      <c r="I327" s="91">
        <v>0.32384122060037052</v>
      </c>
      <c r="J327" s="93">
        <v>29.7</v>
      </c>
      <c r="K327" s="91">
        <v>0.29651562345073279</v>
      </c>
      <c r="L327" s="90">
        <v>35</v>
      </c>
      <c r="M327" s="91">
        <v>0.34993648413130501</v>
      </c>
      <c r="N327" s="93">
        <v>34.700000000000003</v>
      </c>
      <c r="O327" s="91">
        <v>0.34693702855303671</v>
      </c>
      <c r="P327" s="94">
        <f t="shared" si="50"/>
        <v>2.0356273779076672E-2</v>
      </c>
      <c r="Q327" s="94">
        <f t="shared" si="51"/>
        <v>2.9157661477854147E-2</v>
      </c>
      <c r="R327" s="94">
        <f t="shared" si="52"/>
        <v>-3.4594378148212035E-2</v>
      </c>
      <c r="S327" s="94">
        <f t="shared" si="53"/>
        <v>-3.1594922569943729E-2</v>
      </c>
      <c r="T327" s="94">
        <f t="shared" si="54"/>
        <v>-2.4372610920895821E-3</v>
      </c>
      <c r="U327" s="94">
        <f t="shared" si="55"/>
        <v>-5.1951196349020401E-2</v>
      </c>
      <c r="V327" s="94">
        <f t="shared" si="56"/>
        <v>-1.5297912467164831E-3</v>
      </c>
      <c r="W327" s="94">
        <f t="shared" si="57"/>
        <v>1.8826482532360189E-2</v>
      </c>
      <c r="X327" s="94">
        <f t="shared" si="58"/>
        <v>2.8855388396354209E-2</v>
      </c>
      <c r="Y327" s="95">
        <f t="shared" si="59"/>
        <v>-5.4950651927288707E-2</v>
      </c>
    </row>
    <row r="328" spans="1:25" x14ac:dyDescent="0.25">
      <c r="A328" s="89">
        <v>44622</v>
      </c>
      <c r="B328" s="90">
        <v>31</v>
      </c>
      <c r="C328" s="91">
        <v>0.30955898446049462</v>
      </c>
      <c r="D328" s="90">
        <v>34</v>
      </c>
      <c r="E328" s="92">
        <v>0.33951630553731671</v>
      </c>
      <c r="F328" s="90">
        <v>29.4</v>
      </c>
      <c r="G328" s="91">
        <v>0.29379072441548493</v>
      </c>
      <c r="H328" s="93">
        <v>32.26</v>
      </c>
      <c r="I328" s="91">
        <v>0.32254256091380978</v>
      </c>
      <c r="J328" s="93">
        <v>29.7</v>
      </c>
      <c r="K328" s="91">
        <v>0.29652474800661949</v>
      </c>
      <c r="L328" s="90">
        <v>34.31</v>
      </c>
      <c r="M328" s="91">
        <v>0.34303891087888461</v>
      </c>
      <c r="N328" s="93">
        <v>34</v>
      </c>
      <c r="O328" s="91">
        <v>0.33993946283538551</v>
      </c>
      <c r="P328" s="94">
        <f t="shared" si="50"/>
        <v>1.5768260045009697E-2</v>
      </c>
      <c r="Q328" s="94">
        <f t="shared" si="51"/>
        <v>2.9957321076822085E-2</v>
      </c>
      <c r="R328" s="94">
        <f t="shared" si="52"/>
        <v>-3.3479926418389983E-2</v>
      </c>
      <c r="S328" s="94">
        <f t="shared" si="53"/>
        <v>-3.0380478374890885E-2</v>
      </c>
      <c r="T328" s="94">
        <f t="shared" si="54"/>
        <v>-4.231572980687992E-4</v>
      </c>
      <c r="U328" s="94">
        <f t="shared" si="55"/>
        <v>-4.6148738419900581E-2</v>
      </c>
      <c r="V328" s="94">
        <f t="shared" si="56"/>
        <v>-2.7340235911345601E-3</v>
      </c>
      <c r="W328" s="94">
        <f t="shared" si="57"/>
        <v>1.3034236453875137E-2</v>
      </c>
      <c r="X328" s="94">
        <f t="shared" si="58"/>
        <v>2.8751836498324856E-2</v>
      </c>
      <c r="Y328" s="95">
        <f t="shared" si="59"/>
        <v>-4.9248186463399679E-2</v>
      </c>
    </row>
    <row r="329" spans="1:25" x14ac:dyDescent="0.25">
      <c r="A329" s="89">
        <v>44617</v>
      </c>
      <c r="B329" s="90">
        <v>31.8</v>
      </c>
      <c r="C329" s="91">
        <v>0.31759104714477249</v>
      </c>
      <c r="D329" s="90">
        <v>34.81</v>
      </c>
      <c r="E329" s="92">
        <v>0.34765233808520529</v>
      </c>
      <c r="F329" s="90">
        <v>30.05</v>
      </c>
      <c r="G329" s="91">
        <v>0.30030665188166522</v>
      </c>
      <c r="H329" s="93">
        <v>33.049999999999997</v>
      </c>
      <c r="I329" s="91">
        <v>0.33044681164333128</v>
      </c>
      <c r="J329" s="93">
        <v>29.62</v>
      </c>
      <c r="K329" s="91">
        <v>0.29577153643865223</v>
      </c>
      <c r="L329" s="90">
        <v>35.590000000000003</v>
      </c>
      <c r="M329" s="91">
        <v>0.35584272394511851</v>
      </c>
      <c r="N329" s="93">
        <v>34.15</v>
      </c>
      <c r="O329" s="91">
        <v>0.34144504138032578</v>
      </c>
      <c r="P329" s="94">
        <f t="shared" si="50"/>
        <v>1.7284395263107266E-2</v>
      </c>
      <c r="Q329" s="94">
        <f t="shared" si="51"/>
        <v>3.0061290940432805E-2</v>
      </c>
      <c r="R329" s="94">
        <f t="shared" si="52"/>
        <v>-3.8251676800346024E-2</v>
      </c>
      <c r="S329" s="94">
        <f t="shared" si="53"/>
        <v>-2.3853994235553289E-2</v>
      </c>
      <c r="T329" s="94">
        <f t="shared" si="54"/>
        <v>6.2072967048795169E-3</v>
      </c>
      <c r="U329" s="94">
        <f t="shared" si="55"/>
        <v>-4.1138389498660555E-2</v>
      </c>
      <c r="V329" s="94">
        <f t="shared" si="56"/>
        <v>4.5351154430129936E-3</v>
      </c>
      <c r="W329" s="94">
        <f t="shared" si="57"/>
        <v>2.181951070612026E-2</v>
      </c>
      <c r="X329" s="94">
        <f t="shared" si="58"/>
        <v>3.0140159761666063E-2</v>
      </c>
      <c r="Y329" s="95">
        <f t="shared" si="59"/>
        <v>-5.553607206345329E-2</v>
      </c>
    </row>
    <row r="330" spans="1:25" x14ac:dyDescent="0.25">
      <c r="A330" s="89">
        <v>44616</v>
      </c>
      <c r="B330" s="90">
        <v>31.88</v>
      </c>
      <c r="C330" s="91">
        <v>0.31839873036720839</v>
      </c>
      <c r="D330" s="90">
        <v>35.07</v>
      </c>
      <c r="E330" s="92">
        <v>0.3502585782301757</v>
      </c>
      <c r="F330" s="90">
        <v>30.01</v>
      </c>
      <c r="G330" s="91">
        <v>0.2999110149768639</v>
      </c>
      <c r="H330" s="93">
        <v>33.71</v>
      </c>
      <c r="I330" s="91">
        <v>0.33704690356998562</v>
      </c>
      <c r="J330" s="93">
        <v>30</v>
      </c>
      <c r="K330" s="91">
        <v>0.29957525973448601</v>
      </c>
      <c r="L330" s="90">
        <v>35.21</v>
      </c>
      <c r="M330" s="91">
        <v>0.35204454092848392</v>
      </c>
      <c r="N330" s="93">
        <v>35.200000000000003</v>
      </c>
      <c r="O330" s="91">
        <v>0.35194455667942731</v>
      </c>
      <c r="P330" s="94">
        <f t="shared" si="50"/>
        <v>1.8487715390344495E-2</v>
      </c>
      <c r="Q330" s="94">
        <f t="shared" si="51"/>
        <v>3.1859847862967305E-2</v>
      </c>
      <c r="R330" s="94">
        <f t="shared" si="52"/>
        <v>-3.3645810561275524E-2</v>
      </c>
      <c r="S330" s="94">
        <f t="shared" si="53"/>
        <v>-3.3545826312218918E-2</v>
      </c>
      <c r="T330" s="94">
        <f t="shared" si="54"/>
        <v>-1.6859784492516128E-3</v>
      </c>
      <c r="U330" s="94">
        <f t="shared" si="55"/>
        <v>-5.2033541702563413E-2</v>
      </c>
      <c r="V330" s="94">
        <f t="shared" si="56"/>
        <v>3.3575524237788867E-4</v>
      </c>
      <c r="W330" s="94">
        <f t="shared" si="57"/>
        <v>1.8823470632722383E-2</v>
      </c>
      <c r="X330" s="94">
        <f t="shared" si="58"/>
        <v>3.7135888593121724E-2</v>
      </c>
      <c r="Y330" s="95">
        <f t="shared" si="59"/>
        <v>-5.2133525951620019E-2</v>
      </c>
    </row>
    <row r="331" spans="1:25" x14ac:dyDescent="0.25">
      <c r="A331" s="89">
        <v>44615</v>
      </c>
      <c r="B331" s="90">
        <v>32.200000000000003</v>
      </c>
      <c r="C331" s="91">
        <v>0.32160350253112602</v>
      </c>
      <c r="D331" s="90">
        <v>35.6</v>
      </c>
      <c r="E331" s="92">
        <v>0.35556163633876042</v>
      </c>
      <c r="F331" s="90">
        <v>30.41</v>
      </c>
      <c r="G331" s="91">
        <v>0.3039126565815593</v>
      </c>
      <c r="H331" s="93">
        <v>34.450000000000003</v>
      </c>
      <c r="I331" s="91">
        <v>0.34444691742710892</v>
      </c>
      <c r="J331" s="93">
        <v>30.64</v>
      </c>
      <c r="K331" s="91">
        <v>0.3059756160120381</v>
      </c>
      <c r="L331" s="90">
        <v>36</v>
      </c>
      <c r="M331" s="91">
        <v>0.35994452909654329</v>
      </c>
      <c r="N331" s="93">
        <v>34.85</v>
      </c>
      <c r="O331" s="91">
        <v>0.34844630108373709</v>
      </c>
      <c r="P331" s="94">
        <f t="shared" si="50"/>
        <v>1.7690845949566714E-2</v>
      </c>
      <c r="Q331" s="94">
        <f t="shared" si="51"/>
        <v>3.3958133807634405E-2</v>
      </c>
      <c r="R331" s="94">
        <f t="shared" si="52"/>
        <v>-3.8341026565417269E-2</v>
      </c>
      <c r="S331" s="94">
        <f t="shared" si="53"/>
        <v>-2.6842798552611069E-2</v>
      </c>
      <c r="T331" s="94">
        <f t="shared" si="54"/>
        <v>7.1153352550233362E-3</v>
      </c>
      <c r="U331" s="94">
        <f t="shared" si="55"/>
        <v>-4.4533644502177783E-2</v>
      </c>
      <c r="V331" s="94">
        <f t="shared" si="56"/>
        <v>-2.0629594304787946E-3</v>
      </c>
      <c r="W331" s="94">
        <f t="shared" si="57"/>
        <v>1.5627886519087919E-2</v>
      </c>
      <c r="X331" s="94">
        <f t="shared" si="58"/>
        <v>4.0534260845549619E-2</v>
      </c>
      <c r="Y331" s="95">
        <f t="shared" si="59"/>
        <v>-5.6031872514983982E-2</v>
      </c>
    </row>
    <row r="332" spans="1:25" x14ac:dyDescent="0.25">
      <c r="A332" s="89">
        <v>44614</v>
      </c>
      <c r="B332" s="90">
        <v>32.25</v>
      </c>
      <c r="C332" s="91">
        <v>0.32211170096322239</v>
      </c>
      <c r="D332" s="90">
        <v>35.299999999999997</v>
      </c>
      <c r="E332" s="92">
        <v>0.3525749781085814</v>
      </c>
      <c r="F332" s="90">
        <v>30.66</v>
      </c>
      <c r="G332" s="91">
        <v>0.30641531131920491</v>
      </c>
      <c r="H332" s="93">
        <v>34.71</v>
      </c>
      <c r="I332" s="91">
        <v>0.34704770514032129</v>
      </c>
      <c r="J332" s="93">
        <v>30.02</v>
      </c>
      <c r="K332" s="91">
        <v>0.29979343082668708</v>
      </c>
      <c r="L332" s="90">
        <v>36.450000000000003</v>
      </c>
      <c r="M332" s="91">
        <v>0.36444508361753708</v>
      </c>
      <c r="N332" s="93">
        <v>34.909999999999997</v>
      </c>
      <c r="O332" s="91">
        <v>0.34904740381586341</v>
      </c>
      <c r="P332" s="94">
        <f t="shared" si="50"/>
        <v>1.5696389644017483E-2</v>
      </c>
      <c r="Q332" s="94">
        <f t="shared" si="51"/>
        <v>3.0463277145359013E-2</v>
      </c>
      <c r="R332" s="94">
        <f t="shared" si="52"/>
        <v>-4.2333382654314688E-2</v>
      </c>
      <c r="S332" s="94">
        <f t="shared" si="53"/>
        <v>-2.6935702852641019E-2</v>
      </c>
      <c r="T332" s="94">
        <f t="shared" si="54"/>
        <v>3.5275742927179943E-3</v>
      </c>
      <c r="U332" s="94">
        <f t="shared" si="55"/>
        <v>-4.2632092496658502E-2</v>
      </c>
      <c r="V332" s="94">
        <f t="shared" si="56"/>
        <v>6.6218804925178287E-3</v>
      </c>
      <c r="W332" s="94">
        <f t="shared" si="57"/>
        <v>2.2318270136535312E-2</v>
      </c>
      <c r="X332" s="94">
        <f t="shared" si="58"/>
        <v>4.0632393821116386E-2</v>
      </c>
      <c r="Y332" s="95">
        <f t="shared" si="59"/>
        <v>-5.8029772298332172E-2</v>
      </c>
    </row>
    <row r="333" spans="1:25" x14ac:dyDescent="0.25">
      <c r="A333" s="89">
        <v>44613</v>
      </c>
      <c r="B333" s="90">
        <v>32.299999999999997</v>
      </c>
      <c r="C333" s="91">
        <v>0.32261992720904142</v>
      </c>
      <c r="D333" s="90">
        <v>34.71</v>
      </c>
      <c r="E333" s="92">
        <v>0.34669156883671293</v>
      </c>
      <c r="F333" s="90">
        <v>30.89</v>
      </c>
      <c r="G333" s="91">
        <v>0.30871815232123551</v>
      </c>
      <c r="H333" s="93">
        <v>34.950000000000003</v>
      </c>
      <c r="I333" s="91">
        <v>0.3494485401122438</v>
      </c>
      <c r="J333" s="93">
        <v>30.8</v>
      </c>
      <c r="K333" s="91">
        <v>0.30759233481652742</v>
      </c>
      <c r="L333" s="90">
        <v>36</v>
      </c>
      <c r="M333" s="91">
        <v>0.35994699410703218</v>
      </c>
      <c r="N333" s="93">
        <v>34.799999999999997</v>
      </c>
      <c r="O333" s="91">
        <v>0.34794876097013111</v>
      </c>
      <c r="P333" s="94">
        <f t="shared" si="50"/>
        <v>1.3901774887805918E-2</v>
      </c>
      <c r="Q333" s="94">
        <f t="shared" si="51"/>
        <v>2.4071641627671503E-2</v>
      </c>
      <c r="R333" s="94">
        <f t="shared" si="52"/>
        <v>-3.7327066897990757E-2</v>
      </c>
      <c r="S333" s="94">
        <f t="shared" si="53"/>
        <v>-2.5328833761089686E-2</v>
      </c>
      <c r="T333" s="94">
        <f t="shared" si="54"/>
        <v>-1.2571921334181835E-3</v>
      </c>
      <c r="U333" s="94">
        <f t="shared" si="55"/>
        <v>-3.9230608648895604E-2</v>
      </c>
      <c r="V333" s="94">
        <f t="shared" si="56"/>
        <v>1.1258175047080821E-3</v>
      </c>
      <c r="W333" s="94">
        <f t="shared" si="57"/>
        <v>1.5027592392514E-2</v>
      </c>
      <c r="X333" s="94">
        <f t="shared" si="58"/>
        <v>4.0730387791008293E-2</v>
      </c>
      <c r="Y333" s="95">
        <f t="shared" si="59"/>
        <v>-5.1228841785796675E-2</v>
      </c>
    </row>
    <row r="334" spans="1:25" x14ac:dyDescent="0.25">
      <c r="A334" s="89">
        <v>44610</v>
      </c>
      <c r="B334" s="90">
        <v>32.090000000000003</v>
      </c>
      <c r="C334" s="91">
        <v>0.32054871373836902</v>
      </c>
      <c r="D334" s="90">
        <v>35.200000000000003</v>
      </c>
      <c r="E334" s="92">
        <v>0.3516146688560482</v>
      </c>
      <c r="F334" s="90">
        <v>30.8</v>
      </c>
      <c r="G334" s="91">
        <v>0.30783132530120477</v>
      </c>
      <c r="H334" s="93">
        <v>35.299999999999997</v>
      </c>
      <c r="I334" s="91">
        <v>0.35295165045884119</v>
      </c>
      <c r="J334" s="93">
        <v>30.51</v>
      </c>
      <c r="K334" s="91">
        <v>0.30472431249144888</v>
      </c>
      <c r="L334" s="90">
        <v>35.9</v>
      </c>
      <c r="M334" s="91">
        <v>0.35895082865360911</v>
      </c>
      <c r="N334" s="93">
        <v>35.5</v>
      </c>
      <c r="O334" s="91">
        <v>0.35495137652376391</v>
      </c>
      <c r="P334" s="94">
        <f t="shared" si="50"/>
        <v>1.2717388437164245E-2</v>
      </c>
      <c r="Q334" s="94">
        <f t="shared" si="51"/>
        <v>3.1065955117679178E-2</v>
      </c>
      <c r="R334" s="94">
        <f t="shared" si="52"/>
        <v>-3.8402114915240093E-2</v>
      </c>
      <c r="S334" s="94">
        <f t="shared" si="53"/>
        <v>-3.4402662785394889E-2</v>
      </c>
      <c r="T334" s="94">
        <f t="shared" si="54"/>
        <v>-3.3367076677157104E-3</v>
      </c>
      <c r="U334" s="94">
        <f t="shared" si="55"/>
        <v>-4.7120051222559134E-2</v>
      </c>
      <c r="V334" s="94">
        <f t="shared" si="56"/>
        <v>3.1070128097558936E-3</v>
      </c>
      <c r="W334" s="94">
        <f t="shared" si="57"/>
        <v>1.5824401246920139E-2</v>
      </c>
      <c r="X334" s="94">
        <f t="shared" si="58"/>
        <v>4.5120325157636421E-2</v>
      </c>
      <c r="Y334" s="95">
        <f t="shared" si="59"/>
        <v>-5.1119503352404339E-2</v>
      </c>
    </row>
    <row r="335" spans="1:25" x14ac:dyDescent="0.25">
      <c r="A335" s="89">
        <v>44609</v>
      </c>
      <c r="B335" s="90">
        <v>31.8</v>
      </c>
      <c r="C335" s="91">
        <v>0.31766058184405699</v>
      </c>
      <c r="D335" s="90">
        <v>36.15</v>
      </c>
      <c r="E335" s="92">
        <v>0.3611141520019705</v>
      </c>
      <c r="F335" s="90">
        <v>30.19</v>
      </c>
      <c r="G335" s="91">
        <v>0.30173879708101148</v>
      </c>
      <c r="H335" s="93">
        <v>34.380000000000003</v>
      </c>
      <c r="I335" s="91">
        <v>0.34375408763897969</v>
      </c>
      <c r="J335" s="93">
        <v>29.8</v>
      </c>
      <c r="K335" s="91">
        <v>0.2976422177451078</v>
      </c>
      <c r="L335" s="90">
        <v>34.9</v>
      </c>
      <c r="M335" s="91">
        <v>0.34895339321118068</v>
      </c>
      <c r="N335" s="93">
        <v>34.5</v>
      </c>
      <c r="O335" s="91">
        <v>0.34495392738641067</v>
      </c>
      <c r="P335" s="94">
        <f t="shared" si="50"/>
        <v>1.592178476304551E-2</v>
      </c>
      <c r="Q335" s="94">
        <f t="shared" si="51"/>
        <v>4.3453570157913513E-2</v>
      </c>
      <c r="R335" s="94">
        <f t="shared" si="52"/>
        <v>-3.1292811367123696E-2</v>
      </c>
      <c r="S335" s="94">
        <f t="shared" si="53"/>
        <v>-2.7293345542353686E-2</v>
      </c>
      <c r="T335" s="94">
        <f t="shared" si="54"/>
        <v>1.6160224615559826E-2</v>
      </c>
      <c r="U335" s="94">
        <f t="shared" si="55"/>
        <v>-4.3215130305399196E-2</v>
      </c>
      <c r="V335" s="94">
        <f t="shared" si="56"/>
        <v>4.0965793359036828E-3</v>
      </c>
      <c r="W335" s="94">
        <f t="shared" si="57"/>
        <v>2.0018364098949193E-2</v>
      </c>
      <c r="X335" s="94">
        <f t="shared" si="58"/>
        <v>4.201529055796821E-2</v>
      </c>
      <c r="Y335" s="95">
        <f t="shared" si="59"/>
        <v>-4.7214596130169206E-2</v>
      </c>
    </row>
    <row r="336" spans="1:25" x14ac:dyDescent="0.25">
      <c r="A336" s="89">
        <v>44608</v>
      </c>
      <c r="B336" s="90">
        <v>32.06</v>
      </c>
      <c r="C336" s="91">
        <v>0.32026657178827522</v>
      </c>
      <c r="D336" s="90">
        <v>36.15</v>
      </c>
      <c r="E336" s="92">
        <v>0.36112403525097159</v>
      </c>
      <c r="F336" s="90">
        <v>30.48</v>
      </c>
      <c r="G336" s="91">
        <v>0.30464141953503648</v>
      </c>
      <c r="H336" s="93">
        <v>34.57</v>
      </c>
      <c r="I336" s="91">
        <v>0.34565501749772293</v>
      </c>
      <c r="J336" s="93">
        <v>30.5</v>
      </c>
      <c r="K336" s="91">
        <v>0.30464319187800593</v>
      </c>
      <c r="L336" s="90">
        <v>35</v>
      </c>
      <c r="M336" s="91">
        <v>0.34995445798149549</v>
      </c>
      <c r="N336" s="93">
        <v>35.1</v>
      </c>
      <c r="O336" s="91">
        <v>0.35095432786144271</v>
      </c>
      <c r="P336" s="94">
        <f t="shared" si="50"/>
        <v>1.5625152253238739E-2</v>
      </c>
      <c r="Q336" s="94">
        <f t="shared" si="51"/>
        <v>4.0857463462696364E-2</v>
      </c>
      <c r="R336" s="94">
        <f t="shared" si="52"/>
        <v>-2.968788619322027E-2</v>
      </c>
      <c r="S336" s="94">
        <f t="shared" si="53"/>
        <v>-3.0687756073167483E-2</v>
      </c>
      <c r="T336" s="94">
        <f t="shared" si="54"/>
        <v>1.0169707389528881E-2</v>
      </c>
      <c r="U336" s="94">
        <f t="shared" si="55"/>
        <v>-4.6312908326406221E-2</v>
      </c>
      <c r="V336" s="94">
        <f t="shared" si="56"/>
        <v>-1.7723429694416204E-6</v>
      </c>
      <c r="W336" s="94">
        <f t="shared" si="57"/>
        <v>1.5623379910269297E-2</v>
      </c>
      <c r="X336" s="94">
        <f t="shared" si="58"/>
        <v>4.1013597962686443E-2</v>
      </c>
      <c r="Y336" s="95">
        <f t="shared" si="59"/>
        <v>-4.5313038446459009E-2</v>
      </c>
    </row>
    <row r="337" spans="1:25" x14ac:dyDescent="0.25">
      <c r="A337" s="89">
        <v>44607</v>
      </c>
      <c r="B337" s="90">
        <v>31.9</v>
      </c>
      <c r="C337" s="91">
        <v>0.31867695760461989</v>
      </c>
      <c r="D337" s="90">
        <v>35</v>
      </c>
      <c r="E337" s="92">
        <v>0.34964556476995923</v>
      </c>
      <c r="F337" s="90">
        <v>30.21</v>
      </c>
      <c r="G337" s="91">
        <v>0.30194695839095248</v>
      </c>
      <c r="H337" s="93">
        <v>34.04</v>
      </c>
      <c r="I337" s="91">
        <v>0.34035687258806252</v>
      </c>
      <c r="J337" s="93">
        <v>29.8</v>
      </c>
      <c r="K337" s="91">
        <v>0.29766054465284453</v>
      </c>
      <c r="L337" s="90">
        <v>34.5</v>
      </c>
      <c r="M337" s="91">
        <v>0.34495628978519838</v>
      </c>
      <c r="N337" s="93">
        <v>34.69</v>
      </c>
      <c r="O337" s="91">
        <v>0.34685604906227641</v>
      </c>
      <c r="P337" s="94">
        <f t="shared" si="50"/>
        <v>1.6729999213667412E-2</v>
      </c>
      <c r="Q337" s="94">
        <f t="shared" si="51"/>
        <v>3.0968607165339335E-2</v>
      </c>
      <c r="R337" s="94">
        <f t="shared" si="52"/>
        <v>-2.6279332180578485E-2</v>
      </c>
      <c r="S337" s="94">
        <f t="shared" si="53"/>
        <v>-2.8179091457656513E-2</v>
      </c>
      <c r="T337" s="94">
        <f t="shared" si="54"/>
        <v>2.7895157076828214E-3</v>
      </c>
      <c r="U337" s="94">
        <f t="shared" si="55"/>
        <v>-4.4909090671323926E-2</v>
      </c>
      <c r="V337" s="94">
        <f t="shared" si="56"/>
        <v>4.2864137381079526E-3</v>
      </c>
      <c r="W337" s="94">
        <f t="shared" si="57"/>
        <v>2.1016412951775365E-2</v>
      </c>
      <c r="X337" s="94">
        <f t="shared" si="58"/>
        <v>3.840991419711004E-2</v>
      </c>
      <c r="Y337" s="95">
        <f t="shared" si="59"/>
        <v>-4.3009331394245898E-2</v>
      </c>
    </row>
    <row r="338" spans="1:25" x14ac:dyDescent="0.25">
      <c r="A338" s="89">
        <v>44606</v>
      </c>
      <c r="B338" s="90">
        <v>31.5</v>
      </c>
      <c r="C338" s="91">
        <v>0.31468962119553318</v>
      </c>
      <c r="D338" s="90">
        <v>34.6</v>
      </c>
      <c r="E338" s="92">
        <v>0.34565907597985551</v>
      </c>
      <c r="F338" s="90">
        <v>29.85</v>
      </c>
      <c r="G338" s="91">
        <v>0.29835286707924857</v>
      </c>
      <c r="H338" s="93">
        <v>33.6</v>
      </c>
      <c r="I338" s="91">
        <v>0.33595858044898569</v>
      </c>
      <c r="J338" s="93">
        <v>30.5</v>
      </c>
      <c r="K338" s="91">
        <v>0.30466195043855449</v>
      </c>
      <c r="L338" s="90">
        <v>34</v>
      </c>
      <c r="M338" s="91">
        <v>0.33995808735909272</v>
      </c>
      <c r="N338" s="93">
        <v>34.25</v>
      </c>
      <c r="O338" s="91">
        <v>0.34245777917790959</v>
      </c>
      <c r="P338" s="94">
        <f t="shared" si="50"/>
        <v>1.6336754116284602E-2</v>
      </c>
      <c r="Q338" s="94">
        <f t="shared" si="51"/>
        <v>3.0969454784322337E-2</v>
      </c>
      <c r="R338" s="94">
        <f t="shared" si="52"/>
        <v>-2.5268466163559544E-2</v>
      </c>
      <c r="S338" s="94">
        <f t="shared" si="53"/>
        <v>-2.7768157982376418E-2</v>
      </c>
      <c r="T338" s="94">
        <f t="shared" si="54"/>
        <v>3.2012968019459187E-3</v>
      </c>
      <c r="U338" s="94">
        <f t="shared" si="55"/>
        <v>-4.410491209866102E-2</v>
      </c>
      <c r="V338" s="94">
        <f t="shared" si="56"/>
        <v>-6.3090833593059115E-3</v>
      </c>
      <c r="W338" s="94">
        <f t="shared" si="57"/>
        <v>1.002767075697869E-2</v>
      </c>
      <c r="X338" s="94">
        <f t="shared" si="58"/>
        <v>3.7605713369737115E-2</v>
      </c>
      <c r="Y338" s="95">
        <f t="shared" si="59"/>
        <v>-4.1605220279844146E-2</v>
      </c>
    </row>
    <row r="339" spans="1:25" x14ac:dyDescent="0.25">
      <c r="A339" s="89">
        <v>44603</v>
      </c>
      <c r="B339" s="90">
        <v>31.57</v>
      </c>
      <c r="C339" s="91">
        <v>0.31541483042728491</v>
      </c>
      <c r="D339" s="90">
        <v>34.5</v>
      </c>
      <c r="E339" s="92">
        <v>0.34468836394492652</v>
      </c>
      <c r="F339" s="90">
        <v>29.85</v>
      </c>
      <c r="G339" s="91">
        <v>0.29836512261580378</v>
      </c>
      <c r="H339" s="93">
        <v>33.6</v>
      </c>
      <c r="I339" s="91">
        <v>0.33596203168819971</v>
      </c>
      <c r="J339" s="93">
        <v>29.9</v>
      </c>
      <c r="K339" s="91">
        <v>0.29869618915007679</v>
      </c>
      <c r="L339" s="90">
        <v>34.15</v>
      </c>
      <c r="M339" s="91">
        <v>0.34146141018309573</v>
      </c>
      <c r="N339" s="93">
        <v>34</v>
      </c>
      <c r="O339" s="91">
        <v>0.3399615796844877</v>
      </c>
      <c r="P339" s="94">
        <f t="shared" si="50"/>
        <v>1.704970781148113E-2</v>
      </c>
      <c r="Q339" s="94">
        <f t="shared" si="51"/>
        <v>2.9273533517641614E-2</v>
      </c>
      <c r="R339" s="94">
        <f t="shared" si="52"/>
        <v>-2.6046579755810817E-2</v>
      </c>
      <c r="S339" s="94">
        <f t="shared" si="53"/>
        <v>-2.4546749257202793E-2</v>
      </c>
      <c r="T339" s="94">
        <f t="shared" si="54"/>
        <v>4.7267842604388211E-3</v>
      </c>
      <c r="U339" s="94">
        <f t="shared" si="55"/>
        <v>-4.1596457068683923E-2</v>
      </c>
      <c r="V339" s="94">
        <f t="shared" si="56"/>
        <v>-3.310665342730057E-4</v>
      </c>
      <c r="W339" s="94">
        <f t="shared" si="57"/>
        <v>1.6718641277208124E-2</v>
      </c>
      <c r="X339" s="94">
        <f t="shared" si="58"/>
        <v>3.7596909072395934E-2</v>
      </c>
      <c r="Y339" s="95">
        <f t="shared" si="59"/>
        <v>-4.3096287567291947E-2</v>
      </c>
    </row>
    <row r="340" spans="1:25" x14ac:dyDescent="0.25">
      <c r="A340" s="89">
        <v>44602</v>
      </c>
      <c r="B340" s="90">
        <v>32.200000000000003</v>
      </c>
      <c r="C340" s="91">
        <v>0.32171794591043468</v>
      </c>
      <c r="D340" s="90">
        <v>35.25</v>
      </c>
      <c r="E340" s="92">
        <v>0.35219122960692001</v>
      </c>
      <c r="F340" s="90">
        <v>30.16</v>
      </c>
      <c r="G340" s="91">
        <v>0.3014678497097163</v>
      </c>
      <c r="H340" s="93">
        <v>34.25</v>
      </c>
      <c r="I340" s="91">
        <v>0.34246246986631601</v>
      </c>
      <c r="J340" s="93">
        <v>30.2</v>
      </c>
      <c r="K340" s="91">
        <v>0.30170243047952711</v>
      </c>
      <c r="L340" s="90">
        <v>34.46</v>
      </c>
      <c r="M340" s="91">
        <v>0.34456223975454747</v>
      </c>
      <c r="N340" s="93">
        <v>34</v>
      </c>
      <c r="O340" s="91">
        <v>0.33996274380889768</v>
      </c>
      <c r="P340" s="94">
        <f t="shared" si="50"/>
        <v>2.0250096200718382E-2</v>
      </c>
      <c r="Q340" s="94">
        <f t="shared" si="51"/>
        <v>3.0473283696485332E-2</v>
      </c>
      <c r="R340" s="94">
        <f t="shared" si="52"/>
        <v>-2.2844293844112795E-2</v>
      </c>
      <c r="S340" s="94">
        <f t="shared" si="53"/>
        <v>-1.8244797898463005E-2</v>
      </c>
      <c r="T340" s="94">
        <f t="shared" si="54"/>
        <v>1.2228485798022326E-2</v>
      </c>
      <c r="U340" s="94">
        <f t="shared" si="55"/>
        <v>-3.8494894099181387E-2</v>
      </c>
      <c r="V340" s="94">
        <f t="shared" si="56"/>
        <v>-2.3458076981081044E-4</v>
      </c>
      <c r="W340" s="94">
        <f t="shared" si="57"/>
        <v>2.0015515430907571E-2</v>
      </c>
      <c r="X340" s="94">
        <f t="shared" si="58"/>
        <v>4.0994620156599715E-2</v>
      </c>
      <c r="Y340" s="95">
        <f t="shared" si="59"/>
        <v>-4.3094390044831177E-2</v>
      </c>
    </row>
    <row r="341" spans="1:25" x14ac:dyDescent="0.25">
      <c r="A341" s="89">
        <v>44601</v>
      </c>
      <c r="B341" s="90">
        <v>32.799999999999997</v>
      </c>
      <c r="C341" s="91">
        <v>0.32772166105499428</v>
      </c>
      <c r="D341" s="90">
        <v>35.5</v>
      </c>
      <c r="E341" s="92">
        <v>0.3546987490076921</v>
      </c>
      <c r="F341" s="90">
        <v>30.6</v>
      </c>
      <c r="G341" s="91">
        <v>0.30587010995330749</v>
      </c>
      <c r="H341" s="93">
        <v>34.79</v>
      </c>
      <c r="I341" s="91">
        <v>0.34786306933168049</v>
      </c>
      <c r="J341" s="93">
        <v>29.7</v>
      </c>
      <c r="K341" s="91">
        <v>0.29671649348738699</v>
      </c>
      <c r="L341" s="90">
        <v>34.89</v>
      </c>
      <c r="M341" s="91">
        <v>0.34886296317856669</v>
      </c>
      <c r="N341" s="93">
        <v>34.25</v>
      </c>
      <c r="O341" s="91">
        <v>0.34246364255849548</v>
      </c>
      <c r="P341" s="94">
        <f t="shared" si="50"/>
        <v>2.1851551101686795E-2</v>
      </c>
      <c r="Q341" s="94">
        <f t="shared" si="51"/>
        <v>2.697708795269782E-2</v>
      </c>
      <c r="R341" s="94">
        <f t="shared" si="52"/>
        <v>-2.1141302123572403E-2</v>
      </c>
      <c r="S341" s="94">
        <f t="shared" si="53"/>
        <v>-1.47419815035012E-2</v>
      </c>
      <c r="T341" s="94">
        <f t="shared" si="54"/>
        <v>1.223510644919662E-2</v>
      </c>
      <c r="U341" s="94">
        <f t="shared" si="55"/>
        <v>-3.6593532605187995E-2</v>
      </c>
      <c r="V341" s="94">
        <f t="shared" si="56"/>
        <v>9.1536164659204999E-3</v>
      </c>
      <c r="W341" s="94">
        <f t="shared" si="57"/>
        <v>3.1005167567607295E-2</v>
      </c>
      <c r="X341" s="94">
        <f t="shared" si="58"/>
        <v>4.1992959378372996E-2</v>
      </c>
      <c r="Y341" s="95">
        <f t="shared" si="59"/>
        <v>-4.2992853225259198E-2</v>
      </c>
    </row>
    <row r="342" spans="1:25" x14ac:dyDescent="0.25">
      <c r="A342" s="89">
        <v>44600</v>
      </c>
      <c r="B342" s="90">
        <v>33.4</v>
      </c>
      <c r="C342" s="91">
        <v>0.33372570490008208</v>
      </c>
      <c r="D342" s="90">
        <v>36</v>
      </c>
      <c r="E342" s="92">
        <v>0.35970435258691491</v>
      </c>
      <c r="F342" s="90">
        <v>30.8</v>
      </c>
      <c r="G342" s="91">
        <v>0.30787347665343012</v>
      </c>
      <c r="H342" s="93">
        <v>34.68</v>
      </c>
      <c r="I342" s="91">
        <v>0.34676437352326822</v>
      </c>
      <c r="J342" s="93">
        <v>30.2</v>
      </c>
      <c r="K342" s="91">
        <v>0.30172101139357438</v>
      </c>
      <c r="L342" s="90">
        <v>34.200000000000003</v>
      </c>
      <c r="M342" s="91">
        <v>0.34196486662329217</v>
      </c>
      <c r="N342" s="93">
        <v>34.15</v>
      </c>
      <c r="O342" s="91">
        <v>0.34146491798787793</v>
      </c>
      <c r="P342" s="94">
        <f t="shared" si="50"/>
        <v>2.5852228246651954E-2</v>
      </c>
      <c r="Q342" s="94">
        <f t="shared" si="51"/>
        <v>2.5978647686832834E-2</v>
      </c>
      <c r="R342" s="94">
        <f t="shared" si="52"/>
        <v>-8.2391617232100978E-3</v>
      </c>
      <c r="S342" s="94">
        <f t="shared" si="53"/>
        <v>-7.7392130877958487E-3</v>
      </c>
      <c r="T342" s="94">
        <f t="shared" si="54"/>
        <v>1.8239434599036985E-2</v>
      </c>
      <c r="U342" s="94">
        <f t="shared" si="55"/>
        <v>-3.3591441334447802E-2</v>
      </c>
      <c r="V342" s="94">
        <f t="shared" si="56"/>
        <v>6.1524652598557439E-3</v>
      </c>
      <c r="W342" s="94">
        <f t="shared" si="57"/>
        <v>3.2004693506507698E-2</v>
      </c>
      <c r="X342" s="94">
        <f t="shared" si="58"/>
        <v>3.8890896869838099E-2</v>
      </c>
      <c r="Y342" s="95">
        <f t="shared" si="59"/>
        <v>-3.4091389969862052E-2</v>
      </c>
    </row>
    <row r="343" spans="1:25" x14ac:dyDescent="0.25">
      <c r="A343" s="89">
        <v>44599</v>
      </c>
      <c r="B343" s="90">
        <v>32.49</v>
      </c>
      <c r="C343" s="91">
        <v>0.3246420652084645</v>
      </c>
      <c r="D343" s="90">
        <v>35.4</v>
      </c>
      <c r="E343" s="92">
        <v>0.35371896301568623</v>
      </c>
      <c r="F343" s="90">
        <v>30.7</v>
      </c>
      <c r="G343" s="91">
        <v>0.3068780895260787</v>
      </c>
      <c r="H343" s="93">
        <v>34.44</v>
      </c>
      <c r="I343" s="91">
        <v>0.34436579928705707</v>
      </c>
      <c r="J343" s="93">
        <v>30.2</v>
      </c>
      <c r="K343" s="91">
        <v>0.30173030270888013</v>
      </c>
      <c r="L343" s="90">
        <v>34</v>
      </c>
      <c r="M343" s="91">
        <v>0.33996623622996353</v>
      </c>
      <c r="N343" s="93">
        <v>34.9</v>
      </c>
      <c r="O343" s="91">
        <v>0.34896534248310962</v>
      </c>
      <c r="P343" s="94">
        <f t="shared" si="50"/>
        <v>1.7763975682385802E-2</v>
      </c>
      <c r="Q343" s="94">
        <f t="shared" si="51"/>
        <v>2.9076897807221724E-2</v>
      </c>
      <c r="R343" s="94">
        <f t="shared" si="52"/>
        <v>-1.5324171021499022E-2</v>
      </c>
      <c r="S343" s="94">
        <f t="shared" si="53"/>
        <v>-2.4323277274645116E-2</v>
      </c>
      <c r="T343" s="94">
        <f t="shared" si="54"/>
        <v>4.7536205325766079E-3</v>
      </c>
      <c r="U343" s="94">
        <f t="shared" si="55"/>
        <v>-4.2087252957030918E-2</v>
      </c>
      <c r="V343" s="94">
        <f t="shared" si="56"/>
        <v>5.1477868171985741E-3</v>
      </c>
      <c r="W343" s="94">
        <f t="shared" si="57"/>
        <v>2.2911762499584376E-2</v>
      </c>
      <c r="X343" s="94">
        <f t="shared" si="58"/>
        <v>3.7487709760978372E-2</v>
      </c>
      <c r="Y343" s="95">
        <f t="shared" si="59"/>
        <v>-3.3088146703884824E-2</v>
      </c>
    </row>
    <row r="344" spans="1:25" x14ac:dyDescent="0.25">
      <c r="A344" s="89">
        <v>44596</v>
      </c>
      <c r="B344" s="90">
        <v>32.4</v>
      </c>
      <c r="C344" s="91">
        <v>0.32376936976400372</v>
      </c>
      <c r="D344" s="90">
        <v>35.56</v>
      </c>
      <c r="E344" s="92">
        <v>0.35534687619777688</v>
      </c>
      <c r="F344" s="90">
        <v>30</v>
      </c>
      <c r="G344" s="91">
        <v>0.29989318872730258</v>
      </c>
      <c r="H344" s="93">
        <v>34.090000000000003</v>
      </c>
      <c r="I344" s="91">
        <v>0.34086964859293362</v>
      </c>
      <c r="J344" s="93">
        <v>29.8</v>
      </c>
      <c r="K344" s="91">
        <v>0.29776138300129351</v>
      </c>
      <c r="L344" s="90">
        <v>33.75</v>
      </c>
      <c r="M344" s="91">
        <v>0.33746995130570567</v>
      </c>
      <c r="N344" s="93">
        <v>35</v>
      </c>
      <c r="O344" s="91">
        <v>0.34996883839110221</v>
      </c>
      <c r="P344" s="94">
        <f t="shared" si="50"/>
        <v>2.3876181036701138E-2</v>
      </c>
      <c r="Q344" s="94">
        <f t="shared" si="51"/>
        <v>3.1577506433773161E-2</v>
      </c>
      <c r="R344" s="94">
        <f t="shared" si="52"/>
        <v>-1.3700581541701951E-2</v>
      </c>
      <c r="S344" s="94">
        <f t="shared" si="53"/>
        <v>-2.6199468627098488E-2</v>
      </c>
      <c r="T344" s="94">
        <f t="shared" si="54"/>
        <v>5.3780378066746737E-3</v>
      </c>
      <c r="U344" s="94">
        <f t="shared" si="55"/>
        <v>-5.0075649663799626E-2</v>
      </c>
      <c r="V344" s="94">
        <f t="shared" si="56"/>
        <v>2.1318057260090728E-3</v>
      </c>
      <c r="W344" s="94">
        <f t="shared" si="57"/>
        <v>2.6007986762710211E-2</v>
      </c>
      <c r="X344" s="94">
        <f t="shared" si="58"/>
        <v>4.0976459865631032E-2</v>
      </c>
      <c r="Y344" s="95">
        <f t="shared" si="59"/>
        <v>-3.7576762578403089E-2</v>
      </c>
    </row>
    <row r="345" spans="1:25" x14ac:dyDescent="0.25">
      <c r="A345" s="89">
        <v>44595</v>
      </c>
      <c r="B345" s="90">
        <v>32.9</v>
      </c>
      <c r="C345" s="91">
        <v>0.32877481177275841</v>
      </c>
      <c r="D345" s="90">
        <v>36.200000000000003</v>
      </c>
      <c r="E345" s="92">
        <v>0.3617522245037646</v>
      </c>
      <c r="F345" s="90">
        <v>31.05</v>
      </c>
      <c r="G345" s="91">
        <v>0.31039370078740158</v>
      </c>
      <c r="H345" s="93">
        <v>35</v>
      </c>
      <c r="I345" s="91">
        <v>0.3499700368119168</v>
      </c>
      <c r="J345" s="93">
        <v>30.5</v>
      </c>
      <c r="K345" s="91">
        <v>0.30476516382924118</v>
      </c>
      <c r="L345" s="90">
        <v>34.85</v>
      </c>
      <c r="M345" s="91">
        <v>0.34847016522558</v>
      </c>
      <c r="N345" s="93">
        <v>35.5</v>
      </c>
      <c r="O345" s="91">
        <v>0.35496960876637268</v>
      </c>
      <c r="P345" s="94">
        <f t="shared" si="50"/>
        <v>1.838111098535683E-2</v>
      </c>
      <c r="Q345" s="94">
        <f t="shared" si="51"/>
        <v>3.2977412731006184E-2</v>
      </c>
      <c r="R345" s="94">
        <f t="shared" si="52"/>
        <v>-1.9695353452821585E-2</v>
      </c>
      <c r="S345" s="94">
        <f t="shared" si="53"/>
        <v>-2.6194796993614267E-2</v>
      </c>
      <c r="T345" s="94">
        <f t="shared" si="54"/>
        <v>6.7826157373919171E-3</v>
      </c>
      <c r="U345" s="94">
        <f t="shared" si="55"/>
        <v>-4.4575907978971097E-2</v>
      </c>
      <c r="V345" s="94">
        <f t="shared" si="56"/>
        <v>5.6285369581604017E-3</v>
      </c>
      <c r="W345" s="94">
        <f t="shared" si="57"/>
        <v>2.4009647943517232E-2</v>
      </c>
      <c r="X345" s="94">
        <f t="shared" si="58"/>
        <v>3.9576336024515213E-2</v>
      </c>
      <c r="Y345" s="95">
        <f t="shared" si="59"/>
        <v>-3.8076464438178415E-2</v>
      </c>
    </row>
    <row r="346" spans="1:25" x14ac:dyDescent="0.25">
      <c r="A346" s="89">
        <v>44594</v>
      </c>
      <c r="B346" s="90">
        <v>33.64</v>
      </c>
      <c r="C346" s="91">
        <v>0.33617895082685362</v>
      </c>
      <c r="D346" s="90">
        <v>36.5</v>
      </c>
      <c r="E346" s="92">
        <v>0.36476015770452308</v>
      </c>
      <c r="F346" s="90">
        <v>31.85</v>
      </c>
      <c r="G346" s="91">
        <v>0.31839532208588961</v>
      </c>
      <c r="H346" s="93">
        <v>35.58</v>
      </c>
      <c r="I346" s="91">
        <v>0.35577075856778889</v>
      </c>
      <c r="J346" s="93">
        <v>31</v>
      </c>
      <c r="K346" s="91">
        <v>0.30977085443644431</v>
      </c>
      <c r="L346" s="90">
        <v>35.5</v>
      </c>
      <c r="M346" s="91">
        <v>0.35497082431580967</v>
      </c>
      <c r="N346" s="93">
        <v>36</v>
      </c>
      <c r="O346" s="91">
        <v>0.3599704133906802</v>
      </c>
      <c r="P346" s="94">
        <f t="shared" si="50"/>
        <v>1.7783628740964008E-2</v>
      </c>
      <c r="Q346" s="94">
        <f t="shared" si="51"/>
        <v>2.8581206877669463E-2</v>
      </c>
      <c r="R346" s="94">
        <f t="shared" si="52"/>
        <v>-1.8791873488956057E-2</v>
      </c>
      <c r="S346" s="94">
        <f t="shared" si="53"/>
        <v>-2.3791462563826582E-2</v>
      </c>
      <c r="T346" s="94">
        <f t="shared" si="54"/>
        <v>4.7897443138428808E-3</v>
      </c>
      <c r="U346" s="94">
        <f t="shared" si="55"/>
        <v>-4.157509130479059E-2</v>
      </c>
      <c r="V346" s="94">
        <f t="shared" si="56"/>
        <v>8.6244676494452999E-3</v>
      </c>
      <c r="W346" s="94">
        <f t="shared" si="57"/>
        <v>2.6408096390409308E-2</v>
      </c>
      <c r="X346" s="94">
        <f t="shared" si="58"/>
        <v>3.7375436481899282E-2</v>
      </c>
      <c r="Y346" s="95">
        <f t="shared" si="59"/>
        <v>-3.6575502229920065E-2</v>
      </c>
    </row>
    <row r="347" spans="1:25" x14ac:dyDescent="0.25">
      <c r="A347" s="89">
        <v>44593</v>
      </c>
      <c r="B347" s="90">
        <v>33.49</v>
      </c>
      <c r="C347" s="91">
        <v>0.33468910001916602</v>
      </c>
      <c r="D347" s="90">
        <v>37</v>
      </c>
      <c r="E347" s="92">
        <v>0.36976699613941899</v>
      </c>
      <c r="F347" s="90">
        <v>31.75</v>
      </c>
      <c r="G347" s="91">
        <v>0.31739999726113688</v>
      </c>
      <c r="H347" s="93">
        <v>35.200000000000003</v>
      </c>
      <c r="I347" s="91">
        <v>0.3519722761563302</v>
      </c>
      <c r="J347" s="93">
        <v>31</v>
      </c>
      <c r="K347" s="91">
        <v>0.30978039540462748</v>
      </c>
      <c r="L347" s="90">
        <v>35.450000000000003</v>
      </c>
      <c r="M347" s="91">
        <v>0.3544720792540314</v>
      </c>
      <c r="N347" s="93">
        <v>34.799999999999997</v>
      </c>
      <c r="O347" s="91">
        <v>0.34797259120000817</v>
      </c>
      <c r="P347" s="94">
        <f t="shared" si="50"/>
        <v>1.728910275802914E-2</v>
      </c>
      <c r="Q347" s="94">
        <f t="shared" si="51"/>
        <v>3.5077896120252972E-2</v>
      </c>
      <c r="R347" s="94">
        <f t="shared" si="52"/>
        <v>-1.9782979234865383E-2</v>
      </c>
      <c r="S347" s="94">
        <f t="shared" si="53"/>
        <v>-1.3283491180842155E-2</v>
      </c>
      <c r="T347" s="94">
        <f t="shared" si="54"/>
        <v>2.1794404939410816E-2</v>
      </c>
      <c r="U347" s="94">
        <f t="shared" si="55"/>
        <v>-3.0572593938871295E-2</v>
      </c>
      <c r="V347" s="94">
        <f t="shared" si="56"/>
        <v>7.6196018565093948E-3</v>
      </c>
      <c r="W347" s="94">
        <f t="shared" si="57"/>
        <v>2.4908704614538535E-2</v>
      </c>
      <c r="X347" s="94">
        <f t="shared" si="58"/>
        <v>3.457227889519332E-2</v>
      </c>
      <c r="Y347" s="95">
        <f t="shared" si="59"/>
        <v>-3.7072081992894523E-2</v>
      </c>
    </row>
    <row r="348" spans="1:25" x14ac:dyDescent="0.25">
      <c r="A348" s="89">
        <v>44592</v>
      </c>
      <c r="B348" s="90">
        <v>33.6</v>
      </c>
      <c r="C348" s="91">
        <v>0.33579760144570397</v>
      </c>
      <c r="D348" s="90">
        <v>37.44</v>
      </c>
      <c r="E348" s="92">
        <v>0.37417447018235578</v>
      </c>
      <c r="F348" s="90">
        <v>31.62</v>
      </c>
      <c r="G348" s="91">
        <v>0.31610473555914659</v>
      </c>
      <c r="H348" s="93">
        <v>35.5</v>
      </c>
      <c r="I348" s="91">
        <v>0.35497325543965857</v>
      </c>
      <c r="J348" s="93">
        <v>31</v>
      </c>
      <c r="K348" s="91">
        <v>0.30978993696055412</v>
      </c>
      <c r="L348" s="90">
        <v>36.6</v>
      </c>
      <c r="M348" s="91">
        <v>0.36597242673497199</v>
      </c>
      <c r="N348" s="93">
        <v>35.520000000000003</v>
      </c>
      <c r="O348" s="91">
        <v>0.35517324037230069</v>
      </c>
      <c r="P348" s="94">
        <f t="shared" si="50"/>
        <v>1.9692865886557387E-2</v>
      </c>
      <c r="Q348" s="94">
        <f t="shared" si="51"/>
        <v>3.8376868736651804E-2</v>
      </c>
      <c r="R348" s="94">
        <f t="shared" si="52"/>
        <v>-3.0174825289268015E-2</v>
      </c>
      <c r="S348" s="94">
        <f t="shared" si="53"/>
        <v>-1.9375638926596717E-2</v>
      </c>
      <c r="T348" s="94">
        <f t="shared" si="54"/>
        <v>1.9001229810055087E-2</v>
      </c>
      <c r="U348" s="94">
        <f t="shared" si="55"/>
        <v>-3.9068504813154104E-2</v>
      </c>
      <c r="V348" s="94">
        <f t="shared" si="56"/>
        <v>6.3147985985924637E-3</v>
      </c>
      <c r="W348" s="94">
        <f t="shared" si="57"/>
        <v>2.6007664485149851E-2</v>
      </c>
      <c r="X348" s="94">
        <f t="shared" si="58"/>
        <v>3.8868519880511987E-2</v>
      </c>
      <c r="Y348" s="95">
        <f t="shared" si="59"/>
        <v>-4.9867691175825402E-2</v>
      </c>
    </row>
    <row r="349" spans="1:25" x14ac:dyDescent="0.25">
      <c r="A349" s="89">
        <v>44589</v>
      </c>
      <c r="B349" s="90">
        <v>32.299999999999997</v>
      </c>
      <c r="C349" s="91">
        <v>0.32283195049152491</v>
      </c>
      <c r="D349" s="90">
        <v>35.75</v>
      </c>
      <c r="E349" s="92">
        <v>0.35731400093102222</v>
      </c>
      <c r="F349" s="90">
        <v>30.74</v>
      </c>
      <c r="G349" s="91">
        <v>0.3073200125994604</v>
      </c>
      <c r="H349" s="93">
        <v>34.65</v>
      </c>
      <c r="I349" s="91">
        <v>0.34647745523407719</v>
      </c>
      <c r="J349" s="93">
        <v>30.65</v>
      </c>
      <c r="K349" s="91">
        <v>0.30632061361326068</v>
      </c>
      <c r="L349" s="90">
        <v>35.9</v>
      </c>
      <c r="M349" s="91">
        <v>0.35897664193083317</v>
      </c>
      <c r="N349" s="93">
        <v>35.01</v>
      </c>
      <c r="O349" s="91">
        <v>0.35007722100274302</v>
      </c>
      <c r="P349" s="94">
        <f t="shared" si="50"/>
        <v>1.5511937892064509E-2</v>
      </c>
      <c r="Q349" s="94">
        <f t="shared" si="51"/>
        <v>3.4482050439497314E-2</v>
      </c>
      <c r="R349" s="94">
        <f t="shared" si="52"/>
        <v>-3.6144691439308263E-2</v>
      </c>
      <c r="S349" s="94">
        <f t="shared" si="53"/>
        <v>-2.7245270511218111E-2</v>
      </c>
      <c r="T349" s="94">
        <f t="shared" si="54"/>
        <v>7.2367799282792022E-3</v>
      </c>
      <c r="U349" s="94">
        <f t="shared" si="55"/>
        <v>-4.2757208403282621E-2</v>
      </c>
      <c r="V349" s="94">
        <f t="shared" si="56"/>
        <v>9.9939898619971768E-4</v>
      </c>
      <c r="W349" s="94">
        <f t="shared" si="57"/>
        <v>1.6511336878264227E-2</v>
      </c>
      <c r="X349" s="94">
        <f t="shared" si="58"/>
        <v>3.915744263461679E-2</v>
      </c>
      <c r="Y349" s="95">
        <f t="shared" si="59"/>
        <v>-5.1656629331372772E-2</v>
      </c>
    </row>
    <row r="350" spans="1:25" x14ac:dyDescent="0.25">
      <c r="A350" s="89">
        <v>44588</v>
      </c>
      <c r="B350" s="90">
        <v>30.51</v>
      </c>
      <c r="C350" s="91">
        <v>0.30494961388904102</v>
      </c>
      <c r="D350" s="90">
        <v>33.5</v>
      </c>
      <c r="E350" s="92">
        <v>0.33483487595158551</v>
      </c>
      <c r="F350" s="90">
        <v>28.67</v>
      </c>
      <c r="G350" s="91">
        <v>0.28662932427620591</v>
      </c>
      <c r="H350" s="93">
        <v>32.29</v>
      </c>
      <c r="I350" s="91">
        <v>0.32288009643241172</v>
      </c>
      <c r="J350" s="93">
        <v>28.5</v>
      </c>
      <c r="K350" s="91">
        <v>0.28484197123513672</v>
      </c>
      <c r="L350" s="90">
        <v>32.700000000000003</v>
      </c>
      <c r="M350" s="91">
        <v>0.32697984370826461</v>
      </c>
      <c r="N350" s="93">
        <v>32.049999999999997</v>
      </c>
      <c r="O350" s="91">
        <v>0.32048024436849781</v>
      </c>
      <c r="P350" s="94">
        <f t="shared" si="50"/>
        <v>1.8320289612835106E-2</v>
      </c>
      <c r="Q350" s="94">
        <f t="shared" si="51"/>
        <v>2.9885262062544493E-2</v>
      </c>
      <c r="R350" s="94">
        <f t="shared" si="52"/>
        <v>-2.203022981922359E-2</v>
      </c>
      <c r="S350" s="94">
        <f t="shared" si="53"/>
        <v>-1.5530630479456797E-2</v>
      </c>
      <c r="T350" s="94">
        <f t="shared" si="54"/>
        <v>1.4354631583087696E-2</v>
      </c>
      <c r="U350" s="94">
        <f t="shared" si="55"/>
        <v>-3.3850920092291903E-2</v>
      </c>
      <c r="V350" s="94">
        <f t="shared" si="56"/>
        <v>1.7873530410691951E-3</v>
      </c>
      <c r="W350" s="94">
        <f t="shared" si="57"/>
        <v>2.0107642653904301E-2</v>
      </c>
      <c r="X350" s="94">
        <f t="shared" si="58"/>
        <v>3.6250772156205813E-2</v>
      </c>
      <c r="Y350" s="95">
        <f t="shared" si="59"/>
        <v>-4.0350519432058696E-2</v>
      </c>
    </row>
    <row r="351" spans="1:25" x14ac:dyDescent="0.25">
      <c r="A351" s="89">
        <v>44587</v>
      </c>
      <c r="B351" s="90">
        <v>30.7</v>
      </c>
      <c r="C351" s="91">
        <v>0.30685708026398661</v>
      </c>
      <c r="D351" s="90">
        <v>33.5</v>
      </c>
      <c r="E351" s="92">
        <v>0.33484404523920358</v>
      </c>
      <c r="F351" s="90">
        <v>29.32</v>
      </c>
      <c r="G351" s="91">
        <v>0.29313173644493751</v>
      </c>
      <c r="H351" s="93">
        <v>32.69</v>
      </c>
      <c r="I351" s="91">
        <v>0.32688096925863902</v>
      </c>
      <c r="J351" s="93">
        <v>28.99</v>
      </c>
      <c r="K351" s="91">
        <v>0.28974817989204288</v>
      </c>
      <c r="L351" s="90">
        <v>33.049999999999997</v>
      </c>
      <c r="M351" s="91">
        <v>0.3304807596817993</v>
      </c>
      <c r="N351" s="93">
        <v>31.6</v>
      </c>
      <c r="O351" s="91">
        <v>0.31598160381073698</v>
      </c>
      <c r="P351" s="94">
        <f t="shared" si="50"/>
        <v>1.3725343819049107E-2</v>
      </c>
      <c r="Q351" s="94">
        <f t="shared" si="51"/>
        <v>2.7986964975216966E-2</v>
      </c>
      <c r="R351" s="94">
        <f t="shared" si="52"/>
        <v>-2.3623679417812682E-2</v>
      </c>
      <c r="S351" s="94">
        <f t="shared" si="53"/>
        <v>-9.1245235467503627E-3</v>
      </c>
      <c r="T351" s="94">
        <f t="shared" si="54"/>
        <v>1.8862441428466603E-2</v>
      </c>
      <c r="U351" s="94">
        <f t="shared" si="55"/>
        <v>-2.284986736579947E-2</v>
      </c>
      <c r="V351" s="94">
        <f t="shared" si="56"/>
        <v>3.3835565528946288E-3</v>
      </c>
      <c r="W351" s="94">
        <f t="shared" si="57"/>
        <v>1.7108900371943736E-2</v>
      </c>
      <c r="X351" s="94">
        <f t="shared" si="58"/>
        <v>3.3749232813701513E-2</v>
      </c>
      <c r="Y351" s="95">
        <f t="shared" si="59"/>
        <v>-3.7349023236861789E-2</v>
      </c>
    </row>
    <row r="352" spans="1:25" x14ac:dyDescent="0.25">
      <c r="A352" s="89">
        <v>44586</v>
      </c>
      <c r="B352" s="90">
        <v>30.61</v>
      </c>
      <c r="C352" s="91">
        <v>0.30596587797130032</v>
      </c>
      <c r="D352" s="90">
        <v>33</v>
      </c>
      <c r="E352" s="92">
        <v>0.32985540584949058</v>
      </c>
      <c r="F352" s="90">
        <v>28.27</v>
      </c>
      <c r="G352" s="91">
        <v>0.28263805193382269</v>
      </c>
      <c r="H352" s="93">
        <v>31.95</v>
      </c>
      <c r="I352" s="91">
        <v>0.31948249410991181</v>
      </c>
      <c r="J352" s="93">
        <v>28.3</v>
      </c>
      <c r="K352" s="91">
        <v>0.28286050714716032</v>
      </c>
      <c r="L352" s="90">
        <v>31.99</v>
      </c>
      <c r="M352" s="91">
        <v>0.31988247219330451</v>
      </c>
      <c r="N352" s="93">
        <v>31.6</v>
      </c>
      <c r="O352" s="91">
        <v>0.31598268588022582</v>
      </c>
      <c r="P352" s="94">
        <f t="shared" si="50"/>
        <v>2.3327826037477628E-2</v>
      </c>
      <c r="Q352" s="94">
        <f t="shared" si="51"/>
        <v>2.3889527878190264E-2</v>
      </c>
      <c r="R352" s="94">
        <f t="shared" si="52"/>
        <v>-1.3916594222004197E-2</v>
      </c>
      <c r="S352" s="94">
        <f t="shared" si="53"/>
        <v>-1.0016807908925507E-2</v>
      </c>
      <c r="T352" s="94">
        <f t="shared" si="54"/>
        <v>1.3872719969264757E-2</v>
      </c>
      <c r="U352" s="94">
        <f t="shared" si="55"/>
        <v>-3.3344633946403135E-2</v>
      </c>
      <c r="V352" s="94">
        <f t="shared" si="56"/>
        <v>-2.2245521333763563E-4</v>
      </c>
      <c r="W352" s="94">
        <f t="shared" si="57"/>
        <v>2.3105370824139992E-2</v>
      </c>
      <c r="X352" s="94">
        <f t="shared" si="58"/>
        <v>3.6844442176089121E-2</v>
      </c>
      <c r="Y352" s="95">
        <f t="shared" si="59"/>
        <v>-3.7244420259481825E-2</v>
      </c>
    </row>
    <row r="353" spans="1:25" x14ac:dyDescent="0.25">
      <c r="A353" s="89">
        <v>44585</v>
      </c>
      <c r="B353" s="90">
        <v>30.37</v>
      </c>
      <c r="C353" s="91">
        <v>0.30357524305080102</v>
      </c>
      <c r="D353" s="90">
        <v>34.4</v>
      </c>
      <c r="E353" s="92">
        <v>0.3438586882103245</v>
      </c>
      <c r="F353" s="90">
        <v>27.81</v>
      </c>
      <c r="G353" s="91">
        <v>0.27804286790385541</v>
      </c>
      <c r="H353" s="93">
        <v>31.6</v>
      </c>
      <c r="I353" s="91">
        <v>0.31598376795712552</v>
      </c>
      <c r="J353" s="93">
        <v>28.4</v>
      </c>
      <c r="K353" s="91">
        <v>0.28386875930648497</v>
      </c>
      <c r="L353" s="90">
        <v>31.75</v>
      </c>
      <c r="M353" s="91">
        <v>0.31748369090628908</v>
      </c>
      <c r="N353" s="93">
        <v>31.7</v>
      </c>
      <c r="O353" s="91">
        <v>0.31698371658990121</v>
      </c>
      <c r="P353" s="94">
        <f t="shared" si="50"/>
        <v>2.5532375146945618E-2</v>
      </c>
      <c r="Q353" s="94">
        <f t="shared" si="51"/>
        <v>4.0283445159523479E-2</v>
      </c>
      <c r="R353" s="94">
        <f t="shared" si="52"/>
        <v>-1.390844785548806E-2</v>
      </c>
      <c r="S353" s="94">
        <f t="shared" si="53"/>
        <v>-1.3408473539100185E-2</v>
      </c>
      <c r="T353" s="94">
        <f t="shared" si="54"/>
        <v>2.6874971620423294E-2</v>
      </c>
      <c r="U353" s="94">
        <f t="shared" si="55"/>
        <v>-3.8940848686045804E-2</v>
      </c>
      <c r="V353" s="94">
        <f t="shared" si="56"/>
        <v>-5.8258914026295683E-3</v>
      </c>
      <c r="W353" s="94">
        <f t="shared" si="57"/>
        <v>1.970648374431605E-2</v>
      </c>
      <c r="X353" s="94">
        <f t="shared" si="58"/>
        <v>3.794090005327011E-2</v>
      </c>
      <c r="Y353" s="95">
        <f t="shared" si="59"/>
        <v>-3.9440823002433678E-2</v>
      </c>
    </row>
    <row r="354" spans="1:25" x14ac:dyDescent="0.25">
      <c r="A354" s="89">
        <v>44582</v>
      </c>
      <c r="B354" s="90">
        <v>31.67</v>
      </c>
      <c r="C354" s="91">
        <v>0.31979279054969978</v>
      </c>
      <c r="D354" s="90">
        <v>34.5</v>
      </c>
      <c r="E354" s="92">
        <v>0.34836915926632922</v>
      </c>
      <c r="F354" s="90">
        <v>28.8</v>
      </c>
      <c r="G354" s="91">
        <v>0.28939942461491869</v>
      </c>
      <c r="H354" s="93">
        <v>32.340000000000003</v>
      </c>
      <c r="I354" s="91">
        <v>0.32379143279375411</v>
      </c>
      <c r="J354" s="93">
        <v>28.99</v>
      </c>
      <c r="K354" s="91">
        <v>0.29308884680236691</v>
      </c>
      <c r="L354" s="90">
        <v>32.9</v>
      </c>
      <c r="M354" s="91">
        <v>0.3293982108507888</v>
      </c>
      <c r="N354" s="93">
        <v>32</v>
      </c>
      <c r="O354" s="91">
        <v>0.32038731754484018</v>
      </c>
      <c r="P354" s="94">
        <f t="shared" si="50"/>
        <v>3.0393365934781091E-2</v>
      </c>
      <c r="Q354" s="94">
        <f t="shared" si="51"/>
        <v>2.8576368716629441E-2</v>
      </c>
      <c r="R354" s="94">
        <f t="shared" si="52"/>
        <v>-9.6054203010890182E-3</v>
      </c>
      <c r="S354" s="94">
        <f t="shared" si="53"/>
        <v>-5.9452699514039864E-4</v>
      </c>
      <c r="T354" s="94">
        <f t="shared" si="54"/>
        <v>2.7981841721489042E-2</v>
      </c>
      <c r="U354" s="94">
        <f t="shared" si="55"/>
        <v>-3.098789292992149E-2</v>
      </c>
      <c r="V354" s="94">
        <f t="shared" si="56"/>
        <v>-3.6894221874482214E-3</v>
      </c>
      <c r="W354" s="94">
        <f t="shared" si="57"/>
        <v>2.670394374733287E-2</v>
      </c>
      <c r="X354" s="94">
        <f t="shared" si="58"/>
        <v>3.439200817883542E-2</v>
      </c>
      <c r="Y354" s="95">
        <f t="shared" si="59"/>
        <v>-3.999878623587011E-2</v>
      </c>
    </row>
    <row r="355" spans="1:25" x14ac:dyDescent="0.25">
      <c r="A355" s="89">
        <v>44581</v>
      </c>
      <c r="B355" s="90">
        <v>31.5</v>
      </c>
      <c r="C355" s="91">
        <v>0.31808498865711282</v>
      </c>
      <c r="D355" s="90">
        <v>35</v>
      </c>
      <c r="E355" s="92">
        <v>0.35342776517456981</v>
      </c>
      <c r="F355" s="90">
        <v>28.73</v>
      </c>
      <c r="G355" s="91">
        <v>0.28869999724692352</v>
      </c>
      <c r="H355" s="93">
        <v>32.25</v>
      </c>
      <c r="I355" s="91">
        <v>0.32289145059421348</v>
      </c>
      <c r="J355" s="93">
        <v>28.89</v>
      </c>
      <c r="K355" s="91">
        <v>0.29208694869362289</v>
      </c>
      <c r="L355" s="90">
        <v>32.799999999999997</v>
      </c>
      <c r="M355" s="91">
        <v>0.32839812649582018</v>
      </c>
      <c r="N355" s="93">
        <v>31.75</v>
      </c>
      <c r="O355" s="91">
        <v>0.31788538159275292</v>
      </c>
      <c r="P355" s="94">
        <f t="shared" si="50"/>
        <v>2.9384991410189298E-2</v>
      </c>
      <c r="Q355" s="94">
        <f t="shared" si="51"/>
        <v>3.5342776517456986E-2</v>
      </c>
      <c r="R355" s="94">
        <f t="shared" si="52"/>
        <v>-1.0313137838707354E-2</v>
      </c>
      <c r="S355" s="94">
        <f t="shared" si="53"/>
        <v>1.9960706435989684E-4</v>
      </c>
      <c r="T355" s="94">
        <f t="shared" si="54"/>
        <v>3.5542383581816883E-2</v>
      </c>
      <c r="U355" s="94">
        <f t="shared" si="55"/>
        <v>-2.9185384345829402E-2</v>
      </c>
      <c r="V355" s="94">
        <f t="shared" si="56"/>
        <v>-3.3869514466993711E-3</v>
      </c>
      <c r="W355" s="94">
        <f t="shared" si="57"/>
        <v>2.5998039963489927E-2</v>
      </c>
      <c r="X355" s="94">
        <f t="shared" si="58"/>
        <v>3.4191453347289957E-2</v>
      </c>
      <c r="Y355" s="95">
        <f t="shared" si="59"/>
        <v>-3.9698129248896652E-2</v>
      </c>
    </row>
    <row r="356" spans="1:25" x14ac:dyDescent="0.25">
      <c r="A356" s="89">
        <v>44580</v>
      </c>
      <c r="B356" s="90">
        <v>31.74</v>
      </c>
      <c r="C356" s="91">
        <v>0.32051736063079261</v>
      </c>
      <c r="D356" s="90">
        <v>34.299999999999997</v>
      </c>
      <c r="E356" s="92">
        <v>0.34636879236408907</v>
      </c>
      <c r="F356" s="90">
        <v>29.33</v>
      </c>
      <c r="G356" s="91">
        <v>0.29473329203661641</v>
      </c>
      <c r="H356" s="93">
        <v>32.65</v>
      </c>
      <c r="I356" s="91">
        <v>0.32689742666598087</v>
      </c>
      <c r="J356" s="93">
        <v>29.4</v>
      </c>
      <c r="K356" s="91">
        <v>0.29725247139073069</v>
      </c>
      <c r="L356" s="90">
        <v>33</v>
      </c>
      <c r="M356" s="91">
        <v>0.33040168698246147</v>
      </c>
      <c r="N356" s="93">
        <v>32.5</v>
      </c>
      <c r="O356" s="91">
        <v>0.32539560081606062</v>
      </c>
      <c r="P356" s="94">
        <f t="shared" si="50"/>
        <v>2.5784068594176202E-2</v>
      </c>
      <c r="Q356" s="94">
        <f t="shared" si="51"/>
        <v>2.5851431733296459E-2</v>
      </c>
      <c r="R356" s="94">
        <f t="shared" si="52"/>
        <v>-9.8843263516688595E-3</v>
      </c>
      <c r="S356" s="94">
        <f t="shared" si="53"/>
        <v>-4.8782401852680013E-3</v>
      </c>
      <c r="T356" s="94">
        <f t="shared" si="54"/>
        <v>2.0973191548028458E-2</v>
      </c>
      <c r="U356" s="94">
        <f t="shared" si="55"/>
        <v>-3.0662308779444203E-2</v>
      </c>
      <c r="V356" s="94">
        <f t="shared" si="56"/>
        <v>-2.519179354114276E-3</v>
      </c>
      <c r="W356" s="94">
        <f t="shared" si="57"/>
        <v>2.3264889240061926E-2</v>
      </c>
      <c r="X356" s="94">
        <f t="shared" si="58"/>
        <v>3.216413462936446E-2</v>
      </c>
      <c r="Y356" s="95">
        <f t="shared" si="59"/>
        <v>-3.5668394945845061E-2</v>
      </c>
    </row>
    <row r="357" spans="1:25" x14ac:dyDescent="0.25">
      <c r="A357" s="89">
        <v>44579</v>
      </c>
      <c r="B357" s="90">
        <v>31.5</v>
      </c>
      <c r="C357" s="91">
        <v>0.31810258964143429</v>
      </c>
      <c r="D357" s="90">
        <v>34.5</v>
      </c>
      <c r="E357" s="92">
        <v>0.3483980743691899</v>
      </c>
      <c r="F357" s="90">
        <v>29.13</v>
      </c>
      <c r="G357" s="91">
        <v>0.29272754804250872</v>
      </c>
      <c r="H357" s="93">
        <v>32.21</v>
      </c>
      <c r="I357" s="91">
        <v>0.32249317661258248</v>
      </c>
      <c r="J357" s="93">
        <v>28.8</v>
      </c>
      <c r="K357" s="91">
        <v>0.29119516890815661</v>
      </c>
      <c r="L357" s="90">
        <v>33</v>
      </c>
      <c r="M357" s="91">
        <v>0.3304028198762875</v>
      </c>
      <c r="N357" s="93">
        <v>31.26</v>
      </c>
      <c r="O357" s="91">
        <v>0.31298158028281059</v>
      </c>
      <c r="P357" s="94">
        <f t="shared" si="50"/>
        <v>2.5375041598925563E-2</v>
      </c>
      <c r="Q357" s="94">
        <f t="shared" si="51"/>
        <v>3.0295484727755617E-2</v>
      </c>
      <c r="R357" s="94">
        <f t="shared" si="52"/>
        <v>-1.2300230234853216E-2</v>
      </c>
      <c r="S357" s="94">
        <f t="shared" si="53"/>
        <v>5.121009358623696E-3</v>
      </c>
      <c r="T357" s="94">
        <f t="shared" si="54"/>
        <v>3.5416494086379313E-2</v>
      </c>
      <c r="U357" s="94">
        <f t="shared" si="55"/>
        <v>-2.0254032240301867E-2</v>
      </c>
      <c r="V357" s="94">
        <f t="shared" si="56"/>
        <v>1.5323791343521131E-3</v>
      </c>
      <c r="W357" s="94">
        <f t="shared" si="57"/>
        <v>2.6907420733277676E-2</v>
      </c>
      <c r="X357" s="94">
        <f t="shared" si="58"/>
        <v>2.9765628570073754E-2</v>
      </c>
      <c r="Y357" s="95">
        <f t="shared" si="59"/>
        <v>-3.7675271833778778E-2</v>
      </c>
    </row>
    <row r="358" spans="1:25" x14ac:dyDescent="0.25">
      <c r="A358" s="89">
        <v>44578</v>
      </c>
      <c r="B358" s="90">
        <v>31.31</v>
      </c>
      <c r="C358" s="91">
        <v>0.31619262374457019</v>
      </c>
      <c r="D358" s="90">
        <v>34.299999999999997</v>
      </c>
      <c r="E358" s="92">
        <v>0.34638795894087371</v>
      </c>
      <c r="F358" s="90">
        <v>29.22</v>
      </c>
      <c r="G358" s="91">
        <v>0.29363600071582951</v>
      </c>
      <c r="H358" s="93">
        <v>32.4</v>
      </c>
      <c r="I358" s="91">
        <v>0.32439660818192101</v>
      </c>
      <c r="J358" s="93">
        <v>29.35</v>
      </c>
      <c r="K358" s="91">
        <v>0.29676543611727668</v>
      </c>
      <c r="L358" s="90">
        <v>33.06</v>
      </c>
      <c r="M358" s="91">
        <v>0.33100468723747872</v>
      </c>
      <c r="N358" s="93">
        <v>32.299999999999997</v>
      </c>
      <c r="O358" s="91">
        <v>0.32339538408259411</v>
      </c>
      <c r="P358" s="94">
        <f t="shared" si="50"/>
        <v>2.2556623028740674E-2</v>
      </c>
      <c r="Q358" s="94">
        <f t="shared" si="51"/>
        <v>3.0195335196303519E-2</v>
      </c>
      <c r="R358" s="94">
        <f t="shared" si="52"/>
        <v>-1.4812063492908534E-2</v>
      </c>
      <c r="S358" s="94">
        <f t="shared" si="53"/>
        <v>-7.2027603380239169E-3</v>
      </c>
      <c r="T358" s="94">
        <f t="shared" si="54"/>
        <v>2.2992574858279602E-2</v>
      </c>
      <c r="U358" s="94">
        <f t="shared" si="55"/>
        <v>-2.9759383366764591E-2</v>
      </c>
      <c r="V358" s="94">
        <f t="shared" si="56"/>
        <v>-3.129435401447167E-3</v>
      </c>
      <c r="W358" s="94">
        <f t="shared" si="57"/>
        <v>1.9427187627293507E-2</v>
      </c>
      <c r="X358" s="94">
        <f t="shared" si="58"/>
        <v>3.0760607466091494E-2</v>
      </c>
      <c r="Y358" s="95">
        <f t="shared" si="59"/>
        <v>-3.7368686521649208E-2</v>
      </c>
    </row>
    <row r="359" spans="1:25" x14ac:dyDescent="0.25">
      <c r="A359" s="89">
        <v>44575</v>
      </c>
      <c r="B359" s="90">
        <v>31.72</v>
      </c>
      <c r="C359" s="91">
        <v>0.32035971223021581</v>
      </c>
      <c r="D359" s="90">
        <v>34.5</v>
      </c>
      <c r="E359" s="92">
        <v>0.34843663530713892</v>
      </c>
      <c r="F359" s="90">
        <v>29.31</v>
      </c>
      <c r="G359" s="91">
        <v>0.29455258810572688</v>
      </c>
      <c r="H359" s="93">
        <v>32.74</v>
      </c>
      <c r="I359" s="91">
        <v>0.32780414209299141</v>
      </c>
      <c r="J359" s="93">
        <v>29.34</v>
      </c>
      <c r="K359" s="91">
        <v>0.29669206261255021</v>
      </c>
      <c r="L359" s="90">
        <v>33.409999999999997</v>
      </c>
      <c r="M359" s="91">
        <v>0.33451241256343428</v>
      </c>
      <c r="N359" s="93">
        <v>33</v>
      </c>
      <c r="O359" s="91">
        <v>0.33040735152928269</v>
      </c>
      <c r="P359" s="94">
        <f t="shared" si="50"/>
        <v>2.5807124124488934E-2</v>
      </c>
      <c r="Q359" s="94">
        <f t="shared" si="51"/>
        <v>2.807692307692311E-2</v>
      </c>
      <c r="R359" s="94">
        <f t="shared" si="52"/>
        <v>-1.4152700333218471E-2</v>
      </c>
      <c r="S359" s="94">
        <f t="shared" si="53"/>
        <v>-1.0047639299066879E-2</v>
      </c>
      <c r="T359" s="94">
        <f t="shared" si="54"/>
        <v>1.8029283777856231E-2</v>
      </c>
      <c r="U359" s="94">
        <f t="shared" si="55"/>
        <v>-3.5854763423555813E-2</v>
      </c>
      <c r="V359" s="94">
        <f t="shared" si="56"/>
        <v>-2.1394745068233356E-3</v>
      </c>
      <c r="W359" s="94">
        <f t="shared" si="57"/>
        <v>2.3667649617665598E-2</v>
      </c>
      <c r="X359" s="94">
        <f t="shared" si="58"/>
        <v>3.3251553987264537E-2</v>
      </c>
      <c r="Y359" s="95">
        <f t="shared" si="59"/>
        <v>-3.9959824457707405E-2</v>
      </c>
    </row>
    <row r="360" spans="1:25" x14ac:dyDescent="0.25">
      <c r="A360" s="89">
        <v>44574</v>
      </c>
      <c r="B360" s="90">
        <v>31.8</v>
      </c>
      <c r="C360" s="91">
        <v>0.31796515450361612</v>
      </c>
      <c r="D360" s="90">
        <v>35.5</v>
      </c>
      <c r="E360" s="92">
        <v>0.35496110015340793</v>
      </c>
      <c r="F360" s="90">
        <v>29.8</v>
      </c>
      <c r="G360" s="91">
        <v>0.29798367212755472</v>
      </c>
      <c r="H360" s="93">
        <v>32.729999999999997</v>
      </c>
      <c r="I360" s="91">
        <v>0.32729551649977401</v>
      </c>
      <c r="J360" s="93">
        <v>29.45</v>
      </c>
      <c r="K360" s="91">
        <v>0.29446369625662588</v>
      </c>
      <c r="L360" s="90">
        <v>33.83</v>
      </c>
      <c r="M360" s="91">
        <v>0.33829536581690661</v>
      </c>
      <c r="N360" s="93">
        <v>33</v>
      </c>
      <c r="O360" s="91">
        <v>0.32999547951397928</v>
      </c>
      <c r="P360" s="94">
        <f t="shared" si="50"/>
        <v>1.9981482376061399E-2</v>
      </c>
      <c r="Q360" s="94">
        <f t="shared" si="51"/>
        <v>3.6995945649791806E-2</v>
      </c>
      <c r="R360" s="94">
        <f t="shared" si="52"/>
        <v>-2.0330211313290492E-2</v>
      </c>
      <c r="S360" s="94">
        <f t="shared" si="53"/>
        <v>-1.2030325010363163E-2</v>
      </c>
      <c r="T360" s="94">
        <f t="shared" si="54"/>
        <v>2.4965620639428643E-2</v>
      </c>
      <c r="U360" s="94">
        <f t="shared" si="55"/>
        <v>-3.2011807386424562E-2</v>
      </c>
      <c r="V360" s="94">
        <f t="shared" si="56"/>
        <v>3.5199758709288376E-3</v>
      </c>
      <c r="W360" s="94">
        <f t="shared" si="57"/>
        <v>2.3501458246990237E-2</v>
      </c>
      <c r="X360" s="94">
        <f t="shared" si="58"/>
        <v>2.9311844372219287E-2</v>
      </c>
      <c r="Y360" s="95">
        <f t="shared" si="59"/>
        <v>-4.0311693689351891E-2</v>
      </c>
    </row>
    <row r="361" spans="1:25" x14ac:dyDescent="0.25">
      <c r="A361" s="89">
        <v>44573</v>
      </c>
      <c r="B361" s="90">
        <v>32.159999999999997</v>
      </c>
      <c r="C361" s="91">
        <v>0.32157356929567432</v>
      </c>
      <c r="D361" s="90">
        <v>35.51</v>
      </c>
      <c r="E361" s="92">
        <v>0.35507081609730712</v>
      </c>
      <c r="F361" s="90">
        <v>30.12</v>
      </c>
      <c r="G361" s="91">
        <v>0.30118762242647562</v>
      </c>
      <c r="H361" s="93">
        <v>33.5</v>
      </c>
      <c r="I361" s="91">
        <v>0.3349965582545385</v>
      </c>
      <c r="J361" s="93">
        <v>29.84</v>
      </c>
      <c r="K361" s="91">
        <v>0.29837241077023702</v>
      </c>
      <c r="L361" s="90">
        <v>33.9</v>
      </c>
      <c r="M361" s="91">
        <v>0.33899651715907031</v>
      </c>
      <c r="N361" s="93">
        <v>32.700000000000003</v>
      </c>
      <c r="O361" s="91">
        <v>0.32699664044547488</v>
      </c>
      <c r="P361" s="94">
        <f t="shared" si="50"/>
        <v>2.0385946869198701E-2</v>
      </c>
      <c r="Q361" s="94">
        <f t="shared" si="51"/>
        <v>3.3497246801632796E-2</v>
      </c>
      <c r="R361" s="94">
        <f t="shared" si="52"/>
        <v>-1.7422947863395988E-2</v>
      </c>
      <c r="S361" s="94">
        <f t="shared" si="53"/>
        <v>-5.4230711498005624E-3</v>
      </c>
      <c r="T361" s="94">
        <f t="shared" si="54"/>
        <v>2.8074175651832234E-2</v>
      </c>
      <c r="U361" s="94">
        <f t="shared" si="55"/>
        <v>-2.5809018018999264E-2</v>
      </c>
      <c r="V361" s="94">
        <f t="shared" si="56"/>
        <v>2.8152116562386031E-3</v>
      </c>
      <c r="W361" s="94">
        <f t="shared" si="57"/>
        <v>2.3201158525437304E-2</v>
      </c>
      <c r="X361" s="94">
        <f t="shared" si="58"/>
        <v>3.380893582806288E-2</v>
      </c>
      <c r="Y361" s="95">
        <f t="shared" si="59"/>
        <v>-3.7808894732594689E-2</v>
      </c>
    </row>
    <row r="362" spans="1:25" x14ac:dyDescent="0.25">
      <c r="A362" s="89">
        <v>44572</v>
      </c>
      <c r="B362" s="90">
        <v>32</v>
      </c>
      <c r="C362" s="91">
        <v>0.31998246671415259</v>
      </c>
      <c r="D362" s="90">
        <v>35.5</v>
      </c>
      <c r="E362" s="92">
        <v>0.35498054901101311</v>
      </c>
      <c r="F362" s="90">
        <v>30.3</v>
      </c>
      <c r="G362" s="91">
        <v>0.30299169885756561</v>
      </c>
      <c r="H362" s="93">
        <v>33.85</v>
      </c>
      <c r="I362" s="91">
        <v>0.3384976815227293</v>
      </c>
      <c r="J362" s="93">
        <v>29.7</v>
      </c>
      <c r="K362" s="91">
        <v>0.29698169290934118</v>
      </c>
      <c r="L362" s="90">
        <v>34</v>
      </c>
      <c r="M362" s="91">
        <v>0.33999767124882713</v>
      </c>
      <c r="N362" s="93">
        <v>32.700000000000003</v>
      </c>
      <c r="O362" s="91">
        <v>0.3269977602893131</v>
      </c>
      <c r="P362" s="94">
        <f t="shared" si="50"/>
        <v>1.6990767856586986E-2</v>
      </c>
      <c r="Q362" s="94">
        <f t="shared" si="51"/>
        <v>3.4998082296860522E-2</v>
      </c>
      <c r="R362" s="94">
        <f t="shared" si="52"/>
        <v>-2.0015204534674536E-2</v>
      </c>
      <c r="S362" s="94">
        <f t="shared" si="53"/>
        <v>-7.0152935751605083E-3</v>
      </c>
      <c r="T362" s="94">
        <f t="shared" si="54"/>
        <v>2.7982788721700014E-2</v>
      </c>
      <c r="U362" s="94">
        <f t="shared" si="55"/>
        <v>-2.4006061431747494E-2</v>
      </c>
      <c r="V362" s="94">
        <f t="shared" si="56"/>
        <v>6.0100059482244284E-3</v>
      </c>
      <c r="W362" s="94">
        <f t="shared" si="57"/>
        <v>2.3000773804811414E-2</v>
      </c>
      <c r="X362" s="94">
        <f t="shared" si="58"/>
        <v>3.5505982665163693E-2</v>
      </c>
      <c r="Y362" s="95">
        <f t="shared" si="59"/>
        <v>-3.7005972391261521E-2</v>
      </c>
    </row>
    <row r="363" spans="1:25" x14ac:dyDescent="0.25">
      <c r="A363" s="89">
        <v>44571</v>
      </c>
      <c r="B363" s="90">
        <v>31.7</v>
      </c>
      <c r="C363" s="91">
        <v>0.31699131530642988</v>
      </c>
      <c r="D363" s="90">
        <v>36.32</v>
      </c>
      <c r="E363" s="92">
        <v>0.36319004958768247</v>
      </c>
      <c r="F363" s="90">
        <v>30.6</v>
      </c>
      <c r="G363" s="91">
        <v>0.30599580827659889</v>
      </c>
      <c r="H363" s="93">
        <v>33.75</v>
      </c>
      <c r="I363" s="91">
        <v>0.33749884418204051</v>
      </c>
      <c r="J363" s="93">
        <v>29.38</v>
      </c>
      <c r="K363" s="91">
        <v>0.29379094479964663</v>
      </c>
      <c r="L363" s="90">
        <v>34.299999999999997</v>
      </c>
      <c r="M363" s="91">
        <v>0.34299882534648851</v>
      </c>
      <c r="N363" s="93">
        <v>33.21</v>
      </c>
      <c r="O363" s="91">
        <v>0.33209886267512778</v>
      </c>
      <c r="P363" s="94">
        <f t="shared" si="50"/>
        <v>1.0995507029830986E-2</v>
      </c>
      <c r="Q363" s="94">
        <f t="shared" si="51"/>
        <v>4.6198734281252596E-2</v>
      </c>
      <c r="R363" s="94">
        <f t="shared" si="52"/>
        <v>-2.6007510040058635E-2</v>
      </c>
      <c r="S363" s="94">
        <f t="shared" si="53"/>
        <v>-1.5107547368697904E-2</v>
      </c>
      <c r="T363" s="94">
        <f t="shared" si="54"/>
        <v>3.1091186912554691E-2</v>
      </c>
      <c r="U363" s="94">
        <f t="shared" si="55"/>
        <v>-2.6103054398528891E-2</v>
      </c>
      <c r="V363" s="94">
        <f t="shared" si="56"/>
        <v>1.2204863476952266E-2</v>
      </c>
      <c r="W363" s="94">
        <f t="shared" si="57"/>
        <v>2.3200370506783252E-2</v>
      </c>
      <c r="X363" s="94">
        <f t="shared" si="58"/>
        <v>3.1503035905441623E-2</v>
      </c>
      <c r="Y363" s="95">
        <f t="shared" si="59"/>
        <v>-3.7003017069889621E-2</v>
      </c>
    </row>
    <row r="364" spans="1:25" x14ac:dyDescent="0.25">
      <c r="A364" s="75">
        <v>44568</v>
      </c>
      <c r="B364" s="76">
        <v>32.200000000000003</v>
      </c>
      <c r="C364" s="82">
        <v>0.32040237718772152</v>
      </c>
      <c r="D364" s="76">
        <v>36.32</v>
      </c>
      <c r="E364" s="86">
        <v>0.36139796085273429</v>
      </c>
      <c r="F364" s="76">
        <v>30.22</v>
      </c>
      <c r="G364" s="82">
        <v>0.30144844360635131</v>
      </c>
      <c r="H364" s="79">
        <v>34.090000000000003</v>
      </c>
      <c r="I364" s="82">
        <v>0.34068765358577868</v>
      </c>
      <c r="J364" s="79">
        <v>30</v>
      </c>
      <c r="K364" s="82">
        <v>0.29832651087393319</v>
      </c>
      <c r="L364" s="76">
        <v>35</v>
      </c>
      <c r="M364" s="82">
        <v>0.34978198520100479</v>
      </c>
      <c r="N364" s="79">
        <v>34.15</v>
      </c>
      <c r="O364" s="82">
        <v>0.34128727984612328</v>
      </c>
      <c r="P364" s="77">
        <f t="shared" si="50"/>
        <v>1.8953933581370208E-2</v>
      </c>
      <c r="Q364" s="77">
        <f t="shared" si="51"/>
        <v>4.0995583665012769E-2</v>
      </c>
      <c r="R364" s="77">
        <f t="shared" si="52"/>
        <v>-2.9379608013283265E-2</v>
      </c>
      <c r="S364" s="77">
        <f t="shared" si="53"/>
        <v>-2.0884902658401761E-2</v>
      </c>
      <c r="T364" s="77">
        <f t="shared" si="54"/>
        <v>2.0110681006611009E-2</v>
      </c>
      <c r="U364" s="77">
        <f t="shared" si="55"/>
        <v>-3.9838836239771969E-2</v>
      </c>
      <c r="V364" s="77">
        <f t="shared" si="56"/>
        <v>3.1219327324181201E-3</v>
      </c>
      <c r="W364" s="77">
        <f t="shared" si="57"/>
        <v>2.2075866313788328E-2</v>
      </c>
      <c r="X364" s="77">
        <f t="shared" si="58"/>
        <v>3.923920997942737E-2</v>
      </c>
      <c r="Y364" s="78">
        <f t="shared" si="59"/>
        <v>-4.8333541594653473E-2</v>
      </c>
    </row>
    <row r="365" spans="1:25" x14ac:dyDescent="0.25">
      <c r="A365" s="75">
        <v>44567</v>
      </c>
      <c r="B365" s="76">
        <v>33.4</v>
      </c>
      <c r="C365" s="82">
        <v>0.3323518988031951</v>
      </c>
      <c r="D365" s="76">
        <v>38</v>
      </c>
      <c r="E365" s="86">
        <v>0.37812491480603039</v>
      </c>
      <c r="F365" s="76">
        <v>30.91</v>
      </c>
      <c r="G365" s="82">
        <v>0.30833549691859907</v>
      </c>
      <c r="H365" s="79">
        <v>34.520000000000003</v>
      </c>
      <c r="I365" s="82">
        <v>0.34498615584175568</v>
      </c>
      <c r="J365" s="79">
        <v>30.5</v>
      </c>
      <c r="K365" s="82">
        <v>0.30330791577126243</v>
      </c>
      <c r="L365" s="76">
        <v>35.99</v>
      </c>
      <c r="M365" s="82">
        <v>0.35967704950013862</v>
      </c>
      <c r="N365" s="79">
        <v>35.4</v>
      </c>
      <c r="O365" s="82">
        <v>0.35378070442636578</v>
      </c>
      <c r="P365" s="77">
        <f t="shared" si="50"/>
        <v>2.4016401884596028E-2</v>
      </c>
      <c r="Q365" s="77">
        <f t="shared" si="51"/>
        <v>4.5773016002835287E-2</v>
      </c>
      <c r="R365" s="77">
        <f t="shared" si="52"/>
        <v>-2.7325150696943523E-2</v>
      </c>
      <c r="S365" s="77">
        <f t="shared" si="53"/>
        <v>-2.1428805623170677E-2</v>
      </c>
      <c r="T365" s="77">
        <f t="shared" si="54"/>
        <v>2.434421037966461E-2</v>
      </c>
      <c r="U365" s="77">
        <f t="shared" si="55"/>
        <v>-4.5445207507766705E-2</v>
      </c>
      <c r="V365" s="77">
        <f t="shared" si="56"/>
        <v>5.0275811473366461E-3</v>
      </c>
      <c r="W365" s="77">
        <f t="shared" si="57"/>
        <v>2.9043983031932674E-2</v>
      </c>
      <c r="X365" s="77">
        <f t="shared" si="58"/>
        <v>3.6650658923156609E-2</v>
      </c>
      <c r="Y365" s="78">
        <f t="shared" si="59"/>
        <v>-5.1341552581539551E-2</v>
      </c>
    </row>
    <row r="366" spans="1:25" x14ac:dyDescent="0.25">
      <c r="A366" s="75">
        <v>44566</v>
      </c>
      <c r="B366" s="76">
        <v>34.79</v>
      </c>
      <c r="C366" s="82">
        <v>0.34619274809160311</v>
      </c>
      <c r="D366" s="76">
        <v>38</v>
      </c>
      <c r="E366" s="86">
        <v>0.3781352235550709</v>
      </c>
      <c r="F366" s="76">
        <v>32.200000000000003</v>
      </c>
      <c r="G366" s="82">
        <v>0.32120798032249248</v>
      </c>
      <c r="H366" s="79">
        <v>35.5</v>
      </c>
      <c r="I366" s="82">
        <v>0.35478129919912382</v>
      </c>
      <c r="J366" s="79">
        <v>31.25</v>
      </c>
      <c r="K366" s="82">
        <v>0.31077583270894349</v>
      </c>
      <c r="L366" s="76">
        <v>36.799999999999997</v>
      </c>
      <c r="M366" s="82">
        <v>0.36777329043740159</v>
      </c>
      <c r="N366" s="79">
        <v>36.1</v>
      </c>
      <c r="O366" s="82">
        <v>0.36077760284755972</v>
      </c>
      <c r="P366" s="77">
        <f t="shared" si="50"/>
        <v>2.4984767769110627E-2</v>
      </c>
      <c r="Q366" s="77">
        <f t="shared" si="51"/>
        <v>3.194247546346779E-2</v>
      </c>
      <c r="R366" s="77">
        <f t="shared" si="52"/>
        <v>-2.1580542345798481E-2</v>
      </c>
      <c r="S366" s="77">
        <f t="shared" si="53"/>
        <v>-1.4584854755956611E-2</v>
      </c>
      <c r="T366" s="77">
        <f t="shared" si="54"/>
        <v>1.7357620707511179E-2</v>
      </c>
      <c r="U366" s="77">
        <f t="shared" si="55"/>
        <v>-3.9569622525067238E-2</v>
      </c>
      <c r="V366" s="77">
        <f t="shared" si="56"/>
        <v>1.0432147613548992E-2</v>
      </c>
      <c r="W366" s="77">
        <f t="shared" si="57"/>
        <v>3.5416915382659619E-2</v>
      </c>
      <c r="X366" s="77">
        <f t="shared" si="58"/>
        <v>3.3573318876631342E-2</v>
      </c>
      <c r="Y366" s="78">
        <f t="shared" si="59"/>
        <v>-4.6565310114909109E-2</v>
      </c>
    </row>
    <row r="367" spans="1:25" x14ac:dyDescent="0.25">
      <c r="A367" s="75">
        <v>44565</v>
      </c>
      <c r="B367" s="76">
        <v>34.6</v>
      </c>
      <c r="C367" s="82">
        <v>0.34431145887292458</v>
      </c>
      <c r="D367" s="76">
        <v>38.299999999999997</v>
      </c>
      <c r="E367" s="86">
        <v>0.38113089233621422</v>
      </c>
      <c r="F367" s="76">
        <v>32.75</v>
      </c>
      <c r="G367" s="82">
        <v>0.32669891635578507</v>
      </c>
      <c r="H367" s="79">
        <v>35.99</v>
      </c>
      <c r="I367" s="82">
        <v>0.35967951153231409</v>
      </c>
      <c r="J367" s="79">
        <v>31.32</v>
      </c>
      <c r="K367" s="82">
        <v>0.31148151806301527</v>
      </c>
      <c r="L367" s="76">
        <v>37.1</v>
      </c>
      <c r="M367" s="82">
        <v>0.37077271124892619</v>
      </c>
      <c r="N367" s="79">
        <v>36</v>
      </c>
      <c r="O367" s="82">
        <v>0.35977945026849978</v>
      </c>
      <c r="P367" s="77">
        <f t="shared" si="50"/>
        <v>1.7612542517139507E-2</v>
      </c>
      <c r="Q367" s="77">
        <f t="shared" si="51"/>
        <v>3.6819433463289641E-2</v>
      </c>
      <c r="R367" s="77">
        <f t="shared" si="52"/>
        <v>-2.6461252376001609E-2</v>
      </c>
      <c r="S367" s="77">
        <f t="shared" si="53"/>
        <v>-1.5467991395575198E-2</v>
      </c>
      <c r="T367" s="77">
        <f t="shared" si="54"/>
        <v>2.1351442067714443E-2</v>
      </c>
      <c r="U367" s="77">
        <f t="shared" si="55"/>
        <v>-3.3080533912714705E-2</v>
      </c>
      <c r="V367" s="77">
        <f t="shared" si="56"/>
        <v>1.5217398292769801E-2</v>
      </c>
      <c r="W367" s="77">
        <f t="shared" si="57"/>
        <v>3.2829940809909308E-2</v>
      </c>
      <c r="X367" s="77">
        <f t="shared" si="58"/>
        <v>3.2980595176529015E-2</v>
      </c>
      <c r="Y367" s="78">
        <f t="shared" si="59"/>
        <v>-4.4073794893141116E-2</v>
      </c>
    </row>
    <row r="368" spans="1:25" x14ac:dyDescent="0.25">
      <c r="A368" s="75">
        <v>44564</v>
      </c>
      <c r="B368" s="76">
        <v>35.15</v>
      </c>
      <c r="C368" s="82">
        <v>0.3497941545340531</v>
      </c>
      <c r="D368" s="76">
        <v>38</v>
      </c>
      <c r="E368" s="86">
        <v>0.37815584273951691</v>
      </c>
      <c r="F368" s="76">
        <v>33</v>
      </c>
      <c r="G368" s="82">
        <v>0.32919729973489298</v>
      </c>
      <c r="H368" s="79">
        <v>36.299999999999997</v>
      </c>
      <c r="I368" s="82">
        <v>0.36277885398626858</v>
      </c>
      <c r="J368" s="79">
        <v>32</v>
      </c>
      <c r="K368" s="82">
        <v>0.31825396284766461</v>
      </c>
      <c r="L368" s="76">
        <v>37.4</v>
      </c>
      <c r="M368" s="82">
        <v>0.37377215259191321</v>
      </c>
      <c r="N368" s="79">
        <v>36.25</v>
      </c>
      <c r="O368" s="82">
        <v>0.36227915859510301</v>
      </c>
      <c r="P368" s="77">
        <f t="shared" si="50"/>
        <v>2.0596854799160125E-2</v>
      </c>
      <c r="Q368" s="77">
        <f t="shared" si="51"/>
        <v>2.8361688205463809E-2</v>
      </c>
      <c r="R368" s="77">
        <f t="shared" si="52"/>
        <v>-2.3977998057860106E-2</v>
      </c>
      <c r="S368" s="77">
        <f t="shared" si="53"/>
        <v>-1.2485004061049909E-2</v>
      </c>
      <c r="T368" s="77">
        <f t="shared" si="54"/>
        <v>1.58766841444139E-2</v>
      </c>
      <c r="U368" s="77">
        <f t="shared" si="55"/>
        <v>-3.3081858860210034E-2</v>
      </c>
      <c r="V368" s="77">
        <f t="shared" si="56"/>
        <v>1.0943336887228372E-2</v>
      </c>
      <c r="W368" s="77">
        <f t="shared" si="57"/>
        <v>3.1540191686388497E-2</v>
      </c>
      <c r="X368" s="77">
        <f t="shared" si="58"/>
        <v>3.35815542513756E-2</v>
      </c>
      <c r="Y368" s="78">
        <f t="shared" si="59"/>
        <v>-4.4574852857020231E-2</v>
      </c>
    </row>
    <row r="369" spans="1:25" x14ac:dyDescent="0.25">
      <c r="A369" s="75">
        <v>44560</v>
      </c>
      <c r="B369" s="76">
        <v>34.799999999999997</v>
      </c>
      <c r="C369" s="82">
        <v>0.34634891203577461</v>
      </c>
      <c r="D369" s="76">
        <v>39</v>
      </c>
      <c r="E369" s="86">
        <v>0.388149642798713</v>
      </c>
      <c r="F369" s="76">
        <v>32.700000000000003</v>
      </c>
      <c r="G369" s="82">
        <v>0.32622242873151669</v>
      </c>
      <c r="H369" s="79">
        <v>36.31</v>
      </c>
      <c r="I369" s="82">
        <v>0.36288376104649972</v>
      </c>
      <c r="J369" s="79">
        <v>31.99</v>
      </c>
      <c r="K369" s="82">
        <v>0.31819352377318899</v>
      </c>
      <c r="L369" s="76">
        <v>37.5</v>
      </c>
      <c r="M369" s="82">
        <v>0.37477667417360888</v>
      </c>
      <c r="N369" s="79">
        <v>36.5</v>
      </c>
      <c r="O369" s="82">
        <v>0.36478262952897927</v>
      </c>
      <c r="P369" s="77">
        <f t="shared" si="50"/>
        <v>2.0126483304257925E-2</v>
      </c>
      <c r="Q369" s="77">
        <f t="shared" si="51"/>
        <v>4.1800730762938387E-2</v>
      </c>
      <c r="R369" s="77">
        <f t="shared" si="52"/>
        <v>-2.8427762137834267E-2</v>
      </c>
      <c r="S369" s="77">
        <f t="shared" si="53"/>
        <v>-1.843371749320466E-2</v>
      </c>
      <c r="T369" s="77">
        <f t="shared" si="54"/>
        <v>2.3367013269733727E-2</v>
      </c>
      <c r="U369" s="77">
        <f t="shared" si="55"/>
        <v>-3.8560200797462585E-2</v>
      </c>
      <c r="V369" s="77">
        <f t="shared" si="56"/>
        <v>8.0289049583276983E-3</v>
      </c>
      <c r="W369" s="77">
        <f t="shared" si="57"/>
        <v>2.8155388262585623E-2</v>
      </c>
      <c r="X369" s="77">
        <f t="shared" si="58"/>
        <v>3.6661332314983031E-2</v>
      </c>
      <c r="Y369" s="78">
        <f t="shared" si="59"/>
        <v>-4.8554245442092192E-2</v>
      </c>
    </row>
    <row r="370" spans="1:25" x14ac:dyDescent="0.25">
      <c r="A370" s="75">
        <v>44559</v>
      </c>
      <c r="B370" s="76">
        <v>34.71</v>
      </c>
      <c r="C370" s="82">
        <v>0.34546260191421491</v>
      </c>
      <c r="D370" s="76">
        <v>39</v>
      </c>
      <c r="E370" s="86">
        <v>0.38816022686990431</v>
      </c>
      <c r="F370" s="76">
        <v>33.21</v>
      </c>
      <c r="G370" s="82">
        <v>0.33131482924029348</v>
      </c>
      <c r="H370" s="79">
        <v>36.6</v>
      </c>
      <c r="I370" s="82">
        <v>0.36578328592991138</v>
      </c>
      <c r="J370" s="79">
        <v>32.35</v>
      </c>
      <c r="K370" s="82">
        <v>0.32178418501347272</v>
      </c>
      <c r="L370" s="76">
        <v>37.9</v>
      </c>
      <c r="M370" s="82">
        <v>0.37877558843561859</v>
      </c>
      <c r="N370" s="79">
        <v>36</v>
      </c>
      <c r="O370" s="82">
        <v>0.35978683861958499</v>
      </c>
      <c r="P370" s="77">
        <f t="shared" si="50"/>
        <v>1.4147772673921422E-2</v>
      </c>
      <c r="Q370" s="77">
        <f t="shared" si="51"/>
        <v>4.2697624955689406E-2</v>
      </c>
      <c r="R370" s="77">
        <f t="shared" si="52"/>
        <v>-3.3312986521403687E-2</v>
      </c>
      <c r="S370" s="77">
        <f t="shared" si="53"/>
        <v>-1.4324236705370086E-2</v>
      </c>
      <c r="T370" s="77">
        <f t="shared" si="54"/>
        <v>2.837338825031932E-2</v>
      </c>
      <c r="U370" s="77">
        <f t="shared" si="55"/>
        <v>-2.8472009379291507E-2</v>
      </c>
      <c r="V370" s="77">
        <f t="shared" si="56"/>
        <v>9.5306442268207614E-3</v>
      </c>
      <c r="W370" s="77">
        <f t="shared" si="57"/>
        <v>2.3678416900742183E-2</v>
      </c>
      <c r="X370" s="77">
        <f t="shared" si="58"/>
        <v>3.4468456689617899E-2</v>
      </c>
      <c r="Y370" s="78">
        <f t="shared" si="59"/>
        <v>-4.7460759195325108E-2</v>
      </c>
    </row>
    <row r="371" spans="1:25" x14ac:dyDescent="0.25">
      <c r="A371" s="75">
        <v>44558</v>
      </c>
      <c r="B371" s="76">
        <v>35.49</v>
      </c>
      <c r="C371" s="82">
        <v>0.35323543848167538</v>
      </c>
      <c r="D371" s="76">
        <v>37.5</v>
      </c>
      <c r="E371" s="86">
        <v>0.37324116492146597</v>
      </c>
      <c r="F371" s="76">
        <v>33.5</v>
      </c>
      <c r="G371" s="82">
        <v>0.33421254031596792</v>
      </c>
      <c r="H371" s="79">
        <v>36.92</v>
      </c>
      <c r="I371" s="82">
        <v>0.36898265405309211</v>
      </c>
      <c r="J371" s="79">
        <v>33.200000000000003</v>
      </c>
      <c r="K371" s="82">
        <v>0.33024922670227702</v>
      </c>
      <c r="L371" s="76">
        <v>37.47</v>
      </c>
      <c r="M371" s="82">
        <v>0.37447941623427289</v>
      </c>
      <c r="N371" s="79">
        <v>36</v>
      </c>
      <c r="O371" s="82">
        <v>0.35978807004093483</v>
      </c>
      <c r="P371" s="77">
        <f t="shared" si="50"/>
        <v>1.9022898165707458E-2</v>
      </c>
      <c r="Q371" s="77">
        <f t="shared" si="51"/>
        <v>2.0005726439790594E-2</v>
      </c>
      <c r="R371" s="77">
        <f t="shared" si="52"/>
        <v>-2.1243977752597509E-2</v>
      </c>
      <c r="S371" s="77">
        <f t="shared" si="53"/>
        <v>-6.5526315592594475E-3</v>
      </c>
      <c r="T371" s="77">
        <f t="shared" si="54"/>
        <v>1.3453094880531147E-2</v>
      </c>
      <c r="U371" s="77">
        <f t="shared" si="55"/>
        <v>-2.5575529724966906E-2</v>
      </c>
      <c r="V371" s="77">
        <f t="shared" si="56"/>
        <v>3.9633136136908997E-3</v>
      </c>
      <c r="W371" s="77">
        <f t="shared" si="57"/>
        <v>2.2986211779398358E-2</v>
      </c>
      <c r="X371" s="77">
        <f t="shared" si="58"/>
        <v>3.4770113737124186E-2</v>
      </c>
      <c r="Y371" s="78">
        <f t="shared" si="59"/>
        <v>-4.0266875918304967E-2</v>
      </c>
    </row>
    <row r="372" spans="1:25" x14ac:dyDescent="0.25">
      <c r="A372" s="75">
        <v>44557</v>
      </c>
      <c r="B372" s="76">
        <v>34.4</v>
      </c>
      <c r="C372" s="82">
        <v>0.3423958986665212</v>
      </c>
      <c r="D372" s="76">
        <v>38.4</v>
      </c>
      <c r="E372" s="86">
        <v>0.38220937525565157</v>
      </c>
      <c r="F372" s="76">
        <v>32.9</v>
      </c>
      <c r="G372" s="82">
        <v>0.32823112981919073</v>
      </c>
      <c r="H372" s="79">
        <v>36.75</v>
      </c>
      <c r="I372" s="82">
        <v>0.3672849119180206</v>
      </c>
      <c r="J372" s="79">
        <v>32.4</v>
      </c>
      <c r="K372" s="82">
        <v>0.32230129556890219</v>
      </c>
      <c r="L372" s="76">
        <v>37.200000000000003</v>
      </c>
      <c r="M372" s="82">
        <v>0.37178227818640458</v>
      </c>
      <c r="N372" s="79">
        <v>35.5</v>
      </c>
      <c r="O372" s="82">
        <v>0.35479222783917641</v>
      </c>
      <c r="P372" s="77">
        <f t="shared" si="50"/>
        <v>1.4164768847330478E-2</v>
      </c>
      <c r="Q372" s="77">
        <f t="shared" si="51"/>
        <v>3.981347658913037E-2</v>
      </c>
      <c r="R372" s="77">
        <f t="shared" si="52"/>
        <v>-2.9386379519883377E-2</v>
      </c>
      <c r="S372" s="77">
        <f t="shared" si="53"/>
        <v>-1.2396329172655207E-2</v>
      </c>
      <c r="T372" s="77">
        <f t="shared" si="54"/>
        <v>2.7417147416475163E-2</v>
      </c>
      <c r="U372" s="77">
        <f t="shared" si="55"/>
        <v>-2.6561098019985685E-2</v>
      </c>
      <c r="V372" s="77">
        <f t="shared" si="56"/>
        <v>5.9298342502885348E-3</v>
      </c>
      <c r="W372" s="77">
        <f t="shared" si="57"/>
        <v>2.0094603097619013E-2</v>
      </c>
      <c r="X372" s="77">
        <f t="shared" si="58"/>
        <v>3.905378209882987E-2</v>
      </c>
      <c r="Y372" s="78">
        <f t="shared" si="59"/>
        <v>-4.3551148367213854E-2</v>
      </c>
    </row>
    <row r="373" spans="1:25" x14ac:dyDescent="0.25">
      <c r="A373" s="75">
        <v>44553</v>
      </c>
      <c r="B373" s="76">
        <v>34.1</v>
      </c>
      <c r="C373" s="82">
        <v>0.33944691411896261</v>
      </c>
      <c r="D373" s="76">
        <v>38.4</v>
      </c>
      <c r="E373" s="86">
        <v>0.3822510704448141</v>
      </c>
      <c r="F373" s="76">
        <v>32</v>
      </c>
      <c r="G373" s="82">
        <v>0.31926961608375359</v>
      </c>
      <c r="H373" s="79">
        <v>35.76</v>
      </c>
      <c r="I373" s="82">
        <v>0.35739559909230001</v>
      </c>
      <c r="J373" s="79">
        <v>32</v>
      </c>
      <c r="K373" s="82">
        <v>0.31836131146870728</v>
      </c>
      <c r="L373" s="76">
        <v>36</v>
      </c>
      <c r="M373" s="82">
        <v>0.35979422727412752</v>
      </c>
      <c r="N373" s="79">
        <v>34.200000000000003</v>
      </c>
      <c r="O373" s="82">
        <v>0.3418045159104211</v>
      </c>
      <c r="P373" s="77">
        <f t="shared" si="50"/>
        <v>2.0177298035209013E-2</v>
      </c>
      <c r="Q373" s="77">
        <f t="shared" si="51"/>
        <v>4.2804156325851495E-2</v>
      </c>
      <c r="R373" s="77">
        <f t="shared" si="52"/>
        <v>-2.0347313155164914E-2</v>
      </c>
      <c r="S373" s="77">
        <f t="shared" si="53"/>
        <v>-2.3576017914584968E-3</v>
      </c>
      <c r="T373" s="77">
        <f t="shared" si="54"/>
        <v>4.0446554534392998E-2</v>
      </c>
      <c r="U373" s="77">
        <f t="shared" si="55"/>
        <v>-2.2534899826667509E-2</v>
      </c>
      <c r="V373" s="77">
        <f t="shared" si="56"/>
        <v>9.083046150463181E-4</v>
      </c>
      <c r="W373" s="77">
        <f t="shared" si="57"/>
        <v>2.1085602650255331E-2</v>
      </c>
      <c r="X373" s="77">
        <f t="shared" si="58"/>
        <v>3.8125983008546416E-2</v>
      </c>
      <c r="Y373" s="78">
        <f t="shared" si="59"/>
        <v>-4.0524611190373927E-2</v>
      </c>
    </row>
    <row r="374" spans="1:25" x14ac:dyDescent="0.25">
      <c r="A374" s="75">
        <v>44552</v>
      </c>
      <c r="B374" s="76">
        <v>34.979999999999997</v>
      </c>
      <c r="C374" s="82">
        <v>0.34821633120602191</v>
      </c>
      <c r="D374" s="76">
        <v>38.4</v>
      </c>
      <c r="E374" s="86">
        <v>0.38226149566355749</v>
      </c>
      <c r="F374" s="76">
        <v>32.200000000000003</v>
      </c>
      <c r="G374" s="82">
        <v>0.32126944209058861</v>
      </c>
      <c r="H374" s="79">
        <v>35.5</v>
      </c>
      <c r="I374" s="82">
        <v>0.35479829959680448</v>
      </c>
      <c r="J374" s="79">
        <v>31.84</v>
      </c>
      <c r="K374" s="82">
        <v>0.31677921865523662</v>
      </c>
      <c r="L374" s="76">
        <v>36.1</v>
      </c>
      <c r="M374" s="82">
        <v>0.36079489057590552</v>
      </c>
      <c r="N374" s="79">
        <v>35.5</v>
      </c>
      <c r="O374" s="82">
        <v>0.35479829959680448</v>
      </c>
      <c r="P374" s="77">
        <f t="shared" si="50"/>
        <v>2.6946889115433303E-2</v>
      </c>
      <c r="Q374" s="77">
        <f t="shared" si="51"/>
        <v>3.4045164457535582E-2</v>
      </c>
      <c r="R374" s="77">
        <f t="shared" si="52"/>
        <v>-1.2578559369883613E-2</v>
      </c>
      <c r="S374" s="77">
        <f t="shared" si="53"/>
        <v>-6.5819683907825666E-3</v>
      </c>
      <c r="T374" s="77">
        <f t="shared" si="54"/>
        <v>2.7463196066753015E-2</v>
      </c>
      <c r="U374" s="77">
        <f t="shared" si="55"/>
        <v>-3.352885750621587E-2</v>
      </c>
      <c r="V374" s="77">
        <f t="shared" si="56"/>
        <v>4.4902234353519921E-3</v>
      </c>
      <c r="W374" s="77">
        <f t="shared" si="57"/>
        <v>3.1437112550785296E-2</v>
      </c>
      <c r="X374" s="77">
        <f t="shared" si="58"/>
        <v>3.352885750621587E-2</v>
      </c>
      <c r="Y374" s="78">
        <f t="shared" si="59"/>
        <v>-3.9525448485316916E-2</v>
      </c>
    </row>
    <row r="375" spans="1:25" x14ac:dyDescent="0.25">
      <c r="A375" s="75">
        <v>44551</v>
      </c>
      <c r="B375" s="76">
        <v>34.090000000000003</v>
      </c>
      <c r="C375" s="82">
        <v>0.33936588026728493</v>
      </c>
      <c r="D375" s="76">
        <v>38.4</v>
      </c>
      <c r="E375" s="86">
        <v>0.38227192145097499</v>
      </c>
      <c r="F375" s="76">
        <v>31.8</v>
      </c>
      <c r="G375" s="82">
        <v>0.31728285382354948</v>
      </c>
      <c r="H375" s="79">
        <v>35.75</v>
      </c>
      <c r="I375" s="82">
        <v>0.35729810209984092</v>
      </c>
      <c r="J375" s="79">
        <v>31</v>
      </c>
      <c r="K375" s="82">
        <v>0.30843143601887663</v>
      </c>
      <c r="L375" s="76">
        <v>35.65</v>
      </c>
      <c r="M375" s="82">
        <v>0.35629866684921191</v>
      </c>
      <c r="N375" s="79">
        <v>34.5</v>
      </c>
      <c r="O375" s="82">
        <v>0.34480516146697932</v>
      </c>
      <c r="P375" s="77">
        <f t="shared" si="50"/>
        <v>2.2083026443735443E-2</v>
      </c>
      <c r="Q375" s="77">
        <f t="shared" si="51"/>
        <v>4.2906041183690069E-2</v>
      </c>
      <c r="R375" s="77">
        <f t="shared" si="52"/>
        <v>-1.6932786581926984E-2</v>
      </c>
      <c r="S375" s="77">
        <f t="shared" si="53"/>
        <v>-5.4392811996943902E-3</v>
      </c>
      <c r="T375" s="77">
        <f t="shared" si="54"/>
        <v>3.7466759983995679E-2</v>
      </c>
      <c r="U375" s="77">
        <f t="shared" si="55"/>
        <v>-2.7522307643429833E-2</v>
      </c>
      <c r="V375" s="77">
        <f t="shared" si="56"/>
        <v>8.8514178046728564E-3</v>
      </c>
      <c r="W375" s="77">
        <f t="shared" si="57"/>
        <v>3.0934444248408299E-2</v>
      </c>
      <c r="X375" s="77">
        <f t="shared" si="58"/>
        <v>4.0015248276291437E-2</v>
      </c>
      <c r="Y375" s="78">
        <f t="shared" si="59"/>
        <v>-3.9015813025662427E-2</v>
      </c>
    </row>
    <row r="376" spans="1:25" x14ac:dyDescent="0.25">
      <c r="A376" s="75">
        <v>44550</v>
      </c>
      <c r="B376" s="76">
        <v>33.99</v>
      </c>
      <c r="C376" s="82">
        <v>0.33837960942614009</v>
      </c>
      <c r="D376" s="76">
        <v>38.5</v>
      </c>
      <c r="E376" s="86">
        <v>0.38327787475452763</v>
      </c>
      <c r="F376" s="76">
        <v>31.8</v>
      </c>
      <c r="G376" s="82">
        <v>0.31728719042151882</v>
      </c>
      <c r="H376" s="79">
        <v>35.520000000000003</v>
      </c>
      <c r="I376" s="82">
        <v>0.35500061609233169</v>
      </c>
      <c r="J376" s="79">
        <v>31.11</v>
      </c>
      <c r="K376" s="82">
        <v>0.30953536234649509</v>
      </c>
      <c r="L376" s="76">
        <v>35.71</v>
      </c>
      <c r="M376" s="82">
        <v>0.35689954956805081</v>
      </c>
      <c r="N376" s="79">
        <v>34.700000000000003</v>
      </c>
      <c r="O376" s="82">
        <v>0.34680521898659661</v>
      </c>
      <c r="P376" s="77">
        <f t="shared" si="50"/>
        <v>2.1092419004621277E-2</v>
      </c>
      <c r="Q376" s="77">
        <f t="shared" si="51"/>
        <v>4.4898265328387532E-2</v>
      </c>
      <c r="R376" s="77">
        <f t="shared" si="52"/>
        <v>-1.8519940141910718E-2</v>
      </c>
      <c r="S376" s="77">
        <f t="shared" si="53"/>
        <v>-8.4256095604565151E-3</v>
      </c>
      <c r="T376" s="77">
        <f t="shared" si="54"/>
        <v>3.6472655767931017E-2</v>
      </c>
      <c r="U376" s="77">
        <f t="shared" si="55"/>
        <v>-2.9518028565077792E-2</v>
      </c>
      <c r="V376" s="77">
        <f t="shared" si="56"/>
        <v>7.7518280750237256E-3</v>
      </c>
      <c r="W376" s="77">
        <f t="shared" si="57"/>
        <v>2.8844247079645002E-2</v>
      </c>
      <c r="X376" s="77">
        <f t="shared" si="58"/>
        <v>3.7713425670812872E-2</v>
      </c>
      <c r="Y376" s="78">
        <f t="shared" si="59"/>
        <v>-3.9612359146531995E-2</v>
      </c>
    </row>
    <row r="377" spans="1:25" x14ac:dyDescent="0.25">
      <c r="A377" s="75">
        <v>44547</v>
      </c>
      <c r="B377" s="76">
        <v>34.5</v>
      </c>
      <c r="C377" s="82">
        <v>0.34348490221215999</v>
      </c>
      <c r="D377" s="76">
        <v>38.200000000000003</v>
      </c>
      <c r="E377" s="86">
        <v>0.380322413463899</v>
      </c>
      <c r="F377" s="76">
        <v>32.08</v>
      </c>
      <c r="G377" s="82">
        <v>0.3200940391738768</v>
      </c>
      <c r="H377" s="79">
        <v>36.200000000000003</v>
      </c>
      <c r="I377" s="82">
        <v>0.36180051410010239</v>
      </c>
      <c r="J377" s="79">
        <v>32</v>
      </c>
      <c r="K377" s="82">
        <v>0.31841989579109148</v>
      </c>
      <c r="L377" s="76">
        <v>36.4</v>
      </c>
      <c r="M377" s="82">
        <v>0.36379941196805871</v>
      </c>
      <c r="N377" s="79">
        <v>35</v>
      </c>
      <c r="O377" s="82">
        <v>0.34980712689236421</v>
      </c>
      <c r="P377" s="77">
        <f t="shared" si="50"/>
        <v>2.3390863038283194E-2</v>
      </c>
      <c r="Q377" s="77">
        <f t="shared" si="51"/>
        <v>3.6837511251739008E-2</v>
      </c>
      <c r="R377" s="77">
        <f t="shared" si="52"/>
        <v>-2.0314509755898713E-2</v>
      </c>
      <c r="S377" s="77">
        <f t="shared" si="53"/>
        <v>-6.3222246802042137E-3</v>
      </c>
      <c r="T377" s="77">
        <f t="shared" si="54"/>
        <v>3.0515286571534794E-2</v>
      </c>
      <c r="U377" s="77">
        <f t="shared" si="55"/>
        <v>-2.9713087718487408E-2</v>
      </c>
      <c r="V377" s="77">
        <f t="shared" si="56"/>
        <v>1.6741433827853203E-3</v>
      </c>
      <c r="W377" s="77">
        <f t="shared" si="57"/>
        <v>2.5065006421068514E-2</v>
      </c>
      <c r="X377" s="77">
        <f t="shared" si="58"/>
        <v>4.170647492622559E-2</v>
      </c>
      <c r="Y377" s="78">
        <f t="shared" si="59"/>
        <v>-4.3705372794181907E-2</v>
      </c>
    </row>
    <row r="378" spans="1:25" x14ac:dyDescent="0.25">
      <c r="A378" s="75">
        <v>44546</v>
      </c>
      <c r="B378" s="76">
        <v>35.200000000000003</v>
      </c>
      <c r="C378" s="82">
        <v>0.35046372067648668</v>
      </c>
      <c r="D378" s="76">
        <v>38.5</v>
      </c>
      <c r="E378" s="86">
        <v>0.38331969448990733</v>
      </c>
      <c r="F378" s="76">
        <v>33.119999999999997</v>
      </c>
      <c r="G378" s="82">
        <v>0.33047566976489878</v>
      </c>
      <c r="H378" s="79">
        <v>36.909999999999997</v>
      </c>
      <c r="I378" s="82">
        <v>0.36889786418400872</v>
      </c>
      <c r="J378" s="79">
        <v>33</v>
      </c>
      <c r="K378" s="82">
        <v>0.32838058887677207</v>
      </c>
      <c r="L378" s="76">
        <v>37.5</v>
      </c>
      <c r="M378" s="82">
        <v>0.37479463307776562</v>
      </c>
      <c r="N378" s="79">
        <v>36</v>
      </c>
      <c r="O378" s="82">
        <v>0.35980284775465499</v>
      </c>
      <c r="P378" s="77">
        <f t="shared" si="50"/>
        <v>1.9988050911587896E-2</v>
      </c>
      <c r="Q378" s="77">
        <f t="shared" si="51"/>
        <v>3.2855973813420647E-2</v>
      </c>
      <c r="R378" s="77">
        <f t="shared" si="52"/>
        <v>-2.4330912401278937E-2</v>
      </c>
      <c r="S378" s="77">
        <f t="shared" si="53"/>
        <v>-9.3391270781683078E-3</v>
      </c>
      <c r="T378" s="77">
        <f t="shared" si="54"/>
        <v>2.3516846735252339E-2</v>
      </c>
      <c r="U378" s="77">
        <f t="shared" si="55"/>
        <v>-2.9327177989756203E-2</v>
      </c>
      <c r="V378" s="77">
        <f t="shared" si="56"/>
        <v>2.0950808881267102E-3</v>
      </c>
      <c r="W378" s="77">
        <f t="shared" si="57"/>
        <v>2.2083131799714606E-2</v>
      </c>
      <c r="X378" s="77">
        <f t="shared" si="58"/>
        <v>3.8422194419109934E-2</v>
      </c>
      <c r="Y378" s="78">
        <f t="shared" si="59"/>
        <v>-4.4318963312866833E-2</v>
      </c>
    </row>
    <row r="379" spans="1:25" x14ac:dyDescent="0.25">
      <c r="A379" s="75">
        <v>44545</v>
      </c>
      <c r="B379" s="76">
        <v>35.1</v>
      </c>
      <c r="C379" s="82">
        <v>0.34947761804741001</v>
      </c>
      <c r="D379" s="76">
        <v>39</v>
      </c>
      <c r="E379" s="86">
        <v>0.38830846449712209</v>
      </c>
      <c r="F379" s="76">
        <v>33.11</v>
      </c>
      <c r="G379" s="82">
        <v>0.33038040432482668</v>
      </c>
      <c r="H379" s="79">
        <v>37.15</v>
      </c>
      <c r="I379" s="82">
        <v>0.37129782070721762</v>
      </c>
      <c r="J379" s="79">
        <v>32.6</v>
      </c>
      <c r="K379" s="82">
        <v>0.32441016797816191</v>
      </c>
      <c r="L379" s="76">
        <v>37.299999999999997</v>
      </c>
      <c r="M379" s="82">
        <v>0.37279700437090763</v>
      </c>
      <c r="N379" s="79">
        <v>36</v>
      </c>
      <c r="O379" s="82">
        <v>0.35980407928559449</v>
      </c>
      <c r="P379" s="77">
        <f t="shared" si="50"/>
        <v>1.9097213722583328E-2</v>
      </c>
      <c r="Q379" s="77">
        <f t="shared" si="51"/>
        <v>3.8830846449712075E-2</v>
      </c>
      <c r="R379" s="77">
        <f t="shared" si="52"/>
        <v>-2.3319386323497615E-2</v>
      </c>
      <c r="S379" s="77">
        <f t="shared" si="53"/>
        <v>-1.0326461238184481E-2</v>
      </c>
      <c r="T379" s="77">
        <f t="shared" si="54"/>
        <v>2.8504385211527594E-2</v>
      </c>
      <c r="U379" s="77">
        <f t="shared" si="55"/>
        <v>-2.9423674960767809E-2</v>
      </c>
      <c r="V379" s="77">
        <f t="shared" si="56"/>
        <v>5.9702363466647701E-3</v>
      </c>
      <c r="W379" s="77">
        <f t="shared" si="57"/>
        <v>2.5067450069248098E-2</v>
      </c>
      <c r="X379" s="77">
        <f t="shared" si="58"/>
        <v>4.0917416382390936E-2</v>
      </c>
      <c r="Y379" s="78">
        <f t="shared" si="59"/>
        <v>-4.2416600046080943E-2</v>
      </c>
    </row>
    <row r="380" spans="1:25" x14ac:dyDescent="0.25">
      <c r="A380" s="75">
        <v>44544</v>
      </c>
      <c r="B380" s="76">
        <v>35.4</v>
      </c>
      <c r="C380" s="82">
        <v>0.35247422117955152</v>
      </c>
      <c r="D380" s="76">
        <v>39</v>
      </c>
      <c r="E380" s="86">
        <v>0.38831905723170929</v>
      </c>
      <c r="F380" s="76">
        <v>32.950000000000003</v>
      </c>
      <c r="G380" s="82">
        <v>0.32878837584406362</v>
      </c>
      <c r="H380" s="79">
        <v>37.6</v>
      </c>
      <c r="I380" s="82">
        <v>0.37579665797274081</v>
      </c>
      <c r="J380" s="79">
        <v>31.86</v>
      </c>
      <c r="K380" s="82">
        <v>0.31705598080580188</v>
      </c>
      <c r="L380" s="76">
        <v>37</v>
      </c>
      <c r="M380" s="82">
        <v>0.36979990279232472</v>
      </c>
      <c r="N380" s="79">
        <v>36</v>
      </c>
      <c r="O380" s="82">
        <v>0.35980531082496459</v>
      </c>
      <c r="P380" s="77">
        <f t="shared" si="50"/>
        <v>2.3685845335487898E-2</v>
      </c>
      <c r="Q380" s="77">
        <f t="shared" si="51"/>
        <v>3.5844836052157769E-2</v>
      </c>
      <c r="R380" s="77">
        <f t="shared" si="52"/>
        <v>-1.7325681612773203E-2</v>
      </c>
      <c r="S380" s="77">
        <f t="shared" si="53"/>
        <v>-7.3310896454130692E-3</v>
      </c>
      <c r="T380" s="77">
        <f t="shared" si="54"/>
        <v>2.85137464067447E-2</v>
      </c>
      <c r="U380" s="77">
        <f t="shared" si="55"/>
        <v>-3.1016934980900968E-2</v>
      </c>
      <c r="V380" s="77">
        <f t="shared" si="56"/>
        <v>1.1732395038261734E-2</v>
      </c>
      <c r="W380" s="77">
        <f t="shared" si="57"/>
        <v>3.5418240373749632E-2</v>
      </c>
      <c r="X380" s="77">
        <f t="shared" si="58"/>
        <v>4.7008282128677192E-2</v>
      </c>
      <c r="Y380" s="78">
        <f t="shared" si="59"/>
        <v>-4.1011526948261101E-2</v>
      </c>
    </row>
    <row r="381" spans="1:25" x14ac:dyDescent="0.25">
      <c r="A381" s="75">
        <v>44543</v>
      </c>
      <c r="B381" s="76">
        <v>35.5</v>
      </c>
      <c r="C381" s="82">
        <v>0.35347955370052098</v>
      </c>
      <c r="D381" s="76">
        <v>39</v>
      </c>
      <c r="E381" s="86">
        <v>0.38832965054423441</v>
      </c>
      <c r="F381" s="76">
        <v>33.049999999999997</v>
      </c>
      <c r="G381" s="82">
        <v>0.32979072405921511</v>
      </c>
      <c r="H381" s="79">
        <v>37.049999999999997</v>
      </c>
      <c r="I381" s="82">
        <v>0.37030089985863762</v>
      </c>
      <c r="J381" s="79">
        <v>32.39</v>
      </c>
      <c r="K381" s="82">
        <v>0.32234018260949582</v>
      </c>
      <c r="L381" s="76">
        <v>37.049999999999997</v>
      </c>
      <c r="M381" s="82">
        <v>0.37030089985863762</v>
      </c>
      <c r="N381" s="79">
        <v>36</v>
      </c>
      <c r="O381" s="82">
        <v>0.35980654237276533</v>
      </c>
      <c r="P381" s="77">
        <f t="shared" si="50"/>
        <v>2.3688829641305864E-2</v>
      </c>
      <c r="Q381" s="77">
        <f t="shared" si="51"/>
        <v>3.485009684371343E-2</v>
      </c>
      <c r="R381" s="77">
        <f t="shared" si="52"/>
        <v>-1.6821346158116646E-2</v>
      </c>
      <c r="S381" s="77">
        <f t="shared" si="53"/>
        <v>-6.3269886722443491E-3</v>
      </c>
      <c r="T381" s="77">
        <f t="shared" si="54"/>
        <v>2.852310817146908E-2</v>
      </c>
      <c r="U381" s="77">
        <f t="shared" si="55"/>
        <v>-3.0015818313550213E-2</v>
      </c>
      <c r="V381" s="77">
        <f t="shared" si="56"/>
        <v>7.4505414497192946E-3</v>
      </c>
      <c r="W381" s="77">
        <f t="shared" si="57"/>
        <v>3.1139371091025159E-2</v>
      </c>
      <c r="X381" s="77">
        <f t="shared" si="58"/>
        <v>4.051017579942251E-2</v>
      </c>
      <c r="Y381" s="78">
        <f t="shared" si="59"/>
        <v>-4.051017579942251E-2</v>
      </c>
    </row>
    <row r="382" spans="1:25" x14ac:dyDescent="0.25">
      <c r="A382" s="75">
        <v>44540</v>
      </c>
      <c r="B382" s="76">
        <v>36.5</v>
      </c>
      <c r="C382" s="82">
        <v>0.36346647023517209</v>
      </c>
      <c r="D382" s="76">
        <v>39</v>
      </c>
      <c r="E382" s="86">
        <v>0.38836143394991002</v>
      </c>
      <c r="F382" s="76">
        <v>33.46</v>
      </c>
      <c r="G382" s="82">
        <v>0.33389561746452689</v>
      </c>
      <c r="H382" s="79">
        <v>36.9</v>
      </c>
      <c r="I382" s="82">
        <v>0.36880549299342119</v>
      </c>
      <c r="J382" s="79">
        <v>32.799999999999997</v>
      </c>
      <c r="K382" s="82">
        <v>0.32645047820959422</v>
      </c>
      <c r="L382" s="76">
        <v>37.799999999999997</v>
      </c>
      <c r="M382" s="82">
        <v>0.37780074892009008</v>
      </c>
      <c r="N382" s="79">
        <v>36.200000000000003</v>
      </c>
      <c r="O382" s="82">
        <v>0.36180918282823438</v>
      </c>
      <c r="P382" s="77">
        <f t="shared" si="50"/>
        <v>2.9570852770645195E-2</v>
      </c>
      <c r="Q382" s="77">
        <f t="shared" si="51"/>
        <v>2.4894963714737928E-2</v>
      </c>
      <c r="R382" s="77">
        <f t="shared" si="52"/>
        <v>-1.4334278684917989E-2</v>
      </c>
      <c r="S382" s="77">
        <f t="shared" si="53"/>
        <v>1.657287406937713E-3</v>
      </c>
      <c r="T382" s="77">
        <f t="shared" si="54"/>
        <v>2.6552251121675641E-2</v>
      </c>
      <c r="U382" s="77">
        <f t="shared" si="55"/>
        <v>-2.7913565363707482E-2</v>
      </c>
      <c r="V382" s="77">
        <f t="shared" si="56"/>
        <v>7.4451392549326756E-3</v>
      </c>
      <c r="W382" s="77">
        <f t="shared" si="57"/>
        <v>3.7015992025577871E-2</v>
      </c>
      <c r="X382" s="77">
        <f t="shared" si="58"/>
        <v>3.4909875528894296E-2</v>
      </c>
      <c r="Y382" s="78">
        <f t="shared" si="59"/>
        <v>-4.3905131455563184E-2</v>
      </c>
    </row>
    <row r="383" spans="1:25" x14ac:dyDescent="0.25">
      <c r="A383" s="75">
        <v>44539</v>
      </c>
      <c r="B383" s="76">
        <v>37.200000000000003</v>
      </c>
      <c r="C383" s="82">
        <v>0.37044716667121391</v>
      </c>
      <c r="D383" s="76">
        <v>39</v>
      </c>
      <c r="E383" s="86">
        <v>0.38837202957465972</v>
      </c>
      <c r="F383" s="76">
        <v>34.1</v>
      </c>
      <c r="G383" s="82">
        <v>0.3402867961669378</v>
      </c>
      <c r="H383" s="79">
        <v>38.01</v>
      </c>
      <c r="I383" s="82">
        <v>0.37990094231447219</v>
      </c>
      <c r="J383" s="79">
        <v>33</v>
      </c>
      <c r="K383" s="82">
        <v>0.3284511055740566</v>
      </c>
      <c r="L383" s="76">
        <v>38.5</v>
      </c>
      <c r="M383" s="82">
        <v>0.38479837619329599</v>
      </c>
      <c r="N383" s="79">
        <v>36.9</v>
      </c>
      <c r="O383" s="82">
        <v>0.36880675536448371</v>
      </c>
      <c r="P383" s="77">
        <f t="shared" si="50"/>
        <v>3.0160370504276113E-2</v>
      </c>
      <c r="Q383" s="77">
        <f t="shared" si="51"/>
        <v>1.7924862903445804E-2</v>
      </c>
      <c r="R383" s="77">
        <f t="shared" si="52"/>
        <v>-1.4351209522082076E-2</v>
      </c>
      <c r="S383" s="77">
        <f t="shared" si="53"/>
        <v>1.6404113067302051E-3</v>
      </c>
      <c r="T383" s="77">
        <f t="shared" si="54"/>
        <v>1.9565274210176009E-2</v>
      </c>
      <c r="U383" s="77">
        <f t="shared" si="55"/>
        <v>-2.8519959197545908E-2</v>
      </c>
      <c r="V383" s="77">
        <f t="shared" si="56"/>
        <v>1.1835690592881198E-2</v>
      </c>
      <c r="W383" s="77">
        <f t="shared" si="57"/>
        <v>4.1996061097157311E-2</v>
      </c>
      <c r="X383" s="77">
        <f t="shared" si="58"/>
        <v>3.961414614753439E-2</v>
      </c>
      <c r="Y383" s="78">
        <f t="shared" si="59"/>
        <v>-4.4511580026358188E-2</v>
      </c>
    </row>
    <row r="384" spans="1:25" x14ac:dyDescent="0.25">
      <c r="A384" s="75">
        <v>44537</v>
      </c>
      <c r="B384" s="76">
        <v>37.049999999999997</v>
      </c>
      <c r="C384" s="82">
        <v>0.36897356143079307</v>
      </c>
      <c r="D384" s="76">
        <v>39.4</v>
      </c>
      <c r="E384" s="86">
        <v>0.39237674279010121</v>
      </c>
      <c r="F384" s="76">
        <v>34.299999999999997</v>
      </c>
      <c r="G384" s="82">
        <v>0.34229197140162132</v>
      </c>
      <c r="H384" s="79">
        <v>38.21</v>
      </c>
      <c r="I384" s="82">
        <v>0.38190250931881109</v>
      </c>
      <c r="J384" s="79">
        <v>33.35</v>
      </c>
      <c r="K384" s="82">
        <v>0.33195504484266719</v>
      </c>
      <c r="L384" s="76">
        <v>38</v>
      </c>
      <c r="M384" s="82">
        <v>0.37980359471643088</v>
      </c>
      <c r="N384" s="79">
        <v>36.9</v>
      </c>
      <c r="O384" s="82">
        <v>0.36880928013253422</v>
      </c>
      <c r="P384" s="77">
        <f t="shared" si="50"/>
        <v>2.6681590029171753E-2</v>
      </c>
      <c r="Q384" s="77">
        <f t="shared" si="51"/>
        <v>2.3403181359308134E-2</v>
      </c>
      <c r="R384" s="77">
        <f t="shared" si="52"/>
        <v>-1.0830033285637808E-2</v>
      </c>
      <c r="S384" s="77">
        <f t="shared" si="53"/>
        <v>1.6428129825885041E-4</v>
      </c>
      <c r="T384" s="77">
        <f t="shared" si="54"/>
        <v>2.3567462657566984E-2</v>
      </c>
      <c r="U384" s="77">
        <f t="shared" si="55"/>
        <v>-2.6517308730912903E-2</v>
      </c>
      <c r="V384" s="77">
        <f t="shared" si="56"/>
        <v>1.0336926558954129E-2</v>
      </c>
      <c r="W384" s="77">
        <f t="shared" si="57"/>
        <v>3.7018516588125883E-2</v>
      </c>
      <c r="X384" s="77">
        <f t="shared" si="58"/>
        <v>3.961053791718977E-2</v>
      </c>
      <c r="Y384" s="78">
        <f t="shared" si="59"/>
        <v>-3.7511623314809561E-2</v>
      </c>
    </row>
    <row r="385" spans="1:25" x14ac:dyDescent="0.25">
      <c r="A385" s="75">
        <v>44536</v>
      </c>
      <c r="B385" s="76">
        <v>35.4</v>
      </c>
      <c r="C385" s="82">
        <v>0.35255115961800809</v>
      </c>
      <c r="D385" s="76">
        <v>38.4</v>
      </c>
      <c r="E385" s="86">
        <v>0.38242837653478851</v>
      </c>
      <c r="F385" s="76">
        <v>33.11</v>
      </c>
      <c r="G385" s="82">
        <v>0.33042105263157889</v>
      </c>
      <c r="H385" s="79">
        <v>37.29</v>
      </c>
      <c r="I385" s="82">
        <v>0.37270854013349308</v>
      </c>
      <c r="J385" s="79">
        <v>32</v>
      </c>
      <c r="K385" s="82">
        <v>0.31852735640020452</v>
      </c>
      <c r="L385" s="76">
        <v>36.33</v>
      </c>
      <c r="M385" s="82">
        <v>0.36311346910833481</v>
      </c>
      <c r="N385" s="79">
        <v>35.4</v>
      </c>
      <c r="O385" s="82">
        <v>0.35381824405271262</v>
      </c>
      <c r="P385" s="77">
        <f t="shared" si="50"/>
        <v>2.2130106986429199E-2</v>
      </c>
      <c r="Q385" s="77">
        <f t="shared" si="51"/>
        <v>2.9877216916780414E-2</v>
      </c>
      <c r="R385" s="77">
        <f t="shared" si="52"/>
        <v>-1.0562309490326716E-2</v>
      </c>
      <c r="S385" s="77">
        <f t="shared" si="53"/>
        <v>-1.267084434704524E-3</v>
      </c>
      <c r="T385" s="77">
        <f t="shared" si="54"/>
        <v>2.861013248207589E-2</v>
      </c>
      <c r="U385" s="77">
        <f t="shared" si="55"/>
        <v>-2.3397191421133723E-2</v>
      </c>
      <c r="V385" s="77">
        <f t="shared" si="56"/>
        <v>1.1893696231374373E-2</v>
      </c>
      <c r="W385" s="77">
        <f t="shared" si="57"/>
        <v>3.4023803217803572E-2</v>
      </c>
      <c r="X385" s="77">
        <f t="shared" si="58"/>
        <v>4.2287487501914189E-2</v>
      </c>
      <c r="Y385" s="78">
        <f t="shared" si="59"/>
        <v>-3.2692416476755914E-2</v>
      </c>
    </row>
    <row r="386" spans="1:25" x14ac:dyDescent="0.25">
      <c r="A386" s="75">
        <v>44533</v>
      </c>
      <c r="B386" s="76">
        <v>35.15</v>
      </c>
      <c r="C386" s="82">
        <v>0.35009004829863288</v>
      </c>
      <c r="D386" s="76">
        <v>37.700000000000003</v>
      </c>
      <c r="E386" s="86">
        <v>0.3754877616175949</v>
      </c>
      <c r="F386" s="76">
        <v>32.35</v>
      </c>
      <c r="G386" s="82">
        <v>0.32284987764364909</v>
      </c>
      <c r="H386" s="79">
        <v>37.15</v>
      </c>
      <c r="I386" s="82">
        <v>0.37131307184396889</v>
      </c>
      <c r="J386" s="79">
        <v>31.23</v>
      </c>
      <c r="K386" s="82">
        <v>0.31089140640181651</v>
      </c>
      <c r="L386" s="76">
        <v>37</v>
      </c>
      <c r="M386" s="82">
        <v>0.36981382660099199</v>
      </c>
      <c r="N386" s="79">
        <v>34.75</v>
      </c>
      <c r="O386" s="82">
        <v>0.34732514795633712</v>
      </c>
      <c r="P386" s="77">
        <f t="shared" ref="P386:P449" si="60">C386-G386</f>
        <v>2.7240170654983797E-2</v>
      </c>
      <c r="Q386" s="77">
        <f t="shared" ref="Q386:Q449" si="61">E386-C386</f>
        <v>2.5397713318962012E-2</v>
      </c>
      <c r="R386" s="77">
        <f t="shared" ref="R386:R449" si="62">C386-M386</f>
        <v>-1.9723778302359107E-2</v>
      </c>
      <c r="S386" s="77">
        <f t="shared" ref="S386:S449" si="63">C386-O386</f>
        <v>2.7649003422957619E-3</v>
      </c>
      <c r="T386" s="77">
        <f t="shared" ref="T386:T449" si="64">E386-O386</f>
        <v>2.8162613661257774E-2</v>
      </c>
      <c r="U386" s="77">
        <f t="shared" ref="U386:U449" si="65">G386-O386</f>
        <v>-2.4475270312688036E-2</v>
      </c>
      <c r="V386" s="77">
        <f t="shared" ref="V386:V449" si="66">G386-K386</f>
        <v>1.195847124183258E-2</v>
      </c>
      <c r="W386" s="77">
        <f t="shared" ref="W386:W449" si="67">C386-K386</f>
        <v>3.9198641896816377E-2</v>
      </c>
      <c r="X386" s="77">
        <f t="shared" ref="X386:X449" si="68">I386-G386</f>
        <v>4.8463194200319804E-2</v>
      </c>
      <c r="Y386" s="78">
        <f t="shared" ref="Y386:Y449" si="69">G386-M386</f>
        <v>-4.6963948957342905E-2</v>
      </c>
    </row>
    <row r="387" spans="1:25" x14ac:dyDescent="0.25">
      <c r="A387" s="75">
        <v>44532</v>
      </c>
      <c r="B387" s="76">
        <v>34.200000000000003</v>
      </c>
      <c r="C387" s="82">
        <v>0.34063745019920322</v>
      </c>
      <c r="D387" s="76">
        <v>37.700000000000003</v>
      </c>
      <c r="E387" s="86">
        <v>0.37549800796812749</v>
      </c>
      <c r="F387" s="76">
        <v>31.19</v>
      </c>
      <c r="G387" s="82">
        <v>0.31127744510978039</v>
      </c>
      <c r="H387" s="79">
        <v>35.6</v>
      </c>
      <c r="I387" s="82">
        <v>0.35582208895552231</v>
      </c>
      <c r="J387" s="79">
        <v>30.8</v>
      </c>
      <c r="K387" s="82">
        <v>0.30662020905923348</v>
      </c>
      <c r="L387" s="76">
        <v>35.799999999999997</v>
      </c>
      <c r="M387" s="82">
        <v>0.35782108945527241</v>
      </c>
      <c r="N387" s="79">
        <v>34.4</v>
      </c>
      <c r="O387" s="82">
        <v>0.34382808595702152</v>
      </c>
      <c r="P387" s="77">
        <f t="shared" si="60"/>
        <v>2.9360005089422825E-2</v>
      </c>
      <c r="Q387" s="77">
        <f t="shared" si="61"/>
        <v>3.4860557768924272E-2</v>
      </c>
      <c r="R387" s="77">
        <f t="shared" si="62"/>
        <v>-1.7183639256069194E-2</v>
      </c>
      <c r="S387" s="77">
        <f t="shared" si="63"/>
        <v>-3.1906357578183053E-3</v>
      </c>
      <c r="T387" s="77">
        <f t="shared" si="64"/>
        <v>3.1669922011105966E-2</v>
      </c>
      <c r="U387" s="77">
        <f t="shared" si="65"/>
        <v>-3.255064084724113E-2</v>
      </c>
      <c r="V387" s="77">
        <f t="shared" si="66"/>
        <v>4.657236050546909E-3</v>
      </c>
      <c r="W387" s="77">
        <f t="shared" si="67"/>
        <v>3.4017241139969734E-2</v>
      </c>
      <c r="X387" s="77">
        <f t="shared" si="68"/>
        <v>4.4544643845741916E-2</v>
      </c>
      <c r="Y387" s="78">
        <f t="shared" si="69"/>
        <v>-4.6543644345492019E-2</v>
      </c>
    </row>
    <row r="388" spans="1:25" x14ac:dyDescent="0.25">
      <c r="A388" s="75">
        <v>44531</v>
      </c>
      <c r="B388" s="76">
        <v>34</v>
      </c>
      <c r="C388" s="82">
        <v>0.33865465957156499</v>
      </c>
      <c r="D388" s="76">
        <v>37.15</v>
      </c>
      <c r="E388" s="86">
        <v>0.37003001773775412</v>
      </c>
      <c r="F388" s="76">
        <v>31.6</v>
      </c>
      <c r="G388" s="82">
        <v>0.31537357303985242</v>
      </c>
      <c r="H388" s="79">
        <v>35.04</v>
      </c>
      <c r="I388" s="82">
        <v>0.35022608636122471</v>
      </c>
      <c r="J388" s="79">
        <v>30.61</v>
      </c>
      <c r="K388" s="82">
        <v>0.30473807129097702</v>
      </c>
      <c r="L388" s="76">
        <v>35</v>
      </c>
      <c r="M388" s="82">
        <v>0.34982628489277579</v>
      </c>
      <c r="N388" s="79">
        <v>34.020000000000003</v>
      </c>
      <c r="O388" s="82">
        <v>0.34003114891577818</v>
      </c>
      <c r="P388" s="77">
        <f t="shared" si="60"/>
        <v>2.3281086531712569E-2</v>
      </c>
      <c r="Q388" s="77">
        <f t="shared" si="61"/>
        <v>3.1375358166189138E-2</v>
      </c>
      <c r="R388" s="77">
        <f t="shared" si="62"/>
        <v>-1.1171625321210799E-2</v>
      </c>
      <c r="S388" s="77">
        <f t="shared" si="63"/>
        <v>-1.3764893442131942E-3</v>
      </c>
      <c r="T388" s="77">
        <f t="shared" si="64"/>
        <v>2.9998868821975944E-2</v>
      </c>
      <c r="U388" s="77">
        <f t="shared" si="65"/>
        <v>-2.4657575875925763E-2</v>
      </c>
      <c r="V388" s="77">
        <f t="shared" si="66"/>
        <v>1.0635501748875398E-2</v>
      </c>
      <c r="W388" s="77">
        <f t="shared" si="67"/>
        <v>3.3916588280587967E-2</v>
      </c>
      <c r="X388" s="77">
        <f t="shared" si="68"/>
        <v>3.4852513321372292E-2</v>
      </c>
      <c r="Y388" s="78">
        <f t="shared" si="69"/>
        <v>-3.4452711852923368E-2</v>
      </c>
    </row>
    <row r="389" spans="1:25" x14ac:dyDescent="0.25">
      <c r="A389" s="75">
        <v>44530</v>
      </c>
      <c r="B389" s="76">
        <v>32</v>
      </c>
      <c r="C389" s="82">
        <v>0.31874249536076849</v>
      </c>
      <c r="D389" s="76">
        <v>36.6</v>
      </c>
      <c r="E389" s="86">
        <v>0.36456172906887901</v>
      </c>
      <c r="F389" s="76">
        <v>29.34</v>
      </c>
      <c r="G389" s="82">
        <v>0.29282237777534731</v>
      </c>
      <c r="H389" s="79">
        <v>33.36</v>
      </c>
      <c r="I389" s="82">
        <v>0.33343556602223562</v>
      </c>
      <c r="J389" s="79">
        <v>29.4</v>
      </c>
      <c r="K389" s="82">
        <v>0.29270088920408049</v>
      </c>
      <c r="L389" s="76">
        <v>33.5</v>
      </c>
      <c r="M389" s="82">
        <v>0.33483487595158551</v>
      </c>
      <c r="N389" s="79">
        <v>32</v>
      </c>
      <c r="O389" s="82">
        <v>0.31984226956569362</v>
      </c>
      <c r="P389" s="77">
        <f t="shared" si="60"/>
        <v>2.5920117585421176E-2</v>
      </c>
      <c r="Q389" s="77">
        <f t="shared" si="61"/>
        <v>4.5819233708110529E-2</v>
      </c>
      <c r="R389" s="77">
        <f t="shared" si="62"/>
        <v>-1.6092380590817024E-2</v>
      </c>
      <c r="S389" s="77">
        <f t="shared" si="63"/>
        <v>-1.0997742049251302E-3</v>
      </c>
      <c r="T389" s="77">
        <f t="shared" si="64"/>
        <v>4.4719459503185399E-2</v>
      </c>
      <c r="U389" s="77">
        <f t="shared" si="65"/>
        <v>-2.7019891790346307E-2</v>
      </c>
      <c r="V389" s="77">
        <f t="shared" si="66"/>
        <v>1.2148857126681456E-4</v>
      </c>
      <c r="W389" s="77">
        <f t="shared" si="67"/>
        <v>2.6041606156687991E-2</v>
      </c>
      <c r="X389" s="77">
        <f t="shared" si="68"/>
        <v>4.061318824688831E-2</v>
      </c>
      <c r="Y389" s="78">
        <f t="shared" si="69"/>
        <v>-4.20124981762382E-2</v>
      </c>
    </row>
    <row r="390" spans="1:25" x14ac:dyDescent="0.25">
      <c r="A390" s="75">
        <v>44529</v>
      </c>
      <c r="B390" s="76">
        <v>32</v>
      </c>
      <c r="C390" s="82">
        <v>0.31875119395246021</v>
      </c>
      <c r="D390" s="76">
        <v>36.549999999999997</v>
      </c>
      <c r="E390" s="86">
        <v>0.36407362934257559</v>
      </c>
      <c r="F390" s="76">
        <v>30.11</v>
      </c>
      <c r="G390" s="82">
        <v>0.30051132712631418</v>
      </c>
      <c r="H390" s="79">
        <v>33.96</v>
      </c>
      <c r="I390" s="82">
        <v>0.33943377044803402</v>
      </c>
      <c r="J390" s="79">
        <v>29.6</v>
      </c>
      <c r="K390" s="82">
        <v>0.29470109483202461</v>
      </c>
      <c r="L390" s="76">
        <v>33.450000000000003</v>
      </c>
      <c r="M390" s="82">
        <v>0.33433626682823142</v>
      </c>
      <c r="N390" s="79">
        <v>32.5</v>
      </c>
      <c r="O390" s="82">
        <v>0.32484091694820688</v>
      </c>
      <c r="P390" s="77">
        <f t="shared" si="60"/>
        <v>1.8239866826146034E-2</v>
      </c>
      <c r="Q390" s="77">
        <f t="shared" si="61"/>
        <v>4.5322435390115379E-2</v>
      </c>
      <c r="R390" s="77">
        <f t="shared" si="62"/>
        <v>-1.5585072875771211E-2</v>
      </c>
      <c r="S390" s="77">
        <f t="shared" si="63"/>
        <v>-6.0897229957466714E-3</v>
      </c>
      <c r="T390" s="77">
        <f t="shared" si="64"/>
        <v>3.9232712394368707E-2</v>
      </c>
      <c r="U390" s="77">
        <f t="shared" si="65"/>
        <v>-2.4329589821892705E-2</v>
      </c>
      <c r="V390" s="77">
        <f t="shared" si="66"/>
        <v>5.8102322942895634E-3</v>
      </c>
      <c r="W390" s="77">
        <f t="shared" si="67"/>
        <v>2.4050099120435597E-2</v>
      </c>
      <c r="X390" s="77">
        <f t="shared" si="68"/>
        <v>3.8922443321719846E-2</v>
      </c>
      <c r="Y390" s="78">
        <f t="shared" si="69"/>
        <v>-3.3824939701917245E-2</v>
      </c>
    </row>
    <row r="391" spans="1:25" x14ac:dyDescent="0.25">
      <c r="A391" s="75">
        <v>44526</v>
      </c>
      <c r="B391" s="76">
        <v>31.84</v>
      </c>
      <c r="C391" s="82">
        <v>0.31718340611353713</v>
      </c>
      <c r="D391" s="76">
        <v>37</v>
      </c>
      <c r="E391" s="86">
        <v>0.3685862445414847</v>
      </c>
      <c r="F391" s="76">
        <v>29.25</v>
      </c>
      <c r="G391" s="82">
        <v>0.29194011484823618</v>
      </c>
      <c r="H391" s="79">
        <v>34.1</v>
      </c>
      <c r="I391" s="82">
        <v>0.34083658519887727</v>
      </c>
      <c r="J391" s="79">
        <v>29.25</v>
      </c>
      <c r="K391" s="82">
        <v>0.29124326536179501</v>
      </c>
      <c r="L391" s="76">
        <v>33.15</v>
      </c>
      <c r="M391" s="82">
        <v>0.33134113781063868</v>
      </c>
      <c r="N391" s="79">
        <v>32.1</v>
      </c>
      <c r="O391" s="82">
        <v>0.32084616964469093</v>
      </c>
      <c r="P391" s="77">
        <f t="shared" si="60"/>
        <v>2.5243291265300949E-2</v>
      </c>
      <c r="Q391" s="77">
        <f t="shared" si="61"/>
        <v>5.1402838427947573E-2</v>
      </c>
      <c r="R391" s="77">
        <f t="shared" si="62"/>
        <v>-1.415773169710155E-2</v>
      </c>
      <c r="S391" s="77">
        <f t="shared" si="63"/>
        <v>-3.6627635311538009E-3</v>
      </c>
      <c r="T391" s="77">
        <f t="shared" si="64"/>
        <v>4.7740074896793772E-2</v>
      </c>
      <c r="U391" s="77">
        <f t="shared" si="65"/>
        <v>-2.890605479645475E-2</v>
      </c>
      <c r="V391" s="77">
        <f t="shared" si="66"/>
        <v>6.9684948644116451E-4</v>
      </c>
      <c r="W391" s="77">
        <f t="shared" si="67"/>
        <v>2.5940140751742113E-2</v>
      </c>
      <c r="X391" s="77">
        <f t="shared" si="68"/>
        <v>4.8896470350641097E-2</v>
      </c>
      <c r="Y391" s="78">
        <f t="shared" si="69"/>
        <v>-3.9401022962402499E-2</v>
      </c>
    </row>
    <row r="392" spans="1:25" x14ac:dyDescent="0.25">
      <c r="A392" s="75">
        <v>44525</v>
      </c>
      <c r="B392" s="76">
        <v>32.29</v>
      </c>
      <c r="C392" s="82">
        <v>0.32167499112967057</v>
      </c>
      <c r="D392" s="76">
        <v>37.5</v>
      </c>
      <c r="E392" s="86">
        <v>0.37357733562597228</v>
      </c>
      <c r="F392" s="76">
        <v>29.9</v>
      </c>
      <c r="G392" s="82">
        <v>0.29843175323698712</v>
      </c>
      <c r="H392" s="79">
        <v>34.74</v>
      </c>
      <c r="I392" s="82">
        <v>0.34723470676629958</v>
      </c>
      <c r="J392" s="79">
        <v>30</v>
      </c>
      <c r="K392" s="82">
        <v>0.29872020896774443</v>
      </c>
      <c r="L392" s="76">
        <v>33.5</v>
      </c>
      <c r="M392" s="82">
        <v>0.33484060669749671</v>
      </c>
      <c r="N392" s="79">
        <v>32.5</v>
      </c>
      <c r="O392" s="82">
        <v>0.3248453647065267</v>
      </c>
      <c r="P392" s="77">
        <f t="shared" si="60"/>
        <v>2.3243237892683455E-2</v>
      </c>
      <c r="Q392" s="77">
        <f t="shared" si="61"/>
        <v>5.1902344496301711E-2</v>
      </c>
      <c r="R392" s="77">
        <f t="shared" si="62"/>
        <v>-1.3165615567826139E-2</v>
      </c>
      <c r="S392" s="77">
        <f t="shared" si="63"/>
        <v>-3.1703735768561225E-3</v>
      </c>
      <c r="T392" s="77">
        <f t="shared" si="64"/>
        <v>4.8731970919445589E-2</v>
      </c>
      <c r="U392" s="77">
        <f t="shared" si="65"/>
        <v>-2.6413611469539577E-2</v>
      </c>
      <c r="V392" s="77">
        <f t="shared" si="66"/>
        <v>-2.8845573075730879E-4</v>
      </c>
      <c r="W392" s="77">
        <f t="shared" si="67"/>
        <v>2.2954782161926146E-2</v>
      </c>
      <c r="X392" s="77">
        <f t="shared" si="68"/>
        <v>4.8802953529312465E-2</v>
      </c>
      <c r="Y392" s="78">
        <f t="shared" si="69"/>
        <v>-3.6408853460509594E-2</v>
      </c>
    </row>
    <row r="393" spans="1:25" x14ac:dyDescent="0.25">
      <c r="A393" s="75">
        <v>44524</v>
      </c>
      <c r="B393" s="76">
        <v>32.75</v>
      </c>
      <c r="C393" s="82">
        <v>0.32626644467492771</v>
      </c>
      <c r="D393" s="76">
        <v>39</v>
      </c>
      <c r="E393" s="86">
        <v>0.38853103335334899</v>
      </c>
      <c r="F393" s="76">
        <v>30.15</v>
      </c>
      <c r="G393" s="82">
        <v>0.30093111651945642</v>
      </c>
      <c r="H393" s="79">
        <v>34.58</v>
      </c>
      <c r="I393" s="82">
        <v>0.3456366511717065</v>
      </c>
      <c r="J393" s="79">
        <v>30</v>
      </c>
      <c r="K393" s="82">
        <v>0.2987293771015066</v>
      </c>
      <c r="L393" s="76">
        <v>33.5</v>
      </c>
      <c r="M393" s="82">
        <v>0.33484175287021889</v>
      </c>
      <c r="N393" s="79">
        <v>32.6</v>
      </c>
      <c r="O393" s="82">
        <v>0.32584600428564592</v>
      </c>
      <c r="P393" s="77">
        <f t="shared" si="60"/>
        <v>2.5335328155471293E-2</v>
      </c>
      <c r="Q393" s="77">
        <f t="shared" si="61"/>
        <v>6.2264588678421273E-2</v>
      </c>
      <c r="R393" s="77">
        <f t="shared" si="62"/>
        <v>-8.5753081952911758E-3</v>
      </c>
      <c r="S393" s="77">
        <f t="shared" si="63"/>
        <v>4.2044038928179539E-4</v>
      </c>
      <c r="T393" s="77">
        <f t="shared" si="64"/>
        <v>6.2685029067703069E-2</v>
      </c>
      <c r="U393" s="77">
        <f t="shared" si="65"/>
        <v>-2.4914887766189497E-2</v>
      </c>
      <c r="V393" s="77">
        <f t="shared" si="66"/>
        <v>2.2017394179498218E-3</v>
      </c>
      <c r="W393" s="77">
        <f t="shared" si="67"/>
        <v>2.7537067573421115E-2</v>
      </c>
      <c r="X393" s="77">
        <f t="shared" si="68"/>
        <v>4.4705534652250078E-2</v>
      </c>
      <c r="Y393" s="78">
        <f t="shared" si="69"/>
        <v>-3.3910636350762469E-2</v>
      </c>
    </row>
    <row r="394" spans="1:25" x14ac:dyDescent="0.25">
      <c r="A394" s="75">
        <v>44523</v>
      </c>
      <c r="B394" s="76">
        <v>32.9</v>
      </c>
      <c r="C394" s="82">
        <v>0.32776974097224121</v>
      </c>
      <c r="D394" s="76">
        <v>39</v>
      </c>
      <c r="E394" s="86">
        <v>0.38854163823457161</v>
      </c>
      <c r="F394" s="76">
        <v>30.22</v>
      </c>
      <c r="G394" s="82">
        <v>0.30163391990374228</v>
      </c>
      <c r="H394" s="79">
        <v>34.590000000000003</v>
      </c>
      <c r="I394" s="82">
        <v>0.34573778740796268</v>
      </c>
      <c r="J394" s="79">
        <v>30</v>
      </c>
      <c r="K394" s="82">
        <v>0.29873854579805142</v>
      </c>
      <c r="L394" s="76">
        <v>33.6</v>
      </c>
      <c r="M394" s="82">
        <v>0.33584243009273052</v>
      </c>
      <c r="N394" s="79">
        <v>32.549999999999997</v>
      </c>
      <c r="O394" s="82">
        <v>0.32534735415233262</v>
      </c>
      <c r="P394" s="77">
        <f t="shared" si="60"/>
        <v>2.6135821068498932E-2</v>
      </c>
      <c r="Q394" s="77">
        <f t="shared" si="61"/>
        <v>6.0771897262330399E-2</v>
      </c>
      <c r="R394" s="77">
        <f t="shared" si="62"/>
        <v>-8.072689120489307E-3</v>
      </c>
      <c r="S394" s="77">
        <f t="shared" si="63"/>
        <v>2.4223868199085841E-3</v>
      </c>
      <c r="T394" s="77">
        <f t="shared" si="64"/>
        <v>6.3194284082238983E-2</v>
      </c>
      <c r="U394" s="77">
        <f t="shared" si="65"/>
        <v>-2.3713434248590348E-2</v>
      </c>
      <c r="V394" s="77">
        <f t="shared" si="66"/>
        <v>2.8953741056908511E-3</v>
      </c>
      <c r="W394" s="77">
        <f t="shared" si="67"/>
        <v>2.9031195174189783E-2</v>
      </c>
      <c r="X394" s="77">
        <f t="shared" si="68"/>
        <v>4.4103867504220406E-2</v>
      </c>
      <c r="Y394" s="78">
        <f t="shared" si="69"/>
        <v>-3.4208510188988239E-2</v>
      </c>
    </row>
    <row r="395" spans="1:25" x14ac:dyDescent="0.25">
      <c r="A395" s="75">
        <v>44519</v>
      </c>
      <c r="B395" s="76">
        <v>34.299999999999997</v>
      </c>
      <c r="C395" s="82">
        <v>0.34175470204460462</v>
      </c>
      <c r="D395" s="76">
        <v>38.799999999999997</v>
      </c>
      <c r="E395" s="86">
        <v>0.38659132476182673</v>
      </c>
      <c r="F395" s="76">
        <v>31.4</v>
      </c>
      <c r="G395" s="82">
        <v>0.31342895819944477</v>
      </c>
      <c r="H395" s="79">
        <v>35.46</v>
      </c>
      <c r="I395" s="82">
        <v>0.3544385605186679</v>
      </c>
      <c r="J395" s="79">
        <v>31.49</v>
      </c>
      <c r="K395" s="82">
        <v>0.31361439578167583</v>
      </c>
      <c r="L395" s="76">
        <v>35.25</v>
      </c>
      <c r="M395" s="82">
        <v>0.35233951659004631</v>
      </c>
      <c r="N395" s="79">
        <v>32.81</v>
      </c>
      <c r="O395" s="82">
        <v>0.32795062522891971</v>
      </c>
      <c r="P395" s="77">
        <f t="shared" si="60"/>
        <v>2.8325743845159845E-2</v>
      </c>
      <c r="Q395" s="77">
        <f t="shared" si="61"/>
        <v>4.4836622717222108E-2</v>
      </c>
      <c r="R395" s="77">
        <f t="shared" si="62"/>
        <v>-1.058481454544169E-2</v>
      </c>
      <c r="S395" s="77">
        <f t="shared" si="63"/>
        <v>1.3804076815684907E-2</v>
      </c>
      <c r="T395" s="77">
        <f t="shared" si="64"/>
        <v>5.8640699532907015E-2</v>
      </c>
      <c r="U395" s="77">
        <f t="shared" si="65"/>
        <v>-1.4521667029474938E-2</v>
      </c>
      <c r="V395" s="77">
        <f t="shared" si="66"/>
        <v>-1.8543758223105167E-4</v>
      </c>
      <c r="W395" s="77">
        <f t="shared" si="67"/>
        <v>2.8140306262928794E-2</v>
      </c>
      <c r="X395" s="77">
        <f t="shared" si="68"/>
        <v>4.1009602319223126E-2</v>
      </c>
      <c r="Y395" s="78">
        <f t="shared" si="69"/>
        <v>-3.8910558390601535E-2</v>
      </c>
    </row>
    <row r="396" spans="1:25" x14ac:dyDescent="0.25">
      <c r="A396" s="75">
        <v>44518</v>
      </c>
      <c r="B396" s="76">
        <v>34.5</v>
      </c>
      <c r="C396" s="82">
        <v>0.3437568246341996</v>
      </c>
      <c r="D396" s="76">
        <v>38.9</v>
      </c>
      <c r="E396" s="86">
        <v>0.38759827473247432</v>
      </c>
      <c r="F396" s="76">
        <v>31.21</v>
      </c>
      <c r="G396" s="82">
        <v>0.31153667341245972</v>
      </c>
      <c r="H396" s="79">
        <v>35.6</v>
      </c>
      <c r="I396" s="82">
        <v>0.35583914121013788</v>
      </c>
      <c r="J396" s="79">
        <v>31.15</v>
      </c>
      <c r="K396" s="82">
        <v>0.31023779963709291</v>
      </c>
      <c r="L396" s="76">
        <v>35.25</v>
      </c>
      <c r="M396" s="82">
        <v>0.3523407226870045</v>
      </c>
      <c r="N396" s="79">
        <v>35.15</v>
      </c>
      <c r="O396" s="82">
        <v>0.35134117453753783</v>
      </c>
      <c r="P396" s="77">
        <f t="shared" si="60"/>
        <v>3.2220151221739879E-2</v>
      </c>
      <c r="Q396" s="77">
        <f t="shared" si="61"/>
        <v>4.3841450098274726E-2</v>
      </c>
      <c r="R396" s="77">
        <f t="shared" si="62"/>
        <v>-8.5838980528049058E-3</v>
      </c>
      <c r="S396" s="77">
        <f t="shared" si="63"/>
        <v>-7.5843499033382278E-3</v>
      </c>
      <c r="T396" s="77">
        <f t="shared" si="64"/>
        <v>3.6257100194936498E-2</v>
      </c>
      <c r="U396" s="77">
        <f t="shared" si="65"/>
        <v>-3.9804501125078107E-2</v>
      </c>
      <c r="V396" s="77">
        <f t="shared" si="66"/>
        <v>1.2988737753668045E-3</v>
      </c>
      <c r="W396" s="77">
        <f t="shared" si="67"/>
        <v>3.3519024997106683E-2</v>
      </c>
      <c r="X396" s="77">
        <f t="shared" si="68"/>
        <v>4.4302467797678158E-2</v>
      </c>
      <c r="Y396" s="78">
        <f t="shared" si="69"/>
        <v>-4.0804049274544785E-2</v>
      </c>
    </row>
    <row r="397" spans="1:25" x14ac:dyDescent="0.25">
      <c r="A397" s="75">
        <v>44517</v>
      </c>
      <c r="B397" s="76">
        <v>34.75</v>
      </c>
      <c r="C397" s="82">
        <v>0.34625726843384019</v>
      </c>
      <c r="D397" s="76">
        <v>39.25</v>
      </c>
      <c r="E397" s="86">
        <v>0.39109633916627989</v>
      </c>
      <c r="F397" s="76">
        <v>32.57</v>
      </c>
      <c r="G397" s="82">
        <v>0.32511657163172941</v>
      </c>
      <c r="H397" s="79">
        <v>36.39</v>
      </c>
      <c r="I397" s="82">
        <v>0.36373681670209601</v>
      </c>
      <c r="J397" s="79">
        <v>31.2</v>
      </c>
      <c r="K397" s="82">
        <v>0.31074531259060162</v>
      </c>
      <c r="L397" s="76">
        <v>35.9</v>
      </c>
      <c r="M397" s="82">
        <v>0.35883901400399132</v>
      </c>
      <c r="N397" s="79">
        <v>35.4</v>
      </c>
      <c r="O397" s="82">
        <v>0.35384125614878248</v>
      </c>
      <c r="P397" s="77">
        <f t="shared" si="60"/>
        <v>2.1140696802110781E-2</v>
      </c>
      <c r="Q397" s="77">
        <f t="shared" si="61"/>
        <v>4.4839070732439701E-2</v>
      </c>
      <c r="R397" s="77">
        <f t="shared" si="62"/>
        <v>-1.2581745570151126E-2</v>
      </c>
      <c r="S397" s="77">
        <f t="shared" si="63"/>
        <v>-7.5839877149422863E-3</v>
      </c>
      <c r="T397" s="77">
        <f t="shared" si="64"/>
        <v>3.7255083017497415E-2</v>
      </c>
      <c r="U397" s="77">
        <f t="shared" si="65"/>
        <v>-2.8724684517053067E-2</v>
      </c>
      <c r="V397" s="77">
        <f t="shared" si="66"/>
        <v>1.4371259041127793E-2</v>
      </c>
      <c r="W397" s="77">
        <f t="shared" si="67"/>
        <v>3.5511955843238574E-2</v>
      </c>
      <c r="X397" s="77">
        <f t="shared" si="68"/>
        <v>3.8620245070366599E-2</v>
      </c>
      <c r="Y397" s="78">
        <f t="shared" si="69"/>
        <v>-3.3722442372261907E-2</v>
      </c>
    </row>
    <row r="398" spans="1:25" x14ac:dyDescent="0.25">
      <c r="A398" s="75">
        <v>44516</v>
      </c>
      <c r="B398" s="76">
        <v>37</v>
      </c>
      <c r="C398" s="82">
        <v>0.36868686868686867</v>
      </c>
      <c r="D398" s="76">
        <v>39.25</v>
      </c>
      <c r="E398" s="86">
        <v>0.39110701610701609</v>
      </c>
      <c r="F398" s="76">
        <v>32.85</v>
      </c>
      <c r="G398" s="82">
        <v>0.32791603992889379</v>
      </c>
      <c r="H398" s="79">
        <v>37</v>
      </c>
      <c r="I398" s="82">
        <v>0.36983534727689732</v>
      </c>
      <c r="J398" s="79">
        <v>32.200000000000003</v>
      </c>
      <c r="K398" s="82">
        <v>0.32071494354811197</v>
      </c>
      <c r="L398" s="76">
        <v>36.1</v>
      </c>
      <c r="M398" s="82">
        <v>0.36083935234313491</v>
      </c>
      <c r="N398" s="79">
        <v>35.950000000000003</v>
      </c>
      <c r="O398" s="82">
        <v>0.35934001985417452</v>
      </c>
      <c r="P398" s="77">
        <f t="shared" si="60"/>
        <v>4.0770828757974886E-2</v>
      </c>
      <c r="Q398" s="77">
        <f t="shared" si="61"/>
        <v>2.2420147420147418E-2</v>
      </c>
      <c r="R398" s="77">
        <f t="shared" si="62"/>
        <v>7.8475163437337625E-3</v>
      </c>
      <c r="S398" s="77">
        <f t="shared" si="63"/>
        <v>9.3468488326941546E-3</v>
      </c>
      <c r="T398" s="77">
        <f t="shared" si="64"/>
        <v>3.1766996252841573E-2</v>
      </c>
      <c r="U398" s="77">
        <f t="shared" si="65"/>
        <v>-3.1423979925280732E-2</v>
      </c>
      <c r="V398" s="77">
        <f t="shared" si="66"/>
        <v>7.2010963807818129E-3</v>
      </c>
      <c r="W398" s="77">
        <f t="shared" si="67"/>
        <v>4.7971925138756699E-2</v>
      </c>
      <c r="X398" s="77">
        <f t="shared" si="68"/>
        <v>4.1919307348003532E-2</v>
      </c>
      <c r="Y398" s="78">
        <f t="shared" si="69"/>
        <v>-3.2923312414241124E-2</v>
      </c>
    </row>
    <row r="399" spans="1:25" x14ac:dyDescent="0.25">
      <c r="A399" s="75">
        <v>44515</v>
      </c>
      <c r="B399" s="76">
        <v>38.200000000000003</v>
      </c>
      <c r="C399" s="82">
        <v>0.38065467252723262</v>
      </c>
      <c r="D399" s="76">
        <v>38.799999999999997</v>
      </c>
      <c r="E399" s="86">
        <v>0.38663354172923092</v>
      </c>
      <c r="F399" s="76">
        <v>35.19</v>
      </c>
      <c r="G399" s="82">
        <v>0.35127924626345219</v>
      </c>
      <c r="H399" s="79">
        <v>37.549999999999997</v>
      </c>
      <c r="I399" s="82">
        <v>0.3753341845554532</v>
      </c>
      <c r="J399" s="79">
        <v>33.700000000000003</v>
      </c>
      <c r="K399" s="82">
        <v>0.33566538523200568</v>
      </c>
      <c r="L399" s="76">
        <v>37.65</v>
      </c>
      <c r="M399" s="82">
        <v>0.37633374296971539</v>
      </c>
      <c r="N399" s="79">
        <v>36.5</v>
      </c>
      <c r="O399" s="82">
        <v>0.36483882120570021</v>
      </c>
      <c r="P399" s="77">
        <f t="shared" si="60"/>
        <v>2.9375426263780424E-2</v>
      </c>
      <c r="Q399" s="77">
        <f t="shared" si="61"/>
        <v>5.9788692019983047E-3</v>
      </c>
      <c r="R399" s="77">
        <f t="shared" si="62"/>
        <v>4.320929557517228E-3</v>
      </c>
      <c r="S399" s="77">
        <f t="shared" si="63"/>
        <v>1.5815851321532404E-2</v>
      </c>
      <c r="T399" s="77">
        <f t="shared" si="64"/>
        <v>2.1794720523530708E-2</v>
      </c>
      <c r="U399" s="77">
        <f t="shared" si="65"/>
        <v>-1.3559574942248021E-2</v>
      </c>
      <c r="V399" s="77">
        <f t="shared" si="66"/>
        <v>1.5613861031446519E-2</v>
      </c>
      <c r="W399" s="77">
        <f t="shared" si="67"/>
        <v>4.4989287295226943E-2</v>
      </c>
      <c r="X399" s="77">
        <f t="shared" si="68"/>
        <v>2.4054938292001005E-2</v>
      </c>
      <c r="Y399" s="78">
        <f t="shared" si="69"/>
        <v>-2.5054496706263196E-2</v>
      </c>
    </row>
    <row r="400" spans="1:25" x14ac:dyDescent="0.25">
      <c r="A400" s="75">
        <v>44512</v>
      </c>
      <c r="B400" s="76">
        <v>38.68</v>
      </c>
      <c r="C400" s="82">
        <v>0.38546933872112699</v>
      </c>
      <c r="D400" s="76">
        <v>38.5</v>
      </c>
      <c r="E400" s="86">
        <v>0.38367553104352098</v>
      </c>
      <c r="F400" s="76">
        <v>35.82</v>
      </c>
      <c r="G400" s="82">
        <v>0.35758280228646439</v>
      </c>
      <c r="H400" s="79">
        <v>37.25</v>
      </c>
      <c r="I400" s="82">
        <v>0.3723393330275292</v>
      </c>
      <c r="J400" s="79">
        <v>34</v>
      </c>
      <c r="K400" s="82">
        <v>0.33868469710098448</v>
      </c>
      <c r="L400" s="76">
        <v>38.11</v>
      </c>
      <c r="M400" s="82">
        <v>0.38093562366923861</v>
      </c>
      <c r="N400" s="79">
        <v>37.159999999999997</v>
      </c>
      <c r="O400" s="82">
        <v>0.37143972121618751</v>
      </c>
      <c r="P400" s="77">
        <f t="shared" si="60"/>
        <v>2.7886536434662601E-2</v>
      </c>
      <c r="Q400" s="77">
        <f t="shared" si="61"/>
        <v>-1.7938076776060075E-3</v>
      </c>
      <c r="R400" s="77">
        <f t="shared" si="62"/>
        <v>4.5337150518883762E-3</v>
      </c>
      <c r="S400" s="77">
        <f t="shared" si="63"/>
        <v>1.4029617504939473E-2</v>
      </c>
      <c r="T400" s="77">
        <f t="shared" si="64"/>
        <v>1.2235809827333466E-2</v>
      </c>
      <c r="U400" s="77">
        <f t="shared" si="65"/>
        <v>-1.3856918929723128E-2</v>
      </c>
      <c r="V400" s="77">
        <f t="shared" si="66"/>
        <v>1.8898105185479908E-2</v>
      </c>
      <c r="W400" s="77">
        <f t="shared" si="67"/>
        <v>4.6784641620142509E-2</v>
      </c>
      <c r="X400" s="77">
        <f t="shared" si="68"/>
        <v>1.4756530741064811E-2</v>
      </c>
      <c r="Y400" s="78">
        <f t="shared" si="69"/>
        <v>-2.3352821382774225E-2</v>
      </c>
    </row>
    <row r="401" spans="1:25" x14ac:dyDescent="0.25">
      <c r="A401" s="75">
        <v>44511</v>
      </c>
      <c r="B401" s="76">
        <v>38.1</v>
      </c>
      <c r="C401" s="82">
        <v>0.37969965870307171</v>
      </c>
      <c r="D401" s="76">
        <v>39</v>
      </c>
      <c r="E401" s="86">
        <v>0.38866894197952218</v>
      </c>
      <c r="F401" s="76">
        <v>35.9</v>
      </c>
      <c r="G401" s="82">
        <v>0.35838632478632482</v>
      </c>
      <c r="H401" s="79">
        <v>37.25</v>
      </c>
      <c r="I401" s="82">
        <v>0.37234060761660248</v>
      </c>
      <c r="J401" s="79">
        <v>34.1</v>
      </c>
      <c r="K401" s="82">
        <v>0.33969125799573557</v>
      </c>
      <c r="L401" s="76">
        <v>38.549999999999997</v>
      </c>
      <c r="M401" s="82">
        <v>0.38533504492939658</v>
      </c>
      <c r="N401" s="79">
        <v>36.5</v>
      </c>
      <c r="O401" s="82">
        <v>0.36484381685922118</v>
      </c>
      <c r="P401" s="77">
        <f t="shared" si="60"/>
        <v>2.131333391674689E-2</v>
      </c>
      <c r="Q401" s="77">
        <f t="shared" si="61"/>
        <v>8.9692832764504682E-3</v>
      </c>
      <c r="R401" s="77">
        <f t="shared" si="62"/>
        <v>-5.6353862263248677E-3</v>
      </c>
      <c r="S401" s="77">
        <f t="shared" si="63"/>
        <v>1.4855841843850526E-2</v>
      </c>
      <c r="T401" s="77">
        <f t="shared" si="64"/>
        <v>2.3825125120300994E-2</v>
      </c>
      <c r="U401" s="77">
        <f t="shared" si="65"/>
        <v>-6.4574920728963647E-3</v>
      </c>
      <c r="V401" s="77">
        <f t="shared" si="66"/>
        <v>1.8695066790589243E-2</v>
      </c>
      <c r="W401" s="77">
        <f t="shared" si="67"/>
        <v>4.0008400707336134E-2</v>
      </c>
      <c r="X401" s="77">
        <f t="shared" si="68"/>
        <v>1.3954282830277664E-2</v>
      </c>
      <c r="Y401" s="78">
        <f t="shared" si="69"/>
        <v>-2.6948720143071758E-2</v>
      </c>
    </row>
    <row r="402" spans="1:25" x14ac:dyDescent="0.25">
      <c r="A402" s="75">
        <v>44510</v>
      </c>
      <c r="B402" s="76">
        <v>38.229999999999997</v>
      </c>
      <c r="C402" s="82">
        <v>0.38100562472695498</v>
      </c>
      <c r="D402" s="76">
        <v>39</v>
      </c>
      <c r="E402" s="86">
        <v>0.38867955439056362</v>
      </c>
      <c r="F402" s="76">
        <v>35.869999999999997</v>
      </c>
      <c r="G402" s="82">
        <v>0.3580917345878234</v>
      </c>
      <c r="H402" s="79">
        <v>36.6</v>
      </c>
      <c r="I402" s="82">
        <v>0.36584464131670108</v>
      </c>
      <c r="J402" s="79">
        <v>34.299999999999997</v>
      </c>
      <c r="K402" s="82">
        <v>0.34169407333615359</v>
      </c>
      <c r="L402" s="76">
        <v>38.6</v>
      </c>
      <c r="M402" s="82">
        <v>0.3858361517711657</v>
      </c>
      <c r="N402" s="79">
        <v>37</v>
      </c>
      <c r="O402" s="82">
        <v>0.36984294340759399</v>
      </c>
      <c r="P402" s="77">
        <f t="shared" si="60"/>
        <v>2.2913890139131587E-2</v>
      </c>
      <c r="Q402" s="77">
        <f t="shared" si="61"/>
        <v>7.6739296636086363E-3</v>
      </c>
      <c r="R402" s="77">
        <f t="shared" si="62"/>
        <v>-4.8305270442107195E-3</v>
      </c>
      <c r="S402" s="77">
        <f t="shared" si="63"/>
        <v>1.116268131936099E-2</v>
      </c>
      <c r="T402" s="77">
        <f t="shared" si="64"/>
        <v>1.8836610982969626E-2</v>
      </c>
      <c r="U402" s="77">
        <f t="shared" si="65"/>
        <v>-1.1751208819770598E-2</v>
      </c>
      <c r="V402" s="77">
        <f t="shared" si="66"/>
        <v>1.6397661251669804E-2</v>
      </c>
      <c r="W402" s="77">
        <f t="shared" si="67"/>
        <v>3.9311551390801391E-2</v>
      </c>
      <c r="X402" s="77">
        <f t="shared" si="68"/>
        <v>7.7529067288776843E-3</v>
      </c>
      <c r="Y402" s="78">
        <f t="shared" si="69"/>
        <v>-2.7744417183342307E-2</v>
      </c>
    </row>
    <row r="403" spans="1:25" x14ac:dyDescent="0.25">
      <c r="A403" s="75">
        <v>44509</v>
      </c>
      <c r="B403" s="76">
        <v>38.14</v>
      </c>
      <c r="C403" s="82">
        <v>0.38011905086967213</v>
      </c>
      <c r="D403" s="76">
        <v>37.4</v>
      </c>
      <c r="E403" s="86">
        <v>0.37274390410397829</v>
      </c>
      <c r="F403" s="76">
        <v>35.909999999999997</v>
      </c>
      <c r="G403" s="82">
        <v>0.35849595886383212</v>
      </c>
      <c r="H403" s="79">
        <v>36.65</v>
      </c>
      <c r="I403" s="82">
        <v>0.36634568315401389</v>
      </c>
      <c r="J403" s="79">
        <v>34.54</v>
      </c>
      <c r="K403" s="82">
        <v>0.34409550096040009</v>
      </c>
      <c r="L403" s="76">
        <v>38.700000000000003</v>
      </c>
      <c r="M403" s="82">
        <v>0.38683705151597098</v>
      </c>
      <c r="N403" s="79">
        <v>37.43</v>
      </c>
      <c r="O403" s="82">
        <v>0.37414239892100237</v>
      </c>
      <c r="P403" s="77">
        <f t="shared" si="60"/>
        <v>2.1623092005840006E-2</v>
      </c>
      <c r="Q403" s="77">
        <f t="shared" si="61"/>
        <v>-7.3751467656938408E-3</v>
      </c>
      <c r="R403" s="77">
        <f t="shared" si="62"/>
        <v>-6.7180006462988495E-3</v>
      </c>
      <c r="S403" s="77">
        <f t="shared" si="63"/>
        <v>5.9766519486697534E-3</v>
      </c>
      <c r="T403" s="77">
        <f t="shared" si="64"/>
        <v>-1.3984948170240874E-3</v>
      </c>
      <c r="U403" s="77">
        <f t="shared" si="65"/>
        <v>-1.5646440057170252E-2</v>
      </c>
      <c r="V403" s="77">
        <f t="shared" si="66"/>
        <v>1.4400457903432029E-2</v>
      </c>
      <c r="W403" s="77">
        <f t="shared" si="67"/>
        <v>3.6023549909272035E-2</v>
      </c>
      <c r="X403" s="77">
        <f t="shared" si="68"/>
        <v>7.8497242901817699E-3</v>
      </c>
      <c r="Y403" s="78">
        <f t="shared" si="69"/>
        <v>-2.8341092652138855E-2</v>
      </c>
    </row>
    <row r="404" spans="1:25" x14ac:dyDescent="0.25">
      <c r="A404" s="75">
        <v>44508</v>
      </c>
      <c r="B404" s="76">
        <v>38</v>
      </c>
      <c r="C404" s="82">
        <v>0.37873409426028071</v>
      </c>
      <c r="D404" s="76">
        <v>37.950000000000003</v>
      </c>
      <c r="E404" s="86">
        <v>0.37823575992572772</v>
      </c>
      <c r="F404" s="76">
        <v>35.99</v>
      </c>
      <c r="G404" s="82">
        <v>0.35929952681819433</v>
      </c>
      <c r="H404" s="79">
        <v>36.950000000000003</v>
      </c>
      <c r="I404" s="82">
        <v>0.36934568433736592</v>
      </c>
      <c r="J404" s="79">
        <v>35</v>
      </c>
      <c r="K404" s="82">
        <v>0.34868883445127569</v>
      </c>
      <c r="L404" s="76">
        <v>38.549999999999997</v>
      </c>
      <c r="M404" s="82">
        <v>0.38533900219771189</v>
      </c>
      <c r="N404" s="79">
        <v>37.5</v>
      </c>
      <c r="O404" s="82">
        <v>0.37484338735185979</v>
      </c>
      <c r="P404" s="77">
        <f t="shared" si="60"/>
        <v>1.9434567442086381E-2</v>
      </c>
      <c r="Q404" s="77">
        <f t="shared" si="61"/>
        <v>-4.9833433455298559E-4</v>
      </c>
      <c r="R404" s="77">
        <f t="shared" si="62"/>
        <v>-6.6049079374311814E-3</v>
      </c>
      <c r="S404" s="77">
        <f t="shared" si="63"/>
        <v>3.8907069084209156E-3</v>
      </c>
      <c r="T404" s="77">
        <f t="shared" si="64"/>
        <v>3.39237257386793E-3</v>
      </c>
      <c r="U404" s="77">
        <f t="shared" si="65"/>
        <v>-1.5543860533665466E-2</v>
      </c>
      <c r="V404" s="77">
        <f t="shared" si="66"/>
        <v>1.0610692366918639E-2</v>
      </c>
      <c r="W404" s="77">
        <f t="shared" si="67"/>
        <v>3.004525980900502E-2</v>
      </c>
      <c r="X404" s="77">
        <f t="shared" si="68"/>
        <v>1.0046157519171595E-2</v>
      </c>
      <c r="Y404" s="78">
        <f t="shared" si="69"/>
        <v>-2.6039475379517563E-2</v>
      </c>
    </row>
    <row r="405" spans="1:25" x14ac:dyDescent="0.25">
      <c r="A405" s="75">
        <v>44505</v>
      </c>
      <c r="B405" s="76">
        <v>38.21</v>
      </c>
      <c r="C405" s="82">
        <v>0.3808582976050684</v>
      </c>
      <c r="D405" s="76">
        <v>37.4</v>
      </c>
      <c r="E405" s="86">
        <v>0.37278462000600782</v>
      </c>
      <c r="F405" s="76">
        <v>35.85</v>
      </c>
      <c r="G405" s="82">
        <v>0.3579165469987281</v>
      </c>
      <c r="H405" s="79">
        <v>36.33</v>
      </c>
      <c r="I405" s="82">
        <v>0.36315200312201529</v>
      </c>
      <c r="J405" s="79">
        <v>34.450000000000003</v>
      </c>
      <c r="K405" s="82">
        <v>0.34324105762767387</v>
      </c>
      <c r="L405" s="76">
        <v>38.53</v>
      </c>
      <c r="M405" s="82">
        <v>0.38514304102095381</v>
      </c>
      <c r="N405" s="79">
        <v>37.5</v>
      </c>
      <c r="O405" s="82">
        <v>0.37484723691372351</v>
      </c>
      <c r="P405" s="77">
        <f t="shared" si="60"/>
        <v>2.2941750606340294E-2</v>
      </c>
      <c r="Q405" s="77">
        <f t="shared" si="61"/>
        <v>-8.0736775990605802E-3</v>
      </c>
      <c r="R405" s="77">
        <f t="shared" si="62"/>
        <v>-4.284743415885417E-3</v>
      </c>
      <c r="S405" s="77">
        <f t="shared" si="63"/>
        <v>6.0110606913448827E-3</v>
      </c>
      <c r="T405" s="77">
        <f t="shared" si="64"/>
        <v>-2.0626169077156975E-3</v>
      </c>
      <c r="U405" s="77">
        <f t="shared" si="65"/>
        <v>-1.6930689914995412E-2</v>
      </c>
      <c r="V405" s="77">
        <f t="shared" si="66"/>
        <v>1.4675489371054229E-2</v>
      </c>
      <c r="W405" s="77">
        <f t="shared" si="67"/>
        <v>3.7617239977394523E-2</v>
      </c>
      <c r="X405" s="77">
        <f t="shared" si="68"/>
        <v>5.2354561232871855E-3</v>
      </c>
      <c r="Y405" s="78">
        <f t="shared" si="69"/>
        <v>-2.7226494022225711E-2</v>
      </c>
    </row>
    <row r="406" spans="1:25" x14ac:dyDescent="0.25">
      <c r="A406" s="75">
        <v>44504</v>
      </c>
      <c r="B406" s="76">
        <v>37.549999999999997</v>
      </c>
      <c r="C406" s="82">
        <v>0.37428996668305198</v>
      </c>
      <c r="D406" s="76">
        <v>37.799999999999997</v>
      </c>
      <c r="E406" s="86">
        <v>0.37678191053580201</v>
      </c>
      <c r="F406" s="76">
        <v>35.700000000000003</v>
      </c>
      <c r="G406" s="82">
        <v>0.35642386279712251</v>
      </c>
      <c r="H406" s="79">
        <v>36.630000000000003</v>
      </c>
      <c r="I406" s="82">
        <v>0.36615203445183109</v>
      </c>
      <c r="J406" s="79">
        <v>34.1</v>
      </c>
      <c r="K406" s="82">
        <v>0.33976428196081382</v>
      </c>
      <c r="L406" s="76">
        <v>38.4</v>
      </c>
      <c r="M406" s="82">
        <v>0.38384488460142818</v>
      </c>
      <c r="N406" s="79">
        <v>37.229999999999997</v>
      </c>
      <c r="O406" s="82">
        <v>0.37214961077372838</v>
      </c>
      <c r="P406" s="77">
        <f t="shared" si="60"/>
        <v>1.7866103885929463E-2</v>
      </c>
      <c r="Q406" s="77">
        <f t="shared" si="61"/>
        <v>2.4919438527500337E-3</v>
      </c>
      <c r="R406" s="77">
        <f t="shared" si="62"/>
        <v>-9.5549179183762045E-3</v>
      </c>
      <c r="S406" s="77">
        <f t="shared" si="63"/>
        <v>2.1403559093235991E-3</v>
      </c>
      <c r="T406" s="77">
        <f t="shared" si="64"/>
        <v>4.6322997620736328E-3</v>
      </c>
      <c r="U406" s="77">
        <f t="shared" si="65"/>
        <v>-1.5725747976605864E-2</v>
      </c>
      <c r="V406" s="77">
        <f t="shared" si="66"/>
        <v>1.6659580836308696E-2</v>
      </c>
      <c r="W406" s="77">
        <f t="shared" si="67"/>
        <v>3.4525684722238159E-2</v>
      </c>
      <c r="X406" s="77">
        <f t="shared" si="68"/>
        <v>9.7281716547085728E-3</v>
      </c>
      <c r="Y406" s="78">
        <f t="shared" si="69"/>
        <v>-2.7421021804305667E-2</v>
      </c>
    </row>
    <row r="407" spans="1:25" x14ac:dyDescent="0.25">
      <c r="A407" s="75">
        <v>44503</v>
      </c>
      <c r="B407" s="76">
        <v>37.1</v>
      </c>
      <c r="C407" s="82">
        <v>0.36981456700439691</v>
      </c>
      <c r="D407" s="76">
        <v>37.85</v>
      </c>
      <c r="E407" s="86">
        <v>0.37729060272551002</v>
      </c>
      <c r="F407" s="76">
        <v>35.58</v>
      </c>
      <c r="G407" s="82">
        <v>0.35523065771298062</v>
      </c>
      <c r="H407" s="79">
        <v>35.700000000000003</v>
      </c>
      <c r="I407" s="82">
        <v>0.3568570127722796</v>
      </c>
      <c r="J407" s="79">
        <v>33.700000000000003</v>
      </c>
      <c r="K407" s="82">
        <v>0.3357890893456133</v>
      </c>
      <c r="L407" s="76">
        <v>37.9</v>
      </c>
      <c r="M407" s="82">
        <v>0.37884820123443691</v>
      </c>
      <c r="N407" s="79">
        <v>36.15</v>
      </c>
      <c r="O407" s="82">
        <v>0.36135521041226631</v>
      </c>
      <c r="P407" s="77">
        <f t="shared" si="60"/>
        <v>1.4583909291416286E-2</v>
      </c>
      <c r="Q407" s="77">
        <f t="shared" si="61"/>
        <v>7.4760357211131057E-3</v>
      </c>
      <c r="R407" s="77">
        <f t="shared" si="62"/>
        <v>-9.0336342300399997E-3</v>
      </c>
      <c r="S407" s="77">
        <f t="shared" si="63"/>
        <v>8.4593565921305958E-3</v>
      </c>
      <c r="T407" s="77">
        <f t="shared" si="64"/>
        <v>1.5935392313243701E-2</v>
      </c>
      <c r="U407" s="77">
        <f t="shared" si="65"/>
        <v>-6.1245526992856902E-3</v>
      </c>
      <c r="V407" s="77">
        <f t="shared" si="66"/>
        <v>1.9441568367367323E-2</v>
      </c>
      <c r="W407" s="77">
        <f t="shared" si="67"/>
        <v>3.4025477658783609E-2</v>
      </c>
      <c r="X407" s="77">
        <f t="shared" si="68"/>
        <v>1.6263550592989784E-3</v>
      </c>
      <c r="Y407" s="78">
        <f t="shared" si="69"/>
        <v>-2.3617543521456286E-2</v>
      </c>
    </row>
    <row r="408" spans="1:25" x14ac:dyDescent="0.25">
      <c r="A408" s="75">
        <v>44502</v>
      </c>
      <c r="B408" s="76">
        <v>37.130000000000003</v>
      </c>
      <c r="C408" s="82">
        <v>0.37012371640812758</v>
      </c>
      <c r="D408" s="76">
        <v>37.5</v>
      </c>
      <c r="E408" s="86">
        <v>0.37381199475639071</v>
      </c>
      <c r="F408" s="76">
        <v>35.69</v>
      </c>
      <c r="G408" s="82">
        <v>0.35633377099403679</v>
      </c>
      <c r="H408" s="79">
        <v>35.78</v>
      </c>
      <c r="I408" s="82">
        <v>0.35765791671801622</v>
      </c>
      <c r="J408" s="79">
        <v>33.5</v>
      </c>
      <c r="K408" s="82">
        <v>0.33380652734742899</v>
      </c>
      <c r="L408" s="76">
        <v>38.049999999999997</v>
      </c>
      <c r="M408" s="82">
        <v>0.38034890249079129</v>
      </c>
      <c r="N408" s="79">
        <v>36</v>
      </c>
      <c r="O408" s="82">
        <v>0.35985704309247007</v>
      </c>
      <c r="P408" s="77">
        <f t="shared" si="60"/>
        <v>1.3789945414090787E-2</v>
      </c>
      <c r="Q408" s="77">
        <f t="shared" si="61"/>
        <v>3.6882783482631298E-3</v>
      </c>
      <c r="R408" s="77">
        <f t="shared" si="62"/>
        <v>-1.0225186082663706E-2</v>
      </c>
      <c r="S408" s="77">
        <f t="shared" si="63"/>
        <v>1.0266673315657504E-2</v>
      </c>
      <c r="T408" s="77">
        <f t="shared" si="64"/>
        <v>1.3954951663920634E-2</v>
      </c>
      <c r="U408" s="77">
        <f t="shared" si="65"/>
        <v>-3.5232720984332833E-3</v>
      </c>
      <c r="V408" s="77">
        <f t="shared" si="66"/>
        <v>2.2527243646607797E-2</v>
      </c>
      <c r="W408" s="77">
        <f t="shared" si="67"/>
        <v>3.6317189060698585E-2</v>
      </c>
      <c r="X408" s="77">
        <f t="shared" si="68"/>
        <v>1.3241457239794308E-3</v>
      </c>
      <c r="Y408" s="78">
        <f t="shared" si="69"/>
        <v>-2.4015131496754494E-2</v>
      </c>
    </row>
    <row r="409" spans="1:25" x14ac:dyDescent="0.25">
      <c r="A409" s="75">
        <v>44501</v>
      </c>
      <c r="B409" s="76">
        <v>36.159999999999997</v>
      </c>
      <c r="C409" s="82">
        <v>0.36046429059128771</v>
      </c>
      <c r="D409" s="76">
        <v>38.1</v>
      </c>
      <c r="E409" s="86">
        <v>0.37980335927898401</v>
      </c>
      <c r="F409" s="76">
        <v>35.659999999999997</v>
      </c>
      <c r="G409" s="82">
        <v>0.35603911646037062</v>
      </c>
      <c r="H409" s="79">
        <v>35.950000000000003</v>
      </c>
      <c r="I409" s="82">
        <v>0.35935847183472258</v>
      </c>
      <c r="J409" s="79">
        <v>33.5</v>
      </c>
      <c r="K409" s="82">
        <v>0.33381677956558092</v>
      </c>
      <c r="L409" s="76">
        <v>37.9</v>
      </c>
      <c r="M409" s="82">
        <v>0.37885079506358788</v>
      </c>
      <c r="N409" s="79">
        <v>36.9</v>
      </c>
      <c r="O409" s="82">
        <v>0.36885473186929801</v>
      </c>
      <c r="P409" s="77">
        <f t="shared" si="60"/>
        <v>4.4251741309170867E-3</v>
      </c>
      <c r="Q409" s="77">
        <f t="shared" si="61"/>
        <v>1.9339068687696304E-2</v>
      </c>
      <c r="R409" s="77">
        <f t="shared" si="62"/>
        <v>-1.8386504472300169E-2</v>
      </c>
      <c r="S409" s="77">
        <f t="shared" si="63"/>
        <v>-8.3904412780103077E-3</v>
      </c>
      <c r="T409" s="77">
        <f t="shared" si="64"/>
        <v>1.0948627409685996E-2</v>
      </c>
      <c r="U409" s="77">
        <f t="shared" si="65"/>
        <v>-1.2815615408927394E-2</v>
      </c>
      <c r="V409" s="77">
        <f t="shared" si="66"/>
        <v>2.2222336894789696E-2</v>
      </c>
      <c r="W409" s="77">
        <f t="shared" si="67"/>
        <v>2.6647511025706783E-2</v>
      </c>
      <c r="X409" s="77">
        <f t="shared" si="68"/>
        <v>3.3193553743519622E-3</v>
      </c>
      <c r="Y409" s="78">
        <f t="shared" si="69"/>
        <v>-2.2811678603217256E-2</v>
      </c>
    </row>
    <row r="410" spans="1:25" x14ac:dyDescent="0.25">
      <c r="A410" s="75">
        <v>44498</v>
      </c>
      <c r="B410" s="76">
        <v>36.6</v>
      </c>
      <c r="C410" s="82">
        <v>0.36488036709275651</v>
      </c>
      <c r="D410" s="76">
        <v>38.200000000000003</v>
      </c>
      <c r="E410" s="86">
        <v>0.38083142139189341</v>
      </c>
      <c r="F410" s="76">
        <v>35.700000000000003</v>
      </c>
      <c r="G410" s="82">
        <v>0.35645311303206051</v>
      </c>
      <c r="H410" s="79">
        <v>36.58</v>
      </c>
      <c r="I410" s="82">
        <v>0.36565974694637671</v>
      </c>
      <c r="J410" s="79">
        <v>33.85</v>
      </c>
      <c r="K410" s="82">
        <v>0.33733549937203078</v>
      </c>
      <c r="L410" s="76">
        <v>37.700000000000003</v>
      </c>
      <c r="M410" s="82">
        <v>0.3768554527030728</v>
      </c>
      <c r="N410" s="79">
        <v>36.6</v>
      </c>
      <c r="O410" s="82">
        <v>0.36585967026346061</v>
      </c>
      <c r="P410" s="77">
        <f t="shared" si="60"/>
        <v>8.4272540606959989E-3</v>
      </c>
      <c r="Q410" s="77">
        <f t="shared" si="61"/>
        <v>1.5951054299136902E-2</v>
      </c>
      <c r="R410" s="77">
        <f t="shared" si="62"/>
        <v>-1.1975085610316294E-2</v>
      </c>
      <c r="S410" s="77">
        <f t="shared" si="63"/>
        <v>-9.7930317070410444E-4</v>
      </c>
      <c r="T410" s="77">
        <f t="shared" si="64"/>
        <v>1.4971751128432798E-2</v>
      </c>
      <c r="U410" s="77">
        <f t="shared" si="65"/>
        <v>-9.4065572314001034E-3</v>
      </c>
      <c r="V410" s="77">
        <f t="shared" si="66"/>
        <v>1.9117613660029731E-2</v>
      </c>
      <c r="W410" s="77">
        <f t="shared" si="67"/>
        <v>2.754486772072573E-2</v>
      </c>
      <c r="X410" s="77">
        <f t="shared" si="68"/>
        <v>9.2066339143161979E-3</v>
      </c>
      <c r="Y410" s="78">
        <f t="shared" si="69"/>
        <v>-2.0402339671012293E-2</v>
      </c>
    </row>
    <row r="411" spans="1:25" x14ac:dyDescent="0.25">
      <c r="A411" s="75">
        <v>44497</v>
      </c>
      <c r="B411" s="76">
        <v>37</v>
      </c>
      <c r="C411" s="82">
        <v>0.36887820600366011</v>
      </c>
      <c r="D411" s="76">
        <v>38.6</v>
      </c>
      <c r="E411" s="86">
        <v>0.38482969599300759</v>
      </c>
      <c r="F411" s="76">
        <v>35.82</v>
      </c>
      <c r="G411" s="82">
        <v>0.35765616665070921</v>
      </c>
      <c r="H411" s="79">
        <v>37</v>
      </c>
      <c r="I411" s="82">
        <v>0.3698594027612791</v>
      </c>
      <c r="J411" s="79">
        <v>33.65</v>
      </c>
      <c r="K411" s="82">
        <v>0.33535268038457472</v>
      </c>
      <c r="L411" s="76">
        <v>37.4</v>
      </c>
      <c r="M411" s="82">
        <v>0.37385788279113069</v>
      </c>
      <c r="N411" s="79">
        <v>36.299999999999997</v>
      </c>
      <c r="O411" s="82">
        <v>0.36286206270903859</v>
      </c>
      <c r="P411" s="77">
        <f t="shared" si="60"/>
        <v>1.1222039352950908E-2</v>
      </c>
      <c r="Q411" s="77">
        <f t="shared" si="61"/>
        <v>1.5951489989347478E-2</v>
      </c>
      <c r="R411" s="77">
        <f t="shared" si="62"/>
        <v>-4.9796767874705772E-3</v>
      </c>
      <c r="S411" s="77">
        <f t="shared" si="63"/>
        <v>6.0161432946215232E-3</v>
      </c>
      <c r="T411" s="77">
        <f t="shared" si="64"/>
        <v>2.1967633283969001E-2</v>
      </c>
      <c r="U411" s="77">
        <f t="shared" si="65"/>
        <v>-5.2058960583293845E-3</v>
      </c>
      <c r="V411" s="77">
        <f t="shared" si="66"/>
        <v>2.2303486266134487E-2</v>
      </c>
      <c r="W411" s="77">
        <f t="shared" si="67"/>
        <v>3.3525525619085395E-2</v>
      </c>
      <c r="X411" s="77">
        <f t="shared" si="68"/>
        <v>1.2203236110569893E-2</v>
      </c>
      <c r="Y411" s="78">
        <f t="shared" si="69"/>
        <v>-1.6201716140421485E-2</v>
      </c>
    </row>
    <row r="412" spans="1:25" x14ac:dyDescent="0.25">
      <c r="A412" s="75">
        <v>44496</v>
      </c>
      <c r="B412" s="76">
        <v>36.93</v>
      </c>
      <c r="C412" s="82">
        <v>0.36819038514067193</v>
      </c>
      <c r="D412" s="76">
        <v>39</v>
      </c>
      <c r="E412" s="86">
        <v>0.38882818901939359</v>
      </c>
      <c r="F412" s="76">
        <v>35.869999999999997</v>
      </c>
      <c r="G412" s="82">
        <v>0.35816030638763502</v>
      </c>
      <c r="H412" s="79">
        <v>37.01</v>
      </c>
      <c r="I412" s="82">
        <v>0.36996063126904238</v>
      </c>
      <c r="J412" s="79">
        <v>33.450000000000003</v>
      </c>
      <c r="K412" s="82">
        <v>0.33336973958155569</v>
      </c>
      <c r="L412" s="76">
        <v>37.299999999999997</v>
      </c>
      <c r="M412" s="82">
        <v>0.37285953921467929</v>
      </c>
      <c r="N412" s="79">
        <v>36.130000000000003</v>
      </c>
      <c r="O412" s="82">
        <v>0.36116394508917882</v>
      </c>
      <c r="P412" s="77">
        <f t="shared" si="60"/>
        <v>1.0030078753036908E-2</v>
      </c>
      <c r="Q412" s="77">
        <f t="shared" si="61"/>
        <v>2.0637803878721661E-2</v>
      </c>
      <c r="R412" s="77">
        <f t="shared" si="62"/>
        <v>-4.6691540740073645E-3</v>
      </c>
      <c r="S412" s="77">
        <f t="shared" si="63"/>
        <v>7.0264400514931102E-3</v>
      </c>
      <c r="T412" s="77">
        <f t="shared" si="64"/>
        <v>2.7664243930214771E-2</v>
      </c>
      <c r="U412" s="77">
        <f t="shared" si="65"/>
        <v>-3.0036387015437982E-3</v>
      </c>
      <c r="V412" s="77">
        <f t="shared" si="66"/>
        <v>2.4790566806079328E-2</v>
      </c>
      <c r="W412" s="77">
        <f t="shared" si="67"/>
        <v>3.4820645559116237E-2</v>
      </c>
      <c r="X412" s="77">
        <f t="shared" si="68"/>
        <v>1.1800324881407365E-2</v>
      </c>
      <c r="Y412" s="78">
        <f t="shared" si="69"/>
        <v>-1.4699232827044273E-2</v>
      </c>
    </row>
    <row r="413" spans="1:25" x14ac:dyDescent="0.25">
      <c r="A413" s="75">
        <v>44495</v>
      </c>
      <c r="B413" s="76">
        <v>37.119999999999997</v>
      </c>
      <c r="C413" s="82">
        <v>0.37009478543527552</v>
      </c>
      <c r="D413" s="76">
        <v>39</v>
      </c>
      <c r="E413" s="86">
        <v>0.3888388101286569</v>
      </c>
      <c r="F413" s="76">
        <v>35.880000000000003</v>
      </c>
      <c r="G413" s="82">
        <v>0.35826505628581978</v>
      </c>
      <c r="H413" s="79">
        <v>37.299999999999997</v>
      </c>
      <c r="I413" s="82">
        <v>0.37286081565443041</v>
      </c>
      <c r="J413" s="79">
        <v>33.6</v>
      </c>
      <c r="K413" s="82">
        <v>0.33487495776176612</v>
      </c>
      <c r="L413" s="76">
        <v>37.25</v>
      </c>
      <c r="M413" s="82">
        <v>0.37236100222862012</v>
      </c>
      <c r="N413" s="79">
        <v>35.85</v>
      </c>
      <c r="O413" s="82">
        <v>0.35836622630593368</v>
      </c>
      <c r="P413" s="77">
        <f t="shared" si="60"/>
        <v>1.1829729149455737E-2</v>
      </c>
      <c r="Q413" s="77">
        <f t="shared" si="61"/>
        <v>1.8744024693381378E-2</v>
      </c>
      <c r="R413" s="77">
        <f t="shared" si="62"/>
        <v>-2.2662167933445998E-3</v>
      </c>
      <c r="S413" s="77">
        <f t="shared" si="63"/>
        <v>1.1728559129341842E-2</v>
      </c>
      <c r="T413" s="77">
        <f t="shared" si="64"/>
        <v>3.047258382272322E-2</v>
      </c>
      <c r="U413" s="77">
        <f t="shared" si="65"/>
        <v>-1.0117002011389431E-4</v>
      </c>
      <c r="V413" s="77">
        <f t="shared" si="66"/>
        <v>2.339009852405366E-2</v>
      </c>
      <c r="W413" s="77">
        <f t="shared" si="67"/>
        <v>3.5219827673509396E-2</v>
      </c>
      <c r="X413" s="77">
        <f t="shared" si="68"/>
        <v>1.4595759368610628E-2</v>
      </c>
      <c r="Y413" s="78">
        <f t="shared" si="69"/>
        <v>-1.4095945942800336E-2</v>
      </c>
    </row>
    <row r="414" spans="1:25" x14ac:dyDescent="0.25">
      <c r="A414" s="75">
        <v>44494</v>
      </c>
      <c r="B414" s="76">
        <v>36.9</v>
      </c>
      <c r="C414" s="82">
        <v>0.36791138548951052</v>
      </c>
      <c r="D414" s="76">
        <v>38.799999999999997</v>
      </c>
      <c r="E414" s="86">
        <v>0.38685533216783208</v>
      </c>
      <c r="F414" s="76">
        <v>35.869999999999997</v>
      </c>
      <c r="G414" s="82">
        <v>0.35817010450292708</v>
      </c>
      <c r="H414" s="79">
        <v>37.450000000000003</v>
      </c>
      <c r="I414" s="82">
        <v>0.37436153751352241</v>
      </c>
      <c r="J414" s="79">
        <v>33</v>
      </c>
      <c r="K414" s="82">
        <v>0.32890515134552112</v>
      </c>
      <c r="L414" s="76">
        <v>37</v>
      </c>
      <c r="M414" s="82">
        <v>0.36986320128171768</v>
      </c>
      <c r="N414" s="79">
        <v>35.72</v>
      </c>
      <c r="O414" s="82">
        <v>0.35706793377791768</v>
      </c>
      <c r="P414" s="77">
        <f t="shared" si="60"/>
        <v>9.7412809865834449E-3</v>
      </c>
      <c r="Q414" s="77">
        <f t="shared" si="61"/>
        <v>1.8943946678321555E-2</v>
      </c>
      <c r="R414" s="77">
        <f t="shared" si="62"/>
        <v>-1.9518157922071566E-3</v>
      </c>
      <c r="S414" s="77">
        <f t="shared" si="63"/>
        <v>1.0843451711592844E-2</v>
      </c>
      <c r="T414" s="77">
        <f t="shared" si="64"/>
        <v>2.9787398389914399E-2</v>
      </c>
      <c r="U414" s="77">
        <f t="shared" si="65"/>
        <v>1.1021707250093993E-3</v>
      </c>
      <c r="V414" s="77">
        <f t="shared" si="66"/>
        <v>2.926495315740596E-2</v>
      </c>
      <c r="W414" s="77">
        <f t="shared" si="67"/>
        <v>3.9006234143989404E-2</v>
      </c>
      <c r="X414" s="77">
        <f t="shared" si="68"/>
        <v>1.6191433010595335E-2</v>
      </c>
      <c r="Y414" s="78">
        <f t="shared" si="69"/>
        <v>-1.1693096778790601E-2</v>
      </c>
    </row>
    <row r="415" spans="1:25" x14ac:dyDescent="0.25">
      <c r="A415" s="75">
        <v>44491</v>
      </c>
      <c r="B415" s="76">
        <v>36.81</v>
      </c>
      <c r="C415" s="82">
        <v>0.36704411965578482</v>
      </c>
      <c r="D415" s="76">
        <v>39</v>
      </c>
      <c r="E415" s="86">
        <v>0.38888130036880209</v>
      </c>
      <c r="F415" s="76">
        <v>35.82</v>
      </c>
      <c r="G415" s="82">
        <v>0.35768552082620891</v>
      </c>
      <c r="H415" s="79">
        <v>37.700000000000003</v>
      </c>
      <c r="I415" s="82">
        <v>0.376864483661697</v>
      </c>
      <c r="J415" s="79">
        <v>33.200000000000003</v>
      </c>
      <c r="K415" s="82">
        <v>0.33092901397873331</v>
      </c>
      <c r="L415" s="76">
        <v>36.75</v>
      </c>
      <c r="M415" s="82">
        <v>0.3673678985296383</v>
      </c>
      <c r="N415" s="79">
        <v>35.61</v>
      </c>
      <c r="O415" s="82">
        <v>0.35597199637116789</v>
      </c>
      <c r="P415" s="77">
        <f t="shared" si="60"/>
        <v>9.3585988295759037E-3</v>
      </c>
      <c r="Q415" s="77">
        <f t="shared" si="61"/>
        <v>2.1837180713017268E-2</v>
      </c>
      <c r="R415" s="77">
        <f t="shared" si="62"/>
        <v>-3.2377887385348636E-4</v>
      </c>
      <c r="S415" s="77">
        <f t="shared" si="63"/>
        <v>1.107212328461693E-2</v>
      </c>
      <c r="T415" s="77">
        <f t="shared" si="64"/>
        <v>3.2909303997634198E-2</v>
      </c>
      <c r="U415" s="77">
        <f t="shared" si="65"/>
        <v>1.7135244550410267E-3</v>
      </c>
      <c r="V415" s="77">
        <f t="shared" si="66"/>
        <v>2.6756506847475603E-2</v>
      </c>
      <c r="W415" s="77">
        <f t="shared" si="67"/>
        <v>3.6115105677051507E-2</v>
      </c>
      <c r="X415" s="77">
        <f t="shared" si="68"/>
        <v>1.9178962835488089E-2</v>
      </c>
      <c r="Y415" s="78">
        <f t="shared" si="69"/>
        <v>-9.6823777034293901E-3</v>
      </c>
    </row>
    <row r="416" spans="1:25" x14ac:dyDescent="0.25">
      <c r="A416" s="75">
        <v>44490</v>
      </c>
      <c r="B416" s="76">
        <v>36.880000000000003</v>
      </c>
      <c r="C416" s="82">
        <v>0.36775215823407281</v>
      </c>
      <c r="D416" s="76">
        <v>39</v>
      </c>
      <c r="E416" s="86">
        <v>0.38889192437984921</v>
      </c>
      <c r="F416" s="76">
        <v>35.85</v>
      </c>
      <c r="G416" s="82">
        <v>0.35798998686802358</v>
      </c>
      <c r="H416" s="79">
        <v>37.65</v>
      </c>
      <c r="I416" s="82">
        <v>0.37636595185276478</v>
      </c>
      <c r="J416" s="79">
        <v>33.200000000000003</v>
      </c>
      <c r="K416" s="82">
        <v>0.33093918125460853</v>
      </c>
      <c r="L416" s="76">
        <v>36.75</v>
      </c>
      <c r="M416" s="82">
        <v>0.36736915619094568</v>
      </c>
      <c r="N416" s="79">
        <v>35.6</v>
      </c>
      <c r="O416" s="82">
        <v>0.3558732506230658</v>
      </c>
      <c r="P416" s="77">
        <f t="shared" si="60"/>
        <v>9.7621713660492326E-3</v>
      </c>
      <c r="Q416" s="77">
        <f t="shared" si="61"/>
        <v>2.1139766145776395E-2</v>
      </c>
      <c r="R416" s="77">
        <f t="shared" si="62"/>
        <v>3.8300204312713415E-4</v>
      </c>
      <c r="S416" s="77">
        <f t="shared" si="63"/>
        <v>1.1878907611007017E-2</v>
      </c>
      <c r="T416" s="77">
        <f t="shared" si="64"/>
        <v>3.3018673756783412E-2</v>
      </c>
      <c r="U416" s="77">
        <f t="shared" si="65"/>
        <v>2.1167362449577842E-3</v>
      </c>
      <c r="V416" s="77">
        <f t="shared" si="66"/>
        <v>2.7050805613415052E-2</v>
      </c>
      <c r="W416" s="77">
        <f t="shared" si="67"/>
        <v>3.6812976979464285E-2</v>
      </c>
      <c r="X416" s="77">
        <f t="shared" si="68"/>
        <v>1.83759649847412E-2</v>
      </c>
      <c r="Y416" s="78">
        <f t="shared" si="69"/>
        <v>-9.3791693229220985E-3</v>
      </c>
    </row>
    <row r="417" spans="1:25" x14ac:dyDescent="0.25">
      <c r="A417" s="75">
        <v>44489</v>
      </c>
      <c r="B417" s="76">
        <v>37.299999999999997</v>
      </c>
      <c r="C417" s="82">
        <v>0.37195038658033491</v>
      </c>
      <c r="D417" s="76">
        <v>39.5</v>
      </c>
      <c r="E417" s="86">
        <v>0.39388847908641372</v>
      </c>
      <c r="F417" s="76">
        <v>35.840000000000003</v>
      </c>
      <c r="G417" s="82">
        <v>0.35789502482798252</v>
      </c>
      <c r="H417" s="79">
        <v>37.75</v>
      </c>
      <c r="I417" s="82">
        <v>0.37736688770741827</v>
      </c>
      <c r="J417" s="79">
        <v>33.200000000000003</v>
      </c>
      <c r="K417" s="82">
        <v>0.33094934915525032</v>
      </c>
      <c r="L417" s="76">
        <v>36.75</v>
      </c>
      <c r="M417" s="82">
        <v>0.36737041386086422</v>
      </c>
      <c r="N417" s="79">
        <v>35.799999999999997</v>
      </c>
      <c r="O417" s="82">
        <v>0.3578737637066377</v>
      </c>
      <c r="P417" s="77">
        <f t="shared" si="60"/>
        <v>1.4055361752352391E-2</v>
      </c>
      <c r="Q417" s="77">
        <f t="shared" si="61"/>
        <v>2.193809250607881E-2</v>
      </c>
      <c r="R417" s="77">
        <f t="shared" si="62"/>
        <v>4.579972719470693E-3</v>
      </c>
      <c r="S417" s="77">
        <f t="shared" si="63"/>
        <v>1.4076622873697209E-2</v>
      </c>
      <c r="T417" s="77">
        <f t="shared" si="64"/>
        <v>3.6014715379776019E-2</v>
      </c>
      <c r="U417" s="77">
        <f t="shared" si="65"/>
        <v>2.1261121344817724E-5</v>
      </c>
      <c r="V417" s="77">
        <f t="shared" si="66"/>
        <v>2.6945675672732206E-2</v>
      </c>
      <c r="W417" s="77">
        <f t="shared" si="67"/>
        <v>4.1001037425084597E-2</v>
      </c>
      <c r="X417" s="77">
        <f t="shared" si="68"/>
        <v>1.9471862879435753E-2</v>
      </c>
      <c r="Y417" s="78">
        <f t="shared" si="69"/>
        <v>-9.4753890328816981E-3</v>
      </c>
    </row>
    <row r="418" spans="1:25" x14ac:dyDescent="0.25">
      <c r="A418" s="75">
        <v>44488</v>
      </c>
      <c r="B418" s="76">
        <v>37.06</v>
      </c>
      <c r="C418" s="82">
        <v>0.36956723676301839</v>
      </c>
      <c r="D418" s="76">
        <v>39.5</v>
      </c>
      <c r="E418" s="86">
        <v>0.39389924047866243</v>
      </c>
      <c r="F418" s="76">
        <v>35.82</v>
      </c>
      <c r="G418" s="82">
        <v>0.35770019972093792</v>
      </c>
      <c r="H418" s="79">
        <v>37.35</v>
      </c>
      <c r="I418" s="82">
        <v>0.37336957638085327</v>
      </c>
      <c r="J418" s="79">
        <v>33.5</v>
      </c>
      <c r="K418" s="82">
        <v>0.33395011573204791</v>
      </c>
      <c r="L418" s="76">
        <v>37</v>
      </c>
      <c r="M418" s="82">
        <v>0.36987079855666849</v>
      </c>
      <c r="N418" s="79">
        <v>36.01</v>
      </c>
      <c r="O418" s="82">
        <v>0.3599742555682604</v>
      </c>
      <c r="P418" s="77">
        <f t="shared" si="60"/>
        <v>1.1867037042080475E-2</v>
      </c>
      <c r="Q418" s="77">
        <f t="shared" si="61"/>
        <v>2.4332003715644035E-2</v>
      </c>
      <c r="R418" s="77">
        <f t="shared" si="62"/>
        <v>-3.0356179365009783E-4</v>
      </c>
      <c r="S418" s="77">
        <f t="shared" si="63"/>
        <v>9.5929811947579879E-3</v>
      </c>
      <c r="T418" s="77">
        <f t="shared" si="64"/>
        <v>3.3924984910402023E-2</v>
      </c>
      <c r="U418" s="77">
        <f t="shared" si="65"/>
        <v>-2.274055847322487E-3</v>
      </c>
      <c r="V418" s="77">
        <f t="shared" si="66"/>
        <v>2.3750083988890003E-2</v>
      </c>
      <c r="W418" s="77">
        <f t="shared" si="67"/>
        <v>3.5617121030970478E-2</v>
      </c>
      <c r="X418" s="77">
        <f t="shared" si="68"/>
        <v>1.5669376659915357E-2</v>
      </c>
      <c r="Y418" s="78">
        <f t="shared" si="69"/>
        <v>-1.2170598835730573E-2</v>
      </c>
    </row>
    <row r="419" spans="1:25" x14ac:dyDescent="0.25">
      <c r="A419" s="75">
        <v>44487</v>
      </c>
      <c r="B419" s="76">
        <v>37.020000000000003</v>
      </c>
      <c r="C419" s="82">
        <v>0.36917843774760262</v>
      </c>
      <c r="D419" s="76">
        <v>39.5</v>
      </c>
      <c r="E419" s="86">
        <v>0.39391000245894919</v>
      </c>
      <c r="F419" s="76">
        <v>35.85</v>
      </c>
      <c r="G419" s="82">
        <v>0.35800467845857098</v>
      </c>
      <c r="H419" s="79">
        <v>37.4</v>
      </c>
      <c r="I419" s="82">
        <v>0.37387068171625559</v>
      </c>
      <c r="J419" s="79">
        <v>33.1</v>
      </c>
      <c r="K419" s="82">
        <v>0.32997279018398212</v>
      </c>
      <c r="L419" s="76">
        <v>37.299999999999997</v>
      </c>
      <c r="M419" s="82">
        <v>0.3728710274870678</v>
      </c>
      <c r="N419" s="79">
        <v>36.4</v>
      </c>
      <c r="O419" s="82">
        <v>0.36387413942437719</v>
      </c>
      <c r="P419" s="77">
        <f t="shared" si="60"/>
        <v>1.1173759289031637E-2</v>
      </c>
      <c r="Q419" s="77">
        <f t="shared" si="61"/>
        <v>2.4731564711346576E-2</v>
      </c>
      <c r="R419" s="77">
        <f t="shared" si="62"/>
        <v>-3.6925897394651797E-3</v>
      </c>
      <c r="S419" s="77">
        <f t="shared" si="63"/>
        <v>5.3042983232254315E-3</v>
      </c>
      <c r="T419" s="77">
        <f t="shared" si="64"/>
        <v>3.0035863034572008E-2</v>
      </c>
      <c r="U419" s="77">
        <f t="shared" si="65"/>
        <v>-5.8694609658062058E-3</v>
      </c>
      <c r="V419" s="77">
        <f t="shared" si="66"/>
        <v>2.8031888274588856E-2</v>
      </c>
      <c r="W419" s="77">
        <f t="shared" si="67"/>
        <v>3.9205647563620494E-2</v>
      </c>
      <c r="X419" s="77">
        <f t="shared" si="68"/>
        <v>1.5866003257684613E-2</v>
      </c>
      <c r="Y419" s="78">
        <f t="shared" si="69"/>
        <v>-1.4866349028496817E-2</v>
      </c>
    </row>
    <row r="420" spans="1:25" x14ac:dyDescent="0.25">
      <c r="A420" s="75">
        <v>44484</v>
      </c>
      <c r="B420" s="76">
        <v>37.5</v>
      </c>
      <c r="C420" s="82">
        <v>0.37399584676758291</v>
      </c>
      <c r="D420" s="76">
        <v>40.61</v>
      </c>
      <c r="E420" s="86">
        <v>0.40501256899284122</v>
      </c>
      <c r="F420" s="76">
        <v>35.97</v>
      </c>
      <c r="G420" s="82">
        <v>0.35921776245588122</v>
      </c>
      <c r="H420" s="79">
        <v>37.75</v>
      </c>
      <c r="I420" s="82">
        <v>0.37737334730124822</v>
      </c>
      <c r="J420" s="79">
        <v>33.450000000000003</v>
      </c>
      <c r="K420" s="82">
        <v>0.33349266940269462</v>
      </c>
      <c r="L420" s="76">
        <v>37</v>
      </c>
      <c r="M420" s="82">
        <v>0.36987586358003138</v>
      </c>
      <c r="N420" s="79">
        <v>37.200000000000003</v>
      </c>
      <c r="O420" s="82">
        <v>0.37187519257235591</v>
      </c>
      <c r="P420" s="77">
        <f t="shared" si="60"/>
        <v>1.4778084311701689E-2</v>
      </c>
      <c r="Q420" s="77">
        <f t="shared" si="61"/>
        <v>3.1016722225258309E-2</v>
      </c>
      <c r="R420" s="77">
        <f t="shared" si="62"/>
        <v>4.1199831875515236E-3</v>
      </c>
      <c r="S420" s="77">
        <f t="shared" si="63"/>
        <v>2.1206541952270008E-3</v>
      </c>
      <c r="T420" s="77">
        <f t="shared" si="64"/>
        <v>3.3137376420485309E-2</v>
      </c>
      <c r="U420" s="77">
        <f t="shared" si="65"/>
        <v>-1.2657430116474688E-2</v>
      </c>
      <c r="V420" s="77">
        <f t="shared" si="66"/>
        <v>2.5725093053186598E-2</v>
      </c>
      <c r="W420" s="77">
        <f t="shared" si="67"/>
        <v>4.0503177364888288E-2</v>
      </c>
      <c r="X420" s="77">
        <f t="shared" si="68"/>
        <v>1.8155584845367001E-2</v>
      </c>
      <c r="Y420" s="78">
        <f t="shared" si="69"/>
        <v>-1.0658101124150166E-2</v>
      </c>
    </row>
    <row r="421" spans="1:25" x14ac:dyDescent="0.25">
      <c r="A421" s="75">
        <v>44483</v>
      </c>
      <c r="B421" s="76">
        <v>37.4</v>
      </c>
      <c r="C421" s="82">
        <v>0.37300871656146678</v>
      </c>
      <c r="D421" s="76">
        <v>40.5</v>
      </c>
      <c r="E421" s="86">
        <v>0.40392655135666861</v>
      </c>
      <c r="F421" s="76">
        <v>36.07</v>
      </c>
      <c r="G421" s="82">
        <v>0.36022134971339448</v>
      </c>
      <c r="H421" s="79">
        <v>38.200000000000003</v>
      </c>
      <c r="I421" s="82">
        <v>0.38187314487995427</v>
      </c>
      <c r="J421" s="79">
        <v>32.5</v>
      </c>
      <c r="K421" s="82">
        <v>0.3240312353818891</v>
      </c>
      <c r="L421" s="76">
        <v>37</v>
      </c>
      <c r="M421" s="82">
        <v>0.36987712985754728</v>
      </c>
      <c r="N421" s="79">
        <v>37.1</v>
      </c>
      <c r="O421" s="82">
        <v>0.37087679777608118</v>
      </c>
      <c r="P421" s="77">
        <f t="shared" si="60"/>
        <v>1.2787366848072301E-2</v>
      </c>
      <c r="Q421" s="77">
        <f t="shared" si="61"/>
        <v>3.0917834795201826E-2</v>
      </c>
      <c r="R421" s="77">
        <f t="shared" si="62"/>
        <v>3.1315867039194978E-3</v>
      </c>
      <c r="S421" s="77">
        <f t="shared" si="63"/>
        <v>2.1319187853856003E-3</v>
      </c>
      <c r="T421" s="77">
        <f t="shared" si="64"/>
        <v>3.3049753580587427E-2</v>
      </c>
      <c r="U421" s="77">
        <f t="shared" si="65"/>
        <v>-1.0655448062686701E-2</v>
      </c>
      <c r="V421" s="77">
        <f t="shared" si="66"/>
        <v>3.6190114331505374E-2</v>
      </c>
      <c r="W421" s="77">
        <f t="shared" si="67"/>
        <v>4.8977481179577675E-2</v>
      </c>
      <c r="X421" s="77">
        <f t="shared" si="68"/>
        <v>2.1651795166559795E-2</v>
      </c>
      <c r="Y421" s="78">
        <f t="shared" si="69"/>
        <v>-9.6557801441528035E-3</v>
      </c>
    </row>
    <row r="422" spans="1:25" x14ac:dyDescent="0.25">
      <c r="A422" s="75">
        <v>44482</v>
      </c>
      <c r="B422" s="76">
        <v>37</v>
      </c>
      <c r="C422" s="82">
        <v>0.36902940212045032</v>
      </c>
      <c r="D422" s="76">
        <v>40.56</v>
      </c>
      <c r="E422" s="86">
        <v>0.40453601486501262</v>
      </c>
      <c r="F422" s="76">
        <v>36.11</v>
      </c>
      <c r="G422" s="82">
        <v>0.36062575243515382</v>
      </c>
      <c r="H422" s="79">
        <v>38.11</v>
      </c>
      <c r="I422" s="82">
        <v>0.3809747480280456</v>
      </c>
      <c r="J422" s="79">
        <v>33.799999999999997</v>
      </c>
      <c r="K422" s="82">
        <v>0.33700284090909088</v>
      </c>
      <c r="L422" s="76">
        <v>37.5</v>
      </c>
      <c r="M422" s="82">
        <v>0.37487675284837862</v>
      </c>
      <c r="N422" s="79">
        <v>36.6</v>
      </c>
      <c r="O422" s="82">
        <v>0.36587971078001752</v>
      </c>
      <c r="P422" s="77">
        <f t="shared" si="60"/>
        <v>8.4036496852964992E-3</v>
      </c>
      <c r="Q422" s="77">
        <f t="shared" si="61"/>
        <v>3.5506612744562294E-2</v>
      </c>
      <c r="R422" s="77">
        <f t="shared" si="62"/>
        <v>-5.8473507279283021E-3</v>
      </c>
      <c r="S422" s="77">
        <f t="shared" si="63"/>
        <v>3.1496913404328031E-3</v>
      </c>
      <c r="T422" s="77">
        <f t="shared" si="64"/>
        <v>3.8656304084995097E-2</v>
      </c>
      <c r="U422" s="77">
        <f t="shared" si="65"/>
        <v>-5.2539583448636962E-3</v>
      </c>
      <c r="V422" s="77">
        <f t="shared" si="66"/>
        <v>2.362291152606294E-2</v>
      </c>
      <c r="W422" s="77">
        <f t="shared" si="67"/>
        <v>3.2026561211359439E-2</v>
      </c>
      <c r="X422" s="77">
        <f t="shared" si="68"/>
        <v>2.0348995592891772E-2</v>
      </c>
      <c r="Y422" s="78">
        <f t="shared" si="69"/>
        <v>-1.4251000413224801E-2</v>
      </c>
    </row>
    <row r="423" spans="1:25" x14ac:dyDescent="0.25">
      <c r="A423" s="75">
        <v>44481</v>
      </c>
      <c r="B423" s="76">
        <v>37.65</v>
      </c>
      <c r="C423" s="82">
        <v>0.37552261237874018</v>
      </c>
      <c r="D423" s="76">
        <v>40.5</v>
      </c>
      <c r="E423" s="86">
        <v>0.40394862686159311</v>
      </c>
      <c r="F423" s="76">
        <v>36.17</v>
      </c>
      <c r="G423" s="82">
        <v>0.36122990628633972</v>
      </c>
      <c r="H423" s="79">
        <v>38.74</v>
      </c>
      <c r="I423" s="82">
        <v>0.38727400332083739</v>
      </c>
      <c r="J423" s="79">
        <v>33.6</v>
      </c>
      <c r="K423" s="82">
        <v>0.33501903672465899</v>
      </c>
      <c r="L423" s="76">
        <v>38.4</v>
      </c>
      <c r="M423" s="82">
        <v>0.38387510912545569</v>
      </c>
      <c r="N423" s="79">
        <v>36.89</v>
      </c>
      <c r="O423" s="82">
        <v>0.36878002019890788</v>
      </c>
      <c r="P423" s="77">
        <f t="shared" si="60"/>
        <v>1.4292706092400465E-2</v>
      </c>
      <c r="Q423" s="77">
        <f t="shared" si="61"/>
        <v>2.8426014482852924E-2</v>
      </c>
      <c r="R423" s="77">
        <f t="shared" si="62"/>
        <v>-8.3524967467155098E-3</v>
      </c>
      <c r="S423" s="77">
        <f t="shared" si="63"/>
        <v>6.7425921798323074E-3</v>
      </c>
      <c r="T423" s="77">
        <f t="shared" si="64"/>
        <v>3.5168606662685231E-2</v>
      </c>
      <c r="U423" s="77">
        <f t="shared" si="65"/>
        <v>-7.5501139125681571E-3</v>
      </c>
      <c r="V423" s="77">
        <f t="shared" si="66"/>
        <v>2.6210869561680727E-2</v>
      </c>
      <c r="W423" s="77">
        <f t="shared" si="67"/>
        <v>4.0503575654081192E-2</v>
      </c>
      <c r="X423" s="77">
        <f t="shared" si="68"/>
        <v>2.6044097034497671E-2</v>
      </c>
      <c r="Y423" s="78">
        <f t="shared" si="69"/>
        <v>-2.2645202839115974E-2</v>
      </c>
    </row>
    <row r="424" spans="1:25" x14ac:dyDescent="0.25">
      <c r="A424" s="75">
        <v>44476</v>
      </c>
      <c r="B424" s="76">
        <v>37.450000000000003</v>
      </c>
      <c r="C424" s="82">
        <v>0.37357884667942071</v>
      </c>
      <c r="D424" s="76">
        <v>41</v>
      </c>
      <c r="E424" s="86">
        <v>0.40899152773981962</v>
      </c>
      <c r="F424" s="76">
        <v>36.39</v>
      </c>
      <c r="G424" s="82">
        <v>0.36345190860582838</v>
      </c>
      <c r="H424" s="79">
        <v>39.15</v>
      </c>
      <c r="I424" s="82">
        <v>0.39137936937245371</v>
      </c>
      <c r="J424" s="79">
        <v>34</v>
      </c>
      <c r="K424" s="82">
        <v>0.33905945835183232</v>
      </c>
      <c r="L424" s="76">
        <v>37.25</v>
      </c>
      <c r="M424" s="82">
        <v>0.37238522373241117</v>
      </c>
      <c r="N424" s="79">
        <v>36.799999999999997</v>
      </c>
      <c r="O424" s="82">
        <v>0.3678866102913485</v>
      </c>
      <c r="P424" s="77">
        <f t="shared" si="60"/>
        <v>1.0126938073592329E-2</v>
      </c>
      <c r="Q424" s="77">
        <f t="shared" si="61"/>
        <v>3.541268106039891E-2</v>
      </c>
      <c r="R424" s="77">
        <f t="shared" si="62"/>
        <v>1.1936229470095316E-3</v>
      </c>
      <c r="S424" s="77">
        <f t="shared" si="63"/>
        <v>5.6922363880722027E-3</v>
      </c>
      <c r="T424" s="77">
        <f t="shared" si="64"/>
        <v>4.1104917448471112E-2</v>
      </c>
      <c r="U424" s="77">
        <f t="shared" si="65"/>
        <v>-4.434701685520126E-3</v>
      </c>
      <c r="V424" s="77">
        <f t="shared" si="66"/>
        <v>2.4392450253996056E-2</v>
      </c>
      <c r="W424" s="77">
        <f t="shared" si="67"/>
        <v>3.4519388327588385E-2</v>
      </c>
      <c r="X424" s="77">
        <f t="shared" si="68"/>
        <v>2.7927460766625334E-2</v>
      </c>
      <c r="Y424" s="78">
        <f t="shared" si="69"/>
        <v>-8.933315126582797E-3</v>
      </c>
    </row>
    <row r="425" spans="1:25" x14ac:dyDescent="0.25">
      <c r="A425" s="75">
        <v>44475</v>
      </c>
      <c r="B425" s="76">
        <v>38</v>
      </c>
      <c r="C425" s="82">
        <v>0.37907567848260398</v>
      </c>
      <c r="D425" s="76">
        <v>41.7</v>
      </c>
      <c r="E425" s="86">
        <v>0.41598567875591019</v>
      </c>
      <c r="F425" s="76">
        <v>36.380000000000003</v>
      </c>
      <c r="G425" s="82">
        <v>0.36335700310580249</v>
      </c>
      <c r="H425" s="79">
        <v>39.5</v>
      </c>
      <c r="I425" s="82">
        <v>0.39487964284858379</v>
      </c>
      <c r="J425" s="79">
        <v>33.1</v>
      </c>
      <c r="K425" s="82">
        <v>0.33009450104337079</v>
      </c>
      <c r="L425" s="76">
        <v>37.35</v>
      </c>
      <c r="M425" s="82">
        <v>0.37338619393404071</v>
      </c>
      <c r="N425" s="79">
        <v>36.9</v>
      </c>
      <c r="O425" s="82">
        <v>0.36888756509146181</v>
      </c>
      <c r="P425" s="77">
        <f t="shared" si="60"/>
        <v>1.5718675376801494E-2</v>
      </c>
      <c r="Q425" s="77">
        <f t="shared" si="61"/>
        <v>3.6910000273306209E-2</v>
      </c>
      <c r="R425" s="77">
        <f t="shared" si="62"/>
        <v>5.6894845485632728E-3</v>
      </c>
      <c r="S425" s="77">
        <f t="shared" si="63"/>
        <v>1.0188113391142173E-2</v>
      </c>
      <c r="T425" s="77">
        <f t="shared" si="64"/>
        <v>4.7098113664448382E-2</v>
      </c>
      <c r="U425" s="77">
        <f t="shared" si="65"/>
        <v>-5.5305619856593213E-3</v>
      </c>
      <c r="V425" s="77">
        <f t="shared" si="66"/>
        <v>3.3262502062431698E-2</v>
      </c>
      <c r="W425" s="77">
        <f t="shared" si="67"/>
        <v>4.8981177439233192E-2</v>
      </c>
      <c r="X425" s="77">
        <f t="shared" si="68"/>
        <v>3.15226397427813E-2</v>
      </c>
      <c r="Y425" s="78">
        <f t="shared" si="69"/>
        <v>-1.0029190828238221E-2</v>
      </c>
    </row>
    <row r="426" spans="1:25" x14ac:dyDescent="0.25">
      <c r="A426" s="75">
        <v>44474</v>
      </c>
      <c r="B426" s="76">
        <v>38.5</v>
      </c>
      <c r="C426" s="82">
        <v>0.38407401333770641</v>
      </c>
      <c r="D426" s="76">
        <v>41.7</v>
      </c>
      <c r="E426" s="86">
        <v>0.41599704821252881</v>
      </c>
      <c r="F426" s="76">
        <v>36.69</v>
      </c>
      <c r="G426" s="82">
        <v>0.36645824211908928</v>
      </c>
      <c r="H426" s="79">
        <v>40</v>
      </c>
      <c r="I426" s="82">
        <v>0.39987948837336701</v>
      </c>
      <c r="J426" s="79">
        <v>34.450000000000003</v>
      </c>
      <c r="K426" s="82">
        <v>0.34356813027678362</v>
      </c>
      <c r="L426" s="76">
        <v>38</v>
      </c>
      <c r="M426" s="82">
        <v>0.37988551395469861</v>
      </c>
      <c r="N426" s="79">
        <v>37.380000000000003</v>
      </c>
      <c r="O426" s="82">
        <v>0.37368738188491141</v>
      </c>
      <c r="P426" s="77">
        <f t="shared" si="60"/>
        <v>1.7615771218617127E-2</v>
      </c>
      <c r="Q426" s="77">
        <f t="shared" si="61"/>
        <v>3.1923034874822398E-2</v>
      </c>
      <c r="R426" s="77">
        <f t="shared" si="62"/>
        <v>4.1884993830078043E-3</v>
      </c>
      <c r="S426" s="77">
        <f t="shared" si="63"/>
        <v>1.0386631452795003E-2</v>
      </c>
      <c r="T426" s="77">
        <f t="shared" si="64"/>
        <v>4.2309666327617401E-2</v>
      </c>
      <c r="U426" s="77">
        <f t="shared" si="65"/>
        <v>-7.2291397658221235E-3</v>
      </c>
      <c r="V426" s="77">
        <f t="shared" si="66"/>
        <v>2.289011184230566E-2</v>
      </c>
      <c r="W426" s="77">
        <f t="shared" si="67"/>
        <v>4.0505883060922787E-2</v>
      </c>
      <c r="X426" s="77">
        <f t="shared" si="68"/>
        <v>3.3421246254277726E-2</v>
      </c>
      <c r="Y426" s="78">
        <f t="shared" si="69"/>
        <v>-1.3427271835609322E-2</v>
      </c>
    </row>
    <row r="427" spans="1:25" x14ac:dyDescent="0.25">
      <c r="A427" s="75">
        <v>44473</v>
      </c>
      <c r="B427" s="76">
        <v>38.15</v>
      </c>
      <c r="C427" s="82">
        <v>0.38059283352010281</v>
      </c>
      <c r="D427" s="76">
        <v>41.5</v>
      </c>
      <c r="E427" s="86">
        <v>0.41401317407822452</v>
      </c>
      <c r="F427" s="76">
        <v>36.869999999999997</v>
      </c>
      <c r="G427" s="82">
        <v>0.36826111346751128</v>
      </c>
      <c r="H427" s="79">
        <v>39.74</v>
      </c>
      <c r="I427" s="82">
        <v>0.39728163184256748</v>
      </c>
      <c r="J427" s="79">
        <v>34.369999999999997</v>
      </c>
      <c r="K427" s="82">
        <v>0.34278083085425037</v>
      </c>
      <c r="L427" s="76">
        <v>37.799999999999997</v>
      </c>
      <c r="M427" s="82">
        <v>0.37788741025790262</v>
      </c>
      <c r="N427" s="79">
        <v>37.1</v>
      </c>
      <c r="O427" s="82">
        <v>0.37088949525312659</v>
      </c>
      <c r="P427" s="77">
        <f t="shared" si="60"/>
        <v>1.2331720052591533E-2</v>
      </c>
      <c r="Q427" s="77">
        <f t="shared" si="61"/>
        <v>3.3420340558121708E-2</v>
      </c>
      <c r="R427" s="77">
        <f t="shared" si="62"/>
        <v>2.7054232622001906E-3</v>
      </c>
      <c r="S427" s="77">
        <f t="shared" si="63"/>
        <v>9.7033382669762247E-3</v>
      </c>
      <c r="T427" s="77">
        <f t="shared" si="64"/>
        <v>4.3123678825097933E-2</v>
      </c>
      <c r="U427" s="77">
        <f t="shared" si="65"/>
        <v>-2.628381785615308E-3</v>
      </c>
      <c r="V427" s="77">
        <f t="shared" si="66"/>
        <v>2.5480282613260907E-2</v>
      </c>
      <c r="W427" s="77">
        <f t="shared" si="67"/>
        <v>3.781200266585244E-2</v>
      </c>
      <c r="X427" s="77">
        <f t="shared" si="68"/>
        <v>2.9020518375056203E-2</v>
      </c>
      <c r="Y427" s="78">
        <f t="shared" si="69"/>
        <v>-9.6262967903913421E-3</v>
      </c>
    </row>
    <row r="428" spans="1:25" x14ac:dyDescent="0.25">
      <c r="A428" s="75">
        <v>44470</v>
      </c>
      <c r="B428" s="76">
        <v>38.200000000000003</v>
      </c>
      <c r="C428" s="82">
        <v>0.38112289525475618</v>
      </c>
      <c r="D428" s="76">
        <v>42.08</v>
      </c>
      <c r="E428" s="86">
        <v>0.41983380712879947</v>
      </c>
      <c r="F428" s="76">
        <v>36.979999999999997</v>
      </c>
      <c r="G428" s="82">
        <v>0.36937496579278628</v>
      </c>
      <c r="H428" s="79">
        <v>39.99</v>
      </c>
      <c r="I428" s="82">
        <v>0.3997849933580751</v>
      </c>
      <c r="J428" s="79">
        <v>34.4</v>
      </c>
      <c r="K428" s="82">
        <v>0.34311166978644331</v>
      </c>
      <c r="L428" s="76">
        <v>38</v>
      </c>
      <c r="M428" s="82">
        <v>0.37989071636926358</v>
      </c>
      <c r="N428" s="79">
        <v>37.1</v>
      </c>
      <c r="O428" s="82">
        <v>0.37089330466578108</v>
      </c>
      <c r="P428" s="77">
        <f t="shared" si="60"/>
        <v>1.1747929461969897E-2</v>
      </c>
      <c r="Q428" s="77">
        <f t="shared" si="61"/>
        <v>3.8710911874043297E-2</v>
      </c>
      <c r="R428" s="77">
        <f t="shared" si="62"/>
        <v>1.2321788854925964E-3</v>
      </c>
      <c r="S428" s="77">
        <f t="shared" si="63"/>
        <v>1.0229590588975102E-2</v>
      </c>
      <c r="T428" s="77">
        <f t="shared" si="64"/>
        <v>4.8940502463018398E-2</v>
      </c>
      <c r="U428" s="77">
        <f t="shared" si="65"/>
        <v>-1.5183388729947955E-3</v>
      </c>
      <c r="V428" s="77">
        <f t="shared" si="66"/>
        <v>2.6263296006342973E-2</v>
      </c>
      <c r="W428" s="77">
        <f t="shared" si="67"/>
        <v>3.801122546831287E-2</v>
      </c>
      <c r="X428" s="77">
        <f t="shared" si="68"/>
        <v>3.0410027565288822E-2</v>
      </c>
      <c r="Y428" s="78">
        <f t="shared" si="69"/>
        <v>-1.0515750576477301E-2</v>
      </c>
    </row>
    <row r="429" spans="1:25" x14ac:dyDescent="0.25">
      <c r="A429" s="75">
        <v>44469</v>
      </c>
      <c r="B429" s="76">
        <v>39</v>
      </c>
      <c r="C429" s="82">
        <v>0.38911516278052649</v>
      </c>
      <c r="D429" s="76">
        <v>41.4</v>
      </c>
      <c r="E429" s="86">
        <v>0.41306071125932808</v>
      </c>
      <c r="F429" s="76">
        <v>37.119999999999997</v>
      </c>
      <c r="G429" s="82">
        <v>0.37077843000424171</v>
      </c>
      <c r="H429" s="79">
        <v>40</v>
      </c>
      <c r="I429" s="82">
        <v>0.39988633367912552</v>
      </c>
      <c r="J429" s="79">
        <v>34.5</v>
      </c>
      <c r="K429" s="82">
        <v>0.34411966646968201</v>
      </c>
      <c r="L429" s="76">
        <v>38</v>
      </c>
      <c r="M429" s="82">
        <v>0.37989201699516922</v>
      </c>
      <c r="N429" s="79">
        <v>37.5</v>
      </c>
      <c r="O429" s="82">
        <v>0.37489343782418011</v>
      </c>
      <c r="P429" s="77">
        <f t="shared" si="60"/>
        <v>1.8336732776284781E-2</v>
      </c>
      <c r="Q429" s="77">
        <f t="shared" si="61"/>
        <v>2.3945548478801593E-2</v>
      </c>
      <c r="R429" s="77">
        <f t="shared" si="62"/>
        <v>9.2231457853572674E-3</v>
      </c>
      <c r="S429" s="77">
        <f t="shared" si="63"/>
        <v>1.4221724956346382E-2</v>
      </c>
      <c r="T429" s="77">
        <f t="shared" si="64"/>
        <v>3.8167273435147975E-2</v>
      </c>
      <c r="U429" s="77">
        <f t="shared" si="65"/>
        <v>-4.1150078199383988E-3</v>
      </c>
      <c r="V429" s="77">
        <f t="shared" si="66"/>
        <v>2.6658763534559704E-2</v>
      </c>
      <c r="W429" s="77">
        <f t="shared" si="67"/>
        <v>4.4995496310844485E-2</v>
      </c>
      <c r="X429" s="77">
        <f t="shared" si="68"/>
        <v>2.9107903674883806E-2</v>
      </c>
      <c r="Y429" s="78">
        <f t="shared" si="69"/>
        <v>-9.1135869909275136E-3</v>
      </c>
    </row>
    <row r="430" spans="1:25" x14ac:dyDescent="0.25">
      <c r="A430" s="75">
        <v>44468</v>
      </c>
      <c r="B430" s="76">
        <v>38.9</v>
      </c>
      <c r="C430" s="82">
        <v>0.38812804111311572</v>
      </c>
      <c r="D430" s="76">
        <v>41.75</v>
      </c>
      <c r="E430" s="86">
        <v>0.41656415723579898</v>
      </c>
      <c r="F430" s="76">
        <v>37.229999999999997</v>
      </c>
      <c r="G430" s="82">
        <v>0.37188226923182183</v>
      </c>
      <c r="H430" s="79">
        <v>40.15</v>
      </c>
      <c r="I430" s="82">
        <v>0.40138728165378212</v>
      </c>
      <c r="J430" s="79">
        <v>34.75</v>
      </c>
      <c r="K430" s="82">
        <v>0.34662394359461363</v>
      </c>
      <c r="L430" s="76">
        <v>38.200000000000003</v>
      </c>
      <c r="M430" s="82">
        <v>0.38189275614382268</v>
      </c>
      <c r="N430" s="79">
        <v>37.799999999999997</v>
      </c>
      <c r="O430" s="82">
        <v>0.37789387911613859</v>
      </c>
      <c r="P430" s="77">
        <f t="shared" si="60"/>
        <v>1.6245771881293891E-2</v>
      </c>
      <c r="Q430" s="77">
        <f t="shared" si="61"/>
        <v>2.8436116122683264E-2</v>
      </c>
      <c r="R430" s="77">
        <f t="shared" si="62"/>
        <v>6.2352849692930423E-3</v>
      </c>
      <c r="S430" s="77">
        <f t="shared" si="63"/>
        <v>1.0234161996977131E-2</v>
      </c>
      <c r="T430" s="77">
        <f t="shared" si="64"/>
        <v>3.8670278119660395E-2</v>
      </c>
      <c r="U430" s="77">
        <f t="shared" si="65"/>
        <v>-6.0116098843167598E-3</v>
      </c>
      <c r="V430" s="77">
        <f t="shared" si="66"/>
        <v>2.5258325637208201E-2</v>
      </c>
      <c r="W430" s="77">
        <f t="shared" si="67"/>
        <v>4.1504097518502092E-2</v>
      </c>
      <c r="X430" s="77">
        <f t="shared" si="68"/>
        <v>2.9505012421960297E-2</v>
      </c>
      <c r="Y430" s="78">
        <f t="shared" si="69"/>
        <v>-1.0010486912000849E-2</v>
      </c>
    </row>
    <row r="431" spans="1:25" x14ac:dyDescent="0.25">
      <c r="A431" s="75">
        <v>44467</v>
      </c>
      <c r="B431" s="76">
        <v>38.450000000000003</v>
      </c>
      <c r="C431" s="82">
        <v>0.38364861540143791</v>
      </c>
      <c r="D431" s="76">
        <v>41.2</v>
      </c>
      <c r="E431" s="86">
        <v>0.41108772313496078</v>
      </c>
      <c r="F431" s="76">
        <v>37.119999999999997</v>
      </c>
      <c r="G431" s="82">
        <v>0.37078857705833251</v>
      </c>
      <c r="H431" s="79">
        <v>39.549999999999997</v>
      </c>
      <c r="I431" s="82">
        <v>0.39539031980854622</v>
      </c>
      <c r="J431" s="79">
        <v>34.5</v>
      </c>
      <c r="K431" s="82">
        <v>0.34414082649822869</v>
      </c>
      <c r="L431" s="76">
        <v>37.9</v>
      </c>
      <c r="M431" s="82">
        <v>0.37889489559403039</v>
      </c>
      <c r="N431" s="79">
        <v>37.9</v>
      </c>
      <c r="O431" s="82">
        <v>0.37889489559403039</v>
      </c>
      <c r="P431" s="77">
        <f t="shared" si="60"/>
        <v>1.2860038343105396E-2</v>
      </c>
      <c r="Q431" s="77">
        <f t="shared" si="61"/>
        <v>2.7439107733522872E-2</v>
      </c>
      <c r="R431" s="77">
        <f t="shared" si="62"/>
        <v>4.7537198074075193E-3</v>
      </c>
      <c r="S431" s="77">
        <f t="shared" si="63"/>
        <v>4.7537198074075193E-3</v>
      </c>
      <c r="T431" s="77">
        <f t="shared" si="64"/>
        <v>3.2192827540930391E-2</v>
      </c>
      <c r="U431" s="77">
        <f t="shared" si="65"/>
        <v>-8.1063185356978762E-3</v>
      </c>
      <c r="V431" s="77">
        <f t="shared" si="66"/>
        <v>2.6647750560103822E-2</v>
      </c>
      <c r="W431" s="77">
        <f t="shared" si="67"/>
        <v>3.9507788903209218E-2</v>
      </c>
      <c r="X431" s="77">
        <f t="shared" si="68"/>
        <v>2.4601742750213706E-2</v>
      </c>
      <c r="Y431" s="78">
        <f t="shared" si="69"/>
        <v>-8.1063185356978762E-3</v>
      </c>
    </row>
    <row r="432" spans="1:25" x14ac:dyDescent="0.25">
      <c r="A432" s="75">
        <v>44466</v>
      </c>
      <c r="B432" s="76">
        <v>38.450000000000003</v>
      </c>
      <c r="C432" s="82">
        <v>0.38365910333515579</v>
      </c>
      <c r="D432" s="76">
        <v>40.700000000000003</v>
      </c>
      <c r="E432" s="86">
        <v>0.40610989611809728</v>
      </c>
      <c r="F432" s="76">
        <v>37.200000000000003</v>
      </c>
      <c r="G432" s="82">
        <v>0.37159277504105093</v>
      </c>
      <c r="H432" s="79">
        <v>39.1</v>
      </c>
      <c r="I432" s="82">
        <v>0.39089290605313609</v>
      </c>
      <c r="J432" s="79">
        <v>34.1</v>
      </c>
      <c r="K432" s="82">
        <v>0.34016124624214272</v>
      </c>
      <c r="L432" s="76">
        <v>37.799999999999997</v>
      </c>
      <c r="M432" s="82">
        <v>0.37789646672144622</v>
      </c>
      <c r="N432" s="79">
        <v>37.4</v>
      </c>
      <c r="O432" s="82">
        <v>0.37389756231169541</v>
      </c>
      <c r="P432" s="77">
        <f t="shared" si="60"/>
        <v>1.2066328294104867E-2</v>
      </c>
      <c r="Q432" s="77">
        <f t="shared" si="61"/>
        <v>2.2450792782941487E-2</v>
      </c>
      <c r="R432" s="77">
        <f t="shared" si="62"/>
        <v>5.7626366137095708E-3</v>
      </c>
      <c r="S432" s="77">
        <f t="shared" si="63"/>
        <v>9.761541023460385E-3</v>
      </c>
      <c r="T432" s="77">
        <f t="shared" si="64"/>
        <v>3.2212333806401872E-2</v>
      </c>
      <c r="U432" s="77">
        <f t="shared" si="65"/>
        <v>-2.3047872706444816E-3</v>
      </c>
      <c r="V432" s="77">
        <f t="shared" si="66"/>
        <v>3.1431528798908204E-2</v>
      </c>
      <c r="W432" s="77">
        <f t="shared" si="67"/>
        <v>4.349785709301307E-2</v>
      </c>
      <c r="X432" s="77">
        <f t="shared" si="68"/>
        <v>1.9300131012085164E-2</v>
      </c>
      <c r="Y432" s="78">
        <f t="shared" si="69"/>
        <v>-6.3036916803952958E-3</v>
      </c>
    </row>
    <row r="433" spans="1:25" x14ac:dyDescent="0.25">
      <c r="A433" s="75">
        <v>44463</v>
      </c>
      <c r="B433" s="76">
        <v>38.56</v>
      </c>
      <c r="C433" s="82">
        <v>0.38478825491429042</v>
      </c>
      <c r="D433" s="76">
        <v>40.9</v>
      </c>
      <c r="E433" s="86">
        <v>0.40813899445006419</v>
      </c>
      <c r="F433" s="76">
        <v>37.36</v>
      </c>
      <c r="G433" s="82">
        <v>0.37320634399332209</v>
      </c>
      <c r="H433" s="79">
        <v>38.6</v>
      </c>
      <c r="I433" s="82">
        <v>0.38589823916296051</v>
      </c>
      <c r="J433" s="79">
        <v>34.44</v>
      </c>
      <c r="K433" s="82">
        <v>0.34358457496421158</v>
      </c>
      <c r="L433" s="76">
        <v>37.35</v>
      </c>
      <c r="M433" s="82">
        <v>0.37340153452685432</v>
      </c>
      <c r="N433" s="79">
        <v>37.950000000000003</v>
      </c>
      <c r="O433" s="82">
        <v>0.37939995275218519</v>
      </c>
      <c r="P433" s="77">
        <f t="shared" si="60"/>
        <v>1.158191092096833E-2</v>
      </c>
      <c r="Q433" s="77">
        <f t="shared" si="61"/>
        <v>2.3350739535773768E-2</v>
      </c>
      <c r="R433" s="77">
        <f t="shared" si="62"/>
        <v>1.13867203874361E-2</v>
      </c>
      <c r="S433" s="77">
        <f t="shared" si="63"/>
        <v>5.3883021621052296E-3</v>
      </c>
      <c r="T433" s="77">
        <f t="shared" si="64"/>
        <v>2.8739041697878998E-2</v>
      </c>
      <c r="U433" s="77">
        <f t="shared" si="65"/>
        <v>-6.1936087588631006E-3</v>
      </c>
      <c r="V433" s="77">
        <f t="shared" si="66"/>
        <v>2.9621769029110512E-2</v>
      </c>
      <c r="W433" s="77">
        <f t="shared" si="67"/>
        <v>4.1203679950078842E-2</v>
      </c>
      <c r="X433" s="77">
        <f t="shared" si="68"/>
        <v>1.2691895169638423E-2</v>
      </c>
      <c r="Y433" s="78">
        <f t="shared" si="69"/>
        <v>-1.9519053353223015E-4</v>
      </c>
    </row>
    <row r="434" spans="1:25" x14ac:dyDescent="0.25">
      <c r="A434" s="75">
        <v>44462</v>
      </c>
      <c r="B434" s="76">
        <v>39.299999999999997</v>
      </c>
      <c r="C434" s="82">
        <v>0.39218339895013121</v>
      </c>
      <c r="D434" s="76">
        <v>41.41</v>
      </c>
      <c r="E434" s="86">
        <v>0.41323955599300077</v>
      </c>
      <c r="F434" s="76">
        <v>37.64</v>
      </c>
      <c r="G434" s="82">
        <v>0.37600853905523018</v>
      </c>
      <c r="H434" s="79">
        <v>39.1</v>
      </c>
      <c r="I434" s="82">
        <v>0.39089825935715361</v>
      </c>
      <c r="J434" s="79">
        <v>34.549999999999997</v>
      </c>
      <c r="K434" s="82">
        <v>0.34469256946057858</v>
      </c>
      <c r="L434" s="76">
        <v>38</v>
      </c>
      <c r="M434" s="82">
        <v>0.37990112162587819</v>
      </c>
      <c r="N434" s="79">
        <v>37.9</v>
      </c>
      <c r="O434" s="82">
        <v>0.37890138183212579</v>
      </c>
      <c r="P434" s="77">
        <f t="shared" si="60"/>
        <v>1.6174859894901028E-2</v>
      </c>
      <c r="Q434" s="77">
        <f t="shared" si="61"/>
        <v>2.1056157042869561E-2</v>
      </c>
      <c r="R434" s="77">
        <f t="shared" si="62"/>
        <v>1.2282277324253021E-2</v>
      </c>
      <c r="S434" s="77">
        <f t="shared" si="63"/>
        <v>1.3282017118005418E-2</v>
      </c>
      <c r="T434" s="77">
        <f t="shared" si="64"/>
        <v>3.4338174160874979E-2</v>
      </c>
      <c r="U434" s="77">
        <f t="shared" si="65"/>
        <v>-2.89284277689561E-3</v>
      </c>
      <c r="V434" s="77">
        <f t="shared" si="66"/>
        <v>3.1315969594651605E-2</v>
      </c>
      <c r="W434" s="77">
        <f t="shared" si="67"/>
        <v>4.7490829489552633E-2</v>
      </c>
      <c r="X434" s="77">
        <f t="shared" si="68"/>
        <v>1.4889720301923426E-2</v>
      </c>
      <c r="Y434" s="78">
        <f t="shared" si="69"/>
        <v>-3.8925825706480066E-3</v>
      </c>
    </row>
    <row r="435" spans="1:25" x14ac:dyDescent="0.25">
      <c r="A435" s="75">
        <v>44461</v>
      </c>
      <c r="B435" s="76">
        <v>39.6</v>
      </c>
      <c r="C435" s="82">
        <v>0.39518796992481198</v>
      </c>
      <c r="D435" s="76">
        <v>41.5</v>
      </c>
      <c r="E435" s="86">
        <v>0.41414900888585099</v>
      </c>
      <c r="F435" s="76">
        <v>37.69</v>
      </c>
      <c r="G435" s="82">
        <v>0.37651317139924728</v>
      </c>
      <c r="H435" s="79">
        <v>39.4</v>
      </c>
      <c r="I435" s="82">
        <v>0.3938988273559873</v>
      </c>
      <c r="J435" s="79">
        <v>34.25</v>
      </c>
      <c r="K435" s="82">
        <v>0.3417100879815495</v>
      </c>
      <c r="L435" s="76">
        <v>38.36</v>
      </c>
      <c r="M435" s="82">
        <v>0.38350149790293592</v>
      </c>
      <c r="N435" s="79">
        <v>38.200000000000003</v>
      </c>
      <c r="O435" s="82">
        <v>0.38190190875631258</v>
      </c>
      <c r="P435" s="77">
        <f t="shared" si="60"/>
        <v>1.8674798525564695E-2</v>
      </c>
      <c r="Q435" s="77">
        <f t="shared" si="61"/>
        <v>1.8961038961039012E-2</v>
      </c>
      <c r="R435" s="77">
        <f t="shared" si="62"/>
        <v>1.168647202187606E-2</v>
      </c>
      <c r="S435" s="77">
        <f t="shared" si="63"/>
        <v>1.3286061168499397E-2</v>
      </c>
      <c r="T435" s="77">
        <f t="shared" si="64"/>
        <v>3.2247100129538409E-2</v>
      </c>
      <c r="U435" s="77">
        <f t="shared" si="65"/>
        <v>-5.3887373570652985E-3</v>
      </c>
      <c r="V435" s="77">
        <f t="shared" si="66"/>
        <v>3.4803083417697778E-2</v>
      </c>
      <c r="W435" s="77">
        <f t="shared" si="67"/>
        <v>5.3477881943262473E-2</v>
      </c>
      <c r="X435" s="77">
        <f t="shared" si="68"/>
        <v>1.738565595674002E-2</v>
      </c>
      <c r="Y435" s="78">
        <f t="shared" si="69"/>
        <v>-6.9883265036886355E-3</v>
      </c>
    </row>
    <row r="436" spans="1:25" x14ac:dyDescent="0.25">
      <c r="A436" s="75">
        <v>44460</v>
      </c>
      <c r="B436" s="76">
        <v>39.799999999999997</v>
      </c>
      <c r="C436" s="82">
        <v>0.39719472849565263</v>
      </c>
      <c r="D436" s="76">
        <v>41.2</v>
      </c>
      <c r="E436" s="86">
        <v>0.41116640236233393</v>
      </c>
      <c r="F436" s="76">
        <v>37.76</v>
      </c>
      <c r="G436" s="82">
        <v>0.37721761502039031</v>
      </c>
      <c r="H436" s="79">
        <v>39.64</v>
      </c>
      <c r="I436" s="82">
        <v>0.39629956791771948</v>
      </c>
      <c r="J436" s="79">
        <v>35</v>
      </c>
      <c r="K436" s="82">
        <v>0.34920352893742362</v>
      </c>
      <c r="L436" s="76">
        <v>38.74</v>
      </c>
      <c r="M436" s="82">
        <v>0.38730184816176733</v>
      </c>
      <c r="N436" s="79">
        <v>38.5</v>
      </c>
      <c r="O436" s="82">
        <v>0.3849024562268466</v>
      </c>
      <c r="P436" s="77">
        <f t="shared" si="60"/>
        <v>1.997711347526232E-2</v>
      </c>
      <c r="Q436" s="77">
        <f t="shared" si="61"/>
        <v>1.39716738666813E-2</v>
      </c>
      <c r="R436" s="77">
        <f t="shared" si="62"/>
        <v>9.8928803338853011E-3</v>
      </c>
      <c r="S436" s="77">
        <f t="shared" si="63"/>
        <v>1.2292272268806026E-2</v>
      </c>
      <c r="T436" s="77">
        <f t="shared" si="64"/>
        <v>2.6263946135487326E-2</v>
      </c>
      <c r="U436" s="77">
        <f t="shared" si="65"/>
        <v>-7.6848412064562943E-3</v>
      </c>
      <c r="V436" s="77">
        <f t="shared" si="66"/>
        <v>2.8014086082966683E-2</v>
      </c>
      <c r="W436" s="77">
        <f t="shared" si="67"/>
        <v>4.7991199558229003E-2</v>
      </c>
      <c r="X436" s="77">
        <f t="shared" si="68"/>
        <v>1.9081952897329169E-2</v>
      </c>
      <c r="Y436" s="78">
        <f t="shared" si="69"/>
        <v>-1.0084233141377019E-2</v>
      </c>
    </row>
    <row r="437" spans="1:25" x14ac:dyDescent="0.25">
      <c r="A437" s="75">
        <v>44459</v>
      </c>
      <c r="B437" s="76">
        <v>40</v>
      </c>
      <c r="C437" s="82">
        <v>0.39920159680638723</v>
      </c>
      <c r="D437" s="76">
        <v>43.5</v>
      </c>
      <c r="E437" s="86">
        <v>0.43413173652694609</v>
      </c>
      <c r="F437" s="76">
        <v>37.880000000000003</v>
      </c>
      <c r="G437" s="82">
        <v>0.37842157842157842</v>
      </c>
      <c r="H437" s="79">
        <v>40.04</v>
      </c>
      <c r="I437" s="82">
        <v>0.40029992501874528</v>
      </c>
      <c r="J437" s="79">
        <v>35.15</v>
      </c>
      <c r="K437" s="82">
        <v>0.35071090047393372</v>
      </c>
      <c r="L437" s="76">
        <v>38.619999999999997</v>
      </c>
      <c r="M437" s="82">
        <v>0.38610347413146712</v>
      </c>
      <c r="N437" s="79">
        <v>38.5</v>
      </c>
      <c r="O437" s="82">
        <v>0.3849037740564859</v>
      </c>
      <c r="P437" s="77">
        <f t="shared" si="60"/>
        <v>2.0780018384808807E-2</v>
      </c>
      <c r="Q437" s="77">
        <f t="shared" si="61"/>
        <v>3.4930139720558862E-2</v>
      </c>
      <c r="R437" s="77">
        <f t="shared" si="62"/>
        <v>1.309812267492011E-2</v>
      </c>
      <c r="S437" s="77">
        <f t="shared" si="63"/>
        <v>1.4297822749901323E-2</v>
      </c>
      <c r="T437" s="77">
        <f t="shared" si="64"/>
        <v>4.9227962470460185E-2</v>
      </c>
      <c r="U437" s="77">
        <f t="shared" si="65"/>
        <v>-6.4821956349074838E-3</v>
      </c>
      <c r="V437" s="77">
        <f t="shared" si="66"/>
        <v>2.7710677947644702E-2</v>
      </c>
      <c r="W437" s="77">
        <f t="shared" si="67"/>
        <v>4.8490696332453509E-2</v>
      </c>
      <c r="X437" s="77">
        <f t="shared" si="68"/>
        <v>2.1878346597166864E-2</v>
      </c>
      <c r="Y437" s="78">
        <f t="shared" si="69"/>
        <v>-7.6818957098886975E-3</v>
      </c>
    </row>
    <row r="438" spans="1:25" x14ac:dyDescent="0.25">
      <c r="A438" s="75">
        <v>44456</v>
      </c>
      <c r="B438" s="76">
        <v>40.1</v>
      </c>
      <c r="C438" s="82">
        <v>0.4002324309543342</v>
      </c>
      <c r="D438" s="76">
        <v>43.5</v>
      </c>
      <c r="E438" s="86">
        <v>0.43416735028712061</v>
      </c>
      <c r="F438" s="76">
        <v>38.1</v>
      </c>
      <c r="G438" s="82">
        <v>0.38063500752702889</v>
      </c>
      <c r="H438" s="79">
        <v>40.85</v>
      </c>
      <c r="I438" s="82">
        <v>0.40840209538809191</v>
      </c>
      <c r="J438" s="79">
        <v>35.799999999999997</v>
      </c>
      <c r="K438" s="82">
        <v>0.35722926562553392</v>
      </c>
      <c r="L438" s="76">
        <v>39.200000000000003</v>
      </c>
      <c r="M438" s="82">
        <v>0.39190604991953992</v>
      </c>
      <c r="N438" s="79">
        <v>39.15</v>
      </c>
      <c r="O438" s="82">
        <v>0.39140616975382608</v>
      </c>
      <c r="P438" s="77">
        <f t="shared" si="60"/>
        <v>1.9597423427305305E-2</v>
      </c>
      <c r="Q438" s="77">
        <f t="shared" si="61"/>
        <v>3.3934919332786417E-2</v>
      </c>
      <c r="R438" s="77">
        <f t="shared" si="62"/>
        <v>8.3263810347942724E-3</v>
      </c>
      <c r="S438" s="77">
        <f t="shared" si="63"/>
        <v>8.826261200508112E-3</v>
      </c>
      <c r="T438" s="77">
        <f t="shared" si="64"/>
        <v>4.2761180533294529E-2</v>
      </c>
      <c r="U438" s="77">
        <f t="shared" si="65"/>
        <v>-1.0771162226797193E-2</v>
      </c>
      <c r="V438" s="77">
        <f t="shared" si="66"/>
        <v>2.340574190149497E-2</v>
      </c>
      <c r="W438" s="77">
        <f t="shared" si="67"/>
        <v>4.3003165328800275E-2</v>
      </c>
      <c r="X438" s="77">
        <f t="shared" si="68"/>
        <v>2.7767087861063022E-2</v>
      </c>
      <c r="Y438" s="78">
        <f t="shared" si="69"/>
        <v>-1.1271042392511033E-2</v>
      </c>
    </row>
    <row r="439" spans="1:25" x14ac:dyDescent="0.25">
      <c r="A439" s="75">
        <v>44455</v>
      </c>
      <c r="B439" s="76">
        <v>40.200000000000003</v>
      </c>
      <c r="C439" s="82">
        <v>0.40124148869260851</v>
      </c>
      <c r="D439" s="76">
        <v>43</v>
      </c>
      <c r="E439" s="86">
        <v>0.42918865705925779</v>
      </c>
      <c r="F439" s="76">
        <v>38.18</v>
      </c>
      <c r="G439" s="82">
        <v>0.38143946133107071</v>
      </c>
      <c r="H439" s="79">
        <v>41.29</v>
      </c>
      <c r="I439" s="82">
        <v>0.41280245421458628</v>
      </c>
      <c r="J439" s="79">
        <v>35.799999999999997</v>
      </c>
      <c r="K439" s="82">
        <v>0.35724025275014443</v>
      </c>
      <c r="L439" s="76">
        <v>39.5</v>
      </c>
      <c r="M439" s="82">
        <v>0.39490668300983672</v>
      </c>
      <c r="N439" s="79">
        <v>39.25</v>
      </c>
      <c r="O439" s="82">
        <v>0.39240727362369848</v>
      </c>
      <c r="P439" s="77">
        <f t="shared" si="60"/>
        <v>1.98020273615378E-2</v>
      </c>
      <c r="Q439" s="77">
        <f t="shared" si="61"/>
        <v>2.7947168366649289E-2</v>
      </c>
      <c r="R439" s="77">
        <f t="shared" si="62"/>
        <v>6.3348056827717825E-3</v>
      </c>
      <c r="S439" s="77">
        <f t="shared" si="63"/>
        <v>8.8342150689100229E-3</v>
      </c>
      <c r="T439" s="77">
        <f t="shared" si="64"/>
        <v>3.6781383435559312E-2</v>
      </c>
      <c r="U439" s="77">
        <f t="shared" si="65"/>
        <v>-1.0967812292627777E-2</v>
      </c>
      <c r="V439" s="77">
        <f t="shared" si="66"/>
        <v>2.4199208580926279E-2</v>
      </c>
      <c r="W439" s="77">
        <f t="shared" si="67"/>
        <v>4.4001235942464079E-2</v>
      </c>
      <c r="X439" s="77">
        <f t="shared" si="68"/>
        <v>3.1362992883515572E-2</v>
      </c>
      <c r="Y439" s="78">
        <f t="shared" si="69"/>
        <v>-1.3467221678766017E-2</v>
      </c>
    </row>
    <row r="440" spans="1:25" x14ac:dyDescent="0.25">
      <c r="A440" s="75">
        <v>44454</v>
      </c>
      <c r="B440" s="76">
        <v>39.799999999999997</v>
      </c>
      <c r="C440" s="82">
        <v>0.39725989936556549</v>
      </c>
      <c r="D440" s="76">
        <v>43.5</v>
      </c>
      <c r="E440" s="86">
        <v>0.4341910960402538</v>
      </c>
      <c r="F440" s="76">
        <v>38.159999999999997</v>
      </c>
      <c r="G440" s="82">
        <v>0.38124486779438332</v>
      </c>
      <c r="H440" s="79">
        <v>41.41</v>
      </c>
      <c r="I440" s="82">
        <v>0.41400358820548638</v>
      </c>
      <c r="J440" s="79">
        <v>35.6</v>
      </c>
      <c r="K440" s="82">
        <v>0.35525542356431039</v>
      </c>
      <c r="L440" s="76">
        <v>39.450000000000003</v>
      </c>
      <c r="M440" s="82">
        <v>0.39440815152635689</v>
      </c>
      <c r="N440" s="79">
        <v>39.299999999999997</v>
      </c>
      <c r="O440" s="82">
        <v>0.39290850076009692</v>
      </c>
      <c r="P440" s="77">
        <f t="shared" si="60"/>
        <v>1.601503157118217E-2</v>
      </c>
      <c r="Q440" s="77">
        <f t="shared" si="61"/>
        <v>3.6931196674688305E-2</v>
      </c>
      <c r="R440" s="77">
        <f t="shared" si="62"/>
        <v>2.8517478392086071E-3</v>
      </c>
      <c r="S440" s="77">
        <f t="shared" si="63"/>
        <v>4.3513986054685705E-3</v>
      </c>
      <c r="T440" s="77">
        <f t="shared" si="64"/>
        <v>4.1282595280156875E-2</v>
      </c>
      <c r="U440" s="77">
        <f t="shared" si="65"/>
        <v>-1.16636329657136E-2</v>
      </c>
      <c r="V440" s="77">
        <f t="shared" si="66"/>
        <v>2.5989444230072933E-2</v>
      </c>
      <c r="W440" s="77">
        <f t="shared" si="67"/>
        <v>4.2004475801255103E-2</v>
      </c>
      <c r="X440" s="77">
        <f t="shared" si="68"/>
        <v>3.2758720411103059E-2</v>
      </c>
      <c r="Y440" s="78">
        <f t="shared" si="69"/>
        <v>-1.3163283731973563E-2</v>
      </c>
    </row>
    <row r="441" spans="1:25" x14ac:dyDescent="0.25">
      <c r="A441" s="75">
        <v>44453</v>
      </c>
      <c r="B441" s="76">
        <v>39.35</v>
      </c>
      <c r="C441" s="82">
        <v>0.39277900839554791</v>
      </c>
      <c r="D441" s="76">
        <v>43</v>
      </c>
      <c r="E441" s="86">
        <v>0.42921213115650719</v>
      </c>
      <c r="F441" s="76">
        <v>38.270000000000003</v>
      </c>
      <c r="G441" s="82">
        <v>0.38234907687464931</v>
      </c>
      <c r="H441" s="79">
        <v>41.1</v>
      </c>
      <c r="I441" s="82">
        <v>0.4109057168389445</v>
      </c>
      <c r="J441" s="79">
        <v>35.619999999999997</v>
      </c>
      <c r="K441" s="82">
        <v>0.35546593849003588</v>
      </c>
      <c r="L441" s="76">
        <v>39.4</v>
      </c>
      <c r="M441" s="82">
        <v>0.3939096166290611</v>
      </c>
      <c r="N441" s="79">
        <v>39.4</v>
      </c>
      <c r="O441" s="82">
        <v>0.3939096166290611</v>
      </c>
      <c r="P441" s="77">
        <f t="shared" si="60"/>
        <v>1.0429931520898605E-2</v>
      </c>
      <c r="Q441" s="77">
        <f t="shared" si="61"/>
        <v>3.643312276095928E-2</v>
      </c>
      <c r="R441" s="77">
        <f t="shared" si="62"/>
        <v>-1.1306082335131862E-3</v>
      </c>
      <c r="S441" s="77">
        <f t="shared" si="63"/>
        <v>-1.1306082335131862E-3</v>
      </c>
      <c r="T441" s="77">
        <f t="shared" si="64"/>
        <v>3.5302514527446094E-2</v>
      </c>
      <c r="U441" s="77">
        <f t="shared" si="65"/>
        <v>-1.1560539754411792E-2</v>
      </c>
      <c r="V441" s="77">
        <f t="shared" si="66"/>
        <v>2.6883138384613425E-2</v>
      </c>
      <c r="W441" s="77">
        <f t="shared" si="67"/>
        <v>3.7313069905512031E-2</v>
      </c>
      <c r="X441" s="77">
        <f t="shared" si="68"/>
        <v>2.8556639964295194E-2</v>
      </c>
      <c r="Y441" s="78">
        <f t="shared" si="69"/>
        <v>-1.1560539754411792E-2</v>
      </c>
    </row>
    <row r="442" spans="1:25" x14ac:dyDescent="0.25">
      <c r="A442" s="75">
        <v>44452</v>
      </c>
      <c r="B442" s="76">
        <v>39.6</v>
      </c>
      <c r="C442" s="82">
        <v>0.39528523765246398</v>
      </c>
      <c r="D442" s="76">
        <v>43.4</v>
      </c>
      <c r="E442" s="86">
        <v>0.43321664934638732</v>
      </c>
      <c r="F442" s="76">
        <v>38.43</v>
      </c>
      <c r="G442" s="82">
        <v>0.38395286453343552</v>
      </c>
      <c r="H442" s="79">
        <v>41.57</v>
      </c>
      <c r="I442" s="82">
        <v>0.41560606164360109</v>
      </c>
      <c r="J442" s="79">
        <v>35.61</v>
      </c>
      <c r="K442" s="82">
        <v>0.35537707540140939</v>
      </c>
      <c r="L442" s="76">
        <v>39.65</v>
      </c>
      <c r="M442" s="82">
        <v>0.39641040038895309</v>
      </c>
      <c r="N442" s="79">
        <v>39.5</v>
      </c>
      <c r="O442" s="82">
        <v>0.39491073935343379</v>
      </c>
      <c r="P442" s="77">
        <f t="shared" si="60"/>
        <v>1.133237311902846E-2</v>
      </c>
      <c r="Q442" s="77">
        <f t="shared" si="61"/>
        <v>3.7931411693923334E-2</v>
      </c>
      <c r="R442" s="77">
        <f t="shared" si="62"/>
        <v>-1.1251627364891048E-3</v>
      </c>
      <c r="S442" s="77">
        <f t="shared" si="63"/>
        <v>3.7449829903019038E-4</v>
      </c>
      <c r="T442" s="77">
        <f t="shared" si="64"/>
        <v>3.8305909992953524E-2</v>
      </c>
      <c r="U442" s="77">
        <f t="shared" si="65"/>
        <v>-1.095787481999827E-2</v>
      </c>
      <c r="V442" s="77">
        <f t="shared" si="66"/>
        <v>2.857578913202613E-2</v>
      </c>
      <c r="W442" s="77">
        <f t="shared" si="67"/>
        <v>3.9908162251054591E-2</v>
      </c>
      <c r="X442" s="77">
        <f t="shared" si="68"/>
        <v>3.1653197110165565E-2</v>
      </c>
      <c r="Y442" s="78">
        <f t="shared" si="69"/>
        <v>-1.2457535855517565E-2</v>
      </c>
    </row>
    <row r="443" spans="1:25" x14ac:dyDescent="0.25">
      <c r="A443" s="75">
        <v>44449</v>
      </c>
      <c r="B443" s="76">
        <v>38.9</v>
      </c>
      <c r="C443" s="82">
        <v>0.38832973224297779</v>
      </c>
      <c r="D443" s="76">
        <v>41.75</v>
      </c>
      <c r="E443" s="86">
        <v>0.4167806252222192</v>
      </c>
      <c r="F443" s="76">
        <v>37.68</v>
      </c>
      <c r="G443" s="82">
        <v>0.37647509683423902</v>
      </c>
      <c r="H443" s="79">
        <v>39.5</v>
      </c>
      <c r="I443" s="82">
        <v>0.39491479578036248</v>
      </c>
      <c r="J443" s="79">
        <v>34.51</v>
      </c>
      <c r="K443" s="82">
        <v>0.34443119012055362</v>
      </c>
      <c r="L443" s="76">
        <v>38.6</v>
      </c>
      <c r="M443" s="82">
        <v>0.38591673714232888</v>
      </c>
      <c r="N443" s="79">
        <v>38.950000000000003</v>
      </c>
      <c r="O443" s="82">
        <v>0.38941598216823092</v>
      </c>
      <c r="P443" s="77">
        <f t="shared" si="60"/>
        <v>1.1854635408738767E-2</v>
      </c>
      <c r="Q443" s="77">
        <f t="shared" si="61"/>
        <v>2.8450892979241416E-2</v>
      </c>
      <c r="R443" s="77">
        <f t="shared" si="62"/>
        <v>2.412995100648907E-3</v>
      </c>
      <c r="S443" s="77">
        <f t="shared" si="63"/>
        <v>-1.0862499252531355E-3</v>
      </c>
      <c r="T443" s="77">
        <f t="shared" si="64"/>
        <v>2.736464305398828E-2</v>
      </c>
      <c r="U443" s="77">
        <f t="shared" si="65"/>
        <v>-1.2940885333991903E-2</v>
      </c>
      <c r="V443" s="77">
        <f t="shared" si="66"/>
        <v>3.2043906713685399E-2</v>
      </c>
      <c r="W443" s="77">
        <f t="shared" si="67"/>
        <v>4.3898542122424167E-2</v>
      </c>
      <c r="X443" s="77">
        <f t="shared" si="68"/>
        <v>1.8439698946123462E-2</v>
      </c>
      <c r="Y443" s="78">
        <f t="shared" si="69"/>
        <v>-9.4416403080898603E-3</v>
      </c>
    </row>
    <row r="444" spans="1:25" x14ac:dyDescent="0.25">
      <c r="A444" s="75">
        <v>44448</v>
      </c>
      <c r="B444" s="76">
        <v>38.700000000000003</v>
      </c>
      <c r="C444" s="82">
        <v>0.38634374487172479</v>
      </c>
      <c r="D444" s="76">
        <v>41.75</v>
      </c>
      <c r="E444" s="86">
        <v>0.41679202450631803</v>
      </c>
      <c r="F444" s="76">
        <v>37.74</v>
      </c>
      <c r="G444" s="82">
        <v>0.37707974049437459</v>
      </c>
      <c r="H444" s="79">
        <v>40.1</v>
      </c>
      <c r="I444" s="82">
        <v>0.40091487423903138</v>
      </c>
      <c r="J444" s="79">
        <v>35.6</v>
      </c>
      <c r="K444" s="82">
        <v>0.35532099617853558</v>
      </c>
      <c r="L444" s="76">
        <v>38.9</v>
      </c>
      <c r="M444" s="82">
        <v>0.38891742164334969</v>
      </c>
      <c r="N444" s="79">
        <v>38.799999999999997</v>
      </c>
      <c r="O444" s="82">
        <v>0.38791763392704293</v>
      </c>
      <c r="P444" s="77">
        <f t="shared" si="60"/>
        <v>9.264004377350199E-3</v>
      </c>
      <c r="Q444" s="77">
        <f t="shared" si="61"/>
        <v>3.0448279634593234E-2</v>
      </c>
      <c r="R444" s="77">
        <f t="shared" si="62"/>
        <v>-2.5736767716248998E-3</v>
      </c>
      <c r="S444" s="77">
        <f t="shared" si="63"/>
        <v>-1.5738890553181339E-3</v>
      </c>
      <c r="T444" s="77">
        <f t="shared" si="64"/>
        <v>2.88743905792751E-2</v>
      </c>
      <c r="U444" s="77">
        <f t="shared" si="65"/>
        <v>-1.0837893432668333E-2</v>
      </c>
      <c r="V444" s="77">
        <f t="shared" si="66"/>
        <v>2.1758744315839018E-2</v>
      </c>
      <c r="W444" s="77">
        <f t="shared" si="67"/>
        <v>3.1022748693189217E-2</v>
      </c>
      <c r="X444" s="77">
        <f t="shared" si="68"/>
        <v>2.3835133744656789E-2</v>
      </c>
      <c r="Y444" s="78">
        <f t="shared" si="69"/>
        <v>-1.1837681148975099E-2</v>
      </c>
    </row>
    <row r="445" spans="1:25" x14ac:dyDescent="0.25">
      <c r="A445" s="75">
        <v>44447</v>
      </c>
      <c r="B445" s="76">
        <v>38.799999999999997</v>
      </c>
      <c r="C445" s="82">
        <v>0.38735264352725579</v>
      </c>
      <c r="D445" s="76">
        <v>42.5</v>
      </c>
      <c r="E445" s="86">
        <v>0.42429091108011269</v>
      </c>
      <c r="F445" s="76">
        <v>37.79</v>
      </c>
      <c r="G445" s="82">
        <v>0.37758448419813578</v>
      </c>
      <c r="H445" s="79">
        <v>40.35</v>
      </c>
      <c r="I445" s="82">
        <v>0.40341572479721699</v>
      </c>
      <c r="J445" s="79">
        <v>35.869999999999997</v>
      </c>
      <c r="K445" s="82">
        <v>0.35802686045756432</v>
      </c>
      <c r="L445" s="76">
        <v>39.15</v>
      </c>
      <c r="M445" s="82">
        <v>0.39141823112295032</v>
      </c>
      <c r="N445" s="79">
        <v>39.049999999999997</v>
      </c>
      <c r="O445" s="82">
        <v>0.39041843998342812</v>
      </c>
      <c r="P445" s="77">
        <f t="shared" si="60"/>
        <v>9.7681593291200075E-3</v>
      </c>
      <c r="Q445" s="77">
        <f t="shared" si="61"/>
        <v>3.6938267552856896E-2</v>
      </c>
      <c r="R445" s="77">
        <f t="shared" si="62"/>
        <v>-4.0655875956945309E-3</v>
      </c>
      <c r="S445" s="77">
        <f t="shared" si="63"/>
        <v>-3.0657964561723317E-3</v>
      </c>
      <c r="T445" s="77">
        <f t="shared" si="64"/>
        <v>3.3872471096684564E-2</v>
      </c>
      <c r="U445" s="77">
        <f t="shared" si="65"/>
        <v>-1.2833955785292339E-2</v>
      </c>
      <c r="V445" s="77">
        <f t="shared" si="66"/>
        <v>1.9557623740571461E-2</v>
      </c>
      <c r="W445" s="77">
        <f t="shared" si="67"/>
        <v>2.9325783069691469E-2</v>
      </c>
      <c r="X445" s="77">
        <f t="shared" si="68"/>
        <v>2.5831240599081207E-2</v>
      </c>
      <c r="Y445" s="78">
        <f t="shared" si="69"/>
        <v>-1.3833746924814538E-2</v>
      </c>
    </row>
    <row r="446" spans="1:25" x14ac:dyDescent="0.25">
      <c r="A446" s="75">
        <v>44446</v>
      </c>
      <c r="B446" s="76">
        <v>39</v>
      </c>
      <c r="C446" s="82">
        <v>0.38935995623632391</v>
      </c>
      <c r="D446" s="76">
        <v>43</v>
      </c>
      <c r="E446" s="86">
        <v>0.42929431072210072</v>
      </c>
      <c r="F446" s="76">
        <v>37.85</v>
      </c>
      <c r="G446" s="82">
        <v>0.37818915959485361</v>
      </c>
      <c r="H446" s="79">
        <v>41.22</v>
      </c>
      <c r="I446" s="82">
        <v>0.4121153187701157</v>
      </c>
      <c r="J446" s="79">
        <v>36.35</v>
      </c>
      <c r="K446" s="82">
        <v>0.36282901483557811</v>
      </c>
      <c r="L446" s="76">
        <v>39.700000000000003</v>
      </c>
      <c r="M446" s="82">
        <v>0.39691844141614741</v>
      </c>
      <c r="N446" s="79">
        <v>39.4</v>
      </c>
      <c r="O446" s="82">
        <v>0.39391905772786412</v>
      </c>
      <c r="P446" s="77">
        <f t="shared" si="60"/>
        <v>1.1170796641470304E-2</v>
      </c>
      <c r="Q446" s="77">
        <f t="shared" si="61"/>
        <v>3.9934354485776813E-2</v>
      </c>
      <c r="R446" s="77">
        <f t="shared" si="62"/>
        <v>-7.5584851798234931E-3</v>
      </c>
      <c r="S446" s="77">
        <f t="shared" si="63"/>
        <v>-4.5591014915402073E-3</v>
      </c>
      <c r="T446" s="77">
        <f t="shared" si="64"/>
        <v>3.5375252994236606E-2</v>
      </c>
      <c r="U446" s="77">
        <f t="shared" si="65"/>
        <v>-1.5729898133010511E-2</v>
      </c>
      <c r="V446" s="77">
        <f t="shared" si="66"/>
        <v>1.5360144759275496E-2</v>
      </c>
      <c r="W446" s="77">
        <f t="shared" si="67"/>
        <v>2.65309414007458E-2</v>
      </c>
      <c r="X446" s="77">
        <f t="shared" si="68"/>
        <v>3.3926159175262094E-2</v>
      </c>
      <c r="Y446" s="78">
        <f t="shared" si="69"/>
        <v>-1.8729281821293797E-2</v>
      </c>
    </row>
    <row r="447" spans="1:25" x14ac:dyDescent="0.25">
      <c r="A447" s="75">
        <v>44445</v>
      </c>
      <c r="B447" s="76">
        <v>38.6</v>
      </c>
      <c r="C447" s="82">
        <v>0.38537706173582431</v>
      </c>
      <c r="D447" s="76">
        <v>42.75</v>
      </c>
      <c r="E447" s="86">
        <v>0.42681008780327689</v>
      </c>
      <c r="F447" s="76">
        <v>37.76</v>
      </c>
      <c r="G447" s="82">
        <v>0.37729506289437298</v>
      </c>
      <c r="H447" s="79">
        <v>41.39</v>
      </c>
      <c r="I447" s="82">
        <v>0.41381638641507368</v>
      </c>
      <c r="J447" s="79">
        <v>35.950000000000003</v>
      </c>
      <c r="K447" s="82">
        <v>0.35884743839114491</v>
      </c>
      <c r="L447" s="76">
        <v>39.6</v>
      </c>
      <c r="M447" s="82">
        <v>0.39592000246525533</v>
      </c>
      <c r="N447" s="79">
        <v>39.35</v>
      </c>
      <c r="O447" s="82">
        <v>0.39342050750019691</v>
      </c>
      <c r="P447" s="77">
        <f t="shared" si="60"/>
        <v>8.0819988414513322E-3</v>
      </c>
      <c r="Q447" s="77">
        <f t="shared" si="61"/>
        <v>4.1433026067452583E-2</v>
      </c>
      <c r="R447" s="77">
        <f t="shared" si="62"/>
        <v>-1.0542940729431016E-2</v>
      </c>
      <c r="S447" s="77">
        <f t="shared" si="63"/>
        <v>-8.0434457643726032E-3</v>
      </c>
      <c r="T447" s="77">
        <f t="shared" si="64"/>
        <v>3.338958030307998E-2</v>
      </c>
      <c r="U447" s="77">
        <f t="shared" si="65"/>
        <v>-1.6125444605823935E-2</v>
      </c>
      <c r="V447" s="77">
        <f t="shared" si="66"/>
        <v>1.8447624503228066E-2</v>
      </c>
      <c r="W447" s="77">
        <f t="shared" si="67"/>
        <v>2.6529623344679398E-2</v>
      </c>
      <c r="X447" s="77">
        <f t="shared" si="68"/>
        <v>3.6521323520700699E-2</v>
      </c>
      <c r="Y447" s="78">
        <f t="shared" si="69"/>
        <v>-1.8624939570882348E-2</v>
      </c>
    </row>
    <row r="448" spans="1:25" x14ac:dyDescent="0.25">
      <c r="A448" s="75">
        <v>44442</v>
      </c>
      <c r="B448" s="76">
        <v>38.5</v>
      </c>
      <c r="C448" s="82">
        <v>0.38441021993653568</v>
      </c>
      <c r="D448" s="76">
        <v>42.25</v>
      </c>
      <c r="E448" s="86">
        <v>0.42185277382645803</v>
      </c>
      <c r="F448" s="76">
        <v>37.619999999999997</v>
      </c>
      <c r="G448" s="82">
        <v>0.37591162943495399</v>
      </c>
      <c r="H448" s="79">
        <v>40.92</v>
      </c>
      <c r="I448" s="82">
        <v>0.40912153833511378</v>
      </c>
      <c r="J448" s="79">
        <v>35.700000000000003</v>
      </c>
      <c r="K448" s="82">
        <v>0.35638486995049651</v>
      </c>
      <c r="L448" s="76">
        <v>39.25</v>
      </c>
      <c r="M448" s="82">
        <v>0.39242474046073361</v>
      </c>
      <c r="N448" s="79">
        <v>39.25</v>
      </c>
      <c r="O448" s="82">
        <v>0.39242474046073361</v>
      </c>
      <c r="P448" s="77">
        <f t="shared" si="60"/>
        <v>8.4985905015816932E-3</v>
      </c>
      <c r="Q448" s="77">
        <f t="shared" si="61"/>
        <v>3.7442553889922348E-2</v>
      </c>
      <c r="R448" s="77">
        <f t="shared" si="62"/>
        <v>-8.0145205241979323E-3</v>
      </c>
      <c r="S448" s="77">
        <f t="shared" si="63"/>
        <v>-8.0145205241979323E-3</v>
      </c>
      <c r="T448" s="77">
        <f t="shared" si="64"/>
        <v>2.9428033365724415E-2</v>
      </c>
      <c r="U448" s="77">
        <f t="shared" si="65"/>
        <v>-1.6513111025779625E-2</v>
      </c>
      <c r="V448" s="77">
        <f t="shared" si="66"/>
        <v>1.9526759484457479E-2</v>
      </c>
      <c r="W448" s="77">
        <f t="shared" si="67"/>
        <v>2.8025349986039172E-2</v>
      </c>
      <c r="X448" s="77">
        <f t="shared" si="68"/>
        <v>3.320990890015979E-2</v>
      </c>
      <c r="Y448" s="78">
        <f t="shared" si="69"/>
        <v>-1.6513111025779625E-2</v>
      </c>
    </row>
    <row r="449" spans="1:25" x14ac:dyDescent="0.25">
      <c r="A449" s="75">
        <v>44441</v>
      </c>
      <c r="B449" s="76">
        <v>38.4</v>
      </c>
      <c r="C449" s="82">
        <v>0.38342224045958151</v>
      </c>
      <c r="D449" s="76">
        <v>43.4</v>
      </c>
      <c r="E449" s="86">
        <v>0.43334701135275611</v>
      </c>
      <c r="F449" s="76">
        <v>37.46</v>
      </c>
      <c r="G449" s="82">
        <v>0.37431797960440771</v>
      </c>
      <c r="H449" s="79">
        <v>40.950000000000003</v>
      </c>
      <c r="I449" s="82">
        <v>0.4094228826762083</v>
      </c>
      <c r="J449" s="79">
        <v>35.799999999999997</v>
      </c>
      <c r="K449" s="82">
        <v>0.35739414348963228</v>
      </c>
      <c r="L449" s="76">
        <v>39.4</v>
      </c>
      <c r="M449" s="82">
        <v>0.39392580164695012</v>
      </c>
      <c r="N449" s="79">
        <v>39.200000000000003</v>
      </c>
      <c r="O449" s="82">
        <v>0.39192617828833609</v>
      </c>
      <c r="P449" s="77">
        <f t="shared" si="60"/>
        <v>9.1042608551737958E-3</v>
      </c>
      <c r="Q449" s="77">
        <f t="shared" si="61"/>
        <v>4.9924770893174597E-2</v>
      </c>
      <c r="R449" s="77">
        <f t="shared" si="62"/>
        <v>-1.0503561187368615E-2</v>
      </c>
      <c r="S449" s="77">
        <f t="shared" si="63"/>
        <v>-8.5039378287545819E-3</v>
      </c>
      <c r="T449" s="77">
        <f t="shared" si="64"/>
        <v>4.1420833064420015E-2</v>
      </c>
      <c r="U449" s="77">
        <f t="shared" si="65"/>
        <v>-1.7608198683928378E-2</v>
      </c>
      <c r="V449" s="77">
        <f t="shared" si="66"/>
        <v>1.6923836114775437E-2</v>
      </c>
      <c r="W449" s="77">
        <f t="shared" si="67"/>
        <v>2.6028096969949233E-2</v>
      </c>
      <c r="X449" s="77">
        <f t="shared" si="68"/>
        <v>3.5104903071800586E-2</v>
      </c>
      <c r="Y449" s="78">
        <f t="shared" si="69"/>
        <v>-1.9607822042542411E-2</v>
      </c>
    </row>
    <row r="450" spans="1:25" x14ac:dyDescent="0.25">
      <c r="A450" s="75">
        <v>44440</v>
      </c>
      <c r="B450" s="76">
        <v>37.94</v>
      </c>
      <c r="C450" s="82">
        <v>0.37883952508617391</v>
      </c>
      <c r="D450" s="76">
        <v>42.5</v>
      </c>
      <c r="E450" s="86">
        <v>0.42437216173332598</v>
      </c>
      <c r="F450" s="76">
        <v>36.880000000000003</v>
      </c>
      <c r="G450" s="82">
        <v>0.36852739069729251</v>
      </c>
      <c r="H450" s="79">
        <v>40.68</v>
      </c>
      <c r="I450" s="82">
        <v>0.40672478377286392</v>
      </c>
      <c r="J450" s="79">
        <v>35.6</v>
      </c>
      <c r="K450" s="82">
        <v>0.35540846399485793</v>
      </c>
      <c r="L450" s="76">
        <v>38.700000000000003</v>
      </c>
      <c r="M450" s="82">
        <v>0.38692844473967147</v>
      </c>
      <c r="N450" s="79">
        <v>38.6</v>
      </c>
      <c r="O450" s="82">
        <v>0.38592862963698488</v>
      </c>
      <c r="P450" s="77">
        <f t="shared" ref="P450:P513" si="70">C450-G450</f>
        <v>1.03121343888814E-2</v>
      </c>
      <c r="Q450" s="77">
        <f t="shared" ref="Q450:Q513" si="71">E450-C450</f>
        <v>4.5532636647152069E-2</v>
      </c>
      <c r="R450" s="77">
        <f t="shared" ref="R450:R513" si="72">C450-M450</f>
        <v>-8.0889196534975616E-3</v>
      </c>
      <c r="S450" s="77">
        <f t="shared" ref="S450:S513" si="73">C450-O450</f>
        <v>-7.0891045508109651E-3</v>
      </c>
      <c r="T450" s="77">
        <f t="shared" ref="T450:T513" si="74">E450-O450</f>
        <v>3.8443532096341104E-2</v>
      </c>
      <c r="U450" s="77">
        <f t="shared" ref="U450:U513" si="75">G450-O450</f>
        <v>-1.7401238939692365E-2</v>
      </c>
      <c r="V450" s="77">
        <f t="shared" ref="V450:V513" si="76">G450-K450</f>
        <v>1.3118926702434586E-2</v>
      </c>
      <c r="W450" s="77">
        <f t="shared" ref="W450:W513" si="77">C450-K450</f>
        <v>2.3431061091315986E-2</v>
      </c>
      <c r="X450" s="77">
        <f t="shared" ref="X450:X513" si="78">I450-G450</f>
        <v>3.8197393075571406E-2</v>
      </c>
      <c r="Y450" s="78">
        <f t="shared" ref="Y450:Y513" si="79">G450-M450</f>
        <v>-1.8401054042378961E-2</v>
      </c>
    </row>
    <row r="451" spans="1:25" x14ac:dyDescent="0.25">
      <c r="A451" s="75">
        <v>44439</v>
      </c>
      <c r="B451" s="76">
        <v>37.57</v>
      </c>
      <c r="C451" s="82">
        <v>0.37515525401471828</v>
      </c>
      <c r="D451" s="76">
        <v>42.1</v>
      </c>
      <c r="E451" s="86">
        <v>0.42038957130741672</v>
      </c>
      <c r="F451" s="76">
        <v>36.31</v>
      </c>
      <c r="G451" s="82">
        <v>0.36283657070893738</v>
      </c>
      <c r="H451" s="79">
        <v>40.32</v>
      </c>
      <c r="I451" s="82">
        <v>0.40312682971926328</v>
      </c>
      <c r="J451" s="79">
        <v>35</v>
      </c>
      <c r="K451" s="82">
        <v>0.34942918588470212</v>
      </c>
      <c r="L451" s="76">
        <v>38.450000000000003</v>
      </c>
      <c r="M451" s="82">
        <v>0.38443022328139081</v>
      </c>
      <c r="N451" s="79">
        <v>38.4</v>
      </c>
      <c r="O451" s="82">
        <v>0.38393031401834599</v>
      </c>
      <c r="P451" s="77">
        <f t="shared" si="70"/>
        <v>1.2318683305780898E-2</v>
      </c>
      <c r="Q451" s="77">
        <f t="shared" si="71"/>
        <v>4.5234317292698445E-2</v>
      </c>
      <c r="R451" s="77">
        <f t="shared" si="72"/>
        <v>-9.2749692666725392E-3</v>
      </c>
      <c r="S451" s="77">
        <f t="shared" si="73"/>
        <v>-8.7750600036277104E-3</v>
      </c>
      <c r="T451" s="77">
        <f t="shared" si="74"/>
        <v>3.6459257289070734E-2</v>
      </c>
      <c r="U451" s="77">
        <f t="shared" si="75"/>
        <v>-2.1093743309408608E-2</v>
      </c>
      <c r="V451" s="77">
        <f t="shared" si="76"/>
        <v>1.3407384824235258E-2</v>
      </c>
      <c r="W451" s="77">
        <f t="shared" si="77"/>
        <v>2.5726068130016155E-2</v>
      </c>
      <c r="X451" s="77">
        <f t="shared" si="78"/>
        <v>4.0290259010325902E-2</v>
      </c>
      <c r="Y451" s="78">
        <f t="shared" si="79"/>
        <v>-2.1593652572453437E-2</v>
      </c>
    </row>
    <row r="452" spans="1:25" x14ac:dyDescent="0.25">
      <c r="A452" s="75">
        <v>44438</v>
      </c>
      <c r="B452" s="76">
        <v>37.26</v>
      </c>
      <c r="C452" s="82">
        <v>0.37206992777413</v>
      </c>
      <c r="D452" s="76">
        <v>42.5</v>
      </c>
      <c r="E452" s="86">
        <v>0.42439538192164589</v>
      </c>
      <c r="F452" s="76">
        <v>36.01</v>
      </c>
      <c r="G452" s="82">
        <v>0.35984367300005471</v>
      </c>
      <c r="H452" s="79">
        <v>40.200000000000003</v>
      </c>
      <c r="I452" s="82">
        <v>0.40192842370536758</v>
      </c>
      <c r="J452" s="79">
        <v>35</v>
      </c>
      <c r="K452" s="82">
        <v>0.34943993872833951</v>
      </c>
      <c r="L452" s="76">
        <v>38.4</v>
      </c>
      <c r="M452" s="82">
        <v>0.38393162861408242</v>
      </c>
      <c r="N452" s="79">
        <v>38.200000000000003</v>
      </c>
      <c r="O452" s="82">
        <v>0.3819319847150508</v>
      </c>
      <c r="P452" s="77">
        <f t="shared" si="70"/>
        <v>1.2226254774075296E-2</v>
      </c>
      <c r="Q452" s="77">
        <f t="shared" si="71"/>
        <v>5.2325454147515882E-2</v>
      </c>
      <c r="R452" s="77">
        <f t="shared" si="72"/>
        <v>-1.1861700839952416E-2</v>
      </c>
      <c r="S452" s="77">
        <f t="shared" si="73"/>
        <v>-9.8620569409207937E-3</v>
      </c>
      <c r="T452" s="77">
        <f t="shared" si="74"/>
        <v>4.2463397206595088E-2</v>
      </c>
      <c r="U452" s="77">
        <f t="shared" si="75"/>
        <v>-2.2088311714996089E-2</v>
      </c>
      <c r="V452" s="77">
        <f t="shared" si="76"/>
        <v>1.0403734271715204E-2</v>
      </c>
      <c r="W452" s="77">
        <f t="shared" si="77"/>
        <v>2.26299890457905E-2</v>
      </c>
      <c r="X452" s="77">
        <f t="shared" si="78"/>
        <v>4.2084750705312868E-2</v>
      </c>
      <c r="Y452" s="78">
        <f t="shared" si="79"/>
        <v>-2.4087955614027712E-2</v>
      </c>
    </row>
    <row r="453" spans="1:25" x14ac:dyDescent="0.25">
      <c r="A453" s="75">
        <v>44435</v>
      </c>
      <c r="B453" s="76">
        <v>36.700000000000003</v>
      </c>
      <c r="C453" s="82">
        <v>0.36650797559440751</v>
      </c>
      <c r="D453" s="76">
        <v>42.1</v>
      </c>
      <c r="E453" s="86">
        <v>0.42043557963282169</v>
      </c>
      <c r="F453" s="76">
        <v>35.630000000000003</v>
      </c>
      <c r="G453" s="82">
        <v>0.3560610001505839</v>
      </c>
      <c r="H453" s="79">
        <v>39.6</v>
      </c>
      <c r="I453" s="82">
        <v>0.39593355909453548</v>
      </c>
      <c r="J453" s="79">
        <v>34.130000000000003</v>
      </c>
      <c r="K453" s="82">
        <v>0.3407853207997511</v>
      </c>
      <c r="L453" s="76">
        <v>37.799999999999997</v>
      </c>
      <c r="M453" s="82">
        <v>0.37793657913569301</v>
      </c>
      <c r="N453" s="79">
        <v>37.380000000000003</v>
      </c>
      <c r="O453" s="82">
        <v>0.37373728381196308</v>
      </c>
      <c r="P453" s="77">
        <f t="shared" si="70"/>
        <v>1.0446975443823614E-2</v>
      </c>
      <c r="Q453" s="77">
        <f t="shared" si="71"/>
        <v>5.3927604038414179E-2</v>
      </c>
      <c r="R453" s="77">
        <f t="shared" si="72"/>
        <v>-1.1428603541285498E-2</v>
      </c>
      <c r="S453" s="77">
        <f t="shared" si="73"/>
        <v>-7.2293082175555745E-3</v>
      </c>
      <c r="T453" s="77">
        <f t="shared" si="74"/>
        <v>4.6698295820858604E-2</v>
      </c>
      <c r="U453" s="77">
        <f t="shared" si="75"/>
        <v>-1.7676283661379188E-2</v>
      </c>
      <c r="V453" s="77">
        <f t="shared" si="76"/>
        <v>1.5275679350832794E-2</v>
      </c>
      <c r="W453" s="77">
        <f t="shared" si="77"/>
        <v>2.5722654794656408E-2</v>
      </c>
      <c r="X453" s="77">
        <f t="shared" si="78"/>
        <v>3.9872558943951586E-2</v>
      </c>
      <c r="Y453" s="78">
        <f t="shared" si="79"/>
        <v>-2.1875578985109112E-2</v>
      </c>
    </row>
    <row r="454" spans="1:25" x14ac:dyDescent="0.25">
      <c r="A454" s="75">
        <v>44434</v>
      </c>
      <c r="B454" s="76">
        <v>36.58</v>
      </c>
      <c r="C454" s="82">
        <v>0.36531957973076501</v>
      </c>
      <c r="D454" s="76">
        <v>41.7</v>
      </c>
      <c r="E454" s="86">
        <v>0.41645233665316839</v>
      </c>
      <c r="F454" s="76">
        <v>35.42</v>
      </c>
      <c r="G454" s="82">
        <v>0.35396725440806048</v>
      </c>
      <c r="H454" s="79">
        <v>39.299999999999997</v>
      </c>
      <c r="I454" s="82">
        <v>0.39293540787815701</v>
      </c>
      <c r="J454" s="79">
        <v>34</v>
      </c>
      <c r="K454" s="82">
        <v>0.33949772938666078</v>
      </c>
      <c r="L454" s="76">
        <v>37.5</v>
      </c>
      <c r="M454" s="82">
        <v>0.37493836629595129</v>
      </c>
      <c r="N454" s="79">
        <v>37.1</v>
      </c>
      <c r="O454" s="82">
        <v>0.37093902372212789</v>
      </c>
      <c r="P454" s="77">
        <f t="shared" si="70"/>
        <v>1.1352325322704526E-2</v>
      </c>
      <c r="Q454" s="77">
        <f t="shared" si="71"/>
        <v>5.1132756922403377E-2</v>
      </c>
      <c r="R454" s="77">
        <f t="shared" si="72"/>
        <v>-9.6187865651862769E-3</v>
      </c>
      <c r="S454" s="77">
        <f t="shared" si="73"/>
        <v>-5.6194439913628824E-3</v>
      </c>
      <c r="T454" s="77">
        <f t="shared" si="74"/>
        <v>4.5513312931040495E-2</v>
      </c>
      <c r="U454" s="77">
        <f t="shared" si="75"/>
        <v>-1.6971769314067409E-2</v>
      </c>
      <c r="V454" s="77">
        <f t="shared" si="76"/>
        <v>1.4469525021399698E-2</v>
      </c>
      <c r="W454" s="77">
        <f t="shared" si="77"/>
        <v>2.5821850344104225E-2</v>
      </c>
      <c r="X454" s="77">
        <f t="shared" si="78"/>
        <v>3.8968153470096523E-2</v>
      </c>
      <c r="Y454" s="78">
        <f t="shared" si="79"/>
        <v>-2.0971111887890803E-2</v>
      </c>
    </row>
    <row r="455" spans="1:25" x14ac:dyDescent="0.25">
      <c r="A455" s="75">
        <v>44433</v>
      </c>
      <c r="B455" s="76">
        <v>36.700000000000003</v>
      </c>
      <c r="C455" s="82">
        <v>0.36652803239663989</v>
      </c>
      <c r="D455" s="76">
        <v>41.4</v>
      </c>
      <c r="E455" s="86">
        <v>0.4134675896790434</v>
      </c>
      <c r="F455" s="76">
        <v>35.369999999999997</v>
      </c>
      <c r="G455" s="82">
        <v>0.35347242186537431</v>
      </c>
      <c r="H455" s="79">
        <v>39.49</v>
      </c>
      <c r="I455" s="82">
        <v>0.39483644755809849</v>
      </c>
      <c r="J455" s="79">
        <v>33.5</v>
      </c>
      <c r="K455" s="82">
        <v>0.33451541089449188</v>
      </c>
      <c r="L455" s="76">
        <v>37.67</v>
      </c>
      <c r="M455" s="82">
        <v>0.37663937653870783</v>
      </c>
      <c r="N455" s="79">
        <v>37.15</v>
      </c>
      <c r="O455" s="82">
        <v>0.37144021339031053</v>
      </c>
      <c r="P455" s="77">
        <f t="shared" si="70"/>
        <v>1.3055610531265582E-2</v>
      </c>
      <c r="Q455" s="77">
        <f t="shared" si="71"/>
        <v>4.693955728240351E-2</v>
      </c>
      <c r="R455" s="77">
        <f t="shared" si="72"/>
        <v>-1.0111344142067935E-2</v>
      </c>
      <c r="S455" s="77">
        <f t="shared" si="73"/>
        <v>-4.912180993670634E-3</v>
      </c>
      <c r="T455" s="77">
        <f t="shared" si="74"/>
        <v>4.2027376288732876E-2</v>
      </c>
      <c r="U455" s="77">
        <f t="shared" si="75"/>
        <v>-1.7967791524936216E-2</v>
      </c>
      <c r="V455" s="77">
        <f t="shared" si="76"/>
        <v>1.8957010970882426E-2</v>
      </c>
      <c r="W455" s="77">
        <f t="shared" si="77"/>
        <v>3.2012621502148009E-2</v>
      </c>
      <c r="X455" s="77">
        <f t="shared" si="78"/>
        <v>4.1364025692724182E-2</v>
      </c>
      <c r="Y455" s="78">
        <f t="shared" si="79"/>
        <v>-2.3166954673333517E-2</v>
      </c>
    </row>
    <row r="456" spans="1:25" x14ac:dyDescent="0.25">
      <c r="A456" s="75">
        <v>44432</v>
      </c>
      <c r="B456" s="76">
        <v>36.700000000000003</v>
      </c>
      <c r="C456" s="82">
        <v>0.36653806162097091</v>
      </c>
      <c r="D456" s="76">
        <v>41</v>
      </c>
      <c r="E456" s="86">
        <v>0.40948393805067579</v>
      </c>
      <c r="F456" s="76">
        <v>35.39</v>
      </c>
      <c r="G456" s="82">
        <v>0.35367713495605507</v>
      </c>
      <c r="H456" s="79">
        <v>39.590000000000003</v>
      </c>
      <c r="I456" s="82">
        <v>0.39583764201529897</v>
      </c>
      <c r="J456" s="79">
        <v>33.799999999999997</v>
      </c>
      <c r="K456" s="82">
        <v>0.33752145930085431</v>
      </c>
      <c r="L456" s="76">
        <v>37.75</v>
      </c>
      <c r="M456" s="82">
        <v>0.37744054018887441</v>
      </c>
      <c r="N456" s="79">
        <v>37.15</v>
      </c>
      <c r="O456" s="82">
        <v>0.37144148524547499</v>
      </c>
      <c r="P456" s="77">
        <f t="shared" si="70"/>
        <v>1.2860926664915839E-2</v>
      </c>
      <c r="Q456" s="77">
        <f t="shared" si="71"/>
        <v>4.2945876429704877E-2</v>
      </c>
      <c r="R456" s="77">
        <f t="shared" si="72"/>
        <v>-1.0902478567903495E-2</v>
      </c>
      <c r="S456" s="77">
        <f t="shared" si="73"/>
        <v>-4.9034236245040774E-3</v>
      </c>
      <c r="T456" s="77">
        <f t="shared" si="74"/>
        <v>3.8042452805200799E-2</v>
      </c>
      <c r="U456" s="77">
        <f t="shared" si="75"/>
        <v>-1.7764350289419917E-2</v>
      </c>
      <c r="V456" s="77">
        <f t="shared" si="76"/>
        <v>1.6155675655200763E-2</v>
      </c>
      <c r="W456" s="77">
        <f t="shared" si="77"/>
        <v>2.9016602320116602E-2</v>
      </c>
      <c r="X456" s="77">
        <f t="shared" si="78"/>
        <v>4.2160507059243901E-2</v>
      </c>
      <c r="Y456" s="78">
        <f t="shared" si="79"/>
        <v>-2.3763405232819335E-2</v>
      </c>
    </row>
    <row r="457" spans="1:25" x14ac:dyDescent="0.25">
      <c r="A457" s="75">
        <v>44431</v>
      </c>
      <c r="B457" s="76">
        <v>36.450000000000003</v>
      </c>
      <c r="C457" s="82">
        <v>0.36405116979066909</v>
      </c>
      <c r="D457" s="76">
        <v>40</v>
      </c>
      <c r="E457" s="86">
        <v>0.39950745656040498</v>
      </c>
      <c r="F457" s="76">
        <v>35.26</v>
      </c>
      <c r="G457" s="82">
        <v>0.35238277773974952</v>
      </c>
      <c r="H457" s="79">
        <v>38.75</v>
      </c>
      <c r="I457" s="82">
        <v>0.38744029173586259</v>
      </c>
      <c r="J457" s="79">
        <v>32.9</v>
      </c>
      <c r="K457" s="82">
        <v>0.32854431353773023</v>
      </c>
      <c r="L457" s="76">
        <v>37.4</v>
      </c>
      <c r="M457" s="82">
        <v>0.37394237189474222</v>
      </c>
      <c r="N457" s="79">
        <v>37</v>
      </c>
      <c r="O457" s="82">
        <v>0.369942988238114</v>
      </c>
      <c r="P457" s="77">
        <f t="shared" si="70"/>
        <v>1.1668392050919574E-2</v>
      </c>
      <c r="Q457" s="77">
        <f t="shared" si="71"/>
        <v>3.545628676973589E-2</v>
      </c>
      <c r="R457" s="77">
        <f t="shared" si="72"/>
        <v>-9.8912021040731268E-3</v>
      </c>
      <c r="S457" s="77">
        <f t="shared" si="73"/>
        <v>-5.8918184474449076E-3</v>
      </c>
      <c r="T457" s="77">
        <f t="shared" si="74"/>
        <v>2.9564468322290982E-2</v>
      </c>
      <c r="U457" s="77">
        <f t="shared" si="75"/>
        <v>-1.7560210498364481E-2</v>
      </c>
      <c r="V457" s="77">
        <f t="shared" si="76"/>
        <v>2.3838464202019294E-2</v>
      </c>
      <c r="W457" s="77">
        <f t="shared" si="77"/>
        <v>3.5506856252938868E-2</v>
      </c>
      <c r="X457" s="77">
        <f t="shared" si="78"/>
        <v>3.5057513996113066E-2</v>
      </c>
      <c r="Y457" s="78">
        <f t="shared" si="79"/>
        <v>-2.1559594154992701E-2</v>
      </c>
    </row>
    <row r="458" spans="1:25" x14ac:dyDescent="0.25">
      <c r="A458" s="75">
        <v>44428</v>
      </c>
      <c r="B458" s="76">
        <v>36.21</v>
      </c>
      <c r="C458" s="82">
        <v>0.36168381588309351</v>
      </c>
      <c r="D458" s="76">
        <v>39</v>
      </c>
      <c r="E458" s="86">
        <v>0.3895517486727601</v>
      </c>
      <c r="F458" s="76">
        <v>35.270000000000003</v>
      </c>
      <c r="G458" s="82">
        <v>0.35249719339558072</v>
      </c>
      <c r="H458" s="79">
        <v>37.99</v>
      </c>
      <c r="I458" s="82">
        <v>0.37984536470781599</v>
      </c>
      <c r="J458" s="79">
        <v>32.700000000000003</v>
      </c>
      <c r="K458" s="82">
        <v>0.32657723905355401</v>
      </c>
      <c r="L458" s="76">
        <v>37.200000000000003</v>
      </c>
      <c r="M458" s="82">
        <v>0.3719465008457688</v>
      </c>
      <c r="N458" s="79">
        <v>36.6</v>
      </c>
      <c r="O458" s="82">
        <v>0.36594736373535308</v>
      </c>
      <c r="P458" s="77">
        <f t="shared" si="70"/>
        <v>9.1866224875127855E-3</v>
      </c>
      <c r="Q458" s="77">
        <f t="shared" si="71"/>
        <v>2.7867932789666594E-2</v>
      </c>
      <c r="R458" s="77">
        <f t="shared" si="72"/>
        <v>-1.0262684962675295E-2</v>
      </c>
      <c r="S458" s="77">
        <f t="shared" si="73"/>
        <v>-4.2635478522595749E-3</v>
      </c>
      <c r="T458" s="77">
        <f t="shared" si="74"/>
        <v>2.3604384937407019E-2</v>
      </c>
      <c r="U458" s="77">
        <f t="shared" si="75"/>
        <v>-1.345017033977236E-2</v>
      </c>
      <c r="V458" s="77">
        <f t="shared" si="76"/>
        <v>2.5919954342026708E-2</v>
      </c>
      <c r="W458" s="77">
        <f t="shared" si="77"/>
        <v>3.5106576829539493E-2</v>
      </c>
      <c r="X458" s="77">
        <f t="shared" si="78"/>
        <v>2.734817131223527E-2</v>
      </c>
      <c r="Y458" s="78">
        <f t="shared" si="79"/>
        <v>-1.944930745018808E-2</v>
      </c>
    </row>
    <row r="459" spans="1:25" x14ac:dyDescent="0.25">
      <c r="A459" s="75">
        <v>44427</v>
      </c>
      <c r="B459" s="76">
        <v>36.15</v>
      </c>
      <c r="C459" s="82">
        <v>0.3610943871267891</v>
      </c>
      <c r="D459" s="76">
        <v>40</v>
      </c>
      <c r="E459" s="86">
        <v>0.39955118907528531</v>
      </c>
      <c r="F459" s="76">
        <v>35.26</v>
      </c>
      <c r="G459" s="82">
        <v>0.35240207554661079</v>
      </c>
      <c r="H459" s="79">
        <v>37.909999999999997</v>
      </c>
      <c r="I459" s="82">
        <v>0.37904677767847661</v>
      </c>
      <c r="J459" s="79">
        <v>33.200000000000003</v>
      </c>
      <c r="K459" s="82">
        <v>0.33158098156781329</v>
      </c>
      <c r="L459" s="76">
        <v>37.25</v>
      </c>
      <c r="M459" s="82">
        <v>0.37244770426070312</v>
      </c>
      <c r="N459" s="79">
        <v>36.700000000000003</v>
      </c>
      <c r="O459" s="82">
        <v>0.36694847641255862</v>
      </c>
      <c r="P459" s="77">
        <f t="shared" si="70"/>
        <v>8.6923115801783024E-3</v>
      </c>
      <c r="Q459" s="77">
        <f t="shared" si="71"/>
        <v>3.8456801948496211E-2</v>
      </c>
      <c r="R459" s="77">
        <f t="shared" si="72"/>
        <v>-1.135331713391402E-2</v>
      </c>
      <c r="S459" s="77">
        <f t="shared" si="73"/>
        <v>-5.8540892857695259E-3</v>
      </c>
      <c r="T459" s="77">
        <f t="shared" si="74"/>
        <v>3.2602712662726685E-2</v>
      </c>
      <c r="U459" s="77">
        <f t="shared" si="75"/>
        <v>-1.4546400865947828E-2</v>
      </c>
      <c r="V459" s="77">
        <f t="shared" si="76"/>
        <v>2.08210939787975E-2</v>
      </c>
      <c r="W459" s="77">
        <f t="shared" si="77"/>
        <v>2.9513405558975803E-2</v>
      </c>
      <c r="X459" s="77">
        <f t="shared" si="78"/>
        <v>2.6644702131865816E-2</v>
      </c>
      <c r="Y459" s="78">
        <f t="shared" si="79"/>
        <v>-2.0045628714092323E-2</v>
      </c>
    </row>
    <row r="460" spans="1:25" x14ac:dyDescent="0.25">
      <c r="A460" s="75">
        <v>44426</v>
      </c>
      <c r="B460" s="76">
        <v>36</v>
      </c>
      <c r="C460" s="82">
        <v>0.35960591133004932</v>
      </c>
      <c r="D460" s="76">
        <v>40</v>
      </c>
      <c r="E460" s="86">
        <v>0.39956212370005473</v>
      </c>
      <c r="F460" s="76">
        <v>35.11</v>
      </c>
      <c r="G460" s="82">
        <v>0.350907721796276</v>
      </c>
      <c r="H460" s="79">
        <v>38.25</v>
      </c>
      <c r="I460" s="82">
        <v>0.38244760991644983</v>
      </c>
      <c r="J460" s="79">
        <v>33.18</v>
      </c>
      <c r="K460" s="82">
        <v>0.33139143521685588</v>
      </c>
      <c r="L460" s="76">
        <v>37.65</v>
      </c>
      <c r="M460" s="82">
        <v>0.37644843172168202</v>
      </c>
      <c r="N460" s="79">
        <v>36.659999999999997</v>
      </c>
      <c r="O460" s="82">
        <v>0.36654978770031499</v>
      </c>
      <c r="P460" s="77">
        <f t="shared" si="70"/>
        <v>8.6981895337733262E-3</v>
      </c>
      <c r="Q460" s="77">
        <f t="shared" si="71"/>
        <v>3.9956212370005406E-2</v>
      </c>
      <c r="R460" s="77">
        <f t="shared" si="72"/>
        <v>-1.6842520391632698E-2</v>
      </c>
      <c r="S460" s="77">
        <f t="shared" si="73"/>
        <v>-6.943876370265667E-3</v>
      </c>
      <c r="T460" s="77">
        <f t="shared" si="74"/>
        <v>3.3012335999739739E-2</v>
      </c>
      <c r="U460" s="77">
        <f t="shared" si="75"/>
        <v>-1.5642065904038993E-2</v>
      </c>
      <c r="V460" s="77">
        <f t="shared" si="76"/>
        <v>1.9516286579420117E-2</v>
      </c>
      <c r="W460" s="77">
        <f t="shared" si="77"/>
        <v>2.8214476113193443E-2</v>
      </c>
      <c r="X460" s="77">
        <f t="shared" si="78"/>
        <v>3.1539888120173831E-2</v>
      </c>
      <c r="Y460" s="78">
        <f t="shared" si="79"/>
        <v>-2.5540709925406024E-2</v>
      </c>
    </row>
    <row r="461" spans="1:25" x14ac:dyDescent="0.25">
      <c r="A461" s="75">
        <v>44425</v>
      </c>
      <c r="B461" s="76">
        <v>36.090000000000003</v>
      </c>
      <c r="C461" s="82">
        <v>0.36051479241358553</v>
      </c>
      <c r="D461" s="76">
        <v>39.81</v>
      </c>
      <c r="E461" s="86">
        <v>0.39767508689345632</v>
      </c>
      <c r="F461" s="76">
        <v>35.270000000000003</v>
      </c>
      <c r="G461" s="82">
        <v>0.35251167184654769</v>
      </c>
      <c r="H461" s="79">
        <v>38.4</v>
      </c>
      <c r="I461" s="82">
        <v>0.38394871917791801</v>
      </c>
      <c r="J461" s="79">
        <v>32.700000000000003</v>
      </c>
      <c r="K461" s="82">
        <v>0.32660740000889338</v>
      </c>
      <c r="L461" s="76">
        <v>37.75</v>
      </c>
      <c r="M461" s="82">
        <v>0.3774495872126668</v>
      </c>
      <c r="N461" s="79">
        <v>36.4</v>
      </c>
      <c r="O461" s="82">
        <v>0.36395139005406812</v>
      </c>
      <c r="P461" s="77">
        <f t="shared" si="70"/>
        <v>8.0031205670378358E-3</v>
      </c>
      <c r="Q461" s="77">
        <f t="shared" si="71"/>
        <v>3.7160294479870792E-2</v>
      </c>
      <c r="R461" s="77">
        <f t="shared" si="72"/>
        <v>-1.6934794799081276E-2</v>
      </c>
      <c r="S461" s="77">
        <f t="shared" si="73"/>
        <v>-3.4365976404825971E-3</v>
      </c>
      <c r="T461" s="77">
        <f t="shared" si="74"/>
        <v>3.3723696839388195E-2</v>
      </c>
      <c r="U461" s="77">
        <f t="shared" si="75"/>
        <v>-1.1439718207520433E-2</v>
      </c>
      <c r="V461" s="77">
        <f t="shared" si="76"/>
        <v>2.5904271837654314E-2</v>
      </c>
      <c r="W461" s="77">
        <f t="shared" si="77"/>
        <v>3.3907392404692149E-2</v>
      </c>
      <c r="X461" s="77">
        <f t="shared" si="78"/>
        <v>3.1437047331370316E-2</v>
      </c>
      <c r="Y461" s="78">
        <f t="shared" si="79"/>
        <v>-2.4937915366119112E-2</v>
      </c>
    </row>
    <row r="462" spans="1:25" x14ac:dyDescent="0.25">
      <c r="A462" s="75">
        <v>44421</v>
      </c>
      <c r="B462" s="76">
        <v>36.15</v>
      </c>
      <c r="C462" s="82">
        <v>0.36115368824414951</v>
      </c>
      <c r="D462" s="76">
        <v>40.6</v>
      </c>
      <c r="E462" s="86">
        <v>0.40561105788969481</v>
      </c>
      <c r="F462" s="76">
        <v>35.119999999999997</v>
      </c>
      <c r="G462" s="82">
        <v>0.35103169713151228</v>
      </c>
      <c r="H462" s="79">
        <v>38.799999999999997</v>
      </c>
      <c r="I462" s="82">
        <v>0.38795349872446788</v>
      </c>
      <c r="J462" s="79">
        <v>33.25</v>
      </c>
      <c r="K462" s="82">
        <v>0.33214169645758862</v>
      </c>
      <c r="L462" s="76">
        <v>37.75</v>
      </c>
      <c r="M462" s="82">
        <v>0.37745475713527488</v>
      </c>
      <c r="N462" s="79">
        <v>37.4</v>
      </c>
      <c r="O462" s="82">
        <v>0.37395517660554378</v>
      </c>
      <c r="P462" s="77">
        <f t="shared" si="70"/>
        <v>1.012199111263723E-2</v>
      </c>
      <c r="Q462" s="77">
        <f t="shared" si="71"/>
        <v>4.4457369645545308E-2</v>
      </c>
      <c r="R462" s="77">
        <f t="shared" si="72"/>
        <v>-1.630106889112537E-2</v>
      </c>
      <c r="S462" s="77">
        <f t="shared" si="73"/>
        <v>-1.2801488361394275E-2</v>
      </c>
      <c r="T462" s="77">
        <f t="shared" si="74"/>
        <v>3.1655881284151033E-2</v>
      </c>
      <c r="U462" s="77">
        <f t="shared" si="75"/>
        <v>-2.2923479474031505E-2</v>
      </c>
      <c r="V462" s="77">
        <f t="shared" si="76"/>
        <v>1.8890000673923657E-2</v>
      </c>
      <c r="W462" s="77">
        <f t="shared" si="77"/>
        <v>2.9011991786560887E-2</v>
      </c>
      <c r="X462" s="77">
        <f t="shared" si="78"/>
        <v>3.6921801592955605E-2</v>
      </c>
      <c r="Y462" s="78">
        <f t="shared" si="79"/>
        <v>-2.64230600037626E-2</v>
      </c>
    </row>
    <row r="463" spans="1:25" x14ac:dyDescent="0.25">
      <c r="A463" s="75">
        <v>44420</v>
      </c>
      <c r="B463" s="76">
        <v>37.020000000000003</v>
      </c>
      <c r="C463" s="82">
        <v>0.36985547708983418</v>
      </c>
      <c r="D463" s="76">
        <v>40.700000000000003</v>
      </c>
      <c r="E463" s="86">
        <v>0.40662122953960689</v>
      </c>
      <c r="F463" s="76">
        <v>35.68</v>
      </c>
      <c r="G463" s="82">
        <v>0.35663389654133693</v>
      </c>
      <c r="H463" s="79">
        <v>39.14</v>
      </c>
      <c r="I463" s="82">
        <v>0.39135443133333792</v>
      </c>
      <c r="J463" s="79">
        <v>33.799999999999997</v>
      </c>
      <c r="K463" s="82">
        <v>0.33764616531990438</v>
      </c>
      <c r="L463" s="76">
        <v>38.4</v>
      </c>
      <c r="M463" s="82">
        <v>0.38395529287685681</v>
      </c>
      <c r="N463" s="79">
        <v>37.9</v>
      </c>
      <c r="O463" s="82">
        <v>0.37895587500085598</v>
      </c>
      <c r="P463" s="77">
        <f t="shared" si="70"/>
        <v>1.3221580548497258E-2</v>
      </c>
      <c r="Q463" s="77">
        <f t="shared" si="71"/>
        <v>3.6765752449772704E-2</v>
      </c>
      <c r="R463" s="77">
        <f t="shared" si="72"/>
        <v>-1.4099815787022629E-2</v>
      </c>
      <c r="S463" s="77">
        <f t="shared" si="73"/>
        <v>-9.1003979110217958E-3</v>
      </c>
      <c r="T463" s="77">
        <f t="shared" si="74"/>
        <v>2.7665354538750908E-2</v>
      </c>
      <c r="U463" s="77">
        <f t="shared" si="75"/>
        <v>-2.2321978459519054E-2</v>
      </c>
      <c r="V463" s="77">
        <f t="shared" si="76"/>
        <v>1.8987731221432547E-2</v>
      </c>
      <c r="W463" s="77">
        <f t="shared" si="77"/>
        <v>3.2209311769929805E-2</v>
      </c>
      <c r="X463" s="77">
        <f t="shared" si="78"/>
        <v>3.472053479200099E-2</v>
      </c>
      <c r="Y463" s="78">
        <f t="shared" si="79"/>
        <v>-2.7321396335519887E-2</v>
      </c>
    </row>
    <row r="464" spans="1:25" x14ac:dyDescent="0.25">
      <c r="A464" s="75">
        <v>44419</v>
      </c>
      <c r="B464" s="76">
        <v>36.65</v>
      </c>
      <c r="C464" s="82">
        <v>0.36616894314729148</v>
      </c>
      <c r="D464" s="76">
        <v>40.5</v>
      </c>
      <c r="E464" s="86">
        <v>0.40463416637013111</v>
      </c>
      <c r="F464" s="76">
        <v>35.53</v>
      </c>
      <c r="G464" s="82">
        <v>0.35513945750551118</v>
      </c>
      <c r="H464" s="79">
        <v>38.700000000000003</v>
      </c>
      <c r="I464" s="82">
        <v>0.38695626864087279</v>
      </c>
      <c r="J464" s="79">
        <v>33.03</v>
      </c>
      <c r="K464" s="82">
        <v>0.3299643855393658</v>
      </c>
      <c r="L464" s="76">
        <v>37.81</v>
      </c>
      <c r="M464" s="82">
        <v>0.37805727434913178</v>
      </c>
      <c r="N464" s="79">
        <v>37.549999999999997</v>
      </c>
      <c r="O464" s="82">
        <v>0.37545756815154452</v>
      </c>
      <c r="P464" s="77">
        <f t="shared" si="70"/>
        <v>1.1029485641780301E-2</v>
      </c>
      <c r="Q464" s="77">
        <f t="shared" si="71"/>
        <v>3.8465223222839628E-2</v>
      </c>
      <c r="R464" s="77">
        <f t="shared" si="72"/>
        <v>-1.1888331201840296E-2</v>
      </c>
      <c r="S464" s="77">
        <f t="shared" si="73"/>
        <v>-9.2886250042530372E-3</v>
      </c>
      <c r="T464" s="77">
        <f t="shared" si="74"/>
        <v>2.9176598218586591E-2</v>
      </c>
      <c r="U464" s="77">
        <f t="shared" si="75"/>
        <v>-2.0318110646033338E-2</v>
      </c>
      <c r="V464" s="77">
        <f t="shared" si="76"/>
        <v>2.5175071966145379E-2</v>
      </c>
      <c r="W464" s="77">
        <f t="shared" si="77"/>
        <v>3.620455760792568E-2</v>
      </c>
      <c r="X464" s="77">
        <f t="shared" si="78"/>
        <v>3.1816811135361611E-2</v>
      </c>
      <c r="Y464" s="78">
        <f t="shared" si="79"/>
        <v>-2.2917816843620598E-2</v>
      </c>
    </row>
    <row r="465" spans="1:25" x14ac:dyDescent="0.25">
      <c r="A465" s="75">
        <v>44418</v>
      </c>
      <c r="B465" s="76">
        <v>36.5</v>
      </c>
      <c r="C465" s="82">
        <v>0.36468028030220079</v>
      </c>
      <c r="D465" s="76">
        <v>40.5</v>
      </c>
      <c r="E465" s="86">
        <v>0.40464524252709949</v>
      </c>
      <c r="F465" s="76">
        <v>35.35</v>
      </c>
      <c r="G465" s="82">
        <v>0.353345108993318</v>
      </c>
      <c r="H465" s="79">
        <v>38.69</v>
      </c>
      <c r="I465" s="82">
        <v>0.38685760464606622</v>
      </c>
      <c r="J465" s="79">
        <v>32.909999999999997</v>
      </c>
      <c r="K465" s="82">
        <v>0.32877572804904748</v>
      </c>
      <c r="L465" s="76">
        <v>37.74</v>
      </c>
      <c r="M465" s="82">
        <v>0.37735864562787641</v>
      </c>
      <c r="N465" s="79">
        <v>37.5</v>
      </c>
      <c r="O465" s="82">
        <v>0.37495890861275483</v>
      </c>
      <c r="P465" s="77">
        <f t="shared" si="70"/>
        <v>1.1335171308882785E-2</v>
      </c>
      <c r="Q465" s="77">
        <f t="shared" si="71"/>
        <v>3.9964962224898704E-2</v>
      </c>
      <c r="R465" s="77">
        <f t="shared" si="72"/>
        <v>-1.2678365325675622E-2</v>
      </c>
      <c r="S465" s="77">
        <f t="shared" si="73"/>
        <v>-1.0278628310554039E-2</v>
      </c>
      <c r="T465" s="77">
        <f t="shared" si="74"/>
        <v>2.9686333914344665E-2</v>
      </c>
      <c r="U465" s="77">
        <f t="shared" si="75"/>
        <v>-2.1613799619436824E-2</v>
      </c>
      <c r="V465" s="77">
        <f t="shared" si="76"/>
        <v>2.4569380944270525E-2</v>
      </c>
      <c r="W465" s="77">
        <f t="shared" si="77"/>
        <v>3.590455225315331E-2</v>
      </c>
      <c r="X465" s="77">
        <f t="shared" si="78"/>
        <v>3.351249565274822E-2</v>
      </c>
      <c r="Y465" s="78">
        <f t="shared" si="79"/>
        <v>-2.4013536634558408E-2</v>
      </c>
    </row>
    <row r="466" spans="1:25" x14ac:dyDescent="0.25">
      <c r="A466" s="75">
        <v>44417</v>
      </c>
      <c r="B466" s="76">
        <v>36.119999999999997</v>
      </c>
      <c r="C466" s="82">
        <v>0.36089348772275598</v>
      </c>
      <c r="D466" s="76">
        <v>40.049999999999997</v>
      </c>
      <c r="E466" s="86">
        <v>0.40016013796501598</v>
      </c>
      <c r="F466" s="76">
        <v>35.1</v>
      </c>
      <c r="G466" s="82">
        <v>0.35085100847585271</v>
      </c>
      <c r="H466" s="79">
        <v>38.33</v>
      </c>
      <c r="I466" s="82">
        <v>0.3832593115114491</v>
      </c>
      <c r="J466" s="79">
        <v>32.700000000000003</v>
      </c>
      <c r="K466" s="82">
        <v>0.32668785646591098</v>
      </c>
      <c r="L466" s="76">
        <v>37.4</v>
      </c>
      <c r="M466" s="82">
        <v>0.3739602987354082</v>
      </c>
      <c r="N466" s="79">
        <v>37.08</v>
      </c>
      <c r="O466" s="82">
        <v>0.37076063842537271</v>
      </c>
      <c r="P466" s="77">
        <f t="shared" si="70"/>
        <v>1.0042479246903269E-2</v>
      </c>
      <c r="Q466" s="77">
        <f t="shared" si="71"/>
        <v>3.9266650242260004E-2</v>
      </c>
      <c r="R466" s="77">
        <f t="shared" si="72"/>
        <v>-1.3066811012652224E-2</v>
      </c>
      <c r="S466" s="77">
        <f t="shared" si="73"/>
        <v>-9.8671507026167338E-3</v>
      </c>
      <c r="T466" s="77">
        <f t="shared" si="74"/>
        <v>2.939949953964327E-2</v>
      </c>
      <c r="U466" s="77">
        <f t="shared" si="75"/>
        <v>-1.9909629949520002E-2</v>
      </c>
      <c r="V466" s="77">
        <f t="shared" si="76"/>
        <v>2.4163152009941735E-2</v>
      </c>
      <c r="W466" s="77">
        <f t="shared" si="77"/>
        <v>3.4205631256845004E-2</v>
      </c>
      <c r="X466" s="77">
        <f t="shared" si="78"/>
        <v>3.2408303035596386E-2</v>
      </c>
      <c r="Y466" s="78">
        <f t="shared" si="79"/>
        <v>-2.3109290259555493E-2</v>
      </c>
    </row>
    <row r="467" spans="1:25" x14ac:dyDescent="0.25">
      <c r="A467" s="75">
        <v>44413</v>
      </c>
      <c r="B467" s="76">
        <v>36.25</v>
      </c>
      <c r="C467" s="82">
        <v>0.36223204752648719</v>
      </c>
      <c r="D467" s="76">
        <v>40.4</v>
      </c>
      <c r="E467" s="86">
        <v>0.40370137158814029</v>
      </c>
      <c r="F467" s="76">
        <v>34.97</v>
      </c>
      <c r="G467" s="82">
        <v>0.34957070672490997</v>
      </c>
      <c r="H467" s="79">
        <v>38.4</v>
      </c>
      <c r="I467" s="82">
        <v>0.38396449643354902</v>
      </c>
      <c r="J467" s="79">
        <v>32.75</v>
      </c>
      <c r="K467" s="82">
        <v>0.32722768381107498</v>
      </c>
      <c r="L467" s="76">
        <v>37.4</v>
      </c>
      <c r="M467" s="82">
        <v>0.37396542100559188</v>
      </c>
      <c r="N467" s="79">
        <v>37</v>
      </c>
      <c r="O467" s="82">
        <v>0.36996579083440922</v>
      </c>
      <c r="P467" s="77">
        <f t="shared" si="70"/>
        <v>1.2661340801577214E-2</v>
      </c>
      <c r="Q467" s="77">
        <f t="shared" si="71"/>
        <v>4.1469324061653101E-2</v>
      </c>
      <c r="R467" s="77">
        <f t="shared" si="72"/>
        <v>-1.1733373479104692E-2</v>
      </c>
      <c r="S467" s="77">
        <f t="shared" si="73"/>
        <v>-7.7337433079220363E-3</v>
      </c>
      <c r="T467" s="77">
        <f t="shared" si="74"/>
        <v>3.3735580753731065E-2</v>
      </c>
      <c r="U467" s="77">
        <f t="shared" si="75"/>
        <v>-2.0395084109499251E-2</v>
      </c>
      <c r="V467" s="77">
        <f t="shared" si="76"/>
        <v>2.2343022913834998E-2</v>
      </c>
      <c r="W467" s="77">
        <f t="shared" si="77"/>
        <v>3.5004363715412212E-2</v>
      </c>
      <c r="X467" s="77">
        <f t="shared" si="78"/>
        <v>3.4393789708639044E-2</v>
      </c>
      <c r="Y467" s="78">
        <f t="shared" si="79"/>
        <v>-2.4394714280681906E-2</v>
      </c>
    </row>
    <row r="468" spans="1:25" x14ac:dyDescent="0.25">
      <c r="A468" s="75">
        <v>44412</v>
      </c>
      <c r="B468" s="76">
        <v>36.299999999999997</v>
      </c>
      <c r="C468" s="82">
        <v>0.36274160871707822</v>
      </c>
      <c r="D468" s="76">
        <v>41</v>
      </c>
      <c r="E468" s="86">
        <v>0.40970815309642439</v>
      </c>
      <c r="F468" s="76">
        <v>35.19</v>
      </c>
      <c r="G468" s="82">
        <v>0.35177471037712588</v>
      </c>
      <c r="H468" s="79">
        <v>38.700000000000003</v>
      </c>
      <c r="I468" s="82">
        <v>0.38696554416387591</v>
      </c>
      <c r="J468" s="79">
        <v>33.020000000000003</v>
      </c>
      <c r="K468" s="82">
        <v>0.32993559955378232</v>
      </c>
      <c r="L468" s="76">
        <v>37.700000000000003</v>
      </c>
      <c r="M468" s="82">
        <v>0.37696643449555872</v>
      </c>
      <c r="N468" s="79">
        <v>37.15</v>
      </c>
      <c r="O468" s="82">
        <v>0.37146692417798421</v>
      </c>
      <c r="P468" s="77">
        <f t="shared" si="70"/>
        <v>1.0966898339952347E-2</v>
      </c>
      <c r="Q468" s="77">
        <f t="shared" si="71"/>
        <v>4.6966544379346165E-2</v>
      </c>
      <c r="R468" s="77">
        <f t="shared" si="72"/>
        <v>-1.4224825778480499E-2</v>
      </c>
      <c r="S468" s="77">
        <f t="shared" si="73"/>
        <v>-8.7253154609059913E-3</v>
      </c>
      <c r="T468" s="77">
        <f t="shared" si="74"/>
        <v>3.8241228918440173E-2</v>
      </c>
      <c r="U468" s="77">
        <f t="shared" si="75"/>
        <v>-1.9692213800858338E-2</v>
      </c>
      <c r="V468" s="77">
        <f t="shared" si="76"/>
        <v>2.1839110823343555E-2</v>
      </c>
      <c r="W468" s="77">
        <f t="shared" si="77"/>
        <v>3.2806009163295902E-2</v>
      </c>
      <c r="X468" s="77">
        <f t="shared" si="78"/>
        <v>3.5190833786750031E-2</v>
      </c>
      <c r="Y468" s="78">
        <f t="shared" si="79"/>
        <v>-2.5191724118432846E-2</v>
      </c>
    </row>
    <row r="469" spans="1:25" x14ac:dyDescent="0.25">
      <c r="A469" s="75">
        <v>44411</v>
      </c>
      <c r="B469" s="76">
        <v>36.43</v>
      </c>
      <c r="C469" s="82">
        <v>0.36405065023956201</v>
      </c>
      <c r="D469" s="76">
        <v>40.5</v>
      </c>
      <c r="E469" s="86">
        <v>0.40472279260780292</v>
      </c>
      <c r="F469" s="76">
        <v>35.409999999999997</v>
      </c>
      <c r="G469" s="82">
        <v>0.35397877439233139</v>
      </c>
      <c r="H469" s="79">
        <v>38.79</v>
      </c>
      <c r="I469" s="82">
        <v>0.3878667922266929</v>
      </c>
      <c r="J469" s="79">
        <v>33.43</v>
      </c>
      <c r="K469" s="82">
        <v>0.33404260415775522</v>
      </c>
      <c r="L469" s="76">
        <v>38.15</v>
      </c>
      <c r="M469" s="82">
        <v>0.38146734012498928</v>
      </c>
      <c r="N469" s="79">
        <v>37.6</v>
      </c>
      <c r="O469" s="82">
        <v>0.37596781097508769</v>
      </c>
      <c r="P469" s="77">
        <f t="shared" si="70"/>
        <v>1.0071875847230627E-2</v>
      </c>
      <c r="Q469" s="77">
        <f t="shared" si="71"/>
        <v>4.0672142368240904E-2</v>
      </c>
      <c r="R469" s="77">
        <f t="shared" si="72"/>
        <v>-1.7416689885427272E-2</v>
      </c>
      <c r="S469" s="77">
        <f t="shared" si="73"/>
        <v>-1.1917160735525678E-2</v>
      </c>
      <c r="T469" s="77">
        <f t="shared" si="74"/>
        <v>2.8754981632715226E-2</v>
      </c>
      <c r="U469" s="77">
        <f t="shared" si="75"/>
        <v>-2.1989036582756305E-2</v>
      </c>
      <c r="V469" s="77">
        <f t="shared" si="76"/>
        <v>1.9936170234576167E-2</v>
      </c>
      <c r="W469" s="77">
        <f t="shared" si="77"/>
        <v>3.0008046081806794E-2</v>
      </c>
      <c r="X469" s="77">
        <f t="shared" si="78"/>
        <v>3.3888017834361517E-2</v>
      </c>
      <c r="Y469" s="78">
        <f t="shared" si="79"/>
        <v>-2.7488565732657899E-2</v>
      </c>
    </row>
    <row r="470" spans="1:25" x14ac:dyDescent="0.25">
      <c r="A470" s="75">
        <v>44410</v>
      </c>
      <c r="B470" s="76">
        <v>36.65</v>
      </c>
      <c r="C470" s="82">
        <v>0.36625917205125402</v>
      </c>
      <c r="D470" s="76">
        <v>40.01</v>
      </c>
      <c r="E470" s="86">
        <v>0.39983709341802648</v>
      </c>
      <c r="F470" s="76">
        <v>35.590000000000003</v>
      </c>
      <c r="G470" s="82">
        <v>0.35578303023663449</v>
      </c>
      <c r="H470" s="79">
        <v>38.96</v>
      </c>
      <c r="I470" s="82">
        <v>0.38956798071391391</v>
      </c>
      <c r="J470" s="79">
        <v>33.700000000000003</v>
      </c>
      <c r="K470" s="82">
        <v>0.33675089659703777</v>
      </c>
      <c r="L470" s="76">
        <v>38.229999999999997</v>
      </c>
      <c r="M470" s="82">
        <v>0.3822685806646029</v>
      </c>
      <c r="N470" s="79">
        <v>37.9</v>
      </c>
      <c r="O470" s="82">
        <v>0.37896885187518831</v>
      </c>
      <c r="P470" s="77">
        <f t="shared" si="70"/>
        <v>1.0476141814619533E-2</v>
      </c>
      <c r="Q470" s="77">
        <f t="shared" si="71"/>
        <v>3.3577921366772456E-2</v>
      </c>
      <c r="R470" s="77">
        <f t="shared" si="72"/>
        <v>-1.6009408613348874E-2</v>
      </c>
      <c r="S470" s="77">
        <f t="shared" si="73"/>
        <v>-1.2709679823934283E-2</v>
      </c>
      <c r="T470" s="77">
        <f t="shared" si="74"/>
        <v>2.0868241542838173E-2</v>
      </c>
      <c r="U470" s="77">
        <f t="shared" si="75"/>
        <v>-2.3185821638553816E-2</v>
      </c>
      <c r="V470" s="77">
        <f t="shared" si="76"/>
        <v>1.9032133639596716E-2</v>
      </c>
      <c r="W470" s="77">
        <f t="shared" si="77"/>
        <v>2.9508275454216248E-2</v>
      </c>
      <c r="X470" s="77">
        <f t="shared" si="78"/>
        <v>3.3784950477279418E-2</v>
      </c>
      <c r="Y470" s="78">
        <f t="shared" si="79"/>
        <v>-2.6485550427968407E-2</v>
      </c>
    </row>
    <row r="471" spans="1:25" x14ac:dyDescent="0.25">
      <c r="A471" s="75">
        <v>44409</v>
      </c>
      <c r="B471" s="76">
        <v>36.75</v>
      </c>
      <c r="C471" s="82">
        <v>0.36726857048982831</v>
      </c>
      <c r="D471" s="76">
        <v>40.5</v>
      </c>
      <c r="E471" s="86">
        <v>0.40474495523368842</v>
      </c>
      <c r="F471" s="76">
        <v>35.78</v>
      </c>
      <c r="G471" s="82">
        <v>0.35768730400010962</v>
      </c>
      <c r="H471" s="79">
        <v>39</v>
      </c>
      <c r="I471" s="82">
        <v>0.38996928324138852</v>
      </c>
      <c r="J471" s="79">
        <v>33.6</v>
      </c>
      <c r="K471" s="82">
        <v>0.33576197695469312</v>
      </c>
      <c r="L471" s="76">
        <v>38.299999999999997</v>
      </c>
      <c r="M471" s="82">
        <v>0.38296983456782507</v>
      </c>
      <c r="N471" s="79">
        <v>38.049999999999997</v>
      </c>
      <c r="O471" s="82">
        <v>0.38047003147012393</v>
      </c>
      <c r="P471" s="77">
        <f t="shared" si="70"/>
        <v>9.5812664897186872E-3</v>
      </c>
      <c r="Q471" s="77">
        <f t="shared" si="71"/>
        <v>3.7476384743860114E-2</v>
      </c>
      <c r="R471" s="77">
        <f t="shared" si="72"/>
        <v>-1.5701264077996768E-2</v>
      </c>
      <c r="S471" s="77">
        <f t="shared" si="73"/>
        <v>-1.3201460980295621E-2</v>
      </c>
      <c r="T471" s="77">
        <f t="shared" si="74"/>
        <v>2.4274923763564493E-2</v>
      </c>
      <c r="U471" s="77">
        <f t="shared" si="75"/>
        <v>-2.2782727470014308E-2</v>
      </c>
      <c r="V471" s="77">
        <f t="shared" si="76"/>
        <v>2.1925327045416498E-2</v>
      </c>
      <c r="W471" s="77">
        <f t="shared" si="77"/>
        <v>3.1506593535135186E-2</v>
      </c>
      <c r="X471" s="77">
        <f t="shared" si="78"/>
        <v>3.2281979241278902E-2</v>
      </c>
      <c r="Y471" s="78">
        <f t="shared" si="79"/>
        <v>-2.5282530567715455E-2</v>
      </c>
    </row>
    <row r="472" spans="1:25" x14ac:dyDescent="0.25">
      <c r="A472" s="75">
        <v>44407</v>
      </c>
      <c r="B472" s="76">
        <v>36.799999999999997</v>
      </c>
      <c r="C472" s="82">
        <v>0.36778839571753241</v>
      </c>
      <c r="D472" s="76">
        <v>40.9</v>
      </c>
      <c r="E472" s="86">
        <v>0.40876482024040961</v>
      </c>
      <c r="F472" s="76">
        <v>35.869999999999997</v>
      </c>
      <c r="G472" s="82">
        <v>0.35859684200435488</v>
      </c>
      <c r="H472" s="79">
        <v>38.82</v>
      </c>
      <c r="I472" s="82">
        <v>0.38817208351454169</v>
      </c>
      <c r="J472" s="79">
        <v>33.58</v>
      </c>
      <c r="K472" s="82">
        <v>0.33558279059102147</v>
      </c>
      <c r="L472" s="76">
        <v>38.479999999999997</v>
      </c>
      <c r="M472" s="82">
        <v>0.38477232801750549</v>
      </c>
      <c r="N472" s="79">
        <v>38.1</v>
      </c>
      <c r="O472" s="82">
        <v>0.38097260128552402</v>
      </c>
      <c r="P472" s="77">
        <f t="shared" si="70"/>
        <v>9.191553713177536E-3</v>
      </c>
      <c r="Q472" s="77">
        <f t="shared" si="71"/>
        <v>4.0976424522877197E-2</v>
      </c>
      <c r="R472" s="77">
        <f t="shared" si="72"/>
        <v>-1.6983932299973081E-2</v>
      </c>
      <c r="S472" s="77">
        <f t="shared" si="73"/>
        <v>-1.3184205567991603E-2</v>
      </c>
      <c r="T472" s="77">
        <f t="shared" si="74"/>
        <v>2.7792218954885595E-2</v>
      </c>
      <c r="U472" s="77">
        <f t="shared" si="75"/>
        <v>-2.2375759281169139E-2</v>
      </c>
      <c r="V472" s="77">
        <f t="shared" si="76"/>
        <v>2.3014051413333403E-2</v>
      </c>
      <c r="W472" s="77">
        <f t="shared" si="77"/>
        <v>3.2205605126510939E-2</v>
      </c>
      <c r="X472" s="77">
        <f t="shared" si="78"/>
        <v>2.9575241510186812E-2</v>
      </c>
      <c r="Y472" s="78">
        <f t="shared" si="79"/>
        <v>-2.6175486013150617E-2</v>
      </c>
    </row>
    <row r="473" spans="1:25" x14ac:dyDescent="0.25">
      <c r="A473" s="75">
        <v>44406</v>
      </c>
      <c r="B473" s="76">
        <v>36.86</v>
      </c>
      <c r="C473" s="82">
        <v>0.36839813800657167</v>
      </c>
      <c r="D473" s="76">
        <v>41</v>
      </c>
      <c r="E473" s="86">
        <v>0.40977546549835708</v>
      </c>
      <c r="F473" s="76">
        <v>35.909999999999997</v>
      </c>
      <c r="G473" s="82">
        <v>0.35900164338537383</v>
      </c>
      <c r="H473" s="79">
        <v>38.68</v>
      </c>
      <c r="I473" s="82">
        <v>0.38677350866379012</v>
      </c>
      <c r="J473" s="79">
        <v>33.5</v>
      </c>
      <c r="K473" s="82">
        <v>0.33479362037100419</v>
      </c>
      <c r="L473" s="76">
        <v>38.450000000000003</v>
      </c>
      <c r="M473" s="82">
        <v>0.38447366618724749</v>
      </c>
      <c r="N473" s="79">
        <v>38.15</v>
      </c>
      <c r="O473" s="82">
        <v>0.38147387165262647</v>
      </c>
      <c r="P473" s="77">
        <f t="shared" si="70"/>
        <v>9.3964946211978484E-3</v>
      </c>
      <c r="Q473" s="77">
        <f t="shared" si="71"/>
        <v>4.1377327491785409E-2</v>
      </c>
      <c r="R473" s="77">
        <f t="shared" si="72"/>
        <v>-1.6075528180675813E-2</v>
      </c>
      <c r="S473" s="77">
        <f t="shared" si="73"/>
        <v>-1.3075733646054799E-2</v>
      </c>
      <c r="T473" s="77">
        <f t="shared" si="74"/>
        <v>2.830159384573061E-2</v>
      </c>
      <c r="U473" s="77">
        <f t="shared" si="75"/>
        <v>-2.2472228267252647E-2</v>
      </c>
      <c r="V473" s="77">
        <f t="shared" si="76"/>
        <v>2.420802301436964E-2</v>
      </c>
      <c r="W473" s="77">
        <f t="shared" si="77"/>
        <v>3.3604517635567488E-2</v>
      </c>
      <c r="X473" s="77">
        <f t="shared" si="78"/>
        <v>2.7771865278416297E-2</v>
      </c>
      <c r="Y473" s="78">
        <f t="shared" si="79"/>
        <v>-2.5472022801873662E-2</v>
      </c>
    </row>
    <row r="474" spans="1:25" x14ac:dyDescent="0.25">
      <c r="A474" s="75">
        <v>44405</v>
      </c>
      <c r="B474" s="76">
        <v>36.979999999999997</v>
      </c>
      <c r="C474" s="82">
        <v>0.36960760152249511</v>
      </c>
      <c r="D474" s="76">
        <v>40.299999999999997</v>
      </c>
      <c r="E474" s="86">
        <v>0.40279032832224321</v>
      </c>
      <c r="F474" s="76">
        <v>36.01</v>
      </c>
      <c r="G474" s="82">
        <v>0.3600062997302072</v>
      </c>
      <c r="H474" s="79">
        <v>38.69</v>
      </c>
      <c r="I474" s="82">
        <v>0.38687482663799272</v>
      </c>
      <c r="J474" s="79">
        <v>33.71</v>
      </c>
      <c r="K474" s="82">
        <v>0.33690270423827151</v>
      </c>
      <c r="L474" s="76">
        <v>38.450000000000003</v>
      </c>
      <c r="M474" s="82">
        <v>0.38447498279221559</v>
      </c>
      <c r="N474" s="79">
        <v>38</v>
      </c>
      <c r="O474" s="82">
        <v>0.37997527558138339</v>
      </c>
      <c r="P474" s="77">
        <f t="shared" si="70"/>
        <v>9.6013017922879085E-3</v>
      </c>
      <c r="Q474" s="77">
        <f t="shared" si="71"/>
        <v>3.3182726799748097E-2</v>
      </c>
      <c r="R474" s="77">
        <f t="shared" si="72"/>
        <v>-1.4867381269720481E-2</v>
      </c>
      <c r="S474" s="77">
        <f t="shared" si="73"/>
        <v>-1.0367674058888277E-2</v>
      </c>
      <c r="T474" s="77">
        <f t="shared" si="74"/>
        <v>2.281505274085982E-2</v>
      </c>
      <c r="U474" s="77">
        <f t="shared" si="75"/>
        <v>-1.9968975851176185E-2</v>
      </c>
      <c r="V474" s="77">
        <f t="shared" si="76"/>
        <v>2.3103595491935691E-2</v>
      </c>
      <c r="W474" s="77">
        <f t="shared" si="77"/>
        <v>3.27048972842236E-2</v>
      </c>
      <c r="X474" s="77">
        <f t="shared" si="78"/>
        <v>2.6868526907785517E-2</v>
      </c>
      <c r="Y474" s="78">
        <f t="shared" si="79"/>
        <v>-2.4468683062008389E-2</v>
      </c>
    </row>
    <row r="475" spans="1:25" x14ac:dyDescent="0.25">
      <c r="A475" s="75">
        <v>44404</v>
      </c>
      <c r="B475" s="76">
        <v>37.049999999999997</v>
      </c>
      <c r="C475" s="82">
        <v>0.37031737773152962</v>
      </c>
      <c r="D475" s="76">
        <v>40.299999999999997</v>
      </c>
      <c r="E475" s="86">
        <v>0.40280135823429541</v>
      </c>
      <c r="F475" s="76">
        <v>36.119999999999997</v>
      </c>
      <c r="G475" s="82">
        <v>0.36111095894163081</v>
      </c>
      <c r="H475" s="79">
        <v>38.619999999999997</v>
      </c>
      <c r="I475" s="82">
        <v>0.38617619461814001</v>
      </c>
      <c r="J475" s="79">
        <v>33.450000000000003</v>
      </c>
      <c r="K475" s="82">
        <v>0.33431452413387103</v>
      </c>
      <c r="L475" s="76">
        <v>38.4</v>
      </c>
      <c r="M475" s="82">
        <v>0.38397633022621891</v>
      </c>
      <c r="N475" s="79">
        <v>38.299999999999997</v>
      </c>
      <c r="O475" s="82">
        <v>0.38297639186625482</v>
      </c>
      <c r="P475" s="77">
        <f t="shared" si="70"/>
        <v>9.206418789898807E-3</v>
      </c>
      <c r="Q475" s="77">
        <f t="shared" si="71"/>
        <v>3.2483980502765797E-2</v>
      </c>
      <c r="R475" s="77">
        <f t="shared" si="72"/>
        <v>-1.3658952494689292E-2</v>
      </c>
      <c r="S475" s="77">
        <f t="shared" si="73"/>
        <v>-1.2659014134725199E-2</v>
      </c>
      <c r="T475" s="77">
        <f t="shared" si="74"/>
        <v>1.9824966368040597E-2</v>
      </c>
      <c r="U475" s="77">
        <f t="shared" si="75"/>
        <v>-2.1865432924624006E-2</v>
      </c>
      <c r="V475" s="77">
        <f t="shared" si="76"/>
        <v>2.6796434807759784E-2</v>
      </c>
      <c r="W475" s="77">
        <f t="shared" si="77"/>
        <v>3.6002853597658591E-2</v>
      </c>
      <c r="X475" s="77">
        <f t="shared" si="78"/>
        <v>2.5065235676509201E-2</v>
      </c>
      <c r="Y475" s="78">
        <f t="shared" si="79"/>
        <v>-2.2865371284588099E-2</v>
      </c>
    </row>
    <row r="476" spans="1:25" x14ac:dyDescent="0.25">
      <c r="A476" s="75">
        <v>44403</v>
      </c>
      <c r="B476" s="76">
        <v>37.06</v>
      </c>
      <c r="C476" s="82">
        <v>0.37042747213626531</v>
      </c>
      <c r="D476" s="76">
        <v>40.549999999999997</v>
      </c>
      <c r="E476" s="86">
        <v>0.4053112249089465</v>
      </c>
      <c r="F476" s="76">
        <v>36.22</v>
      </c>
      <c r="G476" s="82">
        <v>0.36211567169289338</v>
      </c>
      <c r="H476" s="79">
        <v>38.6</v>
      </c>
      <c r="I476" s="82">
        <v>0.3859775287055206</v>
      </c>
      <c r="J476" s="79">
        <v>33.5</v>
      </c>
      <c r="K476" s="82">
        <v>0.33482456110325748</v>
      </c>
      <c r="L476" s="76">
        <v>38.450000000000003</v>
      </c>
      <c r="M476" s="82">
        <v>0.38447761602920377</v>
      </c>
      <c r="N476" s="79">
        <v>38.299999999999997</v>
      </c>
      <c r="O476" s="82">
        <v>0.38297770335288689</v>
      </c>
      <c r="P476" s="77">
        <f t="shared" si="70"/>
        <v>8.3118004433719306E-3</v>
      </c>
      <c r="Q476" s="77">
        <f t="shared" si="71"/>
        <v>3.4883752772681187E-2</v>
      </c>
      <c r="R476" s="77">
        <f t="shared" si="72"/>
        <v>-1.405014389293846E-2</v>
      </c>
      <c r="S476" s="77">
        <f t="shared" si="73"/>
        <v>-1.2550231216621577E-2</v>
      </c>
      <c r="T476" s="77">
        <f t="shared" si="74"/>
        <v>2.233352155605961E-2</v>
      </c>
      <c r="U476" s="77">
        <f t="shared" si="75"/>
        <v>-2.0862031659993507E-2</v>
      </c>
      <c r="V476" s="77">
        <f t="shared" si="76"/>
        <v>2.7291110589635903E-2</v>
      </c>
      <c r="W476" s="77">
        <f t="shared" si="77"/>
        <v>3.5602911033007834E-2</v>
      </c>
      <c r="X476" s="77">
        <f t="shared" si="78"/>
        <v>2.3861857012627219E-2</v>
      </c>
      <c r="Y476" s="78">
        <f t="shared" si="79"/>
        <v>-2.2361944336310391E-2</v>
      </c>
    </row>
    <row r="477" spans="1:25" x14ac:dyDescent="0.25">
      <c r="A477" s="75">
        <v>44400</v>
      </c>
      <c r="B477" s="76">
        <v>37</v>
      </c>
      <c r="C477" s="82">
        <v>0.36985813660513778</v>
      </c>
      <c r="D477" s="76">
        <v>40.549999999999997</v>
      </c>
      <c r="E477" s="86">
        <v>0.40534452538752258</v>
      </c>
      <c r="F477" s="76">
        <v>36.28</v>
      </c>
      <c r="G477" s="82">
        <v>0.36273043525899151</v>
      </c>
      <c r="H477" s="79">
        <v>38.950000000000003</v>
      </c>
      <c r="I477" s="82">
        <v>0.38948132623778309</v>
      </c>
      <c r="J477" s="79">
        <v>33.340000000000003</v>
      </c>
      <c r="K477" s="82">
        <v>0.33325619766812947</v>
      </c>
      <c r="L477" s="76">
        <v>38.590000000000003</v>
      </c>
      <c r="M477" s="82">
        <v>0.38588149883224782</v>
      </c>
      <c r="N477" s="79">
        <v>38.5</v>
      </c>
      <c r="O477" s="82">
        <v>0.38498154198086387</v>
      </c>
      <c r="P477" s="77">
        <f t="shared" si="70"/>
        <v>7.1277013461462646E-3</v>
      </c>
      <c r="Q477" s="77">
        <f t="shared" si="71"/>
        <v>3.5486388782384803E-2</v>
      </c>
      <c r="R477" s="77">
        <f t="shared" si="72"/>
        <v>-1.6023362227110038E-2</v>
      </c>
      <c r="S477" s="77">
        <f t="shared" si="73"/>
        <v>-1.5123405375726096E-2</v>
      </c>
      <c r="T477" s="77">
        <f t="shared" si="74"/>
        <v>2.0362983406658708E-2</v>
      </c>
      <c r="U477" s="77">
        <f t="shared" si="75"/>
        <v>-2.225110672187236E-2</v>
      </c>
      <c r="V477" s="77">
        <f t="shared" si="76"/>
        <v>2.947423759086204E-2</v>
      </c>
      <c r="W477" s="77">
        <f t="shared" si="77"/>
        <v>3.6601938937008305E-2</v>
      </c>
      <c r="X477" s="77">
        <f t="shared" si="78"/>
        <v>2.6750890978791575E-2</v>
      </c>
      <c r="Y477" s="78">
        <f t="shared" si="79"/>
        <v>-2.3151063573256303E-2</v>
      </c>
    </row>
    <row r="478" spans="1:25" x14ac:dyDescent="0.25">
      <c r="A478" s="75">
        <v>44399</v>
      </c>
      <c r="B478" s="76">
        <v>37.200000000000003</v>
      </c>
      <c r="C478" s="82">
        <v>0.37186755402185528</v>
      </c>
      <c r="D478" s="76">
        <v>40.6</v>
      </c>
      <c r="E478" s="86">
        <v>0.40585544874428292</v>
      </c>
      <c r="F478" s="76">
        <v>36.299999999999997</v>
      </c>
      <c r="G478" s="82">
        <v>0.36293536767424978</v>
      </c>
      <c r="H478" s="79">
        <v>38.58</v>
      </c>
      <c r="I478" s="82">
        <v>0.38578282473725478</v>
      </c>
      <c r="J478" s="79">
        <v>33.299999999999997</v>
      </c>
      <c r="K478" s="82">
        <v>0.33286662535901712</v>
      </c>
      <c r="L478" s="76">
        <v>38.549999999999997</v>
      </c>
      <c r="M478" s="82">
        <v>0.38548283809282458</v>
      </c>
      <c r="N478" s="79">
        <v>38.21</v>
      </c>
      <c r="O478" s="82">
        <v>0.38208298945594887</v>
      </c>
      <c r="P478" s="77">
        <f t="shared" si="70"/>
        <v>8.9321863476055086E-3</v>
      </c>
      <c r="Q478" s="77">
        <f t="shared" si="71"/>
        <v>3.3987894722427636E-2</v>
      </c>
      <c r="R478" s="77">
        <f t="shared" si="72"/>
        <v>-1.3615284070969291E-2</v>
      </c>
      <c r="S478" s="77">
        <f t="shared" si="73"/>
        <v>-1.0215435434093589E-2</v>
      </c>
      <c r="T478" s="77">
        <f t="shared" si="74"/>
        <v>2.3772459288334047E-2</v>
      </c>
      <c r="U478" s="77">
        <f t="shared" si="75"/>
        <v>-1.9147621781699098E-2</v>
      </c>
      <c r="V478" s="77">
        <f t="shared" si="76"/>
        <v>3.0068742315232655E-2</v>
      </c>
      <c r="W478" s="77">
        <f t="shared" si="77"/>
        <v>3.9000928662838164E-2</v>
      </c>
      <c r="X478" s="77">
        <f t="shared" si="78"/>
        <v>2.2847457063005006E-2</v>
      </c>
      <c r="Y478" s="78">
        <f t="shared" si="79"/>
        <v>-2.25474704185748E-2</v>
      </c>
    </row>
    <row r="479" spans="1:25" x14ac:dyDescent="0.25">
      <c r="A479" s="75">
        <v>44398</v>
      </c>
      <c r="B479" s="76">
        <v>37.200000000000003</v>
      </c>
      <c r="C479" s="82">
        <v>0.37187773882559161</v>
      </c>
      <c r="D479" s="76">
        <v>40.049999999999997</v>
      </c>
      <c r="E479" s="86">
        <v>0.40036837204206832</v>
      </c>
      <c r="F479" s="76">
        <v>36.32</v>
      </c>
      <c r="G479" s="82">
        <v>0.36314030570317207</v>
      </c>
      <c r="H479" s="79">
        <v>38.39</v>
      </c>
      <c r="I479" s="82">
        <v>0.38388422393600258</v>
      </c>
      <c r="J479" s="79">
        <v>33.26</v>
      </c>
      <c r="K479" s="82">
        <v>0.33247702904405219</v>
      </c>
      <c r="L479" s="76">
        <v>38.15</v>
      </c>
      <c r="M479" s="82">
        <v>0.38148432256208648</v>
      </c>
      <c r="N479" s="79">
        <v>37.85</v>
      </c>
      <c r="O479" s="82">
        <v>0.37848444584469132</v>
      </c>
      <c r="P479" s="77">
        <f t="shared" si="70"/>
        <v>8.7374331224195356E-3</v>
      </c>
      <c r="Q479" s="77">
        <f t="shared" si="71"/>
        <v>2.8490633216476713E-2</v>
      </c>
      <c r="R479" s="77">
        <f t="shared" si="72"/>
        <v>-9.606583736494867E-3</v>
      </c>
      <c r="S479" s="77">
        <f t="shared" si="73"/>
        <v>-6.6067070190997113E-3</v>
      </c>
      <c r="T479" s="77">
        <f t="shared" si="74"/>
        <v>2.1883926197377002E-2</v>
      </c>
      <c r="U479" s="77">
        <f t="shared" si="75"/>
        <v>-1.5344140141519247E-2</v>
      </c>
      <c r="V479" s="77">
        <f t="shared" si="76"/>
        <v>3.0663276659119887E-2</v>
      </c>
      <c r="W479" s="77">
        <f t="shared" si="77"/>
        <v>3.9400709781539422E-2</v>
      </c>
      <c r="X479" s="77">
        <f t="shared" si="78"/>
        <v>2.0743918232830505E-2</v>
      </c>
      <c r="Y479" s="78">
        <f t="shared" si="79"/>
        <v>-1.8344016858914403E-2</v>
      </c>
    </row>
    <row r="480" spans="1:25" x14ac:dyDescent="0.25">
      <c r="A480" s="75">
        <v>44397</v>
      </c>
      <c r="B480" s="76">
        <v>37</v>
      </c>
      <c r="C480" s="82">
        <v>0.36988852674536438</v>
      </c>
      <c r="D480" s="76">
        <v>40.9</v>
      </c>
      <c r="E480" s="86">
        <v>0.40887677686176771</v>
      </c>
      <c r="F480" s="76">
        <v>36.19</v>
      </c>
      <c r="G480" s="82">
        <v>0.36184547533933242</v>
      </c>
      <c r="H480" s="79">
        <v>38.229999999999997</v>
      </c>
      <c r="I480" s="82">
        <v>0.38228559883018098</v>
      </c>
      <c r="J480" s="79">
        <v>33.119999999999997</v>
      </c>
      <c r="K480" s="82">
        <v>0.33108774764720178</v>
      </c>
      <c r="L480" s="76">
        <v>38.200000000000003</v>
      </c>
      <c r="M480" s="82">
        <v>0.38198561013112531</v>
      </c>
      <c r="N480" s="79">
        <v>37.6</v>
      </c>
      <c r="O480" s="82">
        <v>0.37598583615000808</v>
      </c>
      <c r="P480" s="77">
        <f t="shared" si="70"/>
        <v>8.0430514060319536E-3</v>
      </c>
      <c r="Q480" s="77">
        <f t="shared" si="71"/>
        <v>3.8988250116403333E-2</v>
      </c>
      <c r="R480" s="77">
        <f t="shared" si="72"/>
        <v>-1.2097083385760932E-2</v>
      </c>
      <c r="S480" s="77">
        <f t="shared" si="73"/>
        <v>-6.0973094046437026E-3</v>
      </c>
      <c r="T480" s="77">
        <f t="shared" si="74"/>
        <v>3.2890940711759631E-2</v>
      </c>
      <c r="U480" s="77">
        <f t="shared" si="75"/>
        <v>-1.4140360810675656E-2</v>
      </c>
      <c r="V480" s="77">
        <f t="shared" si="76"/>
        <v>3.0757727692130643E-2</v>
      </c>
      <c r="W480" s="77">
        <f t="shared" si="77"/>
        <v>3.8800779098162597E-2</v>
      </c>
      <c r="X480" s="77">
        <f t="shared" si="78"/>
        <v>2.0440123490848561E-2</v>
      </c>
      <c r="Y480" s="78">
        <f t="shared" si="79"/>
        <v>-2.0140134791792885E-2</v>
      </c>
    </row>
    <row r="481" spans="1:25" x14ac:dyDescent="0.25">
      <c r="A481" s="75">
        <v>44396</v>
      </c>
      <c r="B481" s="76">
        <v>36.6</v>
      </c>
      <c r="C481" s="82">
        <v>0.36589975349219389</v>
      </c>
      <c r="D481" s="76">
        <v>39.9</v>
      </c>
      <c r="E481" s="86">
        <v>0.39889071487263761</v>
      </c>
      <c r="F481" s="76">
        <v>35.840000000000003</v>
      </c>
      <c r="G481" s="82">
        <v>0.35835091083413229</v>
      </c>
      <c r="H481" s="79">
        <v>38.03</v>
      </c>
      <c r="I481" s="82">
        <v>0.38028697647340848</v>
      </c>
      <c r="J481" s="79">
        <v>32.94</v>
      </c>
      <c r="K481" s="82">
        <v>0.32929850388578857</v>
      </c>
      <c r="L481" s="76">
        <v>37.65</v>
      </c>
      <c r="M481" s="82">
        <v>0.37648710660593809</v>
      </c>
      <c r="N481" s="79">
        <v>36.6</v>
      </c>
      <c r="O481" s="82">
        <v>0.36598746618266498</v>
      </c>
      <c r="P481" s="77">
        <f t="shared" si="70"/>
        <v>7.5488426580616053E-3</v>
      </c>
      <c r="Q481" s="77">
        <f t="shared" si="71"/>
        <v>3.2990961380443717E-2</v>
      </c>
      <c r="R481" s="77">
        <f t="shared" si="72"/>
        <v>-1.0587353113744202E-2</v>
      </c>
      <c r="S481" s="77">
        <f t="shared" si="73"/>
        <v>-8.7712690471086763E-5</v>
      </c>
      <c r="T481" s="77">
        <f t="shared" si="74"/>
        <v>3.2903248689972631E-2</v>
      </c>
      <c r="U481" s="77">
        <f t="shared" si="75"/>
        <v>-7.636555348532692E-3</v>
      </c>
      <c r="V481" s="77">
        <f t="shared" si="76"/>
        <v>2.9052406948343712E-2</v>
      </c>
      <c r="W481" s="77">
        <f t="shared" si="77"/>
        <v>3.6601249606405317E-2</v>
      </c>
      <c r="X481" s="77">
        <f t="shared" si="78"/>
        <v>2.1936065639276192E-2</v>
      </c>
      <c r="Y481" s="78">
        <f t="shared" si="79"/>
        <v>-1.8136195771805808E-2</v>
      </c>
    </row>
    <row r="482" spans="1:25" x14ac:dyDescent="0.25">
      <c r="A482" s="75">
        <v>44393</v>
      </c>
      <c r="B482" s="76">
        <v>36.4</v>
      </c>
      <c r="C482" s="82">
        <v>0.3639302051661325</v>
      </c>
      <c r="D482" s="76">
        <v>39.71</v>
      </c>
      <c r="E482" s="86">
        <v>0.39702385843810778</v>
      </c>
      <c r="F482" s="76">
        <v>35.57</v>
      </c>
      <c r="G482" s="82">
        <v>0.35566589505115948</v>
      </c>
      <c r="H482" s="79">
        <v>37.79</v>
      </c>
      <c r="I482" s="82">
        <v>0.37789094097059323</v>
      </c>
      <c r="J482" s="79">
        <v>32.65</v>
      </c>
      <c r="K482" s="82">
        <v>0.32642957170199582</v>
      </c>
      <c r="L482" s="76">
        <v>37.200000000000003</v>
      </c>
      <c r="M482" s="82">
        <v>0.37199108240555878</v>
      </c>
      <c r="N482" s="79">
        <v>36.75</v>
      </c>
      <c r="O482" s="82">
        <v>0.36749119027968508</v>
      </c>
      <c r="P482" s="77">
        <f t="shared" si="70"/>
        <v>8.264310114973028E-3</v>
      </c>
      <c r="Q482" s="77">
        <f t="shared" si="71"/>
        <v>3.3093653271975276E-2</v>
      </c>
      <c r="R482" s="77">
        <f t="shared" si="72"/>
        <v>-8.0608772394262784E-3</v>
      </c>
      <c r="S482" s="77">
        <f t="shared" si="73"/>
        <v>-3.5609851135525727E-3</v>
      </c>
      <c r="T482" s="77">
        <f t="shared" si="74"/>
        <v>2.9532668158422704E-2</v>
      </c>
      <c r="U482" s="77">
        <f t="shared" si="75"/>
        <v>-1.1825295228525601E-2</v>
      </c>
      <c r="V482" s="77">
        <f t="shared" si="76"/>
        <v>2.9236323349163651E-2</v>
      </c>
      <c r="W482" s="77">
        <f t="shared" si="77"/>
        <v>3.7500633464136679E-2</v>
      </c>
      <c r="X482" s="77">
        <f t="shared" si="78"/>
        <v>2.222504591943375E-2</v>
      </c>
      <c r="Y482" s="78">
        <f t="shared" si="79"/>
        <v>-1.6325187354399306E-2</v>
      </c>
    </row>
    <row r="483" spans="1:25" x14ac:dyDescent="0.25">
      <c r="A483" s="75">
        <v>44392</v>
      </c>
      <c r="B483" s="76">
        <v>36.369999999999997</v>
      </c>
      <c r="C483" s="82">
        <v>0.3636402235249</v>
      </c>
      <c r="D483" s="76">
        <v>39.5</v>
      </c>
      <c r="E483" s="86">
        <v>0.39493507916506881</v>
      </c>
      <c r="F483" s="76">
        <v>35.29</v>
      </c>
      <c r="G483" s="82">
        <v>0.35287099690436402</v>
      </c>
      <c r="H483" s="79">
        <v>37.549999999999997</v>
      </c>
      <c r="I483" s="82">
        <v>0.37549228440511501</v>
      </c>
      <c r="J483" s="79">
        <v>32.72</v>
      </c>
      <c r="K483" s="82">
        <v>0.32713950159901928</v>
      </c>
      <c r="L483" s="76">
        <v>37</v>
      </c>
      <c r="M483" s="82">
        <v>0.36999239741649143</v>
      </c>
      <c r="N483" s="79">
        <v>36.35</v>
      </c>
      <c r="O483" s="82">
        <v>0.36349253097539092</v>
      </c>
      <c r="P483" s="77">
        <f t="shared" si="70"/>
        <v>1.0769226620535977E-2</v>
      </c>
      <c r="Q483" s="77">
        <f t="shared" si="71"/>
        <v>3.1294855640168817E-2</v>
      </c>
      <c r="R483" s="77">
        <f t="shared" si="72"/>
        <v>-6.3521738915914283E-3</v>
      </c>
      <c r="S483" s="77">
        <f t="shared" si="73"/>
        <v>1.4769254950908195E-4</v>
      </c>
      <c r="T483" s="77">
        <f t="shared" si="74"/>
        <v>3.1442548189677899E-2</v>
      </c>
      <c r="U483" s="77">
        <f t="shared" si="75"/>
        <v>-1.0621534071026895E-2</v>
      </c>
      <c r="V483" s="77">
        <f t="shared" si="76"/>
        <v>2.5731495305344743E-2</v>
      </c>
      <c r="W483" s="77">
        <f t="shared" si="77"/>
        <v>3.6500721925880719E-2</v>
      </c>
      <c r="X483" s="77">
        <f t="shared" si="78"/>
        <v>2.2621287500750986E-2</v>
      </c>
      <c r="Y483" s="78">
        <f t="shared" si="79"/>
        <v>-1.7121400512127405E-2</v>
      </c>
    </row>
    <row r="484" spans="1:25" x14ac:dyDescent="0.25">
      <c r="A484" s="75">
        <v>44391</v>
      </c>
      <c r="B484" s="76">
        <v>36.4</v>
      </c>
      <c r="C484" s="82">
        <v>0.36395014381591562</v>
      </c>
      <c r="D484" s="76">
        <v>39.5</v>
      </c>
      <c r="E484" s="86">
        <v>0.39494589782221612</v>
      </c>
      <c r="F484" s="76">
        <v>35.090000000000003</v>
      </c>
      <c r="G484" s="82">
        <v>0.35087596739949323</v>
      </c>
      <c r="H484" s="79">
        <v>37.700000000000003</v>
      </c>
      <c r="I484" s="82">
        <v>0.37699354463108509</v>
      </c>
      <c r="J484" s="79">
        <v>32.6</v>
      </c>
      <c r="K484" s="82">
        <v>0.32594976801520309</v>
      </c>
      <c r="L484" s="76">
        <v>36.82</v>
      </c>
      <c r="M484" s="82">
        <v>0.36819369531343638</v>
      </c>
      <c r="N484" s="79">
        <v>36.28</v>
      </c>
      <c r="O484" s="82">
        <v>0.36279378777760662</v>
      </c>
      <c r="P484" s="77">
        <f t="shared" si="70"/>
        <v>1.3074176416422389E-2</v>
      </c>
      <c r="Q484" s="77">
        <f t="shared" si="71"/>
        <v>3.0995754006300502E-2</v>
      </c>
      <c r="R484" s="77">
        <f t="shared" si="72"/>
        <v>-4.2435514975207589E-3</v>
      </c>
      <c r="S484" s="77">
        <f t="shared" si="73"/>
        <v>1.1563560383089921E-3</v>
      </c>
      <c r="T484" s="77">
        <f t="shared" si="74"/>
        <v>3.2152110044609494E-2</v>
      </c>
      <c r="U484" s="77">
        <f t="shared" si="75"/>
        <v>-1.1917820378113397E-2</v>
      </c>
      <c r="V484" s="77">
        <f t="shared" si="76"/>
        <v>2.4926199384290137E-2</v>
      </c>
      <c r="W484" s="77">
        <f t="shared" si="77"/>
        <v>3.8000375800712527E-2</v>
      </c>
      <c r="X484" s="77">
        <f t="shared" si="78"/>
        <v>2.611757723159186E-2</v>
      </c>
      <c r="Y484" s="78">
        <f t="shared" si="79"/>
        <v>-1.7317727913943148E-2</v>
      </c>
    </row>
    <row r="485" spans="1:25" x14ac:dyDescent="0.25">
      <c r="A485" s="75">
        <v>44390</v>
      </c>
      <c r="B485" s="76">
        <v>36.049999999999997</v>
      </c>
      <c r="C485" s="82">
        <v>0.36046049747972819</v>
      </c>
      <c r="D485" s="76">
        <v>39.31</v>
      </c>
      <c r="E485" s="86">
        <v>0.39305692526846381</v>
      </c>
      <c r="F485" s="76">
        <v>34.75</v>
      </c>
      <c r="G485" s="82">
        <v>0.34748095994740008</v>
      </c>
      <c r="H485" s="79">
        <v>37.409999999999997</v>
      </c>
      <c r="I485" s="82">
        <v>0.37409487541266562</v>
      </c>
      <c r="J485" s="79">
        <v>32.75</v>
      </c>
      <c r="K485" s="82">
        <v>0.32745962826500841</v>
      </c>
      <c r="L485" s="76">
        <v>36.5</v>
      </c>
      <c r="M485" s="82">
        <v>0.36499500006849223</v>
      </c>
      <c r="N485" s="79">
        <v>36</v>
      </c>
      <c r="O485" s="82">
        <v>0.35999506856070462</v>
      </c>
      <c r="P485" s="77">
        <f t="shared" si="70"/>
        <v>1.2979537532328111E-2</v>
      </c>
      <c r="Q485" s="77">
        <f t="shared" si="71"/>
        <v>3.2596427788735616E-2</v>
      </c>
      <c r="R485" s="77">
        <f t="shared" si="72"/>
        <v>-4.5345025887640333E-3</v>
      </c>
      <c r="S485" s="77">
        <f t="shared" si="73"/>
        <v>4.6542891902356942E-4</v>
      </c>
      <c r="T485" s="77">
        <f t="shared" si="74"/>
        <v>3.3061856707759185E-2</v>
      </c>
      <c r="U485" s="77">
        <f t="shared" si="75"/>
        <v>-1.2514108613304542E-2</v>
      </c>
      <c r="V485" s="77">
        <f t="shared" si="76"/>
        <v>2.0021331682391674E-2</v>
      </c>
      <c r="W485" s="77">
        <f t="shared" si="77"/>
        <v>3.3000869214719786E-2</v>
      </c>
      <c r="X485" s="77">
        <f t="shared" si="78"/>
        <v>2.6613915465265536E-2</v>
      </c>
      <c r="Y485" s="78">
        <f t="shared" si="79"/>
        <v>-1.7514040121092145E-2</v>
      </c>
    </row>
    <row r="486" spans="1:25" x14ac:dyDescent="0.25">
      <c r="A486" s="75">
        <v>44389</v>
      </c>
      <c r="B486" s="76">
        <v>35.799999999999997</v>
      </c>
      <c r="C486" s="82">
        <v>0.35797057776073199</v>
      </c>
      <c r="D486" s="76">
        <v>39.15</v>
      </c>
      <c r="E486" s="86">
        <v>0.39146782456236467</v>
      </c>
      <c r="F486" s="76">
        <v>34.29</v>
      </c>
      <c r="G486" s="82">
        <v>0.34288590879826858</v>
      </c>
      <c r="H486" s="79">
        <v>37.1</v>
      </c>
      <c r="I486" s="82">
        <v>0.37099618839532472</v>
      </c>
      <c r="J486" s="79">
        <v>31.9</v>
      </c>
      <c r="K486" s="82">
        <v>0.31897050615182843</v>
      </c>
      <c r="L486" s="76">
        <v>35.96</v>
      </c>
      <c r="M486" s="82">
        <v>0.35959630551740912</v>
      </c>
      <c r="N486" s="79">
        <v>35.25</v>
      </c>
      <c r="O486" s="82">
        <v>0.3524963784618651</v>
      </c>
      <c r="P486" s="77">
        <f t="shared" si="70"/>
        <v>1.508466896246341E-2</v>
      </c>
      <c r="Q486" s="77">
        <f t="shared" si="71"/>
        <v>3.3497246801632685E-2</v>
      </c>
      <c r="R486" s="77">
        <f t="shared" si="72"/>
        <v>-1.6257277566771311E-3</v>
      </c>
      <c r="S486" s="77">
        <f t="shared" si="73"/>
        <v>5.4741992988668886E-3</v>
      </c>
      <c r="T486" s="77">
        <f t="shared" si="74"/>
        <v>3.8971446100499574E-2</v>
      </c>
      <c r="U486" s="77">
        <f t="shared" si="75"/>
        <v>-9.6104696635965214E-3</v>
      </c>
      <c r="V486" s="77">
        <f t="shared" si="76"/>
        <v>2.3915402646440154E-2</v>
      </c>
      <c r="W486" s="77">
        <f t="shared" si="77"/>
        <v>3.9000071608903564E-2</v>
      </c>
      <c r="X486" s="77">
        <f t="shared" si="78"/>
        <v>2.8110279597056143E-2</v>
      </c>
      <c r="Y486" s="78">
        <f t="shared" si="79"/>
        <v>-1.6710396719140541E-2</v>
      </c>
    </row>
    <row r="487" spans="1:25" x14ac:dyDescent="0.25">
      <c r="A487" s="52">
        <v>44385</v>
      </c>
      <c r="B487" s="53">
        <v>35.54</v>
      </c>
      <c r="C487" s="83">
        <v>0.35241652856638322</v>
      </c>
      <c r="D487" s="53">
        <v>39.04</v>
      </c>
      <c r="E487" s="87">
        <v>0.38712271455350589</v>
      </c>
      <c r="F487" s="53">
        <v>33.86</v>
      </c>
      <c r="G487" s="83">
        <v>0.33717278915276427</v>
      </c>
      <c r="H487" s="55">
        <v>36.85</v>
      </c>
      <c r="I487" s="83">
        <v>0.36811045845321222</v>
      </c>
      <c r="J487" s="55">
        <v>31.5</v>
      </c>
      <c r="K487" s="83">
        <v>0.3120282514816084</v>
      </c>
      <c r="L487" s="53">
        <v>35.659999999999997</v>
      </c>
      <c r="M487" s="83">
        <v>0.35622303794956711</v>
      </c>
      <c r="N487" s="55">
        <v>35.049999999999997</v>
      </c>
      <c r="O487" s="83">
        <v>0.35012948626282459</v>
      </c>
      <c r="P487" s="56">
        <f t="shared" si="70"/>
        <v>1.5243739413618951E-2</v>
      </c>
      <c r="Q487" s="56">
        <f t="shared" si="71"/>
        <v>3.4706185987122662E-2</v>
      </c>
      <c r="R487" s="56">
        <f t="shared" si="72"/>
        <v>-3.806509383183887E-3</v>
      </c>
      <c r="S487" s="54">
        <f t="shared" si="73"/>
        <v>2.2870423035586396E-3</v>
      </c>
      <c r="T487" s="56">
        <f t="shared" si="74"/>
        <v>3.6993228290681301E-2</v>
      </c>
      <c r="U487" s="56">
        <f t="shared" si="75"/>
        <v>-1.2956697110060311E-2</v>
      </c>
      <c r="V487" s="56">
        <f t="shared" si="76"/>
        <v>2.5144537671155875E-2</v>
      </c>
      <c r="W487" s="56">
        <f t="shared" si="77"/>
        <v>4.0388277084774826E-2</v>
      </c>
      <c r="X487" s="65">
        <f t="shared" si="78"/>
        <v>3.0937669300447945E-2</v>
      </c>
      <c r="Y487" s="73">
        <f t="shared" si="79"/>
        <v>-1.9050248796802838E-2</v>
      </c>
    </row>
    <row r="488" spans="1:25" x14ac:dyDescent="0.25">
      <c r="A488" s="52">
        <v>44384</v>
      </c>
      <c r="B488" s="53">
        <v>35.6</v>
      </c>
      <c r="C488" s="83">
        <v>0.35302108237339708</v>
      </c>
      <c r="D488" s="53">
        <v>38.9</v>
      </c>
      <c r="E488" s="87">
        <v>0.38574494675070642</v>
      </c>
      <c r="F488" s="53">
        <v>33.76</v>
      </c>
      <c r="G488" s="83">
        <v>0.33618159000381947</v>
      </c>
      <c r="H488" s="55">
        <v>37.01</v>
      </c>
      <c r="I488" s="83">
        <v>0.36971003188417689</v>
      </c>
      <c r="J488" s="55">
        <v>31.26</v>
      </c>
      <c r="K488" s="83">
        <v>0.30966034765852929</v>
      </c>
      <c r="L488" s="53">
        <v>35.700000000000003</v>
      </c>
      <c r="M488" s="83">
        <v>0.35662383513280521</v>
      </c>
      <c r="N488" s="55">
        <v>34.700000000000003</v>
      </c>
      <c r="O488" s="83">
        <v>0.34663437196381902</v>
      </c>
      <c r="P488" s="56">
        <f t="shared" si="70"/>
        <v>1.6839492369577602E-2</v>
      </c>
      <c r="Q488" s="56">
        <f t="shared" si="71"/>
        <v>3.2723864377309342E-2</v>
      </c>
      <c r="R488" s="56">
        <f t="shared" si="72"/>
        <v>-3.6027527594081343E-3</v>
      </c>
      <c r="S488" s="54">
        <f t="shared" si="73"/>
        <v>6.3867104095780558E-3</v>
      </c>
      <c r="T488" s="56">
        <f t="shared" si="74"/>
        <v>3.9110574786887398E-2</v>
      </c>
      <c r="U488" s="56">
        <f t="shared" si="75"/>
        <v>-1.0452781959999546E-2</v>
      </c>
      <c r="V488" s="56">
        <f t="shared" si="76"/>
        <v>2.6521242345290186E-2</v>
      </c>
      <c r="W488" s="56">
        <f t="shared" si="77"/>
        <v>4.3360734714867788E-2</v>
      </c>
      <c r="X488" s="65">
        <f t="shared" si="78"/>
        <v>3.3528441880357418E-2</v>
      </c>
      <c r="Y488" s="73">
        <f t="shared" si="79"/>
        <v>-2.0442245128985737E-2</v>
      </c>
    </row>
    <row r="489" spans="1:25" x14ac:dyDescent="0.25">
      <c r="A489" s="52">
        <v>44383</v>
      </c>
      <c r="B489" s="53">
        <v>36.299999999999997</v>
      </c>
      <c r="C489" s="83">
        <v>0.35997228788002278</v>
      </c>
      <c r="D489" s="53">
        <v>39.799999999999997</v>
      </c>
      <c r="E489" s="87">
        <v>0.39468035971418469</v>
      </c>
      <c r="F489" s="53">
        <v>33.770000000000003</v>
      </c>
      <c r="G489" s="83">
        <v>0.33628575715825232</v>
      </c>
      <c r="H489" s="55">
        <v>37.020000000000003</v>
      </c>
      <c r="I489" s="83">
        <v>0.36981119165808551</v>
      </c>
      <c r="J489" s="55">
        <v>31.08</v>
      </c>
      <c r="K489" s="83">
        <v>0.3078866750575886</v>
      </c>
      <c r="L489" s="53">
        <v>35.4</v>
      </c>
      <c r="M489" s="83">
        <v>0.35362820596154038</v>
      </c>
      <c r="N489" s="55">
        <v>34.6</v>
      </c>
      <c r="O489" s="83">
        <v>0.34563660808670338</v>
      </c>
      <c r="P489" s="56">
        <f t="shared" si="70"/>
        <v>2.368653072177046E-2</v>
      </c>
      <c r="Q489" s="56">
        <f t="shared" si="71"/>
        <v>3.4708071834161913E-2</v>
      </c>
      <c r="R489" s="56">
        <f t="shared" si="72"/>
        <v>6.3440819184824027E-3</v>
      </c>
      <c r="S489" s="54">
        <f t="shared" si="73"/>
        <v>1.43356797933194E-2</v>
      </c>
      <c r="T489" s="56">
        <f t="shared" si="74"/>
        <v>4.9043751627481313E-2</v>
      </c>
      <c r="U489" s="56">
        <f t="shared" si="75"/>
        <v>-9.3508509284510599E-3</v>
      </c>
      <c r="V489" s="56">
        <f t="shared" si="76"/>
        <v>2.839908210066372E-2</v>
      </c>
      <c r="W489" s="56">
        <f t="shared" si="77"/>
        <v>5.208561282243418E-2</v>
      </c>
      <c r="X489" s="65">
        <f t="shared" si="78"/>
        <v>3.3525434499833195E-2</v>
      </c>
      <c r="Y489" s="73">
        <f t="shared" si="79"/>
        <v>-1.7342448803288057E-2</v>
      </c>
    </row>
    <row r="490" spans="1:25" x14ac:dyDescent="0.25">
      <c r="A490" s="52">
        <v>44382</v>
      </c>
      <c r="B490" s="53">
        <v>36.4</v>
      </c>
      <c r="C490" s="83">
        <v>0.36097375427919359</v>
      </c>
      <c r="D490" s="53">
        <v>39.549999999999997</v>
      </c>
      <c r="E490" s="87">
        <v>0.39221186763027771</v>
      </c>
      <c r="F490" s="53">
        <v>33.799999999999997</v>
      </c>
      <c r="G490" s="83">
        <v>0.33658909229803841</v>
      </c>
      <c r="H490" s="55">
        <v>37.450000000000003</v>
      </c>
      <c r="I490" s="83">
        <v>0.37410795536184688</v>
      </c>
      <c r="J490" s="55">
        <v>31.5</v>
      </c>
      <c r="K490" s="83">
        <v>0.31205683383431609</v>
      </c>
      <c r="L490" s="53">
        <v>35.659999999999997</v>
      </c>
      <c r="M490" s="83">
        <v>0.35622669394401751</v>
      </c>
      <c r="N490" s="55">
        <v>34.9</v>
      </c>
      <c r="O490" s="83">
        <v>0.34863464999007893</v>
      </c>
      <c r="P490" s="56">
        <f t="shared" si="70"/>
        <v>2.4384661981155187E-2</v>
      </c>
      <c r="Q490" s="56">
        <f t="shared" si="71"/>
        <v>3.1238113351084118E-2</v>
      </c>
      <c r="R490" s="56">
        <f t="shared" si="72"/>
        <v>4.7470603351760787E-3</v>
      </c>
      <c r="S490" s="54">
        <f t="shared" si="73"/>
        <v>1.2339104289114666E-2</v>
      </c>
      <c r="T490" s="56">
        <f t="shared" si="74"/>
        <v>4.3577217640198784E-2</v>
      </c>
      <c r="U490" s="56">
        <f t="shared" si="75"/>
        <v>-1.2045557692040521E-2</v>
      </c>
      <c r="V490" s="56">
        <f t="shared" si="76"/>
        <v>2.4532258463722312E-2</v>
      </c>
      <c r="W490" s="56">
        <f t="shared" si="77"/>
        <v>4.8916920444877499E-2</v>
      </c>
      <c r="X490" s="65">
        <f t="shared" si="78"/>
        <v>3.7518863063808472E-2</v>
      </c>
      <c r="Y490" s="73">
        <f t="shared" si="79"/>
        <v>-1.9637601645979108E-2</v>
      </c>
    </row>
    <row r="491" spans="1:25" x14ac:dyDescent="0.25">
      <c r="A491" s="52">
        <v>44379</v>
      </c>
      <c r="B491" s="53">
        <v>36.5</v>
      </c>
      <c r="C491" s="83">
        <v>0.36199494606417948</v>
      </c>
      <c r="D491" s="53">
        <v>39.700000000000003</v>
      </c>
      <c r="E491" s="87">
        <v>0.39373148928076518</v>
      </c>
      <c r="F491" s="53">
        <v>34.06</v>
      </c>
      <c r="G491" s="83">
        <v>0.33919212037706509</v>
      </c>
      <c r="H491" s="55">
        <v>37.22</v>
      </c>
      <c r="I491" s="83">
        <v>0.37181417912234899</v>
      </c>
      <c r="J491" s="55">
        <v>31.75</v>
      </c>
      <c r="K491" s="83">
        <v>0.31456228984789308</v>
      </c>
      <c r="L491" s="53">
        <v>35.729999999999997</v>
      </c>
      <c r="M491" s="83">
        <v>0.35692962439660209</v>
      </c>
      <c r="N491" s="55">
        <v>34.75</v>
      </c>
      <c r="O491" s="83">
        <v>0.34713978303335918</v>
      </c>
      <c r="P491" s="56">
        <f t="shared" si="70"/>
        <v>2.2802825687114392E-2</v>
      </c>
      <c r="Q491" s="56">
        <f t="shared" si="71"/>
        <v>3.17365432165857E-2</v>
      </c>
      <c r="R491" s="56">
        <f t="shared" si="72"/>
        <v>5.0653216675773938E-3</v>
      </c>
      <c r="S491" s="54">
        <f t="shared" si="73"/>
        <v>1.4855163030820295E-2</v>
      </c>
      <c r="T491" s="56">
        <f t="shared" si="74"/>
        <v>4.6591706247405995E-2</v>
      </c>
      <c r="U491" s="56">
        <f t="shared" si="75"/>
        <v>-7.9476626562940966E-3</v>
      </c>
      <c r="V491" s="56">
        <f t="shared" si="76"/>
        <v>2.4629830529172003E-2</v>
      </c>
      <c r="W491" s="56">
        <f t="shared" si="77"/>
        <v>4.7432656216286395E-2</v>
      </c>
      <c r="X491" s="65">
        <f t="shared" si="78"/>
        <v>3.2622058745283899E-2</v>
      </c>
      <c r="Y491" s="73">
        <f t="shared" si="79"/>
        <v>-1.7737504019536998E-2</v>
      </c>
    </row>
    <row r="492" spans="1:25" x14ac:dyDescent="0.25">
      <c r="A492" s="52">
        <v>44378</v>
      </c>
      <c r="B492" s="53">
        <v>36.25</v>
      </c>
      <c r="C492" s="83">
        <v>0.35952529753817719</v>
      </c>
      <c r="D492" s="53">
        <v>40</v>
      </c>
      <c r="E492" s="87">
        <v>0.39671756969729899</v>
      </c>
      <c r="F492" s="53">
        <v>33.799999999999997</v>
      </c>
      <c r="G492" s="83">
        <v>0.33660745955089899</v>
      </c>
      <c r="H492" s="55">
        <v>37.54</v>
      </c>
      <c r="I492" s="83">
        <v>0.37501214497334939</v>
      </c>
      <c r="J492" s="55">
        <v>31.35</v>
      </c>
      <c r="K492" s="83">
        <v>0.31060878534734898</v>
      </c>
      <c r="L492" s="53">
        <v>35.25</v>
      </c>
      <c r="M492" s="83">
        <v>0.35213580474988199</v>
      </c>
      <c r="N492" s="55">
        <v>34.35</v>
      </c>
      <c r="O492" s="83">
        <v>0.34314510335201259</v>
      </c>
      <c r="P492" s="56">
        <f t="shared" si="70"/>
        <v>2.29178379872782E-2</v>
      </c>
      <c r="Q492" s="56">
        <f t="shared" si="71"/>
        <v>3.7192272159121798E-2</v>
      </c>
      <c r="R492" s="56">
        <f t="shared" si="72"/>
        <v>7.3894927882952044E-3</v>
      </c>
      <c r="S492" s="54">
        <f t="shared" si="73"/>
        <v>1.6380194186164598E-2</v>
      </c>
      <c r="T492" s="56">
        <f t="shared" si="74"/>
        <v>5.3572466345286396E-2</v>
      </c>
      <c r="U492" s="56">
        <f t="shared" si="75"/>
        <v>-6.5376438011136018E-3</v>
      </c>
      <c r="V492" s="56">
        <f t="shared" si="76"/>
        <v>2.599867420355001E-2</v>
      </c>
      <c r="W492" s="56">
        <f t="shared" si="77"/>
        <v>4.891651219082821E-2</v>
      </c>
      <c r="X492" s="65">
        <f t="shared" si="78"/>
        <v>3.8404685422450402E-2</v>
      </c>
      <c r="Y492" s="73">
        <f t="shared" si="79"/>
        <v>-1.5528345198982996E-2</v>
      </c>
    </row>
    <row r="493" spans="1:25" x14ac:dyDescent="0.25">
      <c r="A493" s="52">
        <v>44377</v>
      </c>
      <c r="B493" s="53">
        <v>36.36</v>
      </c>
      <c r="C493" s="83">
        <v>0.36062606994375151</v>
      </c>
      <c r="D493" s="53">
        <v>39.549999999999997</v>
      </c>
      <c r="E493" s="87">
        <v>0.39226515583815652</v>
      </c>
      <c r="F493" s="53">
        <v>33.93</v>
      </c>
      <c r="G493" s="83">
        <v>0.33790671341455097</v>
      </c>
      <c r="H493" s="55">
        <v>37.590000000000003</v>
      </c>
      <c r="I493" s="83">
        <v>0.37551291305879902</v>
      </c>
      <c r="J493" s="55">
        <v>31.3</v>
      </c>
      <c r="K493" s="83">
        <v>0.31012286696368291</v>
      </c>
      <c r="L493" s="53">
        <v>35.01</v>
      </c>
      <c r="M493" s="83">
        <v>0.34973948087758849</v>
      </c>
      <c r="N493" s="55">
        <v>33.9</v>
      </c>
      <c r="O493" s="83">
        <v>0.33865091121823049</v>
      </c>
      <c r="P493" s="56">
        <f t="shared" si="70"/>
        <v>2.2719356529200541E-2</v>
      </c>
      <c r="Q493" s="56">
        <f t="shared" si="71"/>
        <v>3.1639085894405006E-2</v>
      </c>
      <c r="R493" s="56">
        <f t="shared" si="72"/>
        <v>1.0886589066163022E-2</v>
      </c>
      <c r="S493" s="54">
        <f t="shared" si="73"/>
        <v>2.1975158725521027E-2</v>
      </c>
      <c r="T493" s="56">
        <f t="shared" si="74"/>
        <v>5.3614244619926033E-2</v>
      </c>
      <c r="U493" s="56">
        <f t="shared" si="75"/>
        <v>-7.4419780367951383E-4</v>
      </c>
      <c r="V493" s="56">
        <f t="shared" si="76"/>
        <v>2.7783846450868066E-2</v>
      </c>
      <c r="W493" s="56">
        <f t="shared" si="77"/>
        <v>5.0503202980068607E-2</v>
      </c>
      <c r="X493" s="65">
        <f t="shared" si="78"/>
        <v>3.7606199644248051E-2</v>
      </c>
      <c r="Y493" s="73">
        <f t="shared" si="79"/>
        <v>-1.1832767463037519E-2</v>
      </c>
    </row>
    <row r="494" spans="1:25" x14ac:dyDescent="0.25">
      <c r="A494" s="52">
        <v>44376</v>
      </c>
      <c r="B494" s="53">
        <v>36.72</v>
      </c>
      <c r="C494" s="83">
        <v>0.36420652173913037</v>
      </c>
      <c r="D494" s="53">
        <v>39.5</v>
      </c>
      <c r="E494" s="87">
        <v>0.39177989130434782</v>
      </c>
      <c r="F494" s="53">
        <v>34.15</v>
      </c>
      <c r="G494" s="83">
        <v>0.34010231923601641</v>
      </c>
      <c r="H494" s="55">
        <v>37.4</v>
      </c>
      <c r="I494" s="83">
        <v>0.373616147793363</v>
      </c>
      <c r="J494" s="55">
        <v>31.4</v>
      </c>
      <c r="K494" s="83">
        <v>0.31112317611129958</v>
      </c>
      <c r="L494" s="53">
        <v>35.35</v>
      </c>
      <c r="M494" s="83">
        <v>0.35313718782073211</v>
      </c>
      <c r="N494" s="55">
        <v>34.1</v>
      </c>
      <c r="O494" s="83">
        <v>0.3406500171057133</v>
      </c>
      <c r="P494" s="56">
        <f t="shared" si="70"/>
        <v>2.4104202503113958E-2</v>
      </c>
      <c r="Q494" s="56">
        <f t="shared" si="71"/>
        <v>2.7573369565217443E-2</v>
      </c>
      <c r="R494" s="56">
        <f t="shared" si="72"/>
        <v>1.1069333918398261E-2</v>
      </c>
      <c r="S494" s="54">
        <f t="shared" si="73"/>
        <v>2.3556504633417075E-2</v>
      </c>
      <c r="T494" s="56">
        <f t="shared" si="74"/>
        <v>5.1129874198634517E-2</v>
      </c>
      <c r="U494" s="56">
        <f t="shared" si="75"/>
        <v>-5.4769786969688372E-4</v>
      </c>
      <c r="V494" s="56">
        <f t="shared" si="76"/>
        <v>2.8979143124716833E-2</v>
      </c>
      <c r="W494" s="56">
        <f t="shared" si="77"/>
        <v>5.3083345627830791E-2</v>
      </c>
      <c r="X494" s="65">
        <f t="shared" si="78"/>
        <v>3.3513828557346581E-2</v>
      </c>
      <c r="Y494" s="73">
        <f t="shared" si="79"/>
        <v>-1.3034868584715698E-2</v>
      </c>
    </row>
    <row r="495" spans="1:25" x14ac:dyDescent="0.25">
      <c r="A495" s="52">
        <v>44375</v>
      </c>
      <c r="B495" s="53">
        <v>37.24</v>
      </c>
      <c r="C495" s="83">
        <v>0.36937416777629828</v>
      </c>
      <c r="D495" s="53">
        <v>40.5</v>
      </c>
      <c r="E495" s="87">
        <v>0.40170928557841251</v>
      </c>
      <c r="F495" s="53">
        <v>34.85</v>
      </c>
      <c r="G495" s="83">
        <v>0.34707840488956188</v>
      </c>
      <c r="H495" s="55">
        <v>37.53</v>
      </c>
      <c r="I495" s="83">
        <v>0.37491609618917621</v>
      </c>
      <c r="J495" s="55">
        <v>32</v>
      </c>
      <c r="K495" s="83">
        <v>0.31707788836442241</v>
      </c>
      <c r="L495" s="53">
        <v>36</v>
      </c>
      <c r="M495" s="83">
        <v>0.35963174694405392</v>
      </c>
      <c r="N495" s="55">
        <v>34.5</v>
      </c>
      <c r="O495" s="83">
        <v>0.34464709082138489</v>
      </c>
      <c r="P495" s="56">
        <f t="shared" si="70"/>
        <v>2.2295762886736403E-2</v>
      </c>
      <c r="Q495" s="56">
        <f t="shared" si="71"/>
        <v>3.2335117802114233E-2</v>
      </c>
      <c r="R495" s="56">
        <f t="shared" si="72"/>
        <v>9.7424208322443584E-3</v>
      </c>
      <c r="S495" s="54">
        <f t="shared" si="73"/>
        <v>2.4727076954913385E-2</v>
      </c>
      <c r="T495" s="56">
        <f t="shared" si="74"/>
        <v>5.7062194757027618E-2</v>
      </c>
      <c r="U495" s="56">
        <f t="shared" si="75"/>
        <v>2.4313140681769818E-3</v>
      </c>
      <c r="V495" s="56">
        <f t="shared" si="76"/>
        <v>3.0000516525139465E-2</v>
      </c>
      <c r="W495" s="56">
        <f t="shared" si="77"/>
        <v>5.2296279411875868E-2</v>
      </c>
      <c r="X495" s="65">
        <f t="shared" si="78"/>
        <v>2.7837691299614331E-2</v>
      </c>
      <c r="Y495" s="73">
        <f t="shared" si="79"/>
        <v>-1.2553342054492045E-2</v>
      </c>
    </row>
    <row r="496" spans="1:25" x14ac:dyDescent="0.25">
      <c r="A496" s="52">
        <v>44372</v>
      </c>
      <c r="B496" s="53">
        <v>37.450000000000003</v>
      </c>
      <c r="C496" s="83">
        <v>0.37148738993368852</v>
      </c>
      <c r="D496" s="53">
        <v>40</v>
      </c>
      <c r="E496" s="87">
        <v>0.39678225894118918</v>
      </c>
      <c r="F496" s="53">
        <v>34.99</v>
      </c>
      <c r="G496" s="83">
        <v>0.34848695699628912</v>
      </c>
      <c r="H496" s="55">
        <v>37.51</v>
      </c>
      <c r="I496" s="83">
        <v>0.37472014670060477</v>
      </c>
      <c r="J496" s="55">
        <v>32.06</v>
      </c>
      <c r="K496" s="83">
        <v>0.31770151766079341</v>
      </c>
      <c r="L496" s="53">
        <v>36.200000000000003</v>
      </c>
      <c r="M496" s="83">
        <v>0.36163341270492932</v>
      </c>
      <c r="N496" s="55">
        <v>34.75</v>
      </c>
      <c r="O496" s="83">
        <v>0.3471480964501738</v>
      </c>
      <c r="P496" s="56">
        <f t="shared" si="70"/>
        <v>2.3000432937399395E-2</v>
      </c>
      <c r="Q496" s="56">
        <f t="shared" si="71"/>
        <v>2.5294869007500664E-2</v>
      </c>
      <c r="R496" s="56">
        <f t="shared" si="72"/>
        <v>9.853977228759192E-3</v>
      </c>
      <c r="S496" s="54">
        <f t="shared" si="73"/>
        <v>2.4339293483514712E-2</v>
      </c>
      <c r="T496" s="56">
        <f t="shared" si="74"/>
        <v>4.9634162491015377E-2</v>
      </c>
      <c r="U496" s="56">
        <f t="shared" si="75"/>
        <v>1.3388605461153169E-3</v>
      </c>
      <c r="V496" s="56">
        <f t="shared" si="76"/>
        <v>3.0785439335495712E-2</v>
      </c>
      <c r="W496" s="56">
        <f t="shared" si="77"/>
        <v>5.3785872272895108E-2</v>
      </c>
      <c r="X496" s="65">
        <f t="shared" si="78"/>
        <v>2.6233189704315651E-2</v>
      </c>
      <c r="Y496" s="73">
        <f t="shared" si="79"/>
        <v>-1.3146455708640203E-2</v>
      </c>
    </row>
    <row r="497" spans="1:25" x14ac:dyDescent="0.25">
      <c r="A497" s="52">
        <v>44371</v>
      </c>
      <c r="B497" s="53">
        <v>38.159999999999997</v>
      </c>
      <c r="C497" s="83">
        <v>0.37854056257643698</v>
      </c>
      <c r="D497" s="53">
        <v>40.700000000000003</v>
      </c>
      <c r="E497" s="87">
        <v>0.40373692077727957</v>
      </c>
      <c r="F497" s="53">
        <v>36</v>
      </c>
      <c r="G497" s="83">
        <v>0.35855106078177229</v>
      </c>
      <c r="H497" s="55">
        <v>38.450000000000003</v>
      </c>
      <c r="I497" s="83">
        <v>0.38411194170273188</v>
      </c>
      <c r="J497" s="55">
        <v>32.950000000000003</v>
      </c>
      <c r="K497" s="83">
        <v>0.32653102781218718</v>
      </c>
      <c r="L497" s="53">
        <v>37.11</v>
      </c>
      <c r="M497" s="83">
        <v>0.37072546571101112</v>
      </c>
      <c r="N497" s="55">
        <v>35.75</v>
      </c>
      <c r="O497" s="83">
        <v>0.35713919157016027</v>
      </c>
      <c r="P497" s="56">
        <f t="shared" si="70"/>
        <v>1.9989501794664688E-2</v>
      </c>
      <c r="Q497" s="56">
        <f t="shared" si="71"/>
        <v>2.5196358200842595E-2</v>
      </c>
      <c r="R497" s="56">
        <f t="shared" si="72"/>
        <v>7.8150968654258635E-3</v>
      </c>
      <c r="S497" s="54">
        <f t="shared" si="73"/>
        <v>2.1401371006276704E-2</v>
      </c>
      <c r="T497" s="56">
        <f t="shared" si="74"/>
        <v>4.6597729207119298E-2</v>
      </c>
      <c r="U497" s="56">
        <f t="shared" si="75"/>
        <v>1.4118692116120157E-3</v>
      </c>
      <c r="V497" s="56">
        <f t="shared" si="76"/>
        <v>3.202003296958511E-2</v>
      </c>
      <c r="W497" s="56">
        <f t="shared" si="77"/>
        <v>5.2009534764249798E-2</v>
      </c>
      <c r="X497" s="65">
        <f t="shared" si="78"/>
        <v>2.5560880920959594E-2</v>
      </c>
      <c r="Y497" s="73">
        <f t="shared" si="79"/>
        <v>-1.2174404929238825E-2</v>
      </c>
    </row>
    <row r="498" spans="1:25" x14ac:dyDescent="0.25">
      <c r="A498" s="52">
        <v>44370</v>
      </c>
      <c r="B498" s="53">
        <v>38.549999999999997</v>
      </c>
      <c r="C498" s="83">
        <v>0.38241968799260739</v>
      </c>
      <c r="D498" s="53">
        <v>41.6</v>
      </c>
      <c r="E498" s="87">
        <v>0.41267597977931192</v>
      </c>
      <c r="F498" s="53">
        <v>36.54</v>
      </c>
      <c r="G498" s="83">
        <v>0.36393429202936117</v>
      </c>
      <c r="H498" s="55">
        <v>38.92</v>
      </c>
      <c r="I498" s="83">
        <v>0.38880852839948821</v>
      </c>
      <c r="J498" s="55">
        <v>33.299999999999997</v>
      </c>
      <c r="K498" s="83">
        <v>0.33000957080700227</v>
      </c>
      <c r="L498" s="53">
        <v>37.35</v>
      </c>
      <c r="M498" s="83">
        <v>0.37312432003393847</v>
      </c>
      <c r="N498" s="55">
        <v>36</v>
      </c>
      <c r="O498" s="83">
        <v>0.35963789882789249</v>
      </c>
      <c r="P498" s="56">
        <f t="shared" si="70"/>
        <v>1.8485395963246221E-2</v>
      </c>
      <c r="Q498" s="56">
        <f t="shared" si="71"/>
        <v>3.0256291786704526E-2</v>
      </c>
      <c r="R498" s="56">
        <f t="shared" si="72"/>
        <v>9.2953679586689208E-3</v>
      </c>
      <c r="S498" s="54">
        <f t="shared" si="73"/>
        <v>2.2781789164714905E-2</v>
      </c>
      <c r="T498" s="56">
        <f t="shared" si="74"/>
        <v>5.3038080951419431E-2</v>
      </c>
      <c r="U498" s="56">
        <f t="shared" si="75"/>
        <v>4.2963932014686845E-3</v>
      </c>
      <c r="V498" s="56">
        <f t="shared" si="76"/>
        <v>3.39247212223589E-2</v>
      </c>
      <c r="W498" s="56">
        <f t="shared" si="77"/>
        <v>5.2410117185605121E-2</v>
      </c>
      <c r="X498" s="65">
        <f t="shared" si="78"/>
        <v>2.4874236370127034E-2</v>
      </c>
      <c r="Y498" s="73">
        <f t="shared" si="79"/>
        <v>-9.1900280045772997E-3</v>
      </c>
    </row>
    <row r="499" spans="1:25" x14ac:dyDescent="0.25">
      <c r="A499" s="52">
        <v>44369</v>
      </c>
      <c r="B499" s="53">
        <v>38.6</v>
      </c>
      <c r="C499" s="83">
        <v>0.38292610007338351</v>
      </c>
      <c r="D499" s="53">
        <v>42.15</v>
      </c>
      <c r="E499" s="87">
        <v>0.41814339684179053</v>
      </c>
      <c r="F499" s="53">
        <v>36.65</v>
      </c>
      <c r="G499" s="83">
        <v>0.36503486008213609</v>
      </c>
      <c r="H499" s="55">
        <v>38.75</v>
      </c>
      <c r="I499" s="83">
        <v>0.38711156271275737</v>
      </c>
      <c r="J499" s="55">
        <v>33.35</v>
      </c>
      <c r="K499" s="83">
        <v>0.33051517630168648</v>
      </c>
      <c r="L499" s="53">
        <v>37.32</v>
      </c>
      <c r="M499" s="83">
        <v>0.37282589730168009</v>
      </c>
      <c r="N499" s="55">
        <v>36.200000000000003</v>
      </c>
      <c r="O499" s="83">
        <v>0.361637124392305</v>
      </c>
      <c r="P499" s="56">
        <f t="shared" si="70"/>
        <v>1.7891239991247421E-2</v>
      </c>
      <c r="Q499" s="56">
        <f t="shared" si="71"/>
        <v>3.5217296768407014E-2</v>
      </c>
      <c r="R499" s="56">
        <f t="shared" si="72"/>
        <v>1.0100202771703426E-2</v>
      </c>
      <c r="S499" s="54">
        <f t="shared" si="73"/>
        <v>2.1288975681078515E-2</v>
      </c>
      <c r="T499" s="56">
        <f t="shared" si="74"/>
        <v>5.6506272449485528E-2</v>
      </c>
      <c r="U499" s="56">
        <f t="shared" si="75"/>
        <v>3.397735689831094E-3</v>
      </c>
      <c r="V499" s="56">
        <f t="shared" si="76"/>
        <v>3.4519683780449617E-2</v>
      </c>
      <c r="W499" s="56">
        <f t="shared" si="77"/>
        <v>5.2410923771697038E-2</v>
      </c>
      <c r="X499" s="65">
        <f t="shared" si="78"/>
        <v>2.2076702630621281E-2</v>
      </c>
      <c r="Y499" s="73">
        <f t="shared" si="79"/>
        <v>-7.7910372195439948E-3</v>
      </c>
    </row>
    <row r="500" spans="1:25" x14ac:dyDescent="0.25">
      <c r="A500" s="52">
        <v>44365</v>
      </c>
      <c r="B500" s="53">
        <v>39.21</v>
      </c>
      <c r="C500" s="83">
        <v>0.38901981570578159</v>
      </c>
      <c r="D500" s="53">
        <v>43.2</v>
      </c>
      <c r="E500" s="87">
        <v>0.42860637690614051</v>
      </c>
      <c r="F500" s="53">
        <v>37.299999999999997</v>
      </c>
      <c r="G500" s="83">
        <v>0.3715291517144455</v>
      </c>
      <c r="H500" s="55">
        <v>39.71</v>
      </c>
      <c r="I500" s="83">
        <v>0.39670736839224191</v>
      </c>
      <c r="J500" s="55">
        <v>33.81</v>
      </c>
      <c r="K500" s="83">
        <v>0.33511495208773912</v>
      </c>
      <c r="L500" s="53">
        <v>37.9</v>
      </c>
      <c r="M500" s="83">
        <v>0.37862526472087549</v>
      </c>
      <c r="N500" s="55">
        <v>36.9</v>
      </c>
      <c r="O500" s="83">
        <v>0.36863515219525878</v>
      </c>
      <c r="P500" s="56">
        <f t="shared" si="70"/>
        <v>1.7490663991336086E-2</v>
      </c>
      <c r="Q500" s="56">
        <f t="shared" si="71"/>
        <v>3.9586561200358916E-2</v>
      </c>
      <c r="R500" s="56">
        <f t="shared" si="72"/>
        <v>1.0394550984906104E-2</v>
      </c>
      <c r="S500" s="54">
        <f t="shared" si="73"/>
        <v>2.0384663510522816E-2</v>
      </c>
      <c r="T500" s="56">
        <f t="shared" si="74"/>
        <v>5.9971224710881732E-2</v>
      </c>
      <c r="U500" s="56">
        <f t="shared" si="75"/>
        <v>2.8939995191867296E-3</v>
      </c>
      <c r="V500" s="56">
        <f t="shared" si="76"/>
        <v>3.6414199626706389E-2</v>
      </c>
      <c r="W500" s="56">
        <f t="shared" si="77"/>
        <v>5.3904863618042476E-2</v>
      </c>
      <c r="X500" s="65">
        <f t="shared" si="78"/>
        <v>2.5178216677796406E-2</v>
      </c>
      <c r="Y500" s="73">
        <f t="shared" si="79"/>
        <v>-7.0961130064299827E-3</v>
      </c>
    </row>
    <row r="501" spans="1:25" x14ac:dyDescent="0.25">
      <c r="A501" s="52">
        <v>44364</v>
      </c>
      <c r="B501" s="53">
        <v>39.32</v>
      </c>
      <c r="C501" s="83">
        <v>0.39012177884092641</v>
      </c>
      <c r="D501" s="53">
        <v>43.1</v>
      </c>
      <c r="E501" s="87">
        <v>0.42762585625747529</v>
      </c>
      <c r="F501" s="53">
        <v>37.53</v>
      </c>
      <c r="G501" s="83">
        <v>0.37382518284030131</v>
      </c>
      <c r="H501" s="55">
        <v>39.68</v>
      </c>
      <c r="I501" s="83">
        <v>0.39640902123932559</v>
      </c>
      <c r="J501" s="55">
        <v>34.14</v>
      </c>
      <c r="K501" s="83">
        <v>0.33839615468172929</v>
      </c>
      <c r="L501" s="53">
        <v>37.979999999999997</v>
      </c>
      <c r="M501" s="83">
        <v>0.37942577184147142</v>
      </c>
      <c r="N501" s="55">
        <v>37</v>
      </c>
      <c r="O501" s="83">
        <v>0.36963542807094368</v>
      </c>
      <c r="P501" s="56">
        <f t="shared" si="70"/>
        <v>1.6296596000625108E-2</v>
      </c>
      <c r="Q501" s="56">
        <f t="shared" si="71"/>
        <v>3.7504077416548876E-2</v>
      </c>
      <c r="R501" s="56">
        <f t="shared" si="72"/>
        <v>1.0696006999454999E-2</v>
      </c>
      <c r="S501" s="54">
        <f t="shared" si="73"/>
        <v>2.0486350769982731E-2</v>
      </c>
      <c r="T501" s="56">
        <f t="shared" si="74"/>
        <v>5.7990428186531606E-2</v>
      </c>
      <c r="U501" s="56">
        <f t="shared" si="75"/>
        <v>4.1897547693576231E-3</v>
      </c>
      <c r="V501" s="56">
        <f t="shared" si="76"/>
        <v>3.5429028158572018E-2</v>
      </c>
      <c r="W501" s="56">
        <f t="shared" si="77"/>
        <v>5.1725624159197126E-2</v>
      </c>
      <c r="X501" s="65">
        <f t="shared" si="78"/>
        <v>2.2583838399024281E-2</v>
      </c>
      <c r="Y501" s="73">
        <f t="shared" si="79"/>
        <v>-5.6005890011701087E-3</v>
      </c>
    </row>
    <row r="502" spans="1:25" x14ac:dyDescent="0.25">
      <c r="A502" s="52">
        <v>44363</v>
      </c>
      <c r="B502" s="53">
        <v>39.49</v>
      </c>
      <c r="C502" s="83">
        <v>0.3918191208850953</v>
      </c>
      <c r="D502" s="53">
        <v>43.5</v>
      </c>
      <c r="E502" s="87">
        <v>0.43160627395547341</v>
      </c>
      <c r="F502" s="53">
        <v>37.96</v>
      </c>
      <c r="G502" s="83">
        <v>0.37811344440350952</v>
      </c>
      <c r="H502" s="55">
        <v>40.08</v>
      </c>
      <c r="I502" s="83">
        <v>0.40040644982500068</v>
      </c>
      <c r="J502" s="55">
        <v>34.44</v>
      </c>
      <c r="K502" s="83">
        <v>0.34138018826612532</v>
      </c>
      <c r="L502" s="53">
        <v>38.54</v>
      </c>
      <c r="M502" s="83">
        <v>0.3850215712638605</v>
      </c>
      <c r="N502" s="55">
        <v>37.200000000000003</v>
      </c>
      <c r="O502" s="83">
        <v>0.37163472887949178</v>
      </c>
      <c r="P502" s="56">
        <f t="shared" si="70"/>
        <v>1.3705676481585771E-2</v>
      </c>
      <c r="Q502" s="56">
        <f t="shared" si="71"/>
        <v>3.9787153070378112E-2</v>
      </c>
      <c r="R502" s="56">
        <f t="shared" si="72"/>
        <v>6.7975496212347997E-3</v>
      </c>
      <c r="S502" s="54">
        <f t="shared" si="73"/>
        <v>2.0184392005603513E-2</v>
      </c>
      <c r="T502" s="56">
        <f t="shared" si="74"/>
        <v>5.9971545075981625E-2</v>
      </c>
      <c r="U502" s="56">
        <f t="shared" si="75"/>
        <v>6.4787155240177419E-3</v>
      </c>
      <c r="V502" s="56">
        <f t="shared" si="76"/>
        <v>3.6733256137384207E-2</v>
      </c>
      <c r="W502" s="56">
        <f t="shared" si="77"/>
        <v>5.0438932618969978E-2</v>
      </c>
      <c r="X502" s="65">
        <f t="shared" si="78"/>
        <v>2.2293005421491152E-2</v>
      </c>
      <c r="Y502" s="73">
        <f t="shared" si="79"/>
        <v>-6.9081268603509716E-3</v>
      </c>
    </row>
    <row r="503" spans="1:25" x14ac:dyDescent="0.25">
      <c r="A503" s="52">
        <v>44362</v>
      </c>
      <c r="B503" s="53">
        <v>39.700000000000003</v>
      </c>
      <c r="C503" s="83">
        <v>0.39391344533246347</v>
      </c>
      <c r="D503" s="53">
        <v>44</v>
      </c>
      <c r="E503" s="87">
        <v>0.43657913336595439</v>
      </c>
      <c r="F503" s="53">
        <v>38.06</v>
      </c>
      <c r="G503" s="83">
        <v>0.37911470130720742</v>
      </c>
      <c r="H503" s="55">
        <v>40.33</v>
      </c>
      <c r="I503" s="83">
        <v>0.40290537350403371</v>
      </c>
      <c r="J503" s="55">
        <v>34.729999999999997</v>
      </c>
      <c r="K503" s="83">
        <v>0.34426527799466339</v>
      </c>
      <c r="L503" s="53">
        <v>38.25</v>
      </c>
      <c r="M503" s="83">
        <v>0.38212572617231072</v>
      </c>
      <c r="N503" s="55">
        <v>38.28</v>
      </c>
      <c r="O503" s="83">
        <v>0.38242543262421053</v>
      </c>
      <c r="P503" s="56">
        <f t="shared" si="70"/>
        <v>1.479874402525605E-2</v>
      </c>
      <c r="Q503" s="56">
        <f t="shared" si="71"/>
        <v>4.2665688033490912E-2</v>
      </c>
      <c r="R503" s="56">
        <f t="shared" si="72"/>
        <v>1.1787719160152754E-2</v>
      </c>
      <c r="S503" s="54">
        <f t="shared" si="73"/>
        <v>1.1488012708252948E-2</v>
      </c>
      <c r="T503" s="56">
        <f t="shared" si="74"/>
        <v>5.415370074174386E-2</v>
      </c>
      <c r="U503" s="56">
        <f t="shared" si="75"/>
        <v>-3.3107313170031016E-3</v>
      </c>
      <c r="V503" s="56">
        <f t="shared" si="76"/>
        <v>3.4849423312544037E-2</v>
      </c>
      <c r="W503" s="56">
        <f t="shared" si="77"/>
        <v>4.9648167337800087E-2</v>
      </c>
      <c r="X503" s="65">
        <f t="shared" si="78"/>
        <v>2.379067219682629E-2</v>
      </c>
      <c r="Y503" s="73">
        <f t="shared" si="79"/>
        <v>-3.0110248651032956E-3</v>
      </c>
    </row>
    <row r="504" spans="1:25" x14ac:dyDescent="0.25">
      <c r="A504" s="52">
        <v>44361</v>
      </c>
      <c r="B504" s="53">
        <v>39.85</v>
      </c>
      <c r="C504" s="83">
        <v>0.39541253228218032</v>
      </c>
      <c r="D504" s="53">
        <v>45.25</v>
      </c>
      <c r="E504" s="87">
        <v>0.44899415522631508</v>
      </c>
      <c r="F504" s="53">
        <v>38.299999999999997</v>
      </c>
      <c r="G504" s="83">
        <v>0.38151054103841159</v>
      </c>
      <c r="H504" s="55">
        <v>40.619999999999997</v>
      </c>
      <c r="I504" s="83">
        <v>0.40580392425201428</v>
      </c>
      <c r="J504" s="55">
        <v>35.090000000000003</v>
      </c>
      <c r="K504" s="83">
        <v>0.34784444859368902</v>
      </c>
      <c r="L504" s="53">
        <v>38.700000000000003</v>
      </c>
      <c r="M504" s="83">
        <v>0.38662264570539029</v>
      </c>
      <c r="N504" s="55">
        <v>38</v>
      </c>
      <c r="O504" s="83">
        <v>0.37962947123526702</v>
      </c>
      <c r="P504" s="56">
        <f t="shared" si="70"/>
        <v>1.390199124376873E-2</v>
      </c>
      <c r="Q504" s="56">
        <f t="shared" si="71"/>
        <v>5.3581622944134766E-2</v>
      </c>
      <c r="R504" s="56">
        <f t="shared" si="72"/>
        <v>8.7898865767900292E-3</v>
      </c>
      <c r="S504" s="54">
        <f t="shared" si="73"/>
        <v>1.5783061046913294E-2</v>
      </c>
      <c r="T504" s="56">
        <f t="shared" si="74"/>
        <v>6.9364683991048059E-2</v>
      </c>
      <c r="U504" s="56">
        <f t="shared" si="75"/>
        <v>1.8810698031445638E-3</v>
      </c>
      <c r="V504" s="56">
        <f t="shared" si="76"/>
        <v>3.3666092444722573E-2</v>
      </c>
      <c r="W504" s="56">
        <f t="shared" si="77"/>
        <v>4.7568083688491303E-2</v>
      </c>
      <c r="X504" s="65">
        <f t="shared" si="78"/>
        <v>2.4293383213602693E-2</v>
      </c>
      <c r="Y504" s="73">
        <f t="shared" si="79"/>
        <v>-5.1121046669787007E-3</v>
      </c>
    </row>
    <row r="505" spans="1:25" x14ac:dyDescent="0.25">
      <c r="A505" s="52">
        <v>44358</v>
      </c>
      <c r="B505" s="53">
        <v>39.9</v>
      </c>
      <c r="C505" s="83">
        <v>0.39594094937741292</v>
      </c>
      <c r="D505" s="53">
        <v>44.9</v>
      </c>
      <c r="E505" s="87">
        <v>0.44555760970039687</v>
      </c>
      <c r="F505" s="53">
        <v>38.299999999999997</v>
      </c>
      <c r="G505" s="83">
        <v>0.38152615922054528</v>
      </c>
      <c r="H505" s="55">
        <v>40.6</v>
      </c>
      <c r="I505" s="83">
        <v>0.40560828241219099</v>
      </c>
      <c r="J505" s="55">
        <v>35.15</v>
      </c>
      <c r="K505" s="83">
        <v>0.34847116501096631</v>
      </c>
      <c r="L505" s="53">
        <v>38.659999999999997</v>
      </c>
      <c r="M505" s="83">
        <v>0.38622699995210102</v>
      </c>
      <c r="N505" s="55">
        <v>37.700000000000003</v>
      </c>
      <c r="O505" s="83">
        <v>0.37663626223989172</v>
      </c>
      <c r="P505" s="56">
        <f t="shared" si="70"/>
        <v>1.4414790156867641E-2</v>
      </c>
      <c r="Q505" s="56">
        <f t="shared" si="71"/>
        <v>4.9616660322983952E-2</v>
      </c>
      <c r="R505" s="56">
        <f t="shared" si="72"/>
        <v>9.7139494253118963E-3</v>
      </c>
      <c r="S505" s="54">
        <f t="shared" si="73"/>
        <v>1.9304687137521204E-2</v>
      </c>
      <c r="T505" s="56">
        <f t="shared" si="74"/>
        <v>6.8921347460505156E-2</v>
      </c>
      <c r="U505" s="56">
        <f t="shared" si="75"/>
        <v>4.889896980653563E-3</v>
      </c>
      <c r="V505" s="56">
        <f t="shared" si="76"/>
        <v>3.3054994209578969E-2</v>
      </c>
      <c r="W505" s="56">
        <f t="shared" si="77"/>
        <v>4.746978436644661E-2</v>
      </c>
      <c r="X505" s="65">
        <f t="shared" si="78"/>
        <v>2.408212319164571E-2</v>
      </c>
      <c r="Y505" s="73">
        <f t="shared" si="79"/>
        <v>-4.7008407315557443E-3</v>
      </c>
    </row>
    <row r="506" spans="1:25" x14ac:dyDescent="0.25">
      <c r="A506" s="52">
        <v>44357</v>
      </c>
      <c r="B506" s="53">
        <v>39.5</v>
      </c>
      <c r="C506" s="83">
        <v>0.39198227345640407</v>
      </c>
      <c r="D506" s="53">
        <v>44</v>
      </c>
      <c r="E506" s="87">
        <v>0.43663848182485521</v>
      </c>
      <c r="F506" s="53">
        <v>37.97</v>
      </c>
      <c r="G506" s="83">
        <v>0.37824401959580239</v>
      </c>
      <c r="H506" s="55">
        <v>40.46</v>
      </c>
      <c r="I506" s="83">
        <v>0.40421101611120808</v>
      </c>
      <c r="J506" s="55">
        <v>35.049999999999997</v>
      </c>
      <c r="K506" s="83">
        <v>0.34749039992666247</v>
      </c>
      <c r="L506" s="53">
        <v>38.33</v>
      </c>
      <c r="M506" s="83">
        <v>0.38293149400747911</v>
      </c>
      <c r="N506" s="55">
        <v>37</v>
      </c>
      <c r="O506" s="83">
        <v>0.36964428067510369</v>
      </c>
      <c r="P506" s="56">
        <f t="shared" si="70"/>
        <v>1.3738253860601679E-2</v>
      </c>
      <c r="Q506" s="56">
        <f t="shared" si="71"/>
        <v>4.4656208368451134E-2</v>
      </c>
      <c r="R506" s="56">
        <f t="shared" si="72"/>
        <v>9.0507794489249616E-3</v>
      </c>
      <c r="S506" s="54">
        <f t="shared" si="73"/>
        <v>2.2337992781300386E-2</v>
      </c>
      <c r="T506" s="56">
        <f t="shared" si="74"/>
        <v>6.699420114975152E-2</v>
      </c>
      <c r="U506" s="56">
        <f t="shared" si="75"/>
        <v>8.5997389206987074E-3</v>
      </c>
      <c r="V506" s="56">
        <f t="shared" si="76"/>
        <v>3.075361966913992E-2</v>
      </c>
      <c r="W506" s="56">
        <f t="shared" si="77"/>
        <v>4.4491873529741599E-2</v>
      </c>
      <c r="X506" s="65">
        <f t="shared" si="78"/>
        <v>2.5966996515405683E-2</v>
      </c>
      <c r="Y506" s="73">
        <f t="shared" si="79"/>
        <v>-4.6874744116767175E-3</v>
      </c>
    </row>
    <row r="507" spans="1:25" x14ac:dyDescent="0.25">
      <c r="A507" s="52">
        <v>44356</v>
      </c>
      <c r="B507" s="53">
        <v>39.299999999999997</v>
      </c>
      <c r="C507" s="83">
        <v>0.39000815660685151</v>
      </c>
      <c r="D507" s="53">
        <v>44</v>
      </c>
      <c r="E507" s="87">
        <v>0.43665035345296349</v>
      </c>
      <c r="F507" s="53">
        <v>37.65</v>
      </c>
      <c r="G507" s="83">
        <v>0.37506140829694318</v>
      </c>
      <c r="H507" s="55">
        <v>40.47</v>
      </c>
      <c r="I507" s="83">
        <v>0.40431230327083623</v>
      </c>
      <c r="J507" s="55">
        <v>34.74</v>
      </c>
      <c r="K507" s="83">
        <v>0.34442754312101048</v>
      </c>
      <c r="L507" s="53">
        <v>38.15</v>
      </c>
      <c r="M507" s="83">
        <v>0.3811345285342822</v>
      </c>
      <c r="N507" s="55">
        <v>36.4</v>
      </c>
      <c r="O507" s="83">
        <v>0.36365129328041601</v>
      </c>
      <c r="P507" s="56">
        <f t="shared" si="70"/>
        <v>1.4946748309908331E-2</v>
      </c>
      <c r="Q507" s="56">
        <f t="shared" si="71"/>
        <v>4.6642196846111983E-2</v>
      </c>
      <c r="R507" s="56">
        <f t="shared" si="72"/>
        <v>8.8736280725693062E-3</v>
      </c>
      <c r="S507" s="54">
        <f t="shared" si="73"/>
        <v>2.6356863326435498E-2</v>
      </c>
      <c r="T507" s="56">
        <f t="shared" si="74"/>
        <v>7.2999060172547481E-2</v>
      </c>
      <c r="U507" s="56">
        <f t="shared" si="75"/>
        <v>1.1410115016527167E-2</v>
      </c>
      <c r="V507" s="56">
        <f t="shared" si="76"/>
        <v>3.0633865175932695E-2</v>
      </c>
      <c r="W507" s="56">
        <f t="shared" si="77"/>
        <v>4.5580613485841026E-2</v>
      </c>
      <c r="X507" s="65">
        <f t="shared" si="78"/>
        <v>2.9250894973893049E-2</v>
      </c>
      <c r="Y507" s="73">
        <f t="shared" si="79"/>
        <v>-6.0731202373390247E-3</v>
      </c>
    </row>
    <row r="508" spans="1:25" x14ac:dyDescent="0.25">
      <c r="A508" s="52">
        <v>44355</v>
      </c>
      <c r="B508" s="53">
        <v>38.75</v>
      </c>
      <c r="C508" s="83">
        <v>0.3845604828842546</v>
      </c>
      <c r="D508" s="53">
        <v>42.5</v>
      </c>
      <c r="E508" s="87">
        <v>0.42177601348595672</v>
      </c>
      <c r="F508" s="53">
        <v>37.020000000000003</v>
      </c>
      <c r="G508" s="83">
        <v>0.36879051297097398</v>
      </c>
      <c r="H508" s="55">
        <v>39.96</v>
      </c>
      <c r="I508" s="83">
        <v>0.39921855487393892</v>
      </c>
      <c r="J508" s="55">
        <v>34.090000000000003</v>
      </c>
      <c r="K508" s="83">
        <v>0.3379934875098044</v>
      </c>
      <c r="L508" s="53">
        <v>37.549999999999997</v>
      </c>
      <c r="M508" s="83">
        <v>0.37514155994785803</v>
      </c>
      <c r="N508" s="55">
        <v>35.9</v>
      </c>
      <c r="O508" s="83">
        <v>0.35865731030966991</v>
      </c>
      <c r="P508" s="56">
        <f t="shared" si="70"/>
        <v>1.5769969913280613E-2</v>
      </c>
      <c r="Q508" s="56">
        <f t="shared" si="71"/>
        <v>3.7215530601702129E-2</v>
      </c>
      <c r="R508" s="56">
        <f t="shared" si="72"/>
        <v>9.4189229363965676E-3</v>
      </c>
      <c r="S508" s="54">
        <f t="shared" si="73"/>
        <v>2.5903172574584687E-2</v>
      </c>
      <c r="T508" s="56">
        <f t="shared" si="74"/>
        <v>6.3118703176286817E-2</v>
      </c>
      <c r="U508" s="56">
        <f t="shared" si="75"/>
        <v>1.0133202661304075E-2</v>
      </c>
      <c r="V508" s="56">
        <f t="shared" si="76"/>
        <v>3.079702546116958E-2</v>
      </c>
      <c r="W508" s="56">
        <f t="shared" si="77"/>
        <v>4.6566995374450193E-2</v>
      </c>
      <c r="X508" s="65">
        <f t="shared" si="78"/>
        <v>3.0428041902964942E-2</v>
      </c>
      <c r="Y508" s="73">
        <f t="shared" si="79"/>
        <v>-6.351046976884045E-3</v>
      </c>
    </row>
    <row r="509" spans="1:25" x14ac:dyDescent="0.25">
      <c r="A509" s="52">
        <v>44354</v>
      </c>
      <c r="B509" s="53">
        <v>38.17</v>
      </c>
      <c r="C509" s="83">
        <v>0.37881478057534401</v>
      </c>
      <c r="D509" s="53">
        <v>42.35</v>
      </c>
      <c r="E509" s="87">
        <v>0.42029881994670731</v>
      </c>
      <c r="F509" s="53">
        <v>36.5</v>
      </c>
      <c r="G509" s="83">
        <v>0.36361527334261312</v>
      </c>
      <c r="H509" s="55">
        <v>39.53</v>
      </c>
      <c r="I509" s="83">
        <v>0.39492401070213978</v>
      </c>
      <c r="J509" s="55">
        <v>33.799999999999997</v>
      </c>
      <c r="K509" s="83">
        <v>0.33512845413613479</v>
      </c>
      <c r="L509" s="53">
        <v>37.299999999999997</v>
      </c>
      <c r="M509" s="83">
        <v>0.3726452213303772</v>
      </c>
      <c r="N509" s="55">
        <v>35.35</v>
      </c>
      <c r="O509" s="83">
        <v>0.35316376874071947</v>
      </c>
      <c r="P509" s="56">
        <f t="shared" si="70"/>
        <v>1.5199507232730891E-2</v>
      </c>
      <c r="Q509" s="56">
        <f t="shared" si="71"/>
        <v>4.1484039371363302E-2</v>
      </c>
      <c r="R509" s="56">
        <f t="shared" si="72"/>
        <v>6.1695592449668157E-3</v>
      </c>
      <c r="S509" s="54">
        <f t="shared" si="73"/>
        <v>2.5651011834624537E-2</v>
      </c>
      <c r="T509" s="56">
        <f t="shared" si="74"/>
        <v>6.7135051205987839E-2</v>
      </c>
      <c r="U509" s="56">
        <f t="shared" si="75"/>
        <v>1.0451504601893646E-2</v>
      </c>
      <c r="V509" s="56">
        <f t="shared" si="76"/>
        <v>2.8486819206478331E-2</v>
      </c>
      <c r="W509" s="56">
        <f t="shared" si="77"/>
        <v>4.3686326439209222E-2</v>
      </c>
      <c r="X509" s="65">
        <f t="shared" si="78"/>
        <v>3.1308737359526662E-2</v>
      </c>
      <c r="Y509" s="73">
        <f t="shared" si="79"/>
        <v>-9.0299479877640754E-3</v>
      </c>
    </row>
    <row r="510" spans="1:25" x14ac:dyDescent="0.25">
      <c r="A510" s="52">
        <v>44351</v>
      </c>
      <c r="B510" s="53">
        <v>38.049999999999997</v>
      </c>
      <c r="C510" s="83">
        <v>0.37765465669612508</v>
      </c>
      <c r="D510" s="53">
        <v>41.73</v>
      </c>
      <c r="E510" s="87">
        <v>0.41417946974847042</v>
      </c>
      <c r="F510" s="53">
        <v>35.85</v>
      </c>
      <c r="G510" s="83">
        <v>0.35715455475946778</v>
      </c>
      <c r="H510" s="55">
        <v>39.119999999999997</v>
      </c>
      <c r="I510" s="83">
        <v>0.39083192199127531</v>
      </c>
      <c r="J510" s="55">
        <v>33.54</v>
      </c>
      <c r="K510" s="83">
        <v>0.33258103404363698</v>
      </c>
      <c r="L510" s="53">
        <v>37.01</v>
      </c>
      <c r="M510" s="83">
        <v>0.36975177486955768</v>
      </c>
      <c r="N510" s="55">
        <v>34.61</v>
      </c>
      <c r="O510" s="83">
        <v>0.34577435634248571</v>
      </c>
      <c r="P510" s="56">
        <f t="shared" si="70"/>
        <v>2.05001019366573E-2</v>
      </c>
      <c r="Q510" s="56">
        <f t="shared" si="71"/>
        <v>3.652481305234534E-2</v>
      </c>
      <c r="R510" s="56">
        <f t="shared" si="72"/>
        <v>7.9028818265673983E-3</v>
      </c>
      <c r="S510" s="54">
        <f t="shared" si="73"/>
        <v>3.1880300353639368E-2</v>
      </c>
      <c r="T510" s="56">
        <f t="shared" si="74"/>
        <v>6.8405113405984708E-2</v>
      </c>
      <c r="U510" s="56">
        <f t="shared" si="75"/>
        <v>1.1380198416982068E-2</v>
      </c>
      <c r="V510" s="56">
        <f t="shared" si="76"/>
        <v>2.4573520715830799E-2</v>
      </c>
      <c r="W510" s="56">
        <f t="shared" si="77"/>
        <v>4.5073622652488099E-2</v>
      </c>
      <c r="X510" s="65">
        <f t="shared" si="78"/>
        <v>3.3677367231807531E-2</v>
      </c>
      <c r="Y510" s="73">
        <f t="shared" si="79"/>
        <v>-1.2597220110089902E-2</v>
      </c>
    </row>
    <row r="511" spans="1:25" x14ac:dyDescent="0.25">
      <c r="A511" s="52">
        <v>44350</v>
      </c>
      <c r="B511" s="53">
        <v>38.200000000000003</v>
      </c>
      <c r="C511" s="83">
        <v>0.37915374993201723</v>
      </c>
      <c r="D511" s="53">
        <v>41.8</v>
      </c>
      <c r="E511" s="87">
        <v>0.4148855169413172</v>
      </c>
      <c r="F511" s="53">
        <v>36.049999999999997</v>
      </c>
      <c r="G511" s="83">
        <v>0.35915195021426422</v>
      </c>
      <c r="H511" s="55">
        <v>38.86</v>
      </c>
      <c r="I511" s="83">
        <v>0.38823569664082341</v>
      </c>
      <c r="J511" s="55">
        <v>33.270000000000003</v>
      </c>
      <c r="K511" s="83">
        <v>0.32991381008333731</v>
      </c>
      <c r="L511" s="53">
        <v>36.96</v>
      </c>
      <c r="M511" s="83">
        <v>0.36925350869389678</v>
      </c>
      <c r="N511" s="55">
        <v>34.5</v>
      </c>
      <c r="O511" s="83">
        <v>0.34467657061524459</v>
      </c>
      <c r="P511" s="56">
        <f t="shared" si="70"/>
        <v>2.000179971775301E-2</v>
      </c>
      <c r="Q511" s="56">
        <f t="shared" si="71"/>
        <v>3.5731767009299975E-2</v>
      </c>
      <c r="R511" s="56">
        <f t="shared" si="72"/>
        <v>9.9002412381204441E-3</v>
      </c>
      <c r="S511" s="54">
        <f t="shared" si="73"/>
        <v>3.4477179316772633E-2</v>
      </c>
      <c r="T511" s="56">
        <f t="shared" si="74"/>
        <v>7.0208946326072608E-2</v>
      </c>
      <c r="U511" s="56">
        <f t="shared" si="75"/>
        <v>1.4475379599019622E-2</v>
      </c>
      <c r="V511" s="56">
        <f t="shared" si="76"/>
        <v>2.9238140130926904E-2</v>
      </c>
      <c r="W511" s="56">
        <f t="shared" si="77"/>
        <v>4.9239939848679914E-2</v>
      </c>
      <c r="X511" s="65">
        <f t="shared" si="78"/>
        <v>2.9083746426559198E-2</v>
      </c>
      <c r="Y511" s="73">
        <f t="shared" si="79"/>
        <v>-1.0101558479632566E-2</v>
      </c>
    </row>
    <row r="512" spans="1:25" x14ac:dyDescent="0.25">
      <c r="A512" s="52">
        <v>44349</v>
      </c>
      <c r="B512" s="53">
        <v>38.35</v>
      </c>
      <c r="C512" s="83">
        <v>0.38065292470018758</v>
      </c>
      <c r="D512" s="53">
        <v>41.9</v>
      </c>
      <c r="E512" s="87">
        <v>0.41588937535691939</v>
      </c>
      <c r="F512" s="53">
        <v>36.299999999999997</v>
      </c>
      <c r="G512" s="83">
        <v>0.3616475372920448</v>
      </c>
      <c r="H512" s="55">
        <v>39.51</v>
      </c>
      <c r="I512" s="83">
        <v>0.39473095359475557</v>
      </c>
      <c r="J512" s="55">
        <v>34.200000000000003</v>
      </c>
      <c r="K512" s="83">
        <v>0.3391462930071284</v>
      </c>
      <c r="L512" s="53">
        <v>37.6</v>
      </c>
      <c r="M512" s="83">
        <v>0.37564879410687962</v>
      </c>
      <c r="N512" s="55">
        <v>35.36</v>
      </c>
      <c r="O512" s="83">
        <v>0.35326971701115051</v>
      </c>
      <c r="P512" s="56">
        <f t="shared" si="70"/>
        <v>1.9005387408142782E-2</v>
      </c>
      <c r="Q512" s="56">
        <f t="shared" si="71"/>
        <v>3.523645065673181E-2</v>
      </c>
      <c r="R512" s="56">
        <f t="shared" si="72"/>
        <v>5.0041305933079538E-3</v>
      </c>
      <c r="S512" s="54">
        <f t="shared" si="73"/>
        <v>2.738320768903707E-2</v>
      </c>
      <c r="T512" s="56">
        <f t="shared" si="74"/>
        <v>6.261965834576888E-2</v>
      </c>
      <c r="U512" s="56">
        <f t="shared" si="75"/>
        <v>8.3778202808942881E-3</v>
      </c>
      <c r="V512" s="56">
        <f t="shared" si="76"/>
        <v>2.25012442849164E-2</v>
      </c>
      <c r="W512" s="56">
        <f t="shared" si="77"/>
        <v>4.1506631693059182E-2</v>
      </c>
      <c r="X512" s="65">
        <f t="shared" si="78"/>
        <v>3.3083416302710777E-2</v>
      </c>
      <c r="Y512" s="73">
        <f t="shared" si="79"/>
        <v>-1.4001256814834828E-2</v>
      </c>
    </row>
    <row r="513" spans="1:25" x14ac:dyDescent="0.25">
      <c r="A513" s="52">
        <v>44348</v>
      </c>
      <c r="B513" s="53">
        <v>37.85</v>
      </c>
      <c r="C513" s="83">
        <v>0.37570026106820409</v>
      </c>
      <c r="D513" s="53">
        <v>40.799999999999997</v>
      </c>
      <c r="E513" s="87">
        <v>0.40498205156097028</v>
      </c>
      <c r="F513" s="53">
        <v>35.6</v>
      </c>
      <c r="G513" s="83">
        <v>0.35467845834698108</v>
      </c>
      <c r="H513" s="55">
        <v>38.799999999999997</v>
      </c>
      <c r="I513" s="83">
        <v>0.38763891169869158</v>
      </c>
      <c r="J513" s="55">
        <v>33.71</v>
      </c>
      <c r="K513" s="83">
        <v>0.33429739716350598</v>
      </c>
      <c r="L513" s="53">
        <v>36.799999999999997</v>
      </c>
      <c r="M513" s="83">
        <v>0.36765752449772809</v>
      </c>
      <c r="N513" s="55">
        <v>34.9</v>
      </c>
      <c r="O513" s="83">
        <v>0.34867520665681279</v>
      </c>
      <c r="P513" s="56">
        <f t="shared" si="70"/>
        <v>2.1021802721223004E-2</v>
      </c>
      <c r="Q513" s="56">
        <f t="shared" si="71"/>
        <v>2.9281790492766191E-2</v>
      </c>
      <c r="R513" s="56">
        <f t="shared" si="72"/>
        <v>8.0427365704759946E-3</v>
      </c>
      <c r="S513" s="54">
        <f t="shared" si="73"/>
        <v>2.7025054411391303E-2</v>
      </c>
      <c r="T513" s="56">
        <f t="shared" si="74"/>
        <v>5.6306844904157494E-2</v>
      </c>
      <c r="U513" s="56">
        <f t="shared" si="75"/>
        <v>6.0032516901682986E-3</v>
      </c>
      <c r="V513" s="56">
        <f t="shared" si="76"/>
        <v>2.0381061183475102E-2</v>
      </c>
      <c r="W513" s="56">
        <f t="shared" si="77"/>
        <v>4.1402863904698106E-2</v>
      </c>
      <c r="X513" s="65">
        <f t="shared" si="78"/>
        <v>3.2960453351710495E-2</v>
      </c>
      <c r="Y513" s="73">
        <f t="shared" si="79"/>
        <v>-1.297906615074701E-2</v>
      </c>
    </row>
    <row r="514" spans="1:25" x14ac:dyDescent="0.25">
      <c r="A514" s="52">
        <v>44347</v>
      </c>
      <c r="B514" s="53">
        <v>37.6</v>
      </c>
      <c r="C514" s="83">
        <v>0.37322890321177021</v>
      </c>
      <c r="D514" s="53">
        <v>40.5</v>
      </c>
      <c r="E514" s="87">
        <v>0.40201517500203959</v>
      </c>
      <c r="F514" s="53">
        <v>35.299999999999997</v>
      </c>
      <c r="G514" s="83">
        <v>0.35169439478101838</v>
      </c>
      <c r="H514" s="55">
        <v>38.58</v>
      </c>
      <c r="I514" s="83">
        <v>0.3854422778859346</v>
      </c>
      <c r="J514" s="55">
        <v>33.4</v>
      </c>
      <c r="K514" s="83">
        <v>0.33123329450242661</v>
      </c>
      <c r="L514" s="53">
        <v>36.25</v>
      </c>
      <c r="M514" s="83">
        <v>0.36216388215047002</v>
      </c>
      <c r="N514" s="55">
        <v>34.4</v>
      </c>
      <c r="O514" s="83">
        <v>0.34368103575106662</v>
      </c>
      <c r="P514" s="56">
        <f t="shared" ref="P514:P577" si="80">C514-G514</f>
        <v>2.1534508430751831E-2</v>
      </c>
      <c r="Q514" s="56">
        <f t="shared" ref="Q514:Q577" si="81">E514-C514</f>
        <v>2.878627179026938E-2</v>
      </c>
      <c r="R514" s="56">
        <f t="shared" ref="R514:R577" si="82">C514-M514</f>
        <v>1.1065021061300195E-2</v>
      </c>
      <c r="S514" s="54">
        <f t="shared" ref="S514:S577" si="83">C514-O514</f>
        <v>2.9547867460703592E-2</v>
      </c>
      <c r="T514" s="56">
        <f t="shared" ref="T514:T577" si="84">E514-O514</f>
        <v>5.8334139250972972E-2</v>
      </c>
      <c r="U514" s="56">
        <f t="shared" ref="U514:U577" si="85">G514-O514</f>
        <v>8.013359029951761E-3</v>
      </c>
      <c r="V514" s="56">
        <f t="shared" ref="V514:V577" si="86">G514-K514</f>
        <v>2.0461100278591771E-2</v>
      </c>
      <c r="W514" s="56">
        <f t="shared" ref="W514:W577" si="87">C514-K514</f>
        <v>4.1995608709343601E-2</v>
      </c>
      <c r="X514" s="65">
        <f t="shared" ref="X514:X577" si="88">I514-G514</f>
        <v>3.3747883104916221E-2</v>
      </c>
      <c r="Y514" s="73">
        <f t="shared" ref="Y514:Y577" si="89">G514-M514</f>
        <v>-1.0469487369451635E-2</v>
      </c>
    </row>
    <row r="515" spans="1:25" x14ac:dyDescent="0.25">
      <c r="A515" s="52">
        <v>44344</v>
      </c>
      <c r="B515" s="53">
        <v>37.64</v>
      </c>
      <c r="C515" s="83">
        <v>0.37365644038294171</v>
      </c>
      <c r="D515" s="53">
        <v>40.01</v>
      </c>
      <c r="E515" s="87">
        <v>0.39718369234116618</v>
      </c>
      <c r="F515" s="53">
        <v>35.35</v>
      </c>
      <c r="G515" s="83">
        <v>0.35220696620625652</v>
      </c>
      <c r="H515" s="55">
        <v>38.549999999999997</v>
      </c>
      <c r="I515" s="83">
        <v>0.38514650936811418</v>
      </c>
      <c r="J515" s="55">
        <v>33.5</v>
      </c>
      <c r="K515" s="83">
        <v>0.33225547871690009</v>
      </c>
      <c r="L515" s="53">
        <v>36.32</v>
      </c>
      <c r="M515" s="83">
        <v>0.36286695772373301</v>
      </c>
      <c r="N515" s="55">
        <v>34.6</v>
      </c>
      <c r="O515" s="83">
        <v>0.34568272954959151</v>
      </c>
      <c r="P515" s="56">
        <f t="shared" si="80"/>
        <v>2.144947417668519E-2</v>
      </c>
      <c r="Q515" s="56">
        <f t="shared" si="81"/>
        <v>2.3527251958224471E-2</v>
      </c>
      <c r="R515" s="56">
        <f t="shared" si="82"/>
        <v>1.0789482659208705E-2</v>
      </c>
      <c r="S515" s="54">
        <f t="shared" si="83"/>
        <v>2.7973710833350207E-2</v>
      </c>
      <c r="T515" s="56">
        <f t="shared" si="84"/>
        <v>5.1500962791574678E-2</v>
      </c>
      <c r="U515" s="56">
        <f t="shared" si="85"/>
        <v>6.5242366566650167E-3</v>
      </c>
      <c r="V515" s="56">
        <f t="shared" si="86"/>
        <v>1.9951487489356434E-2</v>
      </c>
      <c r="W515" s="56">
        <f t="shared" si="87"/>
        <v>4.1400961666041625E-2</v>
      </c>
      <c r="X515" s="65">
        <f t="shared" si="88"/>
        <v>3.2939543161857654E-2</v>
      </c>
      <c r="Y515" s="73">
        <f t="shared" si="89"/>
        <v>-1.0659991517476486E-2</v>
      </c>
    </row>
    <row r="516" spans="1:25" x14ac:dyDescent="0.25">
      <c r="A516" s="52">
        <v>44343</v>
      </c>
      <c r="B516" s="53">
        <v>38.1</v>
      </c>
      <c r="C516" s="83">
        <v>0.37823319824842933</v>
      </c>
      <c r="D516" s="53">
        <v>41</v>
      </c>
      <c r="E516" s="87">
        <v>0.40702260178964828</v>
      </c>
      <c r="F516" s="53">
        <v>35.659999999999997</v>
      </c>
      <c r="G516" s="83">
        <v>0.35530047633996198</v>
      </c>
      <c r="H516" s="55">
        <v>38.71</v>
      </c>
      <c r="I516" s="83">
        <v>0.38674636548087882</v>
      </c>
      <c r="J516" s="55">
        <v>33.799999999999997</v>
      </c>
      <c r="K516" s="83">
        <v>0.33524114903720409</v>
      </c>
      <c r="L516" s="53">
        <v>36.65</v>
      </c>
      <c r="M516" s="83">
        <v>0.36616518457437891</v>
      </c>
      <c r="N516" s="55">
        <v>35.25</v>
      </c>
      <c r="O516" s="83">
        <v>0.35217797424957309</v>
      </c>
      <c r="P516" s="56">
        <f t="shared" si="80"/>
        <v>2.2932721908467346E-2</v>
      </c>
      <c r="Q516" s="56">
        <f t="shared" si="81"/>
        <v>2.878940354121895E-2</v>
      </c>
      <c r="R516" s="56">
        <f t="shared" si="82"/>
        <v>1.2068013674050415E-2</v>
      </c>
      <c r="S516" s="54">
        <f t="shared" si="83"/>
        <v>2.6055223998856236E-2</v>
      </c>
      <c r="T516" s="56">
        <f t="shared" si="84"/>
        <v>5.4844627540075186E-2</v>
      </c>
      <c r="U516" s="56">
        <f t="shared" si="85"/>
        <v>3.12250209038889E-3</v>
      </c>
      <c r="V516" s="56">
        <f t="shared" si="86"/>
        <v>2.005932730275789E-2</v>
      </c>
      <c r="W516" s="56">
        <f t="shared" si="87"/>
        <v>4.2992049211225236E-2</v>
      </c>
      <c r="X516" s="65">
        <f t="shared" si="88"/>
        <v>3.1445889140916838E-2</v>
      </c>
      <c r="Y516" s="73">
        <f t="shared" si="89"/>
        <v>-1.0864708234416931E-2</v>
      </c>
    </row>
    <row r="517" spans="1:25" x14ac:dyDescent="0.25">
      <c r="A517" s="52">
        <v>44342</v>
      </c>
      <c r="B517" s="53">
        <v>37.770000000000003</v>
      </c>
      <c r="C517" s="83">
        <v>0.37496736114888762</v>
      </c>
      <c r="D517" s="53">
        <v>40.6</v>
      </c>
      <c r="E517" s="87">
        <v>0.40306261219605072</v>
      </c>
      <c r="F517" s="53">
        <v>35.450000000000003</v>
      </c>
      <c r="G517" s="83">
        <v>0.35321295007233922</v>
      </c>
      <c r="H517" s="55">
        <v>38.75</v>
      </c>
      <c r="I517" s="83">
        <v>0.38714732469736468</v>
      </c>
      <c r="J517" s="55">
        <v>33.450000000000003</v>
      </c>
      <c r="K517" s="83">
        <v>0.33177985964387863</v>
      </c>
      <c r="L517" s="53">
        <v>36.65</v>
      </c>
      <c r="M517" s="83">
        <v>0.36616643742344301</v>
      </c>
      <c r="N517" s="55">
        <v>34.700000000000003</v>
      </c>
      <c r="O517" s="83">
        <v>0.34668418495480152</v>
      </c>
      <c r="P517" s="56">
        <f t="shared" si="80"/>
        <v>2.1754411076548408E-2</v>
      </c>
      <c r="Q517" s="56">
        <f t="shared" si="81"/>
        <v>2.8095251047163095E-2</v>
      </c>
      <c r="R517" s="56">
        <f t="shared" si="82"/>
        <v>8.8009237254446093E-3</v>
      </c>
      <c r="S517" s="54">
        <f t="shared" si="83"/>
        <v>2.8283176194086102E-2</v>
      </c>
      <c r="T517" s="56">
        <f t="shared" si="84"/>
        <v>5.6378427241249196E-2</v>
      </c>
      <c r="U517" s="56">
        <f t="shared" si="85"/>
        <v>6.5287651175376937E-3</v>
      </c>
      <c r="V517" s="56">
        <f t="shared" si="86"/>
        <v>2.1433090428460588E-2</v>
      </c>
      <c r="W517" s="56">
        <f t="shared" si="87"/>
        <v>4.3187501505008996E-2</v>
      </c>
      <c r="X517" s="65">
        <f t="shared" si="88"/>
        <v>3.3934374625025465E-2</v>
      </c>
      <c r="Y517" s="73">
        <f t="shared" si="89"/>
        <v>-1.2953487351103798E-2</v>
      </c>
    </row>
    <row r="518" spans="1:25" x14ac:dyDescent="0.25">
      <c r="A518" s="52">
        <v>44337</v>
      </c>
      <c r="B518" s="53">
        <v>36.93</v>
      </c>
      <c r="C518" s="83">
        <v>0.36667800114251509</v>
      </c>
      <c r="D518" s="53">
        <v>40.299999999999997</v>
      </c>
      <c r="E518" s="87">
        <v>0.4001387339843856</v>
      </c>
      <c r="F518" s="53">
        <v>34.4</v>
      </c>
      <c r="G518" s="83">
        <v>0.34277446390303162</v>
      </c>
      <c r="H518" s="55">
        <v>37.5</v>
      </c>
      <c r="I518" s="83">
        <v>0.37466511097956962</v>
      </c>
      <c r="J518" s="55">
        <v>32.25</v>
      </c>
      <c r="K518" s="83">
        <v>0.31992634593628649</v>
      </c>
      <c r="L518" s="53">
        <v>35.07</v>
      </c>
      <c r="M518" s="83">
        <v>0.3503868117880935</v>
      </c>
      <c r="N518" s="55">
        <v>33.36</v>
      </c>
      <c r="O518" s="83">
        <v>0.33330208272742512</v>
      </c>
      <c r="P518" s="56">
        <f t="shared" si="80"/>
        <v>2.3903537239483463E-2</v>
      </c>
      <c r="Q518" s="56">
        <f t="shared" si="81"/>
        <v>3.3460732841870511E-2</v>
      </c>
      <c r="R518" s="56">
        <f t="shared" si="82"/>
        <v>1.6291189354421587E-2</v>
      </c>
      <c r="S518" s="54">
        <f t="shared" si="83"/>
        <v>3.3375918415089967E-2</v>
      </c>
      <c r="T518" s="56">
        <f t="shared" si="84"/>
        <v>6.6836651256960478E-2</v>
      </c>
      <c r="U518" s="56">
        <f t="shared" si="85"/>
        <v>9.4723811756065035E-3</v>
      </c>
      <c r="V518" s="56">
        <f t="shared" si="86"/>
        <v>2.284811796674513E-2</v>
      </c>
      <c r="W518" s="56">
        <f t="shared" si="87"/>
        <v>4.6751655206228593E-2</v>
      </c>
      <c r="X518" s="65">
        <f t="shared" si="88"/>
        <v>3.1890647076537992E-2</v>
      </c>
      <c r="Y518" s="73">
        <f t="shared" si="89"/>
        <v>-7.6123478850618764E-3</v>
      </c>
    </row>
    <row r="519" spans="1:25" x14ac:dyDescent="0.25">
      <c r="A519" s="52">
        <v>44336</v>
      </c>
      <c r="B519" s="53">
        <v>37.29</v>
      </c>
      <c r="C519" s="83">
        <v>0.37026251360174101</v>
      </c>
      <c r="D519" s="53">
        <v>40.299999999999997</v>
      </c>
      <c r="E519" s="87">
        <v>0.40014961915125141</v>
      </c>
      <c r="F519" s="53">
        <v>34.78</v>
      </c>
      <c r="G519" s="83">
        <v>0.34656565656565658</v>
      </c>
      <c r="H519" s="55">
        <v>37.99</v>
      </c>
      <c r="I519" s="83">
        <v>0.37956203380551568</v>
      </c>
      <c r="J519" s="55">
        <v>32.799999999999997</v>
      </c>
      <c r="K519" s="83">
        <v>0.32539240334307262</v>
      </c>
      <c r="L519" s="53">
        <v>35.25</v>
      </c>
      <c r="M519" s="83">
        <v>0.3521864093615274</v>
      </c>
      <c r="N519" s="55">
        <v>33</v>
      </c>
      <c r="O519" s="83">
        <v>0.32970642578525972</v>
      </c>
      <c r="P519" s="56">
        <f t="shared" si="80"/>
        <v>2.3696857036084429E-2</v>
      </c>
      <c r="Q519" s="56">
        <f t="shared" si="81"/>
        <v>2.9887105549510407E-2</v>
      </c>
      <c r="R519" s="56">
        <f t="shared" si="82"/>
        <v>1.8076104240213609E-2</v>
      </c>
      <c r="S519" s="54">
        <f t="shared" si="83"/>
        <v>4.055608781648129E-2</v>
      </c>
      <c r="T519" s="56">
        <f t="shared" si="84"/>
        <v>7.0443193365991696E-2</v>
      </c>
      <c r="U519" s="56">
        <f t="shared" si="85"/>
        <v>1.6859230780396861E-2</v>
      </c>
      <c r="V519" s="56">
        <f t="shared" si="86"/>
        <v>2.1173253222583954E-2</v>
      </c>
      <c r="W519" s="56">
        <f t="shared" si="87"/>
        <v>4.4870110258668383E-2</v>
      </c>
      <c r="X519" s="65">
        <f t="shared" si="88"/>
        <v>3.2996377239859098E-2</v>
      </c>
      <c r="Y519" s="73">
        <f t="shared" si="89"/>
        <v>-5.6207527958708203E-3</v>
      </c>
    </row>
    <row r="520" spans="1:25" x14ac:dyDescent="0.25">
      <c r="A520" s="52">
        <v>44335</v>
      </c>
      <c r="B520" s="53">
        <v>37.450000000000003</v>
      </c>
      <c r="C520" s="83">
        <v>0.37186131287575841</v>
      </c>
      <c r="D520" s="53">
        <v>40.1</v>
      </c>
      <c r="E520" s="87">
        <v>0.39817459669740751</v>
      </c>
      <c r="F520" s="53">
        <v>35.07</v>
      </c>
      <c r="G520" s="83">
        <v>0.34946013459097169</v>
      </c>
      <c r="H520" s="55">
        <v>37.9</v>
      </c>
      <c r="I520" s="83">
        <v>0.37866413010377781</v>
      </c>
      <c r="J520" s="55">
        <v>32.9</v>
      </c>
      <c r="K520" s="83">
        <v>0.3263944334779551</v>
      </c>
      <c r="L520" s="53">
        <v>35.15</v>
      </c>
      <c r="M520" s="83">
        <v>0.35118850061075962</v>
      </c>
      <c r="N520" s="55">
        <v>33.6</v>
      </c>
      <c r="O520" s="83">
        <v>0.33570223671469479</v>
      </c>
      <c r="P520" s="56">
        <f t="shared" si="80"/>
        <v>2.2401178284786716E-2</v>
      </c>
      <c r="Q520" s="56">
        <f t="shared" si="81"/>
        <v>2.6313283821649103E-2</v>
      </c>
      <c r="R520" s="56">
        <f t="shared" si="82"/>
        <v>2.0672812264998786E-2</v>
      </c>
      <c r="S520" s="54">
        <f t="shared" si="83"/>
        <v>3.6159076161063619E-2</v>
      </c>
      <c r="T520" s="56">
        <f t="shared" si="84"/>
        <v>6.2472359982712722E-2</v>
      </c>
      <c r="U520" s="56">
        <f t="shared" si="85"/>
        <v>1.3757897876276903E-2</v>
      </c>
      <c r="V520" s="56">
        <f t="shared" si="86"/>
        <v>2.306570111301659E-2</v>
      </c>
      <c r="W520" s="56">
        <f t="shared" si="87"/>
        <v>4.5466879397803306E-2</v>
      </c>
      <c r="X520" s="65">
        <f t="shared" si="88"/>
        <v>2.9203995512806113E-2</v>
      </c>
      <c r="Y520" s="73">
        <f t="shared" si="89"/>
        <v>-1.7283660197879303E-3</v>
      </c>
    </row>
    <row r="521" spans="1:25" x14ac:dyDescent="0.25">
      <c r="A521" s="52">
        <v>44334</v>
      </c>
      <c r="B521" s="53">
        <v>38</v>
      </c>
      <c r="C521" s="83">
        <v>0.37733282550737263</v>
      </c>
      <c r="D521" s="53">
        <v>40.25</v>
      </c>
      <c r="E521" s="87">
        <v>0.39967490070188799</v>
      </c>
      <c r="F521" s="53">
        <v>35.700000000000003</v>
      </c>
      <c r="G521" s="83">
        <v>0.35574271751890579</v>
      </c>
      <c r="H521" s="55">
        <v>38.380000000000003</v>
      </c>
      <c r="I521" s="83">
        <v>0.38346118840202842</v>
      </c>
      <c r="J521" s="55">
        <v>32.9</v>
      </c>
      <c r="K521" s="83">
        <v>0.32640441421300481</v>
      </c>
      <c r="L521" s="53">
        <v>35.5</v>
      </c>
      <c r="M521" s="83">
        <v>0.35468661251360101</v>
      </c>
      <c r="N521" s="55">
        <v>33.5</v>
      </c>
      <c r="O521" s="83">
        <v>0.33470426814663762</v>
      </c>
      <c r="P521" s="56">
        <f t="shared" si="80"/>
        <v>2.1590107988466833E-2</v>
      </c>
      <c r="Q521" s="56">
        <f t="shared" si="81"/>
        <v>2.2342075194515365E-2</v>
      </c>
      <c r="R521" s="56">
        <f t="shared" si="82"/>
        <v>2.2646212993771619E-2</v>
      </c>
      <c r="S521" s="54">
        <f t="shared" si="83"/>
        <v>4.2628557360735009E-2</v>
      </c>
      <c r="T521" s="56">
        <f t="shared" si="84"/>
        <v>6.4970632555250374E-2</v>
      </c>
      <c r="U521" s="56">
        <f t="shared" si="85"/>
        <v>2.1038449372268175E-2</v>
      </c>
      <c r="V521" s="56">
        <f t="shared" si="86"/>
        <v>2.9338303305900981E-2</v>
      </c>
      <c r="W521" s="56">
        <f t="shared" si="87"/>
        <v>5.0928411294367815E-2</v>
      </c>
      <c r="X521" s="65">
        <f t="shared" si="88"/>
        <v>2.7718470883122626E-2</v>
      </c>
      <c r="Y521" s="73">
        <f t="shared" si="89"/>
        <v>1.056105005304786E-3</v>
      </c>
    </row>
    <row r="522" spans="1:25" x14ac:dyDescent="0.25">
      <c r="A522" s="52">
        <v>44333</v>
      </c>
      <c r="B522" s="53">
        <v>38.049999999999997</v>
      </c>
      <c r="C522" s="83">
        <v>0.3778395951791495</v>
      </c>
      <c r="D522" s="53">
        <v>40.700000000000003</v>
      </c>
      <c r="E522" s="87">
        <v>0.40415431074353192</v>
      </c>
      <c r="F522" s="53">
        <v>35.700000000000003</v>
      </c>
      <c r="G522" s="83">
        <v>0.35574757361071302</v>
      </c>
      <c r="H522" s="55">
        <v>38.380000000000003</v>
      </c>
      <c r="I522" s="83">
        <v>0.38346250047047642</v>
      </c>
      <c r="J522" s="55">
        <v>32.9</v>
      </c>
      <c r="K522" s="83">
        <v>0.32641439555847013</v>
      </c>
      <c r="L522" s="53">
        <v>35.200000000000003</v>
      </c>
      <c r="M522" s="83">
        <v>0.35169046421471523</v>
      </c>
      <c r="N522" s="55">
        <v>33.79</v>
      </c>
      <c r="O522" s="83">
        <v>0.33760286323338712</v>
      </c>
      <c r="P522" s="56">
        <f t="shared" si="80"/>
        <v>2.2092021568436482E-2</v>
      </c>
      <c r="Q522" s="56">
        <f t="shared" si="81"/>
        <v>2.6314715564382418E-2</v>
      </c>
      <c r="R522" s="56">
        <f t="shared" si="82"/>
        <v>2.6149130964434275E-2</v>
      </c>
      <c r="S522" s="54">
        <f t="shared" si="83"/>
        <v>4.0236731945762383E-2</v>
      </c>
      <c r="T522" s="56">
        <f t="shared" si="84"/>
        <v>6.6551447510144801E-2</v>
      </c>
      <c r="U522" s="56">
        <f t="shared" si="85"/>
        <v>1.8144710377325901E-2</v>
      </c>
      <c r="V522" s="56">
        <f t="shared" si="86"/>
        <v>2.9333178052242892E-2</v>
      </c>
      <c r="W522" s="56">
        <f t="shared" si="87"/>
        <v>5.1425199620679374E-2</v>
      </c>
      <c r="X522" s="65">
        <f t="shared" si="88"/>
        <v>2.77149268597634E-2</v>
      </c>
      <c r="Y522" s="73">
        <f t="shared" si="89"/>
        <v>4.0571093959977933E-3</v>
      </c>
    </row>
    <row r="523" spans="1:25" x14ac:dyDescent="0.25">
      <c r="A523" s="52">
        <v>44330</v>
      </c>
      <c r="B523" s="53">
        <v>37.42</v>
      </c>
      <c r="C523" s="83">
        <v>0.37161397398922569</v>
      </c>
      <c r="D523" s="53">
        <v>39.5</v>
      </c>
      <c r="E523" s="87">
        <v>0.39227022909071119</v>
      </c>
      <c r="F523" s="53">
        <v>35.090000000000003</v>
      </c>
      <c r="G523" s="83">
        <v>0.34968329374505153</v>
      </c>
      <c r="H523" s="55">
        <v>37.450000000000003</v>
      </c>
      <c r="I523" s="83">
        <v>0.37417451942488389</v>
      </c>
      <c r="J523" s="55">
        <v>32.450000000000003</v>
      </c>
      <c r="K523" s="83">
        <v>0.32197929904922418</v>
      </c>
      <c r="L523" s="53">
        <v>34.5</v>
      </c>
      <c r="M523" s="83">
        <v>0.34470015808166871</v>
      </c>
      <c r="N523" s="55">
        <v>33.049999999999997</v>
      </c>
      <c r="O523" s="83">
        <v>0.33021276013330869</v>
      </c>
      <c r="P523" s="56">
        <f t="shared" si="80"/>
        <v>2.1930680244174161E-2</v>
      </c>
      <c r="Q523" s="56">
        <f t="shared" si="81"/>
        <v>2.0656255101485499E-2</v>
      </c>
      <c r="R523" s="56">
        <f t="shared" si="82"/>
        <v>2.6913815907556982E-2</v>
      </c>
      <c r="S523" s="54">
        <f t="shared" si="83"/>
        <v>4.1401213855916996E-2</v>
      </c>
      <c r="T523" s="56">
        <f t="shared" si="84"/>
        <v>6.2057468957402495E-2</v>
      </c>
      <c r="U523" s="56">
        <f t="shared" si="85"/>
        <v>1.9470533611742835E-2</v>
      </c>
      <c r="V523" s="56">
        <f t="shared" si="86"/>
        <v>2.770399469582735E-2</v>
      </c>
      <c r="W523" s="56">
        <f t="shared" si="87"/>
        <v>4.9634674940001511E-2</v>
      </c>
      <c r="X523" s="65">
        <f t="shared" si="88"/>
        <v>2.4491225679832362E-2</v>
      </c>
      <c r="Y523" s="73">
        <f t="shared" si="89"/>
        <v>4.9831356633828205E-3</v>
      </c>
    </row>
    <row r="524" spans="1:25" x14ac:dyDescent="0.25">
      <c r="A524" s="52">
        <v>44329</v>
      </c>
      <c r="B524" s="53">
        <v>36.450000000000003</v>
      </c>
      <c r="C524" s="83">
        <v>0.36199085788915192</v>
      </c>
      <c r="D524" s="53">
        <v>38.71</v>
      </c>
      <c r="E524" s="87">
        <v>0.38443528419448753</v>
      </c>
      <c r="F524" s="53">
        <v>34.22</v>
      </c>
      <c r="G524" s="83">
        <v>0.34101811529903209</v>
      </c>
      <c r="H524" s="55">
        <v>36.450000000000003</v>
      </c>
      <c r="I524" s="83">
        <v>0.36418445661806731</v>
      </c>
      <c r="J524" s="55">
        <v>31.2</v>
      </c>
      <c r="K524" s="83">
        <v>0.30958586637759661</v>
      </c>
      <c r="L524" s="53">
        <v>33.53</v>
      </c>
      <c r="M524" s="83">
        <v>0.33500973471615347</v>
      </c>
      <c r="N524" s="55">
        <v>32.21</v>
      </c>
      <c r="O524" s="83">
        <v>0.32182116180158971</v>
      </c>
      <c r="P524" s="56">
        <f t="shared" si="80"/>
        <v>2.0972742590119831E-2</v>
      </c>
      <c r="Q524" s="56">
        <f t="shared" si="81"/>
        <v>2.2444426305335607E-2</v>
      </c>
      <c r="R524" s="56">
        <f t="shared" si="82"/>
        <v>2.6981123172998445E-2</v>
      </c>
      <c r="S524" s="54">
        <f t="shared" si="83"/>
        <v>4.0169696087562212E-2</v>
      </c>
      <c r="T524" s="56">
        <f t="shared" si="84"/>
        <v>6.261412239289782E-2</v>
      </c>
      <c r="U524" s="56">
        <f t="shared" si="85"/>
        <v>1.9196953497442382E-2</v>
      </c>
      <c r="V524" s="56">
        <f t="shared" si="86"/>
        <v>3.1432248921435479E-2</v>
      </c>
      <c r="W524" s="56">
        <f t="shared" si="87"/>
        <v>5.240499151155531E-2</v>
      </c>
      <c r="X524" s="65">
        <f t="shared" si="88"/>
        <v>2.3166341319035222E-2</v>
      </c>
      <c r="Y524" s="73">
        <f t="shared" si="89"/>
        <v>6.0083805828786141E-3</v>
      </c>
    </row>
    <row r="525" spans="1:25" x14ac:dyDescent="0.25">
      <c r="A525" s="52">
        <v>44328</v>
      </c>
      <c r="B525" s="53">
        <v>36.31</v>
      </c>
      <c r="C525" s="83">
        <v>0.3606103069220723</v>
      </c>
      <c r="D525" s="53">
        <v>39.19</v>
      </c>
      <c r="E525" s="87">
        <v>0.3892128319547235</v>
      </c>
      <c r="F525" s="53">
        <v>34.11</v>
      </c>
      <c r="G525" s="83">
        <v>0.33992655490635071</v>
      </c>
      <c r="H525" s="55">
        <v>36.4</v>
      </c>
      <c r="I525" s="83">
        <v>0.36368613388445592</v>
      </c>
      <c r="J525" s="55">
        <v>31.32</v>
      </c>
      <c r="K525" s="83">
        <v>0.31078608615275871</v>
      </c>
      <c r="L525" s="53">
        <v>33.4</v>
      </c>
      <c r="M525" s="83">
        <v>0.33371200197090178</v>
      </c>
      <c r="N525" s="55">
        <v>32.25</v>
      </c>
      <c r="O525" s="83">
        <v>0.3222219180707061</v>
      </c>
      <c r="P525" s="56">
        <f t="shared" si="80"/>
        <v>2.068375201572159E-2</v>
      </c>
      <c r="Q525" s="56">
        <f t="shared" si="81"/>
        <v>2.8602525032651205E-2</v>
      </c>
      <c r="R525" s="56">
        <f t="shared" si="82"/>
        <v>2.6898304951170515E-2</v>
      </c>
      <c r="S525" s="54">
        <f t="shared" si="83"/>
        <v>3.8388388851366195E-2</v>
      </c>
      <c r="T525" s="56">
        <f t="shared" si="84"/>
        <v>6.69909138840174E-2</v>
      </c>
      <c r="U525" s="56">
        <f t="shared" si="85"/>
        <v>1.7704636835644605E-2</v>
      </c>
      <c r="V525" s="56">
        <f t="shared" si="86"/>
        <v>2.9140468753591997E-2</v>
      </c>
      <c r="W525" s="56">
        <f t="shared" si="87"/>
        <v>4.9824220769313587E-2</v>
      </c>
      <c r="X525" s="65">
        <f t="shared" si="88"/>
        <v>2.3759578978105211E-2</v>
      </c>
      <c r="Y525" s="73">
        <f t="shared" si="89"/>
        <v>6.2145529354489248E-3</v>
      </c>
    </row>
    <row r="526" spans="1:25" x14ac:dyDescent="0.25">
      <c r="A526" s="52">
        <v>44327</v>
      </c>
      <c r="B526" s="53">
        <v>35.99</v>
      </c>
      <c r="C526" s="83">
        <v>0.35744197436804442</v>
      </c>
      <c r="D526" s="53">
        <v>38.82</v>
      </c>
      <c r="E526" s="87">
        <v>0.38554869255258362</v>
      </c>
      <c r="F526" s="53">
        <v>33.82</v>
      </c>
      <c r="G526" s="83">
        <v>0.3370411325442656</v>
      </c>
      <c r="H526" s="55">
        <v>35.9</v>
      </c>
      <c r="I526" s="83">
        <v>0.35869167256912721</v>
      </c>
      <c r="J526" s="55">
        <v>31.01</v>
      </c>
      <c r="K526" s="83">
        <v>0.30771939006113658</v>
      </c>
      <c r="L526" s="53">
        <v>33.15</v>
      </c>
      <c r="M526" s="83">
        <v>0.33121529096564251</v>
      </c>
      <c r="N526" s="55">
        <v>32</v>
      </c>
      <c r="O526" s="83">
        <v>0.31972516774963988</v>
      </c>
      <c r="P526" s="56">
        <f t="shared" si="80"/>
        <v>2.0400841823778826E-2</v>
      </c>
      <c r="Q526" s="56">
        <f t="shared" si="81"/>
        <v>2.8106718184539192E-2</v>
      </c>
      <c r="R526" s="56">
        <f t="shared" si="82"/>
        <v>2.6226683402401918E-2</v>
      </c>
      <c r="S526" s="54">
        <f t="shared" si="83"/>
        <v>3.7716806618404541E-2</v>
      </c>
      <c r="T526" s="56">
        <f t="shared" si="84"/>
        <v>6.5823524802943734E-2</v>
      </c>
      <c r="U526" s="56">
        <f t="shared" si="85"/>
        <v>1.7315964794625716E-2</v>
      </c>
      <c r="V526" s="56">
        <f t="shared" si="86"/>
        <v>2.9321742483129021E-2</v>
      </c>
      <c r="W526" s="56">
        <f t="shared" si="87"/>
        <v>4.9722584306907847E-2</v>
      </c>
      <c r="X526" s="65">
        <f t="shared" si="88"/>
        <v>2.1650540024861609E-2</v>
      </c>
      <c r="Y526" s="73">
        <f t="shared" si="89"/>
        <v>5.8258415786230922E-3</v>
      </c>
    </row>
    <row r="527" spans="1:25" x14ac:dyDescent="0.25">
      <c r="A527" s="52">
        <v>44326</v>
      </c>
      <c r="B527" s="53">
        <v>36.4</v>
      </c>
      <c r="C527" s="83">
        <v>0.36152380952380953</v>
      </c>
      <c r="D527" s="53">
        <v>39.5</v>
      </c>
      <c r="E527" s="87">
        <v>0.39231292517006799</v>
      </c>
      <c r="F527" s="53">
        <v>34.4</v>
      </c>
      <c r="G527" s="83">
        <v>0.34282593856655291</v>
      </c>
      <c r="H527" s="55">
        <v>36.479999999999997</v>
      </c>
      <c r="I527" s="83">
        <v>0.36448793840889648</v>
      </c>
      <c r="J527" s="55">
        <v>31.4</v>
      </c>
      <c r="K527" s="83">
        <v>0.31159898045879347</v>
      </c>
      <c r="L527" s="53">
        <v>33.54</v>
      </c>
      <c r="M527" s="83">
        <v>0.33511308810949531</v>
      </c>
      <c r="N527" s="55">
        <v>32.25</v>
      </c>
      <c r="O527" s="83">
        <v>0.322224123182207</v>
      </c>
      <c r="P527" s="56">
        <f t="shared" si="80"/>
        <v>1.8697870957256613E-2</v>
      </c>
      <c r="Q527" s="56">
        <f t="shared" si="81"/>
        <v>3.0789115646258469E-2</v>
      </c>
      <c r="R527" s="56">
        <f t="shared" si="82"/>
        <v>2.641072141431422E-2</v>
      </c>
      <c r="S527" s="54">
        <f t="shared" si="83"/>
        <v>3.9299686341602524E-2</v>
      </c>
      <c r="T527" s="56">
        <f t="shared" si="84"/>
        <v>7.0088801987860994E-2</v>
      </c>
      <c r="U527" s="56">
        <f t="shared" si="85"/>
        <v>2.0601815384345912E-2</v>
      </c>
      <c r="V527" s="56">
        <f t="shared" si="86"/>
        <v>3.1226958107759439E-2</v>
      </c>
      <c r="W527" s="56">
        <f t="shared" si="87"/>
        <v>4.9924829065016052E-2</v>
      </c>
      <c r="X527" s="65">
        <f t="shared" si="88"/>
        <v>2.1661999842343571E-2</v>
      </c>
      <c r="Y527" s="73">
        <f t="shared" si="89"/>
        <v>7.7128504570576073E-3</v>
      </c>
    </row>
    <row r="528" spans="1:25" x14ac:dyDescent="0.25">
      <c r="A528" s="52">
        <v>44323</v>
      </c>
      <c r="B528" s="53">
        <v>36.299999999999997</v>
      </c>
      <c r="C528" s="83">
        <v>0.36056004571801781</v>
      </c>
      <c r="D528" s="53">
        <v>38.799999999999997</v>
      </c>
      <c r="E528" s="87">
        <v>0.38539200478950658</v>
      </c>
      <c r="F528" s="53">
        <v>34.299999999999997</v>
      </c>
      <c r="G528" s="83">
        <v>0.34184335194615478</v>
      </c>
      <c r="H528" s="55">
        <v>36.32</v>
      </c>
      <c r="I528" s="83">
        <v>0.36289303226380432</v>
      </c>
      <c r="J528" s="55">
        <v>31.35</v>
      </c>
      <c r="K528" s="83">
        <v>0.31113135274944509</v>
      </c>
      <c r="L528" s="53">
        <v>33.450000000000003</v>
      </c>
      <c r="M528" s="83">
        <v>0.33421728880022722</v>
      </c>
      <c r="N528" s="55">
        <v>32.299999999999997</v>
      </c>
      <c r="O528" s="83">
        <v>0.32272700831830609</v>
      </c>
      <c r="P528" s="56">
        <f t="shared" si="80"/>
        <v>1.8716693771863024E-2</v>
      </c>
      <c r="Q528" s="56">
        <f t="shared" si="81"/>
        <v>2.4831959071488774E-2</v>
      </c>
      <c r="R528" s="56">
        <f t="shared" si="82"/>
        <v>2.6342756917790588E-2</v>
      </c>
      <c r="S528" s="54">
        <f t="shared" si="83"/>
        <v>3.7833037399711722E-2</v>
      </c>
      <c r="T528" s="56">
        <f t="shared" si="84"/>
        <v>6.2664996471200496E-2</v>
      </c>
      <c r="U528" s="56">
        <f t="shared" si="85"/>
        <v>1.9116343627848698E-2</v>
      </c>
      <c r="V528" s="56">
        <f t="shared" si="86"/>
        <v>3.0711999196709694E-2</v>
      </c>
      <c r="W528" s="56">
        <f t="shared" si="87"/>
        <v>4.9428692968572718E-2</v>
      </c>
      <c r="X528" s="65">
        <f t="shared" si="88"/>
        <v>2.1049680317649533E-2</v>
      </c>
      <c r="Y528" s="73">
        <f t="shared" si="89"/>
        <v>7.6260631459275641E-3</v>
      </c>
    </row>
    <row r="529" spans="1:25" x14ac:dyDescent="0.25">
      <c r="A529" s="52">
        <v>44322</v>
      </c>
      <c r="B529" s="53">
        <v>36.54</v>
      </c>
      <c r="C529" s="83">
        <v>0.3629537908888042</v>
      </c>
      <c r="D529" s="53">
        <v>39.200000000000003</v>
      </c>
      <c r="E529" s="87">
        <v>0.38937571436346818</v>
      </c>
      <c r="F529" s="53">
        <v>34.770000000000003</v>
      </c>
      <c r="G529" s="83">
        <v>0.34653223384212112</v>
      </c>
      <c r="H529" s="55">
        <v>36.53</v>
      </c>
      <c r="I529" s="83">
        <v>0.36499250631317448</v>
      </c>
      <c r="J529" s="55">
        <v>31.56</v>
      </c>
      <c r="K529" s="83">
        <v>0.31322506746789752</v>
      </c>
      <c r="L529" s="53">
        <v>33.520000000000003</v>
      </c>
      <c r="M529" s="83">
        <v>0.33491784318690421</v>
      </c>
      <c r="N529" s="55">
        <v>32.49</v>
      </c>
      <c r="O529" s="83">
        <v>0.32462651327990799</v>
      </c>
      <c r="P529" s="56">
        <f t="shared" si="80"/>
        <v>1.6421557046683077E-2</v>
      </c>
      <c r="Q529" s="56">
        <f t="shared" si="81"/>
        <v>2.6421923474663989E-2</v>
      </c>
      <c r="R529" s="56">
        <f t="shared" si="82"/>
        <v>2.8035947701899988E-2</v>
      </c>
      <c r="S529" s="54">
        <f t="shared" si="83"/>
        <v>3.8327277608896204E-2</v>
      </c>
      <c r="T529" s="56">
        <f t="shared" si="84"/>
        <v>6.4749201083560193E-2</v>
      </c>
      <c r="U529" s="56">
        <f t="shared" si="85"/>
        <v>2.1905720562213127E-2</v>
      </c>
      <c r="V529" s="56">
        <f t="shared" si="86"/>
        <v>3.3307166374223596E-2</v>
      </c>
      <c r="W529" s="56">
        <f t="shared" si="87"/>
        <v>4.9728723420906673E-2</v>
      </c>
      <c r="X529" s="65">
        <f t="shared" si="88"/>
        <v>1.8460272471053363E-2</v>
      </c>
      <c r="Y529" s="73">
        <f t="shared" si="89"/>
        <v>1.1614390655216911E-2</v>
      </c>
    </row>
    <row r="530" spans="1:25" x14ac:dyDescent="0.25">
      <c r="A530" s="52">
        <v>44321</v>
      </c>
      <c r="B530" s="53">
        <v>36.6</v>
      </c>
      <c r="C530" s="83">
        <v>0.36355966798203843</v>
      </c>
      <c r="D530" s="53">
        <v>38.75</v>
      </c>
      <c r="E530" s="87">
        <v>0.3849163151449177</v>
      </c>
      <c r="F530" s="53">
        <v>35.04</v>
      </c>
      <c r="G530" s="83">
        <v>0.34922793364734789</v>
      </c>
      <c r="H530" s="55">
        <v>36.82</v>
      </c>
      <c r="I530" s="83">
        <v>0.3678913240602919</v>
      </c>
      <c r="J530" s="55">
        <v>31.8</v>
      </c>
      <c r="K530" s="83">
        <v>0.31561666185143011</v>
      </c>
      <c r="L530" s="53">
        <v>33.869999999999997</v>
      </c>
      <c r="M530" s="83">
        <v>0.33841605502232708</v>
      </c>
      <c r="N530" s="55">
        <v>32.799999999999997</v>
      </c>
      <c r="O530" s="83">
        <v>0.32772502523567548</v>
      </c>
      <c r="P530" s="56">
        <f t="shared" si="80"/>
        <v>1.4331734334690538E-2</v>
      </c>
      <c r="Q530" s="56">
        <f t="shared" si="81"/>
        <v>2.1356647162879272E-2</v>
      </c>
      <c r="R530" s="56">
        <f t="shared" si="82"/>
        <v>2.5143612959711348E-2</v>
      </c>
      <c r="S530" s="54">
        <f t="shared" si="83"/>
        <v>3.5834642746362944E-2</v>
      </c>
      <c r="T530" s="56">
        <f t="shared" si="84"/>
        <v>5.7191289909242216E-2</v>
      </c>
      <c r="U530" s="56">
        <f t="shared" si="85"/>
        <v>2.1502908411672406E-2</v>
      </c>
      <c r="V530" s="56">
        <f t="shared" si="86"/>
        <v>3.3611271795917774E-2</v>
      </c>
      <c r="W530" s="56">
        <f t="shared" si="87"/>
        <v>4.7943006130608312E-2</v>
      </c>
      <c r="X530" s="65">
        <f t="shared" si="88"/>
        <v>1.8663390412944014E-2</v>
      </c>
      <c r="Y530" s="73">
        <f t="shared" si="89"/>
        <v>1.081187862502081E-2</v>
      </c>
    </row>
    <row r="531" spans="1:25" x14ac:dyDescent="0.25">
      <c r="A531" s="52">
        <v>44320</v>
      </c>
      <c r="B531" s="53">
        <v>36.75</v>
      </c>
      <c r="C531" s="83">
        <v>0.36505960156760292</v>
      </c>
      <c r="D531" s="53">
        <v>36.61</v>
      </c>
      <c r="E531" s="87">
        <v>0.36366889832353583</v>
      </c>
      <c r="F531" s="53">
        <v>35.119999999999997</v>
      </c>
      <c r="G531" s="83">
        <v>0.35003003659002779</v>
      </c>
      <c r="H531" s="55">
        <v>37.049999999999997</v>
      </c>
      <c r="I531" s="83">
        <v>0.37019066259700789</v>
      </c>
      <c r="J531" s="55">
        <v>32.01</v>
      </c>
      <c r="K531" s="83">
        <v>0.31771064188500181</v>
      </c>
      <c r="L531" s="53">
        <v>33.65</v>
      </c>
      <c r="M531" s="83">
        <v>0.33621904983506928</v>
      </c>
      <c r="N531" s="55">
        <v>32.83</v>
      </c>
      <c r="O531" s="83">
        <v>0.32802589616895472</v>
      </c>
      <c r="P531" s="56">
        <f t="shared" si="80"/>
        <v>1.5029564977575127E-2</v>
      </c>
      <c r="Q531" s="56">
        <f t="shared" si="81"/>
        <v>-1.390703244067093E-3</v>
      </c>
      <c r="R531" s="56">
        <f t="shared" si="82"/>
        <v>2.8840551732533637E-2</v>
      </c>
      <c r="S531" s="54">
        <f t="shared" si="83"/>
        <v>3.7033705398648198E-2</v>
      </c>
      <c r="T531" s="56">
        <f t="shared" si="84"/>
        <v>3.5643002154581105E-2</v>
      </c>
      <c r="U531" s="56">
        <f t="shared" si="85"/>
        <v>2.2004140421073071E-2</v>
      </c>
      <c r="V531" s="56">
        <f t="shared" si="86"/>
        <v>3.2319394705025983E-2</v>
      </c>
      <c r="W531" s="56">
        <f t="shared" si="87"/>
        <v>4.7348959682601111E-2</v>
      </c>
      <c r="X531" s="65">
        <f t="shared" si="88"/>
        <v>2.0160626006980098E-2</v>
      </c>
      <c r="Y531" s="73">
        <f t="shared" si="89"/>
        <v>1.381098675495851E-2</v>
      </c>
    </row>
    <row r="532" spans="1:25" x14ac:dyDescent="0.25">
      <c r="A532" s="52">
        <v>44319</v>
      </c>
      <c r="B532" s="53">
        <v>36.770000000000003</v>
      </c>
      <c r="C532" s="83">
        <v>0.36526821435375451</v>
      </c>
      <c r="D532" s="53">
        <v>39.56</v>
      </c>
      <c r="E532" s="87">
        <v>0.39298369757504831</v>
      </c>
      <c r="F532" s="53">
        <v>35.18</v>
      </c>
      <c r="G532" s="83">
        <v>0.35063282497986148</v>
      </c>
      <c r="H532" s="55">
        <v>37.07</v>
      </c>
      <c r="I532" s="83">
        <v>0.37039176301913129</v>
      </c>
      <c r="J532" s="55">
        <v>32</v>
      </c>
      <c r="K532" s="83">
        <v>0.31762110494345441</v>
      </c>
      <c r="L532" s="53">
        <v>33.65</v>
      </c>
      <c r="M532" s="83">
        <v>0.3362202003127534</v>
      </c>
      <c r="N532" s="55">
        <v>32.549999999999997</v>
      </c>
      <c r="O532" s="83">
        <v>0.32522934681070198</v>
      </c>
      <c r="P532" s="56">
        <f t="shared" si="80"/>
        <v>1.4635389373893026E-2</v>
      </c>
      <c r="Q532" s="56">
        <f t="shared" si="81"/>
        <v>2.7715483221293802E-2</v>
      </c>
      <c r="R532" s="56">
        <f t="shared" si="82"/>
        <v>2.9048014041001102E-2</v>
      </c>
      <c r="S532" s="54">
        <f t="shared" si="83"/>
        <v>4.0038867543052525E-2</v>
      </c>
      <c r="T532" s="56">
        <f t="shared" si="84"/>
        <v>6.7754350764346327E-2</v>
      </c>
      <c r="U532" s="56">
        <f t="shared" si="85"/>
        <v>2.5403478169159499E-2</v>
      </c>
      <c r="V532" s="56">
        <f t="shared" si="86"/>
        <v>3.3011720036407066E-2</v>
      </c>
      <c r="W532" s="56">
        <f t="shared" si="87"/>
        <v>4.7647109410300093E-2</v>
      </c>
      <c r="X532" s="65">
        <f t="shared" si="88"/>
        <v>1.9758938039269813E-2</v>
      </c>
      <c r="Y532" s="73">
        <f t="shared" si="89"/>
        <v>1.4412624667108076E-2</v>
      </c>
    </row>
    <row r="533" spans="1:25" x14ac:dyDescent="0.25">
      <c r="A533" s="52">
        <v>44316</v>
      </c>
      <c r="B533" s="53">
        <v>36.85</v>
      </c>
      <c r="C533" s="83">
        <v>0.36609281437125751</v>
      </c>
      <c r="D533" s="53">
        <v>39</v>
      </c>
      <c r="E533" s="87">
        <v>0.38745236799129013</v>
      </c>
      <c r="F533" s="53">
        <v>35.159999999999997</v>
      </c>
      <c r="G533" s="83">
        <v>0.35044784270890222</v>
      </c>
      <c r="H533" s="55">
        <v>37.21</v>
      </c>
      <c r="I533" s="83">
        <v>0.37179441554886389</v>
      </c>
      <c r="J533" s="55">
        <v>32</v>
      </c>
      <c r="K533" s="83">
        <v>0.31765025836279581</v>
      </c>
      <c r="L533" s="53">
        <v>34.06</v>
      </c>
      <c r="M533" s="83">
        <v>0.34032028469750891</v>
      </c>
      <c r="N533" s="55">
        <v>32.950000000000003</v>
      </c>
      <c r="O533" s="83">
        <v>0.32922940049274568</v>
      </c>
      <c r="P533" s="56">
        <f t="shared" si="80"/>
        <v>1.5644971662355289E-2</v>
      </c>
      <c r="Q533" s="56">
        <f t="shared" si="81"/>
        <v>2.1359553620032612E-2</v>
      </c>
      <c r="R533" s="56">
        <f t="shared" si="82"/>
        <v>2.5772529673748601E-2</v>
      </c>
      <c r="S533" s="54">
        <f t="shared" si="83"/>
        <v>3.686341387851183E-2</v>
      </c>
      <c r="T533" s="56">
        <f t="shared" si="84"/>
        <v>5.8222967498544442E-2</v>
      </c>
      <c r="U533" s="56">
        <f t="shared" si="85"/>
        <v>2.1218442216156541E-2</v>
      </c>
      <c r="V533" s="56">
        <f t="shared" si="86"/>
        <v>3.2797584346106412E-2</v>
      </c>
      <c r="W533" s="56">
        <f t="shared" si="87"/>
        <v>4.8442556008461701E-2</v>
      </c>
      <c r="X533" s="65">
        <f t="shared" si="88"/>
        <v>2.1346572839961664E-2</v>
      </c>
      <c r="Y533" s="73">
        <f t="shared" si="89"/>
        <v>1.0127558011393312E-2</v>
      </c>
    </row>
    <row r="534" spans="1:25" x14ac:dyDescent="0.25">
      <c r="A534" s="52">
        <v>44315</v>
      </c>
      <c r="B534" s="53">
        <v>36.799999999999997</v>
      </c>
      <c r="C534" s="83">
        <v>0.36560603173739081</v>
      </c>
      <c r="D534" s="53">
        <v>39.700000000000003</v>
      </c>
      <c r="E534" s="87">
        <v>0.39441737662973952</v>
      </c>
      <c r="F534" s="53">
        <v>35.229999999999997</v>
      </c>
      <c r="G534" s="83">
        <v>0.35115034339627788</v>
      </c>
      <c r="H534" s="55">
        <v>36.75</v>
      </c>
      <c r="I534" s="83">
        <v>0.36719944976543167</v>
      </c>
      <c r="J534" s="55">
        <v>31.75</v>
      </c>
      <c r="K534" s="83">
        <v>0.31517825878545369</v>
      </c>
      <c r="L534" s="53">
        <v>33.9</v>
      </c>
      <c r="M534" s="83">
        <v>0.33872275774280641</v>
      </c>
      <c r="N534" s="55">
        <v>32.75</v>
      </c>
      <c r="O534" s="83">
        <v>0.32723216271613298</v>
      </c>
      <c r="P534" s="56">
        <f t="shared" si="80"/>
        <v>1.4455688341112938E-2</v>
      </c>
      <c r="Q534" s="56">
        <f t="shared" si="81"/>
        <v>2.8811344892348711E-2</v>
      </c>
      <c r="R534" s="56">
        <f t="shared" si="82"/>
        <v>2.68832739945844E-2</v>
      </c>
      <c r="S534" s="54">
        <f t="shared" si="83"/>
        <v>3.8373869021257834E-2</v>
      </c>
      <c r="T534" s="56">
        <f t="shared" si="84"/>
        <v>6.7185213913606545E-2</v>
      </c>
      <c r="U534" s="56">
        <f t="shared" si="85"/>
        <v>2.3918180680144896E-2</v>
      </c>
      <c r="V534" s="56">
        <f t="shared" si="86"/>
        <v>3.5972084610824184E-2</v>
      </c>
      <c r="W534" s="56">
        <f t="shared" si="87"/>
        <v>5.0427772951937122E-2</v>
      </c>
      <c r="X534" s="65">
        <f t="shared" si="88"/>
        <v>1.6049106369153798E-2</v>
      </c>
      <c r="Y534" s="73">
        <f t="shared" si="89"/>
        <v>1.2427585653471462E-2</v>
      </c>
    </row>
    <row r="535" spans="1:25" x14ac:dyDescent="0.25">
      <c r="A535" s="52">
        <v>44314</v>
      </c>
      <c r="B535" s="53">
        <v>37.25</v>
      </c>
      <c r="C535" s="83">
        <v>0.37008683107409218</v>
      </c>
      <c r="D535" s="53">
        <v>39.25</v>
      </c>
      <c r="E535" s="87">
        <v>0.38995726495726502</v>
      </c>
      <c r="F535" s="53">
        <v>35.35</v>
      </c>
      <c r="G535" s="83">
        <v>0.35235123842813842</v>
      </c>
      <c r="H535" s="55">
        <v>36.96</v>
      </c>
      <c r="I535" s="83">
        <v>0.36929899602378891</v>
      </c>
      <c r="J535" s="55">
        <v>32.200000000000003</v>
      </c>
      <c r="K535" s="83">
        <v>0.31965513255502448</v>
      </c>
      <c r="L535" s="53">
        <v>34.299999999999997</v>
      </c>
      <c r="M535" s="83">
        <v>0.34272065918874339</v>
      </c>
      <c r="N535" s="55">
        <v>33.15</v>
      </c>
      <c r="O535" s="83">
        <v>0.33123002484276509</v>
      </c>
      <c r="P535" s="56">
        <f t="shared" si="80"/>
        <v>1.7735592645953757E-2</v>
      </c>
      <c r="Q535" s="56">
        <f t="shared" si="81"/>
        <v>1.9870433883172833E-2</v>
      </c>
      <c r="R535" s="56">
        <f t="shared" si="82"/>
        <v>2.7366171885348789E-2</v>
      </c>
      <c r="S535" s="54">
        <f t="shared" si="83"/>
        <v>3.885680623132709E-2</v>
      </c>
      <c r="T535" s="56">
        <f t="shared" si="84"/>
        <v>5.8727240114499923E-2</v>
      </c>
      <c r="U535" s="56">
        <f t="shared" si="85"/>
        <v>2.1121213585373333E-2</v>
      </c>
      <c r="V535" s="56">
        <f t="shared" si="86"/>
        <v>3.2696105873113945E-2</v>
      </c>
      <c r="W535" s="56">
        <f t="shared" si="87"/>
        <v>5.0431698519067703E-2</v>
      </c>
      <c r="X535" s="65">
        <f t="shared" si="88"/>
        <v>1.6947757595650481E-2</v>
      </c>
      <c r="Y535" s="73">
        <f t="shared" si="89"/>
        <v>9.6305792393950318E-3</v>
      </c>
    </row>
    <row r="536" spans="1:25" x14ac:dyDescent="0.25">
      <c r="A536" s="52">
        <v>44313</v>
      </c>
      <c r="B536" s="53">
        <v>36.979999999999997</v>
      </c>
      <c r="C536" s="83">
        <v>0.36741432343413988</v>
      </c>
      <c r="D536" s="53">
        <v>39.4</v>
      </c>
      <c r="E536" s="87">
        <v>0.39145820290170669</v>
      </c>
      <c r="F536" s="53">
        <v>35.25</v>
      </c>
      <c r="G536" s="83">
        <v>0.35135928560700191</v>
      </c>
      <c r="H536" s="55">
        <v>37.14</v>
      </c>
      <c r="I536" s="83">
        <v>0.37109879994661871</v>
      </c>
      <c r="J536" s="55">
        <v>32.049999999999997</v>
      </c>
      <c r="K536" s="83">
        <v>0.3181757912236981</v>
      </c>
      <c r="L536" s="53">
        <v>33.9</v>
      </c>
      <c r="M536" s="83">
        <v>0.33872507588019313</v>
      </c>
      <c r="N536" s="55">
        <v>32.950000000000003</v>
      </c>
      <c r="O536" s="83">
        <v>0.32923278024343261</v>
      </c>
      <c r="P536" s="56">
        <f t="shared" si="80"/>
        <v>1.6055037827137963E-2</v>
      </c>
      <c r="Q536" s="56">
        <f t="shared" si="81"/>
        <v>2.4043879467566809E-2</v>
      </c>
      <c r="R536" s="56">
        <f t="shared" si="82"/>
        <v>2.8689247553946751E-2</v>
      </c>
      <c r="S536" s="54">
        <f t="shared" si="83"/>
        <v>3.8181543190707268E-2</v>
      </c>
      <c r="T536" s="56">
        <f t="shared" si="84"/>
        <v>6.2225422658274077E-2</v>
      </c>
      <c r="U536" s="56">
        <f t="shared" si="85"/>
        <v>2.2126505363569304E-2</v>
      </c>
      <c r="V536" s="56">
        <f t="shared" si="86"/>
        <v>3.3183494383303813E-2</v>
      </c>
      <c r="W536" s="56">
        <f t="shared" si="87"/>
        <v>4.9238532210441777E-2</v>
      </c>
      <c r="X536" s="65">
        <f t="shared" si="88"/>
        <v>1.9739514339616793E-2</v>
      </c>
      <c r="Y536" s="73">
        <f t="shared" si="89"/>
        <v>1.2634209726808787E-2</v>
      </c>
    </row>
    <row r="537" spans="1:25" x14ac:dyDescent="0.25">
      <c r="A537" s="52">
        <v>44312</v>
      </c>
      <c r="B537" s="53">
        <v>36.840000000000003</v>
      </c>
      <c r="C537" s="83">
        <v>0.36603331881533102</v>
      </c>
      <c r="D537" s="53">
        <v>39.5</v>
      </c>
      <c r="E537" s="87">
        <v>0.39246243466898961</v>
      </c>
      <c r="F537" s="53">
        <v>34.869999999999997</v>
      </c>
      <c r="G537" s="83">
        <v>0.34757632858157189</v>
      </c>
      <c r="H537" s="55">
        <v>36.85</v>
      </c>
      <c r="I537" s="83">
        <v>0.36820241174940799</v>
      </c>
      <c r="J537" s="55">
        <v>31.5</v>
      </c>
      <c r="K537" s="83">
        <v>0.31272524513470512</v>
      </c>
      <c r="L537" s="53">
        <v>33.75</v>
      </c>
      <c r="M537" s="83">
        <v>0.33722744631051621</v>
      </c>
      <c r="N537" s="55">
        <v>32.799999999999997</v>
      </c>
      <c r="O537" s="83">
        <v>0.32773511819214612</v>
      </c>
      <c r="P537" s="56">
        <f t="shared" si="80"/>
        <v>1.845699023375913E-2</v>
      </c>
      <c r="Q537" s="56">
        <f t="shared" si="81"/>
        <v>2.6429115853658591E-2</v>
      </c>
      <c r="R537" s="56">
        <f t="shared" si="82"/>
        <v>2.8805872504814811E-2</v>
      </c>
      <c r="S537" s="54">
        <f t="shared" si="83"/>
        <v>3.8298200623184897E-2</v>
      </c>
      <c r="T537" s="56">
        <f t="shared" si="84"/>
        <v>6.4727316476843488E-2</v>
      </c>
      <c r="U537" s="56">
        <f t="shared" si="85"/>
        <v>1.9841210389425767E-2</v>
      </c>
      <c r="V537" s="56">
        <f t="shared" si="86"/>
        <v>3.4851083446866771E-2</v>
      </c>
      <c r="W537" s="56">
        <f t="shared" si="87"/>
        <v>5.33080736806259E-2</v>
      </c>
      <c r="X537" s="65">
        <f t="shared" si="88"/>
        <v>2.0626083167836096E-2</v>
      </c>
      <c r="Y537" s="73">
        <f t="shared" si="89"/>
        <v>1.0348882271055682E-2</v>
      </c>
    </row>
    <row r="538" spans="1:25" x14ac:dyDescent="0.25">
      <c r="A538" s="52">
        <v>44309</v>
      </c>
      <c r="B538" s="53">
        <v>36.549999999999997</v>
      </c>
      <c r="C538" s="83">
        <v>0.36318160781858272</v>
      </c>
      <c r="D538" s="53">
        <v>39.75</v>
      </c>
      <c r="E538" s="87">
        <v>0.39497862957014129</v>
      </c>
      <c r="F538" s="53">
        <v>34.22</v>
      </c>
      <c r="G538" s="83">
        <v>0.3411112476615733</v>
      </c>
      <c r="H538" s="55">
        <v>36.659999999999997</v>
      </c>
      <c r="I538" s="83">
        <v>0.36630770652185068</v>
      </c>
      <c r="J538" s="55">
        <v>31.5</v>
      </c>
      <c r="K538" s="83">
        <v>0.31275395532766398</v>
      </c>
      <c r="L538" s="53">
        <v>33.869999999999997</v>
      </c>
      <c r="M538" s="83">
        <v>0.33842995144285548</v>
      </c>
      <c r="N538" s="55">
        <v>32.799999999999997</v>
      </c>
      <c r="O538" s="83">
        <v>0.32773848264911898</v>
      </c>
      <c r="P538" s="56">
        <f t="shared" si="80"/>
        <v>2.2070360157009417E-2</v>
      </c>
      <c r="Q538" s="56">
        <f t="shared" si="81"/>
        <v>3.1797021751558574E-2</v>
      </c>
      <c r="R538" s="56">
        <f t="shared" si="82"/>
        <v>2.4751656375727238E-2</v>
      </c>
      <c r="S538" s="54">
        <f t="shared" si="83"/>
        <v>3.5443125169463741E-2</v>
      </c>
      <c r="T538" s="56">
        <f t="shared" si="84"/>
        <v>6.7240146921022315E-2</v>
      </c>
      <c r="U538" s="56">
        <f t="shared" si="85"/>
        <v>1.3372765012454324E-2</v>
      </c>
      <c r="V538" s="56">
        <f t="shared" si="86"/>
        <v>2.8357292333909323E-2</v>
      </c>
      <c r="W538" s="56">
        <f t="shared" si="87"/>
        <v>5.042765249091874E-2</v>
      </c>
      <c r="X538" s="65">
        <f t="shared" si="88"/>
        <v>2.5196458860277382E-2</v>
      </c>
      <c r="Y538" s="73">
        <f t="shared" si="89"/>
        <v>2.6812962187178213E-3</v>
      </c>
    </row>
    <row r="539" spans="1:25" x14ac:dyDescent="0.25">
      <c r="A539" s="52">
        <v>44308</v>
      </c>
      <c r="B539" s="53">
        <v>36.6</v>
      </c>
      <c r="C539" s="83">
        <v>0.36368833714472398</v>
      </c>
      <c r="D539" s="53">
        <v>39.799999999999997</v>
      </c>
      <c r="E539" s="87">
        <v>0.39548622454535548</v>
      </c>
      <c r="F539" s="53">
        <v>34.369999999999997</v>
      </c>
      <c r="G539" s="83">
        <v>0.34261115359405719</v>
      </c>
      <c r="H539" s="55">
        <v>36.700000000000003</v>
      </c>
      <c r="I539" s="83">
        <v>0.36670864244846563</v>
      </c>
      <c r="J539" s="55">
        <v>31.16</v>
      </c>
      <c r="K539" s="83">
        <v>0.30938766627676068</v>
      </c>
      <c r="L539" s="53">
        <v>34.200000000000003</v>
      </c>
      <c r="M539" s="83">
        <v>0.34172848969312059</v>
      </c>
      <c r="N539" s="55">
        <v>33.450000000000003</v>
      </c>
      <c r="O539" s="83">
        <v>0.33423444386651702</v>
      </c>
      <c r="P539" s="56">
        <f t="shared" si="80"/>
        <v>2.1077183550666789E-2</v>
      </c>
      <c r="Q539" s="56">
        <f t="shared" si="81"/>
        <v>3.1797887400631497E-2</v>
      </c>
      <c r="R539" s="56">
        <f t="shared" si="82"/>
        <v>2.1959847451603398E-2</v>
      </c>
      <c r="S539" s="54">
        <f t="shared" si="83"/>
        <v>2.9453893278206966E-2</v>
      </c>
      <c r="T539" s="56">
        <f t="shared" si="84"/>
        <v>6.1251780678838463E-2</v>
      </c>
      <c r="U539" s="56">
        <f t="shared" si="85"/>
        <v>8.376709727540177E-3</v>
      </c>
      <c r="V539" s="56">
        <f t="shared" si="86"/>
        <v>3.3223487317296518E-2</v>
      </c>
      <c r="W539" s="56">
        <f t="shared" si="87"/>
        <v>5.4300670867963308E-2</v>
      </c>
      <c r="X539" s="65">
        <f t="shared" si="88"/>
        <v>2.4097488854408433E-2</v>
      </c>
      <c r="Y539" s="73">
        <f t="shared" si="89"/>
        <v>8.8266390093660885E-4</v>
      </c>
    </row>
    <row r="540" spans="1:25" x14ac:dyDescent="0.25">
      <c r="A540" s="52">
        <v>44307</v>
      </c>
      <c r="B540" s="53">
        <v>36.4</v>
      </c>
      <c r="C540" s="83">
        <v>0.36171081647654568</v>
      </c>
      <c r="D540" s="53">
        <v>39</v>
      </c>
      <c r="E540" s="87">
        <v>0.38754730336772752</v>
      </c>
      <c r="F540" s="53">
        <v>34.35</v>
      </c>
      <c r="G540" s="83">
        <v>0.342416462973331</v>
      </c>
      <c r="H540" s="55">
        <v>36.630000000000003</v>
      </c>
      <c r="I540" s="83">
        <v>0.36601045063665388</v>
      </c>
      <c r="J540" s="55">
        <v>30.95</v>
      </c>
      <c r="K540" s="83">
        <v>0.30731198079427641</v>
      </c>
      <c r="L540" s="53">
        <v>33.799999999999997</v>
      </c>
      <c r="M540" s="83">
        <v>0.33773282095328688</v>
      </c>
      <c r="N540" s="55">
        <v>33</v>
      </c>
      <c r="O540" s="83">
        <v>0.32973914471770621</v>
      </c>
      <c r="P540" s="56">
        <f t="shared" si="80"/>
        <v>1.9294353503214678E-2</v>
      </c>
      <c r="Q540" s="56">
        <f t="shared" si="81"/>
        <v>2.5836486891181842E-2</v>
      </c>
      <c r="R540" s="56">
        <f t="shared" si="82"/>
        <v>2.3977995523258799E-2</v>
      </c>
      <c r="S540" s="54">
        <f t="shared" si="83"/>
        <v>3.1971671758839471E-2</v>
      </c>
      <c r="T540" s="56">
        <f t="shared" si="84"/>
        <v>5.7808158650021313E-2</v>
      </c>
      <c r="U540" s="56">
        <f t="shared" si="85"/>
        <v>1.2677318255624792E-2</v>
      </c>
      <c r="V540" s="56">
        <f t="shared" si="86"/>
        <v>3.5104482179054597E-2</v>
      </c>
      <c r="W540" s="56">
        <f t="shared" si="87"/>
        <v>5.4398835682269275E-2</v>
      </c>
      <c r="X540" s="65">
        <f t="shared" si="88"/>
        <v>2.359398766332288E-2</v>
      </c>
      <c r="Y540" s="73">
        <f t="shared" si="89"/>
        <v>4.6836420200441209E-3</v>
      </c>
    </row>
    <row r="541" spans="1:25" x14ac:dyDescent="0.25">
      <c r="A541" s="52">
        <v>44306</v>
      </c>
      <c r="B541" s="53">
        <v>36.15</v>
      </c>
      <c r="C541" s="83">
        <v>0.35923631908521642</v>
      </c>
      <c r="D541" s="53">
        <v>39.35</v>
      </c>
      <c r="E541" s="87">
        <v>0.39103593792540159</v>
      </c>
      <c r="F541" s="53">
        <v>34.26</v>
      </c>
      <c r="G541" s="83">
        <v>0.34152396558787379</v>
      </c>
      <c r="H541" s="55">
        <v>36.200000000000003</v>
      </c>
      <c r="I541" s="83">
        <v>0.36171508743113312</v>
      </c>
      <c r="J541" s="55">
        <v>30.86</v>
      </c>
      <c r="K541" s="83">
        <v>0.30642772129084911</v>
      </c>
      <c r="L541" s="53">
        <v>33.65</v>
      </c>
      <c r="M541" s="83">
        <v>0.33623515723916092</v>
      </c>
      <c r="N541" s="55">
        <v>33</v>
      </c>
      <c r="O541" s="83">
        <v>0.3297402730725798</v>
      </c>
      <c r="P541" s="56">
        <f t="shared" si="80"/>
        <v>1.7712353497342626E-2</v>
      </c>
      <c r="Q541" s="56">
        <f t="shared" si="81"/>
        <v>3.1799618840185173E-2</v>
      </c>
      <c r="R541" s="56">
        <f t="shared" si="82"/>
        <v>2.3001161846055496E-2</v>
      </c>
      <c r="S541" s="54">
        <f t="shared" si="83"/>
        <v>2.9496046012636612E-2</v>
      </c>
      <c r="T541" s="56">
        <f t="shared" si="84"/>
        <v>6.1295664852821785E-2</v>
      </c>
      <c r="U541" s="56">
        <f t="shared" si="85"/>
        <v>1.1783692515293986E-2</v>
      </c>
      <c r="V541" s="56">
        <f t="shared" si="86"/>
        <v>3.5096244297024681E-2</v>
      </c>
      <c r="W541" s="56">
        <f t="shared" si="87"/>
        <v>5.2808597794367307E-2</v>
      </c>
      <c r="X541" s="65">
        <f t="shared" si="88"/>
        <v>2.019112184325933E-2</v>
      </c>
      <c r="Y541" s="73">
        <f t="shared" si="89"/>
        <v>5.2888083487128701E-3</v>
      </c>
    </row>
    <row r="542" spans="1:25" x14ac:dyDescent="0.25">
      <c r="A542" s="52">
        <v>44305</v>
      </c>
      <c r="B542" s="53">
        <v>36.200000000000003</v>
      </c>
      <c r="C542" s="83">
        <v>0.35974298238449193</v>
      </c>
      <c r="D542" s="53">
        <v>39.31</v>
      </c>
      <c r="E542" s="87">
        <v>0.39064907838492752</v>
      </c>
      <c r="F542" s="53">
        <v>34.369999999999997</v>
      </c>
      <c r="G542" s="83">
        <v>0.34262518947411541</v>
      </c>
      <c r="H542" s="55">
        <v>36.49</v>
      </c>
      <c r="I542" s="83">
        <v>0.36461405267786567</v>
      </c>
      <c r="J542" s="55">
        <v>30.8</v>
      </c>
      <c r="K542" s="83">
        <v>0.30584130503534979</v>
      </c>
      <c r="L542" s="53">
        <v>33.5</v>
      </c>
      <c r="M542" s="83">
        <v>0.33473748327510272</v>
      </c>
      <c r="N542" s="55">
        <v>33.15</v>
      </c>
      <c r="O542" s="83">
        <v>0.33124022598715391</v>
      </c>
      <c r="P542" s="56">
        <f t="shared" si="80"/>
        <v>1.7117792910376517E-2</v>
      </c>
      <c r="Q542" s="56">
        <f t="shared" si="81"/>
        <v>3.090609600043559E-2</v>
      </c>
      <c r="R542" s="56">
        <f t="shared" si="82"/>
        <v>2.5005499109389207E-2</v>
      </c>
      <c r="S542" s="54">
        <f t="shared" si="83"/>
        <v>2.8502756397338014E-2</v>
      </c>
      <c r="T542" s="56">
        <f t="shared" si="84"/>
        <v>5.9408852397773604E-2</v>
      </c>
      <c r="U542" s="56">
        <f t="shared" si="85"/>
        <v>1.1384963486961497E-2</v>
      </c>
      <c r="V542" s="56">
        <f t="shared" si="86"/>
        <v>3.6783884438765624E-2</v>
      </c>
      <c r="W542" s="56">
        <f t="shared" si="87"/>
        <v>5.3901677349142141E-2</v>
      </c>
      <c r="X542" s="65">
        <f t="shared" si="88"/>
        <v>2.1988863203750264E-2</v>
      </c>
      <c r="Y542" s="73">
        <f t="shared" si="89"/>
        <v>7.8877061990126895E-3</v>
      </c>
    </row>
    <row r="543" spans="1:25" x14ac:dyDescent="0.25">
      <c r="A543" s="52">
        <v>44302</v>
      </c>
      <c r="B543" s="53">
        <v>36.200000000000003</v>
      </c>
      <c r="C543" s="83">
        <v>0.3597723683493983</v>
      </c>
      <c r="D543" s="53">
        <v>38.909999999999997</v>
      </c>
      <c r="E543" s="87">
        <v>0.38670560365953272</v>
      </c>
      <c r="F543" s="53">
        <v>34.200000000000003</v>
      </c>
      <c r="G543" s="83">
        <v>0.34094447327451999</v>
      </c>
      <c r="H543" s="55">
        <v>36.4</v>
      </c>
      <c r="I543" s="83">
        <v>0.36371849185219662</v>
      </c>
      <c r="J543" s="55">
        <v>31</v>
      </c>
      <c r="K543" s="83">
        <v>0.30785555411959159</v>
      </c>
      <c r="L543" s="53">
        <v>33.6</v>
      </c>
      <c r="M543" s="83">
        <v>0.33574014632510463</v>
      </c>
      <c r="N543" s="55">
        <v>33.15</v>
      </c>
      <c r="O543" s="83">
        <v>0.33124362650825051</v>
      </c>
      <c r="P543" s="56">
        <f t="shared" si="80"/>
        <v>1.8827895074878309E-2</v>
      </c>
      <c r="Q543" s="56">
        <f t="shared" si="81"/>
        <v>2.6933235310134418E-2</v>
      </c>
      <c r="R543" s="56">
        <f t="shared" si="82"/>
        <v>2.403222202429367E-2</v>
      </c>
      <c r="S543" s="54">
        <f t="shared" si="83"/>
        <v>2.8528741841147787E-2</v>
      </c>
      <c r="T543" s="56">
        <f t="shared" si="84"/>
        <v>5.5461977151282205E-2</v>
      </c>
      <c r="U543" s="56">
        <f t="shared" si="85"/>
        <v>9.7008467662694775E-3</v>
      </c>
      <c r="V543" s="56">
        <f t="shared" si="86"/>
        <v>3.3088919154928398E-2</v>
      </c>
      <c r="W543" s="56">
        <f t="shared" si="87"/>
        <v>5.1916814229806707E-2</v>
      </c>
      <c r="X543" s="65">
        <f t="shared" si="88"/>
        <v>2.2774018577676636E-2</v>
      </c>
      <c r="Y543" s="73">
        <f t="shared" si="89"/>
        <v>5.204326949415361E-3</v>
      </c>
    </row>
    <row r="544" spans="1:25" x14ac:dyDescent="0.25">
      <c r="A544" s="52">
        <v>44301</v>
      </c>
      <c r="B544" s="53">
        <v>36.1</v>
      </c>
      <c r="C544" s="83">
        <v>0.35878829135466311</v>
      </c>
      <c r="D544" s="53">
        <v>39</v>
      </c>
      <c r="E544" s="87">
        <v>0.38761061946902647</v>
      </c>
      <c r="F544" s="53">
        <v>34.25</v>
      </c>
      <c r="G544" s="83">
        <v>0.34144759303516559</v>
      </c>
      <c r="H544" s="55">
        <v>35.979999999999997</v>
      </c>
      <c r="I544" s="83">
        <v>0.35952297031397029</v>
      </c>
      <c r="J544" s="55">
        <v>30.78</v>
      </c>
      <c r="K544" s="83">
        <v>0.30568012924071092</v>
      </c>
      <c r="L544" s="53">
        <v>33.5</v>
      </c>
      <c r="M544" s="83">
        <v>0.3347420651894944</v>
      </c>
      <c r="N544" s="55">
        <v>33.1</v>
      </c>
      <c r="O544" s="83">
        <v>0.33074514500812729</v>
      </c>
      <c r="P544" s="56">
        <f t="shared" si="80"/>
        <v>1.7340698319497527E-2</v>
      </c>
      <c r="Q544" s="56">
        <f t="shared" si="81"/>
        <v>2.882232811436336E-2</v>
      </c>
      <c r="R544" s="56">
        <f t="shared" si="82"/>
        <v>2.4046226165168716E-2</v>
      </c>
      <c r="S544" s="54">
        <f t="shared" si="83"/>
        <v>2.8043146346535819E-2</v>
      </c>
      <c r="T544" s="56">
        <f t="shared" si="84"/>
        <v>5.6865474460899179E-2</v>
      </c>
      <c r="U544" s="56">
        <f t="shared" si="85"/>
        <v>1.0702448027038292E-2</v>
      </c>
      <c r="V544" s="56">
        <f t="shared" si="86"/>
        <v>3.5767463794454668E-2</v>
      </c>
      <c r="W544" s="56">
        <f t="shared" si="87"/>
        <v>5.3108162113952195E-2</v>
      </c>
      <c r="X544" s="65">
        <f t="shared" si="88"/>
        <v>1.8075377278804705E-2</v>
      </c>
      <c r="Y544" s="73">
        <f t="shared" si="89"/>
        <v>6.7055278456711886E-3</v>
      </c>
    </row>
    <row r="545" spans="1:25" x14ac:dyDescent="0.25">
      <c r="A545" s="52">
        <v>44300</v>
      </c>
      <c r="B545" s="53">
        <v>36.369999999999997</v>
      </c>
      <c r="C545" s="83">
        <v>0.36148159241912642</v>
      </c>
      <c r="D545" s="53">
        <v>39.200000000000003</v>
      </c>
      <c r="E545" s="87">
        <v>0.38960897505718328</v>
      </c>
      <c r="F545" s="53">
        <v>34.57</v>
      </c>
      <c r="G545" s="83">
        <v>0.34464246695072648</v>
      </c>
      <c r="H545" s="55">
        <v>36.1</v>
      </c>
      <c r="I545" s="83">
        <v>0.36072328077091548</v>
      </c>
      <c r="J545" s="55">
        <v>30.72</v>
      </c>
      <c r="K545" s="83">
        <v>0.30509360034828042</v>
      </c>
      <c r="L545" s="53">
        <v>33.65</v>
      </c>
      <c r="M545" s="83">
        <v>0.33624206088480069</v>
      </c>
      <c r="N545" s="55">
        <v>33.479999999999997</v>
      </c>
      <c r="O545" s="83">
        <v>0.33454336399474371</v>
      </c>
      <c r="P545" s="56">
        <f t="shared" si="80"/>
        <v>1.683912546839994E-2</v>
      </c>
      <c r="Q545" s="56">
        <f t="shared" si="81"/>
        <v>2.8127382638056864E-2</v>
      </c>
      <c r="R545" s="56">
        <f t="shared" si="82"/>
        <v>2.5239531534325732E-2</v>
      </c>
      <c r="S545" s="54">
        <f t="shared" si="83"/>
        <v>2.6938228424382704E-2</v>
      </c>
      <c r="T545" s="56">
        <f t="shared" si="84"/>
        <v>5.5065611062439568E-2</v>
      </c>
      <c r="U545" s="56">
        <f t="shared" si="85"/>
        <v>1.0099102955982764E-2</v>
      </c>
      <c r="V545" s="56">
        <f t="shared" si="86"/>
        <v>3.9548866602446053E-2</v>
      </c>
      <c r="W545" s="56">
        <f t="shared" si="87"/>
        <v>5.6387992070845994E-2</v>
      </c>
      <c r="X545" s="65">
        <f t="shared" si="88"/>
        <v>1.6080813820188999E-2</v>
      </c>
      <c r="Y545" s="73">
        <f t="shared" si="89"/>
        <v>8.4004060659257918E-3</v>
      </c>
    </row>
    <row r="546" spans="1:25" x14ac:dyDescent="0.25">
      <c r="A546" s="52">
        <v>44299</v>
      </c>
      <c r="B546" s="53">
        <v>36.4</v>
      </c>
      <c r="C546" s="83">
        <v>0.36178961413827843</v>
      </c>
      <c r="D546" s="53">
        <v>39.9</v>
      </c>
      <c r="E546" s="87">
        <v>0.39657707703618977</v>
      </c>
      <c r="F546" s="53">
        <v>34.82</v>
      </c>
      <c r="G546" s="83">
        <v>0.347139559974325</v>
      </c>
      <c r="H546" s="55">
        <v>36.39</v>
      </c>
      <c r="I546" s="83">
        <v>0.36362230214596392</v>
      </c>
      <c r="J546" s="55">
        <v>30.85</v>
      </c>
      <c r="K546" s="83">
        <v>0.30639406544742132</v>
      </c>
      <c r="L546" s="53">
        <v>33.840000000000003</v>
      </c>
      <c r="M546" s="83">
        <v>0.33814176159987408</v>
      </c>
      <c r="N546" s="55">
        <v>33.5</v>
      </c>
      <c r="O546" s="83">
        <v>0.33474435619372878</v>
      </c>
      <c r="P546" s="56">
        <f t="shared" si="80"/>
        <v>1.465005416395343E-2</v>
      </c>
      <c r="Q546" s="56">
        <f t="shared" si="81"/>
        <v>3.4787462897911348E-2</v>
      </c>
      <c r="R546" s="56">
        <f t="shared" si="82"/>
        <v>2.3647852538404346E-2</v>
      </c>
      <c r="S546" s="54">
        <f t="shared" si="83"/>
        <v>2.704525794454965E-2</v>
      </c>
      <c r="T546" s="56">
        <f t="shared" si="84"/>
        <v>6.1832720842460998E-2</v>
      </c>
      <c r="U546" s="56">
        <f t="shared" si="85"/>
        <v>1.239520378059622E-2</v>
      </c>
      <c r="V546" s="56">
        <f t="shared" si="86"/>
        <v>4.0745494526903681E-2</v>
      </c>
      <c r="W546" s="56">
        <f t="shared" si="87"/>
        <v>5.539554869085711E-2</v>
      </c>
      <c r="X546" s="65">
        <f t="shared" si="88"/>
        <v>1.648274217163892E-2</v>
      </c>
      <c r="Y546" s="73">
        <f t="shared" si="89"/>
        <v>8.997798374450916E-3</v>
      </c>
    </row>
    <row r="547" spans="1:25" x14ac:dyDescent="0.25">
      <c r="A547" s="52">
        <v>44298</v>
      </c>
      <c r="B547" s="53">
        <v>36.25</v>
      </c>
      <c r="C547" s="83">
        <v>0.36030853439355148</v>
      </c>
      <c r="D547" s="53">
        <v>38.6</v>
      </c>
      <c r="E547" s="87">
        <v>0.38366646696803008</v>
      </c>
      <c r="F547" s="53">
        <v>34.65</v>
      </c>
      <c r="G547" s="83">
        <v>0.34544945508180602</v>
      </c>
      <c r="H547" s="55">
        <v>35.92</v>
      </c>
      <c r="I547" s="83">
        <v>0.35892711705484193</v>
      </c>
      <c r="J547" s="55">
        <v>30.6</v>
      </c>
      <c r="K547" s="83">
        <v>0.30392043483289011</v>
      </c>
      <c r="L547" s="53">
        <v>33.700000000000003</v>
      </c>
      <c r="M547" s="83">
        <v>0.3367439823148155</v>
      </c>
      <c r="N547" s="55">
        <v>33.5</v>
      </c>
      <c r="O547" s="83">
        <v>0.33474550170760592</v>
      </c>
      <c r="P547" s="56">
        <f t="shared" si="80"/>
        <v>1.485907931174546E-2</v>
      </c>
      <c r="Q547" s="56">
        <f t="shared" si="81"/>
        <v>2.3357932574478601E-2</v>
      </c>
      <c r="R547" s="56">
        <f t="shared" si="82"/>
        <v>2.3564552078735979E-2</v>
      </c>
      <c r="S547" s="54">
        <f t="shared" si="83"/>
        <v>2.5563032685945564E-2</v>
      </c>
      <c r="T547" s="56">
        <f t="shared" si="84"/>
        <v>4.8920965260424165E-2</v>
      </c>
      <c r="U547" s="56">
        <f t="shared" si="85"/>
        <v>1.0703953374200104E-2</v>
      </c>
      <c r="V547" s="56">
        <f t="shared" si="86"/>
        <v>4.1529020248915915E-2</v>
      </c>
      <c r="W547" s="56">
        <f t="shared" si="87"/>
        <v>5.6388099560661376E-2</v>
      </c>
      <c r="X547" s="65">
        <f t="shared" si="88"/>
        <v>1.3477661973035904E-2</v>
      </c>
      <c r="Y547" s="73">
        <f t="shared" si="89"/>
        <v>8.7054727669905185E-3</v>
      </c>
    </row>
    <row r="548" spans="1:25" x14ac:dyDescent="0.25">
      <c r="A548" s="52">
        <v>44295</v>
      </c>
      <c r="B548" s="53">
        <v>35.619999999999997</v>
      </c>
      <c r="C548" s="83">
        <v>0.35407554671968189</v>
      </c>
      <c r="D548" s="53">
        <v>37.770000000000003</v>
      </c>
      <c r="E548" s="87">
        <v>0.37544731610337978</v>
      </c>
      <c r="F548" s="53">
        <v>34.18</v>
      </c>
      <c r="G548" s="83">
        <v>0.34077766699900303</v>
      </c>
      <c r="H548" s="55">
        <v>35.15</v>
      </c>
      <c r="I548" s="83">
        <v>0.35123657257057211</v>
      </c>
      <c r="J548" s="55">
        <v>30.19</v>
      </c>
      <c r="K548" s="83">
        <v>0.2998758380928731</v>
      </c>
      <c r="L548" s="53">
        <v>33.1</v>
      </c>
      <c r="M548" s="83">
        <v>0.33075193604796399</v>
      </c>
      <c r="N548" s="55">
        <v>33.130000000000003</v>
      </c>
      <c r="O548" s="83">
        <v>0.33105171121658761</v>
      </c>
      <c r="P548" s="56">
        <f t="shared" si="80"/>
        <v>1.3297879720678862E-2</v>
      </c>
      <c r="Q548" s="56">
        <f t="shared" si="81"/>
        <v>2.1371769383697892E-2</v>
      </c>
      <c r="R548" s="56">
        <f t="shared" si="82"/>
        <v>2.3323610671717898E-2</v>
      </c>
      <c r="S548" s="54">
        <f t="shared" si="83"/>
        <v>2.3023835503094281E-2</v>
      </c>
      <c r="T548" s="56">
        <f t="shared" si="84"/>
        <v>4.4395604886792173E-2</v>
      </c>
      <c r="U548" s="56">
        <f t="shared" si="85"/>
        <v>9.7259557824154186E-3</v>
      </c>
      <c r="V548" s="56">
        <f t="shared" si="86"/>
        <v>4.0901828906129922E-2</v>
      </c>
      <c r="W548" s="56">
        <f t="shared" si="87"/>
        <v>5.4199708626808785E-2</v>
      </c>
      <c r="X548" s="65">
        <f t="shared" si="88"/>
        <v>1.0458905571569088E-2</v>
      </c>
      <c r="Y548" s="73">
        <f t="shared" si="89"/>
        <v>1.0025730951039036E-2</v>
      </c>
    </row>
    <row r="549" spans="1:25" x14ac:dyDescent="0.25">
      <c r="A549" s="52">
        <v>44294</v>
      </c>
      <c r="B549" s="53">
        <v>35.880000000000003</v>
      </c>
      <c r="C549" s="83">
        <v>0.35666975325453459</v>
      </c>
      <c r="D549" s="53">
        <v>37.51</v>
      </c>
      <c r="E549" s="87">
        <v>0.37287297783103651</v>
      </c>
      <c r="F549" s="53">
        <v>34.39</v>
      </c>
      <c r="G549" s="83">
        <v>0.34287606872626952</v>
      </c>
      <c r="H549" s="55">
        <v>35.380000000000003</v>
      </c>
      <c r="I549" s="83">
        <v>0.35353605869590521</v>
      </c>
      <c r="J549" s="55">
        <v>30.4</v>
      </c>
      <c r="K549" s="83">
        <v>0.30197100305481661</v>
      </c>
      <c r="L549" s="53">
        <v>33.31</v>
      </c>
      <c r="M549" s="83">
        <v>0.33285150127644431</v>
      </c>
      <c r="N549" s="55">
        <v>33.1</v>
      </c>
      <c r="O549" s="83">
        <v>0.33075306791504971</v>
      </c>
      <c r="P549" s="56">
        <f t="shared" si="80"/>
        <v>1.3793684528265071E-2</v>
      </c>
      <c r="Q549" s="56">
        <f t="shared" si="81"/>
        <v>1.6203224576501918E-2</v>
      </c>
      <c r="R549" s="56">
        <f t="shared" si="82"/>
        <v>2.3818251978090288E-2</v>
      </c>
      <c r="S549" s="54">
        <f t="shared" si="83"/>
        <v>2.591668533948488E-2</v>
      </c>
      <c r="T549" s="56">
        <f t="shared" si="84"/>
        <v>4.2119909915986797E-2</v>
      </c>
      <c r="U549" s="56">
        <f t="shared" si="85"/>
        <v>1.2123000811219808E-2</v>
      </c>
      <c r="V549" s="56">
        <f t="shared" si="86"/>
        <v>4.0905065671452912E-2</v>
      </c>
      <c r="W549" s="56">
        <f t="shared" si="87"/>
        <v>5.4698750199717983E-2</v>
      </c>
      <c r="X549" s="65">
        <f t="shared" si="88"/>
        <v>1.0659989969635686E-2</v>
      </c>
      <c r="Y549" s="73">
        <f t="shared" si="89"/>
        <v>1.0024567449825217E-2</v>
      </c>
    </row>
    <row r="550" spans="1:25" x14ac:dyDescent="0.25">
      <c r="A550" s="52">
        <v>44293</v>
      </c>
      <c r="B550" s="53">
        <v>35.79</v>
      </c>
      <c r="C550" s="83">
        <v>0.35578478633875321</v>
      </c>
      <c r="D550" s="53">
        <v>37.9</v>
      </c>
      <c r="E550" s="87">
        <v>0.37676008388484888</v>
      </c>
      <c r="F550" s="53">
        <v>34.57</v>
      </c>
      <c r="G550" s="83">
        <v>0.34467541691137299</v>
      </c>
      <c r="H550" s="55">
        <v>35.29</v>
      </c>
      <c r="I550" s="83">
        <v>0.35263793687567802</v>
      </c>
      <c r="J550" s="55">
        <v>30.36</v>
      </c>
      <c r="K550" s="83">
        <v>0.30158290611084082</v>
      </c>
      <c r="L550" s="53">
        <v>32.42</v>
      </c>
      <c r="M550" s="83">
        <v>0.32395924946187249</v>
      </c>
      <c r="N550" s="55">
        <v>33.200000000000003</v>
      </c>
      <c r="O550" s="83">
        <v>0.33175345719106009</v>
      </c>
      <c r="P550" s="56">
        <f t="shared" si="80"/>
        <v>1.1109369427380222E-2</v>
      </c>
      <c r="Q550" s="56">
        <f t="shared" si="81"/>
        <v>2.0975297546095673E-2</v>
      </c>
      <c r="R550" s="56">
        <f t="shared" si="82"/>
        <v>3.1825536876880722E-2</v>
      </c>
      <c r="S550" s="54">
        <f t="shared" si="83"/>
        <v>2.4031329147693126E-2</v>
      </c>
      <c r="T550" s="56">
        <f t="shared" si="84"/>
        <v>4.5006626693788798E-2</v>
      </c>
      <c r="U550" s="56">
        <f t="shared" si="85"/>
        <v>1.2921959720312903E-2</v>
      </c>
      <c r="V550" s="56">
        <f t="shared" si="86"/>
        <v>4.3092510800532169E-2</v>
      </c>
      <c r="W550" s="56">
        <f t="shared" si="87"/>
        <v>5.4201880227912391E-2</v>
      </c>
      <c r="X550" s="65">
        <f t="shared" si="88"/>
        <v>7.962519964305026E-3</v>
      </c>
      <c r="Y550" s="73">
        <f t="shared" si="89"/>
        <v>2.07161674495005E-2</v>
      </c>
    </row>
    <row r="551" spans="1:25" x14ac:dyDescent="0.25">
      <c r="A551" s="52">
        <v>44292</v>
      </c>
      <c r="B551" s="53">
        <v>35.9</v>
      </c>
      <c r="C551" s="83">
        <v>0.35688800522932779</v>
      </c>
      <c r="D551" s="53">
        <v>38.700000000000003</v>
      </c>
      <c r="E551" s="87">
        <v>0.384723281403203</v>
      </c>
      <c r="F551" s="53">
        <v>34.630000000000003</v>
      </c>
      <c r="G551" s="83">
        <v>0.345278354458042</v>
      </c>
      <c r="H551" s="55">
        <v>35.4</v>
      </c>
      <c r="I551" s="83">
        <v>0.35373833055000409</v>
      </c>
      <c r="J551" s="55">
        <v>30.5</v>
      </c>
      <c r="K551" s="83">
        <v>0.30298288109299731</v>
      </c>
      <c r="L551" s="53">
        <v>33.700000000000003</v>
      </c>
      <c r="M551" s="83">
        <v>0.33675089659703777</v>
      </c>
      <c r="N551" s="55">
        <v>33</v>
      </c>
      <c r="O551" s="83">
        <v>0.32975607085169872</v>
      </c>
      <c r="P551" s="56">
        <f t="shared" si="80"/>
        <v>1.1609650771285784E-2</v>
      </c>
      <c r="Q551" s="56">
        <f t="shared" si="81"/>
        <v>2.7835276173875212E-2</v>
      </c>
      <c r="R551" s="56">
        <f t="shared" si="82"/>
        <v>2.0137108632290013E-2</v>
      </c>
      <c r="S551" s="54">
        <f t="shared" si="83"/>
        <v>2.7131934377629063E-2</v>
      </c>
      <c r="T551" s="56">
        <f t="shared" si="84"/>
        <v>5.4967210551504275E-2</v>
      </c>
      <c r="U551" s="56">
        <f t="shared" si="85"/>
        <v>1.5522283606343279E-2</v>
      </c>
      <c r="V551" s="56">
        <f t="shared" si="86"/>
        <v>4.2295473365044689E-2</v>
      </c>
      <c r="W551" s="56">
        <f t="shared" si="87"/>
        <v>5.3905124136330473E-2</v>
      </c>
      <c r="X551" s="65">
        <f t="shared" si="88"/>
        <v>8.4599760919620848E-3</v>
      </c>
      <c r="Y551" s="73">
        <f t="shared" si="89"/>
        <v>8.5274578610042284E-3</v>
      </c>
    </row>
    <row r="552" spans="1:25" x14ac:dyDescent="0.25">
      <c r="A552" s="52">
        <v>44291</v>
      </c>
      <c r="B552" s="53">
        <v>36.159999999999997</v>
      </c>
      <c r="C552" s="83">
        <v>0.35948250034046031</v>
      </c>
      <c r="D552" s="53">
        <v>38.840000000000003</v>
      </c>
      <c r="E552" s="87">
        <v>0.38612556175949891</v>
      </c>
      <c r="F552" s="53">
        <v>34.85</v>
      </c>
      <c r="G552" s="83">
        <v>0.34747660998429292</v>
      </c>
      <c r="H552" s="55">
        <v>35.35</v>
      </c>
      <c r="I552" s="83">
        <v>0.35323990897113428</v>
      </c>
      <c r="J552" s="55">
        <v>30.6</v>
      </c>
      <c r="K552" s="83">
        <v>0.30398557504210122</v>
      </c>
      <c r="L552" s="53">
        <v>33.9</v>
      </c>
      <c r="M552" s="83">
        <v>0.33875057748575532</v>
      </c>
      <c r="N552" s="55">
        <v>33.25</v>
      </c>
      <c r="O552" s="83">
        <v>0.3322553599233441</v>
      </c>
      <c r="P552" s="56">
        <f t="shared" si="80"/>
        <v>1.2005890356167392E-2</v>
      </c>
      <c r="Q552" s="56">
        <f t="shared" si="81"/>
        <v>2.6643061419038605E-2</v>
      </c>
      <c r="R552" s="56">
        <f t="shared" si="82"/>
        <v>2.0731922854704987E-2</v>
      </c>
      <c r="S552" s="54">
        <f t="shared" si="83"/>
        <v>2.7227140417116213E-2</v>
      </c>
      <c r="T552" s="56">
        <f t="shared" si="84"/>
        <v>5.3870201836154818E-2</v>
      </c>
      <c r="U552" s="56">
        <f t="shared" si="85"/>
        <v>1.5221250060948821E-2</v>
      </c>
      <c r="V552" s="56">
        <f t="shared" si="86"/>
        <v>4.3491034942191698E-2</v>
      </c>
      <c r="W552" s="56">
        <f t="shared" si="87"/>
        <v>5.549692529835909E-2</v>
      </c>
      <c r="X552" s="65">
        <f t="shared" si="88"/>
        <v>5.7632989868413587E-3</v>
      </c>
      <c r="Y552" s="73">
        <f t="shared" si="89"/>
        <v>8.7260324985375948E-3</v>
      </c>
    </row>
    <row r="553" spans="1:25" x14ac:dyDescent="0.25">
      <c r="A553" s="52">
        <v>44286</v>
      </c>
      <c r="B553" s="53">
        <v>36</v>
      </c>
      <c r="C553" s="83">
        <v>0.35794061563606638</v>
      </c>
      <c r="D553" s="53">
        <v>38.85</v>
      </c>
      <c r="E553" s="87">
        <v>0.3862775810405884</v>
      </c>
      <c r="F553" s="53">
        <v>34.049999999999997</v>
      </c>
      <c r="G553" s="83">
        <v>0.33952328916814639</v>
      </c>
      <c r="H553" s="55">
        <v>35.01</v>
      </c>
      <c r="I553" s="83">
        <v>0.34984839670100271</v>
      </c>
      <c r="J553" s="55">
        <v>30.49</v>
      </c>
      <c r="K553" s="83">
        <v>0.30293919493688121</v>
      </c>
      <c r="L553" s="53">
        <v>33.9</v>
      </c>
      <c r="M553" s="83">
        <v>0.33875637384073098</v>
      </c>
      <c r="N553" s="55">
        <v>33.549999999999997</v>
      </c>
      <c r="O553" s="83">
        <v>0.33525888915505969</v>
      </c>
      <c r="P553" s="56">
        <f t="shared" si="80"/>
        <v>1.8417326467919992E-2</v>
      </c>
      <c r="Q553" s="56">
        <f t="shared" si="81"/>
        <v>2.8336965404522019E-2</v>
      </c>
      <c r="R553" s="56">
        <f t="shared" si="82"/>
        <v>1.9184241795335399E-2</v>
      </c>
      <c r="S553" s="54">
        <f t="shared" si="83"/>
        <v>2.2681726481006692E-2</v>
      </c>
      <c r="T553" s="56">
        <f t="shared" si="84"/>
        <v>5.1018691885528711E-2</v>
      </c>
      <c r="U553" s="56">
        <f t="shared" si="85"/>
        <v>4.2644000130866999E-3</v>
      </c>
      <c r="V553" s="56">
        <f t="shared" si="86"/>
        <v>3.6584094231265185E-2</v>
      </c>
      <c r="W553" s="56">
        <f t="shared" si="87"/>
        <v>5.5001420699185177E-2</v>
      </c>
      <c r="X553" s="65">
        <f t="shared" si="88"/>
        <v>1.0325107532856315E-2</v>
      </c>
      <c r="Y553" s="73">
        <f t="shared" si="89"/>
        <v>7.6691532741540724E-4</v>
      </c>
    </row>
    <row r="554" spans="1:25" x14ac:dyDescent="0.25">
      <c r="A554" s="52">
        <v>44285</v>
      </c>
      <c r="B554" s="53">
        <v>35.799999999999997</v>
      </c>
      <c r="C554" s="83">
        <v>0.35596175324852208</v>
      </c>
      <c r="D554" s="53">
        <v>38.1</v>
      </c>
      <c r="E554" s="87">
        <v>0.37883080443487982</v>
      </c>
      <c r="F554" s="53">
        <v>34.29</v>
      </c>
      <c r="G554" s="83">
        <v>0.34192107527762983</v>
      </c>
      <c r="H554" s="55">
        <v>35.090000000000003</v>
      </c>
      <c r="I554" s="83">
        <v>0.35064902176182122</v>
      </c>
      <c r="J554" s="55">
        <v>30.69</v>
      </c>
      <c r="K554" s="83">
        <v>0.30493567124108062</v>
      </c>
      <c r="L554" s="53">
        <v>34</v>
      </c>
      <c r="M554" s="83">
        <v>0.33975681789404161</v>
      </c>
      <c r="N554" s="55">
        <v>33.9</v>
      </c>
      <c r="O554" s="83">
        <v>0.3387575331355297</v>
      </c>
      <c r="P554" s="56">
        <f t="shared" si="80"/>
        <v>1.4040677970892257E-2</v>
      </c>
      <c r="Q554" s="56">
        <f t="shared" si="81"/>
        <v>2.2869051186357736E-2</v>
      </c>
      <c r="R554" s="56">
        <f t="shared" si="82"/>
        <v>1.6204935354480476E-2</v>
      </c>
      <c r="S554" s="54">
        <f t="shared" si="83"/>
        <v>1.7204220112992386E-2</v>
      </c>
      <c r="T554" s="56">
        <f t="shared" si="84"/>
        <v>4.0073271299350122E-2</v>
      </c>
      <c r="U554" s="56">
        <f t="shared" si="85"/>
        <v>3.1635421421001286E-3</v>
      </c>
      <c r="V554" s="56">
        <f t="shared" si="86"/>
        <v>3.6985404036549208E-2</v>
      </c>
      <c r="W554" s="56">
        <f t="shared" si="87"/>
        <v>5.1026082007441464E-2</v>
      </c>
      <c r="X554" s="65">
        <f t="shared" si="88"/>
        <v>8.7279464841913956E-3</v>
      </c>
      <c r="Y554" s="73">
        <f t="shared" si="89"/>
        <v>2.1642573835882195E-3</v>
      </c>
    </row>
    <row r="555" spans="1:25" x14ac:dyDescent="0.25">
      <c r="A555" s="52">
        <v>44284</v>
      </c>
      <c r="B555" s="53">
        <v>36.18</v>
      </c>
      <c r="C555" s="83">
        <v>0.35974991827394581</v>
      </c>
      <c r="D555" s="53">
        <v>38.11</v>
      </c>
      <c r="E555" s="87">
        <v>0.37894055791653047</v>
      </c>
      <c r="F555" s="53">
        <v>34.67</v>
      </c>
      <c r="G555" s="83">
        <v>0.34571494918588141</v>
      </c>
      <c r="H555" s="55">
        <v>35.65</v>
      </c>
      <c r="I555" s="83">
        <v>0.35624623555823248</v>
      </c>
      <c r="J555" s="55">
        <v>30.81</v>
      </c>
      <c r="K555" s="83">
        <v>0.3061373659280231</v>
      </c>
      <c r="L555" s="53">
        <v>34.31</v>
      </c>
      <c r="M555" s="83">
        <v>0.3428557739692274</v>
      </c>
      <c r="N555" s="55">
        <v>33.799999999999997</v>
      </c>
      <c r="O555" s="83">
        <v>0.33775940425997919</v>
      </c>
      <c r="P555" s="56">
        <f t="shared" si="80"/>
        <v>1.4034969088064397E-2</v>
      </c>
      <c r="Q555" s="56">
        <f t="shared" si="81"/>
        <v>1.9190639642584661E-2</v>
      </c>
      <c r="R555" s="56">
        <f t="shared" si="82"/>
        <v>1.6894144304718417E-2</v>
      </c>
      <c r="S555" s="54">
        <f t="shared" si="83"/>
        <v>2.1990514013966622E-2</v>
      </c>
      <c r="T555" s="56">
        <f t="shared" si="84"/>
        <v>4.1181153656551284E-2</v>
      </c>
      <c r="U555" s="56">
        <f t="shared" si="85"/>
        <v>7.9555449259022248E-3</v>
      </c>
      <c r="V555" s="56">
        <f t="shared" si="86"/>
        <v>3.9577583257858318E-2</v>
      </c>
      <c r="W555" s="56">
        <f t="shared" si="87"/>
        <v>5.3612552345922715E-2</v>
      </c>
      <c r="X555" s="65">
        <f t="shared" si="88"/>
        <v>1.0531286372351067E-2</v>
      </c>
      <c r="Y555" s="73">
        <f t="shared" si="89"/>
        <v>2.8591752166540196E-3</v>
      </c>
    </row>
    <row r="556" spans="1:25" x14ac:dyDescent="0.25">
      <c r="A556" s="52">
        <v>44281</v>
      </c>
      <c r="B556" s="53">
        <v>36.5</v>
      </c>
      <c r="C556" s="83">
        <v>0.36296144939381558</v>
      </c>
      <c r="D556" s="53">
        <v>39.1</v>
      </c>
      <c r="E556" s="87">
        <v>0.38881623756981343</v>
      </c>
      <c r="F556" s="53">
        <v>35.32</v>
      </c>
      <c r="G556" s="83">
        <v>0.35221091455501669</v>
      </c>
      <c r="H556" s="55">
        <v>36.21</v>
      </c>
      <c r="I556" s="83">
        <v>0.36184596430588117</v>
      </c>
      <c r="J556" s="55">
        <v>31.2</v>
      </c>
      <c r="K556" s="83">
        <v>0.31004100801442941</v>
      </c>
      <c r="L556" s="53">
        <v>34.74</v>
      </c>
      <c r="M556" s="83">
        <v>0.34715627727109388</v>
      </c>
      <c r="N556" s="55">
        <v>34.35</v>
      </c>
      <c r="O556" s="83">
        <v>0.34325901336390552</v>
      </c>
      <c r="P556" s="56">
        <f t="shared" si="80"/>
        <v>1.0750534838798897E-2</v>
      </c>
      <c r="Q556" s="56">
        <f t="shared" si="81"/>
        <v>2.5854788175997845E-2</v>
      </c>
      <c r="R556" s="56">
        <f t="shared" si="82"/>
        <v>1.58051721227217E-2</v>
      </c>
      <c r="S556" s="54">
        <f t="shared" si="83"/>
        <v>1.9702436029910064E-2</v>
      </c>
      <c r="T556" s="56">
        <f t="shared" si="84"/>
        <v>4.5557224205907909E-2</v>
      </c>
      <c r="U556" s="56">
        <f t="shared" si="85"/>
        <v>8.9519011911111668E-3</v>
      </c>
      <c r="V556" s="56">
        <f t="shared" si="86"/>
        <v>4.2169906540587276E-2</v>
      </c>
      <c r="W556" s="56">
        <f t="shared" si="87"/>
        <v>5.2920441379386174E-2</v>
      </c>
      <c r="X556" s="65">
        <f t="shared" si="88"/>
        <v>9.6350497508644883E-3</v>
      </c>
      <c r="Y556" s="73">
        <f t="shared" si="89"/>
        <v>5.0546372839228026E-3</v>
      </c>
    </row>
    <row r="557" spans="1:25" x14ac:dyDescent="0.25">
      <c r="A557" s="52">
        <v>44280</v>
      </c>
      <c r="B557" s="53">
        <v>36.4</v>
      </c>
      <c r="C557" s="83">
        <v>0.36197689625108981</v>
      </c>
      <c r="D557" s="53">
        <v>38.81</v>
      </c>
      <c r="E557" s="87">
        <v>0.38594294899738452</v>
      </c>
      <c r="F557" s="53">
        <v>35.33</v>
      </c>
      <c r="G557" s="83">
        <v>0.35231544724331998</v>
      </c>
      <c r="H557" s="55">
        <v>36.299999999999997</v>
      </c>
      <c r="I557" s="83">
        <v>0.36274657431109769</v>
      </c>
      <c r="J557" s="55">
        <v>31.51</v>
      </c>
      <c r="K557" s="83">
        <v>0.31313113437427681</v>
      </c>
      <c r="L557" s="53">
        <v>34.799999999999997</v>
      </c>
      <c r="M557" s="83">
        <v>0.34775704644700273</v>
      </c>
      <c r="N557" s="55">
        <v>34.6</v>
      </c>
      <c r="O557" s="83">
        <v>0.34575844273179013</v>
      </c>
      <c r="P557" s="56">
        <f t="shared" si="80"/>
        <v>9.661449007769829E-3</v>
      </c>
      <c r="Q557" s="56">
        <f t="shared" si="81"/>
        <v>2.3966052746294708E-2</v>
      </c>
      <c r="R557" s="56">
        <f t="shared" si="82"/>
        <v>1.4219849804087081E-2</v>
      </c>
      <c r="S557" s="54">
        <f t="shared" si="83"/>
        <v>1.621845351929968E-2</v>
      </c>
      <c r="T557" s="56">
        <f t="shared" si="84"/>
        <v>4.0184506265594389E-2</v>
      </c>
      <c r="U557" s="56">
        <f t="shared" si="85"/>
        <v>6.5570045115298514E-3</v>
      </c>
      <c r="V557" s="56">
        <f t="shared" si="86"/>
        <v>3.918431286904317E-2</v>
      </c>
      <c r="W557" s="56">
        <f t="shared" si="87"/>
        <v>4.8845761876812999E-2</v>
      </c>
      <c r="X557" s="65">
        <f t="shared" si="88"/>
        <v>1.0431127067777712E-2</v>
      </c>
      <c r="Y557" s="73">
        <f t="shared" si="89"/>
        <v>4.5584007963172524E-3</v>
      </c>
    </row>
    <row r="558" spans="1:25" x14ac:dyDescent="0.25">
      <c r="A558" s="52">
        <v>44278</v>
      </c>
      <c r="B558" s="53">
        <v>37.25</v>
      </c>
      <c r="C558" s="83">
        <v>0.37044983924581759</v>
      </c>
      <c r="D558" s="53">
        <v>40</v>
      </c>
      <c r="E558" s="87">
        <v>0.39779848509617999</v>
      </c>
      <c r="F558" s="53">
        <v>36</v>
      </c>
      <c r="G558" s="83">
        <v>0.35900658451954859</v>
      </c>
      <c r="H558" s="55">
        <v>37.08</v>
      </c>
      <c r="I558" s="83">
        <v>0.37054366499887059</v>
      </c>
      <c r="J558" s="55">
        <v>32.74</v>
      </c>
      <c r="K558" s="83">
        <v>0.32537421124641791</v>
      </c>
      <c r="L558" s="53">
        <v>35.32</v>
      </c>
      <c r="M558" s="83">
        <v>0.35295583192449059</v>
      </c>
      <c r="N558" s="55">
        <v>35.25</v>
      </c>
      <c r="O558" s="83">
        <v>0.35225631583630501</v>
      </c>
      <c r="P558" s="56">
        <f t="shared" si="80"/>
        <v>1.1443254726269003E-2</v>
      </c>
      <c r="Q558" s="56">
        <f t="shared" si="81"/>
        <v>2.7348645850362396E-2</v>
      </c>
      <c r="R558" s="56">
        <f t="shared" si="82"/>
        <v>1.7494007321326999E-2</v>
      </c>
      <c r="S558" s="54">
        <f t="shared" si="83"/>
        <v>1.819352340951258E-2</v>
      </c>
      <c r="T558" s="56">
        <f t="shared" si="84"/>
        <v>4.5542169259874976E-2</v>
      </c>
      <c r="U558" s="56">
        <f t="shared" si="85"/>
        <v>6.7502686832435765E-3</v>
      </c>
      <c r="V558" s="56">
        <f t="shared" si="86"/>
        <v>3.3632373273130678E-2</v>
      </c>
      <c r="W558" s="56">
        <f t="shared" si="87"/>
        <v>4.5075627999399681E-2</v>
      </c>
      <c r="X558" s="65">
        <f t="shared" si="88"/>
        <v>1.1537080479322004E-2</v>
      </c>
      <c r="Y558" s="73">
        <f t="shared" si="89"/>
        <v>6.0507525950579955E-3</v>
      </c>
    </row>
    <row r="559" spans="1:25" x14ac:dyDescent="0.25">
      <c r="A559" s="52">
        <v>44277</v>
      </c>
      <c r="B559" s="53">
        <v>37.549999999999997</v>
      </c>
      <c r="C559" s="83">
        <v>0.37344350290182832</v>
      </c>
      <c r="D559" s="53">
        <v>40</v>
      </c>
      <c r="E559" s="87">
        <v>0.39780932399662128</v>
      </c>
      <c r="F559" s="53">
        <v>36.409999999999997</v>
      </c>
      <c r="G559" s="83">
        <v>0.36310023087116289</v>
      </c>
      <c r="H559" s="55">
        <v>37.549999999999997</v>
      </c>
      <c r="I559" s="83">
        <v>0.37524170006262808</v>
      </c>
      <c r="J559" s="55">
        <v>32.75</v>
      </c>
      <c r="K559" s="83">
        <v>0.32548356245043553</v>
      </c>
      <c r="L559" s="53">
        <v>35.299999999999997</v>
      </c>
      <c r="M559" s="83">
        <v>0.35275717742239071</v>
      </c>
      <c r="N559" s="55">
        <v>34.85</v>
      </c>
      <c r="O559" s="83">
        <v>0.3482602728943433</v>
      </c>
      <c r="P559" s="56">
        <f t="shared" si="80"/>
        <v>1.0343272030665429E-2</v>
      </c>
      <c r="Q559" s="56">
        <f t="shared" si="81"/>
        <v>2.4365821094792961E-2</v>
      </c>
      <c r="R559" s="56">
        <f t="shared" si="82"/>
        <v>2.0686325479437606E-2</v>
      </c>
      <c r="S559" s="54">
        <f t="shared" si="83"/>
        <v>2.5183230007485014E-2</v>
      </c>
      <c r="T559" s="56">
        <f t="shared" si="84"/>
        <v>4.9549051102277974E-2</v>
      </c>
      <c r="U559" s="56">
        <f t="shared" si="85"/>
        <v>1.4839957976819584E-2</v>
      </c>
      <c r="V559" s="56">
        <f t="shared" si="86"/>
        <v>3.7616668420727362E-2</v>
      </c>
      <c r="W559" s="56">
        <f t="shared" si="87"/>
        <v>4.7959940451392791E-2</v>
      </c>
      <c r="X559" s="65">
        <f t="shared" si="88"/>
        <v>1.2141469191465193E-2</v>
      </c>
      <c r="Y559" s="73">
        <f t="shared" si="89"/>
        <v>1.0343053448772177E-2</v>
      </c>
    </row>
    <row r="560" spans="1:25" x14ac:dyDescent="0.25">
      <c r="A560" s="52">
        <v>44274</v>
      </c>
      <c r="B560" s="53">
        <v>37</v>
      </c>
      <c r="C560" s="83">
        <v>0.36800370592402848</v>
      </c>
      <c r="D560" s="53">
        <v>39.6</v>
      </c>
      <c r="E560" s="87">
        <v>0.39386342579977113</v>
      </c>
      <c r="F560" s="53">
        <v>35.92</v>
      </c>
      <c r="G560" s="83">
        <v>0.35822836689527038</v>
      </c>
      <c r="H560" s="55">
        <v>36.950000000000003</v>
      </c>
      <c r="I560" s="83">
        <v>0.36924961840943471</v>
      </c>
      <c r="J560" s="55">
        <v>32.159999999999997</v>
      </c>
      <c r="K560" s="83">
        <v>0.31964926373977981</v>
      </c>
      <c r="L560" s="53">
        <v>34.450000000000003</v>
      </c>
      <c r="M560" s="83">
        <v>0.34426655897713199</v>
      </c>
      <c r="N560" s="55">
        <v>34.25</v>
      </c>
      <c r="O560" s="83">
        <v>0.34226791422254771</v>
      </c>
      <c r="P560" s="56">
        <f t="shared" si="80"/>
        <v>9.775339028758101E-3</v>
      </c>
      <c r="Q560" s="56">
        <f t="shared" si="81"/>
        <v>2.5859719875742648E-2</v>
      </c>
      <c r="R560" s="56">
        <f t="shared" si="82"/>
        <v>2.3737146946896492E-2</v>
      </c>
      <c r="S560" s="54">
        <f t="shared" si="83"/>
        <v>2.573579170148077E-2</v>
      </c>
      <c r="T560" s="56">
        <f t="shared" si="84"/>
        <v>5.1595511577223419E-2</v>
      </c>
      <c r="U560" s="56">
        <f t="shared" si="85"/>
        <v>1.5960452672722669E-2</v>
      </c>
      <c r="V560" s="56">
        <f t="shared" si="86"/>
        <v>3.8579103155490568E-2</v>
      </c>
      <c r="W560" s="56">
        <f t="shared" si="87"/>
        <v>4.8354442184248669E-2</v>
      </c>
      <c r="X560" s="65">
        <f t="shared" si="88"/>
        <v>1.1021251514164332E-2</v>
      </c>
      <c r="Y560" s="73">
        <f t="shared" si="89"/>
        <v>1.3961807918138391E-2</v>
      </c>
    </row>
    <row r="561" spans="1:25" x14ac:dyDescent="0.25">
      <c r="A561" s="52">
        <v>44273</v>
      </c>
      <c r="B561" s="53">
        <v>36.72</v>
      </c>
      <c r="C561" s="83">
        <v>0.3652287652941657</v>
      </c>
      <c r="D561" s="53">
        <v>39.79</v>
      </c>
      <c r="E561" s="87">
        <v>0.39576395890672261</v>
      </c>
      <c r="F561" s="53">
        <v>35.82</v>
      </c>
      <c r="G561" s="83">
        <v>0.35723595229312682</v>
      </c>
      <c r="H561" s="55">
        <v>36.61</v>
      </c>
      <c r="I561" s="83">
        <v>0.36585317439946341</v>
      </c>
      <c r="J561" s="55">
        <v>31.6</v>
      </c>
      <c r="K561" s="83">
        <v>0.31409285400632458</v>
      </c>
      <c r="L561" s="53">
        <v>33.92</v>
      </c>
      <c r="M561" s="83">
        <v>0.33897131045151052</v>
      </c>
      <c r="N561" s="55">
        <v>33.950000000000003</v>
      </c>
      <c r="O561" s="83">
        <v>0.33927110819070699</v>
      </c>
      <c r="P561" s="56">
        <f t="shared" si="80"/>
        <v>7.9928130010388787E-3</v>
      </c>
      <c r="Q561" s="56">
        <f t="shared" si="81"/>
        <v>3.053519361255691E-2</v>
      </c>
      <c r="R561" s="56">
        <f t="shared" si="82"/>
        <v>2.6257454842655181E-2</v>
      </c>
      <c r="S561" s="54">
        <f t="shared" si="83"/>
        <v>2.5957657103458709E-2</v>
      </c>
      <c r="T561" s="56">
        <f t="shared" si="84"/>
        <v>5.6492850716015619E-2</v>
      </c>
      <c r="U561" s="56">
        <f t="shared" si="85"/>
        <v>1.796484410241983E-2</v>
      </c>
      <c r="V561" s="56">
        <f t="shared" si="86"/>
        <v>4.3143098286802239E-2</v>
      </c>
      <c r="W561" s="56">
        <f t="shared" si="87"/>
        <v>5.1135911287841118E-2</v>
      </c>
      <c r="X561" s="65">
        <f t="shared" si="88"/>
        <v>8.6172221063365861E-3</v>
      </c>
      <c r="Y561" s="73">
        <f t="shared" si="89"/>
        <v>1.8264641841616303E-2</v>
      </c>
    </row>
    <row r="562" spans="1:25" x14ac:dyDescent="0.25">
      <c r="A562" s="52">
        <v>44272</v>
      </c>
      <c r="B562" s="53">
        <v>36.840000000000003</v>
      </c>
      <c r="C562" s="83">
        <v>0.3664323086984958</v>
      </c>
      <c r="D562" s="53">
        <v>39.85</v>
      </c>
      <c r="E562" s="87">
        <v>0.39637153913233047</v>
      </c>
      <c r="F562" s="53">
        <v>35.799999999999997</v>
      </c>
      <c r="G562" s="83">
        <v>0.35704136838078582</v>
      </c>
      <c r="H562" s="55">
        <v>36.880000000000003</v>
      </c>
      <c r="I562" s="83">
        <v>0.36855261536776679</v>
      </c>
      <c r="J562" s="55">
        <v>31.66</v>
      </c>
      <c r="K562" s="83">
        <v>0.31469887392600859</v>
      </c>
      <c r="L562" s="53">
        <v>34.049999999999997</v>
      </c>
      <c r="M562" s="83">
        <v>0.34027159851606448</v>
      </c>
      <c r="N562" s="55">
        <v>33.75</v>
      </c>
      <c r="O562" s="83">
        <v>0.33727361086394059</v>
      </c>
      <c r="P562" s="56">
        <f t="shared" si="80"/>
        <v>9.3909403177099837E-3</v>
      </c>
      <c r="Q562" s="56">
        <f t="shared" si="81"/>
        <v>2.9939230433834674E-2</v>
      </c>
      <c r="R562" s="56">
        <f t="shared" si="82"/>
        <v>2.6160710182431324E-2</v>
      </c>
      <c r="S562" s="54">
        <f t="shared" si="83"/>
        <v>2.9158697834555214E-2</v>
      </c>
      <c r="T562" s="56">
        <f t="shared" si="84"/>
        <v>5.9097928268389888E-2</v>
      </c>
      <c r="U562" s="56">
        <f t="shared" si="85"/>
        <v>1.976775751684523E-2</v>
      </c>
      <c r="V562" s="56">
        <f t="shared" si="86"/>
        <v>4.2342494454777224E-2</v>
      </c>
      <c r="W562" s="56">
        <f t="shared" si="87"/>
        <v>5.1733434772487208E-2</v>
      </c>
      <c r="X562" s="65">
        <f t="shared" si="88"/>
        <v>1.1511246986980972E-2</v>
      </c>
      <c r="Y562" s="73">
        <f t="shared" si="89"/>
        <v>1.676976986472134E-2</v>
      </c>
    </row>
    <row r="563" spans="1:25" x14ac:dyDescent="0.25">
      <c r="A563" s="52">
        <v>44271</v>
      </c>
      <c r="B563" s="53">
        <v>36.65</v>
      </c>
      <c r="C563" s="83">
        <v>0.36455239133396922</v>
      </c>
      <c r="D563" s="53">
        <v>39.99</v>
      </c>
      <c r="E563" s="87">
        <v>0.39777490121269932</v>
      </c>
      <c r="F563" s="53">
        <v>35.4</v>
      </c>
      <c r="G563" s="83">
        <v>0.35305690279390672</v>
      </c>
      <c r="H563" s="55">
        <v>36.299999999999997</v>
      </c>
      <c r="I563" s="83">
        <v>0.36275774739471928</v>
      </c>
      <c r="J563" s="55">
        <v>31.29</v>
      </c>
      <c r="K563" s="83">
        <v>0.3110306207553914</v>
      </c>
      <c r="L563" s="53">
        <v>34.25</v>
      </c>
      <c r="M563" s="83">
        <v>0.34227142832697338</v>
      </c>
      <c r="N563" s="55">
        <v>33.49</v>
      </c>
      <c r="O563" s="83">
        <v>0.33467650028234569</v>
      </c>
      <c r="P563" s="56">
        <f t="shared" si="80"/>
        <v>1.1495488540062493E-2</v>
      </c>
      <c r="Q563" s="56">
        <f t="shared" si="81"/>
        <v>3.32225098787301E-2</v>
      </c>
      <c r="R563" s="56">
        <f t="shared" si="82"/>
        <v>2.2280963006995835E-2</v>
      </c>
      <c r="S563" s="54">
        <f t="shared" si="83"/>
        <v>2.9875891051623527E-2</v>
      </c>
      <c r="T563" s="56">
        <f t="shared" si="84"/>
        <v>6.3098400930353626E-2</v>
      </c>
      <c r="U563" s="56">
        <f t="shared" si="85"/>
        <v>1.8380402511561034E-2</v>
      </c>
      <c r="V563" s="56">
        <f t="shared" si="86"/>
        <v>4.2026282038515328E-2</v>
      </c>
      <c r="W563" s="56">
        <f t="shared" si="87"/>
        <v>5.3521770578577821E-2</v>
      </c>
      <c r="X563" s="65">
        <f t="shared" si="88"/>
        <v>9.7008446008125526E-3</v>
      </c>
      <c r="Y563" s="73">
        <f t="shared" si="89"/>
        <v>1.0785474466933342E-2</v>
      </c>
    </row>
    <row r="564" spans="1:25" x14ac:dyDescent="0.25">
      <c r="A564" s="52">
        <v>44270</v>
      </c>
      <c r="B564" s="53">
        <v>36.479999999999997</v>
      </c>
      <c r="C564" s="83">
        <v>0.3628713141112988</v>
      </c>
      <c r="D564" s="53">
        <v>38.700000000000003</v>
      </c>
      <c r="E564" s="87">
        <v>0.38495394342399297</v>
      </c>
      <c r="F564" s="53">
        <v>34.96</v>
      </c>
      <c r="G564" s="83">
        <v>0.34867338852911439</v>
      </c>
      <c r="H564" s="55">
        <v>35.950000000000003</v>
      </c>
      <c r="I564" s="83">
        <v>0.35926131268951461</v>
      </c>
      <c r="J564" s="55">
        <v>30.95</v>
      </c>
      <c r="K564" s="83">
        <v>0.30766035963042898</v>
      </c>
      <c r="L564" s="53">
        <v>33.65</v>
      </c>
      <c r="M564" s="83">
        <v>0.33627658336584598</v>
      </c>
      <c r="N564" s="55">
        <v>33.450000000000003</v>
      </c>
      <c r="O564" s="83">
        <v>0.33427791125074441</v>
      </c>
      <c r="P564" s="56">
        <f t="shared" si="80"/>
        <v>1.4197925582184412E-2</v>
      </c>
      <c r="Q564" s="56">
        <f t="shared" si="81"/>
        <v>2.2082629312694169E-2</v>
      </c>
      <c r="R564" s="56">
        <f t="shared" si="82"/>
        <v>2.6594730745452821E-2</v>
      </c>
      <c r="S564" s="54">
        <f t="shared" si="83"/>
        <v>2.8593402860554396E-2</v>
      </c>
      <c r="T564" s="56">
        <f t="shared" si="84"/>
        <v>5.0676032173248564E-2</v>
      </c>
      <c r="U564" s="56">
        <f t="shared" si="85"/>
        <v>1.4395477278369984E-2</v>
      </c>
      <c r="V564" s="56">
        <f t="shared" si="86"/>
        <v>4.1013028898685411E-2</v>
      </c>
      <c r="W564" s="56">
        <f t="shared" si="87"/>
        <v>5.5210954480869823E-2</v>
      </c>
      <c r="X564" s="65">
        <f t="shared" si="88"/>
        <v>1.0587924160400219E-2</v>
      </c>
      <c r="Y564" s="73">
        <f t="shared" si="89"/>
        <v>1.239680516326841E-2</v>
      </c>
    </row>
    <row r="565" spans="1:25" x14ac:dyDescent="0.25">
      <c r="A565" s="52">
        <v>44267</v>
      </c>
      <c r="B565" s="53">
        <v>35.51</v>
      </c>
      <c r="C565" s="83">
        <v>0.35325147856422562</v>
      </c>
      <c r="D565" s="53">
        <v>37.799999999999997</v>
      </c>
      <c r="E565" s="87">
        <v>0.3760322694938813</v>
      </c>
      <c r="F565" s="53">
        <v>34.39</v>
      </c>
      <c r="G565" s="83">
        <v>0.34300255495894311</v>
      </c>
      <c r="H565" s="55">
        <v>35.31</v>
      </c>
      <c r="I565" s="83">
        <v>0.35286918488249119</v>
      </c>
      <c r="J565" s="55">
        <v>30.5</v>
      </c>
      <c r="K565" s="83">
        <v>0.30321497758061278</v>
      </c>
      <c r="L565" s="53">
        <v>32.75</v>
      </c>
      <c r="M565" s="83">
        <v>0.32728591914193111</v>
      </c>
      <c r="N565" s="55">
        <v>32.5</v>
      </c>
      <c r="O565" s="83">
        <v>0.32478755334695458</v>
      </c>
      <c r="P565" s="56">
        <f t="shared" si="80"/>
        <v>1.0248923605282512E-2</v>
      </c>
      <c r="Q565" s="56">
        <f t="shared" si="81"/>
        <v>2.2780790929655681E-2</v>
      </c>
      <c r="R565" s="56">
        <f t="shared" si="82"/>
        <v>2.5965559422294504E-2</v>
      </c>
      <c r="S565" s="54">
        <f t="shared" si="83"/>
        <v>2.8463925217271036E-2</v>
      </c>
      <c r="T565" s="56">
        <f t="shared" si="84"/>
        <v>5.1244716146926717E-2</v>
      </c>
      <c r="U565" s="56">
        <f t="shared" si="85"/>
        <v>1.8215001611988524E-2</v>
      </c>
      <c r="V565" s="56">
        <f t="shared" si="86"/>
        <v>3.978757737833033E-2</v>
      </c>
      <c r="W565" s="56">
        <f t="shared" si="87"/>
        <v>5.0036500983612842E-2</v>
      </c>
      <c r="X565" s="65">
        <f t="shared" si="88"/>
        <v>9.866629923548087E-3</v>
      </c>
      <c r="Y565" s="73">
        <f t="shared" si="89"/>
        <v>1.5716635817011992E-2</v>
      </c>
    </row>
    <row r="566" spans="1:25" x14ac:dyDescent="0.25">
      <c r="A566" s="52">
        <v>44266</v>
      </c>
      <c r="B566" s="53">
        <v>34.950000000000003</v>
      </c>
      <c r="C566" s="83">
        <v>0.34769010629599351</v>
      </c>
      <c r="D566" s="53">
        <v>37.200000000000003</v>
      </c>
      <c r="E566" s="87">
        <v>0.37007358953393299</v>
      </c>
      <c r="F566" s="53">
        <v>33.51</v>
      </c>
      <c r="G566" s="83">
        <v>0.33423008607733301</v>
      </c>
      <c r="H566" s="55">
        <v>34.65</v>
      </c>
      <c r="I566" s="83">
        <v>0.34627468428077618</v>
      </c>
      <c r="J566" s="55">
        <v>30.26</v>
      </c>
      <c r="K566" s="83">
        <v>0.30083824180313917</v>
      </c>
      <c r="L566" s="53">
        <v>32.049999999999997</v>
      </c>
      <c r="M566" s="83">
        <v>0.32029159108799071</v>
      </c>
      <c r="N566" s="55">
        <v>31.5</v>
      </c>
      <c r="O566" s="83">
        <v>0.31479516752797843</v>
      </c>
      <c r="P566" s="56">
        <f t="shared" si="80"/>
        <v>1.3460020218660496E-2</v>
      </c>
      <c r="Q566" s="56">
        <f t="shared" si="81"/>
        <v>2.2383483237939483E-2</v>
      </c>
      <c r="R566" s="56">
        <f t="shared" si="82"/>
        <v>2.7398515208002794E-2</v>
      </c>
      <c r="S566" s="54">
        <f t="shared" si="83"/>
        <v>3.2894938768015081E-2</v>
      </c>
      <c r="T566" s="56">
        <f t="shared" si="84"/>
        <v>5.5278422005954564E-2</v>
      </c>
      <c r="U566" s="56">
        <f t="shared" si="85"/>
        <v>1.9434918549354585E-2</v>
      </c>
      <c r="V566" s="56">
        <f t="shared" si="86"/>
        <v>3.3391844274193838E-2</v>
      </c>
      <c r="W566" s="56">
        <f t="shared" si="87"/>
        <v>4.6851864492854334E-2</v>
      </c>
      <c r="X566" s="65">
        <f t="shared" si="88"/>
        <v>1.2044598203443169E-2</v>
      </c>
      <c r="Y566" s="73">
        <f t="shared" si="89"/>
        <v>1.3938494989342298E-2</v>
      </c>
    </row>
    <row r="567" spans="1:25" x14ac:dyDescent="0.25">
      <c r="A567" s="52">
        <v>44265</v>
      </c>
      <c r="B567" s="53">
        <v>35</v>
      </c>
      <c r="C567" s="83">
        <v>0.34819700727738562</v>
      </c>
      <c r="D567" s="53">
        <v>37</v>
      </c>
      <c r="E567" s="87">
        <v>0.36809397912180758</v>
      </c>
      <c r="F567" s="53">
        <v>33.51</v>
      </c>
      <c r="G567" s="83">
        <v>0.33423465274836378</v>
      </c>
      <c r="H567" s="55">
        <v>34.39</v>
      </c>
      <c r="I567" s="83">
        <v>0.34367755117406878</v>
      </c>
      <c r="J567" s="55">
        <v>29.8</v>
      </c>
      <c r="K567" s="83">
        <v>0.29627410189274128</v>
      </c>
      <c r="L567" s="53">
        <v>32.1</v>
      </c>
      <c r="M567" s="83">
        <v>0.3207923638466883</v>
      </c>
      <c r="N567" s="55">
        <v>31.42</v>
      </c>
      <c r="O567" s="83">
        <v>0.3139967623695622</v>
      </c>
      <c r="P567" s="56">
        <f t="shared" si="80"/>
        <v>1.3962354529021836E-2</v>
      </c>
      <c r="Q567" s="56">
        <f t="shared" si="81"/>
        <v>1.9896971844421962E-2</v>
      </c>
      <c r="R567" s="56">
        <f t="shared" si="82"/>
        <v>2.7404643430697317E-2</v>
      </c>
      <c r="S567" s="54">
        <f t="shared" si="83"/>
        <v>3.4200244907823418E-2</v>
      </c>
      <c r="T567" s="56">
        <f t="shared" si="84"/>
        <v>5.4097216752245381E-2</v>
      </c>
      <c r="U567" s="56">
        <f t="shared" si="85"/>
        <v>2.0237890378801582E-2</v>
      </c>
      <c r="V567" s="56">
        <f t="shared" si="86"/>
        <v>3.7960550855622499E-2</v>
      </c>
      <c r="W567" s="56">
        <f t="shared" si="87"/>
        <v>5.1922905384644336E-2</v>
      </c>
      <c r="X567" s="65">
        <f t="shared" si="88"/>
        <v>9.4428984257050042E-3</v>
      </c>
      <c r="Y567" s="73">
        <f t="shared" si="89"/>
        <v>1.3442288901675481E-2</v>
      </c>
    </row>
    <row r="568" spans="1:25" x14ac:dyDescent="0.25">
      <c r="A568" s="52">
        <v>44264</v>
      </c>
      <c r="B568" s="53">
        <v>36.25</v>
      </c>
      <c r="C568" s="83">
        <v>0.3606424443959878</v>
      </c>
      <c r="D568" s="53">
        <v>38.299999999999997</v>
      </c>
      <c r="E568" s="87">
        <v>0.38103739642389878</v>
      </c>
      <c r="F568" s="53">
        <v>35.14</v>
      </c>
      <c r="G568" s="83">
        <v>0.3504973492922337</v>
      </c>
      <c r="H568" s="55">
        <v>35.26</v>
      </c>
      <c r="I568" s="83">
        <v>0.35237312962886908</v>
      </c>
      <c r="J568" s="55">
        <v>30.52</v>
      </c>
      <c r="K568" s="83">
        <v>0.30344170082944039</v>
      </c>
      <c r="L568" s="53">
        <v>32.6</v>
      </c>
      <c r="M568" s="83">
        <v>0.32579024463701461</v>
      </c>
      <c r="N568" s="55">
        <v>31.98</v>
      </c>
      <c r="O568" s="83">
        <v>0.31959423384943941</v>
      </c>
      <c r="P568" s="56">
        <f t="shared" si="80"/>
        <v>1.0145095103754109E-2</v>
      </c>
      <c r="Q568" s="56">
        <f t="shared" si="81"/>
        <v>2.0394952027910973E-2</v>
      </c>
      <c r="R568" s="56">
        <f t="shared" si="82"/>
        <v>3.485219975897319E-2</v>
      </c>
      <c r="S568" s="54">
        <f t="shared" si="83"/>
        <v>4.1048210546548392E-2</v>
      </c>
      <c r="T568" s="56">
        <f t="shared" si="84"/>
        <v>6.1443162574459365E-2</v>
      </c>
      <c r="U568" s="56">
        <f t="shared" si="85"/>
        <v>3.0903115442794282E-2</v>
      </c>
      <c r="V568" s="56">
        <f t="shared" si="86"/>
        <v>4.7055648462793309E-2</v>
      </c>
      <c r="W568" s="56">
        <f t="shared" si="87"/>
        <v>5.7200743566547418E-2</v>
      </c>
      <c r="X568" s="65">
        <f t="shared" si="88"/>
        <v>1.8757803366353798E-3</v>
      </c>
      <c r="Y568" s="73">
        <f t="shared" si="89"/>
        <v>2.4707104655219081E-2</v>
      </c>
    </row>
    <row r="569" spans="1:25" x14ac:dyDescent="0.25">
      <c r="A569" s="52">
        <v>44263</v>
      </c>
      <c r="B569" s="53">
        <v>36.89</v>
      </c>
      <c r="C569" s="83">
        <v>0.36701965273802711</v>
      </c>
      <c r="D569" s="53">
        <v>39.799999999999997</v>
      </c>
      <c r="E569" s="87">
        <v>0.39597132499250409</v>
      </c>
      <c r="F569" s="53">
        <v>35.700000000000003</v>
      </c>
      <c r="G569" s="83">
        <v>0.35608782980583992</v>
      </c>
      <c r="H569" s="55">
        <v>36.08</v>
      </c>
      <c r="I569" s="83">
        <v>0.36056908760485579</v>
      </c>
      <c r="J569" s="55">
        <v>31.65</v>
      </c>
      <c r="K569" s="83">
        <v>0.31468624333039358</v>
      </c>
      <c r="L569" s="53">
        <v>33.049999999999997</v>
      </c>
      <c r="M569" s="83">
        <v>0.33028847963803998</v>
      </c>
      <c r="N569" s="55">
        <v>32</v>
      </c>
      <c r="O569" s="83">
        <v>0.31979519964953951</v>
      </c>
      <c r="P569" s="56">
        <f t="shared" si="80"/>
        <v>1.0931822932187196E-2</v>
      </c>
      <c r="Q569" s="56">
        <f t="shared" si="81"/>
        <v>2.8951672254476979E-2</v>
      </c>
      <c r="R569" s="56">
        <f t="shared" si="82"/>
        <v>3.6731173099987136E-2</v>
      </c>
      <c r="S569" s="54">
        <f t="shared" si="83"/>
        <v>4.7224453088487606E-2</v>
      </c>
      <c r="T569" s="56">
        <f t="shared" si="84"/>
        <v>7.6176125342964585E-2</v>
      </c>
      <c r="U569" s="56">
        <f t="shared" si="85"/>
        <v>3.6292630156300409E-2</v>
      </c>
      <c r="V569" s="56">
        <f t="shared" si="86"/>
        <v>4.1401586475446339E-2</v>
      </c>
      <c r="W569" s="56">
        <f t="shared" si="87"/>
        <v>5.2333409407633535E-2</v>
      </c>
      <c r="X569" s="65">
        <f t="shared" si="88"/>
        <v>4.4812577990158697E-3</v>
      </c>
      <c r="Y569" s="73">
        <f t="shared" si="89"/>
        <v>2.5799350167799939E-2</v>
      </c>
    </row>
    <row r="570" spans="1:25" x14ac:dyDescent="0.25">
      <c r="A570" s="52">
        <v>44260</v>
      </c>
      <c r="B570" s="53">
        <v>37.51</v>
      </c>
      <c r="C570" s="83">
        <v>0.37321856940355469</v>
      </c>
      <c r="D570" s="53">
        <v>38.5</v>
      </c>
      <c r="E570" s="87">
        <v>0.3830689128775488</v>
      </c>
      <c r="F570" s="53">
        <v>35.75</v>
      </c>
      <c r="G570" s="83">
        <v>0.35660116965456928</v>
      </c>
      <c r="H570" s="55">
        <v>36.08</v>
      </c>
      <c r="I570" s="83">
        <v>0.36057278974892532</v>
      </c>
      <c r="J570" s="55">
        <v>31.65</v>
      </c>
      <c r="K570" s="83">
        <v>0.31471517694172768</v>
      </c>
      <c r="L570" s="53">
        <v>33.5</v>
      </c>
      <c r="M570" s="83">
        <v>0.33478903704514962</v>
      </c>
      <c r="N570" s="55">
        <v>32.26</v>
      </c>
      <c r="O570" s="83">
        <v>0.3223968458231799</v>
      </c>
      <c r="P570" s="56">
        <f t="shared" si="80"/>
        <v>1.6617399748985406E-2</v>
      </c>
      <c r="Q570" s="56">
        <f t="shared" si="81"/>
        <v>9.8503434739941054E-3</v>
      </c>
      <c r="R570" s="56">
        <f t="shared" si="82"/>
        <v>3.8429532358405072E-2</v>
      </c>
      <c r="S570" s="54">
        <f t="shared" si="83"/>
        <v>5.0821723580374789E-2</v>
      </c>
      <c r="T570" s="56">
        <f t="shared" si="84"/>
        <v>6.0672067054368894E-2</v>
      </c>
      <c r="U570" s="56">
        <f t="shared" si="85"/>
        <v>3.4204323831389383E-2</v>
      </c>
      <c r="V570" s="56">
        <f t="shared" si="86"/>
        <v>4.1885992712841602E-2</v>
      </c>
      <c r="W570" s="56">
        <f t="shared" si="87"/>
        <v>5.8503392461827008E-2</v>
      </c>
      <c r="X570" s="65">
        <f t="shared" si="88"/>
        <v>3.971620094356032E-3</v>
      </c>
      <c r="Y570" s="73">
        <f t="shared" si="89"/>
        <v>2.1812132609419665E-2</v>
      </c>
    </row>
    <row r="571" spans="1:25" x14ac:dyDescent="0.25">
      <c r="A571" s="52">
        <v>44259</v>
      </c>
      <c r="B571" s="53">
        <v>37.799999999999997</v>
      </c>
      <c r="C571" s="83">
        <v>0.37611427636779982</v>
      </c>
      <c r="D571" s="53">
        <v>40.4</v>
      </c>
      <c r="E571" s="87">
        <v>0.40198457050950032</v>
      </c>
      <c r="F571" s="53">
        <v>36.380000000000003</v>
      </c>
      <c r="G571" s="83">
        <v>0.36289028872825663</v>
      </c>
      <c r="H571" s="55">
        <v>36.979999999999997</v>
      </c>
      <c r="I571" s="83">
        <v>0.36956838693558491</v>
      </c>
      <c r="J571" s="55">
        <v>32.56</v>
      </c>
      <c r="K571" s="83">
        <v>0.32377378280724822</v>
      </c>
      <c r="L571" s="53">
        <v>33.799999999999997</v>
      </c>
      <c r="M571" s="83">
        <v>0.33778830390542908</v>
      </c>
      <c r="N571" s="55">
        <v>32.299999999999997</v>
      </c>
      <c r="O571" s="83">
        <v>0.32279769870252539</v>
      </c>
      <c r="P571" s="56">
        <f t="shared" si="80"/>
        <v>1.3223987639543189E-2</v>
      </c>
      <c r="Q571" s="56">
        <f t="shared" si="81"/>
        <v>2.5870294141700501E-2</v>
      </c>
      <c r="R571" s="56">
        <f t="shared" si="82"/>
        <v>3.8325972462370739E-2</v>
      </c>
      <c r="S571" s="54">
        <f t="shared" si="83"/>
        <v>5.3316577665274423E-2</v>
      </c>
      <c r="T571" s="56">
        <f t="shared" si="84"/>
        <v>7.9186871806974923E-2</v>
      </c>
      <c r="U571" s="56">
        <f t="shared" si="85"/>
        <v>4.0092590025731234E-2</v>
      </c>
      <c r="V571" s="56">
        <f t="shared" si="86"/>
        <v>3.9116505921008404E-2</v>
      </c>
      <c r="W571" s="56">
        <f t="shared" si="87"/>
        <v>5.2340493560551593E-2</v>
      </c>
      <c r="X571" s="65">
        <f t="shared" si="88"/>
        <v>6.6780982073282869E-3</v>
      </c>
      <c r="Y571" s="73">
        <f t="shared" si="89"/>
        <v>2.510198482282755E-2</v>
      </c>
    </row>
    <row r="572" spans="1:25" x14ac:dyDescent="0.25">
      <c r="A572" s="52">
        <v>44258</v>
      </c>
      <c r="B572" s="53">
        <v>37.5</v>
      </c>
      <c r="C572" s="83">
        <v>0.37313941442669429</v>
      </c>
      <c r="D572" s="53">
        <v>40.75</v>
      </c>
      <c r="E572" s="87">
        <v>0.40547816367700779</v>
      </c>
      <c r="F572" s="53">
        <v>36.22</v>
      </c>
      <c r="G572" s="83">
        <v>0.36129922658577251</v>
      </c>
      <c r="H572" s="55">
        <v>37</v>
      </c>
      <c r="I572" s="83">
        <v>0.36976952721249079</v>
      </c>
      <c r="J572" s="55">
        <v>31.85</v>
      </c>
      <c r="K572" s="83">
        <v>0.31672331237782569</v>
      </c>
      <c r="L572" s="53">
        <v>33.549999999999997</v>
      </c>
      <c r="M572" s="83">
        <v>0.33529101724267751</v>
      </c>
      <c r="N572" s="55">
        <v>32.04</v>
      </c>
      <c r="O572" s="83">
        <v>0.32020042302400559</v>
      </c>
      <c r="P572" s="56">
        <f t="shared" si="80"/>
        <v>1.1840187840921779E-2</v>
      </c>
      <c r="Q572" s="56">
        <f t="shared" si="81"/>
        <v>3.2338749250313492E-2</v>
      </c>
      <c r="R572" s="56">
        <f t="shared" si="82"/>
        <v>3.784839718401678E-2</v>
      </c>
      <c r="S572" s="54">
        <f t="shared" si="83"/>
        <v>5.2938991402688707E-2</v>
      </c>
      <c r="T572" s="56">
        <f t="shared" si="84"/>
        <v>8.5277740653002199E-2</v>
      </c>
      <c r="U572" s="56">
        <f t="shared" si="85"/>
        <v>4.1098803561766928E-2</v>
      </c>
      <c r="V572" s="56">
        <f t="shared" si="86"/>
        <v>4.4575914207946821E-2</v>
      </c>
      <c r="W572" s="56">
        <f t="shared" si="87"/>
        <v>5.6416102048868599E-2</v>
      </c>
      <c r="X572" s="65">
        <f t="shared" si="88"/>
        <v>8.4703006267182746E-3</v>
      </c>
      <c r="Y572" s="73">
        <f t="shared" si="89"/>
        <v>2.6008209343095001E-2</v>
      </c>
    </row>
    <row r="573" spans="1:25" x14ac:dyDescent="0.25">
      <c r="A573" s="52">
        <v>44257</v>
      </c>
      <c r="B573" s="53">
        <v>37.69</v>
      </c>
      <c r="C573" s="83">
        <v>0.37504021155366529</v>
      </c>
      <c r="D573" s="53">
        <v>41</v>
      </c>
      <c r="E573" s="87">
        <v>0.40797688176440122</v>
      </c>
      <c r="F573" s="53">
        <v>36.29</v>
      </c>
      <c r="G573" s="83">
        <v>0.36200243232533041</v>
      </c>
      <c r="H573" s="55">
        <v>36.96</v>
      </c>
      <c r="I573" s="83">
        <v>0.36937104055362951</v>
      </c>
      <c r="J573" s="55">
        <v>32.21</v>
      </c>
      <c r="K573" s="83">
        <v>0.32031304809811018</v>
      </c>
      <c r="L573" s="53">
        <v>34.450000000000003</v>
      </c>
      <c r="M573" s="83">
        <v>0.34428658947707069</v>
      </c>
      <c r="N573" s="55">
        <v>32.25</v>
      </c>
      <c r="O573" s="83">
        <v>0.32230021801554509</v>
      </c>
      <c r="P573" s="56">
        <f t="shared" si="80"/>
        <v>1.3037779228334878E-2</v>
      </c>
      <c r="Q573" s="56">
        <f t="shared" si="81"/>
        <v>3.293667021073593E-2</v>
      </c>
      <c r="R573" s="56">
        <f t="shared" si="82"/>
        <v>3.07536220765946E-2</v>
      </c>
      <c r="S573" s="54">
        <f t="shared" si="83"/>
        <v>5.27399935381202E-2</v>
      </c>
      <c r="T573" s="56">
        <f t="shared" si="84"/>
        <v>8.567666374885613E-2</v>
      </c>
      <c r="U573" s="56">
        <f t="shared" si="85"/>
        <v>3.9702214309785322E-2</v>
      </c>
      <c r="V573" s="56">
        <f t="shared" si="86"/>
        <v>4.1689384227220239E-2</v>
      </c>
      <c r="W573" s="56">
        <f t="shared" si="87"/>
        <v>5.4727163455555117E-2</v>
      </c>
      <c r="X573" s="65">
        <f t="shared" si="88"/>
        <v>7.3686082282991006E-3</v>
      </c>
      <c r="Y573" s="73">
        <f t="shared" si="89"/>
        <v>1.7715842848259722E-2</v>
      </c>
    </row>
    <row r="574" spans="1:25" x14ac:dyDescent="0.25">
      <c r="A574" s="52">
        <v>44256</v>
      </c>
      <c r="B574" s="53">
        <v>38.19</v>
      </c>
      <c r="C574" s="83">
        <v>0.38002589967284622</v>
      </c>
      <c r="D574" s="53">
        <v>41.5</v>
      </c>
      <c r="E574" s="87">
        <v>0.41296346782988003</v>
      </c>
      <c r="F574" s="53">
        <v>36.78</v>
      </c>
      <c r="G574" s="83">
        <v>0.36689532659196511</v>
      </c>
      <c r="H574" s="55">
        <v>37.79</v>
      </c>
      <c r="I574" s="83">
        <v>0.37766719145732081</v>
      </c>
      <c r="J574" s="55">
        <v>33.01</v>
      </c>
      <c r="K574" s="83">
        <v>0.32827872760711119</v>
      </c>
      <c r="L574" s="53">
        <v>35.049999999999997</v>
      </c>
      <c r="M574" s="83">
        <v>0.35028407146279689</v>
      </c>
      <c r="N574" s="55">
        <v>33.200000000000003</v>
      </c>
      <c r="O574" s="83">
        <v>0.33179546854678632</v>
      </c>
      <c r="P574" s="56">
        <f t="shared" si="80"/>
        <v>1.3130573080881114E-2</v>
      </c>
      <c r="Q574" s="56">
        <f t="shared" si="81"/>
        <v>3.2937568157033803E-2</v>
      </c>
      <c r="R574" s="56">
        <f t="shared" si="82"/>
        <v>2.9741828210049337E-2</v>
      </c>
      <c r="S574" s="54">
        <f t="shared" si="83"/>
        <v>4.8230431126059903E-2</v>
      </c>
      <c r="T574" s="56">
        <f t="shared" si="84"/>
        <v>8.1167999283093706E-2</v>
      </c>
      <c r="U574" s="56">
        <f t="shared" si="85"/>
        <v>3.5099858045178789E-2</v>
      </c>
      <c r="V574" s="56">
        <f t="shared" si="86"/>
        <v>3.8616598984853923E-2</v>
      </c>
      <c r="W574" s="56">
        <f t="shared" si="87"/>
        <v>5.1747172065735036E-2</v>
      </c>
      <c r="X574" s="65">
        <f t="shared" si="88"/>
        <v>1.0771864865355696E-2</v>
      </c>
      <c r="Y574" s="73">
        <f t="shared" si="89"/>
        <v>1.6611255129168223E-2</v>
      </c>
    </row>
    <row r="575" spans="1:25" x14ac:dyDescent="0.25">
      <c r="A575" s="52">
        <v>44253</v>
      </c>
      <c r="B575" s="53">
        <v>38.049999999999997</v>
      </c>
      <c r="C575" s="83">
        <v>0.37866374021866561</v>
      </c>
      <c r="D575" s="53">
        <v>41.5</v>
      </c>
      <c r="E575" s="87">
        <v>0.41299724623060768</v>
      </c>
      <c r="F575" s="53">
        <v>36.78</v>
      </c>
      <c r="G575" s="83">
        <v>0.36691036801180699</v>
      </c>
      <c r="H575" s="55">
        <v>37.630000000000003</v>
      </c>
      <c r="I575" s="83">
        <v>0.37607203852459298</v>
      </c>
      <c r="J575" s="55">
        <v>33</v>
      </c>
      <c r="K575" s="83">
        <v>0.32820946003481011</v>
      </c>
      <c r="L575" s="53">
        <v>34.85</v>
      </c>
      <c r="M575" s="83">
        <v>0.3482888796859438</v>
      </c>
      <c r="N575" s="55">
        <v>33.1</v>
      </c>
      <c r="O575" s="83">
        <v>0.33079948113643443</v>
      </c>
      <c r="P575" s="56">
        <f t="shared" si="80"/>
        <v>1.1753372206858625E-2</v>
      </c>
      <c r="Q575" s="56">
        <f t="shared" si="81"/>
        <v>3.4333506011942072E-2</v>
      </c>
      <c r="R575" s="56">
        <f t="shared" si="82"/>
        <v>3.0374860532721815E-2</v>
      </c>
      <c r="S575" s="54">
        <f t="shared" si="83"/>
        <v>4.7864259082231186E-2</v>
      </c>
      <c r="T575" s="56">
        <f t="shared" si="84"/>
        <v>8.2197765094173258E-2</v>
      </c>
      <c r="U575" s="56">
        <f t="shared" si="85"/>
        <v>3.6110886875372561E-2</v>
      </c>
      <c r="V575" s="56">
        <f t="shared" si="86"/>
        <v>3.8700907976996879E-2</v>
      </c>
      <c r="W575" s="56">
        <f t="shared" si="87"/>
        <v>5.0454280183855504E-2</v>
      </c>
      <c r="X575" s="65">
        <f t="shared" si="88"/>
        <v>9.161670512785991E-3</v>
      </c>
      <c r="Y575" s="73">
        <f t="shared" si="89"/>
        <v>1.8621488325863189E-2</v>
      </c>
    </row>
    <row r="576" spans="1:25" x14ac:dyDescent="0.25">
      <c r="A576" s="52">
        <v>44252</v>
      </c>
      <c r="B576" s="53">
        <v>37.92</v>
      </c>
      <c r="C576" s="83">
        <v>0.37738030319555022</v>
      </c>
      <c r="D576" s="53">
        <v>42</v>
      </c>
      <c r="E576" s="87">
        <v>0.41798451303304612</v>
      </c>
      <c r="F576" s="53">
        <v>36.47</v>
      </c>
      <c r="G576" s="83">
        <v>0.36382283808899091</v>
      </c>
      <c r="H576" s="55">
        <v>38.01</v>
      </c>
      <c r="I576" s="83">
        <v>0.37987103663545257</v>
      </c>
      <c r="J576" s="55">
        <v>32.9</v>
      </c>
      <c r="K576" s="83">
        <v>0.32722491688920369</v>
      </c>
      <c r="L576" s="53">
        <v>34.6</v>
      </c>
      <c r="M576" s="83">
        <v>0.34579157767920699</v>
      </c>
      <c r="N576" s="55">
        <v>33.200000000000003</v>
      </c>
      <c r="O576" s="83">
        <v>0.33180001095230283</v>
      </c>
      <c r="P576" s="56">
        <f t="shared" si="80"/>
        <v>1.3557465106559308E-2</v>
      </c>
      <c r="Q576" s="56">
        <f t="shared" si="81"/>
        <v>4.0604209837495908E-2</v>
      </c>
      <c r="R576" s="56">
        <f t="shared" si="82"/>
        <v>3.158872551634323E-2</v>
      </c>
      <c r="S576" s="54">
        <f t="shared" si="83"/>
        <v>4.5580292243247389E-2</v>
      </c>
      <c r="T576" s="56">
        <f t="shared" si="84"/>
        <v>8.6184502080743297E-2</v>
      </c>
      <c r="U576" s="56">
        <f t="shared" si="85"/>
        <v>3.2022827136688081E-2</v>
      </c>
      <c r="V576" s="56">
        <f t="shared" si="86"/>
        <v>3.659792119978722E-2</v>
      </c>
      <c r="W576" s="56">
        <f t="shared" si="87"/>
        <v>5.0155386306346528E-2</v>
      </c>
      <c r="X576" s="65">
        <f t="shared" si="88"/>
        <v>1.6048198546461667E-2</v>
      </c>
      <c r="Y576" s="73">
        <f t="shared" si="89"/>
        <v>1.8031260409783922E-2</v>
      </c>
    </row>
    <row r="577" spans="1:25" x14ac:dyDescent="0.25">
      <c r="A577" s="52">
        <v>44251</v>
      </c>
      <c r="B577" s="53">
        <v>37.9</v>
      </c>
      <c r="C577" s="83">
        <v>0.37719154737559651</v>
      </c>
      <c r="D577" s="53">
        <v>41.5</v>
      </c>
      <c r="E577" s="87">
        <v>0.41301976823449221</v>
      </c>
      <c r="F577" s="53">
        <v>36.08</v>
      </c>
      <c r="G577" s="83">
        <v>0.35993713700034158</v>
      </c>
      <c r="H577" s="55">
        <v>38.11</v>
      </c>
      <c r="I577" s="83">
        <v>0.38087173782835632</v>
      </c>
      <c r="J577" s="55">
        <v>32.5</v>
      </c>
      <c r="K577" s="83">
        <v>0.32325640807289452</v>
      </c>
      <c r="L577" s="53">
        <v>34.299999999999997</v>
      </c>
      <c r="M577" s="83">
        <v>0.3427945580559596</v>
      </c>
      <c r="N577" s="55">
        <v>33.1</v>
      </c>
      <c r="O577" s="83">
        <v>0.33080174552922048</v>
      </c>
      <c r="P577" s="56">
        <f t="shared" si="80"/>
        <v>1.7254410375254936E-2</v>
      </c>
      <c r="Q577" s="56">
        <f t="shared" si="81"/>
        <v>3.5828220858895699E-2</v>
      </c>
      <c r="R577" s="56">
        <f t="shared" si="82"/>
        <v>3.4396989319636917E-2</v>
      </c>
      <c r="S577" s="54">
        <f t="shared" si="83"/>
        <v>4.6389801846376033E-2</v>
      </c>
      <c r="T577" s="56">
        <f t="shared" si="84"/>
        <v>8.2218022705271732E-2</v>
      </c>
      <c r="U577" s="56">
        <f t="shared" si="85"/>
        <v>2.9135391471121097E-2</v>
      </c>
      <c r="V577" s="56">
        <f t="shared" si="86"/>
        <v>3.6680728927447059E-2</v>
      </c>
      <c r="W577" s="56">
        <f t="shared" si="87"/>
        <v>5.3935139302701995E-2</v>
      </c>
      <c r="X577" s="65">
        <f t="shared" si="88"/>
        <v>2.0934600828014738E-2</v>
      </c>
      <c r="Y577" s="73">
        <f t="shared" si="89"/>
        <v>1.7142578944381981E-2</v>
      </c>
    </row>
    <row r="578" spans="1:25" x14ac:dyDescent="0.25">
      <c r="A578" s="52">
        <v>44250</v>
      </c>
      <c r="B578" s="53">
        <v>37.69</v>
      </c>
      <c r="C578" s="83">
        <v>0.37511179582265358</v>
      </c>
      <c r="D578" s="53">
        <v>41.8</v>
      </c>
      <c r="E578" s="87">
        <v>0.41601679664067182</v>
      </c>
      <c r="F578" s="53">
        <v>35.75</v>
      </c>
      <c r="G578" s="83">
        <v>0.35664990297100058</v>
      </c>
      <c r="H578" s="55">
        <v>37.79</v>
      </c>
      <c r="I578" s="83">
        <v>0.37767494712055139</v>
      </c>
      <c r="J578" s="55">
        <v>32.11</v>
      </c>
      <c r="K578" s="83">
        <v>0.31938712248693651</v>
      </c>
      <c r="L578" s="53">
        <v>34.1</v>
      </c>
      <c r="M578" s="83">
        <v>0.34079692238186837</v>
      </c>
      <c r="N578" s="55">
        <v>32.74</v>
      </c>
      <c r="O578" s="83">
        <v>0.32720502166517212</v>
      </c>
      <c r="P578" s="56">
        <f t="shared" ref="P578:P641" si="90">C578-G578</f>
        <v>1.8461892851653006E-2</v>
      </c>
      <c r="Q578" s="56">
        <f t="shared" ref="Q578:Q641" si="91">E578-C578</f>
        <v>4.0905000818018233E-2</v>
      </c>
      <c r="R578" s="56">
        <f t="shared" ref="R578:R641" si="92">C578-M578</f>
        <v>3.431487344078521E-2</v>
      </c>
      <c r="S578" s="54">
        <f t="shared" ref="S578:S641" si="93">C578-O578</f>
        <v>4.7906774157481458E-2</v>
      </c>
      <c r="T578" s="56">
        <f t="shared" ref="T578:T641" si="94">E578-O578</f>
        <v>8.8811774975499691E-2</v>
      </c>
      <c r="U578" s="56">
        <f t="shared" ref="U578:U641" si="95">G578-O578</f>
        <v>2.9444881305828452E-2</v>
      </c>
      <c r="V578" s="56">
        <f t="shared" ref="V578:V641" si="96">G578-K578</f>
        <v>3.7262780484064062E-2</v>
      </c>
      <c r="W578" s="56">
        <f t="shared" ref="W578:W641" si="97">C578-K578</f>
        <v>5.5724673335717068E-2</v>
      </c>
      <c r="X578" s="65">
        <f t="shared" ref="X578:X641" si="98">I578-G578</f>
        <v>2.1025044149550809E-2</v>
      </c>
      <c r="Y578" s="73">
        <f t="shared" ref="Y578:Y641" si="99">G578-M578</f>
        <v>1.5852980589132204E-2</v>
      </c>
    </row>
    <row r="579" spans="1:25" x14ac:dyDescent="0.25">
      <c r="A579" s="52">
        <v>44249</v>
      </c>
      <c r="B579" s="53">
        <v>38.25</v>
      </c>
      <c r="C579" s="83">
        <v>0.38069560712240608</v>
      </c>
      <c r="D579" s="53">
        <v>42.4</v>
      </c>
      <c r="E579" s="87">
        <v>0.42199983639189592</v>
      </c>
      <c r="F579" s="53">
        <v>36.35</v>
      </c>
      <c r="G579" s="83">
        <v>0.36264059147499761</v>
      </c>
      <c r="H579" s="55">
        <v>38.42</v>
      </c>
      <c r="I579" s="83">
        <v>0.38397250943790151</v>
      </c>
      <c r="J579" s="55">
        <v>32.25</v>
      </c>
      <c r="K579" s="83">
        <v>0.3207894889237865</v>
      </c>
      <c r="L579" s="53">
        <v>34.4</v>
      </c>
      <c r="M579" s="83">
        <v>0.3437963124587145</v>
      </c>
      <c r="N579" s="55">
        <v>32.74</v>
      </c>
      <c r="O579" s="83">
        <v>0.32720614156681138</v>
      </c>
      <c r="P579" s="56">
        <f t="shared" si="90"/>
        <v>1.8055015647408468E-2</v>
      </c>
      <c r="Q579" s="56">
        <f t="shared" si="91"/>
        <v>4.1304229269489845E-2</v>
      </c>
      <c r="R579" s="56">
        <f t="shared" si="92"/>
        <v>3.6899294663691573E-2</v>
      </c>
      <c r="S579" s="54">
        <f t="shared" si="93"/>
        <v>5.3489465555594695E-2</v>
      </c>
      <c r="T579" s="56">
        <f t="shared" si="94"/>
        <v>9.479369482508454E-2</v>
      </c>
      <c r="U579" s="56">
        <f t="shared" si="95"/>
        <v>3.5434449908186227E-2</v>
      </c>
      <c r="V579" s="56">
        <f t="shared" si="96"/>
        <v>4.1851102551211106E-2</v>
      </c>
      <c r="W579" s="56">
        <f t="shared" si="97"/>
        <v>5.9906118198619573E-2</v>
      </c>
      <c r="X579" s="65">
        <f t="shared" si="98"/>
        <v>2.1331917962903901E-2</v>
      </c>
      <c r="Y579" s="73">
        <f t="shared" si="99"/>
        <v>1.8844279016283105E-2</v>
      </c>
    </row>
    <row r="580" spans="1:25" x14ac:dyDescent="0.25">
      <c r="A580" s="52">
        <v>44246</v>
      </c>
      <c r="B580" s="53">
        <v>38.549999999999997</v>
      </c>
      <c r="C580" s="83">
        <v>0.38371284428688301</v>
      </c>
      <c r="D580" s="53">
        <v>42.21</v>
      </c>
      <c r="E580" s="87">
        <v>0.42014316880283609</v>
      </c>
      <c r="F580" s="53">
        <v>36.19</v>
      </c>
      <c r="G580" s="83">
        <v>0.36105917725843922</v>
      </c>
      <c r="H580" s="55">
        <v>38.6</v>
      </c>
      <c r="I580" s="83">
        <v>0.3857754047301229</v>
      </c>
      <c r="J580" s="55">
        <v>32.5</v>
      </c>
      <c r="K580" s="83">
        <v>0.32330596531870681</v>
      </c>
      <c r="L580" s="53">
        <v>34.799999999999997</v>
      </c>
      <c r="M580" s="83">
        <v>0.34779751514529211</v>
      </c>
      <c r="N580" s="55">
        <v>33</v>
      </c>
      <c r="O580" s="83">
        <v>0.32980798849984599</v>
      </c>
      <c r="P580" s="56">
        <f t="shared" si="90"/>
        <v>2.2653667028443791E-2</v>
      </c>
      <c r="Q580" s="56">
        <f t="shared" si="91"/>
        <v>3.6430324515953072E-2</v>
      </c>
      <c r="R580" s="56">
        <f t="shared" si="92"/>
        <v>3.5915329141590902E-2</v>
      </c>
      <c r="S580" s="54">
        <f t="shared" si="93"/>
        <v>5.390485578703702E-2</v>
      </c>
      <c r="T580" s="56">
        <f t="shared" si="94"/>
        <v>9.0335180302990092E-2</v>
      </c>
      <c r="U580" s="56">
        <f t="shared" si="95"/>
        <v>3.1251188758593229E-2</v>
      </c>
      <c r="V580" s="56">
        <f t="shared" si="96"/>
        <v>3.7753211939732412E-2</v>
      </c>
      <c r="W580" s="56">
        <f t="shared" si="97"/>
        <v>6.0406878968176203E-2</v>
      </c>
      <c r="X580" s="65">
        <f t="shared" si="98"/>
        <v>2.4716227471683672E-2</v>
      </c>
      <c r="Y580" s="73">
        <f t="shared" si="99"/>
        <v>1.326166211314711E-2</v>
      </c>
    </row>
    <row r="581" spans="1:25" x14ac:dyDescent="0.25">
      <c r="A581" s="52">
        <v>44245</v>
      </c>
      <c r="B581" s="53">
        <v>38.950000000000003</v>
      </c>
      <c r="C581" s="83">
        <v>0.38770487332624293</v>
      </c>
      <c r="D581" s="53">
        <v>42.2</v>
      </c>
      <c r="E581" s="87">
        <v>0.42005508740352893</v>
      </c>
      <c r="F581" s="53">
        <v>36.75</v>
      </c>
      <c r="G581" s="83">
        <v>0.36665117741119868</v>
      </c>
      <c r="H581" s="55">
        <v>39.049999999999997</v>
      </c>
      <c r="I581" s="83">
        <v>0.39027412216901858</v>
      </c>
      <c r="J581" s="55">
        <v>33.01</v>
      </c>
      <c r="K581" s="83">
        <v>0.32838945083997401</v>
      </c>
      <c r="L581" s="53">
        <v>34.78</v>
      </c>
      <c r="M581" s="83">
        <v>0.34759882123017838</v>
      </c>
      <c r="N581" s="55">
        <v>32.86</v>
      </c>
      <c r="O581" s="83">
        <v>0.32840992713121508</v>
      </c>
      <c r="P581" s="56">
        <f t="shared" si="90"/>
        <v>2.1053695915044246E-2</v>
      </c>
      <c r="Q581" s="56">
        <f t="shared" si="91"/>
        <v>3.2350214077285999E-2</v>
      </c>
      <c r="R581" s="56">
        <f t="shared" si="92"/>
        <v>4.0106052096064548E-2</v>
      </c>
      <c r="S581" s="54">
        <f t="shared" si="93"/>
        <v>5.9294946195027842E-2</v>
      </c>
      <c r="T581" s="56">
        <f t="shared" si="94"/>
        <v>9.1645160272313841E-2</v>
      </c>
      <c r="U581" s="56">
        <f t="shared" si="95"/>
        <v>3.8241250279983596E-2</v>
      </c>
      <c r="V581" s="56">
        <f t="shared" si="96"/>
        <v>3.8261726571224675E-2</v>
      </c>
      <c r="W581" s="56">
        <f t="shared" si="97"/>
        <v>5.9315422486268921E-2</v>
      </c>
      <c r="X581" s="65">
        <f t="shared" si="98"/>
        <v>2.3622944757819897E-2</v>
      </c>
      <c r="Y581" s="73">
        <f t="shared" si="99"/>
        <v>1.9052356181020302E-2</v>
      </c>
    </row>
    <row r="582" spans="1:25" x14ac:dyDescent="0.25">
      <c r="A582" s="52">
        <v>44244</v>
      </c>
      <c r="B582" s="53">
        <v>38.69</v>
      </c>
      <c r="C582" s="83">
        <v>0.38512735900512712</v>
      </c>
      <c r="D582" s="53">
        <v>42.4</v>
      </c>
      <c r="E582" s="87">
        <v>0.42205737973164609</v>
      </c>
      <c r="F582" s="53">
        <v>36.14</v>
      </c>
      <c r="G582" s="83">
        <v>0.36057019462059919</v>
      </c>
      <c r="H582" s="55">
        <v>39.229999999999997</v>
      </c>
      <c r="I582" s="83">
        <v>0.39207442293474981</v>
      </c>
      <c r="J582" s="55">
        <v>32.9</v>
      </c>
      <c r="K582" s="83">
        <v>0.32730518684074239</v>
      </c>
      <c r="L582" s="53">
        <v>34.69</v>
      </c>
      <c r="M582" s="83">
        <v>0.34670052846307597</v>
      </c>
      <c r="N582" s="55">
        <v>32.85</v>
      </c>
      <c r="O582" s="83">
        <v>0.32831110867719943</v>
      </c>
      <c r="P582" s="56">
        <f t="shared" si="90"/>
        <v>2.455716438452793E-2</v>
      </c>
      <c r="Q582" s="56">
        <f t="shared" si="91"/>
        <v>3.6930020726518964E-2</v>
      </c>
      <c r="R582" s="56">
        <f t="shared" si="92"/>
        <v>3.8426830542051149E-2</v>
      </c>
      <c r="S582" s="54">
        <f t="shared" si="93"/>
        <v>5.6816250327927698E-2</v>
      </c>
      <c r="T582" s="56">
        <f t="shared" si="94"/>
        <v>9.3746271054446662E-2</v>
      </c>
      <c r="U582" s="56">
        <f t="shared" si="95"/>
        <v>3.2259085943399768E-2</v>
      </c>
      <c r="V582" s="56">
        <f t="shared" si="96"/>
        <v>3.3265007779856803E-2</v>
      </c>
      <c r="W582" s="56">
        <f t="shared" si="97"/>
        <v>5.7822172164384733E-2</v>
      </c>
      <c r="X582" s="65">
        <f t="shared" si="98"/>
        <v>3.1504228314150617E-2</v>
      </c>
      <c r="Y582" s="73">
        <f t="shared" si="99"/>
        <v>1.3869666157523219E-2</v>
      </c>
    </row>
    <row r="583" spans="1:25" x14ac:dyDescent="0.25">
      <c r="A583" s="52">
        <v>44239</v>
      </c>
      <c r="B583" s="53">
        <v>39</v>
      </c>
      <c r="C583" s="83">
        <v>0.38826609933720652</v>
      </c>
      <c r="D583" s="53">
        <v>43.2</v>
      </c>
      <c r="E583" s="87">
        <v>0.430079371573521</v>
      </c>
      <c r="F583" s="53">
        <v>36.450000000000003</v>
      </c>
      <c r="G583" s="83">
        <v>0.36368792969123742</v>
      </c>
      <c r="H583" s="55">
        <v>39.799999999999997</v>
      </c>
      <c r="I583" s="83">
        <v>0.3977779527181744</v>
      </c>
      <c r="J583" s="55">
        <v>33.549999999999997</v>
      </c>
      <c r="K583" s="83">
        <v>0.33382288298173218</v>
      </c>
      <c r="L583" s="53">
        <v>35.299999999999997</v>
      </c>
      <c r="M583" s="83">
        <v>0.35280305856662197</v>
      </c>
      <c r="N583" s="55">
        <v>33.4</v>
      </c>
      <c r="O583" s="83">
        <v>0.33381365881374442</v>
      </c>
      <c r="P583" s="56">
        <f t="shared" si="90"/>
        <v>2.4578169645969095E-2</v>
      </c>
      <c r="Q583" s="56">
        <f t="shared" si="91"/>
        <v>4.181327223631448E-2</v>
      </c>
      <c r="R583" s="56">
        <f t="shared" si="92"/>
        <v>3.5463040770584542E-2</v>
      </c>
      <c r="S583" s="54">
        <f t="shared" si="93"/>
        <v>5.4452440523462098E-2</v>
      </c>
      <c r="T583" s="56">
        <f t="shared" si="94"/>
        <v>9.6265712759776578E-2</v>
      </c>
      <c r="U583" s="56">
        <f t="shared" si="95"/>
        <v>2.9874270877493003E-2</v>
      </c>
      <c r="V583" s="56">
        <f t="shared" si="96"/>
        <v>2.9865046709505239E-2</v>
      </c>
      <c r="W583" s="56">
        <f t="shared" si="97"/>
        <v>5.4443216355474333E-2</v>
      </c>
      <c r="X583" s="65">
        <f t="shared" si="98"/>
        <v>3.4090023026936978E-2</v>
      </c>
      <c r="Y583" s="73">
        <f t="shared" si="99"/>
        <v>1.0884871124615447E-2</v>
      </c>
    </row>
    <row r="584" spans="1:25" x14ac:dyDescent="0.25">
      <c r="A584" s="52">
        <v>44238</v>
      </c>
      <c r="B584" s="53">
        <v>39.1</v>
      </c>
      <c r="C584" s="83">
        <v>0.38927227101631118</v>
      </c>
      <c r="D584" s="53">
        <v>42.55</v>
      </c>
      <c r="E584" s="87">
        <v>0.42361982434127982</v>
      </c>
      <c r="F584" s="53">
        <v>37.01</v>
      </c>
      <c r="G584" s="83">
        <v>0.36928050080642949</v>
      </c>
      <c r="H584" s="55">
        <v>39.58</v>
      </c>
      <c r="I584" s="83">
        <v>0.39558053408725302</v>
      </c>
      <c r="J584" s="55">
        <v>33.799999999999997</v>
      </c>
      <c r="K584" s="83">
        <v>0.33632070006610831</v>
      </c>
      <c r="L584" s="53">
        <v>35.5</v>
      </c>
      <c r="M584" s="83">
        <v>0.35480315715253868</v>
      </c>
      <c r="N584" s="55">
        <v>33.51</v>
      </c>
      <c r="O584" s="83">
        <v>0.33491419144173429</v>
      </c>
      <c r="P584" s="56">
        <f t="shared" si="90"/>
        <v>1.9991770209881687E-2</v>
      </c>
      <c r="Q584" s="56">
        <f t="shared" si="91"/>
        <v>3.4347553324968638E-2</v>
      </c>
      <c r="R584" s="56">
        <f t="shared" si="92"/>
        <v>3.4469113863772494E-2</v>
      </c>
      <c r="S584" s="54">
        <f t="shared" si="93"/>
        <v>5.435807957457689E-2</v>
      </c>
      <c r="T584" s="56">
        <f t="shared" si="94"/>
        <v>8.8705632899545528E-2</v>
      </c>
      <c r="U584" s="56">
        <f t="shared" si="95"/>
        <v>3.4366309364695202E-2</v>
      </c>
      <c r="V584" s="56">
        <f t="shared" si="96"/>
        <v>3.2959800740321177E-2</v>
      </c>
      <c r="W584" s="56">
        <f t="shared" si="97"/>
        <v>5.2951570950202864E-2</v>
      </c>
      <c r="X584" s="65">
        <f t="shared" si="98"/>
        <v>2.6300033280823532E-2</v>
      </c>
      <c r="Y584" s="73">
        <f t="shared" si="99"/>
        <v>1.4477343653890806E-2</v>
      </c>
    </row>
    <row r="585" spans="1:25" x14ac:dyDescent="0.25">
      <c r="A585" s="52">
        <v>44237</v>
      </c>
      <c r="B585" s="53">
        <v>39.409999999999997</v>
      </c>
      <c r="C585" s="83">
        <v>0.39236927525162979</v>
      </c>
      <c r="D585" s="53">
        <v>42.8</v>
      </c>
      <c r="E585" s="87">
        <v>0.4261204004255203</v>
      </c>
      <c r="F585" s="53">
        <v>37.450000000000003</v>
      </c>
      <c r="G585" s="83">
        <v>0.37367586555678572</v>
      </c>
      <c r="H585" s="55">
        <v>39.659999999999997</v>
      </c>
      <c r="I585" s="83">
        <v>0.39638144721574747</v>
      </c>
      <c r="J585" s="55">
        <v>33.89</v>
      </c>
      <c r="K585" s="83">
        <v>0.3372265708862528</v>
      </c>
      <c r="L585" s="53">
        <v>35.5</v>
      </c>
      <c r="M585" s="83">
        <v>0.35480437156225508</v>
      </c>
      <c r="N585" s="55">
        <v>33.43</v>
      </c>
      <c r="O585" s="83">
        <v>0.33411577862890668</v>
      </c>
      <c r="P585" s="56">
        <f t="shared" si="90"/>
        <v>1.8693409694844065E-2</v>
      </c>
      <c r="Q585" s="56">
        <f t="shared" si="91"/>
        <v>3.3751125173890506E-2</v>
      </c>
      <c r="R585" s="56">
        <f t="shared" si="92"/>
        <v>3.7564903689374707E-2</v>
      </c>
      <c r="S585" s="54">
        <f t="shared" si="93"/>
        <v>5.8253496622723111E-2</v>
      </c>
      <c r="T585" s="56">
        <f t="shared" si="94"/>
        <v>9.2004621796613617E-2</v>
      </c>
      <c r="U585" s="56">
        <f t="shared" si="95"/>
        <v>3.9560086927879046E-2</v>
      </c>
      <c r="V585" s="56">
        <f t="shared" si="96"/>
        <v>3.6449294670532928E-2</v>
      </c>
      <c r="W585" s="56">
        <f t="shared" si="97"/>
        <v>5.5142704365376993E-2</v>
      </c>
      <c r="X585" s="65">
        <f t="shared" si="98"/>
        <v>2.2705581658961749E-2</v>
      </c>
      <c r="Y585" s="73">
        <f t="shared" si="99"/>
        <v>1.8871493994530641E-2</v>
      </c>
    </row>
    <row r="586" spans="1:25" x14ac:dyDescent="0.25">
      <c r="A586" s="52">
        <v>44236</v>
      </c>
      <c r="B586" s="53">
        <v>39.47</v>
      </c>
      <c r="C586" s="83">
        <v>0.39297735951991269</v>
      </c>
      <c r="D586" s="53">
        <v>42.8</v>
      </c>
      <c r="E586" s="87">
        <v>0.4261320240043644</v>
      </c>
      <c r="F586" s="53">
        <v>37.520000000000003</v>
      </c>
      <c r="G586" s="83">
        <v>0.37437944231820669</v>
      </c>
      <c r="H586" s="55">
        <v>39.89</v>
      </c>
      <c r="I586" s="83">
        <v>0.39868154435925518</v>
      </c>
      <c r="J586" s="55">
        <v>33.81</v>
      </c>
      <c r="K586" s="83">
        <v>0.33644083969465649</v>
      </c>
      <c r="L586" s="53">
        <v>35.799999999999997</v>
      </c>
      <c r="M586" s="83">
        <v>0.35780394304490692</v>
      </c>
      <c r="N586" s="55">
        <v>33.68</v>
      </c>
      <c r="O586" s="83">
        <v>0.3366155531215772</v>
      </c>
      <c r="P586" s="56">
        <f t="shared" si="90"/>
        <v>1.8597917201706005E-2</v>
      </c>
      <c r="Q586" s="56">
        <f t="shared" si="91"/>
        <v>3.3154664484451701E-2</v>
      </c>
      <c r="R586" s="56">
        <f t="shared" si="92"/>
        <v>3.517341647500577E-2</v>
      </c>
      <c r="S586" s="54">
        <f t="shared" si="93"/>
        <v>5.636180639833549E-2</v>
      </c>
      <c r="T586" s="56">
        <f t="shared" si="94"/>
        <v>8.9516470882787191E-2</v>
      </c>
      <c r="U586" s="56">
        <f t="shared" si="95"/>
        <v>3.7763889196629485E-2</v>
      </c>
      <c r="V586" s="56">
        <f t="shared" si="96"/>
        <v>3.7938602623550199E-2</v>
      </c>
      <c r="W586" s="56">
        <f t="shared" si="97"/>
        <v>5.6536519825256204E-2</v>
      </c>
      <c r="X586" s="65">
        <f t="shared" si="98"/>
        <v>2.430210204104849E-2</v>
      </c>
      <c r="Y586" s="73">
        <f t="shared" si="99"/>
        <v>1.6575499273299765E-2</v>
      </c>
    </row>
    <row r="587" spans="1:25" x14ac:dyDescent="0.25">
      <c r="A587" s="52">
        <v>44235</v>
      </c>
      <c r="B587" s="53">
        <v>39.549999999999997</v>
      </c>
      <c r="C587" s="83">
        <v>0.39378460950926097</v>
      </c>
      <c r="D587" s="53">
        <v>43.12</v>
      </c>
      <c r="E587" s="87">
        <v>0.42932976895168989</v>
      </c>
      <c r="F587" s="53">
        <v>37.65</v>
      </c>
      <c r="G587" s="83">
        <v>0.37568173430473351</v>
      </c>
      <c r="H587" s="55">
        <v>39.979999999999997</v>
      </c>
      <c r="I587" s="83">
        <v>0.39958241916216852</v>
      </c>
      <c r="J587" s="55">
        <v>34.11</v>
      </c>
      <c r="K587" s="83">
        <v>0.33943652851948158</v>
      </c>
      <c r="L587" s="53">
        <v>36</v>
      </c>
      <c r="M587" s="83">
        <v>0.35980407928559449</v>
      </c>
      <c r="N587" s="55">
        <v>33.700000000000003</v>
      </c>
      <c r="O587" s="83">
        <v>0.33681659644234818</v>
      </c>
      <c r="P587" s="56">
        <f t="shared" si="90"/>
        <v>1.8102875204527469E-2</v>
      </c>
      <c r="Q587" s="56">
        <f t="shared" si="91"/>
        <v>3.554515944242892E-2</v>
      </c>
      <c r="R587" s="56">
        <f t="shared" si="92"/>
        <v>3.3980530223666483E-2</v>
      </c>
      <c r="S587" s="54">
        <f t="shared" si="93"/>
        <v>5.6968013066912793E-2</v>
      </c>
      <c r="T587" s="56">
        <f t="shared" si="94"/>
        <v>9.2513172509341712E-2</v>
      </c>
      <c r="U587" s="56">
        <f t="shared" si="95"/>
        <v>3.8865137862385324E-2</v>
      </c>
      <c r="V587" s="56">
        <f t="shared" si="96"/>
        <v>3.6245205785251922E-2</v>
      </c>
      <c r="W587" s="56">
        <f t="shared" si="97"/>
        <v>5.434808098977939E-2</v>
      </c>
      <c r="X587" s="65">
        <f t="shared" si="98"/>
        <v>2.3900684857435017E-2</v>
      </c>
      <c r="Y587" s="73">
        <f t="shared" si="99"/>
        <v>1.5877655019139014E-2</v>
      </c>
    </row>
    <row r="588" spans="1:25" x14ac:dyDescent="0.25">
      <c r="A588" s="52">
        <v>44232</v>
      </c>
      <c r="B588" s="53">
        <v>39.479999999999997</v>
      </c>
      <c r="C588" s="83">
        <v>0.39311981667394152</v>
      </c>
      <c r="D588" s="53">
        <v>43.52</v>
      </c>
      <c r="E588" s="87">
        <v>0.43334788302051508</v>
      </c>
      <c r="F588" s="53">
        <v>37.619999999999997</v>
      </c>
      <c r="G588" s="83">
        <v>0.37539778008639069</v>
      </c>
      <c r="H588" s="55">
        <v>39.979999999999997</v>
      </c>
      <c r="I588" s="83">
        <v>0.39958652226892483</v>
      </c>
      <c r="J588" s="55">
        <v>34.11</v>
      </c>
      <c r="K588" s="83">
        <v>0.33946776458398659</v>
      </c>
      <c r="L588" s="53">
        <v>36</v>
      </c>
      <c r="M588" s="83">
        <v>0.35980777392899682</v>
      </c>
      <c r="N588" s="55">
        <v>33.75</v>
      </c>
      <c r="O588" s="83">
        <v>0.33731978805843449</v>
      </c>
      <c r="P588" s="56">
        <f t="shared" si="90"/>
        <v>1.7722036587550838E-2</v>
      </c>
      <c r="Q588" s="56">
        <f t="shared" si="91"/>
        <v>4.0228066346573554E-2</v>
      </c>
      <c r="R588" s="56">
        <f t="shared" si="92"/>
        <v>3.3312042744944703E-2</v>
      </c>
      <c r="S588" s="54">
        <f t="shared" si="93"/>
        <v>5.5800028615507036E-2</v>
      </c>
      <c r="T588" s="56">
        <f t="shared" si="94"/>
        <v>9.602809496208059E-2</v>
      </c>
      <c r="U588" s="56">
        <f t="shared" si="95"/>
        <v>3.8077992027956198E-2</v>
      </c>
      <c r="V588" s="56">
        <f t="shared" si="96"/>
        <v>3.59300155024041E-2</v>
      </c>
      <c r="W588" s="56">
        <f t="shared" si="97"/>
        <v>5.3652052089954938E-2</v>
      </c>
      <c r="X588" s="65">
        <f t="shared" si="98"/>
        <v>2.418874218253414E-2</v>
      </c>
      <c r="Y588" s="73">
        <f t="shared" si="99"/>
        <v>1.5590006157393865E-2</v>
      </c>
    </row>
    <row r="589" spans="1:25" x14ac:dyDescent="0.25">
      <c r="A589" s="52">
        <v>44231</v>
      </c>
      <c r="B589" s="53">
        <v>39.479999999999997</v>
      </c>
      <c r="C589" s="83">
        <v>0.39313054153594318</v>
      </c>
      <c r="D589" s="53">
        <v>42.75</v>
      </c>
      <c r="E589" s="87">
        <v>0.42569226572091118</v>
      </c>
      <c r="F589" s="53">
        <v>37.64</v>
      </c>
      <c r="G589" s="83">
        <v>0.37560248786822498</v>
      </c>
      <c r="H589" s="55">
        <v>39.72</v>
      </c>
      <c r="I589" s="83">
        <v>0.39698926939467061</v>
      </c>
      <c r="J589" s="55">
        <v>34.1</v>
      </c>
      <c r="K589" s="83">
        <v>0.33937865335128409</v>
      </c>
      <c r="L589" s="53">
        <v>36.28</v>
      </c>
      <c r="M589" s="83">
        <v>0.36260751998083213</v>
      </c>
      <c r="N589" s="55">
        <v>33.69</v>
      </c>
      <c r="O589" s="83">
        <v>0.33672126097448268</v>
      </c>
      <c r="P589" s="56">
        <f t="shared" si="90"/>
        <v>1.7528053667718202E-2</v>
      </c>
      <c r="Q589" s="56">
        <f t="shared" si="91"/>
        <v>3.2561724184967999E-2</v>
      </c>
      <c r="R589" s="56">
        <f t="shared" si="92"/>
        <v>3.0523021555111052E-2</v>
      </c>
      <c r="S589" s="54">
        <f t="shared" si="93"/>
        <v>5.6409280561460495E-2</v>
      </c>
      <c r="T589" s="56">
        <f t="shared" si="94"/>
        <v>8.8971004746428495E-2</v>
      </c>
      <c r="U589" s="56">
        <f t="shared" si="95"/>
        <v>3.8881226893742293E-2</v>
      </c>
      <c r="V589" s="56">
        <f t="shared" si="96"/>
        <v>3.6223834516940889E-2</v>
      </c>
      <c r="W589" s="56">
        <f t="shared" si="97"/>
        <v>5.3751888184659091E-2</v>
      </c>
      <c r="X589" s="65">
        <f t="shared" si="98"/>
        <v>2.1386781526445631E-2</v>
      </c>
      <c r="Y589" s="73">
        <f t="shared" si="99"/>
        <v>1.299496788739285E-2</v>
      </c>
    </row>
    <row r="590" spans="1:25" x14ac:dyDescent="0.25">
      <c r="A590" s="52">
        <v>44230</v>
      </c>
      <c r="B590" s="53">
        <v>39.6</v>
      </c>
      <c r="C590" s="83">
        <v>0.39433622524144712</v>
      </c>
      <c r="D590" s="53">
        <v>42.25</v>
      </c>
      <c r="E590" s="87">
        <v>0.42072488677906911</v>
      </c>
      <c r="F590" s="53">
        <v>37.78</v>
      </c>
      <c r="G590" s="83">
        <v>0.37700467506903251</v>
      </c>
      <c r="H590" s="55">
        <v>39.61</v>
      </c>
      <c r="I590" s="83">
        <v>0.3958912080615018</v>
      </c>
      <c r="J590" s="55">
        <v>33.9</v>
      </c>
      <c r="K590" s="83">
        <v>0.33739851253979403</v>
      </c>
      <c r="L590" s="53">
        <v>36.549999999999997</v>
      </c>
      <c r="M590" s="83">
        <v>0.36530733791082781</v>
      </c>
      <c r="N590" s="55">
        <v>33.35</v>
      </c>
      <c r="O590" s="83">
        <v>0.33332420572711652</v>
      </c>
      <c r="P590" s="56">
        <f t="shared" si="90"/>
        <v>1.7331550172414611E-2</v>
      </c>
      <c r="Q590" s="56">
        <f t="shared" si="91"/>
        <v>2.6388661537621982E-2</v>
      </c>
      <c r="R590" s="56">
        <f t="shared" si="92"/>
        <v>2.9028887330619313E-2</v>
      </c>
      <c r="S590" s="54">
        <f t="shared" si="93"/>
        <v>6.1012019514330607E-2</v>
      </c>
      <c r="T590" s="56">
        <f t="shared" si="94"/>
        <v>8.7400681051952589E-2</v>
      </c>
      <c r="U590" s="56">
        <f t="shared" si="95"/>
        <v>4.3680469341915995E-2</v>
      </c>
      <c r="V590" s="56">
        <f t="shared" si="96"/>
        <v>3.9606162529238487E-2</v>
      </c>
      <c r="W590" s="56">
        <f t="shared" si="97"/>
        <v>5.6937712701653098E-2</v>
      </c>
      <c r="X590" s="65">
        <f t="shared" si="98"/>
        <v>1.8886532992469285E-2</v>
      </c>
      <c r="Y590" s="73">
        <f t="shared" si="99"/>
        <v>1.1697337158204701E-2</v>
      </c>
    </row>
    <row r="591" spans="1:25" x14ac:dyDescent="0.25">
      <c r="A591" s="52">
        <v>44229</v>
      </c>
      <c r="B591" s="53">
        <v>39.85</v>
      </c>
      <c r="C591" s="83">
        <v>0.39683654816795361</v>
      </c>
      <c r="D591" s="53">
        <v>42.75</v>
      </c>
      <c r="E591" s="87">
        <v>0.42571549395683839</v>
      </c>
      <c r="F591" s="53">
        <v>37.97</v>
      </c>
      <c r="G591" s="83">
        <v>0.37890585485215922</v>
      </c>
      <c r="H591" s="55">
        <v>39.94</v>
      </c>
      <c r="I591" s="83">
        <v>0.39919083493922702</v>
      </c>
      <c r="J591" s="55">
        <v>33.799999999999997</v>
      </c>
      <c r="K591" s="83">
        <v>0.3364135566182761</v>
      </c>
      <c r="L591" s="53">
        <v>36.65</v>
      </c>
      <c r="M591" s="83">
        <v>0.36630806460998172</v>
      </c>
      <c r="N591" s="55">
        <v>33.549999999999997</v>
      </c>
      <c r="O591" s="83">
        <v>0.33532429925415791</v>
      </c>
      <c r="P591" s="56">
        <f t="shared" si="90"/>
        <v>1.7930693315794388E-2</v>
      </c>
      <c r="Q591" s="56">
        <f t="shared" si="91"/>
        <v>2.887894578888478E-2</v>
      </c>
      <c r="R591" s="56">
        <f t="shared" si="92"/>
        <v>3.0528483557971886E-2</v>
      </c>
      <c r="S591" s="54">
        <f t="shared" si="93"/>
        <v>6.1512248913795697E-2</v>
      </c>
      <c r="T591" s="56">
        <f t="shared" si="94"/>
        <v>9.0391194702680477E-2</v>
      </c>
      <c r="U591" s="56">
        <f t="shared" si="95"/>
        <v>4.3581555598001309E-2</v>
      </c>
      <c r="V591" s="56">
        <f t="shared" si="96"/>
        <v>4.2492298233883119E-2</v>
      </c>
      <c r="W591" s="56">
        <f t="shared" si="97"/>
        <v>6.0422991549677507E-2</v>
      </c>
      <c r="X591" s="65">
        <f t="shared" si="98"/>
        <v>2.0284980087067805E-2</v>
      </c>
      <c r="Y591" s="73">
        <f t="shared" si="99"/>
        <v>1.2597790242177498E-2</v>
      </c>
    </row>
    <row r="592" spans="1:25" x14ac:dyDescent="0.25">
      <c r="A592" s="52">
        <v>44228</v>
      </c>
      <c r="B592" s="53">
        <v>39.78</v>
      </c>
      <c r="C592" s="83">
        <v>0.39615027829313543</v>
      </c>
      <c r="D592" s="53">
        <v>43</v>
      </c>
      <c r="E592" s="87">
        <v>0.4282167412419513</v>
      </c>
      <c r="F592" s="53">
        <v>38.090000000000003</v>
      </c>
      <c r="G592" s="83">
        <v>0.38010854111985998</v>
      </c>
      <c r="H592" s="55">
        <v>40.4</v>
      </c>
      <c r="I592" s="83">
        <v>0.40378980804512721</v>
      </c>
      <c r="J592" s="55">
        <v>33.799999999999997</v>
      </c>
      <c r="K592" s="83">
        <v>0.33642387717815159</v>
      </c>
      <c r="L592" s="53">
        <v>36.75</v>
      </c>
      <c r="M592" s="83">
        <v>0.367308798159862</v>
      </c>
      <c r="N592" s="55">
        <v>33.6</v>
      </c>
      <c r="O592" s="83">
        <v>0.33582518688901669</v>
      </c>
      <c r="P592" s="56">
        <f t="shared" si="90"/>
        <v>1.604173717327545E-2</v>
      </c>
      <c r="Q592" s="56">
        <f t="shared" si="91"/>
        <v>3.2066462948815877E-2</v>
      </c>
      <c r="R592" s="56">
        <f t="shared" si="92"/>
        <v>2.8841480133273423E-2</v>
      </c>
      <c r="S592" s="54">
        <f t="shared" si="93"/>
        <v>6.0325091404118736E-2</v>
      </c>
      <c r="T592" s="56">
        <f t="shared" si="94"/>
        <v>9.2391554352934613E-2</v>
      </c>
      <c r="U592" s="56">
        <f t="shared" si="95"/>
        <v>4.4283354230843286E-2</v>
      </c>
      <c r="V592" s="56">
        <f t="shared" si="96"/>
        <v>4.368466394170839E-2</v>
      </c>
      <c r="W592" s="56">
        <f t="shared" si="97"/>
        <v>5.972640111498384E-2</v>
      </c>
      <c r="X592" s="65">
        <f t="shared" si="98"/>
        <v>2.368126692526723E-2</v>
      </c>
      <c r="Y592" s="73">
        <f t="shared" si="99"/>
        <v>1.2799742959997973E-2</v>
      </c>
    </row>
    <row r="593" spans="1:25" x14ac:dyDescent="0.25">
      <c r="A593" s="52">
        <v>44225</v>
      </c>
      <c r="B593" s="53">
        <v>39.549999999999997</v>
      </c>
      <c r="C593" s="83">
        <v>0.39389205708204861</v>
      </c>
      <c r="D593" s="53">
        <v>43</v>
      </c>
      <c r="E593" s="87">
        <v>0.42825179404622232</v>
      </c>
      <c r="F593" s="53">
        <v>38.14</v>
      </c>
      <c r="G593" s="83">
        <v>0.38062311173085073</v>
      </c>
      <c r="H593" s="55">
        <v>40.04</v>
      </c>
      <c r="I593" s="83">
        <v>0.40019579050416049</v>
      </c>
      <c r="J593" s="55">
        <v>33.630000000000003</v>
      </c>
      <c r="K593" s="83">
        <v>0.33476261415894809</v>
      </c>
      <c r="L593" s="53">
        <v>36.700000000000003</v>
      </c>
      <c r="M593" s="83">
        <v>0.3668128249626047</v>
      </c>
      <c r="N593" s="55">
        <v>33.49</v>
      </c>
      <c r="O593" s="83">
        <v>0.33472919640320531</v>
      </c>
      <c r="P593" s="56">
        <f t="shared" si="90"/>
        <v>1.3268945351197881E-2</v>
      </c>
      <c r="Q593" s="56">
        <f t="shared" si="91"/>
        <v>3.4359736964173715E-2</v>
      </c>
      <c r="R593" s="56">
        <f t="shared" si="92"/>
        <v>2.7079232119443908E-2</v>
      </c>
      <c r="S593" s="54">
        <f t="shared" si="93"/>
        <v>5.9162860678843299E-2</v>
      </c>
      <c r="T593" s="56">
        <f t="shared" si="94"/>
        <v>9.3522597643017014E-2</v>
      </c>
      <c r="U593" s="56">
        <f t="shared" si="95"/>
        <v>4.5893915327645418E-2</v>
      </c>
      <c r="V593" s="56">
        <f t="shared" si="96"/>
        <v>4.5860497571902636E-2</v>
      </c>
      <c r="W593" s="56">
        <f t="shared" si="97"/>
        <v>5.9129442923100517E-2</v>
      </c>
      <c r="X593" s="65">
        <f t="shared" si="98"/>
        <v>1.957267877330976E-2</v>
      </c>
      <c r="Y593" s="73">
        <f t="shared" si="99"/>
        <v>1.3810286768246027E-2</v>
      </c>
    </row>
    <row r="594" spans="1:25" x14ac:dyDescent="0.25">
      <c r="A594" s="52">
        <v>44224</v>
      </c>
      <c r="B594" s="53">
        <v>39.450000000000003</v>
      </c>
      <c r="C594" s="83">
        <v>0.39290684348395549</v>
      </c>
      <c r="D594" s="53">
        <v>43</v>
      </c>
      <c r="E594" s="87">
        <v>0.42826347958960931</v>
      </c>
      <c r="F594" s="53">
        <v>38.270000000000003</v>
      </c>
      <c r="G594" s="83">
        <v>0.38192568491277962</v>
      </c>
      <c r="H594" s="55">
        <v>40.04</v>
      </c>
      <c r="I594" s="83">
        <v>0.40019716034338759</v>
      </c>
      <c r="J594" s="55">
        <v>33.9</v>
      </c>
      <c r="K594" s="83">
        <v>0.3374606248210219</v>
      </c>
      <c r="L594" s="53">
        <v>36.75</v>
      </c>
      <c r="M594" s="83">
        <v>0.36731382723824912</v>
      </c>
      <c r="N594" s="55">
        <v>33.700000000000003</v>
      </c>
      <c r="O594" s="83">
        <v>0.33682927831099307</v>
      </c>
      <c r="P594" s="56">
        <f t="shared" si="90"/>
        <v>1.0981158571175875E-2</v>
      </c>
      <c r="Q594" s="56">
        <f t="shared" si="91"/>
        <v>3.5356636105653816E-2</v>
      </c>
      <c r="R594" s="56">
        <f t="shared" si="92"/>
        <v>2.5593016245706368E-2</v>
      </c>
      <c r="S594" s="54">
        <f t="shared" si="93"/>
        <v>5.6077565172962418E-2</v>
      </c>
      <c r="T594" s="56">
        <f t="shared" si="94"/>
        <v>9.1434201278616234E-2</v>
      </c>
      <c r="U594" s="56">
        <f t="shared" si="95"/>
        <v>4.5096406601786543E-2</v>
      </c>
      <c r="V594" s="56">
        <f t="shared" si="96"/>
        <v>4.4465060091757713E-2</v>
      </c>
      <c r="W594" s="56">
        <f t="shared" si="97"/>
        <v>5.5446218662933588E-2</v>
      </c>
      <c r="X594" s="65">
        <f t="shared" si="98"/>
        <v>1.8271475430607975E-2</v>
      </c>
      <c r="Y594" s="73">
        <f t="shared" si="99"/>
        <v>1.4611857674530493E-2</v>
      </c>
    </row>
    <row r="595" spans="1:25" x14ac:dyDescent="0.25">
      <c r="A595" s="52">
        <v>44223</v>
      </c>
      <c r="B595" s="53">
        <v>39.840000000000003</v>
      </c>
      <c r="C595" s="83">
        <v>0.39680192103037087</v>
      </c>
      <c r="D595" s="53">
        <v>43</v>
      </c>
      <c r="E595" s="87">
        <v>0.42827516577073149</v>
      </c>
      <c r="F595" s="53">
        <v>38.43</v>
      </c>
      <c r="G595" s="83">
        <v>0.38352769081438748</v>
      </c>
      <c r="H595" s="55">
        <v>40.299999999999997</v>
      </c>
      <c r="I595" s="83">
        <v>0.40279722194648582</v>
      </c>
      <c r="J595" s="55">
        <v>34</v>
      </c>
      <c r="K595" s="83">
        <v>0.33846646870514763</v>
      </c>
      <c r="L595" s="53">
        <v>36.67</v>
      </c>
      <c r="M595" s="83">
        <v>0.3665154870664426</v>
      </c>
      <c r="N595" s="55">
        <v>33.89</v>
      </c>
      <c r="O595" s="83">
        <v>0.33872947522993557</v>
      </c>
      <c r="P595" s="56">
        <f t="shared" si="90"/>
        <v>1.3274230215983396E-2</v>
      </c>
      <c r="Q595" s="56">
        <f t="shared" si="91"/>
        <v>3.1473244740360617E-2</v>
      </c>
      <c r="R595" s="56">
        <f t="shared" si="92"/>
        <v>3.0286433963928272E-2</v>
      </c>
      <c r="S595" s="54">
        <f t="shared" si="93"/>
        <v>5.8072445800435302E-2</v>
      </c>
      <c r="T595" s="56">
        <f t="shared" si="94"/>
        <v>8.9545690540795919E-2</v>
      </c>
      <c r="U595" s="56">
        <f t="shared" si="95"/>
        <v>4.4798215584451906E-2</v>
      </c>
      <c r="V595" s="56">
        <f t="shared" si="96"/>
        <v>4.5061222109239851E-2</v>
      </c>
      <c r="W595" s="56">
        <f t="shared" si="97"/>
        <v>5.8335452325223247E-2</v>
      </c>
      <c r="X595" s="65">
        <f t="shared" si="98"/>
        <v>1.9269531132098339E-2</v>
      </c>
      <c r="Y595" s="73">
        <f t="shared" si="99"/>
        <v>1.7012203747944876E-2</v>
      </c>
    </row>
    <row r="596" spans="1:25" x14ac:dyDescent="0.25">
      <c r="A596" s="52">
        <v>44222</v>
      </c>
      <c r="B596" s="53">
        <v>39.85</v>
      </c>
      <c r="C596" s="83">
        <v>0.3969123505976096</v>
      </c>
      <c r="D596" s="53">
        <v>43.15</v>
      </c>
      <c r="E596" s="87">
        <v>0.42978087649402391</v>
      </c>
      <c r="F596" s="53">
        <v>38.58</v>
      </c>
      <c r="G596" s="83">
        <v>0.38502994011976038</v>
      </c>
      <c r="H596" s="55">
        <v>40.4</v>
      </c>
      <c r="I596" s="83">
        <v>0.40379810094952517</v>
      </c>
      <c r="J596" s="55">
        <v>34.049999999999997</v>
      </c>
      <c r="K596" s="83">
        <v>0.33897461423593828</v>
      </c>
      <c r="L596" s="53">
        <v>36.380000000000003</v>
      </c>
      <c r="M596" s="83">
        <v>0.36361819090454778</v>
      </c>
      <c r="N596" s="55">
        <v>33.6</v>
      </c>
      <c r="O596" s="83">
        <v>0.335832083958021</v>
      </c>
      <c r="P596" s="56">
        <f t="shared" si="90"/>
        <v>1.1882410477849215E-2</v>
      </c>
      <c r="Q596" s="56">
        <f t="shared" si="91"/>
        <v>3.2868525896414313E-2</v>
      </c>
      <c r="R596" s="56">
        <f t="shared" si="92"/>
        <v>3.329415969306182E-2</v>
      </c>
      <c r="S596" s="54">
        <f t="shared" si="93"/>
        <v>6.1080266639588598E-2</v>
      </c>
      <c r="T596" s="56">
        <f t="shared" si="94"/>
        <v>9.3948792536002912E-2</v>
      </c>
      <c r="U596" s="56">
        <f t="shared" si="95"/>
        <v>4.9197856161739384E-2</v>
      </c>
      <c r="V596" s="56">
        <f t="shared" si="96"/>
        <v>4.6055325883822107E-2</v>
      </c>
      <c r="W596" s="56">
        <f t="shared" si="97"/>
        <v>5.7937736361671321E-2</v>
      </c>
      <c r="X596" s="65">
        <f t="shared" si="98"/>
        <v>1.8768160829764791E-2</v>
      </c>
      <c r="Y596" s="73">
        <f t="shared" si="99"/>
        <v>2.1411749215212605E-2</v>
      </c>
    </row>
    <row r="597" spans="1:25" x14ac:dyDescent="0.25">
      <c r="A597" s="52">
        <v>44221</v>
      </c>
      <c r="B597" s="53">
        <v>39.89</v>
      </c>
      <c r="C597" s="83">
        <v>0.39732159912675669</v>
      </c>
      <c r="D597" s="53">
        <v>43.37</v>
      </c>
      <c r="E597" s="87">
        <v>0.43198389957702282</v>
      </c>
      <c r="F597" s="53">
        <v>38.590000000000003</v>
      </c>
      <c r="G597" s="83">
        <v>0.38513500581037668</v>
      </c>
      <c r="H597" s="55">
        <v>40.4</v>
      </c>
      <c r="I597" s="83">
        <v>0.40379948313337549</v>
      </c>
      <c r="J597" s="55">
        <v>34.200000000000003</v>
      </c>
      <c r="K597" s="83">
        <v>0.34047834165800112</v>
      </c>
      <c r="L597" s="53">
        <v>36.5</v>
      </c>
      <c r="M597" s="83">
        <v>0.36481883995960912</v>
      </c>
      <c r="N597" s="55">
        <v>33.6</v>
      </c>
      <c r="O597" s="83">
        <v>0.33583323349706479</v>
      </c>
      <c r="P597" s="56">
        <f t="shared" si="90"/>
        <v>1.2186593316380001E-2</v>
      </c>
      <c r="Q597" s="56">
        <f t="shared" si="91"/>
        <v>3.4662300450266137E-2</v>
      </c>
      <c r="R597" s="56">
        <f t="shared" si="92"/>
        <v>3.2502759167147566E-2</v>
      </c>
      <c r="S597" s="54">
        <f t="shared" si="93"/>
        <v>6.1488365629691899E-2</v>
      </c>
      <c r="T597" s="56">
        <f t="shared" si="94"/>
        <v>9.6150666079958036E-2</v>
      </c>
      <c r="U597" s="56">
        <f t="shared" si="95"/>
        <v>4.9301772313311898E-2</v>
      </c>
      <c r="V597" s="56">
        <f t="shared" si="96"/>
        <v>4.4656664152375569E-2</v>
      </c>
      <c r="W597" s="56">
        <f t="shared" si="97"/>
        <v>5.684325746875557E-2</v>
      </c>
      <c r="X597" s="65">
        <f t="shared" si="98"/>
        <v>1.8664477322998807E-2</v>
      </c>
      <c r="Y597" s="73">
        <f t="shared" si="99"/>
        <v>2.0316165850767565E-2</v>
      </c>
    </row>
    <row r="598" spans="1:25" x14ac:dyDescent="0.25">
      <c r="A598" s="52">
        <v>44218</v>
      </c>
      <c r="B598" s="53">
        <v>40</v>
      </c>
      <c r="C598" s="83">
        <v>0.39844986627367501</v>
      </c>
      <c r="D598" s="53">
        <v>43.5</v>
      </c>
      <c r="E598" s="87">
        <v>0.43331422957262161</v>
      </c>
      <c r="F598" s="53">
        <v>38.69</v>
      </c>
      <c r="G598" s="83">
        <v>0.38614886111946622</v>
      </c>
      <c r="H598" s="55">
        <v>40.5</v>
      </c>
      <c r="I598" s="83">
        <v>0.40480314367670522</v>
      </c>
      <c r="J598" s="55">
        <v>34.04</v>
      </c>
      <c r="K598" s="83">
        <v>0.3389166592789094</v>
      </c>
      <c r="L598" s="53">
        <v>36.200000000000003</v>
      </c>
      <c r="M598" s="83">
        <v>0.36182404447152422</v>
      </c>
      <c r="N598" s="55">
        <v>33.700000000000003</v>
      </c>
      <c r="O598" s="83">
        <v>0.33683619609641891</v>
      </c>
      <c r="P598" s="56">
        <f t="shared" si="90"/>
        <v>1.2301005154208788E-2</v>
      </c>
      <c r="Q598" s="56">
        <f t="shared" si="91"/>
        <v>3.4864363298946599E-2</v>
      </c>
      <c r="R598" s="56">
        <f t="shared" si="92"/>
        <v>3.6625821802150793E-2</v>
      </c>
      <c r="S598" s="54">
        <f t="shared" si="93"/>
        <v>6.1613670177256108E-2</v>
      </c>
      <c r="T598" s="56">
        <f t="shared" si="94"/>
        <v>9.6478033476202707E-2</v>
      </c>
      <c r="U598" s="56">
        <f t="shared" si="95"/>
        <v>4.931266502304732E-2</v>
      </c>
      <c r="V598" s="56">
        <f t="shared" si="96"/>
        <v>4.723220184055682E-2</v>
      </c>
      <c r="W598" s="56">
        <f t="shared" si="97"/>
        <v>5.9533206994765608E-2</v>
      </c>
      <c r="X598" s="65">
        <f t="shared" si="98"/>
        <v>1.8654282557238999E-2</v>
      </c>
      <c r="Y598" s="73">
        <f t="shared" si="99"/>
        <v>2.4324816647942005E-2</v>
      </c>
    </row>
    <row r="599" spans="1:25" x14ac:dyDescent="0.25">
      <c r="A599" s="52">
        <v>44217</v>
      </c>
      <c r="B599" s="53">
        <v>39.9</v>
      </c>
      <c r="C599" s="83">
        <v>0.39746458884855762</v>
      </c>
      <c r="D599" s="53">
        <v>43.05</v>
      </c>
      <c r="E599" s="87">
        <v>0.42884337217870688</v>
      </c>
      <c r="F599" s="53">
        <v>38.69</v>
      </c>
      <c r="G599" s="83">
        <v>0.38615414063247699</v>
      </c>
      <c r="H599" s="55">
        <v>39.9</v>
      </c>
      <c r="I599" s="83">
        <v>0.39880742518167589</v>
      </c>
      <c r="J599" s="55">
        <v>33.700000000000003</v>
      </c>
      <c r="K599" s="83">
        <v>0.33554177222959131</v>
      </c>
      <c r="L599" s="53">
        <v>36.01</v>
      </c>
      <c r="M599" s="83">
        <v>0.35992620001985343</v>
      </c>
      <c r="N599" s="55">
        <v>33.4</v>
      </c>
      <c r="O599" s="83">
        <v>0.33383879701924762</v>
      </c>
      <c r="P599" s="56">
        <f t="shared" si="90"/>
        <v>1.1310448216080626E-2</v>
      </c>
      <c r="Q599" s="56">
        <f t="shared" si="91"/>
        <v>3.1378783330149262E-2</v>
      </c>
      <c r="R599" s="56">
        <f t="shared" si="92"/>
        <v>3.7538388828704194E-2</v>
      </c>
      <c r="S599" s="54">
        <f t="shared" si="93"/>
        <v>6.3625791829309997E-2</v>
      </c>
      <c r="T599" s="56">
        <f t="shared" si="94"/>
        <v>9.5004575159459259E-2</v>
      </c>
      <c r="U599" s="56">
        <f t="shared" si="95"/>
        <v>5.231534361322937E-2</v>
      </c>
      <c r="V599" s="56">
        <f t="shared" si="96"/>
        <v>5.0612368402885688E-2</v>
      </c>
      <c r="W599" s="56">
        <f t="shared" si="97"/>
        <v>6.1922816618966314E-2</v>
      </c>
      <c r="X599" s="65">
        <f t="shared" si="98"/>
        <v>1.2653284549198895E-2</v>
      </c>
      <c r="Y599" s="73">
        <f t="shared" si="99"/>
        <v>2.6227940612623568E-2</v>
      </c>
    </row>
    <row r="600" spans="1:25" x14ac:dyDescent="0.25">
      <c r="A600" s="52">
        <v>44216</v>
      </c>
      <c r="B600" s="53">
        <v>39.97</v>
      </c>
      <c r="C600" s="83">
        <v>0.39817276200873358</v>
      </c>
      <c r="D600" s="53">
        <v>42.87</v>
      </c>
      <c r="E600" s="87">
        <v>0.42706195414847159</v>
      </c>
      <c r="F600" s="53">
        <v>38.74</v>
      </c>
      <c r="G600" s="83">
        <v>0.38665846322121961</v>
      </c>
      <c r="H600" s="55">
        <v>40.119999999999997</v>
      </c>
      <c r="I600" s="83">
        <v>0.40100773601697809</v>
      </c>
      <c r="J600" s="55">
        <v>34.1</v>
      </c>
      <c r="K600" s="83">
        <v>0.33953488372093032</v>
      </c>
      <c r="L600" s="53">
        <v>36.36</v>
      </c>
      <c r="M600" s="83">
        <v>0.3634257547751078</v>
      </c>
      <c r="N600" s="55">
        <v>33.869999999999997</v>
      </c>
      <c r="O600" s="83">
        <v>0.33853768741014578</v>
      </c>
      <c r="P600" s="56">
        <f t="shared" si="90"/>
        <v>1.1514298787513977E-2</v>
      </c>
      <c r="Q600" s="56">
        <f t="shared" si="91"/>
        <v>2.8889192139738007E-2</v>
      </c>
      <c r="R600" s="56">
        <f t="shared" si="92"/>
        <v>3.4747007233625782E-2</v>
      </c>
      <c r="S600" s="54">
        <f t="shared" si="93"/>
        <v>5.9635074598587801E-2</v>
      </c>
      <c r="T600" s="56">
        <f t="shared" si="94"/>
        <v>8.8524266738325808E-2</v>
      </c>
      <c r="U600" s="56">
        <f t="shared" si="95"/>
        <v>4.8120775811073824E-2</v>
      </c>
      <c r="V600" s="56">
        <f t="shared" si="96"/>
        <v>4.7123579500289281E-2</v>
      </c>
      <c r="W600" s="56">
        <f t="shared" si="97"/>
        <v>5.8637878287803258E-2</v>
      </c>
      <c r="X600" s="65">
        <f t="shared" si="98"/>
        <v>1.4349272795758483E-2</v>
      </c>
      <c r="Y600" s="73">
        <f t="shared" si="99"/>
        <v>2.3232708446111805E-2</v>
      </c>
    </row>
    <row r="601" spans="1:25" x14ac:dyDescent="0.25">
      <c r="A601" s="52">
        <v>44215</v>
      </c>
      <c r="B601" s="53">
        <v>40.200000000000003</v>
      </c>
      <c r="C601" s="83">
        <v>0.40047490379104228</v>
      </c>
      <c r="D601" s="53">
        <v>43.1</v>
      </c>
      <c r="E601" s="87">
        <v>0.4293648844127842</v>
      </c>
      <c r="F601" s="53">
        <v>38.79</v>
      </c>
      <c r="G601" s="83">
        <v>0.38716279960076022</v>
      </c>
      <c r="H601" s="55">
        <v>39.950000000000003</v>
      </c>
      <c r="I601" s="83">
        <v>0.3993099175392536</v>
      </c>
      <c r="J601" s="55">
        <v>34.4</v>
      </c>
      <c r="K601" s="83">
        <v>0.34253250628301352</v>
      </c>
      <c r="L601" s="53">
        <v>35.85</v>
      </c>
      <c r="M601" s="83">
        <v>0.35832942537627638</v>
      </c>
      <c r="N601" s="55">
        <v>33.85</v>
      </c>
      <c r="O601" s="83">
        <v>0.33833894139433629</v>
      </c>
      <c r="P601" s="56">
        <f t="shared" si="90"/>
        <v>1.3312104190282059E-2</v>
      </c>
      <c r="Q601" s="56">
        <f t="shared" si="91"/>
        <v>2.8889980621741917E-2</v>
      </c>
      <c r="R601" s="56">
        <f t="shared" si="92"/>
        <v>4.2145478414765902E-2</v>
      </c>
      <c r="S601" s="54">
        <f t="shared" si="93"/>
        <v>6.213596239670599E-2</v>
      </c>
      <c r="T601" s="56">
        <f t="shared" si="94"/>
        <v>9.1025943018447908E-2</v>
      </c>
      <c r="U601" s="56">
        <f t="shared" si="95"/>
        <v>4.8823858206423931E-2</v>
      </c>
      <c r="V601" s="56">
        <f t="shared" si="96"/>
        <v>4.4630293317746705E-2</v>
      </c>
      <c r="W601" s="56">
        <f t="shared" si="97"/>
        <v>5.7942397508028765E-2</v>
      </c>
      <c r="X601" s="65">
        <f t="shared" si="98"/>
        <v>1.2147117938493379E-2</v>
      </c>
      <c r="Y601" s="73">
        <f t="shared" si="99"/>
        <v>2.8833374224483843E-2</v>
      </c>
    </row>
    <row r="602" spans="1:25" x14ac:dyDescent="0.25">
      <c r="A602" s="52">
        <v>44214</v>
      </c>
      <c r="B602" s="53">
        <v>40.1</v>
      </c>
      <c r="C602" s="83">
        <v>0.39948960096075109</v>
      </c>
      <c r="D602" s="53">
        <v>42</v>
      </c>
      <c r="E602" s="87">
        <v>0.41841803591899118</v>
      </c>
      <c r="F602" s="53">
        <v>38.799999999999997</v>
      </c>
      <c r="G602" s="83">
        <v>0.38726790450928378</v>
      </c>
      <c r="H602" s="53">
        <v>39.68</v>
      </c>
      <c r="I602" s="83">
        <v>0.39661255981762039</v>
      </c>
      <c r="J602" s="53">
        <v>34.25</v>
      </c>
      <c r="K602" s="83">
        <v>0.34104937219088671</v>
      </c>
      <c r="L602" s="53">
        <v>35.799999999999997</v>
      </c>
      <c r="M602" s="83">
        <v>0.3578308881419055</v>
      </c>
      <c r="N602" s="55">
        <v>33.799999999999997</v>
      </c>
      <c r="O602" s="83">
        <v>0.33784033573174321</v>
      </c>
      <c r="P602" s="56">
        <f t="shared" si="90"/>
        <v>1.2221696451467312E-2</v>
      </c>
      <c r="Q602" s="56">
        <f t="shared" si="91"/>
        <v>1.8928434958240092E-2</v>
      </c>
      <c r="R602" s="56">
        <f t="shared" si="92"/>
        <v>4.1658712818845589E-2</v>
      </c>
      <c r="S602" s="54">
        <f t="shared" si="93"/>
        <v>6.1649265229007877E-2</v>
      </c>
      <c r="T602" s="56">
        <f t="shared" si="94"/>
        <v>8.0577700187247969E-2</v>
      </c>
      <c r="U602" s="56">
        <f t="shared" si="95"/>
        <v>4.9427568777540565E-2</v>
      </c>
      <c r="V602" s="56">
        <f t="shared" si="96"/>
        <v>4.6218532318397065E-2</v>
      </c>
      <c r="W602" s="56">
        <f t="shared" si="97"/>
        <v>5.8440228769864377E-2</v>
      </c>
      <c r="X602" s="65">
        <f t="shared" si="98"/>
        <v>9.3446553083366135E-3</v>
      </c>
      <c r="Y602" s="73">
        <f t="shared" si="99"/>
        <v>2.9437016367378277E-2</v>
      </c>
    </row>
    <row r="603" spans="1:25" x14ac:dyDescent="0.25">
      <c r="A603" s="52">
        <v>44211</v>
      </c>
      <c r="B603" s="53">
        <v>40.08</v>
      </c>
      <c r="C603" s="83">
        <v>0.39932305172649102</v>
      </c>
      <c r="D603" s="53">
        <v>42</v>
      </c>
      <c r="E603" s="87">
        <v>0.41845229971338882</v>
      </c>
      <c r="F603" s="53">
        <v>38.69</v>
      </c>
      <c r="G603" s="83">
        <v>0.38618582074246249</v>
      </c>
      <c r="H603" s="53">
        <v>39.090000000000003</v>
      </c>
      <c r="I603" s="83">
        <v>0.39071935920036971</v>
      </c>
      <c r="J603" s="53">
        <v>34.25</v>
      </c>
      <c r="K603" s="83">
        <v>0.34108077690431943</v>
      </c>
      <c r="L603" s="53">
        <v>35.700000000000003</v>
      </c>
      <c r="M603" s="83">
        <v>0.35683502490287028</v>
      </c>
      <c r="N603" s="55">
        <v>33.65</v>
      </c>
      <c r="O603" s="83">
        <v>0.33634449826278939</v>
      </c>
      <c r="P603" s="56">
        <f t="shared" si="90"/>
        <v>1.3137230984028525E-2</v>
      </c>
      <c r="Q603" s="56">
        <f t="shared" si="91"/>
        <v>1.9129247986897802E-2</v>
      </c>
      <c r="R603" s="56">
        <f t="shared" si="92"/>
        <v>4.2488026823620739E-2</v>
      </c>
      <c r="S603" s="54">
        <f t="shared" si="93"/>
        <v>6.2978553463701625E-2</v>
      </c>
      <c r="T603" s="56">
        <f t="shared" si="94"/>
        <v>8.2107801450599427E-2</v>
      </c>
      <c r="U603" s="56">
        <f t="shared" si="95"/>
        <v>4.98413224796731E-2</v>
      </c>
      <c r="V603" s="56">
        <f t="shared" si="96"/>
        <v>4.5105043838143066E-2</v>
      </c>
      <c r="W603" s="56">
        <f t="shared" si="97"/>
        <v>5.8242274822171591E-2</v>
      </c>
      <c r="X603" s="65">
        <f t="shared" si="98"/>
        <v>4.5335384579072158E-3</v>
      </c>
      <c r="Y603" s="73">
        <f t="shared" si="99"/>
        <v>2.9350795839592214E-2</v>
      </c>
    </row>
    <row r="604" spans="1:25" x14ac:dyDescent="0.25">
      <c r="A604" s="52">
        <v>44210</v>
      </c>
      <c r="B604" s="53">
        <v>40.229999999999997</v>
      </c>
      <c r="C604" s="83">
        <v>0.40082846536004801</v>
      </c>
      <c r="D604" s="53">
        <v>41.66</v>
      </c>
      <c r="E604" s="87">
        <v>0.41507615875962223</v>
      </c>
      <c r="F604" s="53">
        <v>38.75</v>
      </c>
      <c r="G604" s="83">
        <v>0.3867900019142943</v>
      </c>
      <c r="H604" s="53">
        <v>39</v>
      </c>
      <c r="I604" s="83">
        <v>0.38982110949085008</v>
      </c>
      <c r="J604" s="53">
        <v>34.39</v>
      </c>
      <c r="K604" s="83">
        <v>0.34248548801866258</v>
      </c>
      <c r="L604" s="53">
        <v>35.69</v>
      </c>
      <c r="M604" s="83">
        <v>0.35673629224944708</v>
      </c>
      <c r="N604" s="55">
        <v>33.799999999999997</v>
      </c>
      <c r="O604" s="83">
        <v>0.33784496155873672</v>
      </c>
      <c r="P604" s="56">
        <f t="shared" si="90"/>
        <v>1.4038463445753713E-2</v>
      </c>
      <c r="Q604" s="56">
        <f t="shared" si="91"/>
        <v>1.4247693399574213E-2</v>
      </c>
      <c r="R604" s="56">
        <f t="shared" si="92"/>
        <v>4.409217311060093E-2</v>
      </c>
      <c r="S604" s="54">
        <f t="shared" si="93"/>
        <v>6.2983503801311291E-2</v>
      </c>
      <c r="T604" s="56">
        <f t="shared" si="94"/>
        <v>7.7231197200885504E-2</v>
      </c>
      <c r="U604" s="56">
        <f t="shared" si="95"/>
        <v>4.8945040355557579E-2</v>
      </c>
      <c r="V604" s="56">
        <f t="shared" si="96"/>
        <v>4.4304513895631725E-2</v>
      </c>
      <c r="W604" s="56">
        <f t="shared" si="97"/>
        <v>5.8342977341385438E-2</v>
      </c>
      <c r="X604" s="65">
        <f t="shared" si="98"/>
        <v>3.0311075765557804E-3</v>
      </c>
      <c r="Y604" s="73">
        <f t="shared" si="99"/>
        <v>3.0053709664847217E-2</v>
      </c>
    </row>
    <row r="605" spans="1:25" x14ac:dyDescent="0.25">
      <c r="A605" s="52">
        <v>44209</v>
      </c>
      <c r="B605" s="53">
        <v>40.54</v>
      </c>
      <c r="C605" s="83">
        <v>0.40392815221248601</v>
      </c>
      <c r="D605" s="53">
        <v>42.2</v>
      </c>
      <c r="E605" s="87">
        <v>0.42046788414817238</v>
      </c>
      <c r="F605" s="53">
        <v>38.979999999999997</v>
      </c>
      <c r="G605" s="83">
        <v>0.38909110798134899</v>
      </c>
      <c r="H605" s="53">
        <v>39.36</v>
      </c>
      <c r="I605" s="83">
        <v>0.39342080490735382</v>
      </c>
      <c r="J605" s="53">
        <v>34.4</v>
      </c>
      <c r="K605" s="83">
        <v>0.34259559272434581</v>
      </c>
      <c r="L605" s="53">
        <v>36.22</v>
      </c>
      <c r="M605" s="83">
        <v>0.36203510045082199</v>
      </c>
      <c r="N605" s="55">
        <v>34.25</v>
      </c>
      <c r="O605" s="83">
        <v>0.34234406931089612</v>
      </c>
      <c r="P605" s="56">
        <f t="shared" si="90"/>
        <v>1.483704423113702E-2</v>
      </c>
      <c r="Q605" s="56">
        <f t="shared" si="91"/>
        <v>1.6539731935686364E-2</v>
      </c>
      <c r="R605" s="56">
        <f t="shared" si="92"/>
        <v>4.1893051761664024E-2</v>
      </c>
      <c r="S605" s="54">
        <f t="shared" si="93"/>
        <v>6.1584082901589898E-2</v>
      </c>
      <c r="T605" s="56">
        <f t="shared" si="94"/>
        <v>7.8123814837276262E-2</v>
      </c>
      <c r="U605" s="56">
        <f t="shared" si="95"/>
        <v>4.6747038670452878E-2</v>
      </c>
      <c r="V605" s="56">
        <f t="shared" si="96"/>
        <v>4.6495515257003184E-2</v>
      </c>
      <c r="W605" s="56">
        <f t="shared" si="97"/>
        <v>6.1332559488140204E-2</v>
      </c>
      <c r="X605" s="65">
        <f t="shared" si="98"/>
        <v>4.3296969260048224E-3</v>
      </c>
      <c r="Y605" s="73">
        <f t="shared" si="99"/>
        <v>2.7056007530527004E-2</v>
      </c>
    </row>
    <row r="606" spans="1:25" x14ac:dyDescent="0.25">
      <c r="A606" s="52">
        <v>44208</v>
      </c>
      <c r="B606" s="53">
        <v>40.950000000000003</v>
      </c>
      <c r="C606" s="83">
        <v>0.40802440489189779</v>
      </c>
      <c r="D606" s="53">
        <v>43.01</v>
      </c>
      <c r="E606" s="87">
        <v>0.4285501747106355</v>
      </c>
      <c r="F606" s="53">
        <v>39.04</v>
      </c>
      <c r="G606" s="83">
        <v>0.38969534540283318</v>
      </c>
      <c r="H606" s="53">
        <v>40.35</v>
      </c>
      <c r="I606" s="83">
        <v>0.40331767830980519</v>
      </c>
      <c r="J606" s="53">
        <v>34.799999999999997</v>
      </c>
      <c r="K606" s="83">
        <v>0.34658990136021928</v>
      </c>
      <c r="L606" s="53">
        <v>36.35</v>
      </c>
      <c r="M606" s="83">
        <v>0.36333575233113802</v>
      </c>
      <c r="N606" s="55">
        <v>34.700000000000003</v>
      </c>
      <c r="O606" s="83">
        <v>0.34684320786493777</v>
      </c>
      <c r="P606" s="56">
        <f t="shared" si="90"/>
        <v>1.8329059489064603E-2</v>
      </c>
      <c r="Q606" s="56">
        <f t="shared" si="91"/>
        <v>2.0525769818737716E-2</v>
      </c>
      <c r="R606" s="56">
        <f t="shared" si="92"/>
        <v>4.4688652560759767E-2</v>
      </c>
      <c r="S606" s="54">
        <f t="shared" si="93"/>
        <v>6.118119702696001E-2</v>
      </c>
      <c r="T606" s="56">
        <f t="shared" si="94"/>
        <v>8.1706966845697726E-2</v>
      </c>
      <c r="U606" s="56">
        <f t="shared" si="95"/>
        <v>4.2852137537895407E-2</v>
      </c>
      <c r="V606" s="56">
        <f t="shared" si="96"/>
        <v>4.3105444042613905E-2</v>
      </c>
      <c r="W606" s="56">
        <f t="shared" si="97"/>
        <v>6.1434503531678508E-2</v>
      </c>
      <c r="X606" s="65">
        <f t="shared" si="98"/>
        <v>1.3622332906972012E-2</v>
      </c>
      <c r="Y606" s="73">
        <f t="shared" si="99"/>
        <v>2.6359593071695164E-2</v>
      </c>
    </row>
    <row r="607" spans="1:25" x14ac:dyDescent="0.25">
      <c r="A607" s="52">
        <v>44207</v>
      </c>
      <c r="B607" s="53">
        <v>40.770000000000003</v>
      </c>
      <c r="C607" s="83">
        <v>0.40624198083590413</v>
      </c>
      <c r="D607" s="53">
        <v>43.1</v>
      </c>
      <c r="E607" s="87">
        <v>0.42945865523736731</v>
      </c>
      <c r="F607" s="53">
        <v>39.04</v>
      </c>
      <c r="G607" s="83">
        <v>0.38970067413272069</v>
      </c>
      <c r="H607" s="53">
        <v>40.270000000000003</v>
      </c>
      <c r="I607" s="83">
        <v>0.40251941765851618</v>
      </c>
      <c r="J607" s="53">
        <v>35</v>
      </c>
      <c r="K607" s="83">
        <v>0.34859249809843129</v>
      </c>
      <c r="L607" s="53">
        <v>36.39</v>
      </c>
      <c r="M607" s="83">
        <v>0.36373681670209601</v>
      </c>
      <c r="N607" s="55">
        <v>34.5</v>
      </c>
      <c r="O607" s="83">
        <v>0.34484529200940672</v>
      </c>
      <c r="P607" s="56">
        <f t="shared" si="90"/>
        <v>1.6541306703183434E-2</v>
      </c>
      <c r="Q607" s="56">
        <f t="shared" si="91"/>
        <v>2.3216674401463189E-2</v>
      </c>
      <c r="R607" s="56">
        <f t="shared" si="92"/>
        <v>4.2505164133808115E-2</v>
      </c>
      <c r="S607" s="54">
        <f t="shared" si="93"/>
        <v>6.1396688826497403E-2</v>
      </c>
      <c r="T607" s="56">
        <f t="shared" si="94"/>
        <v>8.4613363227960592E-2</v>
      </c>
      <c r="U607" s="56">
        <f t="shared" si="95"/>
        <v>4.4855382123313969E-2</v>
      </c>
      <c r="V607" s="56">
        <f t="shared" si="96"/>
        <v>4.1108176034289401E-2</v>
      </c>
      <c r="W607" s="56">
        <f t="shared" si="97"/>
        <v>5.7649482737472835E-2</v>
      </c>
      <c r="X607" s="65">
        <f t="shared" si="98"/>
        <v>1.2818743525795484E-2</v>
      </c>
      <c r="Y607" s="73">
        <f t="shared" si="99"/>
        <v>2.5963857430624682E-2</v>
      </c>
    </row>
    <row r="608" spans="1:25" x14ac:dyDescent="0.25">
      <c r="A608" s="52">
        <v>44204</v>
      </c>
      <c r="B608" s="53">
        <v>40.85</v>
      </c>
      <c r="C608" s="83">
        <v>0.40707245822867749</v>
      </c>
      <c r="D608" s="53">
        <v>43</v>
      </c>
      <c r="E608" s="87">
        <v>0.4284973244512395</v>
      </c>
      <c r="F608" s="53">
        <v>39.5</v>
      </c>
      <c r="G608" s="83">
        <v>0.39430860956131708</v>
      </c>
      <c r="H608" s="53">
        <v>40.46</v>
      </c>
      <c r="I608" s="83">
        <v>0.40442271880819369</v>
      </c>
      <c r="J608" s="53">
        <v>35</v>
      </c>
      <c r="K608" s="83">
        <v>0.34862460430084052</v>
      </c>
      <c r="L608" s="53">
        <v>37</v>
      </c>
      <c r="M608" s="83">
        <v>0.36983787928579248</v>
      </c>
      <c r="N608" s="55">
        <v>34.6</v>
      </c>
      <c r="O608" s="83">
        <v>0.3458483952240114</v>
      </c>
      <c r="P608" s="56">
        <f t="shared" si="90"/>
        <v>1.2763848667360411E-2</v>
      </c>
      <c r="Q608" s="56">
        <f t="shared" si="91"/>
        <v>2.1424866222562011E-2</v>
      </c>
      <c r="R608" s="56">
        <f t="shared" si="92"/>
        <v>3.723457894288501E-2</v>
      </c>
      <c r="S608" s="54">
        <f t="shared" si="93"/>
        <v>6.1224063004666096E-2</v>
      </c>
      <c r="T608" s="56">
        <f t="shared" si="94"/>
        <v>8.2648929227228107E-2</v>
      </c>
      <c r="U608" s="56">
        <f t="shared" si="95"/>
        <v>4.8460214337305685E-2</v>
      </c>
      <c r="V608" s="56">
        <f t="shared" si="96"/>
        <v>4.5684005260476557E-2</v>
      </c>
      <c r="W608" s="56">
        <f t="shared" si="97"/>
        <v>5.8447853927836968E-2</v>
      </c>
      <c r="X608" s="65">
        <f t="shared" si="98"/>
        <v>1.0114109246876613E-2</v>
      </c>
      <c r="Y608" s="73">
        <f t="shared" si="99"/>
        <v>2.4470730275524599E-2</v>
      </c>
    </row>
    <row r="609" spans="1:25" x14ac:dyDescent="0.25">
      <c r="A609" s="52">
        <v>44203</v>
      </c>
      <c r="B609" s="53">
        <v>41.23</v>
      </c>
      <c r="C609" s="83">
        <v>0.41087039615584131</v>
      </c>
      <c r="D609" s="53">
        <v>43</v>
      </c>
      <c r="E609" s="87">
        <v>0.4285090233980397</v>
      </c>
      <c r="F609" s="53">
        <v>39.549999999999997</v>
      </c>
      <c r="G609" s="83">
        <v>0.39481313331601192</v>
      </c>
      <c r="H609" s="53">
        <v>40.6</v>
      </c>
      <c r="I609" s="83">
        <v>0.40582349457598921</v>
      </c>
      <c r="J609" s="53">
        <v>35.11</v>
      </c>
      <c r="K609" s="83">
        <v>0.34973101864960099</v>
      </c>
      <c r="L609" s="53">
        <v>37.11</v>
      </c>
      <c r="M609" s="83">
        <v>0.37093866708657541</v>
      </c>
      <c r="N609" s="55">
        <v>34.85</v>
      </c>
      <c r="O609" s="83">
        <v>0.34834849226535042</v>
      </c>
      <c r="P609" s="56">
        <f t="shared" si="90"/>
        <v>1.6057262839829389E-2</v>
      </c>
      <c r="Q609" s="56">
        <f t="shared" si="91"/>
        <v>1.763862724219839E-2</v>
      </c>
      <c r="R609" s="56">
        <f t="shared" si="92"/>
        <v>3.9931729069265898E-2</v>
      </c>
      <c r="S609" s="54">
        <f t="shared" si="93"/>
        <v>6.2521903890490893E-2</v>
      </c>
      <c r="T609" s="56">
        <f t="shared" si="94"/>
        <v>8.0160531132689283E-2</v>
      </c>
      <c r="U609" s="56">
        <f t="shared" si="95"/>
        <v>4.6464641050661504E-2</v>
      </c>
      <c r="V609" s="56">
        <f t="shared" si="96"/>
        <v>4.5082114666410933E-2</v>
      </c>
      <c r="W609" s="56">
        <f t="shared" si="97"/>
        <v>6.1139377506240322E-2</v>
      </c>
      <c r="X609" s="65">
        <f t="shared" si="98"/>
        <v>1.1010361259977286E-2</v>
      </c>
      <c r="Y609" s="73">
        <f t="shared" si="99"/>
        <v>2.3874466229436508E-2</v>
      </c>
    </row>
    <row r="610" spans="1:25" x14ac:dyDescent="0.25">
      <c r="A610" s="52">
        <v>44202</v>
      </c>
      <c r="B610" s="53">
        <v>41.5</v>
      </c>
      <c r="C610" s="83">
        <v>0.41357232567028879</v>
      </c>
      <c r="D610" s="53">
        <v>43.85</v>
      </c>
      <c r="E610" s="87">
        <v>0.43699148146125699</v>
      </c>
      <c r="F610" s="53">
        <v>40.1</v>
      </c>
      <c r="G610" s="83">
        <v>0.40030905560265839</v>
      </c>
      <c r="H610" s="53">
        <v>40.950000000000003</v>
      </c>
      <c r="I610" s="83">
        <v>0.40932337416046499</v>
      </c>
      <c r="J610" s="53">
        <v>35.75</v>
      </c>
      <c r="K610" s="83">
        <v>0.35611699768706462</v>
      </c>
      <c r="L610" s="53">
        <v>37.380000000000003</v>
      </c>
      <c r="M610" s="83">
        <v>0.37363877231057829</v>
      </c>
      <c r="N610" s="55">
        <v>34.6</v>
      </c>
      <c r="O610" s="83">
        <v>0.34585076302691298</v>
      </c>
      <c r="P610" s="56">
        <f t="shared" si="90"/>
        <v>1.3263270067630395E-2</v>
      </c>
      <c r="Q610" s="56">
        <f t="shared" si="91"/>
        <v>2.3419155790968205E-2</v>
      </c>
      <c r="R610" s="56">
        <f t="shared" si="92"/>
        <v>3.9933553359710494E-2</v>
      </c>
      <c r="S610" s="54">
        <f t="shared" si="93"/>
        <v>6.772156264337581E-2</v>
      </c>
      <c r="T610" s="56">
        <f t="shared" si="94"/>
        <v>9.1140718434344015E-2</v>
      </c>
      <c r="U610" s="56">
        <f t="shared" si="95"/>
        <v>5.4458292575745415E-2</v>
      </c>
      <c r="V610" s="56">
        <f t="shared" si="96"/>
        <v>4.4192057915593774E-2</v>
      </c>
      <c r="W610" s="56">
        <f t="shared" si="97"/>
        <v>5.7455327983224169E-2</v>
      </c>
      <c r="X610" s="65">
        <f t="shared" si="98"/>
        <v>9.0143185578065999E-3</v>
      </c>
      <c r="Y610" s="73">
        <f t="shared" si="99"/>
        <v>2.6670283292080099E-2</v>
      </c>
    </row>
    <row r="611" spans="1:25" x14ac:dyDescent="0.25">
      <c r="A611" s="52">
        <v>44201</v>
      </c>
      <c r="B611" s="53">
        <v>41.25</v>
      </c>
      <c r="C611" s="83">
        <v>0.41109215017064848</v>
      </c>
      <c r="D611" s="53">
        <v>42.8</v>
      </c>
      <c r="E611" s="87">
        <v>0.42653924914675773</v>
      </c>
      <c r="F611" s="53">
        <v>40.25</v>
      </c>
      <c r="G611" s="83">
        <v>0.40181196581196582</v>
      </c>
      <c r="H611" s="53">
        <v>40.270000000000003</v>
      </c>
      <c r="I611" s="83">
        <v>0.40252768506632441</v>
      </c>
      <c r="J611" s="53">
        <v>35.64</v>
      </c>
      <c r="K611" s="83">
        <v>0.35503215351812373</v>
      </c>
      <c r="L611" s="53">
        <v>36.9</v>
      </c>
      <c r="M611" s="83">
        <v>0.36884210526315792</v>
      </c>
      <c r="N611" s="55">
        <v>34.5</v>
      </c>
      <c r="O611" s="83">
        <v>0.34485237483953779</v>
      </c>
      <c r="P611" s="56">
        <f t="shared" si="90"/>
        <v>9.2801843586826638E-3</v>
      </c>
      <c r="Q611" s="56">
        <f t="shared" si="91"/>
        <v>1.5447098976109241E-2</v>
      </c>
      <c r="R611" s="56">
        <f t="shared" si="92"/>
        <v>4.2250044907490569E-2</v>
      </c>
      <c r="S611" s="54">
        <f t="shared" si="93"/>
        <v>6.6239775331110695E-2</v>
      </c>
      <c r="T611" s="56">
        <f t="shared" si="94"/>
        <v>8.1686874307219937E-2</v>
      </c>
      <c r="U611" s="56">
        <f t="shared" si="95"/>
        <v>5.6959590972428031E-2</v>
      </c>
      <c r="V611" s="56">
        <f t="shared" si="96"/>
        <v>4.6779812293842093E-2</v>
      </c>
      <c r="W611" s="56">
        <f t="shared" si="97"/>
        <v>5.6059996652524757E-2</v>
      </c>
      <c r="X611" s="65">
        <f t="shared" si="98"/>
        <v>7.1571925435859329E-4</v>
      </c>
      <c r="Y611" s="73">
        <f t="shared" si="99"/>
        <v>3.2969860548807906E-2</v>
      </c>
    </row>
    <row r="612" spans="1:25" x14ac:dyDescent="0.25">
      <c r="A612" s="52">
        <v>44200</v>
      </c>
      <c r="B612" s="53">
        <v>41.36</v>
      </c>
      <c r="C612" s="83">
        <v>0.41219965050240281</v>
      </c>
      <c r="D612" s="53">
        <v>43.11</v>
      </c>
      <c r="E612" s="87">
        <v>0.42964039973787682</v>
      </c>
      <c r="F612" s="53">
        <v>40.549999999999997</v>
      </c>
      <c r="G612" s="83">
        <v>0.40481237350254362</v>
      </c>
      <c r="H612" s="53">
        <v>40.5</v>
      </c>
      <c r="I612" s="83">
        <v>0.40482808670290699</v>
      </c>
      <c r="J612" s="53">
        <v>36.1</v>
      </c>
      <c r="K612" s="83">
        <v>0.35962554074154951</v>
      </c>
      <c r="L612" s="53">
        <v>37.229999999999997</v>
      </c>
      <c r="M612" s="83">
        <v>0.37214196710985742</v>
      </c>
      <c r="N612" s="55">
        <v>34.799999999999997</v>
      </c>
      <c r="O612" s="83">
        <v>0.34785228190768303</v>
      </c>
      <c r="P612" s="56">
        <f t="shared" si="90"/>
        <v>7.3872769998591936E-3</v>
      </c>
      <c r="Q612" s="56">
        <f t="shared" si="91"/>
        <v>1.7440749235474007E-2</v>
      </c>
      <c r="R612" s="56">
        <f t="shared" si="92"/>
        <v>4.0057683392545396E-2</v>
      </c>
      <c r="S612" s="54">
        <f t="shared" si="93"/>
        <v>6.4347368594719789E-2</v>
      </c>
      <c r="T612" s="56">
        <f t="shared" si="94"/>
        <v>8.1788117830193796E-2</v>
      </c>
      <c r="U612" s="56">
        <f t="shared" si="95"/>
        <v>5.6960091594860596E-2</v>
      </c>
      <c r="V612" s="56">
        <f t="shared" si="96"/>
        <v>4.5186832760994111E-2</v>
      </c>
      <c r="W612" s="56">
        <f t="shared" si="97"/>
        <v>5.2574109760853305E-2</v>
      </c>
      <c r="X612" s="65">
        <f t="shared" si="98"/>
        <v>1.5713200363365321E-5</v>
      </c>
      <c r="Y612" s="73">
        <f t="shared" si="99"/>
        <v>3.2670406392686202E-2</v>
      </c>
    </row>
    <row r="613" spans="1:25" x14ac:dyDescent="0.25">
      <c r="A613" s="52">
        <v>44195</v>
      </c>
      <c r="B613" s="53">
        <v>42.35</v>
      </c>
      <c r="C613" s="83">
        <v>0.42212376088915587</v>
      </c>
      <c r="D613" s="53">
        <v>44.9</v>
      </c>
      <c r="E613" s="87">
        <v>0.4475408940713837</v>
      </c>
      <c r="F613" s="53">
        <v>40.94</v>
      </c>
      <c r="G613" s="83">
        <v>0.4087337080649352</v>
      </c>
      <c r="H613" s="53">
        <v>41.59</v>
      </c>
      <c r="I613" s="83">
        <v>0.41573057555311371</v>
      </c>
      <c r="J613" s="53">
        <v>36.5</v>
      </c>
      <c r="K613" s="83">
        <v>0.36366614233411021</v>
      </c>
      <c r="L613" s="53">
        <v>38.200000000000003</v>
      </c>
      <c r="M613" s="83">
        <v>0.38184438533611298</v>
      </c>
      <c r="N613" s="55">
        <v>35.9</v>
      </c>
      <c r="O613" s="83">
        <v>0.35885375480540471</v>
      </c>
      <c r="P613" s="56">
        <f t="shared" si="90"/>
        <v>1.3390052824220677E-2</v>
      </c>
      <c r="Q613" s="56">
        <f t="shared" si="91"/>
        <v>2.5417133182227825E-2</v>
      </c>
      <c r="R613" s="56">
        <f t="shared" si="92"/>
        <v>4.0279375553042895E-2</v>
      </c>
      <c r="S613" s="54">
        <f t="shared" si="93"/>
        <v>6.3270006083751162E-2</v>
      </c>
      <c r="T613" s="56">
        <f t="shared" si="94"/>
        <v>8.8687139265978987E-2</v>
      </c>
      <c r="U613" s="56">
        <f t="shared" si="95"/>
        <v>4.9879953259530485E-2</v>
      </c>
      <c r="V613" s="56">
        <f t="shared" si="96"/>
        <v>4.5067565730824988E-2</v>
      </c>
      <c r="W613" s="56">
        <f t="shared" si="97"/>
        <v>5.8457618555045665E-2</v>
      </c>
      <c r="X613" s="65">
        <f t="shared" si="98"/>
        <v>6.9968674881785153E-3</v>
      </c>
      <c r="Y613" s="73">
        <f t="shared" si="99"/>
        <v>2.6889322728822218E-2</v>
      </c>
    </row>
    <row r="614" spans="1:25" x14ac:dyDescent="0.25">
      <c r="A614" s="52">
        <v>44194</v>
      </c>
      <c r="B614" s="53">
        <v>42.35</v>
      </c>
      <c r="C614" s="83">
        <v>0.42213528865585231</v>
      </c>
      <c r="D614" s="53">
        <v>44.78</v>
      </c>
      <c r="E614" s="87">
        <v>0.44635698290458248</v>
      </c>
      <c r="F614" s="53">
        <v>40.93</v>
      </c>
      <c r="G614" s="83">
        <v>0.40863945950381569</v>
      </c>
      <c r="H614" s="53">
        <v>41.19</v>
      </c>
      <c r="I614" s="83">
        <v>0.41173361449825069</v>
      </c>
      <c r="J614" s="53">
        <v>36.6</v>
      </c>
      <c r="K614" s="83">
        <v>0.36467368679665058</v>
      </c>
      <c r="L614" s="53">
        <v>38.799999999999997</v>
      </c>
      <c r="M614" s="83">
        <v>0.38784326881602638</v>
      </c>
      <c r="N614" s="55">
        <v>35.75</v>
      </c>
      <c r="O614" s="83">
        <v>0.35735558917971499</v>
      </c>
      <c r="P614" s="56">
        <f t="shared" si="90"/>
        <v>1.349582915203662E-2</v>
      </c>
      <c r="Q614" s="56">
        <f t="shared" si="91"/>
        <v>2.4221694248730163E-2</v>
      </c>
      <c r="R614" s="56">
        <f t="shared" si="92"/>
        <v>3.4292019839825938E-2</v>
      </c>
      <c r="S614" s="54">
        <f t="shared" si="93"/>
        <v>6.477969947613732E-2</v>
      </c>
      <c r="T614" s="56">
        <f t="shared" si="94"/>
        <v>8.9001393724867484E-2</v>
      </c>
      <c r="U614" s="56">
        <f t="shared" si="95"/>
        <v>5.12838703241007E-2</v>
      </c>
      <c r="V614" s="56">
        <f t="shared" si="96"/>
        <v>4.3965772707165118E-2</v>
      </c>
      <c r="W614" s="56">
        <f t="shared" si="97"/>
        <v>5.7461601859201739E-2</v>
      </c>
      <c r="X614" s="65">
        <f t="shared" si="98"/>
        <v>3.0941549944349944E-3</v>
      </c>
      <c r="Y614" s="73">
        <f t="shared" si="99"/>
        <v>2.0796190687789318E-2</v>
      </c>
    </row>
    <row r="615" spans="1:25" x14ac:dyDescent="0.25">
      <c r="A615" s="52">
        <v>44193</v>
      </c>
      <c r="B615" s="53">
        <v>42.24</v>
      </c>
      <c r="C615" s="83">
        <v>0.42105033181309232</v>
      </c>
      <c r="D615" s="53">
        <v>44</v>
      </c>
      <c r="E615" s="87">
        <v>0.43859409563863783</v>
      </c>
      <c r="F615" s="53">
        <v>40.9</v>
      </c>
      <c r="G615" s="83">
        <v>0.40834552839968807</v>
      </c>
      <c r="H615" s="53">
        <v>41.89</v>
      </c>
      <c r="I615" s="83">
        <v>0.41873222030898583</v>
      </c>
      <c r="J615" s="53">
        <v>36.75</v>
      </c>
      <c r="K615" s="83">
        <v>0.36617949654158122</v>
      </c>
      <c r="L615" s="53">
        <v>39</v>
      </c>
      <c r="M615" s="83">
        <v>0.38984379546551551</v>
      </c>
      <c r="N615" s="55">
        <v>35.700000000000003</v>
      </c>
      <c r="O615" s="83">
        <v>0.3568570127722796</v>
      </c>
      <c r="P615" s="56">
        <f t="shared" si="90"/>
        <v>1.2704803413404242E-2</v>
      </c>
      <c r="Q615" s="56">
        <f t="shared" si="91"/>
        <v>1.7543763825545511E-2</v>
      </c>
      <c r="R615" s="56">
        <f t="shared" si="92"/>
        <v>3.1206536347576808E-2</v>
      </c>
      <c r="S615" s="54">
        <f t="shared" si="93"/>
        <v>6.4193319040812713E-2</v>
      </c>
      <c r="T615" s="56">
        <f t="shared" si="94"/>
        <v>8.1737082866358224E-2</v>
      </c>
      <c r="U615" s="56">
        <f t="shared" si="95"/>
        <v>5.1488515627408471E-2</v>
      </c>
      <c r="V615" s="56">
        <f t="shared" si="96"/>
        <v>4.2166031858106856E-2</v>
      </c>
      <c r="W615" s="56">
        <f t="shared" si="97"/>
        <v>5.4870835271511098E-2</v>
      </c>
      <c r="X615" s="65">
        <f t="shared" si="98"/>
        <v>1.0386691909297752E-2</v>
      </c>
      <c r="Y615" s="73">
        <f t="shared" si="99"/>
        <v>1.8501732934172566E-2</v>
      </c>
    </row>
    <row r="616" spans="1:25" x14ac:dyDescent="0.25">
      <c r="A616" s="52">
        <v>44188</v>
      </c>
      <c r="B616" s="53">
        <v>42.27</v>
      </c>
      <c r="C616" s="83">
        <v>0.42140691576532291</v>
      </c>
      <c r="D616" s="53">
        <v>44</v>
      </c>
      <c r="E616" s="87">
        <v>0.43865399322626458</v>
      </c>
      <c r="F616" s="53">
        <v>40.619999999999997</v>
      </c>
      <c r="G616" s="83">
        <v>0.40557774373563837</v>
      </c>
      <c r="H616" s="53">
        <v>41.3</v>
      </c>
      <c r="I616" s="83">
        <v>0.41284164977816717</v>
      </c>
      <c r="J616" s="53">
        <v>36.299999999999997</v>
      </c>
      <c r="K616" s="83">
        <v>0.36175121498389118</v>
      </c>
      <c r="L616" s="53">
        <v>38.58</v>
      </c>
      <c r="M616" s="83">
        <v>0.38565207865476248</v>
      </c>
      <c r="N616" s="55">
        <v>35.700000000000003</v>
      </c>
      <c r="O616" s="83">
        <v>0.35686312099468698</v>
      </c>
      <c r="P616" s="56">
        <f t="shared" si="90"/>
        <v>1.5829172029684535E-2</v>
      </c>
      <c r="Q616" s="56">
        <f t="shared" si="91"/>
        <v>1.7247077460941673E-2</v>
      </c>
      <c r="R616" s="56">
        <f t="shared" si="92"/>
        <v>3.5754837110560433E-2</v>
      </c>
      <c r="S616" s="54">
        <f t="shared" si="93"/>
        <v>6.4543794770635932E-2</v>
      </c>
      <c r="T616" s="56">
        <f t="shared" si="94"/>
        <v>8.1790872231577605E-2</v>
      </c>
      <c r="U616" s="56">
        <f t="shared" si="95"/>
        <v>4.8714622740951397E-2</v>
      </c>
      <c r="V616" s="56">
        <f t="shared" si="96"/>
        <v>4.3826528751747196E-2</v>
      </c>
      <c r="W616" s="56">
        <f t="shared" si="97"/>
        <v>5.9655700781431731E-2</v>
      </c>
      <c r="X616" s="65">
        <f t="shared" si="98"/>
        <v>7.2639060425288005E-3</v>
      </c>
      <c r="Y616" s="73">
        <f t="shared" si="99"/>
        <v>1.9925665080875898E-2</v>
      </c>
    </row>
    <row r="617" spans="1:25" x14ac:dyDescent="0.25">
      <c r="A617" s="52">
        <v>44187</v>
      </c>
      <c r="B617" s="53">
        <v>42.3</v>
      </c>
      <c r="C617" s="83">
        <v>0.42171751659337348</v>
      </c>
      <c r="D617" s="53">
        <v>43.51</v>
      </c>
      <c r="E617" s="87">
        <v>0.43378083089781749</v>
      </c>
      <c r="F617" s="53">
        <v>40.71</v>
      </c>
      <c r="G617" s="83">
        <v>0.40648192474456651</v>
      </c>
      <c r="H617" s="53">
        <v>41.25</v>
      </c>
      <c r="I617" s="83">
        <v>0.41234325307845299</v>
      </c>
      <c r="J617" s="53">
        <v>36.5</v>
      </c>
      <c r="K617" s="83">
        <v>0.36375550769797849</v>
      </c>
      <c r="L617" s="53">
        <v>38.65</v>
      </c>
      <c r="M617" s="83">
        <v>0.38635313288441719</v>
      </c>
      <c r="N617" s="55">
        <v>35.950000000000003</v>
      </c>
      <c r="O617" s="83">
        <v>0.3593633926829185</v>
      </c>
      <c r="P617" s="56">
        <f t="shared" si="90"/>
        <v>1.5235591848806962E-2</v>
      </c>
      <c r="Q617" s="56">
        <f t="shared" si="91"/>
        <v>1.2063314304444017E-2</v>
      </c>
      <c r="R617" s="56">
        <f t="shared" si="92"/>
        <v>3.5364383708956282E-2</v>
      </c>
      <c r="S617" s="54">
        <f t="shared" si="93"/>
        <v>6.2354123910454973E-2</v>
      </c>
      <c r="T617" s="56">
        <f t="shared" si="94"/>
        <v>7.441743821489899E-2</v>
      </c>
      <c r="U617" s="56">
        <f t="shared" si="95"/>
        <v>4.7118532061648011E-2</v>
      </c>
      <c r="V617" s="56">
        <f t="shared" si="96"/>
        <v>4.2726417046588028E-2</v>
      </c>
      <c r="W617" s="56">
        <f t="shared" si="97"/>
        <v>5.796200889539499E-2</v>
      </c>
      <c r="X617" s="65">
        <f t="shared" si="98"/>
        <v>5.861328333886473E-3</v>
      </c>
      <c r="Y617" s="73">
        <f t="shared" si="99"/>
        <v>2.012879186014932E-2</v>
      </c>
    </row>
    <row r="618" spans="1:25" x14ac:dyDescent="0.25">
      <c r="A618" s="52">
        <v>44186</v>
      </c>
      <c r="B618" s="53">
        <v>42.21</v>
      </c>
      <c r="C618" s="83">
        <v>0.4208317399617591</v>
      </c>
      <c r="D618" s="53">
        <v>44.38</v>
      </c>
      <c r="E618" s="87">
        <v>0.44246653919694068</v>
      </c>
      <c r="F618" s="53">
        <v>40.74</v>
      </c>
      <c r="G618" s="83">
        <v>0.40678703323758719</v>
      </c>
      <c r="H618" s="53">
        <v>41.15</v>
      </c>
      <c r="I618" s="83">
        <v>0.41134504125158328</v>
      </c>
      <c r="J618" s="53">
        <v>37</v>
      </c>
      <c r="K618" s="83">
        <v>0.36874978668213931</v>
      </c>
      <c r="L618" s="53">
        <v>38.61</v>
      </c>
      <c r="M618" s="83">
        <v>0.38595460614152199</v>
      </c>
      <c r="N618" s="55">
        <v>35.549999999999997</v>
      </c>
      <c r="O618" s="83">
        <v>0.35536612919790489</v>
      </c>
      <c r="P618" s="56">
        <f t="shared" si="90"/>
        <v>1.4044706724171907E-2</v>
      </c>
      <c r="Q618" s="56">
        <f t="shared" si="91"/>
        <v>2.1634799235181579E-2</v>
      </c>
      <c r="R618" s="56">
        <f t="shared" si="92"/>
        <v>3.4877133820237105E-2</v>
      </c>
      <c r="S618" s="54">
        <f t="shared" si="93"/>
        <v>6.546561076385421E-2</v>
      </c>
      <c r="T618" s="56">
        <f t="shared" si="94"/>
        <v>8.7100409999035788E-2</v>
      </c>
      <c r="U618" s="56">
        <f t="shared" si="95"/>
        <v>5.1420904039682302E-2</v>
      </c>
      <c r="V618" s="56">
        <f t="shared" si="96"/>
        <v>3.8037246555447879E-2</v>
      </c>
      <c r="W618" s="56">
        <f t="shared" si="97"/>
        <v>5.2081953279619786E-2</v>
      </c>
      <c r="X618" s="65">
        <f t="shared" si="98"/>
        <v>4.5580080139960844E-3</v>
      </c>
      <c r="Y618" s="73">
        <f t="shared" si="99"/>
        <v>2.0832427096065198E-2</v>
      </c>
    </row>
    <row r="619" spans="1:25" x14ac:dyDescent="0.25">
      <c r="A619" s="52">
        <v>44183</v>
      </c>
      <c r="B619" s="53">
        <v>41.75</v>
      </c>
      <c r="C619" s="83">
        <v>0.41627967328652993</v>
      </c>
      <c r="D619" s="53">
        <v>43.5</v>
      </c>
      <c r="E619" s="87">
        <v>0.43372852186740241</v>
      </c>
      <c r="F619" s="53">
        <v>40.22</v>
      </c>
      <c r="G619" s="83">
        <v>0.40161133680769279</v>
      </c>
      <c r="H619" s="53">
        <v>41.4</v>
      </c>
      <c r="I619" s="83">
        <v>0.41384835009089133</v>
      </c>
      <c r="J619" s="53">
        <v>36.18</v>
      </c>
      <c r="K619" s="83">
        <v>0.36061072558650747</v>
      </c>
      <c r="L619" s="53">
        <v>38.26</v>
      </c>
      <c r="M619" s="83">
        <v>0.38245985204051941</v>
      </c>
      <c r="N619" s="55">
        <v>35.5</v>
      </c>
      <c r="O619" s="83">
        <v>0.35486996203445997</v>
      </c>
      <c r="P619" s="56">
        <f t="shared" si="90"/>
        <v>1.4668336478837141E-2</v>
      </c>
      <c r="Q619" s="56">
        <f t="shared" si="91"/>
        <v>1.7448848580872478E-2</v>
      </c>
      <c r="R619" s="56">
        <f t="shared" si="92"/>
        <v>3.3819821246010517E-2</v>
      </c>
      <c r="S619" s="54">
        <f t="shared" si="93"/>
        <v>6.1409711252069954E-2</v>
      </c>
      <c r="T619" s="56">
        <f t="shared" si="94"/>
        <v>7.8858559832942432E-2</v>
      </c>
      <c r="U619" s="56">
        <f t="shared" si="95"/>
        <v>4.6741374773232813E-2</v>
      </c>
      <c r="V619" s="56">
        <f t="shared" si="96"/>
        <v>4.1000611221185312E-2</v>
      </c>
      <c r="W619" s="56">
        <f t="shared" si="97"/>
        <v>5.5668947700022453E-2</v>
      </c>
      <c r="X619" s="65">
        <f t="shared" si="98"/>
        <v>1.2237013283198539E-2</v>
      </c>
      <c r="Y619" s="73">
        <f t="shared" si="99"/>
        <v>1.9151484767173377E-2</v>
      </c>
    </row>
    <row r="620" spans="1:25" x14ac:dyDescent="0.25">
      <c r="A620" s="52">
        <v>44182</v>
      </c>
      <c r="B620" s="53">
        <v>41.57</v>
      </c>
      <c r="C620" s="83">
        <v>0.41449625744413482</v>
      </c>
      <c r="D620" s="53">
        <v>43.47</v>
      </c>
      <c r="E620" s="87">
        <v>0.43344123914112442</v>
      </c>
      <c r="F620" s="53">
        <v>39.840000000000003</v>
      </c>
      <c r="G620" s="83">
        <v>0.39782234016359808</v>
      </c>
      <c r="H620" s="53">
        <v>41.01</v>
      </c>
      <c r="I620" s="83">
        <v>0.40995118210512621</v>
      </c>
      <c r="J620" s="53">
        <v>35.85</v>
      </c>
      <c r="K620" s="83">
        <v>0.35733255050280932</v>
      </c>
      <c r="L620" s="53">
        <v>37.9</v>
      </c>
      <c r="M620" s="83">
        <v>0.37886246773431559</v>
      </c>
      <c r="N620" s="55">
        <v>35.049999999999997</v>
      </c>
      <c r="O620" s="83">
        <v>0.35037280987038949</v>
      </c>
      <c r="P620" s="56">
        <f t="shared" si="90"/>
        <v>1.6673917280536743E-2</v>
      </c>
      <c r="Q620" s="56">
        <f t="shared" si="91"/>
        <v>1.8944981696989605E-2</v>
      </c>
      <c r="R620" s="56">
        <f t="shared" si="92"/>
        <v>3.563378970981923E-2</v>
      </c>
      <c r="S620" s="54">
        <f t="shared" si="93"/>
        <v>6.4123447573745329E-2</v>
      </c>
      <c r="T620" s="56">
        <f t="shared" si="94"/>
        <v>8.3068429270734934E-2</v>
      </c>
      <c r="U620" s="56">
        <f t="shared" si="95"/>
        <v>4.7449530293208586E-2</v>
      </c>
      <c r="V620" s="56">
        <f t="shared" si="96"/>
        <v>4.0489789660788755E-2</v>
      </c>
      <c r="W620" s="56">
        <f t="shared" si="97"/>
        <v>5.7163706941325498E-2</v>
      </c>
      <c r="X620" s="65">
        <f t="shared" si="98"/>
        <v>1.2128841941528135E-2</v>
      </c>
      <c r="Y620" s="73">
        <f t="shared" si="99"/>
        <v>1.8959872429282487E-2</v>
      </c>
    </row>
    <row r="621" spans="1:25" x14ac:dyDescent="0.25">
      <c r="A621" s="52">
        <v>44181</v>
      </c>
      <c r="B621" s="53">
        <v>41.55</v>
      </c>
      <c r="C621" s="83">
        <v>0.41430815462368531</v>
      </c>
      <c r="D621" s="53">
        <v>43.48</v>
      </c>
      <c r="E621" s="87">
        <v>0.4335527933342439</v>
      </c>
      <c r="F621" s="53">
        <v>39.78</v>
      </c>
      <c r="G621" s="83">
        <v>0.39722864373161892</v>
      </c>
      <c r="H621" s="53">
        <v>40.799999999999997</v>
      </c>
      <c r="I621" s="83">
        <v>0.40785334040841481</v>
      </c>
      <c r="J621" s="53">
        <v>35.1</v>
      </c>
      <c r="K621" s="83">
        <v>0.34986772261004628</v>
      </c>
      <c r="L621" s="53">
        <v>37.28</v>
      </c>
      <c r="M621" s="83">
        <v>0.37266599339278678</v>
      </c>
      <c r="N621" s="55">
        <v>34.799999999999997</v>
      </c>
      <c r="O621" s="83">
        <v>0.3478749079954126</v>
      </c>
      <c r="P621" s="56">
        <f t="shared" si="90"/>
        <v>1.7079510892066385E-2</v>
      </c>
      <c r="Q621" s="56">
        <f t="shared" si="91"/>
        <v>1.9244638710558593E-2</v>
      </c>
      <c r="R621" s="56">
        <f t="shared" si="92"/>
        <v>4.1642161230898533E-2</v>
      </c>
      <c r="S621" s="54">
        <f t="shared" si="93"/>
        <v>6.6433246628272713E-2</v>
      </c>
      <c r="T621" s="56">
        <f t="shared" si="94"/>
        <v>8.5677885338831306E-2</v>
      </c>
      <c r="U621" s="56">
        <f t="shared" si="95"/>
        <v>4.9353735736206328E-2</v>
      </c>
      <c r="V621" s="56">
        <f t="shared" si="96"/>
        <v>4.7360921121572641E-2</v>
      </c>
      <c r="W621" s="56">
        <f t="shared" si="97"/>
        <v>6.4440432013639026E-2</v>
      </c>
      <c r="X621" s="65">
        <f t="shared" si="98"/>
        <v>1.0624696676795886E-2</v>
      </c>
      <c r="Y621" s="73">
        <f t="shared" si="99"/>
        <v>2.4562650338832148E-2</v>
      </c>
    </row>
    <row r="622" spans="1:25" x14ac:dyDescent="0.25">
      <c r="A622" s="52">
        <v>44180</v>
      </c>
      <c r="B622" s="53">
        <v>41.75</v>
      </c>
      <c r="C622" s="83">
        <v>0.4163137908425309</v>
      </c>
      <c r="D622" s="53">
        <v>43.9</v>
      </c>
      <c r="E622" s="87">
        <v>0.43775270462244559</v>
      </c>
      <c r="F622" s="53">
        <v>40.03</v>
      </c>
      <c r="G622" s="83">
        <v>0.39973052090172911</v>
      </c>
      <c r="H622" s="53">
        <v>40.659999999999997</v>
      </c>
      <c r="I622" s="83">
        <v>0.40645523512173742</v>
      </c>
      <c r="J622" s="53">
        <v>35.1</v>
      </c>
      <c r="K622" s="83">
        <v>0.34987847174809522</v>
      </c>
      <c r="L622" s="53">
        <v>37</v>
      </c>
      <c r="M622" s="83">
        <v>0.36986826609700663</v>
      </c>
      <c r="N622" s="55">
        <v>34.799999999999997</v>
      </c>
      <c r="O622" s="83">
        <v>0.347876098923671</v>
      </c>
      <c r="P622" s="56">
        <f t="shared" si="90"/>
        <v>1.6583269940801781E-2</v>
      </c>
      <c r="Q622" s="56">
        <f t="shared" si="91"/>
        <v>2.1438913779914692E-2</v>
      </c>
      <c r="R622" s="56">
        <f t="shared" si="92"/>
        <v>4.6445524745524269E-2</v>
      </c>
      <c r="S622" s="54">
        <f t="shared" si="93"/>
        <v>6.84376919188599E-2</v>
      </c>
      <c r="T622" s="56">
        <f t="shared" si="94"/>
        <v>8.9876605698774592E-2</v>
      </c>
      <c r="U622" s="56">
        <f t="shared" si="95"/>
        <v>5.1854421978058118E-2</v>
      </c>
      <c r="V622" s="56">
        <f t="shared" si="96"/>
        <v>4.9852049153633893E-2</v>
      </c>
      <c r="W622" s="56">
        <f t="shared" si="97"/>
        <v>6.6435319094435674E-2</v>
      </c>
      <c r="X622" s="65">
        <f t="shared" si="98"/>
        <v>6.7247142200083099E-3</v>
      </c>
      <c r="Y622" s="73">
        <f t="shared" si="99"/>
        <v>2.9862254804722488E-2</v>
      </c>
    </row>
    <row r="623" spans="1:25" x14ac:dyDescent="0.25">
      <c r="A623" s="52">
        <v>44179</v>
      </c>
      <c r="B623" s="53">
        <v>42.1</v>
      </c>
      <c r="C623" s="83">
        <v>0.41981531568450681</v>
      </c>
      <c r="D623" s="53">
        <v>44.3</v>
      </c>
      <c r="E623" s="87">
        <v>0.44175340819058551</v>
      </c>
      <c r="F623" s="53">
        <v>40.33</v>
      </c>
      <c r="G623" s="83">
        <v>0.40273176203438982</v>
      </c>
      <c r="H623" s="53">
        <v>41.5</v>
      </c>
      <c r="I623" s="83">
        <v>0.41485366463199619</v>
      </c>
      <c r="J623" s="53">
        <v>35.6</v>
      </c>
      <c r="K623" s="83">
        <v>0.35487339849177441</v>
      </c>
      <c r="L623" s="53">
        <v>37.42</v>
      </c>
      <c r="M623" s="83">
        <v>0.37406805133805537</v>
      </c>
      <c r="N623" s="55">
        <v>34.799999999999997</v>
      </c>
      <c r="O623" s="83">
        <v>0.34787728986008359</v>
      </c>
      <c r="P623" s="56">
        <f t="shared" si="90"/>
        <v>1.7083553650116989E-2</v>
      </c>
      <c r="Q623" s="56">
        <f t="shared" si="91"/>
        <v>2.1938092506078699E-2</v>
      </c>
      <c r="R623" s="56">
        <f t="shared" si="92"/>
        <v>4.5747264346451433E-2</v>
      </c>
      <c r="S623" s="54">
        <f t="shared" si="93"/>
        <v>7.1938025824423213E-2</v>
      </c>
      <c r="T623" s="56">
        <f t="shared" si="94"/>
        <v>9.3876118330501912E-2</v>
      </c>
      <c r="U623" s="56">
        <f t="shared" si="95"/>
        <v>5.4854472174306224E-2</v>
      </c>
      <c r="V623" s="56">
        <f t="shared" si="96"/>
        <v>4.7858363542615412E-2</v>
      </c>
      <c r="W623" s="56">
        <f t="shared" si="97"/>
        <v>6.4941917192732401E-2</v>
      </c>
      <c r="X623" s="65">
        <f t="shared" si="98"/>
        <v>1.2121902597606371E-2</v>
      </c>
      <c r="Y623" s="73">
        <f t="shared" si="99"/>
        <v>2.8663710696334443E-2</v>
      </c>
    </row>
    <row r="624" spans="1:25" x14ac:dyDescent="0.25">
      <c r="A624" s="52">
        <v>44176</v>
      </c>
      <c r="B624" s="53">
        <v>41.92</v>
      </c>
      <c r="C624" s="83">
        <v>0.41805464480874321</v>
      </c>
      <c r="D624" s="53">
        <v>43.69</v>
      </c>
      <c r="E624" s="87">
        <v>0.43570628415300539</v>
      </c>
      <c r="F624" s="53">
        <v>39.85</v>
      </c>
      <c r="G624" s="83">
        <v>0.39795485636114908</v>
      </c>
      <c r="H624" s="53">
        <v>40.79</v>
      </c>
      <c r="I624" s="83">
        <v>0.4077603560424512</v>
      </c>
      <c r="J624" s="53">
        <v>35.6</v>
      </c>
      <c r="K624" s="83">
        <v>0.35490611130078531</v>
      </c>
      <c r="L624" s="53">
        <v>37.32</v>
      </c>
      <c r="M624" s="83">
        <v>0.3730722355357754</v>
      </c>
      <c r="N624" s="55">
        <v>34.92</v>
      </c>
      <c r="O624" s="83">
        <v>0.34908045190003423</v>
      </c>
      <c r="P624" s="56">
        <f t="shared" si="90"/>
        <v>2.0099788447594136E-2</v>
      </c>
      <c r="Q624" s="56">
        <f t="shared" si="91"/>
        <v>1.7651639344262171E-2</v>
      </c>
      <c r="R624" s="56">
        <f t="shared" si="92"/>
        <v>4.4982409272967816E-2</v>
      </c>
      <c r="S624" s="54">
        <f t="shared" si="93"/>
        <v>6.8974192908708987E-2</v>
      </c>
      <c r="T624" s="56">
        <f t="shared" si="94"/>
        <v>8.6625832252971158E-2</v>
      </c>
      <c r="U624" s="56">
        <f t="shared" si="95"/>
        <v>4.8874404461114851E-2</v>
      </c>
      <c r="V624" s="56">
        <f t="shared" si="96"/>
        <v>4.3048745060363769E-2</v>
      </c>
      <c r="W624" s="56">
        <f t="shared" si="97"/>
        <v>6.3148533507957905E-2</v>
      </c>
      <c r="X624" s="65">
        <f t="shared" si="98"/>
        <v>9.8054996813021211E-3</v>
      </c>
      <c r="Y624" s="73">
        <f t="shared" si="99"/>
        <v>2.488262082537368E-2</v>
      </c>
    </row>
    <row r="625" spans="1:25" x14ac:dyDescent="0.25">
      <c r="A625" s="52">
        <v>44175</v>
      </c>
      <c r="B625" s="53">
        <v>42.12</v>
      </c>
      <c r="C625" s="83">
        <v>0.42006065739501081</v>
      </c>
      <c r="D625" s="53">
        <v>43.5</v>
      </c>
      <c r="E625" s="87">
        <v>0.43382332850624328</v>
      </c>
      <c r="F625" s="53">
        <v>39.67</v>
      </c>
      <c r="G625" s="83">
        <v>0.39616273820435299</v>
      </c>
      <c r="H625" s="53">
        <v>40.6</v>
      </c>
      <c r="I625" s="83">
        <v>0.40586239596849022</v>
      </c>
      <c r="J625" s="53">
        <v>35.51</v>
      </c>
      <c r="K625" s="83">
        <v>0.35401975478932429</v>
      </c>
      <c r="L625" s="53">
        <v>37.35</v>
      </c>
      <c r="M625" s="83">
        <v>0.37337341106953459</v>
      </c>
      <c r="N625" s="55">
        <v>34.75</v>
      </c>
      <c r="O625" s="83">
        <v>0.34738222315037032</v>
      </c>
      <c r="P625" s="56">
        <f t="shared" si="90"/>
        <v>2.3897919190657813E-2</v>
      </c>
      <c r="Q625" s="56">
        <f t="shared" si="91"/>
        <v>1.3762671111232472E-2</v>
      </c>
      <c r="R625" s="56">
        <f t="shared" si="92"/>
        <v>4.6687246325476217E-2</v>
      </c>
      <c r="S625" s="54">
        <f t="shared" si="93"/>
        <v>7.2678434244640489E-2</v>
      </c>
      <c r="T625" s="56">
        <f t="shared" si="94"/>
        <v>8.644110535587296E-2</v>
      </c>
      <c r="U625" s="56">
        <f t="shared" si="95"/>
        <v>4.8780515053982676E-2</v>
      </c>
      <c r="V625" s="56">
        <f t="shared" si="96"/>
        <v>4.2142983415028701E-2</v>
      </c>
      <c r="W625" s="56">
        <f t="shared" si="97"/>
        <v>6.6040902605686513E-2</v>
      </c>
      <c r="X625" s="65">
        <f t="shared" si="98"/>
        <v>9.6996577641372261E-3</v>
      </c>
      <c r="Y625" s="73">
        <f t="shared" si="99"/>
        <v>2.2789327134818405E-2</v>
      </c>
    </row>
    <row r="626" spans="1:25" x14ac:dyDescent="0.25">
      <c r="A626" s="52">
        <v>44174</v>
      </c>
      <c r="B626" s="53">
        <v>41.7</v>
      </c>
      <c r="C626" s="83">
        <v>0.41588338160555233</v>
      </c>
      <c r="D626" s="53">
        <v>43.5</v>
      </c>
      <c r="E626" s="87">
        <v>0.43383518225039619</v>
      </c>
      <c r="F626" s="53">
        <v>39.119999999999997</v>
      </c>
      <c r="G626" s="83">
        <v>0.39067553147828937</v>
      </c>
      <c r="H626" s="53">
        <v>40</v>
      </c>
      <c r="I626" s="83">
        <v>0.39986579846489878</v>
      </c>
      <c r="J626" s="53">
        <v>34.9</v>
      </c>
      <c r="K626" s="83">
        <v>0.34794900335288609</v>
      </c>
      <c r="L626" s="53">
        <v>37.130000000000003</v>
      </c>
      <c r="M626" s="83">
        <v>0.37117542742504228</v>
      </c>
      <c r="N626" s="55">
        <v>34.47</v>
      </c>
      <c r="O626" s="83">
        <v>0.34458435182712649</v>
      </c>
      <c r="P626" s="56">
        <f t="shared" si="90"/>
        <v>2.5207850127262954E-2</v>
      </c>
      <c r="Q626" s="56">
        <f t="shared" si="91"/>
        <v>1.7951800644843863E-2</v>
      </c>
      <c r="R626" s="56">
        <f t="shared" si="92"/>
        <v>4.4707954180510046E-2</v>
      </c>
      <c r="S626" s="54">
        <f t="shared" si="93"/>
        <v>7.1299029778425838E-2</v>
      </c>
      <c r="T626" s="56">
        <f t="shared" si="94"/>
        <v>8.92508304232697E-2</v>
      </c>
      <c r="U626" s="56">
        <f t="shared" si="95"/>
        <v>4.6091179651162884E-2</v>
      </c>
      <c r="V626" s="56">
        <f t="shared" si="96"/>
        <v>4.2726528125403285E-2</v>
      </c>
      <c r="W626" s="56">
        <f t="shared" si="97"/>
        <v>6.7934378252666239E-2</v>
      </c>
      <c r="X626" s="65">
        <f t="shared" si="98"/>
        <v>9.1902669866094078E-3</v>
      </c>
      <c r="Y626" s="73">
        <f t="shared" si="99"/>
        <v>1.9500104053247092E-2</v>
      </c>
    </row>
    <row r="627" spans="1:25" x14ac:dyDescent="0.25">
      <c r="A627" s="52">
        <v>44169</v>
      </c>
      <c r="B627" s="53">
        <v>41.76</v>
      </c>
      <c r="C627" s="83">
        <v>0.41653868226163471</v>
      </c>
      <c r="D627" s="53">
        <v>43.7</v>
      </c>
      <c r="E627" s="87">
        <v>0.43588937774984288</v>
      </c>
      <c r="F627" s="53">
        <v>38.6</v>
      </c>
      <c r="G627" s="83">
        <v>0.38550887225862951</v>
      </c>
      <c r="H627" s="53">
        <v>39.94</v>
      </c>
      <c r="I627" s="83">
        <v>0.39927283433700911</v>
      </c>
      <c r="J627" s="53">
        <v>35.299999999999997</v>
      </c>
      <c r="K627" s="83">
        <v>0.35199103938368442</v>
      </c>
      <c r="L627" s="53">
        <v>37.130000000000003</v>
      </c>
      <c r="M627" s="83">
        <v>0.3711817811450463</v>
      </c>
      <c r="N627" s="55">
        <v>34.47</v>
      </c>
      <c r="O627" s="83">
        <v>0.34459025036546581</v>
      </c>
      <c r="P627" s="56">
        <f t="shared" si="90"/>
        <v>3.1029810003005198E-2</v>
      </c>
      <c r="Q627" s="56">
        <f t="shared" si="91"/>
        <v>1.9350695488208169E-2</v>
      </c>
      <c r="R627" s="56">
        <f t="shared" si="92"/>
        <v>4.5356901116588411E-2</v>
      </c>
      <c r="S627" s="54">
        <f t="shared" si="93"/>
        <v>7.1948431896168896E-2</v>
      </c>
      <c r="T627" s="56">
        <f t="shared" si="94"/>
        <v>9.1299127384377066E-2</v>
      </c>
      <c r="U627" s="56">
        <f t="shared" si="95"/>
        <v>4.0918621893163698E-2</v>
      </c>
      <c r="V627" s="56">
        <f t="shared" si="96"/>
        <v>3.3517832874945086E-2</v>
      </c>
      <c r="W627" s="56">
        <f t="shared" si="97"/>
        <v>6.4547642877950284E-2</v>
      </c>
      <c r="X627" s="65">
        <f t="shared" si="98"/>
        <v>1.3763962078379599E-2</v>
      </c>
      <c r="Y627" s="73">
        <f t="shared" si="99"/>
        <v>1.4327091113583212E-2</v>
      </c>
    </row>
    <row r="628" spans="1:25" x14ac:dyDescent="0.25">
      <c r="A628" s="52">
        <v>44168</v>
      </c>
      <c r="B628" s="53">
        <v>41.8</v>
      </c>
      <c r="C628" s="83">
        <v>0.4169490599038041</v>
      </c>
      <c r="D628" s="53">
        <v>44</v>
      </c>
      <c r="E628" s="87">
        <v>0.43889374726716218</v>
      </c>
      <c r="F628" s="53">
        <v>38.840000000000003</v>
      </c>
      <c r="G628" s="83">
        <v>0.38791112570459152</v>
      </c>
      <c r="H628" s="53">
        <v>40.5</v>
      </c>
      <c r="I628" s="83">
        <v>0.40487243745121398</v>
      </c>
      <c r="J628" s="53">
        <v>35.68</v>
      </c>
      <c r="K628" s="83">
        <v>0.35579111287171988</v>
      </c>
      <c r="L628" s="53">
        <v>37.39</v>
      </c>
      <c r="M628" s="83">
        <v>0.37378223299508367</v>
      </c>
      <c r="N628" s="55">
        <v>34.700000000000003</v>
      </c>
      <c r="O628" s="83">
        <v>0.34689070566807723</v>
      </c>
      <c r="P628" s="56">
        <f t="shared" si="90"/>
        <v>2.9037934199212578E-2</v>
      </c>
      <c r="Q628" s="56">
        <f t="shared" si="91"/>
        <v>2.1944687363358084E-2</v>
      </c>
      <c r="R628" s="56">
        <f t="shared" si="92"/>
        <v>4.3166826908720424E-2</v>
      </c>
      <c r="S628" s="54">
        <f t="shared" si="93"/>
        <v>7.0058354235726872E-2</v>
      </c>
      <c r="T628" s="56">
        <f t="shared" si="94"/>
        <v>9.2003041599084956E-2</v>
      </c>
      <c r="U628" s="56">
        <f t="shared" si="95"/>
        <v>4.1020420036514293E-2</v>
      </c>
      <c r="V628" s="56">
        <f t="shared" si="96"/>
        <v>3.2120012832871636E-2</v>
      </c>
      <c r="W628" s="56">
        <f t="shared" si="97"/>
        <v>6.1157947032084214E-2</v>
      </c>
      <c r="X628" s="65">
        <f t="shared" si="98"/>
        <v>1.6961311746622465E-2</v>
      </c>
      <c r="Y628" s="73">
        <f t="shared" si="99"/>
        <v>1.4128892709507845E-2</v>
      </c>
    </row>
    <row r="629" spans="1:25" x14ac:dyDescent="0.25">
      <c r="A629" s="52">
        <v>44167</v>
      </c>
      <c r="B629" s="53">
        <v>41.76</v>
      </c>
      <c r="C629" s="83">
        <v>0.41656144953677132</v>
      </c>
      <c r="D629" s="53">
        <v>44</v>
      </c>
      <c r="E629" s="87">
        <v>0.43890574184908859</v>
      </c>
      <c r="F629" s="53">
        <v>38.65</v>
      </c>
      <c r="G629" s="83">
        <v>0.38601879848408149</v>
      </c>
      <c r="H629" s="53">
        <v>40.61</v>
      </c>
      <c r="I629" s="83">
        <v>0.40597348086726398</v>
      </c>
      <c r="J629" s="53">
        <v>35.6</v>
      </c>
      <c r="K629" s="83">
        <v>0.35500428592406907</v>
      </c>
      <c r="L629" s="53">
        <v>37.979999999999997</v>
      </c>
      <c r="M629" s="83">
        <v>0.37968167454663099</v>
      </c>
      <c r="N629" s="55">
        <v>34.700000000000003</v>
      </c>
      <c r="O629" s="83">
        <v>0.34689189327983411</v>
      </c>
      <c r="P629" s="56">
        <f t="shared" si="90"/>
        <v>3.0542651052689829E-2</v>
      </c>
      <c r="Q629" s="56">
        <f t="shared" si="91"/>
        <v>2.2344292312317271E-2</v>
      </c>
      <c r="R629" s="56">
        <f t="shared" si="92"/>
        <v>3.6879774990140335E-2</v>
      </c>
      <c r="S629" s="54">
        <f t="shared" si="93"/>
        <v>6.9669556256937215E-2</v>
      </c>
      <c r="T629" s="56">
        <f t="shared" si="94"/>
        <v>9.2013848569254486E-2</v>
      </c>
      <c r="U629" s="56">
        <f t="shared" si="95"/>
        <v>3.9126905204247386E-2</v>
      </c>
      <c r="V629" s="56">
        <f t="shared" si="96"/>
        <v>3.1014512560012419E-2</v>
      </c>
      <c r="W629" s="56">
        <f t="shared" si="97"/>
        <v>6.1557163612702248E-2</v>
      </c>
      <c r="X629" s="65">
        <f t="shared" si="98"/>
        <v>1.9954682383182487E-2</v>
      </c>
      <c r="Y629" s="73">
        <f t="shared" si="99"/>
        <v>6.3371239374505062E-3</v>
      </c>
    </row>
    <row r="630" spans="1:25" x14ac:dyDescent="0.25">
      <c r="A630" s="52">
        <v>44166</v>
      </c>
      <c r="B630" s="53">
        <v>41.86</v>
      </c>
      <c r="C630" s="83">
        <v>0.41757037441924022</v>
      </c>
      <c r="D630" s="53">
        <v>44.22</v>
      </c>
      <c r="E630" s="87">
        <v>0.44111232577206888</v>
      </c>
      <c r="F630" s="53">
        <v>38.479999999999997</v>
      </c>
      <c r="G630" s="83">
        <v>0.38432617321110962</v>
      </c>
      <c r="H630" s="53">
        <v>40.68</v>
      </c>
      <c r="I630" s="83">
        <v>0.40667465507206679</v>
      </c>
      <c r="J630" s="53">
        <v>35.36</v>
      </c>
      <c r="K630" s="83">
        <v>0.35262183668590552</v>
      </c>
      <c r="L630" s="53">
        <v>36.950000000000003</v>
      </c>
      <c r="M630" s="83">
        <v>0.36938614810503623</v>
      </c>
      <c r="N630" s="55">
        <v>34.6</v>
      </c>
      <c r="O630" s="83">
        <v>0.34589338902393102</v>
      </c>
      <c r="P630" s="56">
        <f t="shared" si="90"/>
        <v>3.3244201208130597E-2</v>
      </c>
      <c r="Q630" s="56">
        <f t="shared" si="91"/>
        <v>2.3541951352828661E-2</v>
      </c>
      <c r="R630" s="56">
        <f t="shared" si="92"/>
        <v>4.8184226314203993E-2</v>
      </c>
      <c r="S630" s="54">
        <f t="shared" si="93"/>
        <v>7.1676985395309201E-2</v>
      </c>
      <c r="T630" s="56">
        <f t="shared" si="94"/>
        <v>9.5218936748137861E-2</v>
      </c>
      <c r="U630" s="56">
        <f t="shared" si="95"/>
        <v>3.8432784187178604E-2</v>
      </c>
      <c r="V630" s="56">
        <f t="shared" si="96"/>
        <v>3.1704336525204102E-2</v>
      </c>
      <c r="W630" s="56">
        <f t="shared" si="97"/>
        <v>6.4948537733334699E-2</v>
      </c>
      <c r="X630" s="65">
        <f t="shared" si="98"/>
        <v>2.234848186095717E-2</v>
      </c>
      <c r="Y630" s="73">
        <f t="shared" si="99"/>
        <v>1.4940025106073396E-2</v>
      </c>
    </row>
    <row r="631" spans="1:25" x14ac:dyDescent="0.25">
      <c r="A631" s="52">
        <v>44165</v>
      </c>
      <c r="B631" s="53">
        <v>42.2</v>
      </c>
      <c r="C631" s="83">
        <v>0.42097351663068139</v>
      </c>
      <c r="D631" s="53">
        <v>44.16</v>
      </c>
      <c r="E631" s="87">
        <v>0.44052584109978399</v>
      </c>
      <c r="F631" s="53">
        <v>38.61</v>
      </c>
      <c r="G631" s="83">
        <v>0.38562984854082011</v>
      </c>
      <c r="H631" s="53">
        <v>40.700000000000003</v>
      </c>
      <c r="I631" s="83">
        <v>0.40687598642879402</v>
      </c>
      <c r="J631" s="53">
        <v>35.99</v>
      </c>
      <c r="K631" s="83">
        <v>0.35891544086256538</v>
      </c>
      <c r="L631" s="53">
        <v>37.15</v>
      </c>
      <c r="M631" s="83">
        <v>0.37138680333733892</v>
      </c>
      <c r="N631" s="55">
        <v>35</v>
      </c>
      <c r="O631" s="83">
        <v>0.34989335442279579</v>
      </c>
      <c r="P631" s="56">
        <f t="shared" si="90"/>
        <v>3.534366808986128E-2</v>
      </c>
      <c r="Q631" s="56">
        <f t="shared" si="91"/>
        <v>1.95523244691026E-2</v>
      </c>
      <c r="R631" s="56">
        <f t="shared" si="92"/>
        <v>4.9586713293342466E-2</v>
      </c>
      <c r="S631" s="54">
        <f t="shared" si="93"/>
        <v>7.10801622078856E-2</v>
      </c>
      <c r="T631" s="56">
        <f t="shared" si="94"/>
        <v>9.06324866769882E-2</v>
      </c>
      <c r="U631" s="56">
        <f t="shared" si="95"/>
        <v>3.573649411802432E-2</v>
      </c>
      <c r="V631" s="56">
        <f t="shared" si="96"/>
        <v>2.6714407678254726E-2</v>
      </c>
      <c r="W631" s="56">
        <f t="shared" si="97"/>
        <v>6.2058075768116006E-2</v>
      </c>
      <c r="X631" s="65">
        <f t="shared" si="98"/>
        <v>2.1246137887973915E-2</v>
      </c>
      <c r="Y631" s="73">
        <f t="shared" si="99"/>
        <v>1.4243045203481186E-2</v>
      </c>
    </row>
    <row r="632" spans="1:25" x14ac:dyDescent="0.25">
      <c r="A632" s="52">
        <v>44162</v>
      </c>
      <c r="B632" s="53">
        <v>42.97</v>
      </c>
      <c r="C632" s="83">
        <v>0.42868993604110861</v>
      </c>
      <c r="D632" s="53">
        <v>45.1</v>
      </c>
      <c r="E632" s="87">
        <v>0.44993986770895972</v>
      </c>
      <c r="F632" s="53">
        <v>39.01</v>
      </c>
      <c r="G632" s="83">
        <v>0.38964097091098149</v>
      </c>
      <c r="H632" s="53">
        <v>41.49</v>
      </c>
      <c r="I632" s="83">
        <v>0.41477783940346341</v>
      </c>
      <c r="J632" s="53">
        <v>36.229999999999997</v>
      </c>
      <c r="K632" s="83">
        <v>0.36134219568677539</v>
      </c>
      <c r="L632" s="53">
        <v>37.5</v>
      </c>
      <c r="M632" s="83">
        <v>0.3748895873133255</v>
      </c>
      <c r="N632" s="55">
        <v>35</v>
      </c>
      <c r="O632" s="83">
        <v>0.34989694815910383</v>
      </c>
      <c r="P632" s="56">
        <f t="shared" si="90"/>
        <v>3.9048965130127122E-2</v>
      </c>
      <c r="Q632" s="56">
        <f t="shared" si="91"/>
        <v>2.1249931667851107E-2</v>
      </c>
      <c r="R632" s="56">
        <f t="shared" si="92"/>
        <v>5.3800348727783109E-2</v>
      </c>
      <c r="S632" s="54">
        <f t="shared" si="93"/>
        <v>7.8792987882004784E-2</v>
      </c>
      <c r="T632" s="56">
        <f t="shared" si="94"/>
        <v>0.10004291954985589</v>
      </c>
      <c r="U632" s="56">
        <f t="shared" si="95"/>
        <v>3.9744022751877661E-2</v>
      </c>
      <c r="V632" s="56">
        <f t="shared" si="96"/>
        <v>2.8298775224206096E-2</v>
      </c>
      <c r="W632" s="56">
        <f t="shared" si="97"/>
        <v>6.7347740354333219E-2</v>
      </c>
      <c r="X632" s="65">
        <f t="shared" si="98"/>
        <v>2.5136868492481923E-2</v>
      </c>
      <c r="Y632" s="73">
        <f t="shared" si="99"/>
        <v>1.4751383597655987E-2</v>
      </c>
    </row>
    <row r="633" spans="1:25" x14ac:dyDescent="0.25">
      <c r="A633" s="52">
        <v>44161</v>
      </c>
      <c r="B633" s="53">
        <v>43.2</v>
      </c>
      <c r="C633" s="83">
        <v>0.43099630996309968</v>
      </c>
      <c r="D633" s="53">
        <v>45.1</v>
      </c>
      <c r="E633" s="87">
        <v>0.44995216618832862</v>
      </c>
      <c r="F633" s="53">
        <v>39</v>
      </c>
      <c r="G633" s="83">
        <v>0.38954641855373878</v>
      </c>
      <c r="H633" s="53">
        <v>41.2</v>
      </c>
      <c r="I633" s="83">
        <v>0.41188010339455983</v>
      </c>
      <c r="J633" s="53">
        <v>35.71</v>
      </c>
      <c r="K633" s="83">
        <v>0.35616689153416559</v>
      </c>
      <c r="L633" s="53">
        <v>37.51</v>
      </c>
      <c r="M633" s="83">
        <v>0.37499084170703728</v>
      </c>
      <c r="N633" s="55">
        <v>34.9</v>
      </c>
      <c r="O633" s="83">
        <v>0.3488984370987897</v>
      </c>
      <c r="P633" s="56">
        <f t="shared" si="90"/>
        <v>4.1449891409360895E-2</v>
      </c>
      <c r="Q633" s="56">
        <f t="shared" si="91"/>
        <v>1.895585622522894E-2</v>
      </c>
      <c r="R633" s="56">
        <f t="shared" si="92"/>
        <v>5.6005468256062396E-2</v>
      </c>
      <c r="S633" s="54">
        <f t="shared" si="93"/>
        <v>8.2097872864309973E-2</v>
      </c>
      <c r="T633" s="56">
        <f t="shared" si="94"/>
        <v>0.10105372908953891</v>
      </c>
      <c r="U633" s="56">
        <f t="shared" si="95"/>
        <v>4.0647981454949078E-2</v>
      </c>
      <c r="V633" s="56">
        <f t="shared" si="96"/>
        <v>3.3379527019573196E-2</v>
      </c>
      <c r="W633" s="56">
        <f t="shared" si="97"/>
        <v>7.4829418428934091E-2</v>
      </c>
      <c r="X633" s="65">
        <f t="shared" si="98"/>
        <v>2.2333684840821044E-2</v>
      </c>
      <c r="Y633" s="73">
        <f t="shared" si="99"/>
        <v>1.4555576846701501E-2</v>
      </c>
    </row>
    <row r="634" spans="1:25" x14ac:dyDescent="0.25">
      <c r="A634" s="52">
        <v>44160</v>
      </c>
      <c r="B634" s="53">
        <v>43.39</v>
      </c>
      <c r="C634" s="83">
        <v>0.4329037284058605</v>
      </c>
      <c r="D634" s="53">
        <v>45</v>
      </c>
      <c r="E634" s="87">
        <v>0.44896676142575992</v>
      </c>
      <c r="F634" s="53">
        <v>39.200000000000003</v>
      </c>
      <c r="G634" s="83">
        <v>0.39154944994800511</v>
      </c>
      <c r="H634" s="53">
        <v>41.6</v>
      </c>
      <c r="I634" s="83">
        <v>0.41588036318319388</v>
      </c>
      <c r="J634" s="53">
        <v>36.4</v>
      </c>
      <c r="K634" s="83">
        <v>0.36306002268100401</v>
      </c>
      <c r="L634" s="53">
        <v>38</v>
      </c>
      <c r="M634" s="83">
        <v>0.37989071636926358</v>
      </c>
      <c r="N634" s="55">
        <v>35.4</v>
      </c>
      <c r="O634" s="83">
        <v>0.35388971245262613</v>
      </c>
      <c r="P634" s="56">
        <f t="shared" si="90"/>
        <v>4.1354278457855387E-2</v>
      </c>
      <c r="Q634" s="56">
        <f t="shared" si="91"/>
        <v>1.606303301989942E-2</v>
      </c>
      <c r="R634" s="56">
        <f t="shared" si="92"/>
        <v>5.3013012036596918E-2</v>
      </c>
      <c r="S634" s="54">
        <f t="shared" si="93"/>
        <v>7.9014015953234373E-2</v>
      </c>
      <c r="T634" s="56">
        <f t="shared" si="94"/>
        <v>9.5077048973133793E-2</v>
      </c>
      <c r="U634" s="56">
        <f t="shared" si="95"/>
        <v>3.7659737495378987E-2</v>
      </c>
      <c r="V634" s="56">
        <f t="shared" si="96"/>
        <v>2.84894272670011E-2</v>
      </c>
      <c r="W634" s="56">
        <f t="shared" si="97"/>
        <v>6.9843705724856486E-2</v>
      </c>
      <c r="X634" s="65">
        <f t="shared" si="98"/>
        <v>2.4330913235188767E-2</v>
      </c>
      <c r="Y634" s="73">
        <f t="shared" si="99"/>
        <v>1.1658733578741531E-2</v>
      </c>
    </row>
    <row r="635" spans="1:25" x14ac:dyDescent="0.25">
      <c r="A635" s="52">
        <v>44159</v>
      </c>
      <c r="B635" s="53">
        <v>42.65</v>
      </c>
      <c r="C635" s="83">
        <v>0.4255323510920373</v>
      </c>
      <c r="D635" s="53">
        <v>44.31</v>
      </c>
      <c r="E635" s="87">
        <v>0.44209468878987512</v>
      </c>
      <c r="F635" s="53">
        <v>38.85</v>
      </c>
      <c r="G635" s="83">
        <v>0.38805878248019382</v>
      </c>
      <c r="H635" s="53">
        <v>41.2</v>
      </c>
      <c r="I635" s="83">
        <v>0.41188292368949919</v>
      </c>
      <c r="J635" s="53">
        <v>36.18</v>
      </c>
      <c r="K635" s="83">
        <v>0.36087679805429262</v>
      </c>
      <c r="L635" s="57">
        <v>38.049999999999997</v>
      </c>
      <c r="M635" s="83">
        <v>0.38039187491226811</v>
      </c>
      <c r="N635" s="55">
        <v>35</v>
      </c>
      <c r="O635" s="83">
        <v>0.34990054196923481</v>
      </c>
      <c r="P635" s="56">
        <f t="shared" si="90"/>
        <v>3.7473568611843477E-2</v>
      </c>
      <c r="Q635" s="56">
        <f t="shared" si="91"/>
        <v>1.6562337697837826E-2</v>
      </c>
      <c r="R635" s="56">
        <f t="shared" si="92"/>
        <v>4.5140476179769184E-2</v>
      </c>
      <c r="S635" s="54">
        <f t="shared" si="93"/>
        <v>7.5631809122802485E-2</v>
      </c>
      <c r="T635" s="56">
        <f t="shared" si="94"/>
        <v>9.219414682064031E-2</v>
      </c>
      <c r="U635" s="56">
        <f t="shared" si="95"/>
        <v>3.8158240510959007E-2</v>
      </c>
      <c r="V635" s="56">
        <f t="shared" si="96"/>
        <v>2.7181984425901196E-2</v>
      </c>
      <c r="W635" s="56">
        <f t="shared" si="97"/>
        <v>6.4655553037744673E-2</v>
      </c>
      <c r="X635" s="65">
        <f t="shared" si="98"/>
        <v>2.3824141209305372E-2</v>
      </c>
      <c r="Y635" s="73">
        <f t="shared" si="99"/>
        <v>7.666907567925707E-3</v>
      </c>
    </row>
    <row r="636" spans="1:25" x14ac:dyDescent="0.25">
      <c r="A636" s="52">
        <v>44155</v>
      </c>
      <c r="B636" s="53">
        <v>42.2</v>
      </c>
      <c r="C636" s="83">
        <v>0.42108860275021193</v>
      </c>
      <c r="D636" s="53">
        <v>44.01</v>
      </c>
      <c r="E636" s="87">
        <v>0.43914951201509062</v>
      </c>
      <c r="F636" s="53">
        <v>39.049999999999997</v>
      </c>
      <c r="G636" s="83">
        <v>0.39007786094500468</v>
      </c>
      <c r="H636" s="53">
        <v>40.85</v>
      </c>
      <c r="I636" s="83">
        <v>0.4083895110569401</v>
      </c>
      <c r="J636" s="53">
        <v>36.75</v>
      </c>
      <c r="K636" s="83">
        <v>0.36660733624633168</v>
      </c>
      <c r="L636" s="53">
        <v>38.79</v>
      </c>
      <c r="M636" s="83">
        <v>0.38779508283717762</v>
      </c>
      <c r="N636" s="55">
        <v>35.200000000000003</v>
      </c>
      <c r="O636" s="83">
        <v>0.35190479288137799</v>
      </c>
      <c r="P636" s="56">
        <f t="shared" si="90"/>
        <v>3.1010741805207243E-2</v>
      </c>
      <c r="Q636" s="56">
        <f t="shared" si="91"/>
        <v>1.8060909264878688E-2</v>
      </c>
      <c r="R636" s="56">
        <f t="shared" si="92"/>
        <v>3.3293519913034308E-2</v>
      </c>
      <c r="S636" s="54">
        <f t="shared" si="93"/>
        <v>6.9183809868833934E-2</v>
      </c>
      <c r="T636" s="56">
        <f t="shared" si="94"/>
        <v>8.7244719133712623E-2</v>
      </c>
      <c r="U636" s="56">
        <f t="shared" si="95"/>
        <v>3.8173068063626692E-2</v>
      </c>
      <c r="V636" s="56">
        <f t="shared" si="96"/>
        <v>2.3470524698673001E-2</v>
      </c>
      <c r="W636" s="56">
        <f t="shared" si="97"/>
        <v>5.4481266503880244E-2</v>
      </c>
      <c r="X636" s="65">
        <f t="shared" si="98"/>
        <v>1.8311650111935418E-2</v>
      </c>
      <c r="Y636" s="73">
        <f t="shared" si="99"/>
        <v>2.2827781078270659E-3</v>
      </c>
    </row>
    <row r="637" spans="1:25" x14ac:dyDescent="0.25">
      <c r="A637" s="52">
        <v>44154</v>
      </c>
      <c r="B637" s="53">
        <v>42.3</v>
      </c>
      <c r="C637" s="83">
        <v>0.4220979823937886</v>
      </c>
      <c r="D637" s="53">
        <v>44.5</v>
      </c>
      <c r="E637" s="87">
        <v>0.44405106894854829</v>
      </c>
      <c r="F637" s="53">
        <v>39.43</v>
      </c>
      <c r="G637" s="83">
        <v>0.39387914283368453</v>
      </c>
      <c r="H637" s="53">
        <v>40.9</v>
      </c>
      <c r="I637" s="83">
        <v>0.40889077575168281</v>
      </c>
      <c r="J637" s="53">
        <v>36.89</v>
      </c>
      <c r="K637" s="83">
        <v>0.3680152510061428</v>
      </c>
      <c r="L637" s="53">
        <v>39</v>
      </c>
      <c r="M637" s="83">
        <v>0.3898958497387684</v>
      </c>
      <c r="N637" s="55">
        <v>35.25</v>
      </c>
      <c r="O637" s="83">
        <v>0.35240586418696368</v>
      </c>
      <c r="P637" s="56">
        <f t="shared" si="90"/>
        <v>2.821883956010407E-2</v>
      </c>
      <c r="Q637" s="56">
        <f t="shared" si="91"/>
        <v>2.1953086554759693E-2</v>
      </c>
      <c r="R637" s="56">
        <f t="shared" si="92"/>
        <v>3.2202132655020199E-2</v>
      </c>
      <c r="S637" s="54">
        <f t="shared" si="93"/>
        <v>6.9692118206824916E-2</v>
      </c>
      <c r="T637" s="56">
        <f t="shared" si="94"/>
        <v>9.1645204761584609E-2</v>
      </c>
      <c r="U637" s="56">
        <f t="shared" si="95"/>
        <v>4.1473278646720846E-2</v>
      </c>
      <c r="V637" s="56">
        <f t="shared" si="96"/>
        <v>2.586389182754173E-2</v>
      </c>
      <c r="W637" s="56">
        <f t="shared" si="97"/>
        <v>5.4082731387645799E-2</v>
      </c>
      <c r="X637" s="65">
        <f t="shared" si="98"/>
        <v>1.5011632917998285E-2</v>
      </c>
      <c r="Y637" s="73">
        <f t="shared" si="99"/>
        <v>3.9832930949161294E-3</v>
      </c>
    </row>
    <row r="638" spans="1:25" x14ac:dyDescent="0.25">
      <c r="A638" s="52">
        <v>44153</v>
      </c>
      <c r="B638" s="53">
        <v>43.5</v>
      </c>
      <c r="C638" s="83">
        <v>0.43408426060092409</v>
      </c>
      <c r="D638" s="53">
        <v>44.5</v>
      </c>
      <c r="E638" s="87">
        <v>0.44406320912048552</v>
      </c>
      <c r="F638" s="53">
        <v>39.74</v>
      </c>
      <c r="G638" s="83">
        <v>0.39698126633550912</v>
      </c>
      <c r="H638" s="53">
        <v>41.41</v>
      </c>
      <c r="I638" s="83">
        <v>0.41399083118492719</v>
      </c>
      <c r="J638" s="53">
        <v>37.5</v>
      </c>
      <c r="K638" s="83">
        <v>0.37411212430772173</v>
      </c>
      <c r="L638" s="53">
        <v>39.4</v>
      </c>
      <c r="M638" s="83">
        <v>0.39389613013006841</v>
      </c>
      <c r="N638" s="55">
        <v>35.65</v>
      </c>
      <c r="O638" s="83">
        <v>0.35640601622174972</v>
      </c>
      <c r="P638" s="56">
        <f t="shared" si="90"/>
        <v>3.7102994265414968E-2</v>
      </c>
      <c r="Q638" s="56">
        <f t="shared" si="91"/>
        <v>9.9789485195614369E-3</v>
      </c>
      <c r="R638" s="56">
        <f t="shared" si="92"/>
        <v>4.0188130470855676E-2</v>
      </c>
      <c r="S638" s="54">
        <f t="shared" si="93"/>
        <v>7.7678244379174366E-2</v>
      </c>
      <c r="T638" s="56">
        <f t="shared" si="94"/>
        <v>8.7657192898735803E-2</v>
      </c>
      <c r="U638" s="56">
        <f t="shared" si="95"/>
        <v>4.0575250113759398E-2</v>
      </c>
      <c r="V638" s="56">
        <f t="shared" si="96"/>
        <v>2.2869142027787392E-2</v>
      </c>
      <c r="W638" s="56">
        <f t="shared" si="97"/>
        <v>5.9972136293202361E-2</v>
      </c>
      <c r="X638" s="65">
        <f t="shared" si="98"/>
        <v>1.7009564849418068E-2</v>
      </c>
      <c r="Y638" s="73">
        <f t="shared" si="99"/>
        <v>3.0851362054407083E-3</v>
      </c>
    </row>
    <row r="639" spans="1:25" x14ac:dyDescent="0.25">
      <c r="A639" s="52">
        <v>44152</v>
      </c>
      <c r="B639" s="53">
        <v>44.05</v>
      </c>
      <c r="C639" s="83">
        <v>0.43958470034995623</v>
      </c>
      <c r="D639" s="53">
        <v>45.7</v>
      </c>
      <c r="E639" s="87">
        <v>0.45605041557305342</v>
      </c>
      <c r="F639" s="53">
        <v>40.18</v>
      </c>
      <c r="G639" s="83">
        <v>0.40138212272155022</v>
      </c>
      <c r="H639" s="53">
        <v>41.69</v>
      </c>
      <c r="I639" s="83">
        <v>0.41679152001533842</v>
      </c>
      <c r="J639" s="53">
        <v>37.200000000000003</v>
      </c>
      <c r="K639" s="83">
        <v>0.37113063918765632</v>
      </c>
      <c r="L639" s="53">
        <v>39.65</v>
      </c>
      <c r="M639" s="83">
        <v>0.39639682822279132</v>
      </c>
      <c r="N639" s="55">
        <v>35.799999999999997</v>
      </c>
      <c r="O639" s="83">
        <v>0.35790684616332741</v>
      </c>
      <c r="P639" s="56">
        <f t="shared" si="90"/>
        <v>3.8202577628406009E-2</v>
      </c>
      <c r="Q639" s="56">
        <f t="shared" si="91"/>
        <v>1.6465715223097199E-2</v>
      </c>
      <c r="R639" s="56">
        <f t="shared" si="92"/>
        <v>4.3187872127164906E-2</v>
      </c>
      <c r="S639" s="54">
        <f t="shared" si="93"/>
        <v>8.1677854186628818E-2</v>
      </c>
      <c r="T639" s="56">
        <f t="shared" si="94"/>
        <v>9.8143569409726017E-2</v>
      </c>
      <c r="U639" s="56">
        <f t="shared" si="95"/>
        <v>4.3475276558222808E-2</v>
      </c>
      <c r="V639" s="56">
        <f t="shared" si="96"/>
        <v>3.0251483533893897E-2</v>
      </c>
      <c r="W639" s="56">
        <f t="shared" si="97"/>
        <v>6.8454061162299906E-2</v>
      </c>
      <c r="X639" s="65">
        <f t="shared" si="98"/>
        <v>1.5409397293788207E-2</v>
      </c>
      <c r="Y639" s="73">
        <f t="shared" si="99"/>
        <v>4.9852944987588965E-3</v>
      </c>
    </row>
    <row r="640" spans="1:25" x14ac:dyDescent="0.25">
      <c r="A640" s="52">
        <v>44151</v>
      </c>
      <c r="B640" s="53">
        <v>45</v>
      </c>
      <c r="C640" s="83">
        <v>0.44907723855092269</v>
      </c>
      <c r="D640" s="53">
        <v>46.01</v>
      </c>
      <c r="E640" s="87">
        <v>0.45915652768284337</v>
      </c>
      <c r="F640" s="53">
        <v>40.26</v>
      </c>
      <c r="G640" s="83">
        <v>0.40218679438932597</v>
      </c>
      <c r="H640" s="53">
        <v>42.84</v>
      </c>
      <c r="I640" s="83">
        <v>0.4282899940083883</v>
      </c>
      <c r="J640" s="53">
        <v>37.25</v>
      </c>
      <c r="K640" s="83">
        <v>0.37164089860767058</v>
      </c>
      <c r="L640" s="53">
        <v>39.799999999999997</v>
      </c>
      <c r="M640" s="83">
        <v>0.39789780022254562</v>
      </c>
      <c r="N640" s="55">
        <v>36.18</v>
      </c>
      <c r="O640" s="83">
        <v>0.36170709578019339</v>
      </c>
      <c r="P640" s="56">
        <f t="shared" si="90"/>
        <v>4.6890444161596712E-2</v>
      </c>
      <c r="Q640" s="56">
        <f t="shared" si="91"/>
        <v>1.0079289131920688E-2</v>
      </c>
      <c r="R640" s="56">
        <f t="shared" si="92"/>
        <v>5.1179438328377069E-2</v>
      </c>
      <c r="S640" s="54">
        <f t="shared" si="93"/>
        <v>8.7370142770729298E-2</v>
      </c>
      <c r="T640" s="56">
        <f t="shared" si="94"/>
        <v>9.7449431902649986E-2</v>
      </c>
      <c r="U640" s="56">
        <f t="shared" si="95"/>
        <v>4.0479698609132586E-2</v>
      </c>
      <c r="V640" s="56">
        <f t="shared" si="96"/>
        <v>3.0545895781655397E-2</v>
      </c>
      <c r="W640" s="56">
        <f t="shared" si="97"/>
        <v>7.7436339943252108E-2</v>
      </c>
      <c r="X640" s="65">
        <f t="shared" si="98"/>
        <v>2.6103199619062323E-2</v>
      </c>
      <c r="Y640" s="73">
        <f t="shared" si="99"/>
        <v>4.2889941667803577E-3</v>
      </c>
    </row>
    <row r="641" spans="1:25" x14ac:dyDescent="0.25">
      <c r="A641" s="52">
        <v>44148</v>
      </c>
      <c r="B641" s="53">
        <v>45</v>
      </c>
      <c r="C641" s="83">
        <v>0.44911407634255712</v>
      </c>
      <c r="D641" s="53">
        <v>46.25</v>
      </c>
      <c r="E641" s="87">
        <v>0.46158946735207262</v>
      </c>
      <c r="F641" s="53">
        <v>39.9</v>
      </c>
      <c r="G641" s="83">
        <v>0.398606853514342</v>
      </c>
      <c r="H641" s="53">
        <v>42.5</v>
      </c>
      <c r="I641" s="83">
        <v>0.42489523131282703</v>
      </c>
      <c r="J641" s="53">
        <v>36.83</v>
      </c>
      <c r="K641" s="83">
        <v>0.36748448648205351</v>
      </c>
      <c r="L641" s="53">
        <v>39.67</v>
      </c>
      <c r="M641" s="83">
        <v>0.39660220767481991</v>
      </c>
      <c r="N641" s="55">
        <v>35.89</v>
      </c>
      <c r="O641" s="83">
        <v>0.35881152592511428</v>
      </c>
      <c r="P641" s="56">
        <f t="shared" si="90"/>
        <v>5.0507222828215126E-2</v>
      </c>
      <c r="Q641" s="56">
        <f t="shared" si="91"/>
        <v>1.2475391009515502E-2</v>
      </c>
      <c r="R641" s="56">
        <f t="shared" si="92"/>
        <v>5.2511868667737216E-2</v>
      </c>
      <c r="S641" s="54">
        <f t="shared" si="93"/>
        <v>9.030255041744284E-2</v>
      </c>
      <c r="T641" s="56">
        <f t="shared" si="94"/>
        <v>0.10277794142695834</v>
      </c>
      <c r="U641" s="56">
        <f t="shared" si="95"/>
        <v>3.9795327589227714E-2</v>
      </c>
      <c r="V641" s="56">
        <f t="shared" si="96"/>
        <v>3.1122367032288489E-2</v>
      </c>
      <c r="W641" s="56">
        <f t="shared" si="97"/>
        <v>8.1629589860503615E-2</v>
      </c>
      <c r="X641" s="65">
        <f t="shared" si="98"/>
        <v>2.628837779848503E-2</v>
      </c>
      <c r="Y641" s="73">
        <f t="shared" si="99"/>
        <v>2.0046458395220901E-3</v>
      </c>
    </row>
    <row r="642" spans="1:25" x14ac:dyDescent="0.25">
      <c r="A642" s="52">
        <v>44147</v>
      </c>
      <c r="B642" s="53">
        <v>44</v>
      </c>
      <c r="C642" s="83">
        <v>0.43914577123950671</v>
      </c>
      <c r="D642" s="53">
        <v>46.25</v>
      </c>
      <c r="E642" s="87">
        <v>0.46160208908698153</v>
      </c>
      <c r="F642" s="53">
        <v>39.47</v>
      </c>
      <c r="G642" s="83">
        <v>0.39431648670471192</v>
      </c>
      <c r="H642" s="53">
        <v>42.25</v>
      </c>
      <c r="I642" s="83">
        <v>0.42239729380869723</v>
      </c>
      <c r="J642" s="53">
        <v>36.6</v>
      </c>
      <c r="K642" s="83">
        <v>0.36520081055498421</v>
      </c>
      <c r="L642" s="53">
        <v>39</v>
      </c>
      <c r="M642" s="83">
        <v>0.38990519428495118</v>
      </c>
      <c r="N642" s="55">
        <v>35.65</v>
      </c>
      <c r="O642" s="83">
        <v>0.35641333785278229</v>
      </c>
      <c r="P642" s="56">
        <f t="shared" ref="P642:P684" si="100">C642-G642</f>
        <v>4.4829284534794789E-2</v>
      </c>
      <c r="Q642" s="56">
        <f t="shared" ref="Q642:Q684" si="101">E642-C642</f>
        <v>2.2456317847474816E-2</v>
      </c>
      <c r="R642" s="56">
        <f t="shared" ref="R642:R684" si="102">C642-M642</f>
        <v>4.9240576954555526E-2</v>
      </c>
      <c r="S642" s="54">
        <f t="shared" ref="S642:S684" si="103">C642-O642</f>
        <v>8.2732433386724424E-2</v>
      </c>
      <c r="T642" s="56">
        <f t="shared" ref="T642:T684" si="104">E642-O642</f>
        <v>0.10518875123419924</v>
      </c>
      <c r="U642" s="56">
        <f t="shared" ref="U642:U684" si="105">G642-O642</f>
        <v>3.7903148851929636E-2</v>
      </c>
      <c r="V642" s="56">
        <f t="shared" ref="V642:V684" si="106">G642-K642</f>
        <v>2.9115676149727709E-2</v>
      </c>
      <c r="W642" s="56">
        <f t="shared" ref="W642:W684" si="107">C642-K642</f>
        <v>7.3944960684522498E-2</v>
      </c>
      <c r="X642" s="65">
        <f t="shared" ref="X642:X684" si="108">I642-G642</f>
        <v>2.8080807103985306E-2</v>
      </c>
      <c r="Y642" s="73">
        <f t="shared" ref="Y642:Y684" si="109">G642-M642</f>
        <v>4.4112924197607373E-3</v>
      </c>
    </row>
    <row r="643" spans="1:25" x14ac:dyDescent="0.25">
      <c r="A643" s="52">
        <v>44146</v>
      </c>
      <c r="B643" s="53">
        <v>44.8</v>
      </c>
      <c r="C643" s="83">
        <v>0.4471424665025977</v>
      </c>
      <c r="D643" s="53">
        <v>46.2</v>
      </c>
      <c r="E643" s="87">
        <v>0.46111566858080388</v>
      </c>
      <c r="F643" s="53">
        <v>39.200000000000003</v>
      </c>
      <c r="G643" s="83">
        <v>0.39162446968660192</v>
      </c>
      <c r="H643" s="53">
        <v>41.9</v>
      </c>
      <c r="I643" s="83">
        <v>0.41889957886807949</v>
      </c>
      <c r="J643" s="53">
        <v>37.299999999999997</v>
      </c>
      <c r="K643" s="83">
        <v>0.37219697228582171</v>
      </c>
      <c r="L643" s="53">
        <v>38.450000000000003</v>
      </c>
      <c r="M643" s="83">
        <v>0.38440784743383438</v>
      </c>
      <c r="N643" s="55">
        <v>35.39</v>
      </c>
      <c r="O643" s="83">
        <v>0.353815181292156</v>
      </c>
      <c r="P643" s="56">
        <f t="shared" si="100"/>
        <v>5.5517996815995785E-2</v>
      </c>
      <c r="Q643" s="56">
        <f t="shared" si="101"/>
        <v>1.3973202078206182E-2</v>
      </c>
      <c r="R643" s="56">
        <f t="shared" si="102"/>
        <v>6.273461906876332E-2</v>
      </c>
      <c r="S643" s="54">
        <f t="shared" si="103"/>
        <v>9.3327285210441702E-2</v>
      </c>
      <c r="T643" s="56">
        <f t="shared" si="104"/>
        <v>0.10730048728864788</v>
      </c>
      <c r="U643" s="56">
        <f t="shared" si="105"/>
        <v>3.7809288394445917E-2</v>
      </c>
      <c r="V643" s="56">
        <f t="shared" si="106"/>
        <v>1.9427497400780203E-2</v>
      </c>
      <c r="W643" s="56">
        <f t="shared" si="107"/>
        <v>7.4945494216775987E-2</v>
      </c>
      <c r="X643" s="65">
        <f t="shared" si="108"/>
        <v>2.7275109181477575E-2</v>
      </c>
      <c r="Y643" s="73">
        <f t="shared" si="109"/>
        <v>7.216622252767535E-3</v>
      </c>
    </row>
    <row r="644" spans="1:25" x14ac:dyDescent="0.25">
      <c r="A644" s="52">
        <v>44145</v>
      </c>
      <c r="B644" s="53">
        <v>45.15</v>
      </c>
      <c r="C644" s="83">
        <v>0.45064808991222072</v>
      </c>
      <c r="D644" s="53">
        <v>46.49</v>
      </c>
      <c r="E644" s="87">
        <v>0.46402280620197439</v>
      </c>
      <c r="F644" s="53">
        <v>38.4</v>
      </c>
      <c r="G644" s="83">
        <v>0.38363738384266932</v>
      </c>
      <c r="H644" s="53">
        <v>41.5</v>
      </c>
      <c r="I644" s="83">
        <v>0.41490195809894242</v>
      </c>
      <c r="J644" s="53">
        <v>37.1</v>
      </c>
      <c r="K644" s="83">
        <v>0.37021266416285908</v>
      </c>
      <c r="L644" s="53">
        <v>38.5</v>
      </c>
      <c r="M644" s="83">
        <v>0.38490904546528393</v>
      </c>
      <c r="N644" s="55">
        <v>35.200000000000003</v>
      </c>
      <c r="O644" s="83">
        <v>0.35191684156825959</v>
      </c>
      <c r="P644" s="56">
        <f t="shared" si="100"/>
        <v>6.7010706069551396E-2</v>
      </c>
      <c r="Q644" s="56">
        <f t="shared" si="101"/>
        <v>1.3374716289753674E-2</v>
      </c>
      <c r="R644" s="56">
        <f t="shared" si="102"/>
        <v>6.573904444693679E-2</v>
      </c>
      <c r="S644" s="54">
        <f t="shared" si="103"/>
        <v>9.8731248343961131E-2</v>
      </c>
      <c r="T644" s="56">
        <f t="shared" si="104"/>
        <v>0.11210596463371481</v>
      </c>
      <c r="U644" s="56">
        <f t="shared" si="105"/>
        <v>3.1720542274409735E-2</v>
      </c>
      <c r="V644" s="56">
        <f t="shared" si="106"/>
        <v>1.3424719679810238E-2</v>
      </c>
      <c r="W644" s="56">
        <f t="shared" si="107"/>
        <v>8.0435425749361633E-2</v>
      </c>
      <c r="X644" s="65">
        <f t="shared" si="108"/>
        <v>3.1264574256273103E-2</v>
      </c>
      <c r="Y644" s="73">
        <f t="shared" si="109"/>
        <v>-1.271661622614606E-3</v>
      </c>
    </row>
    <row r="645" spans="1:25" x14ac:dyDescent="0.25">
      <c r="A645" s="52">
        <v>44144</v>
      </c>
      <c r="B645" s="53">
        <v>45.7</v>
      </c>
      <c r="C645" s="83">
        <v>0.45615018595493328</v>
      </c>
      <c r="D645" s="53">
        <v>46</v>
      </c>
      <c r="E645" s="87">
        <v>0.45914460730693502</v>
      </c>
      <c r="F645" s="53">
        <v>38.35</v>
      </c>
      <c r="G645" s="83">
        <v>0.38314309957847492</v>
      </c>
      <c r="H645" s="53">
        <v>41.64</v>
      </c>
      <c r="I645" s="83">
        <v>0.41630305271375162</v>
      </c>
      <c r="J645" s="53">
        <v>37.25</v>
      </c>
      <c r="K645" s="83">
        <v>0.3717209137014203</v>
      </c>
      <c r="L645" s="53">
        <v>37.9</v>
      </c>
      <c r="M645" s="83">
        <v>0.37891176027500451</v>
      </c>
      <c r="N645" s="55">
        <v>34.75</v>
      </c>
      <c r="O645" s="83">
        <v>0.34741909418354627</v>
      </c>
      <c r="P645" s="56">
        <f t="shared" si="100"/>
        <v>7.3007086376458363E-2</v>
      </c>
      <c r="Q645" s="56">
        <f t="shared" si="101"/>
        <v>2.9944213520017304E-3</v>
      </c>
      <c r="R645" s="56">
        <f t="shared" si="102"/>
        <v>7.7238425679928779E-2</v>
      </c>
      <c r="S645" s="54">
        <f t="shared" si="103"/>
        <v>0.10873109177138701</v>
      </c>
      <c r="T645" s="56">
        <f t="shared" si="104"/>
        <v>0.11172551312338874</v>
      </c>
      <c r="U645" s="56">
        <f t="shared" si="105"/>
        <v>3.5724005394928648E-2</v>
      </c>
      <c r="V645" s="56">
        <f t="shared" si="106"/>
        <v>1.1422185877054625E-2</v>
      </c>
      <c r="W645" s="56">
        <f t="shared" si="107"/>
        <v>8.4429272253512988E-2</v>
      </c>
      <c r="X645" s="65">
        <f t="shared" si="108"/>
        <v>3.3159953135276699E-2</v>
      </c>
      <c r="Y645" s="73">
        <f t="shared" si="109"/>
        <v>4.2313393034704161E-3</v>
      </c>
    </row>
    <row r="646" spans="1:25" x14ac:dyDescent="0.25">
      <c r="A646" s="52">
        <v>44141</v>
      </c>
      <c r="B646" s="53">
        <v>45.41</v>
      </c>
      <c r="C646" s="83">
        <v>0.45329276630657728</v>
      </c>
      <c r="D646" s="53">
        <v>45.6</v>
      </c>
      <c r="E646" s="87">
        <v>0.45518938875974302</v>
      </c>
      <c r="F646" s="53">
        <v>38</v>
      </c>
      <c r="G646" s="83">
        <v>0.37966194484363242</v>
      </c>
      <c r="H646" s="53">
        <v>40.5</v>
      </c>
      <c r="I646" s="83">
        <v>0.40490986595449641</v>
      </c>
      <c r="J646" s="53">
        <v>35.799999999999997</v>
      </c>
      <c r="K646" s="83">
        <v>0.35728420800792932</v>
      </c>
      <c r="L646" s="53">
        <v>37.380000000000003</v>
      </c>
      <c r="M646" s="83">
        <v>0.37371680961429821</v>
      </c>
      <c r="N646" s="55">
        <v>34.590000000000003</v>
      </c>
      <c r="O646" s="83">
        <v>0.34582301884854399</v>
      </c>
      <c r="P646" s="56">
        <f t="shared" si="100"/>
        <v>7.3630821462944862E-2</v>
      </c>
      <c r="Q646" s="56">
        <f t="shared" si="101"/>
        <v>1.8966224531657416E-3</v>
      </c>
      <c r="R646" s="56">
        <f t="shared" si="102"/>
        <v>7.9575956692279071E-2</v>
      </c>
      <c r="S646" s="54">
        <f t="shared" si="103"/>
        <v>0.10746974745803328</v>
      </c>
      <c r="T646" s="56">
        <f t="shared" si="104"/>
        <v>0.10936636991119902</v>
      </c>
      <c r="U646" s="56">
        <f t="shared" si="105"/>
        <v>3.383892599508842E-2</v>
      </c>
      <c r="V646" s="56">
        <f t="shared" si="106"/>
        <v>2.2377736835703099E-2</v>
      </c>
      <c r="W646" s="56">
        <f t="shared" si="107"/>
        <v>9.6008558298647961E-2</v>
      </c>
      <c r="X646" s="65">
        <f t="shared" si="108"/>
        <v>2.5247921110863991E-2</v>
      </c>
      <c r="Y646" s="73">
        <f t="shared" si="109"/>
        <v>5.9451352293342086E-3</v>
      </c>
    </row>
    <row r="647" spans="1:25" x14ac:dyDescent="0.25">
      <c r="A647" s="52">
        <v>44140</v>
      </c>
      <c r="B647" s="53">
        <v>45.5</v>
      </c>
      <c r="C647" s="83">
        <v>0.45420358822885898</v>
      </c>
      <c r="D647" s="53">
        <v>46.5</v>
      </c>
      <c r="E647" s="87">
        <v>0.4641860846734493</v>
      </c>
      <c r="F647" s="53">
        <v>37.99</v>
      </c>
      <c r="G647" s="83">
        <v>0.37956722873097559</v>
      </c>
      <c r="H647" s="53">
        <v>40.65</v>
      </c>
      <c r="I647" s="83">
        <v>0.40641092363317632</v>
      </c>
      <c r="J647" s="53">
        <v>36.25</v>
      </c>
      <c r="K647" s="83">
        <v>0.36178633927594878</v>
      </c>
      <c r="L647" s="53">
        <v>37.4</v>
      </c>
      <c r="M647" s="83">
        <v>0.37391804535992113</v>
      </c>
      <c r="N647" s="55">
        <v>34.61</v>
      </c>
      <c r="O647" s="83">
        <v>0.34602415908841899</v>
      </c>
      <c r="P647" s="56">
        <f t="shared" si="100"/>
        <v>7.4636359497883387E-2</v>
      </c>
      <c r="Q647" s="56">
        <f t="shared" si="101"/>
        <v>9.9824964445903164E-3</v>
      </c>
      <c r="R647" s="56">
        <f t="shared" si="102"/>
        <v>8.0285542868937854E-2</v>
      </c>
      <c r="S647" s="54">
        <f t="shared" si="103"/>
        <v>0.10817942914043999</v>
      </c>
      <c r="T647" s="56">
        <f t="shared" si="104"/>
        <v>0.1181619255850303</v>
      </c>
      <c r="U647" s="56">
        <f t="shared" si="105"/>
        <v>3.35430696425566E-2</v>
      </c>
      <c r="V647" s="56">
        <f t="shared" si="106"/>
        <v>1.7780889455026816E-2</v>
      </c>
      <c r="W647" s="56">
        <f t="shared" si="107"/>
        <v>9.2417248952910203E-2</v>
      </c>
      <c r="X647" s="65">
        <f t="shared" si="108"/>
        <v>2.6843694902200732E-2</v>
      </c>
      <c r="Y647" s="73">
        <f t="shared" si="109"/>
        <v>5.649183371054467E-3</v>
      </c>
    </row>
    <row r="648" spans="1:25" x14ac:dyDescent="0.25">
      <c r="A648" s="52">
        <v>44139</v>
      </c>
      <c r="B648" s="53">
        <v>44.9</v>
      </c>
      <c r="C648" s="83">
        <v>0.44822634904138059</v>
      </c>
      <c r="D648" s="53">
        <v>45.45</v>
      </c>
      <c r="E648" s="87">
        <v>0.45371687224790092</v>
      </c>
      <c r="F648" s="53">
        <v>38.39</v>
      </c>
      <c r="G648" s="83">
        <v>0.38356897472044682</v>
      </c>
      <c r="H648" s="53">
        <v>40.92</v>
      </c>
      <c r="I648" s="83">
        <v>0.40911173274259321</v>
      </c>
      <c r="J648" s="53">
        <v>35.6</v>
      </c>
      <c r="K648" s="83">
        <v>0.35531006572853402</v>
      </c>
      <c r="L648" s="53">
        <v>37.25</v>
      </c>
      <c r="M648" s="83">
        <v>0.37241964918527848</v>
      </c>
      <c r="N648" s="55">
        <v>34</v>
      </c>
      <c r="O648" s="83">
        <v>0.33992665965904623</v>
      </c>
      <c r="P648" s="56">
        <f t="shared" si="100"/>
        <v>6.4657374320933769E-2</v>
      </c>
      <c r="Q648" s="56">
        <f t="shared" si="101"/>
        <v>5.4905232065203258E-3</v>
      </c>
      <c r="R648" s="56">
        <f t="shared" si="102"/>
        <v>7.5806699856102111E-2</v>
      </c>
      <c r="S648" s="54">
        <f t="shared" si="103"/>
        <v>0.10829968938233436</v>
      </c>
      <c r="T648" s="56">
        <f t="shared" si="104"/>
        <v>0.11379021258885469</v>
      </c>
      <c r="U648" s="56">
        <f t="shared" si="105"/>
        <v>4.3642315061400594E-2</v>
      </c>
      <c r="V648" s="56">
        <f t="shared" si="106"/>
        <v>2.8258908991912801E-2</v>
      </c>
      <c r="W648" s="56">
        <f t="shared" si="107"/>
        <v>9.291628331284657E-2</v>
      </c>
      <c r="X648" s="65">
        <f t="shared" si="108"/>
        <v>2.5542758022146395E-2</v>
      </c>
      <c r="Y648" s="73">
        <f t="shared" si="109"/>
        <v>1.1149325535168342E-2</v>
      </c>
    </row>
    <row r="649" spans="1:25" x14ac:dyDescent="0.25">
      <c r="A649" s="52">
        <v>44138</v>
      </c>
      <c r="B649" s="53">
        <v>44.8</v>
      </c>
      <c r="C649" s="83">
        <v>0.44724030414091132</v>
      </c>
      <c r="D649" s="53">
        <v>44.76</v>
      </c>
      <c r="E649" s="87">
        <v>0.44684098244078552</v>
      </c>
      <c r="F649" s="53">
        <v>38.380000000000003</v>
      </c>
      <c r="G649" s="83">
        <v>0.38347430949056971</v>
      </c>
      <c r="H649" s="53">
        <v>41.15</v>
      </c>
      <c r="I649" s="83">
        <v>0.41141264526025301</v>
      </c>
      <c r="J649" s="53">
        <v>35.5</v>
      </c>
      <c r="K649" s="83">
        <v>0.35432290349264078</v>
      </c>
      <c r="L649" s="53">
        <v>36.85</v>
      </c>
      <c r="M649" s="83">
        <v>0.36842177345906008</v>
      </c>
      <c r="N649" s="55">
        <v>34.020000000000003</v>
      </c>
      <c r="O649" s="83">
        <v>0.34012778108757741</v>
      </c>
      <c r="P649" s="56">
        <f t="shared" si="100"/>
        <v>6.3765994650341606E-2</v>
      </c>
      <c r="Q649" s="56">
        <f t="shared" si="101"/>
        <v>-3.9932170012579871E-4</v>
      </c>
      <c r="R649" s="56">
        <f t="shared" si="102"/>
        <v>7.881853068185124E-2</v>
      </c>
      <c r="S649" s="54">
        <f t="shared" si="103"/>
        <v>0.10711252305333391</v>
      </c>
      <c r="T649" s="56">
        <f t="shared" si="104"/>
        <v>0.10671320135320811</v>
      </c>
      <c r="U649" s="56">
        <f t="shared" si="105"/>
        <v>4.3346528402992301E-2</v>
      </c>
      <c r="V649" s="56">
        <f t="shared" si="106"/>
        <v>2.9151405997928925E-2</v>
      </c>
      <c r="W649" s="56">
        <f t="shared" si="107"/>
        <v>9.2917400648270532E-2</v>
      </c>
      <c r="X649" s="65">
        <f t="shared" si="108"/>
        <v>2.7938335769683298E-2</v>
      </c>
      <c r="Y649" s="73">
        <f t="shared" si="109"/>
        <v>1.5052536031509633E-2</v>
      </c>
    </row>
    <row r="650" spans="1:25" x14ac:dyDescent="0.25">
      <c r="A650" s="52">
        <v>44137</v>
      </c>
      <c r="B650" s="53">
        <v>43.71</v>
      </c>
      <c r="C650" s="83">
        <v>0.4363707229014524</v>
      </c>
      <c r="D650" s="53">
        <v>44.83</v>
      </c>
      <c r="E650" s="87">
        <v>0.44755203632285773</v>
      </c>
      <c r="F650" s="53">
        <v>38.64</v>
      </c>
      <c r="G650" s="83">
        <v>0.38607738738862052</v>
      </c>
      <c r="H650" s="53">
        <v>40.47</v>
      </c>
      <c r="I650" s="83">
        <v>0.40461547416464372</v>
      </c>
      <c r="J650" s="53">
        <v>35.06</v>
      </c>
      <c r="K650" s="83">
        <v>0.34994206098807379</v>
      </c>
      <c r="L650" s="53">
        <v>36.25</v>
      </c>
      <c r="M650" s="83">
        <v>0.36242428807680588</v>
      </c>
      <c r="N650" s="55">
        <v>33.6</v>
      </c>
      <c r="O650" s="83">
        <v>0.33592982287946699</v>
      </c>
      <c r="P650" s="56">
        <f t="shared" si="100"/>
        <v>5.0293335512831883E-2</v>
      </c>
      <c r="Q650" s="56">
        <f t="shared" si="101"/>
        <v>1.1181313421405326E-2</v>
      </c>
      <c r="R650" s="56">
        <f t="shared" si="102"/>
        <v>7.3946434824646523E-2</v>
      </c>
      <c r="S650" s="54">
        <f t="shared" si="103"/>
        <v>0.10044090002198541</v>
      </c>
      <c r="T650" s="56">
        <f t="shared" si="104"/>
        <v>0.11162221344339074</v>
      </c>
      <c r="U650" s="56">
        <f t="shared" si="105"/>
        <v>5.014756450915353E-2</v>
      </c>
      <c r="V650" s="56">
        <f t="shared" si="106"/>
        <v>3.613532640054673E-2</v>
      </c>
      <c r="W650" s="56">
        <f t="shared" si="107"/>
        <v>8.6428661913378613E-2</v>
      </c>
      <c r="X650" s="65">
        <f t="shared" si="108"/>
        <v>1.8538086776023199E-2</v>
      </c>
      <c r="Y650" s="73">
        <f t="shared" si="109"/>
        <v>2.365309931181464E-2</v>
      </c>
    </row>
    <row r="651" spans="1:25" x14ac:dyDescent="0.25">
      <c r="A651" s="52">
        <v>44134</v>
      </c>
      <c r="B651" s="53">
        <v>44.9</v>
      </c>
      <c r="C651" s="83">
        <v>0.44828765249740138</v>
      </c>
      <c r="D651" s="53">
        <v>46.5</v>
      </c>
      <c r="E651" s="87">
        <v>0.4642622681765961</v>
      </c>
      <c r="F651" s="53">
        <v>38.049999999999997</v>
      </c>
      <c r="G651" s="83">
        <v>0.38019792493635191</v>
      </c>
      <c r="H651" s="53">
        <v>39.85</v>
      </c>
      <c r="I651" s="83">
        <v>0.39842086160968032</v>
      </c>
      <c r="J651" s="53">
        <v>35.1</v>
      </c>
      <c r="K651" s="83">
        <v>0.35037364711030278</v>
      </c>
      <c r="L651" s="53">
        <v>35.979999999999997</v>
      </c>
      <c r="M651" s="83">
        <v>0.3597285470694177</v>
      </c>
      <c r="N651" s="55">
        <v>33.5</v>
      </c>
      <c r="O651" s="83">
        <v>0.33493347211855179</v>
      </c>
      <c r="P651" s="56">
        <f t="shared" si="100"/>
        <v>6.8089727561049473E-2</v>
      </c>
      <c r="Q651" s="56">
        <f t="shared" si="101"/>
        <v>1.5974615679194726E-2</v>
      </c>
      <c r="R651" s="56">
        <f t="shared" si="102"/>
        <v>8.8559105427983675E-2</v>
      </c>
      <c r="S651" s="54">
        <f t="shared" si="103"/>
        <v>0.11335418037884959</v>
      </c>
      <c r="T651" s="56">
        <f t="shared" si="104"/>
        <v>0.12932879605804432</v>
      </c>
      <c r="U651" s="56">
        <f t="shared" si="105"/>
        <v>4.5264452817800116E-2</v>
      </c>
      <c r="V651" s="56">
        <f t="shared" si="106"/>
        <v>2.9824277826049128E-2</v>
      </c>
      <c r="W651" s="56">
        <f t="shared" si="107"/>
        <v>9.7914005387098602E-2</v>
      </c>
      <c r="X651" s="65">
        <f t="shared" si="108"/>
        <v>1.8222936673328416E-2</v>
      </c>
      <c r="Y651" s="73">
        <f t="shared" si="109"/>
        <v>2.0469377866934202E-2</v>
      </c>
    </row>
    <row r="652" spans="1:25" x14ac:dyDescent="0.25">
      <c r="A652" s="52">
        <v>44133</v>
      </c>
      <c r="B652" s="53">
        <v>45.45</v>
      </c>
      <c r="C652" s="83">
        <v>0.45379133955193263</v>
      </c>
      <c r="D652" s="53">
        <v>46.7</v>
      </c>
      <c r="E652" s="87">
        <v>0.46627184944059957</v>
      </c>
      <c r="F652" s="53">
        <v>38.74</v>
      </c>
      <c r="G652" s="83">
        <v>0.3870977455959046</v>
      </c>
      <c r="H652" s="53">
        <v>39.58</v>
      </c>
      <c r="I652" s="83">
        <v>0.39572275275031932</v>
      </c>
      <c r="J652" s="53">
        <v>35.01</v>
      </c>
      <c r="K652" s="83">
        <v>0.34948600575017169</v>
      </c>
      <c r="L652" s="53">
        <v>36.090000000000003</v>
      </c>
      <c r="M652" s="83">
        <v>0.360829564091941</v>
      </c>
      <c r="N652" s="55">
        <v>33.65</v>
      </c>
      <c r="O652" s="83">
        <v>0.33643432617605468</v>
      </c>
      <c r="P652" s="56">
        <f t="shared" si="100"/>
        <v>6.669359395602803E-2</v>
      </c>
      <c r="Q652" s="56">
        <f t="shared" si="101"/>
        <v>1.2480509888666946E-2</v>
      </c>
      <c r="R652" s="56">
        <f t="shared" si="102"/>
        <v>9.2961775459991625E-2</v>
      </c>
      <c r="S652" s="54">
        <f t="shared" si="103"/>
        <v>0.11735701337587795</v>
      </c>
      <c r="T652" s="56">
        <f t="shared" si="104"/>
        <v>0.1298375232645449</v>
      </c>
      <c r="U652" s="56">
        <f t="shared" si="105"/>
        <v>5.066341941984992E-2</v>
      </c>
      <c r="V652" s="56">
        <f t="shared" si="106"/>
        <v>3.7611739845732906E-2</v>
      </c>
      <c r="W652" s="56">
        <f t="shared" si="107"/>
        <v>0.10430533380176094</v>
      </c>
      <c r="X652" s="65">
        <f t="shared" si="108"/>
        <v>8.6250071544147211E-3</v>
      </c>
      <c r="Y652" s="73">
        <f t="shared" si="109"/>
        <v>2.6268181503963595E-2</v>
      </c>
    </row>
    <row r="653" spans="1:25" x14ac:dyDescent="0.25">
      <c r="A653" s="52">
        <v>44132</v>
      </c>
      <c r="B653" s="53">
        <v>44.2</v>
      </c>
      <c r="C653" s="83">
        <v>0.44132290184921769</v>
      </c>
      <c r="D653" s="53">
        <v>48</v>
      </c>
      <c r="E653" s="87">
        <v>0.47926468979100562</v>
      </c>
      <c r="F653" s="53">
        <v>38.799999999999997</v>
      </c>
      <c r="G653" s="83">
        <v>0.38770258431887872</v>
      </c>
      <c r="H653" s="53">
        <v>40.5</v>
      </c>
      <c r="I653" s="83">
        <v>0.40492234366011998</v>
      </c>
      <c r="J653" s="53">
        <v>35</v>
      </c>
      <c r="K653" s="83">
        <v>0.34939693132401611</v>
      </c>
      <c r="L653" s="53">
        <v>36.1</v>
      </c>
      <c r="M653" s="83">
        <v>0.3609307803982798</v>
      </c>
      <c r="N653" s="55">
        <v>33.79</v>
      </c>
      <c r="O653" s="83">
        <v>0.33783520968581371</v>
      </c>
      <c r="P653" s="56">
        <f t="shared" si="100"/>
        <v>5.3620317530338968E-2</v>
      </c>
      <c r="Q653" s="56">
        <f t="shared" si="101"/>
        <v>3.794178794178793E-2</v>
      </c>
      <c r="R653" s="56">
        <f t="shared" si="102"/>
        <v>8.0392121450937881E-2</v>
      </c>
      <c r="S653" s="54">
        <f t="shared" si="103"/>
        <v>0.10348769216340398</v>
      </c>
      <c r="T653" s="56">
        <f t="shared" si="104"/>
        <v>0.14142948010519191</v>
      </c>
      <c r="U653" s="56">
        <f t="shared" si="105"/>
        <v>4.9867374633065009E-2</v>
      </c>
      <c r="V653" s="56">
        <f t="shared" si="106"/>
        <v>3.8305652994862605E-2</v>
      </c>
      <c r="W653" s="56">
        <f t="shared" si="107"/>
        <v>9.1925970525201572E-2</v>
      </c>
      <c r="X653" s="65">
        <f t="shared" si="108"/>
        <v>1.7219759341241259E-2</v>
      </c>
      <c r="Y653" s="73">
        <f t="shared" si="109"/>
        <v>2.6771803920598913E-2</v>
      </c>
    </row>
    <row r="654" spans="1:25" x14ac:dyDescent="0.25">
      <c r="A654" s="52">
        <v>44131</v>
      </c>
      <c r="B654" s="53">
        <v>43</v>
      </c>
      <c r="C654" s="83">
        <v>0.42935302968130212</v>
      </c>
      <c r="D654" s="53">
        <v>45</v>
      </c>
      <c r="E654" s="87">
        <v>0.44932293803857198</v>
      </c>
      <c r="F654" s="53">
        <v>39.22</v>
      </c>
      <c r="G654" s="83">
        <v>0.39190472931353088</v>
      </c>
      <c r="H654" s="53">
        <v>40.5</v>
      </c>
      <c r="I654" s="83">
        <v>0.40492373011932692</v>
      </c>
      <c r="J654" s="53">
        <v>35.200000000000003</v>
      </c>
      <c r="K654" s="83">
        <v>0.35140429750935909</v>
      </c>
      <c r="L654" s="53">
        <v>36.6</v>
      </c>
      <c r="M654" s="83">
        <v>0.36593107462635471</v>
      </c>
      <c r="N654" s="55">
        <v>34</v>
      </c>
      <c r="O654" s="83">
        <v>0.33993597096437322</v>
      </c>
      <c r="P654" s="56">
        <f t="shared" si="100"/>
        <v>3.7448300367771248E-2</v>
      </c>
      <c r="Q654" s="56">
        <f t="shared" si="101"/>
        <v>1.9969908357269861E-2</v>
      </c>
      <c r="R654" s="56">
        <f t="shared" si="102"/>
        <v>6.342195505494741E-2</v>
      </c>
      <c r="S654" s="54">
        <f t="shared" si="103"/>
        <v>8.9417058716928899E-2</v>
      </c>
      <c r="T654" s="56">
        <f t="shared" si="104"/>
        <v>0.10938696707419876</v>
      </c>
      <c r="U654" s="56">
        <f t="shared" si="105"/>
        <v>5.1968758349157651E-2</v>
      </c>
      <c r="V654" s="56">
        <f t="shared" si="106"/>
        <v>4.0500431804171788E-2</v>
      </c>
      <c r="W654" s="56">
        <f t="shared" si="107"/>
        <v>7.7948732171943036E-2</v>
      </c>
      <c r="X654" s="65">
        <f t="shared" si="108"/>
        <v>1.3019000805796044E-2</v>
      </c>
      <c r="Y654" s="73">
        <f t="shared" si="109"/>
        <v>2.5973654687176162E-2</v>
      </c>
    </row>
    <row r="655" spans="1:25" x14ac:dyDescent="0.25">
      <c r="A655" s="52">
        <v>44130</v>
      </c>
      <c r="B655" s="53">
        <v>40.56</v>
      </c>
      <c r="C655" s="83">
        <v>0.40500082070361659</v>
      </c>
      <c r="D655" s="53">
        <v>47</v>
      </c>
      <c r="E655" s="87">
        <v>0.46930568474038409</v>
      </c>
      <c r="F655" s="53">
        <v>38.229999999999997</v>
      </c>
      <c r="G655" s="83">
        <v>0.38201741177758908</v>
      </c>
      <c r="H655" s="53">
        <v>40.5</v>
      </c>
      <c r="I655" s="83">
        <v>0.40492511658802832</v>
      </c>
      <c r="J655" s="53">
        <v>34.200000000000003</v>
      </c>
      <c r="K655" s="83">
        <v>0.34143172664674548</v>
      </c>
      <c r="L655" s="53">
        <v>36</v>
      </c>
      <c r="M655" s="83">
        <v>0.3599334369671362</v>
      </c>
      <c r="N655" s="55">
        <v>33.4</v>
      </c>
      <c r="O655" s="83">
        <v>0.33393824429728752</v>
      </c>
      <c r="P655" s="56">
        <f t="shared" si="100"/>
        <v>2.2983408926027515E-2</v>
      </c>
      <c r="Q655" s="56">
        <f t="shared" si="101"/>
        <v>6.4304864036767495E-2</v>
      </c>
      <c r="R655" s="56">
        <f t="shared" si="102"/>
        <v>4.5067383736480393E-2</v>
      </c>
      <c r="S655" s="54">
        <f t="shared" si="103"/>
        <v>7.106257640632907E-2</v>
      </c>
      <c r="T655" s="56">
        <f t="shared" si="104"/>
        <v>0.13536744044309656</v>
      </c>
      <c r="U655" s="56">
        <f t="shared" si="105"/>
        <v>4.8079167480301555E-2</v>
      </c>
      <c r="V655" s="56">
        <f t="shared" si="106"/>
        <v>4.0585685130843596E-2</v>
      </c>
      <c r="W655" s="56">
        <f t="shared" si="107"/>
        <v>6.3569094056871112E-2</v>
      </c>
      <c r="X655" s="65">
        <f t="shared" si="108"/>
        <v>2.2907704810439244E-2</v>
      </c>
      <c r="Y655" s="73">
        <f t="shared" si="109"/>
        <v>2.2083974810452878E-2</v>
      </c>
    </row>
    <row r="656" spans="1:25" x14ac:dyDescent="0.25">
      <c r="A656" s="52">
        <v>44127</v>
      </c>
      <c r="B656" s="53">
        <v>43.66</v>
      </c>
      <c r="C656" s="83">
        <v>0.43599080736505152</v>
      </c>
      <c r="D656" s="53">
        <v>49</v>
      </c>
      <c r="E656" s="87">
        <v>0.48931629777571067</v>
      </c>
      <c r="F656" s="53">
        <v>40.15</v>
      </c>
      <c r="G656" s="83">
        <v>0.4012196958289414</v>
      </c>
      <c r="H656" s="53">
        <v>42.5</v>
      </c>
      <c r="I656" s="83">
        <v>0.42492578351041432</v>
      </c>
      <c r="J656" s="53">
        <v>35.450000000000003</v>
      </c>
      <c r="K656" s="83">
        <v>0.35394362970536042</v>
      </c>
      <c r="L656" s="53">
        <v>37.28</v>
      </c>
      <c r="M656" s="83">
        <v>0.37273489904160578</v>
      </c>
      <c r="N656" s="55">
        <v>34.15</v>
      </c>
      <c r="O656" s="83">
        <v>0.34144036486778001</v>
      </c>
      <c r="P656" s="56">
        <f t="shared" si="100"/>
        <v>3.4771111536110122E-2</v>
      </c>
      <c r="Q656" s="56">
        <f t="shared" si="101"/>
        <v>5.3325490410659149E-2</v>
      </c>
      <c r="R656" s="56">
        <f t="shared" si="102"/>
        <v>6.3255908323445742E-2</v>
      </c>
      <c r="S656" s="54">
        <f t="shared" si="103"/>
        <v>9.4550442497271514E-2</v>
      </c>
      <c r="T656" s="56">
        <f t="shared" si="104"/>
        <v>0.14787593290793066</v>
      </c>
      <c r="U656" s="56">
        <f t="shared" si="105"/>
        <v>5.9779330961161392E-2</v>
      </c>
      <c r="V656" s="56">
        <f t="shared" si="106"/>
        <v>4.7276066123580984E-2</v>
      </c>
      <c r="W656" s="56">
        <f t="shared" si="107"/>
        <v>8.2047177659691106E-2</v>
      </c>
      <c r="X656" s="65">
        <f t="shared" si="108"/>
        <v>2.370608768147292E-2</v>
      </c>
      <c r="Y656" s="73">
        <f t="shared" si="109"/>
        <v>2.848479678733562E-2</v>
      </c>
    </row>
    <row r="657" spans="1:25" x14ac:dyDescent="0.25">
      <c r="A657" s="52">
        <v>44126</v>
      </c>
      <c r="B657" s="53">
        <v>42.1</v>
      </c>
      <c r="C657" s="83">
        <v>0.42042407660738718</v>
      </c>
      <c r="D657" s="53">
        <v>48</v>
      </c>
      <c r="E657" s="87">
        <v>0.47934336525307802</v>
      </c>
      <c r="F657" s="53">
        <v>40.1</v>
      </c>
      <c r="G657" s="83">
        <v>0.40072553045859</v>
      </c>
      <c r="H657" s="53">
        <v>41.5</v>
      </c>
      <c r="I657" s="83">
        <v>0.41492895052217088</v>
      </c>
      <c r="J657" s="53">
        <v>35</v>
      </c>
      <c r="K657" s="83">
        <v>0.34946144640109422</v>
      </c>
      <c r="L657" s="53">
        <v>37.74</v>
      </c>
      <c r="M657" s="83">
        <v>0.37733538777606579</v>
      </c>
      <c r="N657" s="55">
        <v>34.6</v>
      </c>
      <c r="O657" s="83">
        <v>0.34594076356788223</v>
      </c>
      <c r="P657" s="56">
        <f t="shared" si="100"/>
        <v>1.969854614879718E-2</v>
      </c>
      <c r="Q657" s="56">
        <f t="shared" si="101"/>
        <v>5.8919288645690848E-2</v>
      </c>
      <c r="R657" s="56">
        <f t="shared" si="102"/>
        <v>4.3088688831321387E-2</v>
      </c>
      <c r="S657" s="54">
        <f t="shared" si="103"/>
        <v>7.448331303950495E-2</v>
      </c>
      <c r="T657" s="56">
        <f t="shared" si="104"/>
        <v>0.1334026016851958</v>
      </c>
      <c r="U657" s="56">
        <f t="shared" si="105"/>
        <v>5.478476689070777E-2</v>
      </c>
      <c r="V657" s="56">
        <f t="shared" si="106"/>
        <v>5.1264084057495773E-2</v>
      </c>
      <c r="W657" s="56">
        <f t="shared" si="107"/>
        <v>7.0962630206292954E-2</v>
      </c>
      <c r="X657" s="65">
        <f t="shared" si="108"/>
        <v>1.4203420063580885E-2</v>
      </c>
      <c r="Y657" s="73">
        <f t="shared" si="109"/>
        <v>2.3390142682524206E-2</v>
      </c>
    </row>
    <row r="658" spans="1:25" x14ac:dyDescent="0.25">
      <c r="A658" s="52">
        <v>44125</v>
      </c>
      <c r="B658" s="53">
        <v>41.18</v>
      </c>
      <c r="C658" s="83">
        <v>0.4112479137596104</v>
      </c>
      <c r="D658" s="53">
        <v>44.3</v>
      </c>
      <c r="E658" s="87">
        <v>0.44240608498180523</v>
      </c>
      <c r="F658" s="53">
        <v>40.299999999999997</v>
      </c>
      <c r="G658" s="83">
        <v>0.40272967460197939</v>
      </c>
      <c r="H658" s="53">
        <v>40.549999999999997</v>
      </c>
      <c r="I658" s="83">
        <v>0.4054319651839246</v>
      </c>
      <c r="J658" s="53">
        <v>34.5</v>
      </c>
      <c r="K658" s="83">
        <v>0.34447974121275737</v>
      </c>
      <c r="L658" s="53">
        <v>36.75</v>
      </c>
      <c r="M658" s="83">
        <v>0.36743834082636823</v>
      </c>
      <c r="N658" s="55">
        <v>33.950000000000003</v>
      </c>
      <c r="O658" s="83">
        <v>0.33944303866816872</v>
      </c>
      <c r="P658" s="56">
        <f t="shared" si="100"/>
        <v>8.5182391576310024E-3</v>
      </c>
      <c r="Q658" s="56">
        <f t="shared" si="101"/>
        <v>3.115817122219483E-2</v>
      </c>
      <c r="R658" s="56">
        <f t="shared" si="102"/>
        <v>4.3809572933242169E-2</v>
      </c>
      <c r="S658" s="54">
        <f t="shared" si="103"/>
        <v>7.1804875091441678E-2</v>
      </c>
      <c r="T658" s="56">
        <f t="shared" si="104"/>
        <v>0.10296304631363651</v>
      </c>
      <c r="U658" s="56">
        <f t="shared" si="105"/>
        <v>6.3286635933810675E-2</v>
      </c>
      <c r="V658" s="56">
        <f t="shared" si="106"/>
        <v>5.8249933389222019E-2</v>
      </c>
      <c r="W658" s="56">
        <f t="shared" si="107"/>
        <v>6.6768172546853022E-2</v>
      </c>
      <c r="X658" s="65">
        <f t="shared" si="108"/>
        <v>2.7022905819452103E-3</v>
      </c>
      <c r="Y658" s="73">
        <f t="shared" si="109"/>
        <v>3.5291333775611167E-2</v>
      </c>
    </row>
    <row r="659" spans="1:25" x14ac:dyDescent="0.25">
      <c r="A659" s="52">
        <v>44124</v>
      </c>
      <c r="B659" s="53">
        <v>41.7</v>
      </c>
      <c r="C659" s="83">
        <v>0.41645233665316839</v>
      </c>
      <c r="D659" s="53">
        <v>44.5</v>
      </c>
      <c r="E659" s="87">
        <v>0.44441556309510782</v>
      </c>
      <c r="F659" s="53">
        <v>41.38</v>
      </c>
      <c r="G659" s="83">
        <v>0.41352809111816891</v>
      </c>
      <c r="H659" s="53">
        <v>41.7</v>
      </c>
      <c r="I659" s="83">
        <v>0.41693146332109787</v>
      </c>
      <c r="J659" s="53">
        <v>36.04</v>
      </c>
      <c r="K659" s="83">
        <v>0.3598675931498605</v>
      </c>
      <c r="L659" s="53">
        <v>37.799999999999997</v>
      </c>
      <c r="M659" s="83">
        <v>0.37793787322631889</v>
      </c>
      <c r="N659" s="55">
        <v>34.799999999999997</v>
      </c>
      <c r="O659" s="83">
        <v>0.34794280392264282</v>
      </c>
      <c r="P659" s="56">
        <f t="shared" si="100"/>
        <v>2.9242455349994811E-3</v>
      </c>
      <c r="Q659" s="56">
        <f t="shared" si="101"/>
        <v>2.7963226441939437E-2</v>
      </c>
      <c r="R659" s="56">
        <f t="shared" si="102"/>
        <v>3.8514463426849499E-2</v>
      </c>
      <c r="S659" s="54">
        <f t="shared" si="103"/>
        <v>6.8509532730525569E-2</v>
      </c>
      <c r="T659" s="56">
        <f t="shared" si="104"/>
        <v>9.6472759172465006E-2</v>
      </c>
      <c r="U659" s="56">
        <f t="shared" si="105"/>
        <v>6.5585287195526087E-2</v>
      </c>
      <c r="V659" s="56">
        <f t="shared" si="106"/>
        <v>5.3660497968308407E-2</v>
      </c>
      <c r="W659" s="56">
        <f t="shared" si="107"/>
        <v>5.6584743503307888E-2</v>
      </c>
      <c r="X659" s="65">
        <f t="shared" si="108"/>
        <v>3.403372202928967E-3</v>
      </c>
      <c r="Y659" s="73">
        <f t="shared" si="109"/>
        <v>3.5590217891850018E-2</v>
      </c>
    </row>
    <row r="660" spans="1:25" x14ac:dyDescent="0.25">
      <c r="A660" s="52">
        <v>44123</v>
      </c>
      <c r="B660" s="53">
        <v>43.51</v>
      </c>
      <c r="C660" s="83">
        <v>0.43454045475688841</v>
      </c>
      <c r="D660" s="53">
        <v>45.1</v>
      </c>
      <c r="E660" s="87">
        <v>0.45042000711412711</v>
      </c>
      <c r="F660" s="53">
        <v>43.35</v>
      </c>
      <c r="G660" s="83">
        <v>0.43322107684093802</v>
      </c>
      <c r="H660" s="53">
        <v>43.8</v>
      </c>
      <c r="I660" s="83">
        <v>0.43792951134577651</v>
      </c>
      <c r="J660" s="53">
        <v>35.950000000000003</v>
      </c>
      <c r="K660" s="83">
        <v>0.35897997079573091</v>
      </c>
      <c r="L660" s="53">
        <v>38.85</v>
      </c>
      <c r="M660" s="83">
        <v>0.3884374775293018</v>
      </c>
      <c r="N660" s="55">
        <v>35.799999999999997</v>
      </c>
      <c r="O660" s="83">
        <v>0.35794238598581729</v>
      </c>
      <c r="P660" s="56">
        <f t="shared" si="100"/>
        <v>1.3193779159503816E-3</v>
      </c>
      <c r="Q660" s="56">
        <f t="shared" si="101"/>
        <v>1.5879552357238702E-2</v>
      </c>
      <c r="R660" s="56">
        <f t="shared" si="102"/>
        <v>4.6102977227586606E-2</v>
      </c>
      <c r="S660" s="54">
        <f t="shared" si="103"/>
        <v>7.6598068771071115E-2</v>
      </c>
      <c r="T660" s="56">
        <f t="shared" si="104"/>
        <v>9.2477621128309817E-2</v>
      </c>
      <c r="U660" s="56">
        <f t="shared" si="105"/>
        <v>7.5278690855120733E-2</v>
      </c>
      <c r="V660" s="56">
        <f t="shared" si="106"/>
        <v>7.4241106045207117E-2</v>
      </c>
      <c r="W660" s="56">
        <f t="shared" si="107"/>
        <v>7.5560483961157499E-2</v>
      </c>
      <c r="X660" s="65">
        <f t="shared" si="108"/>
        <v>4.7084345048384879E-3</v>
      </c>
      <c r="Y660" s="73">
        <f t="shared" si="109"/>
        <v>4.4783599311636224E-2</v>
      </c>
    </row>
    <row r="661" spans="1:25" x14ac:dyDescent="0.25">
      <c r="A661" s="52">
        <v>44120</v>
      </c>
      <c r="B661" s="53">
        <v>44.3</v>
      </c>
      <c r="C661" s="83">
        <v>0.44246661558668998</v>
      </c>
      <c r="D661" s="53">
        <v>47</v>
      </c>
      <c r="E661" s="87">
        <v>0.4694341068301226</v>
      </c>
      <c r="F661" s="53">
        <v>44.19</v>
      </c>
      <c r="G661" s="83">
        <v>0.44163380975850169</v>
      </c>
      <c r="H661" s="53">
        <v>44.3</v>
      </c>
      <c r="I661" s="83">
        <v>0.44293325663256222</v>
      </c>
      <c r="J661" s="53">
        <v>37.67</v>
      </c>
      <c r="K661" s="83">
        <v>0.37618982475820462</v>
      </c>
      <c r="L661" s="53">
        <v>39.799999999999997</v>
      </c>
      <c r="M661" s="83">
        <v>0.39794003643286618</v>
      </c>
      <c r="N661" s="55">
        <v>35.799999999999997</v>
      </c>
      <c r="O661" s="83">
        <v>0.35794606292202541</v>
      </c>
      <c r="P661" s="56">
        <f t="shared" si="100"/>
        <v>8.3280582818828774E-4</v>
      </c>
      <c r="Q661" s="56">
        <f t="shared" si="101"/>
        <v>2.6967491243432617E-2</v>
      </c>
      <c r="R661" s="56">
        <f t="shared" si="102"/>
        <v>4.4526579153823798E-2</v>
      </c>
      <c r="S661" s="54">
        <f t="shared" si="103"/>
        <v>8.4520552664664572E-2</v>
      </c>
      <c r="T661" s="56">
        <f t="shared" si="104"/>
        <v>0.11148804390809719</v>
      </c>
      <c r="U661" s="56">
        <f t="shared" si="105"/>
        <v>8.3687746836476284E-2</v>
      </c>
      <c r="V661" s="56">
        <f t="shared" si="106"/>
        <v>6.5443985000297078E-2</v>
      </c>
      <c r="W661" s="56">
        <f t="shared" si="107"/>
        <v>6.6276790828485366E-2</v>
      </c>
      <c r="X661" s="65">
        <f t="shared" si="108"/>
        <v>1.2994468740605281E-3</v>
      </c>
      <c r="Y661" s="73">
        <f t="shared" si="109"/>
        <v>4.369377332563551E-2</v>
      </c>
    </row>
    <row r="662" spans="1:25" x14ac:dyDescent="0.25">
      <c r="A662" s="52">
        <v>44119</v>
      </c>
      <c r="B662" s="53">
        <v>44.56</v>
      </c>
      <c r="C662" s="83">
        <v>0.44507566428590978</v>
      </c>
      <c r="D662" s="53">
        <v>46.46</v>
      </c>
      <c r="E662" s="87">
        <v>0.4640533070629122</v>
      </c>
      <c r="F662" s="53">
        <v>44.4</v>
      </c>
      <c r="G662" s="83">
        <v>0.44373861971715289</v>
      </c>
      <c r="H662" s="53">
        <v>44.5</v>
      </c>
      <c r="I662" s="83">
        <v>0.44493447882674808</v>
      </c>
      <c r="J662" s="53">
        <v>38</v>
      </c>
      <c r="K662" s="83">
        <v>0.37949703646194938</v>
      </c>
      <c r="L662" s="53">
        <v>40.39</v>
      </c>
      <c r="M662" s="83">
        <v>0.40384053033286188</v>
      </c>
      <c r="N662" s="55">
        <v>36.5</v>
      </c>
      <c r="O662" s="83">
        <v>0.36494625791407431</v>
      </c>
      <c r="P662" s="56">
        <f t="shared" si="100"/>
        <v>1.3370445687568844E-3</v>
      </c>
      <c r="Q662" s="56">
        <f t="shared" si="101"/>
        <v>1.8977642777002424E-2</v>
      </c>
      <c r="R662" s="56">
        <f t="shared" si="102"/>
        <v>4.1235133953047898E-2</v>
      </c>
      <c r="S662" s="54">
        <f t="shared" si="103"/>
        <v>8.0129406371835465E-2</v>
      </c>
      <c r="T662" s="56">
        <f t="shared" si="104"/>
        <v>9.9107049148837889E-2</v>
      </c>
      <c r="U662" s="56">
        <f t="shared" si="105"/>
        <v>7.8792361803078581E-2</v>
      </c>
      <c r="V662" s="56">
        <f t="shared" si="106"/>
        <v>6.4241583255203516E-2</v>
      </c>
      <c r="W662" s="56">
        <f t="shared" si="107"/>
        <v>6.55786278239604E-2</v>
      </c>
      <c r="X662" s="65">
        <f t="shared" si="108"/>
        <v>1.1958591095951876E-3</v>
      </c>
      <c r="Y662" s="73">
        <f t="shared" si="109"/>
        <v>3.9898089384291013E-2</v>
      </c>
    </row>
    <row r="663" spans="1:25" x14ac:dyDescent="0.25">
      <c r="A663" s="52">
        <v>44118</v>
      </c>
      <c r="B663" s="53">
        <v>44.9</v>
      </c>
      <c r="C663" s="83">
        <v>0.44848393629248529</v>
      </c>
      <c r="D663" s="53">
        <v>48.4</v>
      </c>
      <c r="E663" s="87">
        <v>0.48344370860927149</v>
      </c>
      <c r="F663" s="53">
        <v>44.45</v>
      </c>
      <c r="G663" s="83">
        <v>0.4442444073272912</v>
      </c>
      <c r="H663" s="53">
        <v>45.5</v>
      </c>
      <c r="I663" s="83">
        <v>0.45493456420651818</v>
      </c>
      <c r="J663" s="53">
        <v>39.380000000000003</v>
      </c>
      <c r="K663" s="83">
        <v>0.39329087687856129</v>
      </c>
      <c r="L663" s="53">
        <v>41.08</v>
      </c>
      <c r="M663" s="83">
        <v>0.41074092082645652</v>
      </c>
      <c r="N663" s="55">
        <v>38.200000000000003</v>
      </c>
      <c r="O663" s="83">
        <v>0.3819450626964615</v>
      </c>
      <c r="P663" s="56">
        <f t="shared" si="100"/>
        <v>4.2395289651940837E-3</v>
      </c>
      <c r="Q663" s="56">
        <f t="shared" si="101"/>
        <v>3.4959772316786208E-2</v>
      </c>
      <c r="R663" s="56">
        <f t="shared" si="102"/>
        <v>3.7743015466028762E-2</v>
      </c>
      <c r="S663" s="54">
        <f t="shared" si="103"/>
        <v>6.6538873596023784E-2</v>
      </c>
      <c r="T663" s="56">
        <f t="shared" si="104"/>
        <v>0.10149864591280999</v>
      </c>
      <c r="U663" s="56">
        <f t="shared" si="105"/>
        <v>6.2299344630829701E-2</v>
      </c>
      <c r="V663" s="56">
        <f t="shared" si="106"/>
        <v>5.0953530448729911E-2</v>
      </c>
      <c r="W663" s="56">
        <f t="shared" si="107"/>
        <v>5.5193059413923995E-2</v>
      </c>
      <c r="X663" s="65">
        <f t="shared" si="108"/>
        <v>1.0690156879226975E-2</v>
      </c>
      <c r="Y663" s="73">
        <f t="shared" si="109"/>
        <v>3.3503486500834678E-2</v>
      </c>
    </row>
    <row r="664" spans="1:25" x14ac:dyDescent="0.25">
      <c r="A664" s="52">
        <v>44117</v>
      </c>
      <c r="B664" s="53">
        <v>45.45</v>
      </c>
      <c r="C664" s="83">
        <v>0.45399003858679288</v>
      </c>
      <c r="D664" s="53">
        <v>48.4</v>
      </c>
      <c r="E664" s="87">
        <v>0.48345693878109519</v>
      </c>
      <c r="F664" s="53">
        <v>44.74</v>
      </c>
      <c r="G664" s="83">
        <v>0.44714886159828038</v>
      </c>
      <c r="H664" s="53">
        <v>45.01</v>
      </c>
      <c r="I664" s="83">
        <v>0.4500368098999798</v>
      </c>
      <c r="J664" s="53">
        <v>39.700000000000003</v>
      </c>
      <c r="K664" s="83">
        <v>0.39649894482657189</v>
      </c>
      <c r="L664" s="53">
        <v>41.56</v>
      </c>
      <c r="M664" s="83">
        <v>0.41554165339798182</v>
      </c>
      <c r="N664" s="55">
        <v>39.25</v>
      </c>
      <c r="O664" s="83">
        <v>0.3924448964357744</v>
      </c>
      <c r="P664" s="56">
        <f t="shared" si="100"/>
        <v>6.8411769885124984E-3</v>
      </c>
      <c r="Q664" s="56">
        <f t="shared" si="101"/>
        <v>2.9466900194302315E-2</v>
      </c>
      <c r="R664" s="56">
        <f t="shared" si="102"/>
        <v>3.8448385188811052E-2</v>
      </c>
      <c r="S664" s="54">
        <f t="shared" si="103"/>
        <v>6.1545142151018473E-2</v>
      </c>
      <c r="T664" s="56">
        <f t="shared" si="104"/>
        <v>9.1012042345320787E-2</v>
      </c>
      <c r="U664" s="56">
        <f t="shared" si="105"/>
        <v>5.4703965162505974E-2</v>
      </c>
      <c r="V664" s="56">
        <f t="shared" si="106"/>
        <v>5.0649916771708492E-2</v>
      </c>
      <c r="W664" s="56">
        <f t="shared" si="107"/>
        <v>5.749109376022099E-2</v>
      </c>
      <c r="X664" s="65">
        <f t="shared" si="108"/>
        <v>2.8879483016994167E-3</v>
      </c>
      <c r="Y664" s="73">
        <f t="shared" si="109"/>
        <v>3.1607208200298553E-2</v>
      </c>
    </row>
    <row r="665" spans="1:25" x14ac:dyDescent="0.25">
      <c r="A665" s="52">
        <v>44113</v>
      </c>
      <c r="B665" s="53">
        <v>45.63</v>
      </c>
      <c r="C665" s="83">
        <v>0.45583791772723542</v>
      </c>
      <c r="D665" s="53">
        <v>48.6</v>
      </c>
      <c r="E665" s="87">
        <v>0.48550784136628622</v>
      </c>
      <c r="F665" s="53">
        <v>44.73</v>
      </c>
      <c r="G665" s="83">
        <v>0.44707340115284028</v>
      </c>
      <c r="H665" s="53">
        <v>45.02</v>
      </c>
      <c r="I665" s="83">
        <v>0.45014296133709092</v>
      </c>
      <c r="J665" s="53">
        <v>40</v>
      </c>
      <c r="K665" s="83">
        <v>0.39954435523871751</v>
      </c>
      <c r="L665" s="53">
        <v>41.56</v>
      </c>
      <c r="M665" s="83">
        <v>0.41554734502819851</v>
      </c>
      <c r="N665" s="55">
        <v>39.5</v>
      </c>
      <c r="O665" s="83">
        <v>0.39494995497145913</v>
      </c>
      <c r="P665" s="56">
        <f t="shared" si="100"/>
        <v>8.7645165743951425E-3</v>
      </c>
      <c r="Q665" s="56">
        <f t="shared" si="101"/>
        <v>2.9669923639050799E-2</v>
      </c>
      <c r="R665" s="56">
        <f t="shared" si="102"/>
        <v>4.0290572699036908E-2</v>
      </c>
      <c r="S665" s="54">
        <f t="shared" si="103"/>
        <v>6.0887962755776293E-2</v>
      </c>
      <c r="T665" s="56">
        <f t="shared" si="104"/>
        <v>9.0557886394827092E-2</v>
      </c>
      <c r="U665" s="56">
        <f t="shared" si="105"/>
        <v>5.212344618138115E-2</v>
      </c>
      <c r="V665" s="56">
        <f t="shared" si="106"/>
        <v>4.7529045914122769E-2</v>
      </c>
      <c r="W665" s="56">
        <f t="shared" si="107"/>
        <v>5.6293562488517912E-2</v>
      </c>
      <c r="X665" s="65">
        <f t="shared" si="108"/>
        <v>3.0695601842506415E-3</v>
      </c>
      <c r="Y665" s="73">
        <f t="shared" si="109"/>
        <v>3.1526056124641766E-2</v>
      </c>
    </row>
    <row r="666" spans="1:25" x14ac:dyDescent="0.25">
      <c r="A666" s="52">
        <v>44112</v>
      </c>
      <c r="B666" s="53">
        <v>45.32</v>
      </c>
      <c r="C666" s="83">
        <v>0.45275344865338302</v>
      </c>
      <c r="D666" s="53">
        <v>48.75</v>
      </c>
      <c r="E666" s="87">
        <v>0.48701965185022988</v>
      </c>
      <c r="F666" s="53">
        <v>44.7</v>
      </c>
      <c r="G666" s="83">
        <v>0.44677967029957832</v>
      </c>
      <c r="H666" s="53">
        <v>44.8</v>
      </c>
      <c r="I666" s="83">
        <v>0.44794477393198101</v>
      </c>
      <c r="J666" s="53">
        <v>39.880000000000003</v>
      </c>
      <c r="K666" s="83">
        <v>0.39835798634391978</v>
      </c>
      <c r="L666" s="53">
        <v>41.44</v>
      </c>
      <c r="M666" s="83">
        <v>0.41434891588708239</v>
      </c>
      <c r="N666" s="55">
        <v>39.5</v>
      </c>
      <c r="O666" s="83">
        <v>0.39495130737306361</v>
      </c>
      <c r="P666" s="56">
        <f t="shared" si="100"/>
        <v>5.9737783538046929E-3</v>
      </c>
      <c r="Q666" s="56">
        <f t="shared" si="101"/>
        <v>3.4266203196846867E-2</v>
      </c>
      <c r="R666" s="56">
        <f t="shared" si="102"/>
        <v>3.8404532766300625E-2</v>
      </c>
      <c r="S666" s="54">
        <f t="shared" si="103"/>
        <v>5.7802141280319408E-2</v>
      </c>
      <c r="T666" s="56">
        <f t="shared" si="104"/>
        <v>9.2068344477166275E-2</v>
      </c>
      <c r="U666" s="56">
        <f t="shared" si="105"/>
        <v>5.1828362926514715E-2</v>
      </c>
      <c r="V666" s="56">
        <f t="shared" si="106"/>
        <v>4.8421683955658545E-2</v>
      </c>
      <c r="W666" s="56">
        <f t="shared" si="107"/>
        <v>5.4395462309463238E-2</v>
      </c>
      <c r="X666" s="65">
        <f t="shared" si="108"/>
        <v>1.1651036324026864E-3</v>
      </c>
      <c r="Y666" s="73">
        <f t="shared" si="109"/>
        <v>3.2430754412495932E-2</v>
      </c>
    </row>
    <row r="667" spans="1:25" x14ac:dyDescent="0.25">
      <c r="A667" s="52">
        <v>44111</v>
      </c>
      <c r="B667" s="53">
        <v>45.44</v>
      </c>
      <c r="C667" s="83">
        <v>0.45396469139181611</v>
      </c>
      <c r="D667" s="53">
        <v>47.7</v>
      </c>
      <c r="E667" s="87">
        <v>0.47654304091966609</v>
      </c>
      <c r="F667" s="53">
        <v>44.8</v>
      </c>
      <c r="G667" s="83">
        <v>0.44778530841377417</v>
      </c>
      <c r="H667" s="53">
        <v>44.5</v>
      </c>
      <c r="I667" s="83">
        <v>0.44494666735151611</v>
      </c>
      <c r="J667" s="53">
        <v>40.1</v>
      </c>
      <c r="K667" s="83">
        <v>0.40056788053982861</v>
      </c>
      <c r="L667" s="53">
        <v>41.6</v>
      </c>
      <c r="M667" s="83">
        <v>0.41595014296231619</v>
      </c>
      <c r="N667" s="55">
        <v>39.9</v>
      </c>
      <c r="O667" s="83">
        <v>0.39895218038933689</v>
      </c>
      <c r="P667" s="56">
        <f t="shared" si="100"/>
        <v>6.1793829780419363E-3</v>
      </c>
      <c r="Q667" s="56">
        <f t="shared" si="101"/>
        <v>2.2578349527849984E-2</v>
      </c>
      <c r="R667" s="56">
        <f t="shared" si="102"/>
        <v>3.8014548429499917E-2</v>
      </c>
      <c r="S667" s="54">
        <f t="shared" si="103"/>
        <v>5.5012511002479225E-2</v>
      </c>
      <c r="T667" s="56">
        <f t="shared" si="104"/>
        <v>7.7590860530329209E-2</v>
      </c>
      <c r="U667" s="56">
        <f t="shared" si="105"/>
        <v>4.8833128024437289E-2</v>
      </c>
      <c r="V667" s="56">
        <f t="shared" si="106"/>
        <v>4.7217427873945561E-2</v>
      </c>
      <c r="W667" s="56">
        <f t="shared" si="107"/>
        <v>5.3396810851987497E-2</v>
      </c>
      <c r="X667" s="65">
        <f t="shared" si="108"/>
        <v>-2.8386410622580627E-3</v>
      </c>
      <c r="Y667" s="73">
        <f t="shared" si="109"/>
        <v>3.1835165451457981E-2</v>
      </c>
    </row>
    <row r="668" spans="1:25" x14ac:dyDescent="0.25">
      <c r="A668" s="52">
        <v>44110</v>
      </c>
      <c r="B668" s="53">
        <v>45.3</v>
      </c>
      <c r="C668" s="83">
        <v>0.45257842010182292</v>
      </c>
      <c r="D668" s="53">
        <v>47.6</v>
      </c>
      <c r="E668" s="87">
        <v>0.47555701538293099</v>
      </c>
      <c r="F668" s="53">
        <v>44.45</v>
      </c>
      <c r="G668" s="83">
        <v>0.44429306898157028</v>
      </c>
      <c r="H668" s="53">
        <v>44</v>
      </c>
      <c r="I668" s="83">
        <v>0.43994877308806513</v>
      </c>
      <c r="J668" s="53">
        <v>39.96</v>
      </c>
      <c r="K668" s="83">
        <v>0.39918167947288119</v>
      </c>
      <c r="L668" s="53">
        <v>41.4</v>
      </c>
      <c r="M668" s="83">
        <v>0.4139518001328612</v>
      </c>
      <c r="N668" s="55">
        <v>39.99</v>
      </c>
      <c r="O668" s="83">
        <v>0.39985344172253923</v>
      </c>
      <c r="P668" s="56">
        <f t="shared" si="100"/>
        <v>8.2853511202526375E-3</v>
      </c>
      <c r="Q668" s="56">
        <f t="shared" si="101"/>
        <v>2.2978595281108072E-2</v>
      </c>
      <c r="R668" s="56">
        <f t="shared" si="102"/>
        <v>3.8626619968961717E-2</v>
      </c>
      <c r="S668" s="54">
        <f t="shared" si="103"/>
        <v>5.2724978379283693E-2</v>
      </c>
      <c r="T668" s="56">
        <f t="shared" si="104"/>
        <v>7.5703573660391765E-2</v>
      </c>
      <c r="U668" s="56">
        <f t="shared" si="105"/>
        <v>4.4439627259031056E-2</v>
      </c>
      <c r="V668" s="56">
        <f t="shared" si="106"/>
        <v>4.5111389508689093E-2</v>
      </c>
      <c r="W668" s="56">
        <f t="shared" si="107"/>
        <v>5.339674062894173E-2</v>
      </c>
      <c r="X668" s="65">
        <f t="shared" si="108"/>
        <v>-4.3442958935051568E-3</v>
      </c>
      <c r="Y668" s="73">
        <f t="shared" si="109"/>
        <v>3.034126884870908E-2</v>
      </c>
    </row>
    <row r="669" spans="1:25" x14ac:dyDescent="0.25">
      <c r="A669" s="52">
        <v>44109</v>
      </c>
      <c r="B669" s="53">
        <v>45.39</v>
      </c>
      <c r="C669" s="83">
        <v>0.45348999534667289</v>
      </c>
      <c r="D669" s="53">
        <v>47.99</v>
      </c>
      <c r="E669" s="87">
        <v>0.47946650973092819</v>
      </c>
      <c r="F669" s="53">
        <v>44.4</v>
      </c>
      <c r="G669" s="83">
        <v>0.44379937836320571</v>
      </c>
      <c r="H669" s="53">
        <v>43.45</v>
      </c>
      <c r="I669" s="83">
        <v>0.43445090109679391</v>
      </c>
      <c r="J669" s="53">
        <v>39.5</v>
      </c>
      <c r="K669" s="83">
        <v>0.39459864452936572</v>
      </c>
      <c r="L669" s="53">
        <v>41.65</v>
      </c>
      <c r="M669" s="83">
        <v>0.41645293511349751</v>
      </c>
      <c r="N669" s="55">
        <v>40</v>
      </c>
      <c r="O669" s="83">
        <v>0.39995479962880909</v>
      </c>
      <c r="P669" s="56">
        <f t="shared" si="100"/>
        <v>9.6906169834671818E-3</v>
      </c>
      <c r="Q669" s="56">
        <f t="shared" si="101"/>
        <v>2.59765143842553E-2</v>
      </c>
      <c r="R669" s="56">
        <f t="shared" si="102"/>
        <v>3.7037060233175378E-2</v>
      </c>
      <c r="S669" s="54">
        <f t="shared" si="103"/>
        <v>5.3535195717863804E-2</v>
      </c>
      <c r="T669" s="56">
        <f t="shared" si="104"/>
        <v>7.9511710102119104E-2</v>
      </c>
      <c r="U669" s="56">
        <f t="shared" si="105"/>
        <v>4.3844578734396622E-2</v>
      </c>
      <c r="V669" s="56">
        <f t="shared" si="106"/>
        <v>4.9200733833839994E-2</v>
      </c>
      <c r="W669" s="56">
        <f t="shared" si="107"/>
        <v>5.8891350817307175E-2</v>
      </c>
      <c r="X669" s="65">
        <f t="shared" si="108"/>
        <v>-9.3484772664118032E-3</v>
      </c>
      <c r="Y669" s="73">
        <f t="shared" si="109"/>
        <v>2.7346443249708197E-2</v>
      </c>
    </row>
    <row r="670" spans="1:25" x14ac:dyDescent="0.25">
      <c r="A670" s="52">
        <v>44106</v>
      </c>
      <c r="B670" s="53">
        <v>45.45</v>
      </c>
      <c r="C670" s="83">
        <v>0.45412674514098011</v>
      </c>
      <c r="D670" s="53">
        <v>47.32</v>
      </c>
      <c r="E670" s="87">
        <v>0.47281138790035587</v>
      </c>
      <c r="F670" s="53">
        <v>44.3</v>
      </c>
      <c r="G670" s="83">
        <v>0.44281801999178422</v>
      </c>
      <c r="H670" s="53">
        <v>43.99</v>
      </c>
      <c r="I670" s="83">
        <v>0.43985480943738658</v>
      </c>
      <c r="J670" s="53">
        <v>40.049999999999997</v>
      </c>
      <c r="K670" s="83">
        <v>0.40013001676531967</v>
      </c>
      <c r="L670" s="53">
        <v>42.15</v>
      </c>
      <c r="M670" s="83">
        <v>0.42145669965414512</v>
      </c>
      <c r="N670" s="55">
        <v>40</v>
      </c>
      <c r="O670" s="83">
        <v>0.39995890833133579</v>
      </c>
      <c r="P670" s="56">
        <f t="shared" si="100"/>
        <v>1.1308725149195897E-2</v>
      </c>
      <c r="Q670" s="56">
        <f t="shared" si="101"/>
        <v>1.8684642759375758E-2</v>
      </c>
      <c r="R670" s="56">
        <f t="shared" si="102"/>
        <v>3.2670045486834998E-2</v>
      </c>
      <c r="S670" s="54">
        <f t="shared" si="103"/>
        <v>5.4167836809644321E-2</v>
      </c>
      <c r="T670" s="56">
        <f t="shared" si="104"/>
        <v>7.2852479569020079E-2</v>
      </c>
      <c r="U670" s="56">
        <f t="shared" si="105"/>
        <v>4.2859111660448423E-2</v>
      </c>
      <c r="V670" s="56">
        <f t="shared" si="106"/>
        <v>4.2688003226464544E-2</v>
      </c>
      <c r="W670" s="56">
        <f t="shared" si="107"/>
        <v>5.3996728375660441E-2</v>
      </c>
      <c r="X670" s="65">
        <f t="shared" si="108"/>
        <v>-2.9632105543976328E-3</v>
      </c>
      <c r="Y670" s="73">
        <f t="shared" si="109"/>
        <v>2.13613203376391E-2</v>
      </c>
    </row>
    <row r="671" spans="1:25" x14ac:dyDescent="0.25">
      <c r="A671" s="52">
        <v>44105</v>
      </c>
      <c r="B671" s="53">
        <v>46.25</v>
      </c>
      <c r="C671" s="83">
        <v>0.46213282597388378</v>
      </c>
      <c r="D671" s="53">
        <v>48.32</v>
      </c>
      <c r="E671" s="87">
        <v>0.4828163924553095</v>
      </c>
      <c r="F671" s="53">
        <v>44.7</v>
      </c>
      <c r="G671" s="83">
        <v>0.44682249517315042</v>
      </c>
      <c r="H671" s="53">
        <v>44.4</v>
      </c>
      <c r="I671" s="83">
        <v>0.4439559084885405</v>
      </c>
      <c r="J671" s="53">
        <v>40.799999999999997</v>
      </c>
      <c r="K671" s="83">
        <v>0.40763564074577169</v>
      </c>
      <c r="L671" s="53">
        <v>42.9</v>
      </c>
      <c r="M671" s="83">
        <v>0.42895739806663041</v>
      </c>
      <c r="N671" s="55">
        <v>39.799999999999997</v>
      </c>
      <c r="O671" s="83">
        <v>0.39796047652801603</v>
      </c>
      <c r="P671" s="56">
        <f t="shared" si="100"/>
        <v>1.5310330800733352E-2</v>
      </c>
      <c r="Q671" s="56">
        <f t="shared" si="101"/>
        <v>2.0683566481425719E-2</v>
      </c>
      <c r="R671" s="56">
        <f t="shared" si="102"/>
        <v>3.3175427907253363E-2</v>
      </c>
      <c r="S671" s="54">
        <f t="shared" si="103"/>
        <v>6.4172349445867749E-2</v>
      </c>
      <c r="T671" s="56">
        <f t="shared" si="104"/>
        <v>8.4855915927293468E-2</v>
      </c>
      <c r="U671" s="56">
        <f t="shared" si="105"/>
        <v>4.8862018645134397E-2</v>
      </c>
      <c r="V671" s="56">
        <f t="shared" si="106"/>
        <v>3.9186854427378737E-2</v>
      </c>
      <c r="W671" s="56">
        <f t="shared" si="107"/>
        <v>5.4497185228112088E-2</v>
      </c>
      <c r="X671" s="65">
        <f t="shared" si="108"/>
        <v>-2.8665866846099286E-3</v>
      </c>
      <c r="Y671" s="73">
        <f t="shared" si="109"/>
        <v>1.7865097106520011E-2</v>
      </c>
    </row>
    <row r="672" spans="1:25" x14ac:dyDescent="0.25">
      <c r="A672" s="52">
        <v>44104</v>
      </c>
      <c r="B672" s="53">
        <v>45.86</v>
      </c>
      <c r="C672" s="83">
        <v>0.45824846692947868</v>
      </c>
      <c r="D672" s="53">
        <v>47.9</v>
      </c>
      <c r="E672" s="87">
        <v>0.47863282961016212</v>
      </c>
      <c r="F672" s="53">
        <v>44.6</v>
      </c>
      <c r="G672" s="83">
        <v>0.44582899709700391</v>
      </c>
      <c r="H672" s="53">
        <v>44.71</v>
      </c>
      <c r="I672" s="83">
        <v>0.44705713150793758</v>
      </c>
      <c r="J672" s="53">
        <v>40.74</v>
      </c>
      <c r="K672" s="83">
        <v>0.40704871138606408</v>
      </c>
      <c r="L672" s="53">
        <v>42.4</v>
      </c>
      <c r="M672" s="83">
        <v>0.42395934636404731</v>
      </c>
      <c r="N672" s="55">
        <v>39.020000000000003</v>
      </c>
      <c r="O672" s="83">
        <v>0.39016258714917751</v>
      </c>
      <c r="P672" s="56">
        <f t="shared" si="100"/>
        <v>1.2419469832474772E-2</v>
      </c>
      <c r="Q672" s="56">
        <f t="shared" si="101"/>
        <v>2.0384362680683443E-2</v>
      </c>
      <c r="R672" s="56">
        <f t="shared" si="102"/>
        <v>3.4289120565431375E-2</v>
      </c>
      <c r="S672" s="54">
        <f t="shared" si="103"/>
        <v>6.8085879780301173E-2</v>
      </c>
      <c r="T672" s="56">
        <f t="shared" si="104"/>
        <v>8.8470242460984616E-2</v>
      </c>
      <c r="U672" s="56">
        <f t="shared" si="105"/>
        <v>5.5666409947826401E-2</v>
      </c>
      <c r="V672" s="56">
        <f t="shared" si="106"/>
        <v>3.8780285710939832E-2</v>
      </c>
      <c r="W672" s="56">
        <f t="shared" si="107"/>
        <v>5.1199755543414605E-2</v>
      </c>
      <c r="X672" s="65">
        <f t="shared" si="108"/>
        <v>1.2281344109336678E-3</v>
      </c>
      <c r="Y672" s="73">
        <f t="shared" si="109"/>
        <v>2.1869650732956603E-2</v>
      </c>
    </row>
    <row r="673" spans="1:25" x14ac:dyDescent="0.25">
      <c r="A673" s="52">
        <v>44103</v>
      </c>
      <c r="B673" s="53">
        <v>46</v>
      </c>
      <c r="C673" s="83">
        <v>0.45965997755085281</v>
      </c>
      <c r="D673" s="53">
        <v>47.5</v>
      </c>
      <c r="E673" s="87">
        <v>0.47464888986229359</v>
      </c>
      <c r="F673" s="53">
        <v>44.67</v>
      </c>
      <c r="G673" s="83">
        <v>0.4465348432771441</v>
      </c>
      <c r="H673" s="53">
        <v>44.47</v>
      </c>
      <c r="I673" s="83">
        <v>0.44465888428124789</v>
      </c>
      <c r="J673" s="53">
        <v>39.9</v>
      </c>
      <c r="K673" s="83">
        <v>0.39866823157440889</v>
      </c>
      <c r="L673" s="53">
        <v>41.8</v>
      </c>
      <c r="M673" s="83">
        <v>0.41796135288860281</v>
      </c>
      <c r="N673" s="55">
        <v>39.04</v>
      </c>
      <c r="O673" s="83">
        <v>0.39036390470744142</v>
      </c>
      <c r="P673" s="56">
        <f t="shared" si="100"/>
        <v>1.3125134273708705E-2</v>
      </c>
      <c r="Q673" s="56">
        <f t="shared" si="101"/>
        <v>1.4988912311440783E-2</v>
      </c>
      <c r="R673" s="56">
        <f t="shared" si="102"/>
        <v>4.1698624662249995E-2</v>
      </c>
      <c r="S673" s="54">
        <f t="shared" si="103"/>
        <v>6.9296072843411383E-2</v>
      </c>
      <c r="T673" s="56">
        <f t="shared" si="104"/>
        <v>8.4284985154852166E-2</v>
      </c>
      <c r="U673" s="56">
        <f t="shared" si="105"/>
        <v>5.6170938569702678E-2</v>
      </c>
      <c r="V673" s="56">
        <f t="shared" si="106"/>
        <v>4.7866611702735207E-2</v>
      </c>
      <c r="W673" s="56">
        <f t="shared" si="107"/>
        <v>6.0991745976443912E-2</v>
      </c>
      <c r="X673" s="65">
        <f t="shared" si="108"/>
        <v>-1.8759589958962097E-3</v>
      </c>
      <c r="Y673" s="73">
        <f t="shared" si="109"/>
        <v>2.8573490388541289E-2</v>
      </c>
    </row>
    <row r="674" spans="1:25" x14ac:dyDescent="0.25">
      <c r="A674" s="52">
        <v>44102</v>
      </c>
      <c r="B674" s="53">
        <v>46.29</v>
      </c>
      <c r="C674" s="83">
        <v>0.46257049772764608</v>
      </c>
      <c r="D674" s="53">
        <v>48.3</v>
      </c>
      <c r="E674" s="87">
        <v>0.48265619011115368</v>
      </c>
      <c r="F674" s="53">
        <v>44.9</v>
      </c>
      <c r="G674" s="83">
        <v>0.44884013912852949</v>
      </c>
      <c r="H674" s="53">
        <v>44.85</v>
      </c>
      <c r="I674" s="83">
        <v>0.44846006862402671</v>
      </c>
      <c r="J674" s="53">
        <v>41</v>
      </c>
      <c r="K674" s="83">
        <v>0.40967170144473258</v>
      </c>
      <c r="L674" s="53">
        <v>42.43</v>
      </c>
      <c r="M674" s="83">
        <v>0.42426222322669899</v>
      </c>
      <c r="N674" s="55">
        <v>39.5</v>
      </c>
      <c r="O674" s="83">
        <v>0.3949648318985296</v>
      </c>
      <c r="P674" s="56">
        <f t="shared" si="100"/>
        <v>1.3730358599116588E-2</v>
      </c>
      <c r="Q674" s="56">
        <f t="shared" si="101"/>
        <v>2.0085692383507603E-2</v>
      </c>
      <c r="R674" s="56">
        <f t="shared" si="102"/>
        <v>3.8308274500947093E-2</v>
      </c>
      <c r="S674" s="54">
        <f t="shared" si="103"/>
        <v>6.7605665829116479E-2</v>
      </c>
      <c r="T674" s="56">
        <f t="shared" si="104"/>
        <v>8.7691358212624082E-2</v>
      </c>
      <c r="U674" s="56">
        <f t="shared" si="105"/>
        <v>5.3875307229999891E-2</v>
      </c>
      <c r="V674" s="56">
        <f t="shared" si="106"/>
        <v>3.9168437683796908E-2</v>
      </c>
      <c r="W674" s="56">
        <f t="shared" si="107"/>
        <v>5.2898796282913496E-2</v>
      </c>
      <c r="X674" s="65">
        <f t="shared" si="108"/>
        <v>-3.8007050450278301E-4</v>
      </c>
      <c r="Y674" s="73">
        <f t="shared" si="109"/>
        <v>2.4577915901830505E-2</v>
      </c>
    </row>
    <row r="675" spans="1:25" x14ac:dyDescent="0.25">
      <c r="A675" s="52">
        <v>44099</v>
      </c>
      <c r="B675" s="53">
        <v>46.44</v>
      </c>
      <c r="C675" s="83">
        <v>0.46410754866796261</v>
      </c>
      <c r="D675" s="53">
        <v>48</v>
      </c>
      <c r="E675" s="87">
        <v>0.47969772472140843</v>
      </c>
      <c r="F675" s="53">
        <v>45.2</v>
      </c>
      <c r="G675" s="83">
        <v>0.45185763389616967</v>
      </c>
      <c r="H675" s="53">
        <v>45.29</v>
      </c>
      <c r="I675" s="83">
        <v>0.45286432917955088</v>
      </c>
      <c r="J675" s="53">
        <v>41.5</v>
      </c>
      <c r="K675" s="83">
        <v>0.41470601320296913</v>
      </c>
      <c r="L675" s="53">
        <v>42.89</v>
      </c>
      <c r="M675" s="83">
        <v>0.42886621944161929</v>
      </c>
      <c r="N675" s="55">
        <v>40</v>
      </c>
      <c r="O675" s="83">
        <v>0.39996849563219328</v>
      </c>
      <c r="P675" s="56">
        <f t="shared" si="100"/>
        <v>1.2249914771792936E-2</v>
      </c>
      <c r="Q675" s="56">
        <f t="shared" si="101"/>
        <v>1.5590176053445814E-2</v>
      </c>
      <c r="R675" s="56">
        <f t="shared" si="102"/>
        <v>3.5241329226343321E-2</v>
      </c>
      <c r="S675" s="54">
        <f t="shared" si="103"/>
        <v>6.4139053035769333E-2</v>
      </c>
      <c r="T675" s="56">
        <f t="shared" si="104"/>
        <v>7.9729229089215148E-2</v>
      </c>
      <c r="U675" s="56">
        <f t="shared" si="105"/>
        <v>5.1889138263976398E-2</v>
      </c>
      <c r="V675" s="56">
        <f t="shared" si="106"/>
        <v>3.7151620693200549E-2</v>
      </c>
      <c r="W675" s="56">
        <f t="shared" si="107"/>
        <v>4.9401535464993485E-2</v>
      </c>
      <c r="X675" s="65">
        <f t="shared" si="108"/>
        <v>1.0066952833812093E-3</v>
      </c>
      <c r="Y675" s="73">
        <f t="shared" si="109"/>
        <v>2.2991414454550385E-2</v>
      </c>
    </row>
    <row r="676" spans="1:25" x14ac:dyDescent="0.25">
      <c r="A676" s="52">
        <v>44098</v>
      </c>
      <c r="B676" s="53">
        <v>47.57</v>
      </c>
      <c r="C676" s="83">
        <v>0.47541344942774222</v>
      </c>
      <c r="D676" s="53">
        <v>47.8</v>
      </c>
      <c r="E676" s="87">
        <v>0.47771206396144789</v>
      </c>
      <c r="F676" s="53">
        <v>46</v>
      </c>
      <c r="G676" s="83">
        <v>0.459861411629372</v>
      </c>
      <c r="H676" s="53">
        <v>45.7</v>
      </c>
      <c r="I676" s="83">
        <v>0.45696557108710989</v>
      </c>
      <c r="J676" s="53">
        <v>41.9</v>
      </c>
      <c r="K676" s="83">
        <v>0.41871607608539407</v>
      </c>
      <c r="L676" s="53">
        <v>43.4</v>
      </c>
      <c r="M676" s="83">
        <v>0.43396730383327281</v>
      </c>
      <c r="N676" s="55">
        <v>39.450000000000003</v>
      </c>
      <c r="O676" s="83">
        <v>0.39447027963646569</v>
      </c>
      <c r="P676" s="56">
        <f t="shared" si="100"/>
        <v>1.5552037798370222E-2</v>
      </c>
      <c r="Q676" s="56">
        <f t="shared" si="101"/>
        <v>2.2986145337056674E-3</v>
      </c>
      <c r="R676" s="56">
        <f t="shared" si="102"/>
        <v>4.1446145594469408E-2</v>
      </c>
      <c r="S676" s="54">
        <f t="shared" si="103"/>
        <v>8.0943169791276526E-2</v>
      </c>
      <c r="T676" s="56">
        <f t="shared" si="104"/>
        <v>8.3241784324982193E-2</v>
      </c>
      <c r="U676" s="56">
        <f t="shared" si="105"/>
        <v>6.5391131992906304E-2</v>
      </c>
      <c r="V676" s="56">
        <f t="shared" si="106"/>
        <v>4.1145335543977923E-2</v>
      </c>
      <c r="W676" s="56">
        <f t="shared" si="107"/>
        <v>5.6697373342348145E-2</v>
      </c>
      <c r="X676" s="65">
        <f t="shared" si="108"/>
        <v>-2.895840542262107E-3</v>
      </c>
      <c r="Y676" s="73">
        <f t="shared" si="109"/>
        <v>2.5894107796099186E-2</v>
      </c>
    </row>
    <row r="677" spans="1:25" x14ac:dyDescent="0.25">
      <c r="A677" s="52">
        <v>44097</v>
      </c>
      <c r="B677" s="53">
        <v>47.6</v>
      </c>
      <c r="C677" s="83">
        <v>0.47572629446072118</v>
      </c>
      <c r="D677" s="53">
        <v>47.1</v>
      </c>
      <c r="E677" s="87">
        <v>0.47072916951890692</v>
      </c>
      <c r="F677" s="53">
        <v>46.55</v>
      </c>
      <c r="G677" s="83">
        <v>0.46536612755234791</v>
      </c>
      <c r="H677" s="53">
        <v>46.3</v>
      </c>
      <c r="I677" s="83">
        <v>0.46296670444933752</v>
      </c>
      <c r="J677" s="53">
        <v>39.75</v>
      </c>
      <c r="K677" s="83">
        <v>0.39724288046435702</v>
      </c>
      <c r="L677" s="53">
        <v>43</v>
      </c>
      <c r="M677" s="83">
        <v>0.4299690775663394</v>
      </c>
      <c r="N677" s="55">
        <v>38.549999999999997</v>
      </c>
      <c r="O677" s="83">
        <v>0.38547227767865999</v>
      </c>
      <c r="P677" s="56">
        <f t="shared" si="100"/>
        <v>1.0360166908373269E-2</v>
      </c>
      <c r="Q677" s="56">
        <f t="shared" si="101"/>
        <v>-4.9971249418142571E-3</v>
      </c>
      <c r="R677" s="56">
        <f t="shared" si="102"/>
        <v>4.575721689438178E-2</v>
      </c>
      <c r="S677" s="54">
        <f t="shared" si="103"/>
        <v>9.0254016782061186E-2</v>
      </c>
      <c r="T677" s="56">
        <f t="shared" si="104"/>
        <v>8.5256891840246929E-2</v>
      </c>
      <c r="U677" s="56">
        <f t="shared" si="105"/>
        <v>7.9893849873687917E-2</v>
      </c>
      <c r="V677" s="56">
        <f t="shared" si="106"/>
        <v>6.812324708799089E-2</v>
      </c>
      <c r="W677" s="56">
        <f t="shared" si="107"/>
        <v>7.848341399636416E-2</v>
      </c>
      <c r="X677" s="65">
        <f t="shared" si="108"/>
        <v>-2.3994231030103896E-3</v>
      </c>
      <c r="Y677" s="73">
        <f t="shared" si="109"/>
        <v>3.5397049986008511E-2</v>
      </c>
    </row>
    <row r="678" spans="1:25" x14ac:dyDescent="0.25">
      <c r="A678" s="52">
        <v>44096</v>
      </c>
      <c r="B678" s="53">
        <v>46.5</v>
      </c>
      <c r="C678" s="83">
        <v>0.46474534501642928</v>
      </c>
      <c r="D678" s="53">
        <v>47</v>
      </c>
      <c r="E678" s="87">
        <v>0.46974260679079949</v>
      </c>
      <c r="F678" s="53">
        <v>45.39</v>
      </c>
      <c r="G678" s="83">
        <v>0.45377567789646672</v>
      </c>
      <c r="H678" s="53">
        <v>45.33</v>
      </c>
      <c r="I678" s="83">
        <v>0.45326895418122037</v>
      </c>
      <c r="J678" s="53">
        <v>38.5</v>
      </c>
      <c r="K678" s="83">
        <v>0.38476281744130331</v>
      </c>
      <c r="L678" s="53">
        <v>42.65</v>
      </c>
      <c r="M678" s="83">
        <v>0.42647078967194019</v>
      </c>
      <c r="N678" s="55">
        <v>37.75</v>
      </c>
      <c r="O678" s="83">
        <v>0.37747414560646531</v>
      </c>
      <c r="P678" s="56">
        <f t="shared" si="100"/>
        <v>1.0969667119962556E-2</v>
      </c>
      <c r="Q678" s="56">
        <f t="shared" si="101"/>
        <v>4.9972617743702097E-3</v>
      </c>
      <c r="R678" s="56">
        <f t="shared" si="102"/>
        <v>3.8274555344489092E-2</v>
      </c>
      <c r="S678" s="54">
        <f t="shared" si="103"/>
        <v>8.7271199409963973E-2</v>
      </c>
      <c r="T678" s="56">
        <f t="shared" si="104"/>
        <v>9.2268461184334183E-2</v>
      </c>
      <c r="U678" s="56">
        <f t="shared" si="105"/>
        <v>7.6301532290001417E-2</v>
      </c>
      <c r="V678" s="56">
        <f t="shared" si="106"/>
        <v>6.9012860455163416E-2</v>
      </c>
      <c r="W678" s="56">
        <f t="shared" si="107"/>
        <v>7.9982527575125972E-2</v>
      </c>
      <c r="X678" s="65">
        <f t="shared" si="108"/>
        <v>-5.0672371524634885E-4</v>
      </c>
      <c r="Y678" s="73">
        <f t="shared" si="109"/>
        <v>2.7304888224526536E-2</v>
      </c>
    </row>
    <row r="679" spans="1:25" x14ac:dyDescent="0.25">
      <c r="A679" s="52">
        <v>44095</v>
      </c>
      <c r="B679" s="53">
        <v>47.4</v>
      </c>
      <c r="C679" s="83">
        <v>0.47375338864700572</v>
      </c>
      <c r="D679" s="53">
        <v>47</v>
      </c>
      <c r="E679" s="87">
        <v>0.46975546975546978</v>
      </c>
      <c r="F679" s="53">
        <v>46.12</v>
      </c>
      <c r="G679" s="83">
        <v>0.46107999287856583</v>
      </c>
      <c r="H679" s="53">
        <v>45.75</v>
      </c>
      <c r="I679" s="83">
        <v>0.45747023310127077</v>
      </c>
      <c r="J679" s="53">
        <v>40.24</v>
      </c>
      <c r="K679" s="83">
        <v>0.40216448586615372</v>
      </c>
      <c r="L679" s="53">
        <v>43.35</v>
      </c>
      <c r="M679" s="83">
        <v>0.43347179464349922</v>
      </c>
      <c r="N679" s="55">
        <v>38.6</v>
      </c>
      <c r="O679" s="83">
        <v>0.38597488519582629</v>
      </c>
      <c r="P679" s="56">
        <f t="shared" si="100"/>
        <v>1.2673395768439899E-2</v>
      </c>
      <c r="Q679" s="56">
        <f t="shared" si="101"/>
        <v>-3.9979188915359454E-3</v>
      </c>
      <c r="R679" s="56">
        <f t="shared" si="102"/>
        <v>4.0281594003506505E-2</v>
      </c>
      <c r="S679" s="54">
        <f t="shared" si="103"/>
        <v>8.7778503451179435E-2</v>
      </c>
      <c r="T679" s="56">
        <f t="shared" si="104"/>
        <v>8.3780584559643489E-2</v>
      </c>
      <c r="U679" s="56">
        <f t="shared" si="105"/>
        <v>7.5105107682739536E-2</v>
      </c>
      <c r="V679" s="56">
        <f t="shared" si="106"/>
        <v>5.8915507012412105E-2</v>
      </c>
      <c r="W679" s="56">
        <f t="shared" si="107"/>
        <v>7.1588902780852004E-2</v>
      </c>
      <c r="X679" s="65">
        <f t="shared" si="108"/>
        <v>-3.6097597772950518E-3</v>
      </c>
      <c r="Y679" s="73">
        <f t="shared" si="109"/>
        <v>2.7608198235066606E-2</v>
      </c>
    </row>
    <row r="680" spans="1:25" x14ac:dyDescent="0.25">
      <c r="A680" s="52">
        <v>44092</v>
      </c>
      <c r="B680" s="53">
        <v>48.35</v>
      </c>
      <c r="C680" s="83">
        <v>0.48328814766129918</v>
      </c>
      <c r="D680" s="53">
        <v>48.45</v>
      </c>
      <c r="E680" s="87">
        <v>0.48428770949720668</v>
      </c>
      <c r="F680" s="53">
        <v>47.1</v>
      </c>
      <c r="G680" s="83">
        <v>0.4708967897447135</v>
      </c>
      <c r="H680" s="53">
        <v>46.89</v>
      </c>
      <c r="I680" s="83">
        <v>0.46887430825708182</v>
      </c>
      <c r="J680" s="53">
        <v>41.6</v>
      </c>
      <c r="K680" s="83">
        <v>0.41579495043540171</v>
      </c>
      <c r="L680" s="53">
        <v>44.25</v>
      </c>
      <c r="M680" s="83">
        <v>0.4424757547531642</v>
      </c>
      <c r="N680" s="55">
        <v>40</v>
      </c>
      <c r="O680" s="83">
        <v>0.39997808339269081</v>
      </c>
      <c r="P680" s="56">
        <f t="shared" si="100"/>
        <v>1.2391357916585688E-2</v>
      </c>
      <c r="Q680" s="56">
        <f t="shared" si="101"/>
        <v>9.9956183590749204E-4</v>
      </c>
      <c r="R680" s="56">
        <f t="shared" si="102"/>
        <v>4.0812392908134987E-2</v>
      </c>
      <c r="S680" s="54">
        <f t="shared" si="103"/>
        <v>8.3310064268608375E-2</v>
      </c>
      <c r="T680" s="56">
        <f t="shared" si="104"/>
        <v>8.4309626104515867E-2</v>
      </c>
      <c r="U680" s="56">
        <f t="shared" si="105"/>
        <v>7.0918706352022687E-2</v>
      </c>
      <c r="V680" s="56">
        <f t="shared" si="106"/>
        <v>5.5101839309311784E-2</v>
      </c>
      <c r="W680" s="56">
        <f t="shared" si="107"/>
        <v>6.7493197225897472E-2</v>
      </c>
      <c r="X680" s="65">
        <f t="shared" si="108"/>
        <v>-2.0224814876316777E-3</v>
      </c>
      <c r="Y680" s="73">
        <f t="shared" si="109"/>
        <v>2.8421034991549299E-2</v>
      </c>
    </row>
    <row r="681" spans="1:25" x14ac:dyDescent="0.25">
      <c r="A681" s="52">
        <v>44091</v>
      </c>
      <c r="B681" s="53">
        <v>48.51</v>
      </c>
      <c r="C681" s="83">
        <v>0.48490072572915238</v>
      </c>
      <c r="D681" s="53">
        <v>48.01</v>
      </c>
      <c r="E681" s="87">
        <v>0.47990277967958372</v>
      </c>
      <c r="F681" s="53">
        <v>46.9</v>
      </c>
      <c r="G681" s="83">
        <v>0.46890364993494488</v>
      </c>
      <c r="H681" s="53">
        <v>46.25</v>
      </c>
      <c r="I681" s="83">
        <v>0.46247624265876752</v>
      </c>
      <c r="J681" s="53">
        <v>41.75</v>
      </c>
      <c r="K681" s="83">
        <v>0.41730706693823061</v>
      </c>
      <c r="L681" s="53">
        <v>44.25</v>
      </c>
      <c r="M681" s="83">
        <v>0.44247727000325332</v>
      </c>
      <c r="N681" s="55">
        <v>40</v>
      </c>
      <c r="O681" s="83">
        <v>0.39997945311028538</v>
      </c>
      <c r="P681" s="56">
        <f t="shared" si="100"/>
        <v>1.5997075794207505E-2</v>
      </c>
      <c r="Q681" s="56">
        <f t="shared" si="101"/>
        <v>-4.9979460495686578E-3</v>
      </c>
      <c r="R681" s="56">
        <f t="shared" si="102"/>
        <v>4.2423455725899062E-2</v>
      </c>
      <c r="S681" s="54">
        <f t="shared" si="103"/>
        <v>8.4921272618867005E-2</v>
      </c>
      <c r="T681" s="56">
        <f t="shared" si="104"/>
        <v>7.9923326569298347E-2</v>
      </c>
      <c r="U681" s="56">
        <f t="shared" si="105"/>
        <v>6.89241968246595E-2</v>
      </c>
      <c r="V681" s="56">
        <f t="shared" si="106"/>
        <v>5.1596582996714269E-2</v>
      </c>
      <c r="W681" s="56">
        <f t="shared" si="107"/>
        <v>6.7593658790921773E-2</v>
      </c>
      <c r="X681" s="65">
        <f t="shared" si="108"/>
        <v>-6.4274072761773549E-3</v>
      </c>
      <c r="Y681" s="73">
        <f t="shared" si="109"/>
        <v>2.6426379931691557E-2</v>
      </c>
    </row>
    <row r="682" spans="1:25" x14ac:dyDescent="0.25">
      <c r="A682" s="52">
        <v>44090</v>
      </c>
      <c r="B682" s="53">
        <v>48.85</v>
      </c>
      <c r="C682" s="83">
        <v>0.48831270197732379</v>
      </c>
      <c r="D682" s="53">
        <v>51</v>
      </c>
      <c r="E682" s="87">
        <v>0.50980445856383849</v>
      </c>
      <c r="F682" s="53">
        <v>47.96</v>
      </c>
      <c r="G682" s="83">
        <v>0.47950803955405807</v>
      </c>
      <c r="H682" s="53">
        <v>48.1</v>
      </c>
      <c r="I682" s="83">
        <v>0.48097693946180659</v>
      </c>
      <c r="J682" s="53">
        <v>41.9</v>
      </c>
      <c r="K682" s="83">
        <v>0.41881927661351609</v>
      </c>
      <c r="L682" s="53">
        <v>45.15</v>
      </c>
      <c r="M682" s="83">
        <v>0.45147835377755863</v>
      </c>
      <c r="N682" s="55">
        <v>41</v>
      </c>
      <c r="O682" s="83">
        <v>0.40998034340819278</v>
      </c>
      <c r="P682" s="56">
        <f t="shared" si="100"/>
        <v>8.8046624232657189E-3</v>
      </c>
      <c r="Q682" s="56">
        <f t="shared" si="101"/>
        <v>2.1491756586514699E-2</v>
      </c>
      <c r="R682" s="56">
        <f t="shared" si="102"/>
        <v>3.6834348199765166E-2</v>
      </c>
      <c r="S682" s="54">
        <f t="shared" si="103"/>
        <v>7.8332358569131011E-2</v>
      </c>
      <c r="T682" s="56">
        <f t="shared" si="104"/>
        <v>9.982411515564571E-2</v>
      </c>
      <c r="U682" s="56">
        <f t="shared" si="105"/>
        <v>6.9527696145865292E-2</v>
      </c>
      <c r="V682" s="56">
        <f t="shared" si="106"/>
        <v>6.0688762940541985E-2</v>
      </c>
      <c r="W682" s="56">
        <f t="shared" si="107"/>
        <v>6.9493425363807704E-2</v>
      </c>
      <c r="X682" s="65">
        <f t="shared" si="108"/>
        <v>1.468899907748511E-3</v>
      </c>
      <c r="Y682" s="73">
        <f t="shared" si="109"/>
        <v>2.8029685776499447E-2</v>
      </c>
    </row>
    <row r="683" spans="1:25" x14ac:dyDescent="0.25">
      <c r="A683" s="52">
        <v>44089</v>
      </c>
      <c r="B683" s="53">
        <v>51.4</v>
      </c>
      <c r="C683" s="83">
        <v>0.5138169966861118</v>
      </c>
      <c r="D683" s="53">
        <v>53.75</v>
      </c>
      <c r="E683" s="87">
        <v>0.5373086298030838</v>
      </c>
      <c r="F683" s="53">
        <v>51.08</v>
      </c>
      <c r="G683" s="83">
        <v>0.51070905181269088</v>
      </c>
      <c r="H683" s="53">
        <v>50</v>
      </c>
      <c r="I683" s="83">
        <v>0.49997774071702289</v>
      </c>
      <c r="J683" s="53">
        <v>44.55</v>
      </c>
      <c r="K683" s="83">
        <v>0.44532156635868497</v>
      </c>
      <c r="L683" s="53">
        <v>48.35</v>
      </c>
      <c r="M683" s="83">
        <v>0.48347847527336107</v>
      </c>
      <c r="N683" s="55">
        <v>43.1</v>
      </c>
      <c r="O683" s="83">
        <v>0.43098081249807368</v>
      </c>
      <c r="P683" s="56">
        <f t="shared" si="100"/>
        <v>3.1079448734209203E-3</v>
      </c>
      <c r="Q683" s="56">
        <f t="shared" si="101"/>
        <v>2.3491633116971999E-2</v>
      </c>
      <c r="R683" s="56">
        <f t="shared" si="102"/>
        <v>3.033852141275073E-2</v>
      </c>
      <c r="S683" s="54">
        <f t="shared" si="103"/>
        <v>8.283618418803812E-2</v>
      </c>
      <c r="T683" s="56">
        <f t="shared" si="104"/>
        <v>0.10632781730501012</v>
      </c>
      <c r="U683" s="56">
        <f t="shared" si="105"/>
        <v>7.97282393146172E-2</v>
      </c>
      <c r="V683" s="56">
        <f t="shared" si="106"/>
        <v>6.5387485454005911E-2</v>
      </c>
      <c r="W683" s="56">
        <f t="shared" si="107"/>
        <v>6.8495430327426832E-2</v>
      </c>
      <c r="X683" s="65">
        <f t="shared" si="108"/>
        <v>-1.0731311095667995E-2</v>
      </c>
      <c r="Y683" s="73">
        <f t="shared" si="109"/>
        <v>2.7230576539329809E-2</v>
      </c>
    </row>
    <row r="684" spans="1:25" x14ac:dyDescent="0.25">
      <c r="A684" s="58">
        <v>44088</v>
      </c>
      <c r="B684" s="59">
        <v>51.8</v>
      </c>
      <c r="C684" s="84">
        <v>0.51782975460122693</v>
      </c>
      <c r="D684" s="59">
        <v>53.75</v>
      </c>
      <c r="E684" s="88">
        <v>0.53732334574934271</v>
      </c>
      <c r="F684" s="59">
        <v>51.87</v>
      </c>
      <c r="G684" s="84">
        <v>0.51861474826055987</v>
      </c>
      <c r="H684" s="53">
        <v>50</v>
      </c>
      <c r="I684" s="83">
        <v>0.49997945289919588</v>
      </c>
      <c r="J684" s="59">
        <v>44.54</v>
      </c>
      <c r="K684" s="83">
        <v>0.44523532392128939</v>
      </c>
      <c r="L684" s="59">
        <v>49.2</v>
      </c>
      <c r="M684" s="84">
        <v>0.49197978165280881</v>
      </c>
      <c r="N684" s="61">
        <v>43.99</v>
      </c>
      <c r="O684" s="84">
        <v>0.43988192266071258</v>
      </c>
      <c r="P684" s="62">
        <f t="shared" si="100"/>
        <v>-7.8499365933293319E-4</v>
      </c>
      <c r="Q684" s="62">
        <f t="shared" si="101"/>
        <v>1.9493591148115774E-2</v>
      </c>
      <c r="R684" s="62">
        <f t="shared" si="102"/>
        <v>2.5849972948418121E-2</v>
      </c>
      <c r="S684" s="60">
        <f t="shared" si="103"/>
        <v>7.7947831940514356E-2</v>
      </c>
      <c r="T684" s="60">
        <f t="shared" si="104"/>
        <v>9.744142308863013E-2</v>
      </c>
      <c r="U684" s="60">
        <f t="shared" si="105"/>
        <v>7.8732825599847289E-2</v>
      </c>
      <c r="V684" s="60">
        <f t="shared" si="106"/>
        <v>7.3379424339270471E-2</v>
      </c>
      <c r="W684" s="60">
        <f t="shared" si="107"/>
        <v>7.2594430679937538E-2</v>
      </c>
      <c r="X684" s="60">
        <f t="shared" si="108"/>
        <v>-1.863529536136399E-2</v>
      </c>
      <c r="Y684" s="73">
        <f t="shared" si="109"/>
        <v>2.6634966607751054E-2</v>
      </c>
    </row>
    <row r="685" spans="1:25" x14ac:dyDescent="0.25">
      <c r="A685" s="24"/>
      <c r="B685" s="21"/>
      <c r="C685" s="21"/>
      <c r="F685" s="21"/>
      <c r="G685" s="21"/>
    </row>
    <row r="686" spans="1:25" x14ac:dyDescent="0.25">
      <c r="A686" s="24"/>
      <c r="B686" s="21"/>
      <c r="C686" s="21"/>
      <c r="F686" s="21"/>
      <c r="G686" s="21"/>
    </row>
    <row r="687" spans="1:25" x14ac:dyDescent="0.25">
      <c r="A687" s="24"/>
      <c r="B687" s="21"/>
      <c r="C687" s="21"/>
      <c r="F687" s="21"/>
      <c r="G687" s="21"/>
    </row>
    <row r="688" spans="1:25" x14ac:dyDescent="0.25">
      <c r="A688" s="24"/>
      <c r="B688" s="21"/>
      <c r="C688" s="21"/>
      <c r="F688" s="21"/>
      <c r="G688" s="21"/>
    </row>
    <row r="689" spans="1:7" x14ac:dyDescent="0.25">
      <c r="A689" s="24"/>
      <c r="B689" s="21"/>
      <c r="C689" s="21"/>
      <c r="F689" s="25"/>
      <c r="G689" s="21"/>
    </row>
  </sheetData>
  <pageMargins left="0.7" right="0.7" top="0.75" bottom="0.75" header="0.3" footer="0.3"/>
  <pageSetup paperSize="5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C4" sqref="C4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65</v>
      </c>
    </row>
    <row r="3" spans="1:8" x14ac:dyDescent="0.25">
      <c r="A3" t="s">
        <v>66</v>
      </c>
      <c r="B3">
        <v>66.55</v>
      </c>
      <c r="C3">
        <v>66.5</v>
      </c>
      <c r="D3">
        <v>0.38600000000000001</v>
      </c>
      <c r="E3">
        <v>0.33350000000000002</v>
      </c>
    </row>
    <row r="4" spans="1:8" x14ac:dyDescent="0.25">
      <c r="A4" t="s">
        <v>67</v>
      </c>
      <c r="B4" s="68">
        <v>374</v>
      </c>
      <c r="C4" s="70">
        <f>B5/C3</f>
        <v>374.2812030075188</v>
      </c>
      <c r="D4" s="68">
        <f>C4</f>
        <v>374.2812030075188</v>
      </c>
      <c r="E4" s="70">
        <f>D5/E3</f>
        <v>433.20103256642352</v>
      </c>
    </row>
    <row r="5" spans="1:8" x14ac:dyDescent="0.25">
      <c r="A5" t="s">
        <v>68</v>
      </c>
      <c r="B5" s="69">
        <f>B4*B3</f>
        <v>24889.7</v>
      </c>
      <c r="C5">
        <f>C4*C3</f>
        <v>24889.7</v>
      </c>
      <c r="D5">
        <f>D4*D3</f>
        <v>144.47254436090225</v>
      </c>
      <c r="E5" s="69">
        <f>E4*E3</f>
        <v>144.47254436090225</v>
      </c>
      <c r="H5">
        <f>E5-B5-F6</f>
        <v>-24995.569181082708</v>
      </c>
    </row>
    <row r="6" spans="1:8" x14ac:dyDescent="0.25">
      <c r="A6" t="s">
        <v>69</v>
      </c>
      <c r="B6">
        <f>B5*0.5/100</f>
        <v>124.44850000000001</v>
      </c>
      <c r="C6">
        <f>C5*0.5/100</f>
        <v>124.44850000000001</v>
      </c>
      <c r="D6">
        <f>D5*0.5/100</f>
        <v>0.72236272180451122</v>
      </c>
      <c r="E6">
        <f>E5*0.5/100</f>
        <v>0.72236272180451122</v>
      </c>
      <c r="F6" s="71">
        <f>E6+D6+C6+B6</f>
        <v>250.34172544360905</v>
      </c>
    </row>
    <row r="10" spans="1:8" x14ac:dyDescent="0.25">
      <c r="A10" t="s">
        <v>70</v>
      </c>
      <c r="B10">
        <f>B3/C3</f>
        <v>1.0007518796992481</v>
      </c>
    </row>
    <row r="14" spans="1:8" x14ac:dyDescent="0.25">
      <c r="A14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Gráficos</vt:lpstr>
      </vt:variant>
      <vt:variant>
        <vt:i4>1</vt:i4>
      </vt:variant>
    </vt:vector>
  </HeadingPairs>
  <TitlesOfParts>
    <vt:vector size="12" baseType="lpstr">
      <vt:lpstr>Flujo de Fondos 0124</vt:lpstr>
      <vt:lpstr>Flujo de Fondos 0723</vt:lpstr>
      <vt:lpstr>Flujo de Fondos 0123</vt:lpstr>
      <vt:lpstr>Flujo de Fondos 0722</vt:lpstr>
      <vt:lpstr>Flujo de Fondos 0122</vt:lpstr>
      <vt:lpstr>Flujo de Fondos 0721</vt:lpstr>
      <vt:lpstr>Flujo de Fondos</vt:lpstr>
      <vt:lpstr>Hoja3</vt:lpstr>
      <vt:lpstr>Grafico Paridades bkp</vt:lpstr>
      <vt:lpstr>Paridad usd</vt:lpstr>
      <vt:lpstr>Aribtrar</vt:lpstr>
      <vt:lpstr>30-38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2023-07-08T21:50:10Z</dcterms:modified>
</cp:coreProperties>
</file>